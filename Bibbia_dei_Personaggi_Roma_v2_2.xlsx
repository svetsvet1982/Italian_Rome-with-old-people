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개요" sheetId="1" state="visible" r:id="rId1"/>
    <sheet xmlns:r="http://schemas.openxmlformats.org/officeDocument/2006/relationships" name="캐릭터" sheetId="2" state="visible" r:id="rId2"/>
    <sheet xmlns:r="http://schemas.openxmlformats.org/officeDocument/2006/relationships" name="등장비중" sheetId="3" state="visible" r:id="rId3"/>
    <sheet xmlns:r="http://schemas.openxmlformats.org/officeDocument/2006/relationships" name="턴_설계" sheetId="4" state="visible" r:id="rId4"/>
    <sheet xmlns:r="http://schemas.openxmlformats.org/officeDocument/2006/relationships" name="13부_구성" sheetId="5" state="visible" r:id="rId5"/>
    <sheet xmlns:r="http://schemas.openxmlformats.org/officeDocument/2006/relationships" name="아크_구성계획" sheetId="6" state="visible" r:id="rId6"/>
    <sheet xmlns:r="http://schemas.openxmlformats.org/officeDocument/2006/relationships" name="화별목차_전체" sheetId="7" state="visible" r:id="rId7"/>
    <sheet xmlns:r="http://schemas.openxmlformats.org/officeDocument/2006/relationships" name="복선_회수" sheetId="8" state="visible" r:id="rId8"/>
    <sheet xmlns:r="http://schemas.openxmlformats.org/officeDocument/2006/relationships" name="현안_배치" sheetId="9" state="visible" r:id="rId9"/>
    <sheet xmlns:r="http://schemas.openxmlformats.org/officeDocument/2006/relationships" name="현안_분포" sheetId="10" state="visible" r:id="rId10"/>
    <sheet xmlns:r="http://schemas.openxmlformats.org/officeDocument/2006/relationships" name="정치제도" sheetId="11" state="visible" r:id="rId11"/>
    <sheet xmlns:r="http://schemas.openxmlformats.org/officeDocument/2006/relationships" name="정치경로_의석" sheetId="12" state="visible" r:id="rId12"/>
    <sheet xmlns:r="http://schemas.openxmlformats.org/officeDocument/2006/relationships" name="호칭규칙" sheetId="13" state="visible" r:id="rId13"/>
    <sheet xmlns:r="http://schemas.openxmlformats.org/officeDocument/2006/relationships" name="Sofia_폭발과욕" sheetId="14" state="visible" r:id="rId14"/>
    <sheet xmlns:r="http://schemas.openxmlformats.org/officeDocument/2006/relationships" name="Cesare_죽음" sheetId="15" state="visible" r:id="rId15"/>
    <sheet xmlns:r="http://schemas.openxmlformats.org/officeDocument/2006/relationships" name="Gramsci_출처" sheetId="16" state="visible" r:id="rId16"/>
    <sheet xmlns:r="http://schemas.openxmlformats.org/officeDocument/2006/relationships" name="대화문규칙" sheetId="17" state="visible" r:id="rId17"/>
    <sheet xmlns:r="http://schemas.openxmlformats.org/officeDocument/2006/relationships" name="변경이력_미결" sheetId="18" state="visible" r:id="rId18"/>
    <sheet xmlns:r="http://schemas.openxmlformats.org/officeDocument/2006/relationships" name="제작현황" sheetId="19" state="visible" r:id="rId19"/>
    <sheet xmlns:r="http://schemas.openxmlformats.org/officeDocument/2006/relationships" name="가상인물_등록부" sheetId="20" state="visible" r:id="rId20"/>
  </sheets>
  <definedNames>
    <definedName name="_xlnm._FilterDatabase" localSheetId="6" hidden="1">'화별목차_전체'!$A$4:$J$160</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
  </numFmts>
  <fonts count="3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WenQuanYi Zen Hei"/>
      <family val="2"/>
      <b val="1"/>
      <color rgb="FF1F3864"/>
      <sz val="14"/>
    </font>
    <font>
      <name val="Arial"/>
      <charset val="1"/>
      <family val="0"/>
      <i val="1"/>
      <color rgb="FF595959"/>
      <sz val="9"/>
    </font>
    <font>
      <name val="WenQuanYi Zen Hei"/>
      <family val="2"/>
      <i val="1"/>
      <color rgb="FF595959"/>
      <sz val="9"/>
    </font>
    <font>
      <name val="WenQuanYi Zen Hei"/>
      <charset val="1"/>
      <family val="2"/>
      <b val="1"/>
      <sz val="10"/>
    </font>
    <font>
      <name val="Arial"/>
      <charset val="1"/>
      <family val="0"/>
      <color rgb="FF0000FF"/>
      <sz val="10"/>
    </font>
    <font>
      <name val="Arial"/>
      <charset val="1"/>
      <family val="0"/>
      <sz val="10"/>
    </font>
    <font>
      <name val="WenQuanYi Zen Hei"/>
      <family val="2"/>
      <sz val="10"/>
    </font>
    <font>
      <name val="WenQuanYi Zen Hei"/>
      <charset val="1"/>
      <family val="2"/>
      <sz val="10"/>
    </font>
    <font>
      <name val="Arial"/>
      <charset val="1"/>
      <family val="0"/>
      <b val="1"/>
      <sz val="10"/>
    </font>
    <font>
      <name val="WenQuanYi Zen Hei"/>
      <family val="2"/>
      <b val="1"/>
      <sz val="10"/>
    </font>
    <font>
      <name val="WenQuanYi Zen Hei"/>
      <charset val="1"/>
      <family val="2"/>
      <color rgb="FF0563C1"/>
      <sz val="10"/>
      <u val="single"/>
    </font>
    <font>
      <name val="Arial"/>
      <charset val="1"/>
      <family val="0"/>
      <color rgb="FF0563C1"/>
      <sz val="10"/>
      <u val="single"/>
    </font>
    <font>
      <name val="WenQuanYi Zen Hei"/>
      <charset val="1"/>
      <family val="2"/>
      <color rgb="FF0000FF"/>
      <sz val="10"/>
    </font>
    <font>
      <name val="WenQuanYi Zen Hei"/>
      <charset val="1"/>
      <family val="2"/>
      <i val="1"/>
      <color rgb="FF595959"/>
      <sz val="9"/>
    </font>
    <font>
      <name val="WenQuanYi Zen Hei"/>
      <charset val="1"/>
      <family val="2"/>
      <b val="1"/>
      <color rgb="FF1F3864"/>
      <sz val="14"/>
    </font>
    <font>
      <name val="Arial"/>
      <charset val="1"/>
      <family val="0"/>
      <b val="1"/>
      <color rgb="FFFFFFFF"/>
      <sz val="10"/>
    </font>
    <font>
      <name val="WenQuanYi Zen Hei"/>
      <charset val="1"/>
      <family val="2"/>
      <b val="1"/>
      <color rgb="FFFFFFFF"/>
      <sz val="10"/>
    </font>
    <font>
      <name val="WenQuanYi Zen Hei"/>
      <family val="2"/>
      <b val="1"/>
      <color rgb="FFFFFFFF"/>
      <sz val="10"/>
    </font>
    <font>
      <name val="Noto Sans CJK SC"/>
      <charset val="1"/>
      <family val="2"/>
      <sz val="10"/>
    </font>
    <font>
      <name val="WenQuanYi Zen Hei"/>
      <charset val="1"/>
      <family val="2"/>
      <color theme="1"/>
      <sz val="11"/>
    </font>
    <font>
      <name val="WenQuanYi Zen Hei"/>
      <family val="2"/>
      <color theme="1"/>
      <sz val="11"/>
    </font>
    <font>
      <name val="Noto Sans CJK SC"/>
      <charset val="1"/>
      <family val="2"/>
      <b val="1"/>
      <sz val="10"/>
    </font>
    <font>
      <name val="Calibri"/>
      <b val="1"/>
      <color rgb="001F3864"/>
      <sz val="14"/>
    </font>
    <font>
      <name val="Calibri"/>
      <i val="1"/>
      <color rgb="00595959"/>
      <sz val="10"/>
    </font>
    <font>
      <name val="Calibri"/>
      <b val="1"/>
      <color rgb="00FFFFFF"/>
      <sz val="11"/>
    </font>
    <font>
      <b val="1"/>
      <color rgb="002E7D32"/>
    </font>
    <font>
      <color rgb="00B7791F"/>
    </font>
    <font>
      <b val="1"/>
    </font>
    <font>
      <i val="1"/>
      <sz val="10"/>
    </font>
  </fonts>
  <fills count="7">
    <fill>
      <patternFill/>
    </fill>
    <fill>
      <patternFill patternType="gray125"/>
    </fill>
    <fill>
      <patternFill patternType="solid">
        <fgColor rgb="FFD9E2F3"/>
        <bgColor rgb="FFDDEBF7"/>
      </patternFill>
    </fill>
    <fill>
      <patternFill patternType="solid">
        <fgColor rgb="FFFFFF00"/>
        <bgColor rgb="FFFFFF00"/>
      </patternFill>
    </fill>
    <fill>
      <patternFill patternType="solid">
        <fgColor rgb="FF1F3864"/>
        <bgColor rgb="FF333333"/>
      </patternFill>
    </fill>
    <fill>
      <patternFill patternType="solid">
        <fgColor rgb="FFF2F2F2"/>
        <bgColor rgb="FFDDEBF7"/>
      </patternFill>
    </fill>
    <fill>
      <patternFill patternType="solid">
        <fgColor rgb="001F38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2" borderId="1" applyAlignment="1" pivotButton="0" quotePrefix="0" xfId="0">
      <alignment horizontal="general" vertical="bottom"/>
    </xf>
    <xf numFmtId="0" fontId="0" fillId="2" borderId="1" applyAlignment="1" pivotButton="0" quotePrefix="0" xfId="0">
      <alignment horizontal="general" vertical="bottom"/>
    </xf>
    <xf numFmtId="0" fontId="8" fillId="0" borderId="1" applyAlignment="1" pivotButton="0" quotePrefix="0" xfId="0">
      <alignment horizontal="general" vertical="top" wrapText="1"/>
    </xf>
    <xf numFmtId="0" fontId="9" fillId="0" borderId="1" applyAlignment="1" pivotButton="0" quotePrefix="0" xfId="0">
      <alignment horizontal="center" vertical="top"/>
    </xf>
    <xf numFmtId="0" fontId="10"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0" fillId="0" borderId="1" applyAlignment="1" pivotButton="0" quotePrefix="0" xfId="0">
      <alignment horizontal="center" vertical="top"/>
    </xf>
    <xf numFmtId="0" fontId="13" fillId="0" borderId="1" applyAlignment="1" pivotButton="0" quotePrefix="0" xfId="0">
      <alignment horizontal="general" vertical="top" wrapText="1"/>
    </xf>
    <xf numFmtId="0" fontId="9" fillId="3" borderId="1" applyAlignment="1" pivotButton="0" quotePrefix="0" xfId="0">
      <alignment horizontal="center" vertical="top"/>
    </xf>
    <xf numFmtId="0" fontId="8" fillId="0" borderId="1" applyAlignment="1" pivotButton="0" quotePrefix="0" xfId="0">
      <alignment horizontal="general" vertical="bottom"/>
    </xf>
    <xf numFmtId="0" fontId="15" fillId="0" borderId="1" applyAlignment="1" pivotButton="0" quotePrefix="0" xfId="0">
      <alignment horizontal="general" vertical="bottom"/>
    </xf>
    <xf numFmtId="0" fontId="12" fillId="0" borderId="1" applyAlignment="1" pivotButton="0" quotePrefix="0" xfId="0">
      <alignment horizontal="general" vertical="bottom"/>
    </xf>
    <xf numFmtId="0" fontId="16" fillId="0" borderId="1" applyAlignment="1" pivotButton="0" quotePrefix="0" xfId="0">
      <alignment horizontal="general" vertical="bottom"/>
    </xf>
    <xf numFmtId="0" fontId="17" fillId="0" borderId="1" applyAlignment="1" pivotButton="0" quotePrefix="0" xfId="0">
      <alignment horizontal="general" vertical="bottom"/>
    </xf>
    <xf numFmtId="0" fontId="0" fillId="0" borderId="1" applyAlignment="1" pivotButton="0" quotePrefix="0" xfId="0">
      <alignment horizontal="general" vertical="bottom"/>
    </xf>
    <xf numFmtId="0" fontId="12" fillId="3" borderId="1" applyAlignment="1" pivotButton="0" quotePrefix="0" xfId="0">
      <alignment horizontal="general" vertical="bottom"/>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20" fillId="4" borderId="1" applyAlignment="1" pivotButton="0" quotePrefix="0" xfId="0">
      <alignment horizontal="center" vertical="center" wrapText="1"/>
    </xf>
    <xf numFmtId="0" fontId="21" fillId="4" borderId="1" applyAlignment="1" pivotButton="0" quotePrefix="0" xfId="0">
      <alignment horizontal="center" vertical="center" wrapText="1"/>
    </xf>
    <xf numFmtId="0" fontId="10" fillId="0" borderId="1" applyAlignment="1" pivotButton="0" quotePrefix="0" xfId="0">
      <alignment horizontal="center" vertical="top" wrapText="1"/>
    </xf>
    <xf numFmtId="0" fontId="9" fillId="0" borderId="1" applyAlignment="1" pivotButton="0" quotePrefix="0" xfId="0">
      <alignment horizontal="center" vertical="top" wrapText="1"/>
    </xf>
    <xf numFmtId="0" fontId="12" fillId="0" borderId="1" applyAlignment="1" pivotButton="0" quotePrefix="0" xfId="0">
      <alignment horizontal="center" vertical="top" wrapText="1"/>
    </xf>
    <xf numFmtId="0" fontId="23" fillId="0" borderId="1" applyAlignment="1" pivotButton="0" quotePrefix="0" xfId="0">
      <alignment horizontal="general" vertical="top" wrapText="1"/>
    </xf>
    <xf numFmtId="0" fontId="24" fillId="0" borderId="0" applyAlignment="1" pivotButton="0" quotePrefix="0" xfId="0">
      <alignment horizontal="general" vertical="bottom"/>
    </xf>
    <xf numFmtId="0" fontId="13" fillId="0" borderId="1" applyAlignment="1" pivotButton="0" quotePrefix="0" xfId="0">
      <alignment horizontal="general" vertical="bottom"/>
    </xf>
    <xf numFmtId="0" fontId="9" fillId="0" borderId="1" applyAlignment="1" pivotButton="0" quotePrefix="0" xfId="0">
      <alignment horizontal="center" vertical="center"/>
    </xf>
    <xf numFmtId="0" fontId="10" fillId="0" borderId="1" applyAlignment="1" pivotButton="0" quotePrefix="0" xfId="0">
      <alignment horizontal="center" vertical="center"/>
    </xf>
    <xf numFmtId="164" fontId="10" fillId="0" borderId="1" applyAlignment="1" pivotButton="0" quotePrefix="0" xfId="0">
      <alignment horizontal="center" vertical="center"/>
    </xf>
    <xf numFmtId="0" fontId="26" fillId="5" borderId="1" applyAlignment="1" pivotButton="0" quotePrefix="0" xfId="0">
      <alignment horizontal="general" vertical="bottom"/>
    </xf>
    <xf numFmtId="0" fontId="13" fillId="5" borderId="1" applyAlignment="1" pivotButton="0" quotePrefix="0" xfId="0">
      <alignment horizontal="center" vertical="bottom"/>
    </xf>
    <xf numFmtId="0" fontId="13" fillId="5" borderId="1" applyAlignment="1" pivotButton="0" quotePrefix="0" xfId="0">
      <alignment horizontal="center" vertical="bottom"/>
    </xf>
    <xf numFmtId="0" fontId="0" fillId="5" borderId="1" applyAlignment="1" pivotButton="0" quotePrefix="0" xfId="0">
      <alignment horizontal="center" vertical="bottom"/>
    </xf>
    <xf numFmtId="9" fontId="9" fillId="3" borderId="1" applyAlignment="1" pivotButton="0" quotePrefix="0" xfId="0">
      <alignment horizontal="center" vertical="bottom"/>
    </xf>
    <xf numFmtId="0" fontId="10" fillId="0" borderId="0" applyAlignment="1" pivotButton="0" quotePrefix="0" xfId="0">
      <alignment horizontal="general" vertical="top" wrapText="1"/>
    </xf>
    <xf numFmtId="0" fontId="13" fillId="2" borderId="1" applyAlignment="1" pivotButton="0" quotePrefix="0" xfId="0">
      <alignment horizontal="general" vertical="bottom"/>
    </xf>
    <xf numFmtId="0" fontId="9" fillId="3" borderId="1" applyAlignment="1" pivotButton="0" quotePrefix="0" xfId="0">
      <alignment horizontal="center" vertical="center"/>
    </xf>
    <xf numFmtId="3" fontId="10" fillId="0" borderId="1" applyAlignment="1" pivotButton="0" quotePrefix="0" xfId="0">
      <alignment horizontal="center" vertical="center"/>
    </xf>
    <xf numFmtId="0" fontId="12" fillId="0" borderId="0" applyAlignment="1" pivotButton="0" quotePrefix="0" xfId="0">
      <alignment horizontal="left" vertical="bottom"/>
    </xf>
    <xf numFmtId="0" fontId="13" fillId="0" borderId="1" applyAlignment="1" pivotButton="0" quotePrefix="0" xfId="0">
      <alignment horizontal="left" vertical="center"/>
    </xf>
    <xf numFmtId="9" fontId="9" fillId="0" borderId="1" applyAlignment="1" pivotButton="0" quotePrefix="0" xfId="0">
      <alignment horizontal="center" vertical="center"/>
    </xf>
    <xf numFmtId="0" fontId="8" fillId="0" borderId="1" applyAlignment="1" pivotButton="0" quotePrefix="0" xfId="0">
      <alignment horizontal="left" vertical="center"/>
    </xf>
    <xf numFmtId="0" fontId="8" fillId="5" borderId="1" applyAlignment="1" pivotButton="0" quotePrefix="0" xfId="0">
      <alignment horizontal="left" vertical="center"/>
    </xf>
    <xf numFmtId="0" fontId="10" fillId="5" borderId="1" applyAlignment="1" pivotButton="0" quotePrefix="0" xfId="0">
      <alignment horizontal="center" vertical="center"/>
    </xf>
    <xf numFmtId="9" fontId="10" fillId="5" borderId="1" applyAlignment="1" pivotButton="0" quotePrefix="0" xfId="0">
      <alignment horizontal="center" vertical="center"/>
    </xf>
    <xf numFmtId="0" fontId="13" fillId="0" borderId="1" applyAlignment="1" pivotButton="0" quotePrefix="0" xfId="0">
      <alignment horizontal="center" vertical="center"/>
    </xf>
    <xf numFmtId="165" fontId="9" fillId="0" borderId="1" applyAlignment="1" pivotButton="0" quotePrefix="0" xfId="0">
      <alignment horizontal="center" vertical="center"/>
    </xf>
    <xf numFmtId="165" fontId="10" fillId="0" borderId="1" applyAlignment="1" pivotButton="0" quotePrefix="0" xfId="0">
      <alignment horizontal="center" vertical="center"/>
    </xf>
    <xf numFmtId="0" fontId="8" fillId="5" borderId="1" applyAlignment="1" pivotButton="0" quotePrefix="0" xfId="0">
      <alignment horizontal="center" vertical="center"/>
    </xf>
    <xf numFmtId="3" fontId="13" fillId="5" borderId="1" applyAlignment="1" pivotButton="0" quotePrefix="0" xfId="0">
      <alignment horizontal="center" vertical="center"/>
    </xf>
    <xf numFmtId="165" fontId="13" fillId="5" borderId="1" applyAlignment="1" pivotButton="0" quotePrefix="0" xfId="0">
      <alignment horizontal="center" vertical="center"/>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2" fillId="0" borderId="1" applyAlignment="1" pivotButton="0" quotePrefix="0" xfId="0">
      <alignment horizontal="left" vertical="center" wrapText="1"/>
    </xf>
    <xf numFmtId="0" fontId="23" fillId="0" borderId="1" applyAlignment="1" pivotButton="0" quotePrefix="0" xfId="0">
      <alignment horizontal="left" vertical="center" wrapText="1"/>
    </xf>
    <xf numFmtId="0" fontId="18" fillId="0" borderId="0" applyAlignment="1" pivotButton="0" quotePrefix="0" xfId="0">
      <alignment horizontal="general" vertical="top" wrapText="1"/>
    </xf>
    <xf numFmtId="0" fontId="20" fillId="4" borderId="1" applyAlignment="1" pivotButton="0" quotePrefix="0" xfId="0">
      <alignment horizontal="center" vertical="center"/>
    </xf>
    <xf numFmtId="0" fontId="20" fillId="4" borderId="1" applyAlignment="1" pivotButton="0" quotePrefix="0" xfId="0">
      <alignment horizontal="general" vertical="center" wrapText="1"/>
    </xf>
    <xf numFmtId="0" fontId="8" fillId="0" borderId="0" applyAlignment="1" pivotButton="0" quotePrefix="0" xfId="0">
      <alignment horizontal="general" vertical="bottom"/>
    </xf>
    <xf numFmtId="3" fontId="13" fillId="0" borderId="0" applyAlignment="1" pivotButton="0" quotePrefix="0" xfId="0">
      <alignment horizontal="general" vertical="bottom"/>
    </xf>
    <xf numFmtId="165" fontId="13" fillId="0" borderId="0" applyAlignment="1" pivotButton="0" quotePrefix="0" xfId="0">
      <alignment horizontal="general" vertical="bottom"/>
    </xf>
    <xf numFmtId="0" fontId="13" fillId="0" borderId="1" applyAlignment="1" pivotButton="0" quotePrefix="0" xfId="0">
      <alignment horizontal="center" vertical="top" wrapText="1"/>
    </xf>
    <xf numFmtId="0" fontId="12" fillId="0" borderId="1" applyAlignment="1" pivotButton="0" quotePrefix="0" xfId="0">
      <alignment horizontal="left" vertical="center"/>
    </xf>
    <xf numFmtId="0" fontId="23" fillId="0" borderId="1" applyAlignment="1" pivotButton="0" quotePrefix="0" xfId="0">
      <alignment horizontal="left" vertical="center"/>
    </xf>
    <xf numFmtId="0" fontId="0" fillId="5" borderId="1" applyAlignment="1" pivotButton="0" quotePrefix="0" xfId="0">
      <alignment horizontal="center" vertical="center"/>
    </xf>
    <xf numFmtId="0" fontId="26" fillId="0" borderId="1" applyAlignment="1" pivotButton="0" quotePrefix="0" xfId="0">
      <alignment horizontal="general" vertical="top" wrapText="1"/>
    </xf>
    <xf numFmtId="0" fontId="0" fillId="0" borderId="1" applyAlignment="1" pivotButton="0" quotePrefix="0" xfId="0">
      <alignment horizontal="center" vertical="center"/>
    </xf>
    <xf numFmtId="0" fontId="8" fillId="5" borderId="1" applyAlignment="1" pivotButton="0" quotePrefix="0" xfId="0">
      <alignment horizontal="center" vertical="center" wrapText="1"/>
    </xf>
    <xf numFmtId="0" fontId="10" fillId="5" borderId="1" applyAlignment="1" pivotButton="0" quotePrefix="0" xfId="0">
      <alignment horizontal="center" vertical="center" wrapText="1"/>
    </xf>
    <xf numFmtId="0" fontId="12" fillId="5" borderId="1" applyAlignment="1" pivotButton="0" quotePrefix="0" xfId="0">
      <alignment horizontal="center" vertical="center" wrapText="1"/>
    </xf>
    <xf numFmtId="0" fontId="8" fillId="0" borderId="1" applyAlignment="1" pivotButton="0" quotePrefix="0" xfId="0">
      <alignment horizontal="center" vertical="center"/>
    </xf>
    <xf numFmtId="0" fontId="12"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2" borderId="1" applyAlignment="1" pivotButton="0" quotePrefix="0" xfId="0">
      <alignment horizontal="general" vertical="bottom"/>
    </xf>
    <xf numFmtId="0" fontId="0" fillId="2" borderId="1" applyAlignment="1" pivotButton="0" quotePrefix="0" xfId="0">
      <alignment horizontal="general" vertical="bottom"/>
    </xf>
    <xf numFmtId="0" fontId="8" fillId="0" borderId="1" applyAlignment="1" pivotButton="0" quotePrefix="0" xfId="0">
      <alignment horizontal="general" vertical="top" wrapText="1"/>
    </xf>
    <xf numFmtId="0" fontId="9" fillId="0" borderId="1" applyAlignment="1" pivotButton="0" quotePrefix="0" xfId="0">
      <alignment horizontal="center" vertical="top"/>
    </xf>
    <xf numFmtId="0" fontId="10"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0" fillId="0" borderId="1" applyAlignment="1" pivotButton="0" quotePrefix="0" xfId="0">
      <alignment horizontal="center" vertical="top"/>
    </xf>
    <xf numFmtId="0" fontId="13" fillId="0" borderId="1" applyAlignment="1" pivotButton="0" quotePrefix="0" xfId="0">
      <alignment horizontal="general" vertical="top" wrapText="1"/>
    </xf>
    <xf numFmtId="0" fontId="9" fillId="3" borderId="1" applyAlignment="1" pivotButton="0" quotePrefix="0" xfId="0">
      <alignment horizontal="center" vertical="top"/>
    </xf>
    <xf numFmtId="0" fontId="8" fillId="0" borderId="1" applyAlignment="1" pivotButton="0" quotePrefix="0" xfId="0">
      <alignment horizontal="general" vertical="bottom"/>
    </xf>
    <xf numFmtId="0" fontId="15" fillId="0" borderId="1" applyAlignment="1" pivotButton="0" quotePrefix="0" xfId="0">
      <alignment horizontal="general" vertical="bottom"/>
    </xf>
    <xf numFmtId="0" fontId="12" fillId="0" borderId="1" applyAlignment="1" pivotButton="0" quotePrefix="0" xfId="0">
      <alignment horizontal="general" vertical="bottom"/>
    </xf>
    <xf numFmtId="0" fontId="16" fillId="0" borderId="1" applyAlignment="1" pivotButton="0" quotePrefix="0" xfId="0">
      <alignment horizontal="general" vertical="bottom"/>
    </xf>
    <xf numFmtId="0" fontId="17" fillId="0" borderId="1" applyAlignment="1" pivotButton="0" quotePrefix="0" xfId="0">
      <alignment horizontal="general" vertical="bottom"/>
    </xf>
    <xf numFmtId="0" fontId="0" fillId="0" borderId="1" applyAlignment="1" pivotButton="0" quotePrefix="0" xfId="0">
      <alignment horizontal="general" vertical="bottom"/>
    </xf>
    <xf numFmtId="0" fontId="12" fillId="3" borderId="1" applyAlignment="1" pivotButton="0" quotePrefix="0" xfId="0">
      <alignment horizontal="general" vertical="bottom"/>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20" fillId="4" borderId="1" applyAlignment="1" pivotButton="0" quotePrefix="0" xfId="0">
      <alignment horizontal="center" vertical="center" wrapText="1"/>
    </xf>
    <xf numFmtId="0" fontId="21" fillId="4" borderId="1" applyAlignment="1" pivotButton="0" quotePrefix="0" xfId="0">
      <alignment horizontal="center" vertical="center" wrapText="1"/>
    </xf>
    <xf numFmtId="0" fontId="10" fillId="0" borderId="1" applyAlignment="1" pivotButton="0" quotePrefix="0" xfId="0">
      <alignment horizontal="center" vertical="top" wrapText="1"/>
    </xf>
    <xf numFmtId="0" fontId="9" fillId="0" borderId="1" applyAlignment="1" pivotButton="0" quotePrefix="0" xfId="0">
      <alignment horizontal="center" vertical="top" wrapText="1"/>
    </xf>
    <xf numFmtId="0" fontId="12" fillId="0" borderId="1" applyAlignment="1" pivotButton="0" quotePrefix="0" xfId="0">
      <alignment horizontal="center" vertical="top" wrapText="1"/>
    </xf>
    <xf numFmtId="0" fontId="23" fillId="0" borderId="1" applyAlignment="1" pivotButton="0" quotePrefix="0" xfId="0">
      <alignment horizontal="general" vertical="top" wrapText="1"/>
    </xf>
    <xf numFmtId="0" fontId="24" fillId="0" borderId="0" applyAlignment="1" pivotButton="0" quotePrefix="0" xfId="0">
      <alignment horizontal="general" vertical="bottom"/>
    </xf>
    <xf numFmtId="0" fontId="13" fillId="0" borderId="1" applyAlignment="1" pivotButton="0" quotePrefix="0" xfId="0">
      <alignment horizontal="general" vertical="bottom"/>
    </xf>
    <xf numFmtId="0" fontId="9" fillId="0" borderId="1" applyAlignment="1" pivotButton="0" quotePrefix="0" xfId="0">
      <alignment horizontal="center" vertical="center"/>
    </xf>
    <xf numFmtId="0" fontId="10" fillId="0" borderId="1" applyAlignment="1" pivotButton="0" quotePrefix="0" xfId="0">
      <alignment horizontal="center" vertical="center"/>
    </xf>
    <xf numFmtId="164" fontId="10" fillId="0" borderId="1" applyAlignment="1" pivotButton="0" quotePrefix="0" xfId="0">
      <alignment horizontal="center" vertical="center"/>
    </xf>
    <xf numFmtId="0" fontId="26" fillId="5" borderId="1" applyAlignment="1" pivotButton="0" quotePrefix="0" xfId="0">
      <alignment horizontal="general" vertical="bottom"/>
    </xf>
    <xf numFmtId="0" fontId="13" fillId="5" borderId="1" applyAlignment="1" pivotButton="0" quotePrefix="0" xfId="0">
      <alignment horizontal="center" vertical="bottom"/>
    </xf>
    <xf numFmtId="0" fontId="0" fillId="5" borderId="1" applyAlignment="1" pivotButton="0" quotePrefix="0" xfId="0">
      <alignment horizontal="center" vertical="bottom"/>
    </xf>
    <xf numFmtId="9" fontId="9" fillId="3" borderId="1" applyAlignment="1" pivotButton="0" quotePrefix="0" xfId="0">
      <alignment horizontal="center" vertical="bottom"/>
    </xf>
    <xf numFmtId="0" fontId="10" fillId="0" borderId="0" applyAlignment="1" pivotButton="0" quotePrefix="0" xfId="0">
      <alignment horizontal="general" vertical="top" wrapText="1"/>
    </xf>
    <xf numFmtId="0" fontId="13" fillId="2" borderId="1" applyAlignment="1" pivotButton="0" quotePrefix="0" xfId="0">
      <alignment horizontal="general" vertical="bottom"/>
    </xf>
    <xf numFmtId="0" fontId="9" fillId="3" borderId="1" applyAlignment="1" pivotButton="0" quotePrefix="0" xfId="0">
      <alignment horizontal="center" vertical="center"/>
    </xf>
    <xf numFmtId="3" fontId="10" fillId="0" borderId="1" applyAlignment="1" pivotButton="0" quotePrefix="0" xfId="0">
      <alignment horizontal="center" vertical="center"/>
    </xf>
    <xf numFmtId="0" fontId="12" fillId="0" borderId="0" applyAlignment="1" pivotButton="0" quotePrefix="0" xfId="0">
      <alignment horizontal="left" vertical="bottom"/>
    </xf>
    <xf numFmtId="0" fontId="13" fillId="0" borderId="1" applyAlignment="1" pivotButton="0" quotePrefix="0" xfId="0">
      <alignment horizontal="left" vertical="center"/>
    </xf>
    <xf numFmtId="9" fontId="9" fillId="0" borderId="1" applyAlignment="1" pivotButton="0" quotePrefix="0" xfId="0">
      <alignment horizontal="center" vertical="center"/>
    </xf>
    <xf numFmtId="0" fontId="8" fillId="0" borderId="1" applyAlignment="1" pivotButton="0" quotePrefix="0" xfId="0">
      <alignment horizontal="left" vertical="center"/>
    </xf>
    <xf numFmtId="0" fontId="8" fillId="5" borderId="1" applyAlignment="1" pivotButton="0" quotePrefix="0" xfId="0">
      <alignment horizontal="left" vertical="center"/>
    </xf>
    <xf numFmtId="0" fontId="10" fillId="5" borderId="1" applyAlignment="1" pivotButton="0" quotePrefix="0" xfId="0">
      <alignment horizontal="center" vertical="center"/>
    </xf>
    <xf numFmtId="9" fontId="10" fillId="5" borderId="1" applyAlignment="1" pivotButton="0" quotePrefix="0" xfId="0">
      <alignment horizontal="center" vertical="center"/>
    </xf>
    <xf numFmtId="0" fontId="13" fillId="0" borderId="1" applyAlignment="1" pivotButton="0" quotePrefix="0" xfId="0">
      <alignment horizontal="center" vertical="center"/>
    </xf>
    <xf numFmtId="165" fontId="9" fillId="0" borderId="1" applyAlignment="1" pivotButton="0" quotePrefix="0" xfId="0">
      <alignment horizontal="center" vertical="center"/>
    </xf>
    <xf numFmtId="165" fontId="10" fillId="0" borderId="1" applyAlignment="1" pivotButton="0" quotePrefix="0" xfId="0">
      <alignment horizontal="center" vertical="center"/>
    </xf>
    <xf numFmtId="0" fontId="8" fillId="5" borderId="1" applyAlignment="1" pivotButton="0" quotePrefix="0" xfId="0">
      <alignment horizontal="center" vertical="center"/>
    </xf>
    <xf numFmtId="3" fontId="13" fillId="5" borderId="1" applyAlignment="1" pivotButton="0" quotePrefix="0" xfId="0">
      <alignment horizontal="center" vertical="center"/>
    </xf>
    <xf numFmtId="165" fontId="13" fillId="5" borderId="1" applyAlignment="1" pivotButton="0" quotePrefix="0" xfId="0">
      <alignment horizontal="center" vertical="center"/>
    </xf>
    <xf numFmtId="0" fontId="0" fillId="0" borderId="4" pivotButton="0" quotePrefix="0" xfId="0"/>
    <xf numFmtId="0" fontId="0" fillId="0" borderId="5" pivotButton="0" quotePrefix="0" xfId="0"/>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2" fillId="0" borderId="1" applyAlignment="1" pivotButton="0" quotePrefix="0" xfId="0">
      <alignment horizontal="left" vertical="center" wrapText="1"/>
    </xf>
    <xf numFmtId="0" fontId="23" fillId="0" borderId="1" applyAlignment="1" pivotButton="0" quotePrefix="0" xfId="0">
      <alignment horizontal="left" vertical="center" wrapText="1"/>
    </xf>
    <xf numFmtId="0" fontId="18" fillId="0" borderId="0" applyAlignment="1" pivotButton="0" quotePrefix="0" xfId="0">
      <alignment horizontal="general" vertical="top" wrapText="1"/>
    </xf>
    <xf numFmtId="0" fontId="20" fillId="4" borderId="1" applyAlignment="1" pivotButton="0" quotePrefix="0" xfId="0">
      <alignment horizontal="center" vertical="center"/>
    </xf>
    <xf numFmtId="0" fontId="20" fillId="4" borderId="1" applyAlignment="1" pivotButton="0" quotePrefix="0" xfId="0">
      <alignment horizontal="general" vertical="center" wrapText="1"/>
    </xf>
    <xf numFmtId="0" fontId="8" fillId="0" borderId="0" applyAlignment="1" pivotButton="0" quotePrefix="0" xfId="0">
      <alignment horizontal="general" vertical="bottom"/>
    </xf>
    <xf numFmtId="3" fontId="13" fillId="0" borderId="0" applyAlignment="1" pivotButton="0" quotePrefix="0" xfId="0">
      <alignment horizontal="general" vertical="bottom"/>
    </xf>
    <xf numFmtId="165" fontId="13" fillId="0" borderId="0" applyAlignment="1" pivotButton="0" quotePrefix="0" xfId="0">
      <alignment horizontal="general" vertical="bottom"/>
    </xf>
    <xf numFmtId="0" fontId="13" fillId="0" borderId="1" applyAlignment="1" pivotButton="0" quotePrefix="0" xfId="0">
      <alignment horizontal="center" vertical="top" wrapText="1"/>
    </xf>
    <xf numFmtId="0" fontId="12" fillId="0" borderId="1" applyAlignment="1" pivotButton="0" quotePrefix="0" xfId="0">
      <alignment horizontal="left" vertical="center"/>
    </xf>
    <xf numFmtId="0" fontId="23" fillId="0" borderId="1" applyAlignment="1" pivotButton="0" quotePrefix="0" xfId="0">
      <alignment horizontal="left" vertical="center"/>
    </xf>
    <xf numFmtId="0" fontId="0" fillId="5" borderId="1" applyAlignment="1" pivotButton="0" quotePrefix="0" xfId="0">
      <alignment horizontal="center" vertical="center"/>
    </xf>
    <xf numFmtId="0" fontId="26" fillId="0" borderId="1" applyAlignment="1" pivotButton="0" quotePrefix="0" xfId="0">
      <alignment horizontal="general" vertical="top" wrapText="1"/>
    </xf>
    <xf numFmtId="0" fontId="0" fillId="0" borderId="1" applyAlignment="1" pivotButton="0" quotePrefix="0" xfId="0">
      <alignment horizontal="center" vertical="center"/>
    </xf>
    <xf numFmtId="0" fontId="8" fillId="5" borderId="1" applyAlignment="1" pivotButton="0" quotePrefix="0" xfId="0">
      <alignment horizontal="center" vertical="center" wrapText="1"/>
    </xf>
    <xf numFmtId="0" fontId="10" fillId="5" borderId="1" applyAlignment="1" pivotButton="0" quotePrefix="0" xfId="0">
      <alignment horizontal="center" vertical="center" wrapText="1"/>
    </xf>
    <xf numFmtId="0" fontId="12" fillId="5" borderId="1" applyAlignment="1" pivotButton="0" quotePrefix="0" xfId="0">
      <alignment horizontal="center" vertical="center" wrapText="1"/>
    </xf>
    <xf numFmtId="0" fontId="8" fillId="0" borderId="1" applyAlignment="1" pivotButton="0" quotePrefix="0" xfId="0">
      <alignment horizontal="center" vertical="center"/>
    </xf>
    <xf numFmtId="0" fontId="32" fillId="0" borderId="0" pivotButton="0" quotePrefix="0" xfId="0"/>
    <xf numFmtId="0" fontId="33" fillId="0" borderId="0" pivotButton="0" quotePrefix="0" xfId="0"/>
    <xf numFmtId="0" fontId="29" fillId="6" borderId="0" pivotButton="0" quotePrefix="0" xfId="0"/>
    <xf numFmtId="0" fontId="28" fillId="0" borderId="0" pivotButton="0" quotePrefix="0" xfId="0"/>
    <xf numFmtId="0" fontId="12" fillId="4" borderId="1" applyAlignment="1" pivotButton="0" quotePrefix="0" xfId="0">
      <alignment horizontal="general" vertical="top" wrapText="1"/>
    </xf>
    <xf numFmtId="0" fontId="27" fillId="0" borderId="0" pivotButton="0" quotePrefix="0" xfId="0"/>
    <xf numFmtId="0" fontId="30" fillId="0" borderId="0" pivotButton="0" quotePrefix="0" xfId="0"/>
    <xf numFmtId="0" fontId="31" fillId="0" borderId="0"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bgColor rgb="FF9DC3E6"/>
        </patternFill>
      </fill>
    </dxf>
    <dxf>
      <fill>
        <patternFill>
          <bgColor rgb="FFDDEBF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993366"/>
      <rgbColor rgb="FFF2F2F2"/>
      <rgbColor rgb="FFDDEBF7"/>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BF8F00"/>
      <rgbColor rgb="FFC55A11"/>
      <rgbColor rgb="FF595959"/>
      <rgbColor rgb="FF969696"/>
      <rgbColor rgb="FF1F3864"/>
      <rgbColor rgb="FF339966"/>
      <rgbColor rgb="FF003300"/>
      <rgbColor rgb="FF333300"/>
      <rgbColor rgb="FF993300"/>
      <rgbColor rgb="FF993366"/>
      <rgbColor rgb="FF2F5597"/>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864"/>
    <outlinePr summaryBelow="1" summaryRight="1"/>
    <pageSetUpPr fitToPage="1"/>
  </sheetPr>
  <dimension ref="A1:D4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77" min="1" max="1"/>
    <col width="30" customWidth="1" style="77" min="2" max="2"/>
    <col width="24" customWidth="1" style="77" min="3" max="3"/>
    <col width="78" customWidth="1" style="77" min="4" max="4"/>
  </cols>
  <sheetData>
    <row r="1" ht="24" customHeight="1" s="78">
      <c r="A1" s="79" t="inlineStr">
        <is>
          <t>Roma 이탈리아어 낭독 교재 — 캐릭터 바이블 (부활자 특별편)</t>
        </is>
      </c>
    </row>
    <row r="2" ht="15" customHeight="1" s="78">
      <c r="A2" s="80" t="inlineStr">
        <is>
          <t>v1.0 · 로마 배경 13부작 옴니버스(156화) · 부활 7인 = Cesare·Machiavelli·Garibaldi·Dante·Gramsci·Galileo·Montessori</t>
        </is>
      </c>
    </row>
    <row r="4" ht="15" customHeight="1" s="78">
      <c r="B4" s="81" t="inlineStr">
        <is>
          <t>기본 설정</t>
        </is>
      </c>
      <c r="C4" s="82" t="n"/>
      <c r="D4" s="82" t="n"/>
    </row>
    <row r="5" ht="42" customHeight="1" s="78">
      <c r="B5" s="83" t="inlineStr">
        <is>
          <t>부 수</t>
        </is>
      </c>
      <c r="C5" s="84" t="n">
        <v>13</v>
      </c>
      <c r="D5" s="85" t="inlineStr">
        <is>
          <t>1 사무소(Testaccio, 개소 1개월 후, 6사건×2화) → 2~5 각자의 과거 → 6 만남 → 7 전면전 → 8 창당 → 9 시의회·주의회 → 10 총선·총리 선출 → 11 국정 I(EU 협상·Cesare 사망) → 12 국정 II(장례·유고 메모 승계) → 13 귀환(원형 구조)</t>
        </is>
      </c>
    </row>
    <row r="6" ht="16.5" customHeight="1" s="78">
      <c r="B6" s="83" t="inlineStr">
        <is>
          <t>부당 화 수</t>
        </is>
      </c>
      <c r="C6" s="84" t="n">
        <v>12</v>
      </c>
      <c r="D6" s="86" t="inlineStr">
        <is>
          <t>각 부 12화</t>
        </is>
      </c>
    </row>
    <row r="7" ht="16.5" customHeight="1" s="78">
      <c r="B7" s="83" t="inlineStr">
        <is>
          <t>총 화 수</t>
        </is>
      </c>
      <c r="C7" s="87">
        <f>C5*C6</f>
        <v/>
      </c>
      <c r="D7" s="86" t="inlineStr">
        <is>
          <t>부 수 × 부당 화 수 (자동 계산)</t>
        </is>
      </c>
    </row>
    <row r="8" ht="16.5" customHeight="1" s="78">
      <c r="B8" s="83" t="inlineStr">
        <is>
          <t>등장인물 수</t>
        </is>
      </c>
      <c r="C8" s="87">
        <f>COUNTA(캐릭터!$D$5:$D$19)</f>
        <v/>
      </c>
      <c r="D8" s="86" t="inlineStr">
        <is>
          <t>캐릭터 시트의 약칭 개수</t>
        </is>
      </c>
    </row>
    <row r="9" ht="16.5" customHeight="1" s="78">
      <c r="B9" s="83" t="inlineStr">
        <is>
          <t>남성 인물 수</t>
        </is>
      </c>
      <c r="C9" s="87">
        <f>COUNTIF(캐릭터!$G$5:$G$19,"남")</f>
        <v/>
      </c>
      <c r="D9" s="86" t="inlineStr">
        <is>
          <t>부활 7인 중 6인이 남성인 역사 인물이라 남 10 : 여 5. 여성 화자(Giulia·Chiara·Rosa·Sofia·Montessori)의 대사 비중을 높게 유지해 음색 균형을 맞춘다.</t>
        </is>
      </c>
    </row>
    <row r="10" ht="16.5" customHeight="1" s="78">
      <c r="B10" s="83" t="inlineStr">
        <is>
          <t>여성 인물 수</t>
        </is>
      </c>
      <c r="C10" s="87">
        <f>COUNTIF(캐릭터!$G$5:$G$19,"여")</f>
        <v/>
      </c>
      <c r="D10" s="85" t="n"/>
    </row>
    <row r="11" ht="29.25" customHeight="1" s="78">
      <c r="B11" s="88" t="inlineStr">
        <is>
          <t>1부→11부 경과 연수 (가정)</t>
        </is>
      </c>
      <c r="C11" s="89" t="n">
        <v>6</v>
      </c>
      <c r="D11" s="86" t="inlineStr">
        <is>
          <t>가정값: Cesare가 1부 55세(암살 당시 나이로 부활) → 11부 약 61세가 되도록 잡음. 확정 시 이 셀만 수정하면 캐릭터 시트의 나이가 자동 갱신. (캐릭터 시트 '나이(11부)' 열)</t>
        </is>
      </c>
    </row>
    <row r="12" ht="16.5" customHeight="1" s="78">
      <c r="B12" s="83" t="inlineStr">
        <is>
          <t>배경·언어</t>
        </is>
      </c>
      <c r="C12" s="86" t="inlineStr">
        <is>
          <t>로마 (테스타초)</t>
        </is>
      </c>
      <c r="D12" s="86" t="inlineStr">
        <is>
          <t>표준 이탈리아어: 친한 사이 tu, 공식 석상은 Lei/공식 호칭. Rosa·Paolo의 로마 사투리(romanesco)는 양념 수준으로.</t>
        </is>
      </c>
    </row>
    <row r="13" ht="29.25" customHeight="1" s="78">
      <c r="B13" s="83" t="inlineStr">
        <is>
          <t>형식</t>
        </is>
      </c>
      <c r="C13" s="86" t="inlineStr">
        <is>
          <t>전 화 100% 대화문, 화당 120턴</t>
        </is>
      </c>
      <c r="D13" s="85">
        <f>"지문(narrazione) 없음. 화당 "&amp;턴_설계!$B$5&amp;"턴 × "&amp;C7&amp;"화 = "&amp;TEXT(C7*턴_설계!$B$5,"#,##0")&amp;"턴. 상세는 '대화문규칙'·'턴_설계' 시트."</f>
        <v/>
      </c>
    </row>
    <row r="15" ht="15" customHeight="1" s="78">
      <c r="B15" s="81" t="inlineStr">
        <is>
          <t>그룹별 인원</t>
        </is>
      </c>
      <c r="C15" s="82" t="n"/>
      <c r="D15" s="82" t="n"/>
    </row>
    <row r="16" ht="16.5" customHeight="1" s="78">
      <c r="B16" s="90" t="inlineStr">
        <is>
          <t>주력 4인</t>
        </is>
      </c>
      <c r="C16" s="87">
        <f>COUNTIF(캐릭터!$B$5:$B$19,B16)</f>
        <v/>
      </c>
      <c r="D16" s="85" t="inlineStr">
        <is>
          <t>Marco(변호사)·Giulia(의사)·Alessandro(회계사)·Chiara(컨설턴트)</t>
        </is>
      </c>
    </row>
    <row r="17" ht="29.25" customHeight="1" s="78">
      <c r="B17" s="90" t="inlineStr">
        <is>
          <t>부활 7인</t>
        </is>
      </c>
      <c r="C17" s="87">
        <f>COUNTIF(캐릭터!$B$5:$B$19,B17)</f>
        <v/>
      </c>
      <c r="D17" s="85" t="inlineStr">
        <is>
          <t>Cesare(전 독재관)·Machiavelli(정치사상가)·Garibaldi(통일운동가)·Dante(시인)·Gramsci(사상가)·Galileo(과학자)·Montessori(교육학자) ※ 각자의 시대에 죽었다가 이유 없이 현재 로마에 되살아나 사무소에 합류</t>
        </is>
      </c>
    </row>
    <row r="18" ht="16.5" customHeight="1" s="78">
      <c r="B18" s="90" t="inlineStr">
        <is>
          <t>서민·청년</t>
        </is>
      </c>
      <c r="C18" s="87">
        <f>COUNTIF(캐릭터!$B$5:$B$19,B18)</f>
        <v/>
      </c>
      <c r="D18" s="85" t="inlineStr">
        <is>
          <t>Rosa(트라토리아 사장)·Paolo(노조위원장)·Sofia M.(인턴)</t>
        </is>
      </c>
    </row>
    <row r="19" ht="16.5" customHeight="1" s="78">
      <c r="B19" s="90" t="inlineStr">
        <is>
          <t>금융</t>
        </is>
      </c>
      <c r="C19" s="87">
        <f>COUNTIF(캐릭터!$B$5:$B$19,B19)</f>
        <v/>
      </c>
      <c r="D19" s="85" t="inlineStr">
        <is>
          <t>Francesco(전 은행 지점장)</t>
        </is>
      </c>
    </row>
    <row r="22" ht="15" customHeight="1" s="78">
      <c r="B22" s="81" t="inlineStr">
        <is>
          <t>시트 안내 (클릭하면 이동)</t>
        </is>
      </c>
      <c r="C22" s="82" t="n"/>
      <c r="D22" s="82" t="n"/>
    </row>
    <row r="23" ht="15" customHeight="1" s="78">
      <c r="B23" s="91" t="inlineStr">
        <is>
          <t>캐릭터</t>
        </is>
      </c>
      <c r="C23" s="92" t="inlineStr">
        <is>
          <t>기준표</t>
        </is>
      </c>
      <c r="D23" s="85" t="inlineStr">
        <is>
          <t>15인의 이름·나이·결핍·말투·시그니처·낭독 포인트·대화문 장치·직책·현안 담당</t>
        </is>
      </c>
    </row>
    <row r="24" ht="15" customHeight="1" s="78">
      <c r="B24" s="91" t="inlineStr">
        <is>
          <t>등장비중</t>
        </is>
      </c>
      <c r="C24" s="92" t="inlineStr">
        <is>
          <t>기준표</t>
        </is>
      </c>
      <c r="D24" s="85" t="inlineStr">
        <is>
          <t>13부 배분표, 합계·비중·등급(수식), 조연 단독 중심 화 목표</t>
        </is>
      </c>
    </row>
    <row r="25" ht="29.25" customHeight="1" s="78">
      <c r="B25" s="91" t="inlineStr">
        <is>
          <t>턴_설계</t>
        </is>
      </c>
      <c r="C25" s="92" t="inlineStr">
        <is>
          <t>기준표</t>
        </is>
      </c>
      <c r="D25" s="86" t="inlineStr">
        <is>
          <t>화당 120턴 설계: 13부 × 화자 점유율(턴 기준), 평균 단어/턴, 화당 단어·낭독 시간(수식), 화 유형별 턴 구성, 집필 규칙</t>
        </is>
      </c>
    </row>
    <row r="26" ht="15" customHeight="1" s="78">
      <c r="B26" s="93" t="inlineStr">
        <is>
          <t>13부_구성</t>
        </is>
      </c>
      <c r="C26" s="92" t="inlineStr">
        <is>
          <t>구조</t>
        </is>
      </c>
      <c r="D26" s="85" t="inlineStr">
        <is>
          <t>13부 한눈에 보기: 배경·핵심 내용·난이도(CEFR)·반영 제도</t>
        </is>
      </c>
    </row>
    <row r="27" ht="15" customHeight="1" s="78">
      <c r="B27" s="91" t="inlineStr">
        <is>
          <t>아크_구성계획</t>
        </is>
      </c>
      <c r="C27" s="92" t="inlineStr">
        <is>
          <t>구성 계획</t>
        </is>
      </c>
      <c r="D27" s="85" t="inlineStr">
        <is>
          <t>1~13부 아크별 구성 계획: 서사 기능·로그라인·비트·인물 아크·복선·현안·언어 설계</t>
        </is>
      </c>
    </row>
    <row r="28" ht="15" customHeight="1" s="78">
      <c r="B28" s="91" t="inlineStr">
        <is>
          <t>화별목차_전체</t>
        </is>
      </c>
      <c r="C28" s="92" t="inlineStr">
        <is>
          <t>목차</t>
        </is>
      </c>
      <c r="D28" s="85" t="inlineStr">
        <is>
          <t>1~13부 156화의 서사 기능·제목(이탈리아어)·핵심 사건·반영 제도·인물·현안 (필터 가능)</t>
        </is>
      </c>
    </row>
    <row r="29" ht="15" customHeight="1" s="78">
      <c r="B29" s="91" t="inlineStr">
        <is>
          <t>복선_회수</t>
        </is>
      </c>
      <c r="C29" s="92" t="inlineStr">
        <is>
          <t>구성 계획</t>
        </is>
      </c>
      <c r="D29" s="86" t="inlineStr">
        <is>
          <t>복선 설치→회수 28건과 간격(부)을 수식으로 계산</t>
        </is>
      </c>
    </row>
    <row r="30" ht="15" customHeight="1" s="78">
      <c r="B30" s="91" t="inlineStr">
        <is>
          <t>현안_배치</t>
        </is>
      </c>
      <c r="C30" s="92" t="inlineStr">
        <is>
          <t>현안</t>
        </is>
      </c>
      <c r="D30" s="86" t="inlineStr">
        <is>
          <t>이탈리아 현안 18개를 어느 화에 어떻게 녹일지 배치, 균형 유의, 현실 기준값(ISTAT 등)</t>
        </is>
      </c>
    </row>
    <row r="31" ht="15" customHeight="1" s="78">
      <c r="B31" s="91" t="inlineStr">
        <is>
          <t>현안_분포</t>
        </is>
      </c>
      <c r="C31" s="92" t="inlineStr">
        <is>
          <t>현안</t>
        </is>
      </c>
      <c r="D31" s="86" t="inlineStr">
        <is>
          <t>부 × 현안 분포표: 전용 화(●)와 곁가지(○)를 수식으로 집계</t>
        </is>
      </c>
    </row>
    <row r="32" ht="15" customHeight="1" s="78">
      <c r="B32" s="91" t="inlineStr">
        <is>
          <t>정치제도</t>
        </is>
      </c>
      <c r="C32" s="92" t="inlineStr">
        <is>
          <t>현실 제도</t>
        </is>
      </c>
      <c r="D32" s="86" t="inlineStr">
        <is>
          <t>정당·선거·양원·정부 구성·주(Regione)·사법·EU 제도 기준표 (확인 상태 표시)</t>
        </is>
      </c>
    </row>
    <row r="33" ht="15" customHeight="1" s="78">
      <c r="B33" s="91" t="inlineStr">
        <is>
          <t>정치경로_의석</t>
        </is>
      </c>
      <c r="C33" s="92" t="inlineStr">
        <is>
          <t>현실 제도</t>
        </is>
      </c>
      <c r="D33" s="86" t="inlineStr">
        <is>
          <t>창당→총리 경로와 가상 의석·표결 시뮬레이션(수식): 하원·상원 신임 투표, 불신임안</t>
        </is>
      </c>
    </row>
    <row r="34" ht="15" customHeight="1" s="78">
      <c r="B34" s="91" t="inlineStr">
        <is>
          <t>호칭규칙</t>
        </is>
      </c>
      <c r="C34" s="92" t="inlineStr">
        <is>
          <t>규칙</t>
        </is>
      </c>
      <c r="D34" s="85" t="inlineStr">
        <is>
          <t>tu / Lei / voi / Loro, 양원·시의회 공식 호칭, 대통령</t>
        </is>
      </c>
    </row>
    <row r="35" ht="15" customHeight="1" s="78">
      <c r="B35" s="93" t="inlineStr">
        <is>
          <t>Sofia_폭발과욕</t>
        </is>
      </c>
      <c r="C35" s="92" t="inlineStr">
        <is>
          <t>규칙</t>
        </is>
      </c>
      <c r="D35" s="86" t="inlineStr">
        <is>
          <t>폭발 2회 배치, 3단계 계단, 폭발 직후 반응(대사판), 욕 배정</t>
        </is>
      </c>
    </row>
    <row r="36" ht="15" customHeight="1" s="78">
      <c r="B36" s="93" t="inlineStr">
        <is>
          <t>Cesare_죽음</t>
        </is>
      </c>
      <c r="C36" s="92" t="inlineStr">
        <is>
          <t>스토리</t>
        </is>
      </c>
      <c r="D36" s="86" t="inlineStr">
        <is>
          <t>심술 독재관 + 시한부 설정, 복선 타임라인 (11부 12화 두 번째 죽음, 13부 유언장)</t>
        </is>
      </c>
    </row>
    <row r="37" ht="15" customHeight="1" s="78">
      <c r="B37" s="93" t="inlineStr">
        <is>
          <t>Gramsci_출처</t>
        </is>
      </c>
      <c r="C37" s="92" t="inlineStr">
        <is>
          <t>스토리</t>
        </is>
      </c>
      <c r="D37" s="86" t="inlineStr">
        <is>
          <t>침묵 대신 '출처 안내' — 서가 4칸, 주제별 출처표, 카드 구술 템플릿</t>
        </is>
      </c>
    </row>
    <row r="38" ht="15" customHeight="1" s="78">
      <c r="B38" s="91" t="inlineStr">
        <is>
          <t>대화문규칙</t>
        </is>
      </c>
      <c r="C38" s="92" t="inlineStr">
        <is>
          <t>규칙</t>
        </is>
      </c>
      <c r="D38" s="86" t="inlineStr">
        <is>
          <t>전 화 100% 대화문 원칙, 지문 → 대사 대체표, 현안을 다루는 법, 문장 길이·분량 기준</t>
        </is>
      </c>
    </row>
    <row r="39" ht="15" customHeight="1" s="78">
      <c r="B39" s="91" t="inlineStr">
        <is>
          <t>변경이력_미결</t>
        </is>
      </c>
      <c r="C39" s="92" t="inlineStr">
        <is>
          <t>관리</t>
        </is>
      </c>
      <c r="D39" s="86" t="inlineStr">
        <is>
          <t>변경 이력(스페인판→이탈리아판 대응표 포함)과 확정이 필요한 미결 사항</t>
        </is>
      </c>
    </row>
    <row r="40" ht="15" customHeight="1" s="78"/>
    <row r="42" ht="15" customHeight="1" s="78">
      <c r="B42" s="81" t="inlineStr">
        <is>
          <t>범례</t>
        </is>
      </c>
      <c r="C42" s="82" t="n"/>
      <c r="D42" s="82" t="n"/>
    </row>
    <row r="43" ht="15" customHeight="1" s="78">
      <c r="B43" s="94" t="inlineStr">
        <is>
          <t>파란 글씨</t>
        </is>
      </c>
      <c r="C43" s="92" t="inlineStr">
        <is>
          <t>직접 입력한 값 (수정 가능)</t>
        </is>
      </c>
      <c r="D43" s="95" t="n"/>
    </row>
    <row r="44" ht="15" customHeight="1" s="78">
      <c r="B44" s="96" t="inlineStr">
        <is>
          <t>노란 배경</t>
        </is>
      </c>
      <c r="C44" s="92" t="inlineStr">
        <is>
          <t>가정 · 확정이 필요한 값</t>
        </is>
      </c>
      <c r="D44" s="95" t="n"/>
    </row>
    <row r="45" ht="15" customHeight="1" s="78">
      <c r="B45" s="92" t="inlineStr">
        <is>
          <t>검정 글씨</t>
        </is>
      </c>
      <c r="C45" s="92" t="inlineStr">
        <is>
          <t>수식으로 계산되는 값 (직접 수정하지 말 것)</t>
        </is>
      </c>
      <c r="D45" s="95" t="n"/>
    </row>
    <row r="47" ht="15" customHeight="1" s="78">
      <c r="B47" s="97" t="inlineStr">
        <is>
          <t>주의: 성별·나이·기관명은 기획용 가상 설정입니다. 법령 번호·조항은 교재에 넣기 전에 Normattiva(normattiva.it)·Gazzetta Ufficiale의 현행 통합본으로 확인하세요.</t>
        </is>
      </c>
    </row>
  </sheetData>
  <hyperlinks>
    <hyperlink ref="B23" location="'캐릭터'!A1" display="캐릭터"/>
    <hyperlink ref="B24" location="'등장비중'!A1" display="등장비중"/>
    <hyperlink ref="B25" location="'턴_설계'!A1" display="턴_설계"/>
    <hyperlink ref="B26" location="'13부_구성'!A1" display="13부_구성"/>
    <hyperlink ref="B27" location="'아크_구성계획'!A1" display="아크_구성계획"/>
    <hyperlink ref="B28" location="'화별목차_전체'!A1" display="화별목차_전체"/>
    <hyperlink ref="B29" location="'복선_회수'!A1" display="복선_회수"/>
    <hyperlink ref="B30" location="'현안_배치'!A1" display="현안_배치"/>
    <hyperlink ref="B31" location="'현안_분포'!A1" display="현안_분포"/>
    <hyperlink ref="B32" location="'정치제도'!A1" display="정치제도"/>
    <hyperlink ref="B33" location="'정치경로_의석'!A1" display="정치경로_의석"/>
    <hyperlink ref="B34" location="'호칭규칙'!A1" display="호칭규칙"/>
    <hyperlink ref="B35" location="'Sofia_폭발과욕'!A1" display="Sofia_폭발과욕"/>
    <hyperlink ref="B36" location="'Cesare_죽음'!A1" display="Cesare_죽음"/>
    <hyperlink ref="B37" location="'Gramsci_출처'!A1" display="Gramsci_출처"/>
    <hyperlink ref="B38" location="'대화문규칙'!A1" display="대화문규칙"/>
    <hyperlink ref="B39" location="'변경이력_미결'!A1" display="변경이력_미결"/>
  </hyperlinks>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tabColor rgb="FF2F5597"/>
    <outlinePr summaryBelow="1" summaryRight="1"/>
    <pageSetUpPr fitToPage="1"/>
  </sheetPr>
  <dimension ref="A1:S19"/>
  <sheetViews>
    <sheetView showFormulas="0" showGridLines="0"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zeroHeight="0" outlineLevelRow="0"/>
  <cols>
    <col width="5" customWidth="1" style="77" min="1" max="1"/>
    <col width="14" customWidth="1" style="77" min="2" max="2"/>
    <col width="24" customWidth="1" style="77" min="3" max="3"/>
    <col width="10" customWidth="1" style="77" min="4" max="4"/>
    <col width="8" customWidth="1" style="77" min="5" max="5"/>
    <col width="10" customWidth="1" style="77" min="6" max="6"/>
    <col width="6" customWidth="1" style="77" min="7" max="7"/>
    <col width="22" customWidth="1" style="77" min="8" max="8"/>
    <col width="26" customWidth="1" style="77" min="9" max="9"/>
    <col width="30" customWidth="1" style="77" min="10" max="10"/>
    <col width="34" customWidth="1" style="77" min="11" max="11"/>
    <col width="44" customWidth="1" style="77" min="12" max="12"/>
    <col width="30" customWidth="1" style="77" min="13" max="13"/>
    <col width="36" customWidth="1" style="77" min="14" max="14"/>
    <col width="24" customWidth="1" style="77" min="15" max="15"/>
    <col width="20" customWidth="1" style="77" min="16" max="16"/>
    <col width="9" customWidth="1" style="77" min="17" max="17"/>
    <col width="11" customWidth="1" style="77" min="18" max="18"/>
    <col width="16" customWidth="1" style="77" min="19" max="19"/>
  </cols>
  <sheetData>
    <row r="1" ht="24" customHeight="1" s="78">
      <c r="A1" s="98" t="inlineStr">
        <is>
          <t>캐릭터 바이블 — 15인 (Roma 이탈리아어 낭독 교재 — 캐릭터 바이블 (부활자 특별편))</t>
        </is>
      </c>
    </row>
    <row r="2" ht="15" customHeight="1" s="78">
      <c r="A2" s="80" t="inlineStr">
        <is>
          <t>v1.0 · 로마 배경 13부작 옴니버스(156화) · 부활 7인 = Cesare·Machiavelli·Garibaldi·Dante·Gramsci·Galileo·Montessori</t>
        </is>
      </c>
    </row>
    <row r="4" ht="31.5" customHeight="1" s="78">
      <c r="A4" s="99" t="inlineStr">
        <is>
          <t>No</t>
        </is>
      </c>
      <c r="B4" s="100" t="inlineStr">
        <is>
          <t>그룹</t>
        </is>
      </c>
      <c r="C4" s="100" t="inlineStr">
        <is>
          <t>이름</t>
        </is>
      </c>
      <c r="D4" s="100" t="inlineStr">
        <is>
          <t>약칭</t>
        </is>
      </c>
      <c r="E4" s="100" t="inlineStr">
        <is>
          <t>나이
(1부)</t>
        </is>
      </c>
      <c r="F4" s="100" t="inlineStr">
        <is>
          <t>나이
(11부)</t>
        </is>
      </c>
      <c r="G4" s="100" t="inlineStr">
        <is>
          <t>성별</t>
        </is>
      </c>
      <c r="H4" s="100" t="inlineStr">
        <is>
          <t>직업·신분</t>
        </is>
      </c>
      <c r="I4" s="100" t="inlineStr">
        <is>
          <t>전 소속 (가상)</t>
        </is>
      </c>
      <c r="J4" s="100" t="inlineStr">
        <is>
          <t>결핍 (Herida)</t>
        </is>
      </c>
      <c r="K4" s="100" t="inlineStr">
        <is>
          <t>말투</t>
        </is>
      </c>
      <c r="L4" s="100" t="inlineStr">
        <is>
          <t>시그니처 표현</t>
        </is>
      </c>
      <c r="M4" s="100" t="inlineStr">
        <is>
          <t>낭독 포인트</t>
        </is>
      </c>
      <c r="N4" s="100" t="inlineStr">
        <is>
          <t>대화문 장치 (지문 대체)</t>
        </is>
      </c>
      <c r="O4" s="100" t="inlineStr">
        <is>
          <t>정치 직책 (8~12부, 제안)</t>
        </is>
      </c>
      <c r="P4" s="99" t="inlineStr">
        <is>
          <t>1부 등장 방식</t>
        </is>
      </c>
      <c r="Q4" s="100" t="inlineStr">
        <is>
          <t>등장
화 수</t>
        </is>
      </c>
      <c r="R4" s="100" t="inlineStr">
        <is>
          <t>등급</t>
        </is>
      </c>
      <c r="S4" s="100" t="inlineStr">
        <is>
          <t>현안 담당
(ID)</t>
        </is>
      </c>
    </row>
    <row r="5" ht="93" customHeight="1" s="78">
      <c r="A5" s="101" t="n">
        <v>1</v>
      </c>
      <c r="B5" s="86" t="inlineStr">
        <is>
          <t>주력 4인</t>
        </is>
      </c>
      <c r="C5" s="88" t="inlineStr">
        <is>
          <t>Marco Ferrari</t>
        </is>
      </c>
      <c r="D5" s="88" t="inlineStr">
        <is>
          <t>Marco</t>
        </is>
      </c>
      <c r="E5" s="102" t="n">
        <v>39</v>
      </c>
      <c r="F5" s="101">
        <f>E5+개요!$C$11</f>
        <v/>
      </c>
      <c r="G5" s="103" t="inlineStr">
        <is>
          <t>남</t>
        </is>
      </c>
      <c r="H5" s="86" t="inlineStr">
        <is>
          <t>변호사 (기업·규제 전문)</t>
        </is>
      </c>
      <c r="I5" s="85" t="inlineStr">
        <is>
          <t>Ferrari &amp; Colombo Studio Legale (전 파트너 후보)</t>
        </is>
      </c>
      <c r="J5" s="86" t="inlineStr">
        <is>
          <t>승소율은 높지만, 강제퇴거 소송에서 이긴 사건 하나가 계속 마음에 걸린다.</t>
        </is>
      </c>
      <c r="K5" s="86" t="inlineStr">
        <is>
          <t>문장이 완결되고 격식체. 초반엔 차갑게 조항을 인용, 후반엔 연설가로 성장.</t>
        </is>
      </c>
      <c r="L5" s="85" t="inlineStr">
        <is>
          <t>Andiamo con ordine.\nCon tutto il rispetto, la legge non dice questo.\n(후반) Non vi chiedo di credermi. Vi chiedo di leggere il testo.</t>
        </is>
      </c>
      <c r="M5" s="86" t="inlineStr">
        <is>
          <t>또박또박, 중저음.</t>
        </is>
      </c>
      <c r="N5" s="86" t="inlineStr">
        <is>
          <t>법조문을 소리 내어 읽어 상황을 설명한다.</t>
        </is>
      </c>
      <c r="O5" s="86" t="inlineStr">
        <is>
          <t>당 대표(8부) → 하원의원·총리 후보(10부) → 총리</t>
        </is>
      </c>
      <c r="P5" s="86" t="inlineStr">
        <is>
          <t>본격</t>
        </is>
      </c>
      <c r="Q5" s="101">
        <f>INDEX(등장비중!$O$5:$O$19,MATCH($D5,등장비중!$A$5:$A$19,0))</f>
        <v/>
      </c>
      <c r="R5" s="101">
        <f>INDEX(등장비중!$Q$5:$Q$19,MATCH($D5,등장비중!$A$5:$A$19,0))</f>
        <v/>
      </c>
      <c r="S5" s="101" t="inlineStr">
        <is>
          <t>P1·P3·E1·N4</t>
        </is>
      </c>
    </row>
    <row r="6" ht="54.75" customHeight="1" s="78">
      <c r="A6" s="101" t="n">
        <v>2</v>
      </c>
      <c r="B6" s="86" t="inlineStr">
        <is>
          <t>주력 4인</t>
        </is>
      </c>
      <c r="C6" s="88" t="inlineStr">
        <is>
          <t>Giulia Romano</t>
        </is>
      </c>
      <c r="D6" s="88" t="inlineStr">
        <is>
          <t>Giulia</t>
        </is>
      </c>
      <c r="E6" s="102" t="n">
        <v>41</v>
      </c>
      <c r="F6" s="101">
        <f>E6+개요!$C$11</f>
        <v/>
      </c>
      <c r="G6" s="103" t="inlineStr">
        <is>
          <t>여</t>
        </is>
      </c>
      <c r="H6" s="86" t="inlineStr">
        <is>
          <t>응급의학과 전문의</t>
        </is>
      </c>
      <c r="I6" s="85" t="inlineStr">
        <is>
          <t>Ospedale San Camillo (가상)</t>
        </is>
      </c>
      <c r="J6" s="86" t="inlineStr">
        <is>
          <t>살리지 못한 환자의 이름을 전부 외우고 있다.</t>
        </is>
      </c>
      <c r="K6" s="86" t="inlineStr">
        <is>
          <t>짧고 명령형, 블랙유머.</t>
        </is>
      </c>
      <c r="L6" s="85" t="inlineStr">
        <is>
          <t>Questa non è una statistica, è una persona.\nPrima, respira.\nHo visto di peggio in un martedì qualsiasi.</t>
        </is>
      </c>
      <c r="M6" s="86" t="inlineStr">
        <is>
          <t>빠른 템포, 짧은 호흡.</t>
        </is>
      </c>
      <c r="N6" s="86" t="inlineStr">
        <is>
          <t>명령형으로 행동을 말하며 진행한다.</t>
        </is>
      </c>
      <c r="O6" s="86" t="inlineStr">
        <is>
          <t>주의회 의원(9부) → 보건부 장관</t>
        </is>
      </c>
      <c r="P6" s="86" t="inlineStr">
        <is>
          <t>본격</t>
        </is>
      </c>
      <c r="Q6" s="101">
        <f>INDEX(등장비중!$O$5:$O$19,MATCH($D6,등장비중!$A$5:$A$19,0))</f>
        <v/>
      </c>
      <c r="R6" s="101">
        <f>INDEX(등장비중!$Q$5:$Q$19,MATCH($D6,등장비중!$A$5:$A$19,0))</f>
        <v/>
      </c>
      <c r="S6" s="101" t="inlineStr">
        <is>
          <t>S3·S4·S2·N8</t>
        </is>
      </c>
    </row>
    <row r="7" ht="42" customHeight="1" s="78">
      <c r="A7" s="101" t="n">
        <v>3</v>
      </c>
      <c r="B7" s="86" t="inlineStr">
        <is>
          <t>주력 4인</t>
        </is>
      </c>
      <c r="C7" s="88" t="inlineStr">
        <is>
          <t>Alessandro Conti</t>
        </is>
      </c>
      <c r="D7" s="88" t="inlineStr">
        <is>
          <t>Alessandro</t>
        </is>
      </c>
      <c r="E7" s="102" t="n">
        <v>37</v>
      </c>
      <c r="F7" s="101">
        <f>E7+개요!$C$11</f>
        <v/>
      </c>
      <c r="G7" s="103" t="inlineStr">
        <is>
          <t>남</t>
        </is>
      </c>
      <c r="H7" s="86" t="inlineStr">
        <is>
          <t>공인회계사 (감사)</t>
        </is>
      </c>
      <c r="I7" s="85" t="inlineStr">
        <is>
          <t>Conti Revisori (전 시니어 파트너)</t>
        </is>
      </c>
      <c r="J7" s="86" t="inlineStr">
        <is>
          <t>부정을 발견하고도 서명했던 기억.</t>
        </is>
      </c>
      <c r="K7" s="86" t="inlineStr">
        <is>
          <t>건조하고 정확, 비꼬는 유머.</t>
        </is>
      </c>
      <c r="L7" s="85" t="inlineStr">
        <is>
          <t>Fammi vedere le carte.\nQuesto non torna.\nMostrami i numeri e ti dirò chi sei.</t>
        </is>
      </c>
      <c r="M7" s="86" t="inlineStr">
        <is>
          <t>일정한 속도, 결론에서 톤을 낮춘다.</t>
        </is>
      </c>
      <c r="N7" s="86" t="inlineStr">
        <is>
          <t>숫자를 소리 내어 읽는다.</t>
        </is>
      </c>
      <c r="O7" s="86" t="inlineStr">
        <is>
          <t>시의원(9부) → 경제재정부 장관</t>
        </is>
      </c>
      <c r="P7" s="86" t="inlineStr">
        <is>
          <t>본격</t>
        </is>
      </c>
      <c r="Q7" s="101">
        <f>INDEX(등장비중!$O$5:$O$19,MATCH($D7,등장비중!$A$5:$A$19,0))</f>
        <v/>
      </c>
      <c r="R7" s="101">
        <f>INDEX(등장비중!$Q$5:$Q$19,MATCH($D7,등장비중!$A$5:$A$19,0))</f>
        <v/>
      </c>
      <c r="S7" s="101" t="inlineStr">
        <is>
          <t>E3·E1·N2</t>
        </is>
      </c>
    </row>
    <row r="8" ht="67.5" customHeight="1" s="78">
      <c r="A8" s="101" t="n">
        <v>4</v>
      </c>
      <c r="B8" s="86" t="inlineStr">
        <is>
          <t>주력 4인</t>
        </is>
      </c>
      <c r="C8" s="88" t="inlineStr">
        <is>
          <t>Chiara Bianchi</t>
        </is>
      </c>
      <c r="D8" s="88" t="inlineStr">
        <is>
          <t>Chiara</t>
        </is>
      </c>
      <c r="E8" s="102" t="n">
        <v>36</v>
      </c>
      <c r="F8" s="101">
        <f>E8+개요!$C$11</f>
        <v/>
      </c>
      <c r="G8" s="103" t="inlineStr">
        <is>
          <t>여</t>
        </is>
      </c>
      <c r="H8" s="86" t="inlineStr">
        <is>
          <t>전략 컨설턴트</t>
        </is>
      </c>
      <c r="I8" s="85" t="inlineStr">
        <is>
          <t>Zenit Consulting (전 소속)</t>
        </is>
      </c>
      <c r="J8" s="86" t="inlineStr">
        <is>
          <t>구조조정 표 한 칸이 수백 명의 해고였음을 뒤늦게 안다.</t>
        </is>
      </c>
      <c r="K8" s="86" t="inlineStr">
        <is>
          <t>영어식 경영 용어가 섞인 빠른 말투, 후반 쉬운 말로 성장.</t>
        </is>
      </c>
      <c r="L8" s="85" t="inlineStr">
        <is>
          <t>Mettiamolo in una matrice.\n(후반) Ok, senza slide: cosa ti serve davvero?</t>
        </is>
      </c>
      <c r="M8" s="86" t="inlineStr">
        <is>
          <t>초반 숨 가쁜 톤, 후반 솔직한 톤.</t>
        </is>
      </c>
      <c r="N8" s="86" t="inlineStr">
        <is>
          <t>프레젠테이션식 브리핑.</t>
        </is>
      </c>
      <c r="O8" s="86" t="inlineStr">
        <is>
          <t>캠프 참모(8~10부) → 총리실 실장</t>
        </is>
      </c>
      <c r="P8" s="86" t="inlineStr">
        <is>
          <t>본격</t>
        </is>
      </c>
      <c r="Q8" s="101">
        <f>INDEX(등장비중!$O$5:$O$19,MATCH($D8,등장비중!$A$5:$A$19,0))</f>
        <v/>
      </c>
      <c r="R8" s="101">
        <f>INDEX(등장비중!$Q$5:$Q$19,MATCH($D8,등장비중!$A$5:$A$19,0))</f>
        <v/>
      </c>
      <c r="S8" s="101" t="inlineStr">
        <is>
          <t>P1·E2·S1</t>
        </is>
      </c>
    </row>
    <row r="9" ht="170.25" customHeight="1" s="78">
      <c r="A9" s="101" t="n">
        <v>5</v>
      </c>
      <c r="B9" s="86" t="inlineStr">
        <is>
          <t>부활 7인</t>
        </is>
      </c>
      <c r="C9" s="88" t="inlineStr">
        <is>
          <t>Gaio Giulio Cesare</t>
        </is>
      </c>
      <c r="D9" s="88" t="inlineStr">
        <is>
          <t>Cesare</t>
        </is>
      </c>
      <c r="E9" s="102" t="n">
        <v>55</v>
      </c>
      <c r="F9" s="101">
        <f>E9+개요!$C$11</f>
        <v/>
      </c>
      <c r="G9" s="103" t="inlineStr">
        <is>
          <t>남</t>
        </is>
      </c>
      <c r="H9" s="86" t="inlineStr">
        <is>
          <t>부활한 정치가·장군 (기원전 100–44)</t>
        </is>
      </c>
      <c r="I9" s="86" t="inlineStr">
        <is>
          <t>로마 공화정 종신독재관</t>
        </is>
      </c>
      <c r="J9" s="86" t="inlineStr">
        <is>
          <t>자신이 암살당하던 순간의 배신을 잊지 못하며, 누구든 너무 가까이 다가오면 본능적으로 경계한다.</t>
        </is>
      </c>
      <c r="K9" s="86" t="inlineStr">
        <is>
          <t>위엄 있고 명령조, 3인칭으로 자기 자신을 지칭하는 버릇이 있다 (『갈리아 전기』식 문체).</t>
        </is>
      </c>
      <c r="L9" s="85" t="inlineStr">
        <is>
          <t>Cesare è venuto, ha visto, ha vinto — questa riunione durerà di meno, spero.\n(현대 용어 오해) Un „server“? Cesare capisce: un servo che non dorme mai. Molto romano.\n„Firewall“? Ai miei tempi si chiamava assedio.</t>
        </is>
      </c>
      <c r="M9" s="86" t="inlineStr">
        <is>
          <t>느리고 육중한 리듬, 문장 끝에서 상대를 지그시 본다.</t>
        </is>
      </c>
      <c r="N9" s="85" t="inlineStr">
        <is>
          <t>'내가 갈리아에 있을 때는…' 식 회상으로 현재를 평가한다.</t>
        </is>
      </c>
      <c r="O9" s="86" t="inlineStr">
        <is>
          <t>외교·안보 자문 (11부 12화, 브뤼셀 협상 직후 두 번째 죽음)</t>
        </is>
      </c>
      <c r="P9" s="86" t="inlineStr">
        <is>
          <t>준본격 (겨울 복선)</t>
        </is>
      </c>
      <c r="Q9" s="101">
        <f>INDEX(등장비중!$O$5:$O$19,MATCH($D9,등장비중!$A$5:$A$19,0))</f>
        <v/>
      </c>
      <c r="R9" s="101">
        <f>INDEX(등장비중!$Q$5:$Q$19,MATCH($D9,등장비중!$A$5:$A$19,0))</f>
        <v/>
      </c>
      <c r="S9" s="101" t="inlineStr">
        <is>
          <t>N3·E3</t>
        </is>
      </c>
    </row>
    <row r="10" ht="54.75" customHeight="1" s="78">
      <c r="A10" s="101" t="n">
        <v>6</v>
      </c>
      <c r="B10" s="86" t="inlineStr">
        <is>
          <t>부활 7인</t>
        </is>
      </c>
      <c r="C10" s="88" t="inlineStr">
        <is>
          <t>Niccolò Machiavelli</t>
        </is>
      </c>
      <c r="D10" s="88" t="inlineStr">
        <is>
          <t>Machiavelli</t>
        </is>
      </c>
      <c r="E10" s="102" t="n">
        <v>58</v>
      </c>
      <c r="F10" s="101">
        <f>E10+개요!$C$11</f>
        <v/>
      </c>
      <c r="G10" s="103" t="inlineStr">
        <is>
          <t>남</t>
        </is>
      </c>
      <c r="H10" s="86" t="inlineStr">
        <is>
          <t>부활한 정치사상가 (1469–1527)</t>
        </is>
      </c>
      <c r="I10" s="86" t="inlineStr">
        <is>
          <t>피렌체 공화국 서기관, 『군주론』 저자</t>
        </is>
      </c>
      <c r="J10" s="86" t="inlineStr">
        <is>
          <t>자신의 이름이 '마키아벨리즘'이라는 욕설로 남은 것에 대한 억울함을 냉소로 눌러 담는다.</t>
        </is>
      </c>
      <c r="K10" s="86" t="inlineStr">
        <is>
          <t>건조하고 분석적, 이상과 현실을 항상 구분해서 말한다.</t>
        </is>
      </c>
      <c r="L10" s="85" t="inlineStr">
        <is>
          <t>(고전 인용) È meglio essere temuti che amati, se non si può essere entrambe le cose.\n(현대 용어 재해석) „Personal branding“? Un nome elegante per: il Principe che si vende da solo.</t>
        </is>
      </c>
      <c r="M10" s="86" t="inlineStr">
        <is>
          <t>낮고 냉정한 톤.</t>
        </is>
      </c>
      <c r="N10" s="86" t="inlineStr">
        <is>
          <t>상황을 '이상 vs 현실' 두 갈래로 나눠 분석해 설명한다.</t>
        </is>
      </c>
      <c r="O10" s="86" t="inlineStr">
        <is>
          <t>정치 전략 자문</t>
        </is>
      </c>
      <c r="P10" s="86" t="inlineStr">
        <is>
          <t>카메오</t>
        </is>
      </c>
      <c r="Q10" s="101">
        <f>INDEX(등장비중!$O$5:$O$19,MATCH($D10,등장비중!$A$5:$A$19,0))</f>
        <v/>
      </c>
      <c r="R10" s="101">
        <f>INDEX(등장비중!$Q$5:$Q$19,MATCH($D10,등장비중!$A$5:$A$19,0))</f>
        <v/>
      </c>
      <c r="S10" s="101" t="inlineStr">
        <is>
          <t>P1·P2</t>
        </is>
      </c>
    </row>
    <row r="11" ht="132" customHeight="1" s="78">
      <c r="A11" s="101" t="n">
        <v>7</v>
      </c>
      <c r="B11" s="86" t="inlineStr">
        <is>
          <t>부활 7인</t>
        </is>
      </c>
      <c r="C11" s="88" t="inlineStr">
        <is>
          <t>Giuseppe Garibaldi</t>
        </is>
      </c>
      <c r="D11" s="88" t="inlineStr">
        <is>
          <t>Garibaldi</t>
        </is>
      </c>
      <c r="E11" s="102" t="n">
        <v>74</v>
      </c>
      <c r="F11" s="101">
        <f>E11+개요!$C$11</f>
        <v/>
      </c>
      <c r="G11" s="103" t="inlineStr">
        <is>
          <t>남</t>
        </is>
      </c>
      <c r="H11" s="86" t="inlineStr">
        <is>
          <t>부활한 통일운동가 (1807–1882)</t>
        </is>
      </c>
      <c r="I11" s="86" t="inlineStr">
        <is>
          <t>이탈리아 통일전쟁 의용군 지휘관</t>
        </is>
      </c>
      <c r="J11" s="86" t="inlineStr">
        <is>
          <t>통일시킨 나라가 다시 갈라지는 걸 보는 게 가장 두렵다 — 지역 갈등 이야기만 나오면 정색한다.</t>
        </is>
      </c>
      <c r="K11" s="86" t="inlineStr">
        <is>
          <t>열정적이고 직설, 행동가 화법. 회의보다 거리로 나가고 싶어 한다.</t>
        </is>
      </c>
      <c r="L11" s="85" t="inlineStr">
        <is>
          <t>Obbedisco — ma solo quando ha senso.\n(현대 용어 오해) „Trending“? Vuol dire che il popolo si muove. Verso dove, andiamo a vedere.</t>
        </is>
      </c>
      <c r="M11" s="86" t="inlineStr">
        <is>
          <t>빠르고 격정적.</t>
        </is>
      </c>
      <c r="N11" s="86" t="inlineStr">
        <is>
          <t>집회 연설조로 대중의 분위기를 전달한다.</t>
        </is>
      </c>
      <c r="O11" s="86" t="inlineStr">
        <is>
          <t>정당 창당 전략가(8부) → 지역통합 담당 장관</t>
        </is>
      </c>
      <c r="P11" s="86" t="inlineStr">
        <is>
          <t>카메오</t>
        </is>
      </c>
      <c r="Q11" s="101">
        <f>INDEX(등장비중!$O$5:$O$19,MATCH($D11,등장비중!$A$5:$A$19,0))</f>
        <v/>
      </c>
      <c r="R11" s="101">
        <f>INDEX(등장비중!$Q$5:$Q$19,MATCH($D11,등장비중!$A$5:$A$19,0))</f>
        <v/>
      </c>
      <c r="S11" s="101" t="inlineStr">
        <is>
          <t>P2·S3·N1·N5</t>
        </is>
      </c>
    </row>
    <row r="12" ht="42" customHeight="1" s="78">
      <c r="A12" s="101" t="n">
        <v>8</v>
      </c>
      <c r="B12" s="86" t="inlineStr">
        <is>
          <t>부활 7인</t>
        </is>
      </c>
      <c r="C12" s="88" t="inlineStr">
        <is>
          <t>Dante Alighieri</t>
        </is>
      </c>
      <c r="D12" s="88" t="inlineStr">
        <is>
          <t>Dante</t>
        </is>
      </c>
      <c r="E12" s="102" t="n">
        <v>56</v>
      </c>
      <c r="F12" s="101">
        <f>E12+개요!$C$11</f>
        <v/>
      </c>
      <c r="G12" s="103" t="inlineStr">
        <is>
          <t>남</t>
        </is>
      </c>
      <c r="H12" s="86" t="inlineStr">
        <is>
          <t>부활한 시인 (1265–1321)</t>
        </is>
      </c>
      <c r="I12" s="86" t="inlineStr">
        <is>
          <t>피렌체 추방자, 『신곡』 저자</t>
        </is>
      </c>
      <c r="J12" s="86" t="inlineStr">
        <is>
          <t>평생 고향에서 추방된 채 죽었다 — 지금도 '고향'이라는 말에 예민하게 반응한다.</t>
        </is>
      </c>
      <c r="K12" s="86" t="inlineStr">
        <is>
          <t>장엄하고 상징적인 문어체, 인물마다 지옥·연옥·천국의 어느 층에 어울리는지 비유한다(개그).</t>
        </is>
      </c>
      <c r="L12" s="85" t="inlineStr">
        <is>
          <t>(현대 용어 오해) Un „influencer“? Suona come un nuovo venditore di indulgenze — li ho già messi in un girone apposito.\n„Podcast“? Una predica senza chiesa.</t>
        </is>
      </c>
      <c r="M12" s="86" t="inlineStr">
        <is>
          <t>느리고 낭송하듯.</t>
        </is>
      </c>
      <c r="N12" s="86" t="inlineStr">
        <is>
          <t>상대의 행동을 단테식 지옥/연옥 비유로 풍자해 설명한다.</t>
        </is>
      </c>
      <c r="O12" s="86" t="inlineStr">
        <is>
          <t>메시지·공보 자문</t>
        </is>
      </c>
      <c r="P12" s="86" t="inlineStr">
        <is>
          <t>카메오</t>
        </is>
      </c>
      <c r="Q12" s="101">
        <f>INDEX(등장비중!$O$5:$O$19,MATCH($D12,등장비중!$A$5:$A$19,0))</f>
        <v/>
      </c>
      <c r="R12" s="101">
        <f>INDEX(등장비중!$Q$5:$Q$19,MATCH($D12,등장비중!$A$5:$A$19,0))</f>
        <v/>
      </c>
      <c r="S12" s="101" t="inlineStr">
        <is>
          <t>N3·N6·N5</t>
        </is>
      </c>
    </row>
    <row r="13" ht="42" customHeight="1" s="78">
      <c r="A13" s="101" t="n">
        <v>9</v>
      </c>
      <c r="B13" s="86" t="inlineStr">
        <is>
          <t>부활 7인</t>
        </is>
      </c>
      <c r="C13" s="88" t="inlineStr">
        <is>
          <t>Antonio Gramsci</t>
        </is>
      </c>
      <c r="D13" s="88" t="inlineStr">
        <is>
          <t>Gramsci</t>
        </is>
      </c>
      <c r="E13" s="102" t="n">
        <v>46</v>
      </c>
      <c r="F13" s="101">
        <f>E13+개요!$C$11</f>
        <v/>
      </c>
      <c r="G13" s="103" t="inlineStr">
        <is>
          <t>남</t>
        </is>
      </c>
      <c r="H13" s="86" t="inlineStr">
        <is>
          <t>부활한 사상가 (1891–1937)</t>
        </is>
      </c>
      <c r="I13" s="86" t="inlineStr">
        <is>
          <t>이탈리아 공산당 창립자, 파시스트 정권 옥사</t>
        </is>
      </c>
      <c r="J13" s="86" t="inlineStr">
        <is>
          <t>감옥에서 쓴 노트가 자신이 세상을 못 보고 죽은 채 유일하게 남긴 목소리였다는 걸 안다 — 말 한마디의 무게에 집착한다.</t>
        </is>
      </c>
      <c r="K13" s="86" t="inlineStr">
        <is>
          <t>낮고 신중, 권력의 문화적 지배(헤게모니) 개념으로 모든 걸 분석한다.</t>
        </is>
      </c>
      <c r="L13" s="85" t="inlineStr">
        <is>
          <t>(현대 용어 재해석) „Storytelling aziendale“? Un nome nuovo per l'egemonia culturale — io l'avevo già capito in cella.\nLa crisi consiste appunto nel fatto che il vecchio muore e il nuovo non può nascere.</t>
        </is>
      </c>
      <c r="M13" s="86" t="inlineStr">
        <is>
          <t>느리고 낮은 톤, 침묵이 길다.</t>
        </is>
      </c>
      <c r="N13" s="86" t="inlineStr">
        <is>
          <t>현상을 '누가 문화적 헤게모니를 쥐고 있는가'로 재해석해 설명한다.</t>
        </is>
      </c>
      <c r="O13" s="86" t="inlineStr">
        <is>
          <t>출처·기록 담당(카드) → 사회·문화 정책 자문, 스파이웨어 조사 자문(12부)</t>
        </is>
      </c>
      <c r="P13" s="86" t="inlineStr">
        <is>
          <t>카메오 (고서점·아카이브 단골)</t>
        </is>
      </c>
      <c r="Q13" s="101">
        <f>INDEX(등장비중!$O$5:$O$19,MATCH($D13,등장비중!$A$5:$A$19,0))</f>
        <v/>
      </c>
      <c r="R13" s="101">
        <f>INDEX(등장비중!$Q$5:$Q$19,MATCH($D13,등장비중!$A$5:$A$19,0))</f>
        <v/>
      </c>
      <c r="S13" s="101" t="inlineStr">
        <is>
          <t>P3·N7·N2</t>
        </is>
      </c>
    </row>
    <row r="14" ht="93" customHeight="1" s="78">
      <c r="A14" s="101" t="n">
        <v>10</v>
      </c>
      <c r="B14" s="86" t="inlineStr">
        <is>
          <t>부활 7인</t>
        </is>
      </c>
      <c r="C14" s="88" t="inlineStr">
        <is>
          <t>Galileo Galilei</t>
        </is>
      </c>
      <c r="D14" s="88" t="inlineStr">
        <is>
          <t>Galileo</t>
        </is>
      </c>
      <c r="E14" s="102" t="n">
        <v>77</v>
      </c>
      <c r="F14" s="101">
        <f>E14+개요!$C$11</f>
        <v/>
      </c>
      <c r="G14" s="103" t="inlineStr">
        <is>
          <t>남</t>
        </is>
      </c>
      <c r="H14" s="86" t="inlineStr">
        <is>
          <t>부활한 과학자 (1564–1642)</t>
        </is>
      </c>
      <c r="I14" s="86" t="inlineStr">
        <is>
          <t>종교재판에 회부됐던 천문학자</t>
        </is>
      </c>
      <c r="J14" s="86" t="inlineStr">
        <is>
          <t>한때 자기 눈으로 본 진실을 부정해야 목숨을 부지할 수 있었던 기억 — 지금도 침묵을 강요받으면 몸이 굳는다.</t>
        </is>
      </c>
      <c r="K14" s="86" t="inlineStr">
        <is>
          <t>차분하고 실증적, '그래도 그것은 돈다(Eppur si muove)'는 태도로 조용히 밀어붙인다.</t>
        </is>
      </c>
      <c r="L14" s="85" t="inlineStr">
        <is>
          <t>(현대 용어 오해) „Wi-Fi“? Onde invisibili — finalmente qualcuno mi crede senza processo.\nEppur si muove — anche questa riunione, se insistiamo.</t>
        </is>
      </c>
      <c r="M14" s="86" t="inlineStr">
        <is>
          <t>느리고 담담한 톤.</t>
        </is>
      </c>
      <c r="N14" s="86" t="inlineStr">
        <is>
          <t>관찰과 증거로 상황을 설명한다 — 의견이 아니라 데이터로 말한다.</t>
        </is>
      </c>
      <c r="O14" s="86" t="inlineStr">
        <is>
          <t>사무소 공론화·검증 담당 → 정부 대변인(11부~)</t>
        </is>
      </c>
      <c r="P14" s="86" t="inlineStr">
        <is>
          <t>카메오</t>
        </is>
      </c>
      <c r="Q14" s="101">
        <f>INDEX(등장비중!$O$5:$O$19,MATCH($D14,등장비중!$A$5:$A$19,0))</f>
        <v/>
      </c>
      <c r="R14" s="101">
        <f>INDEX(등장비중!$Q$5:$Q$19,MATCH($D14,등장비중!$A$5:$A$19,0))</f>
        <v/>
      </c>
      <c r="S14" s="101" t="inlineStr">
        <is>
          <t>P3·N7·N4</t>
        </is>
      </c>
    </row>
    <row r="15" ht="42" customHeight="1" s="78">
      <c r="A15" s="101" t="n">
        <v>11</v>
      </c>
      <c r="B15" s="86" t="inlineStr">
        <is>
          <t>서민·청년</t>
        </is>
      </c>
      <c r="C15" s="88" t="inlineStr">
        <is>
          <t>Rosa Esposito</t>
        </is>
      </c>
      <c r="D15" s="88" t="inlineStr">
        <is>
          <t>Rosa</t>
        </is>
      </c>
      <c r="E15" s="102" t="n">
        <v>63</v>
      </c>
      <c r="F15" s="101">
        <f>E15+개요!$C$11</f>
        <v/>
      </c>
      <c r="G15" s="103" t="inlineStr">
        <is>
          <t>여</t>
        </is>
      </c>
      <c r="H15" s="86" t="inlineStr">
        <is>
          <t>트라토리아 사장 (Trattoria da Rosa, 30년 운영)</t>
        </is>
      </c>
      <c r="I15" s="104" t="inlineStr">
        <is>
          <t>Trattoria da Rosa, Testaccio → 사무소 1층으로 이전</t>
        </is>
      </c>
      <c r="J15" s="86" t="inlineStr">
        <is>
          <t>임대료 폭등으로 가게를 잃었다.</t>
        </is>
      </c>
      <c r="K15" s="86" t="inlineStr">
        <is>
          <t>로마 토박이 구어체, 누구에게나 tu, 'amore/tesoro'.</t>
        </is>
      </c>
      <c r="L15" s="85" t="inlineStr">
        <is>
          <t>Sedetevi, che vi porto qualcosa.\nA stomaco vuoto non si pensa bene.\nOffre la casa.</t>
        </is>
      </c>
      <c r="M15" s="86" t="inlineStr">
        <is>
          <t>따뜻하고 넉넉한 톤.</t>
        </is>
      </c>
      <c r="N15" s="86" t="inlineStr">
        <is>
          <t>시간·장소·식사를 말로 알린다.</t>
        </is>
      </c>
      <c r="O15" s="86" t="inlineStr">
        <is>
          <t>소상공인 정책 자문 (비공식)</t>
        </is>
      </c>
      <c r="P15" s="86" t="inlineStr">
        <is>
          <t>본격</t>
        </is>
      </c>
      <c r="Q15" s="101">
        <f>INDEX(등장비중!$O$5:$O$19,MATCH($D15,등장비중!$A$5:$A$19,0))</f>
        <v/>
      </c>
      <c r="R15" s="101">
        <f>INDEX(등장비중!$Q$5:$Q$19,MATCH($D15,등장비중!$A$5:$A$19,0))</f>
        <v/>
      </c>
      <c r="S15" s="101" t="inlineStr">
        <is>
          <t>E1·S2·E2</t>
        </is>
      </c>
    </row>
    <row r="16" ht="67.5" customHeight="1" s="78">
      <c r="A16" s="101" t="n">
        <v>12</v>
      </c>
      <c r="B16" s="86" t="inlineStr">
        <is>
          <t>서민·청년</t>
        </is>
      </c>
      <c r="C16" s="88" t="inlineStr">
        <is>
          <t>Paolo Greco</t>
        </is>
      </c>
      <c r="D16" s="88" t="inlineStr">
        <is>
          <t>Paolo</t>
        </is>
      </c>
      <c r="E16" s="102" t="n">
        <v>55</v>
      </c>
      <c r="F16" s="101">
        <f>E16+개요!$C$11</f>
        <v/>
      </c>
      <c r="G16" s="103" t="inlineStr">
        <is>
          <t>남</t>
        </is>
      </c>
      <c r="H16" s="86" t="inlineStr">
        <is>
          <t>전 대중교통 노조위원장</t>
        </is>
      </c>
      <c r="I16" s="86" t="inlineStr">
        <is>
          <t>로마 대중교통 노조 (파업 책임으로 해고)</t>
        </is>
      </c>
      <c r="J16" s="86" t="inlineStr">
        <is>
          <t>파업 책임으로 해고되어 블랙리스트에 올랐지만 후회하지 않는다.</t>
        </is>
      </c>
      <c r="K16" s="86" t="inlineStr">
        <is>
          <t>거칠고 직설적, 구호형 문장.</t>
        </is>
      </c>
      <c r="L16" s="85" t="inlineStr">
        <is>
          <t>Qui non si arrende nessuno!\nQuesto si risolve in strada.\nNon mi rompere.</t>
        </is>
      </c>
      <c r="M16" s="86" t="inlineStr">
        <is>
          <t>큰 볼륨, 강한 억양.</t>
        </is>
      </c>
      <c r="N16" s="86" t="inlineStr">
        <is>
          <t>구호와 함성으로 현장 분위기를 전달한다.</t>
        </is>
      </c>
      <c r="O16" s="86" t="inlineStr">
        <is>
          <t>사회적 대화 자문</t>
        </is>
      </c>
      <c r="P16" s="86" t="inlineStr">
        <is>
          <t>카메오</t>
        </is>
      </c>
      <c r="Q16" s="101">
        <f>INDEX(등장비중!$O$5:$O$19,MATCH($D16,등장비중!$A$5:$A$19,0))</f>
        <v/>
      </c>
      <c r="R16" s="101">
        <f>INDEX(등장비중!$Q$5:$Q$19,MATCH($D16,등장비중!$A$5:$A$19,0))</f>
        <v/>
      </c>
      <c r="S16" s="101" t="inlineStr">
        <is>
          <t>S1·N6·P1</t>
        </is>
      </c>
    </row>
    <row r="17" ht="67.5" customHeight="1" s="78">
      <c r="A17" s="101" t="n">
        <v>13</v>
      </c>
      <c r="B17" s="86" t="inlineStr">
        <is>
          <t>서민·청년</t>
        </is>
      </c>
      <c r="C17" s="88" t="inlineStr">
        <is>
          <t>Sofia Marino</t>
        </is>
      </c>
      <c r="D17" s="88" t="inlineStr">
        <is>
          <t>Sofia M.</t>
        </is>
      </c>
      <c r="E17" s="102" t="n">
        <v>23</v>
      </c>
      <c r="F17" s="101">
        <f>E17+개요!$C$11</f>
        <v/>
      </c>
      <c r="G17" s="103" t="inlineStr">
        <is>
          <t>여</t>
        </is>
      </c>
      <c r="H17" s="86" t="inlineStr">
        <is>
          <t>신입 인턴 (독자의 대리인)</t>
        </is>
      </c>
      <c r="I17" s="86" t="inlineStr">
        <is>
          <t>대기업 인턴 출신 (부당 해고)</t>
        </is>
      </c>
      <c r="J17" s="86" t="inlineStr">
        <is>
          <t>대기업 인턴에서 부당하게 쫓겨났고 월세가 밀려 있다.</t>
        </is>
      </c>
      <c r="K17" s="85" t="inlineStr">
        <is>
          <t>Z세대 구어체 (tipo, boh, spacca). 어른들에겐 Lei, 성장하며 tu로 넘어간다.</t>
        </is>
      </c>
      <c r="L17" s="85" t="inlineStr">
        <is>
          <t>Scusi, cosa significa?\nMe lo spiega come se avessi cinque anni?\nBASTA! Non capisco niente! (폭발 — 1부·9부)</t>
        </is>
      </c>
      <c r="M17" s="86" t="inlineStr">
        <is>
          <t>빠르고 밝은 톤.</t>
        </is>
      </c>
      <c r="N17" s="86" t="inlineStr">
        <is>
          <t>질문으로 용어와 배경을 끌어낸다.</t>
        </is>
      </c>
      <c r="O17" s="86" t="inlineStr">
        <is>
          <t>시의원 보좌(9부) → 청년정책 자문관</t>
        </is>
      </c>
      <c r="P17" s="86" t="inlineStr">
        <is>
          <t>본격</t>
        </is>
      </c>
      <c r="Q17" s="101">
        <f>INDEX(등장비중!$O$5:$O$19,MATCH($D17,등장비중!$A$5:$A$19,0))</f>
        <v/>
      </c>
      <c r="R17" s="101">
        <f>INDEX(등장비중!$Q$5:$Q$19,MATCH($D17,등장비중!$A$5:$A$19,0))</f>
        <v/>
      </c>
      <c r="S17" s="101" t="inlineStr">
        <is>
          <t>S1·N8·S2</t>
        </is>
      </c>
    </row>
    <row r="18" ht="42" customHeight="1" s="78">
      <c r="A18" s="101" t="n">
        <v>14</v>
      </c>
      <c r="B18" s="86" t="inlineStr">
        <is>
          <t>금융</t>
        </is>
      </c>
      <c r="C18" s="88" t="inlineStr">
        <is>
          <t>Francesco Rizzo</t>
        </is>
      </c>
      <c r="D18" s="88" t="inlineStr">
        <is>
          <t>Francesco</t>
        </is>
      </c>
      <c r="E18" s="102" t="n">
        <v>58</v>
      </c>
      <c r="F18" s="101">
        <f>E18+개요!$C$11</f>
        <v/>
      </c>
      <c r="G18" s="103" t="inlineStr">
        <is>
          <t>남</t>
        </is>
      </c>
      <c r="H18" s="86" t="inlineStr">
        <is>
          <t>전 은행 지점장</t>
        </is>
      </c>
      <c r="I18" s="85" t="inlineStr">
        <is>
          <t>Banca Adriatica (25년 근속)</t>
        </is>
      </c>
      <c r="J18" s="86" t="inlineStr">
        <is>
          <t>불법 대출 공모를 내부 고발하다 해고되었다.</t>
        </is>
      </c>
      <c r="K18" s="86" t="inlineStr">
        <is>
          <t>정중하고 조심스러운 은행원식 완곡어법.</t>
        </is>
      </c>
      <c r="L18" s="85" t="inlineStr">
        <is>
          <t>Segui il denaro.\nIl denaro lascia sempre una traccia.\nQuando dirigevo la filiale…</t>
        </is>
      </c>
      <c r="M18" s="86" t="inlineStr">
        <is>
          <t>차분하고 신중하게.</t>
        </is>
      </c>
      <c r="N18" s="86" t="inlineStr">
        <is>
          <t>돈의 경로를 «Da A a B…»식으로 그려준다.</t>
        </is>
      </c>
      <c r="O18" s="86" t="inlineStr">
        <is>
          <t>금융 개혁 자문</t>
        </is>
      </c>
      <c r="P18" s="86" t="inlineStr">
        <is>
          <t>카메오 (의뢰인)</t>
        </is>
      </c>
      <c r="Q18" s="101">
        <f>INDEX(등장비중!$O$5:$O$19,MATCH($D18,등장비중!$A$5:$A$19,0))</f>
        <v/>
      </c>
      <c r="R18" s="101">
        <f>INDEX(등장비중!$Q$5:$Q$19,MATCH($D18,등장비중!$A$5:$A$19,0))</f>
        <v/>
      </c>
      <c r="S18" s="101" t="inlineStr">
        <is>
          <t>E3·N2·E1</t>
        </is>
      </c>
    </row>
    <row r="19" ht="16.5" customHeight="1" s="78">
      <c r="A19" s="77" t="n">
        <v>15</v>
      </c>
      <c r="B19" s="105" t="inlineStr">
        <is>
          <t>부활 7인</t>
        </is>
      </c>
      <c r="C19" s="77" t="inlineStr">
        <is>
          <t>Maria Montessori</t>
        </is>
      </c>
      <c r="D19" s="77" t="inlineStr">
        <is>
          <t>Montessori</t>
        </is>
      </c>
      <c r="E19" s="77" t="n">
        <v>81</v>
      </c>
      <c r="F19" s="77">
        <f>E19+개요!$C$11</f>
        <v/>
      </c>
      <c r="G19" s="105" t="inlineStr">
        <is>
          <t>여</t>
        </is>
      </c>
      <c r="H19" s="105" t="inlineStr">
        <is>
          <t>부활한 교육학자·의사 (1870–1952)</t>
        </is>
      </c>
      <c r="I19" s="105" t="inlineStr">
        <is>
          <t>몬테소리 교육법 창시자, 이탈리아 최초 여성 의사 중 한 명</t>
        </is>
      </c>
      <c r="J19" s="105" t="inlineStr">
        <is>
          <t>자신의 교육법이 세계로 퍼졌지만 정작 자국 파시스트 정권에는 탄압받았던 기억이 있다.</t>
        </is>
      </c>
      <c r="K19" s="105" t="inlineStr">
        <is>
          <t>차분하고 관찰적, 아이 대하듯 사람을 존중하며 말하지만 할 말은 다 한다.</t>
        </is>
      </c>
      <c r="L19" s="77" t="inlineStr">
        <is>
          <t>Aiutami a fare da solo.\n(현대 용어 오해) „App“? Uno strumento — ma lo strumento non deve mai sostituire la mano che impara.</t>
        </is>
      </c>
      <c r="M19" s="105" t="inlineStr">
        <is>
          <t>부드럽고 낮은 톤.</t>
        </is>
      </c>
      <c r="N19" s="105" t="inlineStr">
        <is>
          <t>상대의 말을 관찰하듯 되짚어 정리해 준다.</t>
        </is>
      </c>
      <c r="O19" s="105" t="inlineStr">
        <is>
          <t>사무소 상담 담당 → 교육·청년 정신건강 정책 자문</t>
        </is>
      </c>
      <c r="P19" s="105" t="inlineStr">
        <is>
          <t>카메오</t>
        </is>
      </c>
      <c r="Q19" s="77">
        <f>INDEX(등장비중!$O$5:$O$19,MATCH($D19,등장비중!$A$5:$A$19,0))</f>
        <v/>
      </c>
      <c r="R19" s="77">
        <f>INDEX(등장비중!$Q$5:$Q$19,MATCH($D19,등장비중!$A$5:$A$19,0))</f>
        <v/>
      </c>
      <c r="S19" s="77" t="inlineStr">
        <is>
          <t>N8·N4·S2</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tabColor rgb="FF2F5597"/>
    <outlinePr summaryBelow="1" summaryRight="1"/>
    <pageSetUpPr fitToPage="1"/>
  </sheetPr>
  <dimension ref="A1:S39"/>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24" customWidth="1" style="77" min="1" max="1"/>
    <col width="9" customWidth="1" style="77" min="2" max="14"/>
    <col width="8" customWidth="1" style="77" min="15" max="16"/>
    <col width="11" customWidth="1" style="77" min="17" max="17"/>
    <col width="9" customWidth="1" style="77" min="18" max="18"/>
    <col width="12" customWidth="1" style="77" min="19" max="19"/>
  </cols>
  <sheetData>
    <row r="1" ht="24" customHeight="1" s="78">
      <c r="A1" s="98" t="inlineStr">
        <is>
          <t>인물별 등장 비중 (부별 등장 화 수)</t>
        </is>
      </c>
    </row>
    <row r="2" ht="15" customHeight="1" s="78">
      <c r="A2" s="97" t="inlineStr">
        <is>
          <t>등장 화 = 대사가 있는 화 수 (기획용 초안). 파란 숫자는 직접 입력값이며 수정하면 합계·비중·등급이 자동 갱신됩니다.</t>
        </is>
      </c>
    </row>
    <row r="4" ht="43.5" customHeight="1" s="78">
      <c r="A4" s="100" t="inlineStr">
        <is>
          <t>인물 (약칭)</t>
        </is>
      </c>
      <c r="B4" s="99" t="inlineStr">
        <is>
          <t>1부
사무소</t>
        </is>
      </c>
      <c r="C4" s="99" t="inlineStr">
        <is>
          <t>2부
Marco</t>
        </is>
      </c>
      <c r="D4" s="99" t="inlineStr">
        <is>
          <t>3부
Giulia</t>
        </is>
      </c>
      <c r="E4" s="99" t="inlineStr">
        <is>
          <t>4부
Alessandro</t>
        </is>
      </c>
      <c r="F4" s="99" t="inlineStr">
        <is>
          <t>5부
Chiara</t>
        </is>
      </c>
      <c r="G4" s="99" t="inlineStr">
        <is>
          <t>6부
만남</t>
        </is>
      </c>
      <c r="H4" s="99" t="inlineStr">
        <is>
          <t>7부
전면전</t>
        </is>
      </c>
      <c r="I4" s="99" t="inlineStr">
        <is>
          <t>8부
창당</t>
        </is>
      </c>
      <c r="J4" s="99" t="inlineStr">
        <is>
          <t>9부
시·주 의회</t>
        </is>
      </c>
      <c r="K4" s="99" t="inlineStr">
        <is>
          <t>10부
총선·총리</t>
        </is>
      </c>
      <c r="L4" s="99" t="inlineStr">
        <is>
          <t>11부
국정 I</t>
        </is>
      </c>
      <c r="M4" s="99" t="inlineStr">
        <is>
          <t>12부
국정 II</t>
        </is>
      </c>
      <c r="N4" s="99" t="inlineStr">
        <is>
          <t>13부
귀환</t>
        </is>
      </c>
      <c r="O4" s="100" t="inlineStr">
        <is>
          <t>합계</t>
        </is>
      </c>
      <c r="P4" s="100" t="inlineStr">
        <is>
          <t>비중</t>
        </is>
      </c>
      <c r="Q4" s="100" t="inlineStr">
        <is>
          <t>등급</t>
        </is>
      </c>
      <c r="R4" s="100" t="inlineStr">
        <is>
          <t>검증
(≤부당 화 수)</t>
        </is>
      </c>
      <c r="S4" s="100" t="inlineStr">
        <is>
          <t>단독 중심 화
목표 (조연)</t>
        </is>
      </c>
    </row>
    <row r="5" ht="15" customHeight="1" s="78">
      <c r="A5" s="106" t="inlineStr">
        <is>
          <t>Marco</t>
        </is>
      </c>
      <c r="B5" s="107" t="n">
        <v>7</v>
      </c>
      <c r="C5" s="107" t="n">
        <v>12</v>
      </c>
      <c r="D5" s="107" t="n">
        <v>3</v>
      </c>
      <c r="E5" s="107" t="n">
        <v>3</v>
      </c>
      <c r="F5" s="107" t="n">
        <v>3</v>
      </c>
      <c r="G5" s="107" t="n">
        <v>12</v>
      </c>
      <c r="H5" s="107" t="n">
        <v>11</v>
      </c>
      <c r="I5" s="107" t="n">
        <v>12</v>
      </c>
      <c r="J5" s="107" t="n">
        <v>11</v>
      </c>
      <c r="K5" s="107" t="n">
        <v>11</v>
      </c>
      <c r="L5" s="107" t="n">
        <v>10</v>
      </c>
      <c r="M5" s="107" t="n">
        <v>3</v>
      </c>
      <c r="N5" s="107" t="n">
        <v>10</v>
      </c>
      <c r="O5" s="108">
        <f>SUM(B5:N5)</f>
        <v/>
      </c>
      <c r="P5" s="109">
        <f>O5/개요!$C$7</f>
        <v/>
      </c>
      <c r="Q5" s="108">
        <f>IF(P5&gt;=$B$23,"주연",IF(P5&gt;=$B$24,"준주연",IF(P5&gt;=$B$25,"핵심 조연","조연")))</f>
        <v/>
      </c>
      <c r="R5" s="108">
        <f>IF(MAX(B5:N5)&lt;=개요!$C$6,"OK","확인")</f>
        <v/>
      </c>
      <c r="S5" s="108" t="inlineStr">
        <is>
          <t>—</t>
        </is>
      </c>
    </row>
    <row r="6" ht="15" customHeight="1" s="78">
      <c r="A6" s="106" t="inlineStr">
        <is>
          <t>Giulia</t>
        </is>
      </c>
      <c r="B6" s="107" t="n">
        <v>6</v>
      </c>
      <c r="C6" s="107" t="n">
        <v>3</v>
      </c>
      <c r="D6" s="107" t="n">
        <v>12</v>
      </c>
      <c r="E6" s="107" t="n">
        <v>3</v>
      </c>
      <c r="F6" s="107" t="n">
        <v>3</v>
      </c>
      <c r="G6" s="107" t="n">
        <v>12</v>
      </c>
      <c r="H6" s="107" t="n">
        <v>10</v>
      </c>
      <c r="I6" s="107" t="n">
        <v>10</v>
      </c>
      <c r="J6" s="107" t="n">
        <v>8</v>
      </c>
      <c r="K6" s="107" t="n">
        <v>10</v>
      </c>
      <c r="L6" s="107" t="n">
        <v>10</v>
      </c>
      <c r="M6" s="107" t="n">
        <v>2</v>
      </c>
      <c r="N6" s="107" t="n">
        <v>9</v>
      </c>
      <c r="O6" s="108">
        <f>SUM(B6:N6)</f>
        <v/>
      </c>
      <c r="P6" s="109">
        <f>O6/개요!$C$7</f>
        <v/>
      </c>
      <c r="Q6" s="108">
        <f>IF(P6&gt;=$B$23,"주연",IF(P6&gt;=$B$24,"준주연",IF(P6&gt;=$B$25,"핵심 조연","조연")))</f>
        <v/>
      </c>
      <c r="R6" s="108">
        <f>IF(MAX(B6:N6)&lt;=개요!$C$6,"OK","확인")</f>
        <v/>
      </c>
      <c r="S6" s="108" t="inlineStr">
        <is>
          <t>—</t>
        </is>
      </c>
    </row>
    <row r="7" ht="15" customHeight="1" s="78">
      <c r="A7" s="106" t="inlineStr">
        <is>
          <t>Alessandro</t>
        </is>
      </c>
      <c r="B7" s="107" t="n">
        <v>7</v>
      </c>
      <c r="C7" s="107" t="n">
        <v>3</v>
      </c>
      <c r="D7" s="107" t="n">
        <v>3</v>
      </c>
      <c r="E7" s="107" t="n">
        <v>12</v>
      </c>
      <c r="F7" s="107" t="n">
        <v>3</v>
      </c>
      <c r="G7" s="107" t="n">
        <v>12</v>
      </c>
      <c r="H7" s="107" t="n">
        <v>11</v>
      </c>
      <c r="I7" s="107" t="n">
        <v>10</v>
      </c>
      <c r="J7" s="107" t="n">
        <v>10</v>
      </c>
      <c r="K7" s="107" t="n">
        <v>11</v>
      </c>
      <c r="L7" s="107" t="n">
        <v>10</v>
      </c>
      <c r="M7" s="107" t="n">
        <v>8</v>
      </c>
      <c r="N7" s="107" t="n">
        <v>9</v>
      </c>
      <c r="O7" s="108">
        <f>SUM(B7:N7)</f>
        <v/>
      </c>
      <c r="P7" s="109">
        <f>O7/개요!$C$7</f>
        <v/>
      </c>
      <c r="Q7" s="108">
        <f>IF(P7&gt;=$B$23,"주연",IF(P7&gt;=$B$24,"준주연",IF(P7&gt;=$B$25,"핵심 조연","조연")))</f>
        <v/>
      </c>
      <c r="R7" s="108">
        <f>IF(MAX(B7:N7)&lt;=개요!$C$6,"OK","확인")</f>
        <v/>
      </c>
      <c r="S7" s="108" t="inlineStr">
        <is>
          <t>—</t>
        </is>
      </c>
    </row>
    <row r="8" ht="15" customHeight="1" s="78">
      <c r="A8" s="106" t="inlineStr">
        <is>
          <t>Chiara</t>
        </is>
      </c>
      <c r="B8" s="107" t="n">
        <v>6</v>
      </c>
      <c r="C8" s="107" t="n">
        <v>3</v>
      </c>
      <c r="D8" s="107" t="n">
        <v>3</v>
      </c>
      <c r="E8" s="107" t="n">
        <v>3</v>
      </c>
      <c r="F8" s="107" t="n">
        <v>12</v>
      </c>
      <c r="G8" s="107" t="n">
        <v>12</v>
      </c>
      <c r="H8" s="107" t="n">
        <v>10</v>
      </c>
      <c r="I8" s="107" t="n">
        <v>11</v>
      </c>
      <c r="J8" s="107" t="n">
        <v>10</v>
      </c>
      <c r="K8" s="107" t="n">
        <v>10</v>
      </c>
      <c r="L8" s="107" t="n">
        <v>9</v>
      </c>
      <c r="M8" s="107" t="n">
        <v>3</v>
      </c>
      <c r="N8" s="107" t="n">
        <v>9</v>
      </c>
      <c r="O8" s="108">
        <f>SUM(B8:N8)</f>
        <v/>
      </c>
      <c r="P8" s="109">
        <f>O8/개요!$C$7</f>
        <v/>
      </c>
      <c r="Q8" s="108">
        <f>IF(P8&gt;=$B$23,"주연",IF(P8&gt;=$B$24,"준주연",IF(P8&gt;=$B$25,"핵심 조연","조연")))</f>
        <v/>
      </c>
      <c r="R8" s="108">
        <f>IF(MAX(B8:N8)&lt;=개요!$C$6,"OK","확인")</f>
        <v/>
      </c>
      <c r="S8" s="108" t="inlineStr">
        <is>
          <t>—</t>
        </is>
      </c>
    </row>
    <row r="9" ht="15" customHeight="1" s="78">
      <c r="A9" s="106" t="inlineStr">
        <is>
          <t>Cesare</t>
        </is>
      </c>
      <c r="B9" s="107" t="n">
        <v>4</v>
      </c>
      <c r="C9" s="107" t="n">
        <v>2</v>
      </c>
      <c r="D9" s="107" t="n">
        <v>2</v>
      </c>
      <c r="E9" s="107" t="n">
        <v>2</v>
      </c>
      <c r="F9" s="107" t="n">
        <v>2</v>
      </c>
      <c r="G9" s="107" t="n">
        <v>7</v>
      </c>
      <c r="H9" s="107" t="n">
        <v>9</v>
      </c>
      <c r="I9" s="107" t="n">
        <v>7</v>
      </c>
      <c r="J9" s="107" t="n">
        <v>9</v>
      </c>
      <c r="K9" s="107" t="n">
        <v>9</v>
      </c>
      <c r="L9" s="107" t="n">
        <v>9</v>
      </c>
      <c r="M9" s="107" t="n">
        <v>0</v>
      </c>
      <c r="N9" s="107" t="n">
        <v>3</v>
      </c>
      <c r="O9" s="108">
        <f>SUM(B9:N9)</f>
        <v/>
      </c>
      <c r="P9" s="109">
        <f>O9/개요!$C$7</f>
        <v/>
      </c>
      <c r="Q9" s="108">
        <f>IF(P9&gt;=$B$23,"주연",IF(P9&gt;=$B$24,"준주연",IF(P9&gt;=$B$25,"핵심 조연","조연")))</f>
        <v/>
      </c>
      <c r="R9" s="108">
        <f>IF(MAX(B9:N9)&lt;=개요!$C$6,"OK","확인")</f>
        <v/>
      </c>
      <c r="S9" s="107" t="inlineStr">
        <is>
          <t>—</t>
        </is>
      </c>
    </row>
    <row r="10" ht="15" customHeight="1" s="78">
      <c r="A10" s="106" t="inlineStr">
        <is>
          <t>Machiavelli</t>
        </is>
      </c>
      <c r="B10" s="107" t="n">
        <v>3</v>
      </c>
      <c r="C10" s="107" t="n">
        <v>1</v>
      </c>
      <c r="D10" s="107" t="n">
        <v>1</v>
      </c>
      <c r="E10" s="107" t="n">
        <v>1</v>
      </c>
      <c r="F10" s="107" t="n">
        <v>1</v>
      </c>
      <c r="G10" s="107" t="n">
        <v>6</v>
      </c>
      <c r="H10" s="107" t="n">
        <v>8</v>
      </c>
      <c r="I10" s="107" t="n">
        <v>9</v>
      </c>
      <c r="J10" s="107" t="n">
        <v>8</v>
      </c>
      <c r="K10" s="107" t="n">
        <v>8</v>
      </c>
      <c r="L10" s="107" t="n">
        <v>7</v>
      </c>
      <c r="M10" s="107" t="n">
        <v>4</v>
      </c>
      <c r="N10" s="107" t="n">
        <v>7</v>
      </c>
      <c r="O10" s="108">
        <f>SUM(B10:N10)</f>
        <v/>
      </c>
      <c r="P10" s="109">
        <f>O10/개요!$C$7</f>
        <v/>
      </c>
      <c r="Q10" s="108">
        <f>IF(P10&gt;=$B$23,"주연",IF(P10&gt;=$B$24,"준주연",IF(P10&gt;=$B$25,"핵심 조연","조연")))</f>
        <v/>
      </c>
      <c r="R10" s="108">
        <f>IF(MAX(B10:N10)&lt;=개요!$C$6,"OK","확인")</f>
        <v/>
      </c>
      <c r="S10" s="107" t="inlineStr">
        <is>
          <t>—</t>
        </is>
      </c>
    </row>
    <row r="11" ht="15" customHeight="1" s="78">
      <c r="A11" s="106" t="inlineStr">
        <is>
          <t>Garibaldi</t>
        </is>
      </c>
      <c r="B11" s="107" t="n">
        <v>2</v>
      </c>
      <c r="C11" s="107" t="n">
        <v>1</v>
      </c>
      <c r="D11" s="107" t="n">
        <v>1</v>
      </c>
      <c r="E11" s="107" t="n">
        <v>3</v>
      </c>
      <c r="F11" s="107" t="n">
        <v>1</v>
      </c>
      <c r="G11" s="107" t="n">
        <v>5</v>
      </c>
      <c r="H11" s="107" t="n">
        <v>10</v>
      </c>
      <c r="I11" s="107" t="n">
        <v>7</v>
      </c>
      <c r="J11" s="107" t="n">
        <v>8</v>
      </c>
      <c r="K11" s="107" t="n">
        <v>8</v>
      </c>
      <c r="L11" s="107" t="n">
        <v>7</v>
      </c>
      <c r="M11" s="107" t="n">
        <v>3</v>
      </c>
      <c r="N11" s="107" t="n">
        <v>7</v>
      </c>
      <c r="O11" s="108">
        <f>SUM(B11:N11)</f>
        <v/>
      </c>
      <c r="P11" s="109">
        <f>O11/개요!$C$7</f>
        <v/>
      </c>
      <c r="Q11" s="108">
        <f>IF(P11&gt;=$B$23,"주연",IF(P11&gt;=$B$24,"준주연",IF(P11&gt;=$B$25,"핵심 조연","조연")))</f>
        <v/>
      </c>
      <c r="R11" s="108">
        <f>IF(MAX(B11:N11)&lt;=개요!$C$6,"OK","확인")</f>
        <v/>
      </c>
      <c r="S11" s="107" t="inlineStr">
        <is>
          <t>—</t>
        </is>
      </c>
    </row>
    <row r="12" ht="15" customHeight="1" s="78">
      <c r="A12" s="106" t="inlineStr">
        <is>
          <t>Dante</t>
        </is>
      </c>
      <c r="B12" s="107" t="n">
        <v>1</v>
      </c>
      <c r="C12" s="107" t="n">
        <v>1</v>
      </c>
      <c r="D12" s="107" t="n">
        <v>2</v>
      </c>
      <c r="E12" s="107" t="n">
        <v>1</v>
      </c>
      <c r="F12" s="107" t="n">
        <v>2</v>
      </c>
      <c r="G12" s="107" t="n">
        <v>4</v>
      </c>
      <c r="H12" s="107" t="n">
        <v>7</v>
      </c>
      <c r="I12" s="107" t="n">
        <v>8</v>
      </c>
      <c r="J12" s="107" t="n">
        <v>6</v>
      </c>
      <c r="K12" s="107" t="n">
        <v>7</v>
      </c>
      <c r="L12" s="107" t="n">
        <v>6</v>
      </c>
      <c r="M12" s="107" t="n">
        <v>2</v>
      </c>
      <c r="N12" s="107" t="n">
        <v>7</v>
      </c>
      <c r="O12" s="108">
        <f>SUM(B12:N12)</f>
        <v/>
      </c>
      <c r="P12" s="109">
        <f>O12/개요!$C$7</f>
        <v/>
      </c>
      <c r="Q12" s="108">
        <f>IF(P12&gt;=$B$23,"주연",IF(P12&gt;=$B$24,"준주연",IF(P12&gt;=$B$25,"핵심 조연","조연")))</f>
        <v/>
      </c>
      <c r="R12" s="108">
        <f>IF(MAX(B12:N12)&lt;=개요!$C$6,"OK","확인")</f>
        <v/>
      </c>
      <c r="S12" s="107" t="inlineStr">
        <is>
          <t>—</t>
        </is>
      </c>
    </row>
    <row r="13" ht="15" customHeight="1" s="78">
      <c r="A13" s="106" t="inlineStr">
        <is>
          <t>Gramsci</t>
        </is>
      </c>
      <c r="B13" s="107" t="n">
        <v>1</v>
      </c>
      <c r="C13" s="107" t="n">
        <v>1</v>
      </c>
      <c r="D13" s="107" t="n">
        <v>1</v>
      </c>
      <c r="E13" s="107" t="n">
        <v>1</v>
      </c>
      <c r="F13" s="107" t="n">
        <v>1</v>
      </c>
      <c r="G13" s="107" t="n">
        <v>4</v>
      </c>
      <c r="H13" s="107" t="n">
        <v>6</v>
      </c>
      <c r="I13" s="107" t="n">
        <v>9</v>
      </c>
      <c r="J13" s="107" t="n">
        <v>7</v>
      </c>
      <c r="K13" s="107" t="n">
        <v>9</v>
      </c>
      <c r="L13" s="107" t="n">
        <v>7</v>
      </c>
      <c r="M13" s="107" t="n">
        <v>4</v>
      </c>
      <c r="N13" s="107" t="n">
        <v>7</v>
      </c>
      <c r="O13" s="108">
        <f>SUM(B13:N13)</f>
        <v/>
      </c>
      <c r="P13" s="109">
        <f>O13/개요!$C$7</f>
        <v/>
      </c>
      <c r="Q13" s="108">
        <f>IF(P13&gt;=$B$23,"주연",IF(P13&gt;=$B$24,"준주연",IF(P13&gt;=$B$25,"핵심 조연","조연")))</f>
        <v/>
      </c>
      <c r="R13" s="108">
        <f>IF(MAX(B13:N13)&lt;=개요!$C$6,"OK","확인")</f>
        <v/>
      </c>
      <c r="S13" s="107" t="inlineStr">
        <is>
          <t>—</t>
        </is>
      </c>
    </row>
    <row r="14" ht="15" customHeight="1" s="78">
      <c r="A14" s="106" t="inlineStr">
        <is>
          <t>Galileo</t>
        </is>
      </c>
      <c r="B14" s="107" t="n">
        <v>2</v>
      </c>
      <c r="C14" s="107" t="n">
        <v>1</v>
      </c>
      <c r="D14" s="107" t="n">
        <v>1</v>
      </c>
      <c r="E14" s="107" t="n">
        <v>2</v>
      </c>
      <c r="F14" s="107" t="n">
        <v>1</v>
      </c>
      <c r="G14" s="107" t="n">
        <v>4</v>
      </c>
      <c r="H14" s="107" t="n">
        <v>6</v>
      </c>
      <c r="I14" s="107" t="n">
        <v>6</v>
      </c>
      <c r="J14" s="107" t="n">
        <v>5</v>
      </c>
      <c r="K14" s="107" t="n">
        <v>6</v>
      </c>
      <c r="L14" s="107" t="n">
        <v>6</v>
      </c>
      <c r="M14" s="107" t="n">
        <v>1</v>
      </c>
      <c r="N14" s="107" t="n">
        <v>5</v>
      </c>
      <c r="O14" s="108">
        <f>SUM(B14:N14)</f>
        <v/>
      </c>
      <c r="P14" s="109">
        <f>O14/개요!$C$7</f>
        <v/>
      </c>
      <c r="Q14" s="108">
        <f>IF(P14&gt;=$B$23,"주연",IF(P14&gt;=$B$24,"준주연",IF(P14&gt;=$B$25,"핵심 조연","조연")))</f>
        <v/>
      </c>
      <c r="R14" s="108">
        <f>IF(MAX(B14:N14)&lt;=개요!$C$6,"OK","확인")</f>
        <v/>
      </c>
      <c r="S14" s="107" t="inlineStr">
        <is>
          <t>—</t>
        </is>
      </c>
    </row>
    <row r="15" ht="15" customHeight="1" s="78">
      <c r="A15" s="106" t="inlineStr">
        <is>
          <t>Rosa</t>
        </is>
      </c>
      <c r="B15" s="107" t="n">
        <v>12</v>
      </c>
      <c r="C15" s="107" t="n">
        <v>2</v>
      </c>
      <c r="D15" s="107" t="n">
        <v>2</v>
      </c>
      <c r="E15" s="107" t="n">
        <v>2</v>
      </c>
      <c r="F15" s="107" t="n">
        <v>2</v>
      </c>
      <c r="G15" s="107" t="n">
        <v>5</v>
      </c>
      <c r="H15" s="107" t="n">
        <v>8</v>
      </c>
      <c r="I15" s="107" t="n">
        <v>6</v>
      </c>
      <c r="J15" s="107" t="n">
        <v>4</v>
      </c>
      <c r="K15" s="107" t="n">
        <v>5</v>
      </c>
      <c r="L15" s="107" t="n">
        <v>8</v>
      </c>
      <c r="M15" s="107" t="n">
        <v>3</v>
      </c>
      <c r="N15" s="107" t="n">
        <v>10</v>
      </c>
      <c r="O15" s="108">
        <f>SUM(B15:N15)</f>
        <v/>
      </c>
      <c r="P15" s="109">
        <f>O15/개요!$C$7</f>
        <v/>
      </c>
      <c r="Q15" s="108">
        <f>IF(P15&gt;=$B$23,"주연",IF(P15&gt;=$B$24,"준주연",IF(P15&gt;=$B$25,"핵심 조연","조연")))</f>
        <v/>
      </c>
      <c r="R15" s="108">
        <f>IF(MAX(B15:N15)&lt;=개요!$C$6,"OK","확인")</f>
        <v/>
      </c>
      <c r="S15" s="107" t="inlineStr">
        <is>
          <t>—</t>
        </is>
      </c>
    </row>
    <row r="16" ht="15" customHeight="1" s="78">
      <c r="A16" s="106" t="inlineStr">
        <is>
          <t>Paolo</t>
        </is>
      </c>
      <c r="B16" s="107" t="n">
        <v>2</v>
      </c>
      <c r="C16" s="107" t="n">
        <v>1</v>
      </c>
      <c r="D16" s="107" t="n">
        <v>2</v>
      </c>
      <c r="E16" s="107" t="n">
        <v>1</v>
      </c>
      <c r="F16" s="107" t="n">
        <v>3</v>
      </c>
      <c r="G16" s="107" t="n">
        <v>5</v>
      </c>
      <c r="H16" s="107" t="n">
        <v>9</v>
      </c>
      <c r="I16" s="107" t="n">
        <v>8</v>
      </c>
      <c r="J16" s="107" t="n">
        <v>6</v>
      </c>
      <c r="K16" s="107" t="n">
        <v>6</v>
      </c>
      <c r="L16" s="107" t="n">
        <v>7</v>
      </c>
      <c r="M16" s="107" t="n">
        <v>2</v>
      </c>
      <c r="N16" s="107" t="n">
        <v>6</v>
      </c>
      <c r="O16" s="108">
        <f>SUM(B16:N16)</f>
        <v/>
      </c>
      <c r="P16" s="109">
        <f>O16/개요!$C$7</f>
        <v/>
      </c>
      <c r="Q16" s="108">
        <f>IF(P16&gt;=$B$23,"주연",IF(P16&gt;=$B$24,"준주연",IF(P16&gt;=$B$25,"핵심 조연","조연")))</f>
        <v/>
      </c>
      <c r="R16" s="108">
        <f>IF(MAX(B16:N16)&lt;=개요!$C$6,"OK","확인")</f>
        <v/>
      </c>
      <c r="S16" s="107" t="inlineStr">
        <is>
          <t>—</t>
        </is>
      </c>
    </row>
    <row r="17" ht="15" customHeight="1" s="78">
      <c r="A17" s="106" t="inlineStr">
        <is>
          <t>Sofia M.</t>
        </is>
      </c>
      <c r="B17" s="107" t="n">
        <v>12</v>
      </c>
      <c r="C17" s="107" t="n">
        <v>4</v>
      </c>
      <c r="D17" s="107" t="n">
        <v>4</v>
      </c>
      <c r="E17" s="107" t="n">
        <v>4</v>
      </c>
      <c r="F17" s="107" t="n">
        <v>4</v>
      </c>
      <c r="G17" s="107" t="n">
        <v>8</v>
      </c>
      <c r="H17" s="107" t="n">
        <v>10</v>
      </c>
      <c r="I17" s="107" t="n">
        <v>10</v>
      </c>
      <c r="J17" s="107" t="n">
        <v>9</v>
      </c>
      <c r="K17" s="107" t="n">
        <v>9</v>
      </c>
      <c r="L17" s="107" t="n">
        <v>10</v>
      </c>
      <c r="M17" s="107" t="n">
        <v>3</v>
      </c>
      <c r="N17" s="107" t="n">
        <v>12</v>
      </c>
      <c r="O17" s="108">
        <f>SUM(B17:N17)</f>
        <v/>
      </c>
      <c r="P17" s="109">
        <f>O17/개요!$C$7</f>
        <v/>
      </c>
      <c r="Q17" s="108">
        <f>IF(P17&gt;=$B$23,"주연",IF(P17&gt;=$B$24,"준주연",IF(P17&gt;=$B$25,"핵심 조연","조연")))</f>
        <v/>
      </c>
      <c r="R17" s="108">
        <f>IF(MAX(B17:N17)&lt;=개요!$C$6,"OK","확인")</f>
        <v/>
      </c>
      <c r="S17" s="108" t="inlineStr">
        <is>
          <t>—</t>
        </is>
      </c>
    </row>
    <row r="18" ht="15" customHeight="1" s="78">
      <c r="A18" s="106" t="inlineStr">
        <is>
          <t>Francesco</t>
        </is>
      </c>
      <c r="B18" s="107" t="n">
        <v>2</v>
      </c>
      <c r="C18" s="107" t="n">
        <v>1</v>
      </c>
      <c r="D18" s="107" t="n">
        <v>1</v>
      </c>
      <c r="E18" s="107" t="n">
        <v>3</v>
      </c>
      <c r="F18" s="107" t="n">
        <v>1</v>
      </c>
      <c r="G18" s="107" t="n">
        <v>5</v>
      </c>
      <c r="H18" s="107" t="n">
        <v>8</v>
      </c>
      <c r="I18" s="107" t="n">
        <v>5</v>
      </c>
      <c r="J18" s="107" t="n">
        <v>7</v>
      </c>
      <c r="K18" s="107" t="n">
        <v>7</v>
      </c>
      <c r="L18" s="107" t="n">
        <v>9</v>
      </c>
      <c r="M18" s="107" t="n">
        <v>1</v>
      </c>
      <c r="N18" s="107" t="n">
        <v>6</v>
      </c>
      <c r="O18" s="108">
        <f>SUM(B18:N18)</f>
        <v/>
      </c>
      <c r="P18" s="109">
        <f>O18/개요!$C$7</f>
        <v/>
      </c>
      <c r="Q18" s="108">
        <f>IF(P18&gt;=$B$23,"주연",IF(P18&gt;=$B$24,"준주연",IF(P18&gt;=$B$25,"핵심 조연","조연")))</f>
        <v/>
      </c>
      <c r="R18" s="108">
        <f>IF(MAX(B18:N18)&lt;=개요!$C$6,"OK","확인")</f>
        <v/>
      </c>
      <c r="S18" s="107" t="inlineStr">
        <is>
          <t>—</t>
        </is>
      </c>
    </row>
    <row r="19" ht="15" customHeight="1" s="78">
      <c r="A19" s="110" t="inlineStr">
        <is>
          <t>Montessori</t>
        </is>
      </c>
      <c r="B19" s="111" t="n">
        <v>1</v>
      </c>
      <c r="C19" s="111" t="n">
        <v>1</v>
      </c>
      <c r="D19" s="111" t="n">
        <v>1</v>
      </c>
      <c r="E19" s="111" t="n">
        <v>3</v>
      </c>
      <c r="F19" s="111" t="n">
        <v>1</v>
      </c>
      <c r="G19" s="111" t="n">
        <v>5</v>
      </c>
      <c r="H19" s="111" t="n">
        <v>8</v>
      </c>
      <c r="I19" s="111" t="n">
        <v>5</v>
      </c>
      <c r="J19" s="111" t="n">
        <v>6</v>
      </c>
      <c r="K19" s="111" t="n">
        <v>6</v>
      </c>
      <c r="L19" s="111" t="n">
        <v>9</v>
      </c>
      <c r="M19" s="111" t="n">
        <v>1</v>
      </c>
      <c r="N19" s="111" t="n">
        <v>6</v>
      </c>
      <c r="O19" s="111">
        <f>SUM(B19:N19)</f>
        <v/>
      </c>
      <c r="P19" s="112">
        <f>O19/개요!$C$7</f>
        <v/>
      </c>
      <c r="Q19" s="112">
        <f>IF(P19&gt;=$B$23,"주연",IF(P19&gt;=$B$24,"준주연",IF(P19&gt;=$B$25,"핵심 조연","조연")))</f>
        <v/>
      </c>
      <c r="R19" s="112">
        <f>IF(MAX(B19:N19)&lt;=개요!$C$6,"OK","확인")</f>
        <v/>
      </c>
      <c r="S19" s="111" t="inlineStr">
        <is>
          <t>—</t>
        </is>
      </c>
    </row>
    <row r="20" ht="16.5" customHeight="1" s="78">
      <c r="A20" s="105" t="inlineStr">
        <is>
          <t>부별 연인원 (합계)</t>
        </is>
      </c>
      <c r="B20" s="77">
        <f>SUM(B5:B19)</f>
        <v/>
      </c>
      <c r="C20" s="77">
        <f>SUM(C5:C19)</f>
        <v/>
      </c>
      <c r="D20" s="77">
        <f>SUM(D5:D19)</f>
        <v/>
      </c>
      <c r="E20" s="77">
        <f>SUM(E5:E19)</f>
        <v/>
      </c>
      <c r="F20" s="77">
        <f>SUM(F5:F19)</f>
        <v/>
      </c>
      <c r="G20" s="77">
        <f>SUM(G5:G19)</f>
        <v/>
      </c>
      <c r="H20" s="77">
        <f>SUM(H5:H19)</f>
        <v/>
      </c>
      <c r="I20" s="77">
        <f>SUM(I5:I19)</f>
        <v/>
      </c>
      <c r="J20" s="77">
        <f>SUM(J5:J19)</f>
        <v/>
      </c>
      <c r="K20" s="77">
        <f>SUM(K5:K19)</f>
        <v/>
      </c>
      <c r="L20" s="77">
        <f>SUM(L5:L19)</f>
        <v/>
      </c>
      <c r="M20" s="77">
        <f>SUM(M5:M19)</f>
        <v/>
      </c>
      <c r="N20" s="77">
        <f>SUM(N5:N19)</f>
        <v/>
      </c>
      <c r="O20" s="77">
        <f>SUM(O5:O19)</f>
        <v/>
      </c>
      <c r="S20" s="77">
        <f>SUM(S5:S19)</f>
        <v/>
      </c>
    </row>
    <row r="22" ht="15" customHeight="1" s="78">
      <c r="A22" s="81" t="n"/>
      <c r="B22" s="82" t="n"/>
      <c r="C22" s="82" t="n"/>
    </row>
    <row r="23" ht="15" customHeight="1" s="78">
      <c r="A23" s="90" t="inlineStr">
        <is>
          <t>주연</t>
        </is>
      </c>
      <c r="B23" s="113" t="n">
        <v>0.6899999999999999</v>
      </c>
      <c r="C23" s="97">
        <f>"← 기준값은 제안값입니다. 현재 구분: 주연 "&amp;COUNTIF($Q$5:$Q$19,"주연")&amp;" / 준주연 "&amp;COUNTIF($Q$5:$Q$19,"준주연")&amp;" / 핵심 조연 "&amp;COUNTIF($Q$5:$Q$19,"핵심 조연")&amp;" / 조연 "&amp;COUNTIF($Q$5:$Q$19,"조연")&amp;" (자동 계산)"</f>
        <v/>
      </c>
    </row>
    <row r="24" ht="15" customHeight="1" s="78">
      <c r="A24" s="90" t="inlineStr">
        <is>
          <t>준주연</t>
        </is>
      </c>
      <c r="B24" s="113" t="n">
        <v>0.6</v>
      </c>
    </row>
    <row r="25" ht="15" customHeight="1" s="78">
      <c r="A25" s="90" t="inlineStr">
        <is>
          <t>핵심 조연</t>
        </is>
      </c>
      <c r="B25" s="113" t="n">
        <v>0.4</v>
      </c>
    </row>
    <row r="26" ht="15" customHeight="1" s="78">
      <c r="A26" s="90" t="inlineStr">
        <is>
          <t>조연</t>
        </is>
      </c>
      <c r="B26" s="92" t="inlineStr">
        <is>
          <t>그 미만</t>
        </is>
      </c>
    </row>
    <row r="28" ht="18" customHeight="1" s="78">
      <c r="A28" s="81" t="inlineStr">
        <is>
          <t>배분 원칙</t>
        </is>
      </c>
      <c r="B28" s="82" t="n"/>
      <c r="C28" s="82" t="n"/>
      <c r="D28" s="82" t="n"/>
      <c r="E28" s="82" t="n"/>
      <c r="F28" s="82" t="n"/>
      <c r="G28" s="82" t="n"/>
      <c r="H28" s="82" t="n"/>
      <c r="I28" s="82" t="n"/>
      <c r="J28" s="82" t="n"/>
      <c r="K28" s="82" t="n"/>
      <c r="L28" s="82" t="n"/>
      <c r="M28" s="82" t="n"/>
      <c r="N28" s="82" t="n"/>
      <c r="O28" s="82" t="n"/>
      <c r="P28" s="82" t="n"/>
      <c r="Q28" s="82" t="n"/>
      <c r="R28" s="82" t="n"/>
    </row>
    <row r="29" ht="29.25" customHeight="1" s="78">
      <c r="A29" s="114" t="inlineStr">
        <is>
          <t>1. 1부는 개소 1개월 후 시점: Sofia·Rosa가 전 화에, 주력 4인은 사건별로 교대 등장(전원 겹치지 않음). Cesare 4화, Machiavelli 3화로 자주 얼굴을 비추고 '이번 겨울이 마지막' 복선을 1화부터 깐다. 나머지는 사건마다 다른 조합으로 카메오.</t>
        </is>
      </c>
    </row>
    <row r="30" ht="16.5" customHeight="1" s="78">
      <c r="A30" s="114" t="inlineStr">
        <is>
          <t>2. 2~5부: 각 주인공이 자기 부 12화 전부에 나오고, 다른 주력 3인은 3화씩 스쳐 지나가며 6부 만남을 예고. Sofia는 4화씩 '사무소에서 이야기를 듣는 프레임'으로 등장해 회상을 잇는다.</t>
        </is>
      </c>
    </row>
    <row r="31" ht="16.5" customHeight="1" s="78">
      <c r="A31" s="114" t="inlineStr">
        <is>
          <t>3. 부활자·조연은 과거와 겹치는 곳에만 배치: Paolo-5부(Chiara의 구조조정 현장), Francesco·Galileo-4부(Alessandro의 감사 사건), Montessori-3부·5부(되받기·번아웃 상담), Garibaldi-4부(지역 회계 회상 카메오).</t>
        </is>
      </c>
    </row>
    <row r="32" ht="16.5" customHeight="1" s="78">
      <c r="A32" s="114" t="inlineStr">
        <is>
          <t>4. 부활자·조연 본격 비중은 7~10부에서 최고치: 7부 Galileo·Paolo·Garibaldi(공론화·현장 조직), 8부 Dante·Machiavelli·Gramsci(선언문·전략·출처), 10부 Dante·Galileo·Gramsci(취임 연설·대변인·정보 감독).</t>
        </is>
      </c>
    </row>
    <row r="33" ht="16.5" customHeight="1" s="78">
      <c r="A33" s="114" t="inlineStr">
        <is>
          <t>5. 11부(국정 I)는 Cesare가 9~12화에서 브뤼셀 직접 협상을 이끌며 최고치(9화)를 찍고 12화에서 사망한다. Francesco는 앞선 주거·금융 국내 현안 화에서 정점.</t>
        </is>
      </c>
    </row>
    <row r="34" ht="16.5" customHeight="1" s="78">
      <c r="A34" s="114" t="inlineStr">
        <is>
          <t>6. 12부(국정 II)는 Cesare 사후(0화): 1화 장례식에 Garibaldi·Gramsci·Machiavelli가 몰리고, Alessandro·Dante가 유작 메모를 이어받는 2·3화에서 비중이 오른다.</t>
        </is>
      </c>
    </row>
    <row r="35" ht="16.5" customHeight="1" s="78">
      <c r="A35" s="114" t="inlineStr">
        <is>
          <t>7. 13부(귀환)는 원형 구조: Sofia 12화 전부, Rosa 10화. Cesare는 유언장·회상으로 3화, 주력 4인은 사무소의 손님으로 9~10화 등장.</t>
        </is>
      </c>
    </row>
    <row r="36" ht="16.5" customHeight="1" s="78">
      <c r="A36" s="114" t="inlineStr">
        <is>
          <t>8. Cesare는 11부 12화(브뤼셀 승리 직후)에서 두 번째 죽음을 맞는다. 12부 1화 장례식, 2·3화 유작 메모 승계, 13부 2화 유언장까지 이어진다.</t>
        </is>
      </c>
    </row>
    <row r="37" ht="16.5" customHeight="1" s="78">
      <c r="A37" s="114" t="inlineStr">
        <is>
          <t>9. 등장 화 수와 대사량은 다르다: Sofia는 약 67%지만 문장이 짧아 대사량은 Marco의 절반 이하가 되게 하고, Cesare·Dante는 화당 대사가 길어도 된다.</t>
        </is>
      </c>
    </row>
    <row r="38" ht="16.5" customHeight="1" s="78">
      <c r="A38" s="114" t="inlineStr">
        <is>
          <t>10. 조연 11인은 화 전체의 중심이 되는 에피소드를 각자 2개 이상 배정(S열 목표). 자기 이야기가 한 번도 없으면 얇은 인물이 된다.</t>
        </is>
      </c>
    </row>
    <row r="39" ht="16.5" customHeight="1" s="78">
      <c r="A39" s="114" t="inlineStr">
        <is>
          <t>11. Montessori·Galileo가 가장 얇다: 3·5부 상담 장면을 늘리거나, 12부 Cesare 애도 상담(Montessori)·스파이웨어 검증(Galileo)을 맡겨 서사를 넓히는 안을 검토.</t>
        </is>
      </c>
    </row>
  </sheetData>
  <mergeCells count="11">
    <mergeCell ref="A30:R30"/>
    <mergeCell ref="A39:R39"/>
    <mergeCell ref="A29:R29"/>
    <mergeCell ref="A38:R38"/>
    <mergeCell ref="A33:R33"/>
    <mergeCell ref="A32:R32"/>
    <mergeCell ref="A36:R36"/>
    <mergeCell ref="A37:R37"/>
    <mergeCell ref="A31:R31"/>
    <mergeCell ref="A34:R34"/>
    <mergeCell ref="A35:R35"/>
  </mergeCells>
  <conditionalFormatting sqref="B5:N19">
    <cfRule type="colorScale" priority="2">
      <colorScale>
        <cfvo type="num" val="0"/>
        <cfvo type="num" val="12"/>
        <color rgb="FFFFFFFF"/>
        <color rgb="FF9DC3E6"/>
      </colorScale>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tabColor rgb="FF2F5597"/>
    <outlinePr summaryBelow="1" summaryRight="1"/>
    <pageSetUpPr fitToPage="1"/>
  </sheetPr>
  <dimension ref="A1:P70"/>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30" customWidth="1" style="77" min="1" max="1"/>
    <col width="12" customWidth="1" style="77" min="2" max="2"/>
    <col width="9" customWidth="1" style="77" min="3" max="15"/>
  </cols>
  <sheetData>
    <row r="1" ht="24" customHeight="1" s="78">
      <c r="A1" s="98" t="inlineStr">
        <is>
          <t>대화량 설계: 화당 120턴</t>
        </is>
      </c>
    </row>
    <row r="2" ht="15" customHeight="1" s="78">
      <c r="A2" s="97" t="inlineStr">
        <is>
          <t>한 화 = 대화 120턴, 전체 156화 = 18,720턴. 점유율·평균 단어/턴·배율·낭독 속도는 가정값(파란 숫자)이며 수정하면 아래 표가 자동 갱신됩니다.</t>
        </is>
      </c>
    </row>
    <row r="4" ht="18" customHeight="1" s="78">
      <c r="A4" s="115" t="inlineStr">
        <is>
          <t>1. 기본 설정</t>
        </is>
      </c>
      <c r="B4" s="82" t="n"/>
      <c r="C4" s="82" t="n"/>
      <c r="D4" s="82" t="n"/>
      <c r="E4" s="82" t="n"/>
      <c r="F4" s="82" t="n"/>
      <c r="G4" s="82" t="n"/>
      <c r="H4" s="82" t="n"/>
      <c r="I4" s="82" t="n"/>
      <c r="J4" s="82" t="n"/>
      <c r="K4" s="82" t="n"/>
      <c r="L4" s="82" t="n"/>
      <c r="M4" s="82" t="n"/>
      <c r="N4" s="82" t="n"/>
    </row>
    <row r="5" ht="15" customHeight="1" s="78">
      <c r="A5" s="90" t="inlineStr">
        <is>
          <t>화당 대화 턴</t>
        </is>
      </c>
      <c r="B5" s="107" t="n">
        <v>120</v>
      </c>
    </row>
    <row r="6" ht="15" customHeight="1" s="78">
      <c r="A6" s="90" t="inlineStr">
        <is>
          <t>낭독 속도 (단어/분, 가정)</t>
        </is>
      </c>
      <c r="B6" s="116" t="n">
        <v>130</v>
      </c>
    </row>
    <row r="7" ht="15" customHeight="1" s="78">
      <c r="A7" s="90" t="inlineStr">
        <is>
          <t>총 화 수</t>
        </is>
      </c>
      <c r="B7" s="108">
        <f>개요!$C$7</f>
        <v/>
      </c>
    </row>
    <row r="8" ht="15" customHeight="1" s="78">
      <c r="A8" s="90" t="inlineStr">
        <is>
          <t>총 대화 턴</t>
        </is>
      </c>
      <c r="B8" s="117">
        <f>B5*B7</f>
        <v/>
      </c>
    </row>
    <row r="9" ht="15" customHeight="1" s="78">
      <c r="A9" s="90" t="inlineStr">
        <is>
          <t>턴 정의</t>
        </is>
      </c>
      <c r="B9" s="118" t="inlineStr">
        <is>
          <t>화자 표기 한 줄 = 1턴 (화자가 바뀌면 새 턴). 연설·조항·기사 낭독처럼 긴 발화도 1턴으로 센다.</t>
        </is>
      </c>
    </row>
    <row r="11" ht="15" customHeight="1" s="78">
      <c r="A11" s="115" t="inlineStr">
        <is>
          <t>2. 부별 화자 점유율 (턴 기준, 각 부의 합 = 100%)</t>
        </is>
      </c>
      <c r="P11" s="77" t="n"/>
    </row>
    <row r="12" ht="31.5" customHeight="1" s="78">
      <c r="A12" s="100" t="inlineStr">
        <is>
          <t>인물</t>
        </is>
      </c>
      <c r="B12" s="100" t="inlineStr">
        <is>
          <t>평균
단어/턴</t>
        </is>
      </c>
      <c r="C12" s="99" t="inlineStr">
        <is>
          <t>1부</t>
        </is>
      </c>
      <c r="D12" s="99" t="inlineStr">
        <is>
          <t>2부</t>
        </is>
      </c>
      <c r="E12" s="99" t="inlineStr">
        <is>
          <t>3부</t>
        </is>
      </c>
      <c r="F12" s="99" t="inlineStr">
        <is>
          <t>4부</t>
        </is>
      </c>
      <c r="G12" s="99" t="inlineStr">
        <is>
          <t>5부</t>
        </is>
      </c>
      <c r="H12" s="99" t="inlineStr">
        <is>
          <t>6부</t>
        </is>
      </c>
      <c r="I12" s="99" t="inlineStr">
        <is>
          <t>7부</t>
        </is>
      </c>
      <c r="J12" s="99" t="inlineStr">
        <is>
          <t>8부</t>
        </is>
      </c>
      <c r="K12" s="99" t="inlineStr">
        <is>
          <t>9부</t>
        </is>
      </c>
      <c r="L12" s="99" t="inlineStr">
        <is>
          <t>10부</t>
        </is>
      </c>
      <c r="M12" s="99" t="inlineStr">
        <is>
          <t>11부</t>
        </is>
      </c>
      <c r="N12" s="99" t="inlineStr">
        <is>
          <t>12부</t>
        </is>
      </c>
      <c r="O12" s="99" t="inlineStr">
        <is>
          <t>13부</t>
        </is>
      </c>
      <c r="P12" s="77" t="n"/>
    </row>
    <row r="13" ht="15" customHeight="1" s="78">
      <c r="A13" s="119" t="inlineStr">
        <is>
          <t>Marco</t>
        </is>
      </c>
      <c r="B13" s="107" t="n">
        <v>13</v>
      </c>
      <c r="C13" s="120" t="n">
        <v>0.13</v>
      </c>
      <c r="D13" s="120" t="n">
        <v>0.48</v>
      </c>
      <c r="E13" s="120" t="n">
        <v>0.03</v>
      </c>
      <c r="F13" s="120" t="n">
        <v>0.02</v>
      </c>
      <c r="G13" s="120" t="n">
        <v>0.02</v>
      </c>
      <c r="H13" s="120" t="n">
        <v>0.13</v>
      </c>
      <c r="I13" s="120" t="n">
        <v>0.14</v>
      </c>
      <c r="J13" s="120" t="n">
        <v>0.14</v>
      </c>
      <c r="K13" s="120" t="n">
        <v>0.08</v>
      </c>
      <c r="L13" s="120" t="n">
        <v>0.17</v>
      </c>
      <c r="M13" s="120" t="n">
        <v>0.14</v>
      </c>
      <c r="N13" s="120" t="n">
        <v>0.15</v>
      </c>
      <c r="O13" s="120" t="n">
        <v>0.07000000000000001</v>
      </c>
      <c r="P13" s="77" t="n"/>
    </row>
    <row r="14" ht="15" customHeight="1" s="78">
      <c r="A14" s="119" t="inlineStr">
        <is>
          <t>Giulia</t>
        </is>
      </c>
      <c r="B14" s="107" t="n">
        <v>8</v>
      </c>
      <c r="C14" s="120" t="n">
        <v>0.12</v>
      </c>
      <c r="D14" s="120" t="n">
        <v>0.03</v>
      </c>
      <c r="E14" s="120" t="n">
        <v>0.46</v>
      </c>
      <c r="F14" s="120" t="n">
        <v>0.04</v>
      </c>
      <c r="G14" s="120" t="n">
        <v>0.03</v>
      </c>
      <c r="H14" s="120" t="n">
        <v>0.12</v>
      </c>
      <c r="I14" s="120" t="n">
        <v>0.07000000000000001</v>
      </c>
      <c r="J14" s="120" t="n">
        <v>0.07000000000000001</v>
      </c>
      <c r="K14" s="120" t="n">
        <v>0.11</v>
      </c>
      <c r="L14" s="120" t="n">
        <v>0.06</v>
      </c>
      <c r="M14" s="120" t="n">
        <v>0.09</v>
      </c>
      <c r="N14" s="120" t="n">
        <v>0.09</v>
      </c>
      <c r="O14" s="120" t="n">
        <v>0.06</v>
      </c>
      <c r="P14" s="77" t="n"/>
    </row>
    <row r="15" ht="15" customHeight="1" s="78">
      <c r="A15" s="119" t="inlineStr">
        <is>
          <t>Alessandro</t>
        </is>
      </c>
      <c r="B15" s="107" t="n">
        <v>11</v>
      </c>
      <c r="C15" s="120" t="n">
        <v>0.12</v>
      </c>
      <c r="D15" s="120" t="n">
        <v>0.04</v>
      </c>
      <c r="E15" s="120" t="n">
        <v>0.04</v>
      </c>
      <c r="F15" s="120" t="n">
        <v>0.46</v>
      </c>
      <c r="G15" s="120" t="n">
        <v>0.04</v>
      </c>
      <c r="H15" s="120" t="n">
        <v>0.12</v>
      </c>
      <c r="I15" s="120" t="n">
        <v>0.1</v>
      </c>
      <c r="J15" s="120" t="n">
        <v>0.08</v>
      </c>
      <c r="K15" s="120" t="n">
        <v>0.14</v>
      </c>
      <c r="L15" s="120" t="n">
        <v>0.07000000000000001</v>
      </c>
      <c r="M15" s="120" t="n">
        <v>0.1</v>
      </c>
      <c r="N15" s="120" t="n">
        <v>0.11</v>
      </c>
      <c r="O15" s="120" t="n">
        <v>0.07000000000000001</v>
      </c>
      <c r="P15" s="77" t="n"/>
    </row>
    <row r="16" ht="15" customHeight="1" s="78">
      <c r="A16" s="119" t="inlineStr">
        <is>
          <t>Chiara</t>
        </is>
      </c>
      <c r="B16" s="107" t="n">
        <v>12</v>
      </c>
      <c r="C16" s="120" t="n">
        <v>0.12</v>
      </c>
      <c r="D16" s="120" t="n">
        <v>0.05</v>
      </c>
      <c r="E16" s="120" t="n">
        <v>0.03</v>
      </c>
      <c r="F16" s="120" t="n">
        <v>0.03</v>
      </c>
      <c r="G16" s="120" t="n">
        <v>0.46</v>
      </c>
      <c r="H16" s="120" t="n">
        <v>0.12</v>
      </c>
      <c r="I16" s="120" t="n">
        <v>0.06</v>
      </c>
      <c r="J16" s="120" t="n">
        <v>0.08</v>
      </c>
      <c r="K16" s="120" t="n">
        <v>0.08</v>
      </c>
      <c r="L16" s="120" t="n">
        <v>0.1</v>
      </c>
      <c r="M16" s="120" t="n">
        <v>0.08</v>
      </c>
      <c r="N16" s="120" t="n">
        <v>0.08</v>
      </c>
      <c r="O16" s="120" t="n">
        <v>0.07000000000000001</v>
      </c>
      <c r="P16" s="77" t="n"/>
    </row>
    <row r="17" ht="15" customHeight="1" s="78">
      <c r="A17" s="119" t="inlineStr">
        <is>
          <t>Cesare</t>
        </is>
      </c>
      <c r="B17" s="107" t="n">
        <v>14</v>
      </c>
      <c r="C17" s="120" t="n">
        <v>0.08</v>
      </c>
      <c r="D17" s="120" t="n">
        <v>0.04</v>
      </c>
      <c r="E17" s="120" t="n">
        <v>0.04</v>
      </c>
      <c r="F17" s="120" t="n">
        <v>0.04</v>
      </c>
      <c r="G17" s="120" t="n">
        <v>0.04</v>
      </c>
      <c r="H17" s="120" t="n">
        <v>0.04</v>
      </c>
      <c r="I17" s="120" t="n">
        <v>0.06</v>
      </c>
      <c r="J17" s="120" t="n">
        <v>0.05</v>
      </c>
      <c r="K17" s="120" t="n">
        <v>0.04</v>
      </c>
      <c r="L17" s="120" t="n">
        <v>0.06</v>
      </c>
      <c r="M17" s="120" t="n">
        <v>0.04</v>
      </c>
      <c r="N17" s="120" t="n">
        <v>0</v>
      </c>
      <c r="O17" s="120" t="n">
        <v>0.02</v>
      </c>
      <c r="P17" s="77" t="n"/>
    </row>
    <row r="18" ht="15" customHeight="1" s="78">
      <c r="A18" s="119" t="inlineStr">
        <is>
          <t>Machiavelli</t>
        </is>
      </c>
      <c r="B18" s="107" t="n">
        <v>11</v>
      </c>
      <c r="C18" s="120" t="n">
        <v>0.02</v>
      </c>
      <c r="D18" s="120" t="n">
        <v>0.01</v>
      </c>
      <c r="E18" s="120" t="n">
        <v>0.01</v>
      </c>
      <c r="F18" s="120" t="n">
        <v>0.01</v>
      </c>
      <c r="G18" s="120" t="n">
        <v>0.01</v>
      </c>
      <c r="H18" s="120" t="n">
        <v>0.03</v>
      </c>
      <c r="I18" s="120" t="n">
        <v>0.04</v>
      </c>
      <c r="J18" s="120" t="n">
        <v>0.06</v>
      </c>
      <c r="K18" s="120" t="n">
        <v>0.04</v>
      </c>
      <c r="L18" s="120" t="n">
        <v>0.06</v>
      </c>
      <c r="M18" s="120" t="n">
        <v>0.04</v>
      </c>
      <c r="N18" s="120" t="n">
        <v>0.05</v>
      </c>
      <c r="O18" s="120" t="n">
        <v>0.03</v>
      </c>
      <c r="P18" s="77" t="n"/>
    </row>
    <row r="19" ht="15" customHeight="1" s="78">
      <c r="A19" s="119" t="inlineStr">
        <is>
          <t>Garibaldi</t>
        </is>
      </c>
      <c r="B19" s="107" t="n">
        <v>7</v>
      </c>
      <c r="C19" s="120" t="n">
        <v>0.02</v>
      </c>
      <c r="D19" s="120" t="n">
        <v>0.01</v>
      </c>
      <c r="E19" s="120" t="n">
        <v>0.01</v>
      </c>
      <c r="F19" s="120" t="n">
        <v>0.01</v>
      </c>
      <c r="G19" s="120" t="n">
        <v>0.01</v>
      </c>
      <c r="H19" s="120" t="n">
        <v>0.05</v>
      </c>
      <c r="I19" s="120" t="n">
        <v>0.06</v>
      </c>
      <c r="J19" s="120" t="n">
        <v>0.06</v>
      </c>
      <c r="K19" s="120" t="n">
        <v>0.04</v>
      </c>
      <c r="L19" s="120" t="n">
        <v>0.08</v>
      </c>
      <c r="M19" s="120" t="n">
        <v>0.07000000000000001</v>
      </c>
      <c r="N19" s="120" t="n">
        <v>0.07000000000000001</v>
      </c>
      <c r="O19" s="120" t="n">
        <v>0.06</v>
      </c>
      <c r="P19" s="77" t="n"/>
    </row>
    <row r="20" ht="15" customHeight="1" s="78">
      <c r="A20" s="119" t="inlineStr">
        <is>
          <t>Dante</t>
        </is>
      </c>
      <c r="B20" s="107" t="n">
        <v>12</v>
      </c>
      <c r="C20" s="120" t="n">
        <v>0.02</v>
      </c>
      <c r="D20" s="120" t="n">
        <v>0.01</v>
      </c>
      <c r="E20" s="120" t="n">
        <v>0.01</v>
      </c>
      <c r="F20" s="120" t="n">
        <v>0.01</v>
      </c>
      <c r="G20" s="120" t="n">
        <v>0.01</v>
      </c>
      <c r="H20" s="120" t="n">
        <v>0.03</v>
      </c>
      <c r="I20" s="120" t="n">
        <v>0.03</v>
      </c>
      <c r="J20" s="120" t="n">
        <v>0.07000000000000001</v>
      </c>
      <c r="K20" s="120" t="n">
        <v>0.05</v>
      </c>
      <c r="L20" s="120" t="n">
        <v>0.07000000000000001</v>
      </c>
      <c r="M20" s="120" t="n">
        <v>0.05</v>
      </c>
      <c r="N20" s="120" t="n">
        <v>0.05</v>
      </c>
      <c r="O20" s="120" t="n">
        <v>0.05</v>
      </c>
      <c r="P20" s="77" t="n"/>
    </row>
    <row r="21" ht="15" customHeight="1" s="78">
      <c r="A21" s="119" t="inlineStr">
        <is>
          <t>Gramsci</t>
        </is>
      </c>
      <c r="B21" s="107" t="n">
        <v>9</v>
      </c>
      <c r="C21" s="120" t="n">
        <v>0.02</v>
      </c>
      <c r="D21" s="120" t="n">
        <v>0.01</v>
      </c>
      <c r="E21" s="120" t="n">
        <v>0.01</v>
      </c>
      <c r="F21" s="120" t="n">
        <v>0.01</v>
      </c>
      <c r="G21" s="120" t="n">
        <v>0.01</v>
      </c>
      <c r="H21" s="120" t="n">
        <v>0.03</v>
      </c>
      <c r="I21" s="120" t="n">
        <v>0.06</v>
      </c>
      <c r="J21" s="120" t="n">
        <v>0.03</v>
      </c>
      <c r="K21" s="120" t="n">
        <v>0.04</v>
      </c>
      <c r="L21" s="120" t="n">
        <v>0.03</v>
      </c>
      <c r="M21" s="120" t="n">
        <v>0.05</v>
      </c>
      <c r="N21" s="120" t="n">
        <v>0.05</v>
      </c>
      <c r="O21" s="120" t="n">
        <v>0.08</v>
      </c>
      <c r="P21" s="77" t="n"/>
    </row>
    <row r="22" ht="15" customHeight="1" s="78">
      <c r="A22" s="119" t="inlineStr">
        <is>
          <t>Galileo</t>
        </is>
      </c>
      <c r="B22" s="107" t="n">
        <v>10</v>
      </c>
      <c r="C22" s="120" t="n">
        <v>0.02</v>
      </c>
      <c r="D22" s="120" t="n">
        <v>0.01</v>
      </c>
      <c r="E22" s="120" t="n">
        <v>0.03</v>
      </c>
      <c r="F22" s="120" t="n">
        <v>0.04</v>
      </c>
      <c r="G22" s="120" t="n">
        <v>0.01</v>
      </c>
      <c r="H22" s="120" t="n">
        <v>0.03</v>
      </c>
      <c r="I22" s="120" t="n">
        <v>0.08</v>
      </c>
      <c r="J22" s="120" t="n">
        <v>0.06</v>
      </c>
      <c r="K22" s="120" t="n">
        <v>0.07000000000000001</v>
      </c>
      <c r="L22" s="120" t="n">
        <v>0.05</v>
      </c>
      <c r="M22" s="120" t="n">
        <v>0.06</v>
      </c>
      <c r="N22" s="120" t="n">
        <v>0.06</v>
      </c>
      <c r="O22" s="120" t="n">
        <v>0.05</v>
      </c>
      <c r="P22" s="77" t="n"/>
    </row>
    <row r="23" ht="15" customHeight="1" s="78">
      <c r="A23" s="119" t="inlineStr">
        <is>
          <t>Rosa</t>
        </is>
      </c>
      <c r="B23" s="107" t="n">
        <v>9</v>
      </c>
      <c r="C23" s="120" t="n">
        <v>0.12</v>
      </c>
      <c r="D23" s="120" t="n">
        <v>0.04</v>
      </c>
      <c r="E23" s="120" t="n">
        <v>0.03</v>
      </c>
      <c r="F23" s="120" t="n">
        <v>0.03</v>
      </c>
      <c r="G23" s="120" t="n">
        <v>0.03</v>
      </c>
      <c r="H23" s="120" t="n">
        <v>0.05</v>
      </c>
      <c r="I23" s="120" t="n">
        <v>0.04</v>
      </c>
      <c r="J23" s="120" t="n">
        <v>0.05</v>
      </c>
      <c r="K23" s="120" t="n">
        <v>0.03</v>
      </c>
      <c r="L23" s="120" t="n">
        <v>0.04</v>
      </c>
      <c r="M23" s="120" t="n">
        <v>0.04</v>
      </c>
      <c r="N23" s="120" t="n">
        <v>0.04</v>
      </c>
      <c r="O23" s="120" t="n">
        <v>0.13</v>
      </c>
      <c r="P23" s="77" t="n"/>
    </row>
    <row r="24" ht="15" customHeight="1" s="78">
      <c r="A24" s="119" t="inlineStr">
        <is>
          <t>Paolo</t>
        </is>
      </c>
      <c r="B24" s="107" t="n">
        <v>10</v>
      </c>
      <c r="C24" s="120" t="n">
        <v>0.01</v>
      </c>
      <c r="D24" s="120" t="n">
        <v>0.02</v>
      </c>
      <c r="E24" s="120" t="n">
        <v>0.01</v>
      </c>
      <c r="F24" s="120" t="n">
        <v>0.01</v>
      </c>
      <c r="G24" s="120" t="n">
        <v>0.09</v>
      </c>
      <c r="H24" s="120" t="n">
        <v>0.05</v>
      </c>
      <c r="I24" s="120" t="n">
        <v>0.06</v>
      </c>
      <c r="J24" s="120" t="n">
        <v>0.08</v>
      </c>
      <c r="K24" s="120" t="n">
        <v>0.08</v>
      </c>
      <c r="L24" s="120" t="n">
        <v>0.06</v>
      </c>
      <c r="M24" s="120" t="n">
        <v>0.05</v>
      </c>
      <c r="N24" s="120" t="n">
        <v>0.05</v>
      </c>
      <c r="O24" s="120" t="n">
        <v>0.05</v>
      </c>
      <c r="P24" s="77" t="n"/>
    </row>
    <row r="25" ht="15" customHeight="1" s="78">
      <c r="A25" s="119" t="inlineStr">
        <is>
          <t>Sofia M.</t>
        </is>
      </c>
      <c r="B25" s="107" t="n">
        <v>7</v>
      </c>
      <c r="C25" s="120" t="n">
        <v>0.16</v>
      </c>
      <c r="D25" s="120" t="n">
        <v>0.08</v>
      </c>
      <c r="E25" s="120" t="n">
        <v>0.08</v>
      </c>
      <c r="F25" s="120" t="n">
        <v>0.08</v>
      </c>
      <c r="G25" s="120" t="n">
        <v>0.08</v>
      </c>
      <c r="H25" s="120" t="n">
        <v>0.11</v>
      </c>
      <c r="I25" s="120" t="n">
        <v>0.06</v>
      </c>
      <c r="J25" s="120" t="n">
        <v>0.06</v>
      </c>
      <c r="K25" s="120" t="n">
        <v>0.09</v>
      </c>
      <c r="L25" s="120" t="n">
        <v>0.05</v>
      </c>
      <c r="M25" s="120" t="n">
        <v>0.08</v>
      </c>
      <c r="N25" s="120" t="n">
        <v>0.08</v>
      </c>
      <c r="O25" s="120" t="n">
        <v>0.17</v>
      </c>
      <c r="P25" s="77" t="n"/>
    </row>
    <row r="26" ht="15" customHeight="1" s="78">
      <c r="A26" s="119" t="inlineStr">
        <is>
          <t>Francesco</t>
        </is>
      </c>
      <c r="B26" s="107" t="n">
        <v>11</v>
      </c>
      <c r="C26" s="120" t="n">
        <v>0.01</v>
      </c>
      <c r="D26" s="120" t="n">
        <v>0.02</v>
      </c>
      <c r="E26" s="120" t="n">
        <v>0.01</v>
      </c>
      <c r="F26" s="120" t="n">
        <v>0.08</v>
      </c>
      <c r="G26" s="120" t="n">
        <v>0.01</v>
      </c>
      <c r="H26" s="120" t="n">
        <v>0.02</v>
      </c>
      <c r="I26" s="120" t="n">
        <v>0.06</v>
      </c>
      <c r="J26" s="120" t="n">
        <v>0.03</v>
      </c>
      <c r="K26" s="120" t="n">
        <v>0.05</v>
      </c>
      <c r="L26" s="120" t="n">
        <v>0.03</v>
      </c>
      <c r="M26" s="120" t="n">
        <v>0.05</v>
      </c>
      <c r="N26" s="120" t="n">
        <v>0.05</v>
      </c>
      <c r="O26" s="120" t="n">
        <v>0.02</v>
      </c>
      <c r="P26" s="77" t="n"/>
    </row>
    <row r="27" ht="15" customHeight="1" s="78">
      <c r="A27" s="119" t="inlineStr">
        <is>
          <t>Montessori</t>
        </is>
      </c>
      <c r="B27" s="107" t="n">
        <v>9</v>
      </c>
      <c r="C27" s="120" t="n">
        <v>0.01</v>
      </c>
      <c r="D27" s="120" t="n">
        <v>0.01</v>
      </c>
      <c r="E27" s="120" t="n">
        <v>0.04</v>
      </c>
      <c r="F27" s="120" t="n">
        <v>0.01</v>
      </c>
      <c r="G27" s="120" t="n">
        <v>0.04</v>
      </c>
      <c r="H27" s="120" t="n">
        <v>0.03</v>
      </c>
      <c r="I27" s="120" t="n">
        <v>0.05</v>
      </c>
      <c r="J27" s="120" t="n">
        <v>0.06</v>
      </c>
      <c r="K27" s="120" t="n">
        <v>0.04</v>
      </c>
      <c r="L27" s="120" t="n">
        <v>0.05</v>
      </c>
      <c r="M27" s="120" t="n">
        <v>0.04</v>
      </c>
      <c r="N27" s="120" t="n">
        <v>0.04</v>
      </c>
      <c r="O27" s="120" t="n">
        <v>0.05</v>
      </c>
      <c r="P27" s="77" t="n"/>
    </row>
    <row r="28" ht="15" customHeight="1" s="78">
      <c r="A28" s="121" t="inlineStr">
        <is>
          <t>엑스트라(가상)</t>
        </is>
      </c>
      <c r="B28" s="107" t="n">
        <v>10</v>
      </c>
      <c r="C28" s="120" t="n">
        <v>0.02</v>
      </c>
      <c r="D28" s="120" t="n">
        <v>0.14</v>
      </c>
      <c r="E28" s="120" t="n">
        <v>0.16</v>
      </c>
      <c r="F28" s="120" t="n">
        <v>0.12</v>
      </c>
      <c r="G28" s="120" t="n">
        <v>0.11</v>
      </c>
      <c r="H28" s="120" t="n">
        <v>0.04</v>
      </c>
      <c r="I28" s="120" t="n">
        <v>0.03</v>
      </c>
      <c r="J28" s="120" t="n">
        <v>0.02</v>
      </c>
      <c r="K28" s="120" t="n">
        <v>0.02</v>
      </c>
      <c r="L28" s="120" t="n">
        <v>0.02</v>
      </c>
      <c r="M28" s="120" t="n">
        <v>0.02</v>
      </c>
      <c r="N28" s="120" t="n">
        <v>0.03</v>
      </c>
      <c r="O28" s="120" t="n">
        <v>0.02</v>
      </c>
      <c r="P28" s="77" t="n"/>
    </row>
    <row r="29" ht="15" customHeight="1" s="78">
      <c r="A29" s="122" t="inlineStr">
        <is>
          <t>합계</t>
        </is>
      </c>
      <c r="B29" s="123" t="n"/>
      <c r="C29" s="124">
        <f>SUM(C13:C28)</f>
        <v/>
      </c>
      <c r="D29" s="124">
        <f>SUM(D13:D28)</f>
        <v/>
      </c>
      <c r="E29" s="124">
        <f>SUM(E13:E28)</f>
        <v/>
      </c>
      <c r="F29" s="124">
        <f>SUM(F13:F28)</f>
        <v/>
      </c>
      <c r="G29" s="124">
        <f>SUM(G13:G28)</f>
        <v/>
      </c>
      <c r="H29" s="124">
        <f>SUM(H13:H28)</f>
        <v/>
      </c>
      <c r="I29" s="124">
        <f>SUM(I13:I28)</f>
        <v/>
      </c>
      <c r="J29" s="124">
        <f>SUM(J13:J28)</f>
        <v/>
      </c>
      <c r="K29" s="124">
        <f>SUM(K13:K28)</f>
        <v/>
      </c>
      <c r="L29" s="124">
        <f>SUM(L13:L28)</f>
        <v/>
      </c>
      <c r="M29" s="124">
        <f>SUM(M13:M28)</f>
        <v/>
      </c>
      <c r="N29" s="124">
        <f>SUM(N13:N28)</f>
        <v/>
      </c>
      <c r="O29" s="124">
        <f>SUM(O13:O28)</f>
        <v/>
      </c>
      <c r="P29" s="77" t="n"/>
    </row>
    <row r="30" ht="15" customHeight="1" s="78">
      <c r="A30" s="122" t="inlineStr">
        <is>
          <t>검증</t>
        </is>
      </c>
      <c r="B30" s="123" t="n"/>
      <c r="C30" s="123">
        <f>IF(ROUND(C29,4)=1,"OK","확인")</f>
        <v/>
      </c>
      <c r="D30" s="123">
        <f>IF(ROUND(D29,4)=1,"OK","확인")</f>
        <v/>
      </c>
      <c r="E30" s="123">
        <f>IF(ROUND(E29,4)=1,"OK","확인")</f>
        <v/>
      </c>
      <c r="F30" s="123">
        <f>IF(ROUND(F29,4)=1,"OK","확인")</f>
        <v/>
      </c>
      <c r="G30" s="123">
        <f>IF(ROUND(G29,4)=1,"OK","확인")</f>
        <v/>
      </c>
      <c r="H30" s="123">
        <f>IF(ROUND(H29,4)=1,"OK","확인")</f>
        <v/>
      </c>
      <c r="I30" s="123">
        <f>IF(ROUND(I29,4)=1,"OK","확인")</f>
        <v/>
      </c>
      <c r="J30" s="123">
        <f>IF(ROUND(J29,4)=1,"OK","확인")</f>
        <v/>
      </c>
      <c r="K30" s="123">
        <f>IF(ROUND(K29,4)=1,"OK","확인")</f>
        <v/>
      </c>
      <c r="L30" s="123">
        <f>IF(ROUND(L29,4)=1,"OK","확인")</f>
        <v/>
      </c>
      <c r="M30" s="123">
        <f>IF(ROUND(M29,4)=1,"OK","확인")</f>
        <v/>
      </c>
      <c r="N30" s="123">
        <f>IF(ROUND(N29,4)=1,"OK","확인")</f>
        <v/>
      </c>
      <c r="O30" s="123">
        <f>IF(ROUND(O29,4)=1,"OK","확인")</f>
        <v/>
      </c>
      <c r="P30" s="77" t="n"/>
    </row>
    <row r="31" ht="15" customHeight="1" s="78">
      <c r="P31" s="77" t="n"/>
    </row>
    <row r="32" ht="15" customHeight="1" s="78">
      <c r="A32" s="115" t="inlineStr">
        <is>
          <t>3. 부별 턴·단어·낭독 시간 (수식)</t>
        </is>
      </c>
      <c r="P32" s="77" t="n"/>
    </row>
    <row r="33" ht="31.5" customHeight="1" s="78">
      <c r="A33" s="100" t="inlineStr">
        <is>
          <t>부</t>
        </is>
      </c>
      <c r="B33" s="100" t="inlineStr">
        <is>
          <t>난이도
배율</t>
        </is>
      </c>
      <c r="C33" s="100" t="inlineStr">
        <is>
          <t>화당 턴</t>
        </is>
      </c>
      <c r="D33" s="100" t="inlineStr">
        <is>
          <t>부 총 턴</t>
        </is>
      </c>
      <c r="E33" s="100" t="inlineStr">
        <is>
          <t>평균
단어/턴</t>
        </is>
      </c>
      <c r="F33" s="100" t="inlineStr">
        <is>
          <t>화당
단어</t>
        </is>
      </c>
      <c r="G33" s="100" t="inlineStr">
        <is>
          <t>부 총
단어</t>
        </is>
      </c>
      <c r="H33" s="100" t="inlineStr">
        <is>
          <t>화당 낭독
(분)</t>
        </is>
      </c>
      <c r="I33" s="100" t="inlineStr">
        <is>
          <t>부 총 낭독
(시간)</t>
        </is>
      </c>
      <c r="P33" s="77" t="n"/>
    </row>
    <row r="34" ht="15" customHeight="1" s="78">
      <c r="A34" s="125" t="inlineStr">
        <is>
          <t>1부</t>
        </is>
      </c>
      <c r="B34" s="126" t="n">
        <v>0.8</v>
      </c>
      <c r="C34" s="108">
        <f>$B$5</f>
        <v/>
      </c>
      <c r="D34" s="117">
        <f>C34*개요!$C$6</f>
        <v/>
      </c>
      <c r="E34" s="127">
        <f>SUMPRODUCT(C$13:C$28,$B$13:$B$28)*B34</f>
        <v/>
      </c>
      <c r="F34" s="117">
        <f>C34*E34</f>
        <v/>
      </c>
      <c r="G34" s="117">
        <f>F34*개요!$C$6</f>
        <v/>
      </c>
      <c r="H34" s="127">
        <f>F34/$B$6</f>
        <v/>
      </c>
      <c r="I34" s="127">
        <f>H34*개요!$C$6/60</f>
        <v/>
      </c>
      <c r="P34" s="77" t="n"/>
    </row>
    <row r="35" ht="15" customHeight="1" s="78">
      <c r="A35" s="125" t="inlineStr">
        <is>
          <t>2부</t>
        </is>
      </c>
      <c r="B35" s="126" t="n">
        <v>1</v>
      </c>
      <c r="C35" s="108">
        <f>$B$5</f>
        <v/>
      </c>
      <c r="D35" s="117">
        <f>C35*개요!$C$6</f>
        <v/>
      </c>
      <c r="E35" s="127">
        <f>SUMPRODUCT(D$13:D$28,$B$13:$B$28)*B35</f>
        <v/>
      </c>
      <c r="F35" s="117">
        <f>C35*E35</f>
        <v/>
      </c>
      <c r="G35" s="117">
        <f>F35*개요!$C$6</f>
        <v/>
      </c>
      <c r="H35" s="127">
        <f>F35/$B$6</f>
        <v/>
      </c>
      <c r="I35" s="127">
        <f>H35*개요!$C$6/60</f>
        <v/>
      </c>
      <c r="P35" s="77" t="n"/>
    </row>
    <row r="36" ht="15" customHeight="1" s="78">
      <c r="A36" s="125" t="inlineStr">
        <is>
          <t>3부</t>
        </is>
      </c>
      <c r="B36" s="126" t="n">
        <v>1</v>
      </c>
      <c r="C36" s="108">
        <f>$B$5</f>
        <v/>
      </c>
      <c r="D36" s="117">
        <f>C36*개요!$C$6</f>
        <v/>
      </c>
      <c r="E36" s="127">
        <f>SUMPRODUCT(E$13:E$28,$B$13:$B$28)*B36</f>
        <v/>
      </c>
      <c r="F36" s="117">
        <f>C36*E36</f>
        <v/>
      </c>
      <c r="G36" s="117">
        <f>F36*개요!$C$6</f>
        <v/>
      </c>
      <c r="H36" s="127">
        <f>F36/$B$6</f>
        <v/>
      </c>
      <c r="I36" s="127">
        <f>H36*개요!$C$6/60</f>
        <v/>
      </c>
      <c r="P36" s="77" t="n"/>
    </row>
    <row r="37" ht="15" customHeight="1" s="78">
      <c r="A37" s="125" t="inlineStr">
        <is>
          <t>4부</t>
        </is>
      </c>
      <c r="B37" s="126" t="n">
        <v>1</v>
      </c>
      <c r="C37" s="108">
        <f>$B$5</f>
        <v/>
      </c>
      <c r="D37" s="117">
        <f>C37*개요!$C$6</f>
        <v/>
      </c>
      <c r="E37" s="127">
        <f>SUMPRODUCT(F$13:F$28,$B$13:$B$28)*B37</f>
        <v/>
      </c>
      <c r="F37" s="117">
        <f>C37*E37</f>
        <v/>
      </c>
      <c r="G37" s="117">
        <f>F37*개요!$C$6</f>
        <v/>
      </c>
      <c r="H37" s="127">
        <f>F37/$B$6</f>
        <v/>
      </c>
      <c r="I37" s="127">
        <f>H37*개요!$C$6/60</f>
        <v/>
      </c>
      <c r="P37" s="77" t="n"/>
    </row>
    <row r="38" ht="15" customHeight="1" s="78">
      <c r="A38" s="125" t="inlineStr">
        <is>
          <t>5부</t>
        </is>
      </c>
      <c r="B38" s="126" t="n">
        <v>1</v>
      </c>
      <c r="C38" s="108">
        <f>$B$5</f>
        <v/>
      </c>
      <c r="D38" s="117">
        <f>C38*개요!$C$6</f>
        <v/>
      </c>
      <c r="E38" s="127">
        <f>SUMPRODUCT(G$13:G$28,$B$13:$B$28)*B38</f>
        <v/>
      </c>
      <c r="F38" s="117">
        <f>C38*E38</f>
        <v/>
      </c>
      <c r="G38" s="117">
        <f>F38*개요!$C$6</f>
        <v/>
      </c>
      <c r="H38" s="127">
        <f>F38/$B$6</f>
        <v/>
      </c>
      <c r="I38" s="127">
        <f>H38*개요!$C$6/60</f>
        <v/>
      </c>
      <c r="P38" s="77" t="n"/>
    </row>
    <row r="39" ht="15" customHeight="1" s="78">
      <c r="A39" s="125" t="inlineStr">
        <is>
          <t>6부</t>
        </is>
      </c>
      <c r="B39" s="126" t="n">
        <v>1</v>
      </c>
      <c r="C39" s="108">
        <f>$B$5</f>
        <v/>
      </c>
      <c r="D39" s="117">
        <f>C39*개요!$C$6</f>
        <v/>
      </c>
      <c r="E39" s="127">
        <f>SUMPRODUCT(H$13:H$28,$B$13:$B$28)*B39</f>
        <v/>
      </c>
      <c r="F39" s="117">
        <f>C39*E39</f>
        <v/>
      </c>
      <c r="G39" s="117">
        <f>F39*개요!$C$6</f>
        <v/>
      </c>
      <c r="H39" s="127">
        <f>F39/$B$6</f>
        <v/>
      </c>
      <c r="I39" s="127">
        <f>H39*개요!$C$6/60</f>
        <v/>
      </c>
      <c r="P39" s="77" t="n"/>
    </row>
    <row r="40" ht="15" customHeight="1" s="78">
      <c r="A40" s="125" t="inlineStr">
        <is>
          <t>7부</t>
        </is>
      </c>
      <c r="B40" s="126" t="n">
        <v>1</v>
      </c>
      <c r="C40" s="108">
        <f>$B$5</f>
        <v/>
      </c>
      <c r="D40" s="117">
        <f>C40*개요!$C$6</f>
        <v/>
      </c>
      <c r="E40" s="127">
        <f>SUMPRODUCT(I$13:I$28,$B$13:$B$28)*B40</f>
        <v/>
      </c>
      <c r="F40" s="117">
        <f>C40*E40</f>
        <v/>
      </c>
      <c r="G40" s="117">
        <f>F40*개요!$C$6</f>
        <v/>
      </c>
      <c r="H40" s="127">
        <f>F40/$B$6</f>
        <v/>
      </c>
      <c r="I40" s="127">
        <f>H40*개요!$C$6/60</f>
        <v/>
      </c>
      <c r="P40" s="77" t="n"/>
    </row>
    <row r="41" ht="15" customHeight="1" s="78">
      <c r="A41" s="125" t="inlineStr">
        <is>
          <t>8부</t>
        </is>
      </c>
      <c r="B41" s="126" t="n">
        <v>1.1</v>
      </c>
      <c r="C41" s="108">
        <f>$B$5</f>
        <v/>
      </c>
      <c r="D41" s="117">
        <f>C41*개요!$C$6</f>
        <v/>
      </c>
      <c r="E41" s="127">
        <f>SUMPRODUCT(J$13:J$28,$B$13:$B$28)*B41</f>
        <v/>
      </c>
      <c r="F41" s="117">
        <f>C41*E41</f>
        <v/>
      </c>
      <c r="G41" s="117">
        <f>F41*개요!$C$6</f>
        <v/>
      </c>
      <c r="H41" s="127">
        <f>F41/$B$6</f>
        <v/>
      </c>
      <c r="I41" s="127">
        <f>H41*개요!$C$6/60</f>
        <v/>
      </c>
      <c r="P41" s="77" t="n"/>
    </row>
    <row r="42" ht="15" customHeight="1" s="78">
      <c r="A42" s="125" t="inlineStr">
        <is>
          <t>9부</t>
        </is>
      </c>
      <c r="B42" s="126" t="n">
        <v>1.1</v>
      </c>
      <c r="C42" s="108">
        <f>$B$5</f>
        <v/>
      </c>
      <c r="D42" s="117">
        <f>C42*개요!$C$6</f>
        <v/>
      </c>
      <c r="E42" s="127">
        <f>SUMPRODUCT(K$13:K$28,$B$13:$B$28)*B42</f>
        <v/>
      </c>
      <c r="F42" s="117">
        <f>C42*E42</f>
        <v/>
      </c>
      <c r="G42" s="117">
        <f>F42*개요!$C$6</f>
        <v/>
      </c>
      <c r="H42" s="127">
        <f>F42/$B$6</f>
        <v/>
      </c>
      <c r="I42" s="127">
        <f>H42*개요!$C$6/60</f>
        <v/>
      </c>
      <c r="P42" s="77" t="n"/>
    </row>
    <row r="43" ht="15" customHeight="1" s="78">
      <c r="A43" s="125" t="inlineStr">
        <is>
          <t>10부</t>
        </is>
      </c>
      <c r="B43" s="126" t="n">
        <v>1.2</v>
      </c>
      <c r="C43" s="108">
        <f>$B$5</f>
        <v/>
      </c>
      <c r="D43" s="117">
        <f>C43*개요!$C$6</f>
        <v/>
      </c>
      <c r="E43" s="127">
        <f>SUMPRODUCT(L$13:L$28,$B$13:$B$28)*B43</f>
        <v/>
      </c>
      <c r="F43" s="117">
        <f>C43*E43</f>
        <v/>
      </c>
      <c r="G43" s="117">
        <f>F43*개요!$C$6</f>
        <v/>
      </c>
      <c r="H43" s="127">
        <f>F43/$B$6</f>
        <v/>
      </c>
      <c r="I43" s="127">
        <f>H43*개요!$C$6/60</f>
        <v/>
      </c>
      <c r="P43" s="77" t="n"/>
    </row>
    <row r="44" ht="15" customHeight="1" s="78">
      <c r="A44" s="125" t="inlineStr">
        <is>
          <t>11부</t>
        </is>
      </c>
      <c r="B44" s="126" t="n">
        <v>1.2</v>
      </c>
      <c r="C44" s="108">
        <f>$B$5</f>
        <v/>
      </c>
      <c r="D44" s="117">
        <f>C44*개요!$C$6</f>
        <v/>
      </c>
      <c r="E44" s="127">
        <f>SUMPRODUCT(M$13:M$28,$B$13:$B$28)*B44</f>
        <v/>
      </c>
      <c r="F44" s="117">
        <f>C44*E44</f>
        <v/>
      </c>
      <c r="G44" s="117">
        <f>F44*개요!$C$6</f>
        <v/>
      </c>
      <c r="H44" s="127">
        <f>F44/$B$6</f>
        <v/>
      </c>
      <c r="I44" s="127">
        <f>H44*개요!$C$6/60</f>
        <v/>
      </c>
      <c r="P44" s="77" t="n"/>
    </row>
    <row r="45" ht="15" customHeight="1" s="78">
      <c r="A45" s="125" t="inlineStr">
        <is>
          <t>12부</t>
        </is>
      </c>
      <c r="B45" s="126" t="n">
        <v>1.2</v>
      </c>
      <c r="C45" s="108">
        <f>$B$5</f>
        <v/>
      </c>
      <c r="D45" s="117">
        <f>C45*개요!$C$6</f>
        <v/>
      </c>
      <c r="E45" s="127">
        <f>SUMPRODUCT(N$13:N$28,$B$13:$B$28)*B45</f>
        <v/>
      </c>
      <c r="F45" s="117">
        <f>C45*E45</f>
        <v/>
      </c>
      <c r="G45" s="117">
        <f>F45*개요!$C$6</f>
        <v/>
      </c>
      <c r="H45" s="127">
        <f>F45/$B$6</f>
        <v/>
      </c>
      <c r="I45" s="127">
        <f>H45*개요!$C$6/60</f>
        <v/>
      </c>
      <c r="P45" s="77" t="n"/>
    </row>
    <row r="46" ht="15" customHeight="1" s="78">
      <c r="A46" s="125" t="inlineStr">
        <is>
          <t>13부</t>
        </is>
      </c>
      <c r="B46" s="126" t="n">
        <v>0.8</v>
      </c>
      <c r="C46" s="108">
        <f>$B$5</f>
        <v/>
      </c>
      <c r="D46" s="117">
        <f>C46*개요!$C$6</f>
        <v/>
      </c>
      <c r="E46" s="127">
        <f>SUMPRODUCT(O$13:O$28,$B$13:$B$28)*B46</f>
        <v/>
      </c>
      <c r="F46" s="117">
        <f>C46*E46</f>
        <v/>
      </c>
      <c r="G46" s="117">
        <f>F46*개요!$C$6</f>
        <v/>
      </c>
      <c r="H46" s="127">
        <f>F46/$B$6</f>
        <v/>
      </c>
      <c r="I46" s="127">
        <f>H46*개요!$C$6/60</f>
        <v/>
      </c>
      <c r="P46" s="77" t="n"/>
    </row>
    <row r="47" ht="15" customHeight="1" s="78">
      <c r="A47" s="128" t="inlineStr">
        <is>
          <t>전체</t>
        </is>
      </c>
      <c r="B47" s="129" t="n"/>
      <c r="C47" s="129" t="n"/>
      <c r="D47" s="129">
        <f>SUM(D34:D46)</f>
        <v/>
      </c>
      <c r="E47" s="130">
        <f>G47/D47</f>
        <v/>
      </c>
      <c r="F47" s="129">
        <f>AVERAGE(F34:F46)</f>
        <v/>
      </c>
      <c r="G47" s="129">
        <f>SUM(G34:G46)</f>
        <v/>
      </c>
      <c r="H47" s="130">
        <f>AVERAGE(H34:H46)</f>
        <v/>
      </c>
      <c r="I47" s="130">
        <f>SUM(I34:I46)</f>
        <v/>
      </c>
      <c r="P47" s="77" t="n"/>
    </row>
    <row r="48" ht="15" customHeight="1" s="78">
      <c r="A48" s="97" t="inlineStr">
        <is>
          <t>※ 난이도 배율: 1·13부(B1~B2)는 짧게 0.8, 10~12부(C1~C2)는 길게 1.2. 화당 단어는 '평균 단어/턴 × 120턴', 낭독 시간은 낭독 속도로 환산한 추정치.</t>
        </is>
      </c>
      <c r="P48" s="77" t="n"/>
    </row>
    <row r="49" ht="15" customHeight="1" s="78">
      <c r="P49" s="77" t="n"/>
    </row>
    <row r="50" ht="15" customHeight="1" s="78">
      <c r="A50" s="115" t="inlineStr">
        <is>
          <t>4. 화 유형별 턴 구성 (합계 = 화당 120턴)</t>
        </is>
      </c>
      <c r="P50" s="77" t="n"/>
    </row>
    <row r="51" ht="15" customHeight="1" s="78">
      <c r="A51" s="100" t="inlineStr">
        <is>
          <t>화 유형</t>
        </is>
      </c>
      <c r="B51" s="100" t="inlineStr">
        <is>
          <t>도입</t>
        </is>
      </c>
      <c r="C51" s="100" t="inlineStr">
        <is>
          <t>장면 1</t>
        </is>
      </c>
      <c r="D51" s="100" t="inlineStr">
        <is>
          <t>장면 2</t>
        </is>
      </c>
      <c r="E51" s="100" t="inlineStr">
        <is>
          <t>절정·전환</t>
        </is>
      </c>
      <c r="F51" s="100" t="inlineStr">
        <is>
          <t>마무리</t>
        </is>
      </c>
      <c r="G51" s="100" t="inlineStr">
        <is>
          <t>합계</t>
        </is>
      </c>
      <c r="H51" s="100" t="inlineStr">
        <is>
          <t>검증</t>
        </is>
      </c>
      <c r="I51" s="100" t="inlineStr">
        <is>
          <t>적용</t>
        </is>
      </c>
      <c r="J51" s="131" t="n"/>
      <c r="K51" s="131" t="n"/>
      <c r="L51" s="131" t="n"/>
      <c r="M51" s="131" t="n"/>
      <c r="N51" s="131" t="n"/>
      <c r="O51" s="132" t="n"/>
      <c r="P51" s="77" t="n"/>
    </row>
    <row r="52" ht="15" customHeight="1" s="78">
      <c r="A52" s="133" t="inlineStr">
        <is>
          <t>일반 화</t>
        </is>
      </c>
      <c r="B52" s="134" t="n">
        <v>15</v>
      </c>
      <c r="C52" s="134" t="n">
        <v>35</v>
      </c>
      <c r="D52" s="134" t="n">
        <v>30</v>
      </c>
      <c r="E52" s="134" t="n">
        <v>25</v>
      </c>
      <c r="F52" s="134" t="n">
        <v>15</v>
      </c>
      <c r="G52" s="135">
        <f>SUM(B52:F52)</f>
        <v/>
      </c>
      <c r="H52" s="135">
        <f>IF(G52=$B$5,"OK","확인")</f>
        <v/>
      </c>
      <c r="I52" s="136" t="inlineStr">
        <is>
          <t>발단·전개·위기 화 대부분</t>
        </is>
      </c>
      <c r="J52" s="131" t="n"/>
      <c r="K52" s="131" t="n"/>
      <c r="L52" s="131" t="n"/>
      <c r="M52" s="131" t="n"/>
      <c r="N52" s="131" t="n"/>
      <c r="O52" s="132" t="n"/>
      <c r="P52" s="77" t="n"/>
    </row>
    <row r="53" ht="15" customHeight="1" s="78">
      <c r="A53" s="133" t="inlineStr">
        <is>
          <t>프레임 화</t>
        </is>
      </c>
      <c r="B53" s="134" t="n">
        <v>15</v>
      </c>
      <c r="C53" s="134" t="n">
        <v>30</v>
      </c>
      <c r="D53" s="134" t="n">
        <v>30</v>
      </c>
      <c r="E53" s="134" t="n">
        <v>25</v>
      </c>
      <c r="F53" s="134" t="n">
        <v>20</v>
      </c>
      <c r="G53" s="135">
        <f>SUM(B53:F53)</f>
        <v/>
      </c>
      <c r="H53" s="135">
        <f>IF(G53=$B$5,"OK","확인")</f>
        <v/>
      </c>
      <c r="I53" s="137" t="inlineStr">
        <is>
          <t>2~5부 1·5·9·12화: 금요일 프레임(도입·마무리)과 과거 장면</t>
        </is>
      </c>
      <c r="J53" s="131" t="n"/>
      <c r="K53" s="131" t="n"/>
      <c r="L53" s="131" t="n"/>
      <c r="M53" s="131" t="n"/>
      <c r="N53" s="131" t="n"/>
      <c r="O53" s="132" t="n"/>
      <c r="P53" s="77" t="n"/>
    </row>
    <row r="54" ht="15" customHeight="1" s="78">
      <c r="A54" s="133" t="inlineStr">
        <is>
          <t>폭발·감정 정점 화</t>
        </is>
      </c>
      <c r="B54" s="134" t="n">
        <v>15</v>
      </c>
      <c r="C54" s="134" t="n">
        <v>30</v>
      </c>
      <c r="D54" s="134" t="n">
        <v>25</v>
      </c>
      <c r="E54" s="134" t="n">
        <v>35</v>
      </c>
      <c r="F54" s="134" t="n">
        <v>15</v>
      </c>
      <c r="G54" s="135">
        <f>SUM(B54:F54)</f>
        <v/>
      </c>
      <c r="H54" s="135">
        <f>IF(G54=$B$5,"OK","확인")</f>
        <v/>
      </c>
      <c r="I54" s="137" t="inlineStr">
        <is>
          <t>1부 6화, 9부 6화 등 인물의 감정이 터지는 화</t>
        </is>
      </c>
      <c r="J54" s="131" t="n"/>
      <c r="K54" s="131" t="n"/>
      <c r="L54" s="131" t="n"/>
      <c r="M54" s="131" t="n"/>
      <c r="N54" s="131" t="n"/>
      <c r="O54" s="132" t="n"/>
      <c r="P54" s="77" t="n"/>
    </row>
    <row r="55" ht="15" customHeight="1" s="78">
      <c r="A55" s="133" t="inlineStr">
        <is>
          <t>표결·절차 화</t>
        </is>
      </c>
      <c r="B55" s="134" t="n">
        <v>15</v>
      </c>
      <c r="C55" s="134" t="n">
        <v>30</v>
      </c>
      <c r="D55" s="134" t="n">
        <v>25</v>
      </c>
      <c r="E55" s="134" t="n">
        <v>35</v>
      </c>
      <c r="F55" s="134" t="n">
        <v>15</v>
      </c>
      <c r="G55" s="135">
        <f>SUM(B55:F55)</f>
        <v/>
      </c>
      <c r="H55" s="135">
        <f>IF(G55=$B$5,"OK","확인")</f>
        <v/>
      </c>
      <c r="I55" s="137" t="inlineStr">
        <is>
          <t>10부 7·12화 신임 투표, 12부 7화 불신임안 (양원 의장의 결과 낭독 포함)</t>
        </is>
      </c>
      <c r="J55" s="131" t="n"/>
      <c r="K55" s="131" t="n"/>
      <c r="L55" s="131" t="n"/>
      <c r="M55" s="131" t="n"/>
      <c r="N55" s="131" t="n"/>
      <c r="O55" s="132" t="n"/>
      <c r="P55" s="77" t="n"/>
    </row>
    <row r="56" ht="15" customHeight="1" s="78">
      <c r="A56" s="133" t="inlineStr">
        <is>
          <t>재난·추도 화</t>
        </is>
      </c>
      <c r="B56" s="134" t="n">
        <v>10</v>
      </c>
      <c r="C56" s="134" t="n">
        <v>30</v>
      </c>
      <c r="D56" s="134" t="n">
        <v>30</v>
      </c>
      <c r="E56" s="134" t="n">
        <v>40</v>
      </c>
      <c r="F56" s="134" t="n">
        <v>10</v>
      </c>
      <c r="G56" s="135">
        <f>SUM(B56:F56)</f>
        <v/>
      </c>
      <c r="H56" s="135">
        <f>IF(G56=$B$5,"OK","확인")</f>
        <v/>
      </c>
      <c r="I56" s="137" t="inlineStr">
        <is>
          <t>11부 12화(Cesare의 죽음), 12부 1화(장례식), 12부 8화(홍수)</t>
        </is>
      </c>
      <c r="J56" s="131" t="n"/>
      <c r="K56" s="131" t="n"/>
      <c r="L56" s="131" t="n"/>
      <c r="M56" s="131" t="n"/>
      <c r="N56" s="131" t="n"/>
      <c r="O56" s="132" t="n"/>
      <c r="P56" s="77" t="n"/>
    </row>
    <row r="57" ht="15" customHeight="1" s="78">
      <c r="A57" s="133" t="inlineStr">
        <is>
          <t>원형·회고 화</t>
        </is>
      </c>
      <c r="B57" s="134" t="n">
        <v>20</v>
      </c>
      <c r="C57" s="134" t="n">
        <v>25</v>
      </c>
      <c r="D57" s="134" t="n">
        <v>25</v>
      </c>
      <c r="E57" s="134" t="n">
        <v>25</v>
      </c>
      <c r="F57" s="134" t="n">
        <v>25</v>
      </c>
      <c r="G57" s="135">
        <f>SUM(B57:F57)</f>
        <v/>
      </c>
      <c r="H57" s="135">
        <f>IF(G57=$B$5,"OK","확인")</f>
        <v/>
      </c>
      <c r="I57" s="137" t="inlineStr">
        <is>
          <t>13부 1·11·12화: 1부 대사를 되풀이하고 마무리를 길게</t>
        </is>
      </c>
      <c r="J57" s="131" t="n"/>
      <c r="K57" s="131" t="n"/>
      <c r="L57" s="131" t="n"/>
      <c r="M57" s="131" t="n"/>
      <c r="N57" s="131" t="n"/>
      <c r="O57" s="132" t="n"/>
      <c r="P57" s="77" t="n"/>
    </row>
    <row r="58" ht="15" customHeight="1" s="78">
      <c r="P58" s="77" t="n"/>
    </row>
    <row r="59" ht="15" customHeight="1" s="78">
      <c r="A59" s="115" t="inlineStr">
        <is>
          <t>5. 집필 규칙</t>
        </is>
      </c>
      <c r="P59" s="77" t="n"/>
    </row>
    <row r="60" ht="15" customHeight="1" s="78">
      <c r="A60" s="114" t="inlineStr">
        <is>
          <t>1. 1부는 한 턴 15단어 이내를 지킨다. 연설·조항·기사·카드처럼 긴 낭독은 예외로 두되 1턴으로 세고, 화당 최대 3개까지만 쓴다.</t>
        </is>
      </c>
      <c r="P60" s="77" t="n"/>
    </row>
    <row r="61" ht="15" customHeight="1" s="78">
      <c r="A61" s="114" t="inlineStr">
        <is>
          <t>2. 지문이 없으므로 장소·시간·행동을 알리는 턴이 화당 5~10턴 필요하다 (Rosa의 시간 안내, Garibaldi의 보고, 양원 의장의 결과 낭독 등).</t>
        </is>
      </c>
      <c r="P61" s="77" t="n"/>
    </row>
    <row r="62" ht="15" customHeight="1" s="78">
      <c r="A62" s="114" t="inlineStr">
        <is>
          <t>3. Sofia의 질문 → 쉬운 재설명 짝은 화당 3~6쌍(6~12턴)을 기본으로 한다. 어려운 용어를 도입할 때 반드시 사용한다.</t>
        </is>
      </c>
      <c r="P62" s="77" t="n"/>
    </row>
    <row r="63" ht="15" customHeight="1" s="78">
      <c r="A63" s="114" t="inlineStr">
        <is>
          <t>4. 시그니처 표현은 화자당 1~2회. 120턴 안에서 같은 시그니처가 반복되지 않게 배분한다.</t>
        </is>
      </c>
      <c r="P63" s="77" t="n"/>
    </row>
    <row r="64" ht="15" customHeight="1" s="78">
      <c r="A64" s="114" t="inlineStr">
        <is>
          <t>5. 화자 점유율은 턴 수 기준이다. Sofia처럼 턴은 많지만 짧게 말하는 인물은 평균 단어/턴을 낮게 잡았다. Machiavelli는 스페인판에 없던 인물이라 엑스트라 몫에서 점유율을 떼어 배정했다.</t>
        </is>
      </c>
      <c r="P64" s="77" t="n"/>
    </row>
    <row r="65" ht="15" customHeight="1" s="78">
      <c r="A65" s="114" t="inlineStr">
        <is>
          <t>6. 표의 파란 숫자는 가정값이다. 1부 1~3화 대본을 쓴 뒤 실제 턴·단어 수를 재서 점유율과 평균 단어/턴을 교정한다.</t>
        </is>
      </c>
      <c r="P65" s="77" t="n"/>
    </row>
    <row r="66" ht="15" customHeight="1" s="78">
      <c r="P66" s="77" t="n"/>
    </row>
    <row r="67" ht="15" customHeight="1" s="78">
      <c r="P67" s="77" t="n"/>
    </row>
    <row r="68" ht="15" customHeight="1" s="78">
      <c r="P68" s="77" t="n"/>
    </row>
    <row r="69" ht="15" customHeight="1" s="78">
      <c r="P69" s="77" t="n"/>
    </row>
    <row r="70" ht="15" customHeight="1" s="78">
      <c r="P70" s="77" t="n"/>
    </row>
  </sheetData>
  <mergeCells count="13">
    <mergeCell ref="A65:O65"/>
    <mergeCell ref="I53:O53"/>
    <mergeCell ref="I52:O52"/>
    <mergeCell ref="A63:O63"/>
    <mergeCell ref="A64:O64"/>
    <mergeCell ref="I56:O56"/>
    <mergeCell ref="A60:O60"/>
    <mergeCell ref="I57:O57"/>
    <mergeCell ref="I51:O51"/>
    <mergeCell ref="A61:O61"/>
    <mergeCell ref="I54:O54"/>
    <mergeCell ref="I55:O55"/>
    <mergeCell ref="A62:O6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tabColor rgb="FF1F3864"/>
    <outlinePr summaryBelow="1" summaryRight="1"/>
    <pageSetUpPr fitToPage="1"/>
  </sheetPr>
  <dimension ref="A1:H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77" min="1" max="1"/>
    <col width="30" customWidth="1" style="77" min="2" max="2"/>
    <col width="22" customWidth="1" style="77" min="3" max="3"/>
    <col width="32" customWidth="1" style="77" min="4" max="4"/>
    <col width="56" customWidth="1" style="77" min="5" max="5"/>
    <col width="11" customWidth="1" style="77" min="6" max="6"/>
    <col width="48" customWidth="1" style="77" min="7" max="7"/>
    <col width="10" customWidth="1" style="77" min="8" max="8"/>
  </cols>
  <sheetData>
    <row r="1" ht="24" customHeight="1" s="78">
      <c r="A1" s="79" t="inlineStr">
        <is>
          <t>13부 구성 (13부 × 12화 = 156화)</t>
        </is>
      </c>
    </row>
    <row r="2" ht="15" customHeight="1" s="78">
      <c r="A2" s="97" t="inlineStr">
        <is>
          <t>정치 파트(8~12부)는 이탈리아의 현실 정치 제도에 맞춰 재설계했습니다. 화별 목차는 '화별목차_전체', 제도 근거는 '정치제도' 시트.</t>
        </is>
      </c>
    </row>
    <row r="4" ht="29.25" customHeight="1" s="78">
      <c r="A4" s="100" t="inlineStr">
        <is>
          <t>부</t>
        </is>
      </c>
      <c r="B4" s="100" t="inlineStr">
        <is>
          <t>제목 (IT)</t>
        </is>
      </c>
      <c r="C4" s="100" t="inlineStr">
        <is>
          <t>한국어</t>
        </is>
      </c>
      <c r="D4" s="100" t="inlineStr">
        <is>
          <t>배경</t>
        </is>
      </c>
      <c r="E4" s="100" t="inlineStr">
        <is>
          <t>핵심 내용</t>
        </is>
      </c>
      <c r="F4" s="100" t="inlineStr">
        <is>
          <t>난이도
(CEFR)</t>
        </is>
      </c>
      <c r="G4" s="100" t="inlineStr">
        <is>
          <t>반영 제도·전문 영역</t>
        </is>
      </c>
      <c r="H4" s="100" t="inlineStr">
        <is>
          <t>시점</t>
        </is>
      </c>
    </row>
    <row r="5" ht="42" customHeight="1" s="78">
      <c r="A5" s="101" t="n">
        <v>1</v>
      </c>
      <c r="B5" s="85" t="inlineStr">
        <is>
          <t>Lo Studio di Testaccio</t>
        </is>
      </c>
      <c r="C5" s="86" t="inlineStr">
        <is>
          <t>테스타초 사무소</t>
        </is>
      </c>
      <c r="D5" s="85" t="inlineStr">
        <is>
          <t>Testaccio의 작은 사무실 (1층은 Rosa의 트라토리아), 개소 1개월 후</t>
        </is>
      </c>
      <c r="E5" s="86" t="inlineStr">
        <is>
          <t>이미 한 달째 좌충우돌 중인 팀이 이웃들의 사건 6개를 2화씩(도입→해결) 풀어 간다. 자기소개 대신 '이 사람들이 어쩌다 이렇게 됐지?' 하는 궁금증(In medias res)으로 시작.</t>
        </is>
      </c>
      <c r="F5" s="101" t="inlineStr">
        <is>
          <t>B1</t>
        </is>
      </c>
      <c r="G5" s="86" t="inlineStr">
        <is>
          <t>생활 법률·노동·의료·금융 기초 어휘, 반복되는 말다툼, Sofia 1차 폭발(6화)</t>
        </is>
      </c>
      <c r="H5" s="103" t="inlineStr">
        <is>
          <t>현재(개소 후 1개월)</t>
        </is>
      </c>
    </row>
    <row r="6" ht="29.25" customHeight="1" s="78">
      <c r="A6" s="101" t="n">
        <v>2</v>
      </c>
      <c r="B6" s="85" t="inlineStr">
        <is>
          <t>L'Avvocato</t>
        </is>
      </c>
      <c r="C6" s="86" t="inlineStr">
        <is>
          <t>변호사</t>
        </is>
      </c>
      <c r="D6" s="85" t="inlineStr">
        <is>
          <t>Prati(Piazza Cavour 법원가)의 대형 로펌</t>
        </is>
      </c>
      <c r="E6" s="86" t="inlineStr">
        <is>
          <t>승소율 100%의 이면: 갱신 거절로 비운 건물이 Marco의 결핍이 된다.</t>
        </is>
      </c>
      <c r="F6" s="101" t="inlineStr">
        <is>
          <t>B2~C1</t>
        </is>
      </c>
      <c r="G6" s="86" t="inlineStr">
        <is>
          <t>임대차(legge 431/1998), 소송, 퇴거 확인 절차(convalida di sfratto)</t>
        </is>
      </c>
      <c r="H6" s="103" t="inlineStr">
        <is>
          <t>과거</t>
        </is>
      </c>
    </row>
    <row r="7" ht="29.25" customHeight="1" s="78">
      <c r="A7" s="101" t="n">
        <v>3</v>
      </c>
      <c r="B7" s="85" t="inlineStr">
        <is>
          <t>La Dottoressa</t>
        </is>
      </c>
      <c r="C7" s="86" t="inlineStr">
        <is>
          <t>의사</t>
        </is>
      </c>
      <c r="D7" s="85" t="inlineStr">
        <is>
          <t>San Camillo 응급실 (가상 설정)</t>
        </is>
      </c>
      <c r="E7" s="86" t="inlineStr">
        <is>
          <t>예산 삭감과 외주 압박 속에서 치료받지 못하는 환자들. Giulia의 이름 목록.</t>
        </is>
      </c>
      <c r="F7" s="101" t="inlineStr">
        <is>
          <t>B2~C1</t>
        </is>
      </c>
      <c r="G7" s="86" t="inlineStr">
        <is>
          <t>의학·보건행정, 주 보건서비스(SSR Lazio·ASL), 병원 외주(esternalizzazione)</t>
        </is>
      </c>
      <c r="H7" s="103" t="inlineStr">
        <is>
          <t>과거</t>
        </is>
      </c>
    </row>
    <row r="8" ht="29.25" customHeight="1" s="78">
      <c r="A8" s="101" t="n">
        <v>4</v>
      </c>
      <c r="B8" s="85" t="inlineStr">
        <is>
          <t>Il Revisore</t>
        </is>
      </c>
      <c r="C8" s="86" t="inlineStr">
        <is>
          <t>회계사</t>
        </is>
      </c>
      <c r="D8" s="85" t="inlineStr">
        <is>
          <t>Conti Revisori</t>
        </is>
      </c>
      <c r="E8" s="86" t="inlineStr">
        <is>
          <t>역외 탈세·자금세탁 정황을 발견하지만 조직의 묵인 압박. 서명하지 않겠다는 다짐의 기원.</t>
        </is>
      </c>
      <c r="F8" s="101" t="inlineStr">
        <is>
          <t>B2~C1</t>
        </is>
      </c>
      <c r="G8" s="86" t="inlineStr">
        <is>
          <t>법정 감사(d.lgs. 39/2010), 자금세탁방지(d.lgs. 231/2007)</t>
        </is>
      </c>
      <c r="H8" s="103" t="inlineStr">
        <is>
          <t>과거</t>
        </is>
      </c>
    </row>
    <row r="9" ht="29.25" customHeight="1" s="78">
      <c r="A9" s="101" t="n">
        <v>5</v>
      </c>
      <c r="B9" s="85" t="inlineStr">
        <is>
          <t>La Consulente</t>
        </is>
      </c>
      <c r="C9" s="86" t="inlineStr">
        <is>
          <t>컨설턴트</t>
        </is>
      </c>
      <c r="D9" s="85" t="inlineStr">
        <is>
          <t>Zenit Consulting (EUR 오피스 타워 32층)</t>
        </is>
      </c>
      <c r="E9" s="86" t="inlineStr">
        <is>
          <t>구조조정 엑셀 한 칸이 수백 명의 실직이었음을 깨닫는다. Paolo와의 첫 접점.</t>
        </is>
      </c>
      <c r="F9" s="101" t="inlineStr">
        <is>
          <t>B2~C1</t>
        </is>
      </c>
      <c r="G9" s="86" t="inlineStr">
        <is>
          <t>경영 전략, 집단해고(legge 223/1991), 노동법</t>
        </is>
      </c>
      <c r="H9" s="103" t="inlineStr">
        <is>
          <t>과거</t>
        </is>
      </c>
    </row>
    <row r="10" ht="29.25" customHeight="1" s="78">
      <c r="A10" s="101" t="n">
        <v>6</v>
      </c>
      <c r="B10" s="85" t="inlineStr">
        <is>
          <t>L'Incontro</t>
        </is>
      </c>
      <c r="C10" s="86" t="inlineStr">
        <is>
          <t>운명적 만남</t>
        </is>
      </c>
      <c r="D10" s="85" t="inlineStr">
        <is>
          <t>Quarticciolo의 서민 주거 단지, 작은 바</t>
        </is>
      </c>
      <c r="E10" s="86" t="inlineStr">
        <is>
          <t>강제 퇴거와 의료 방치가 한 건으로 얽힌 사건에서 네 사람이 만나 사무소를 차리기로 한다.</t>
        </is>
      </c>
      <c r="F10" s="101" t="inlineStr">
        <is>
          <t>B2</t>
        </is>
      </c>
      <c r="G10" s="86" t="inlineStr">
        <is>
          <t>협상·설득 구어체</t>
        </is>
      </c>
      <c r="H10" s="103" t="inlineStr">
        <is>
          <t>현재로 수렴</t>
        </is>
      </c>
    </row>
    <row r="11" ht="29.25" customHeight="1" s="78">
      <c r="A11" s="101" t="n">
        <v>7</v>
      </c>
      <c r="B11" s="85" t="inlineStr">
        <is>
          <t>La Rete della Resistenza</t>
        </is>
      </c>
      <c r="C11" s="86" t="inlineStr">
        <is>
          <t>사무소 2탄: 전면전</t>
        </is>
      </c>
      <c r="D11" s="86" t="inlineStr">
        <is>
          <t>법원(Piazzale Clodio), Campidoglio 앞, 로마 전역</t>
        </is>
      </c>
      <c r="E11" s="86" t="inlineStr">
        <is>
          <t>부당 해고·의료 사고·탈세 대기업 상대 집단 대응. 내부 제보자를 보호하고 검찰에 고발한다.</t>
        </is>
      </c>
      <c r="F11" s="101" t="inlineStr">
        <is>
          <t>B2~C1</t>
        </is>
      </c>
      <c r="G11" s="86" t="inlineStr">
        <is>
          <t>검찰 고발(esposto-denuncia), 민사 당사자(parte civile), ANAC, 내부고발자 보호(d.lgs. 24/2023)</t>
        </is>
      </c>
      <c r="H11" s="103" t="inlineStr">
        <is>
          <t>과거→현재</t>
        </is>
      </c>
    </row>
    <row r="12" ht="29.25" customHeight="1" s="78">
      <c r="A12" s="101" t="n">
        <v>8</v>
      </c>
      <c r="B12" s="85" t="inlineStr">
        <is>
          <t>Il Risveglio Civico</t>
        </is>
      </c>
      <c r="C12" s="86" t="inlineStr">
        <is>
          <t>정치적 각성과 창당</t>
        </is>
      </c>
      <c r="D12" s="85" t="inlineStr">
        <is>
          <t>Piazza San Giovanni, 시민 집회</t>
        </is>
      </c>
      <c r="E12" s="86" t="inlineStr">
        <is>
          <t>폐지 국민투표가 정족수에 막히자 스스로 정당 «Casa Comune»를 창당해 첫 로마 시의회·라치오 주의회 선거에 나선다.</t>
        </is>
      </c>
      <c r="F12" s="101" t="inlineStr">
        <is>
          <t>B2~C1</t>
        </is>
      </c>
      <c r="G12" s="86" t="inlineStr">
        <is>
          <t>집회 사전 통지, 폐지 국민투표(헌법 제75조), 정당 등록부(d.l. 149/2013), 정당 재정, 선거운동 규칙</t>
        </is>
      </c>
      <c r="H12" s="103" t="inlineStr">
        <is>
          <t>정치</t>
        </is>
      </c>
    </row>
    <row r="13" ht="29.25" customHeight="1" s="78">
      <c r="A13" s="101" t="n">
        <v>9</v>
      </c>
      <c r="B13" s="85" t="inlineStr">
        <is>
          <t>In Campidoglio e alla Pisana</t>
        </is>
      </c>
      <c r="C13" s="86" t="inlineStr">
        <is>
          <t>시의회와 주의회</t>
        </is>
      </c>
      <c r="D13" s="85" t="inlineStr">
        <is>
          <t>Campidoglio(Assemblea Capitolina), 라치오 주의회(Via della Pisana)</t>
        </is>
      </c>
      <c r="E13" s="85" t="inlineStr">
        <is>
          <t>Alessandro는 시의회에서 예산을, Giulia는 주의회에서 보건을 파고든다. 스캔들 폭로와 Sofia의 2차 폭발.</t>
        </is>
      </c>
      <c r="F13" s="101" t="inlineStr">
        <is>
          <t>C1</t>
        </is>
      </c>
      <c r="G13" s="86" t="inlineStr">
        <is>
          <t>시의회 운영(TUEL), 시 예산, 공공계약(d.lgs. 36/2023), 주 권한(보건·도시계획), 검찰 고발</t>
        </is>
      </c>
      <c r="H13" s="103" t="inlineStr">
        <is>
          <t>정치</t>
        </is>
      </c>
    </row>
    <row r="14" ht="29.25" customHeight="1" s="78">
      <c r="A14" s="101" t="n">
        <v>10</v>
      </c>
      <c r="B14" s="85" t="inlineStr">
        <is>
          <t>Verso Palazzo Chigi</t>
        </is>
      </c>
      <c r="C14" s="86" t="inlineStr">
        <is>
          <t>총선에서 총리 취임까지</t>
        </is>
      </c>
      <c r="D14" s="85" t="inlineStr">
        <is>
          <t>Montecitorio, Palazzo Madama, Quirinale, Palazzo Chigi</t>
        </is>
      </c>
      <c r="E14" s="86" t="inlineStr">
        <is>
          <t>해산·총선·개원·대통령 협의·첫 정부의 신임 부결·탐색 위임·재선거·상원 1표 차 신임.</t>
        </is>
      </c>
      <c r="F14" s="101" t="inlineStr">
        <is>
          <t>C1~C2</t>
        </is>
      </c>
      <c r="G14" s="86" t="inlineStr">
        <is>
          <t>선거 절차(legge 165/2017), 개원, 조각 위임(헌법 제92조), 신임(제94조), 해산(제88조), Quirinale 선서</t>
        </is>
      </c>
      <c r="H14" s="103" t="inlineStr">
        <is>
          <t>정치</t>
        </is>
      </c>
    </row>
    <row r="15" ht="42" customHeight="1" s="78">
      <c r="A15" s="101" t="n">
        <v>11</v>
      </c>
      <c r="B15" s="85" t="inlineStr">
        <is>
          <t>La Grande Battaglia Sociale I</t>
        </is>
      </c>
      <c r="C15" s="86" t="inlineStr">
        <is>
          <t>사회 현안 전투 I</t>
        </is>
      </c>
      <c r="D15" s="85" t="inlineStr">
        <is>
          <t>Palazzo Chigi, Consiglio dei Ministri, 브뤼셀</t>
        </is>
      </c>
      <c r="E15" s="86" t="inlineStr">
        <is>
          <t>연립 정부로 주거·보건·이민·청년·물가 국내 현안을 돌파한 뒤, Cesare가 직접 브뤼셀 협상(NATO 방위비·EU 재정규칙)에 나서 승리하고 귀국 직후 두 번째 죽음을 맞는다.</t>
        </is>
      </c>
      <c r="F15" s="101" t="inlineStr">
        <is>
          <t>C1~C2</t>
        </is>
      </c>
      <c r="G15" s="85" t="inlineStr">
        <is>
          <t>Consiglio dei Ministri, 국가–주 협의회, NATO 방위비 목표(2025 헤이그 합의), EU 과도한 재정적자 절차</t>
        </is>
      </c>
      <c r="H15" s="103" t="inlineStr">
        <is>
          <t>정치</t>
        </is>
      </c>
    </row>
    <row r="16" ht="42" customHeight="1" s="78">
      <c r="A16" s="101" t="n">
        <v>12</v>
      </c>
      <c r="B16" s="85" t="inlineStr">
        <is>
          <t>La Grande Battaglia Sociale II</t>
        </is>
      </c>
      <c r="C16" s="86" t="inlineStr">
        <is>
          <t>사회 현안 전투 II</t>
        </is>
      </c>
      <c r="D16" s="85" t="inlineStr">
        <is>
          <t>Palazzo Chigi, 브뤼셀, 홍수 현장</t>
        </is>
      </c>
      <c r="E16" s="86" t="inlineStr">
        <is>
          <t>장례식으로 열고 Cesare의 유작 메모로 브뤼셀 후속 협상을 마무리한다. 플랫폼 노동·스파이웨어·청년 정신건강 등 새 현안과 불신임안 방어, 홍수 재난, 예산안까지.</t>
        </is>
      </c>
      <c r="F16" s="101" t="inlineStr">
        <is>
          <t>C1~C2</t>
        </is>
      </c>
      <c r="G16" s="86" t="inlineStr">
        <is>
          <t>메모 승계, decreto-legge vs 법률, 헌법재판소, 불신임안, 민방위(d.lgs. 1/2018), 예산</t>
        </is>
      </c>
      <c r="H16" s="103" t="inlineStr">
        <is>
          <t>정치</t>
        </is>
      </c>
    </row>
    <row r="17" ht="29.25" customHeight="1" s="78">
      <c r="A17" s="101" t="n">
        <v>13</v>
      </c>
      <c r="B17" s="85" t="inlineStr">
        <is>
          <t>Ritorno a Testaccio</t>
        </is>
      </c>
      <c r="C17" s="86" t="inlineStr">
        <is>
          <t>귀환</t>
        </is>
      </c>
      <c r="D17" s="85" t="inlineStr">
        <is>
          <t>Testaccio, Trattoria da Rosa</t>
        </is>
      </c>
      <c r="E17" s="85" t="inlineStr">
        <is>
          <t>1부 1화와 같은 대사로 시작해 원을 닫는다. Cesare의 유언장, 새 인턴, 이제 설명하는 쪽이 된 Sofia.</t>
        </is>
      </c>
      <c r="F17" s="101" t="inlineStr">
        <is>
          <t>B1~B2</t>
        </is>
      </c>
      <c r="G17" s="86" t="inlineStr">
        <is>
          <t>유언(notaio, esecutore testamentario), 정부 구성원 이해충돌 제한, 재단 전환, 원형 구조</t>
        </is>
      </c>
      <c r="H17" s="103" t="inlineStr">
        <is>
          <t>귀환</t>
        </is>
      </c>
    </row>
    <row r="19" ht="29.25" customHeight="1" s="78">
      <c r="A19" s="138" t="inlineStr">
        <is>
          <t>흐름: 현재(1) → 과거(2~5) → 교차(6) → 전면전(7) → 정치(8 창당 → 9 시·주 의회 → 10 총선·총리) → 국정(11~12) → 귀환(13, 원형 구조). 난이도는 B1 → C1/C2 → B1~B2로 올라갔다 내려와 마무리가 부드럽고, 13부에서 1부 장면을 다시 읽으면 낭독 실력의 성장을 스스로 확인할 수 있다.</t>
        </is>
      </c>
    </row>
  </sheetData>
  <mergeCells count="1">
    <mergeCell ref="A19:H19"/>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tabColor rgb="FF1F3864"/>
    <outlinePr summaryBelow="1" summaryRight="1"/>
    <pageSetUpPr fitToPage="1"/>
  </sheetPr>
  <dimension ref="A1:B26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77" min="1" max="1"/>
    <col width="118" customWidth="1" style="77" min="2" max="2"/>
  </cols>
  <sheetData>
    <row r="1" ht="24" customHeight="1" s="78">
      <c r="A1" s="98" t="inlineStr">
        <is>
          <t>아크별 구성 계획 (1~13부)</t>
        </is>
      </c>
    </row>
    <row r="2" ht="15" customHeight="1" s="78">
      <c r="A2" s="97" t="inlineStr">
        <is>
          <t>각 부(아크)의 서사 기능, 변화, 비트(발단→결말), 인물 아크, 복선, 현안·제도, 언어 설계를 한 블록으로 정리. 화별 세부는 '화별목차_전체', 복선 추적은 '복선_회수'.</t>
        </is>
      </c>
    </row>
    <row r="4" ht="30" customHeight="1" s="78">
      <c r="A4" s="139" t="inlineStr">
        <is>
          <t>1부</t>
        </is>
      </c>
      <c r="B4" s="140" t="inlineStr">
        <is>
          <t>Lo Studio di Testaccio — 테스타초 사무소   |   난이도 B1   |   사무소 개소 1개월 후(6부 12화로부터 약 4주). Testaccio 사무소와 1층 Rosa의 트라토리아.</t>
        </is>
      </c>
    </row>
    <row r="5" ht="29.25" customHeight="1" s="78">
      <c r="A5" s="83" t="inlineStr">
        <is>
          <t>서사 기능</t>
        </is>
      </c>
      <c r="B5" s="86" t="inlineStr">
        <is>
          <t>독자 진입 장치. 이미 굴러가는(그러나 여전히 좌충우돌하는) 사무소를 보여 주어 '이 사람들이 어쩌다 이렇게 됐지?' 하는 궁금증을 만든다. 자기소개 대신 여섯 사건을 통해 인물의 습관과 리듬을 익히게 한다. 부활한 역사 인물들이 아무렇지 않게 섞여 있는 일상이 첫 웃음 포인트.</t>
        </is>
      </c>
    </row>
    <row r="6" ht="29.25" customHeight="1" s="78">
      <c r="A6" s="83" t="inlineStr">
        <is>
          <t>로그라인</t>
        </is>
      </c>
      <c r="B6" s="86" t="inlineStr">
        <is>
          <t>개소 한 달째, 여전히 순서 하나 못 정하고 매번 다투는 네 전문가와 팀이 그래도 이웃들의 사건 여섯 개를 하나씩 해결해 나가지만, 마지막 사건의 서류에서 Marco의 옛 로펌 이름이 튀어나온다.</t>
        </is>
      </c>
    </row>
    <row r="7" ht="29.25" customHeight="1" s="78">
      <c r="A7" s="83" t="inlineStr">
        <is>
          <t>변화 (시작 → 끝)</t>
        </is>
      </c>
      <c r="B7" s="85" t="inlineStr">
        <is>
          <t>'한 달이나 됐는데 아직도 이 모양' → 그래도 매번 어떻게든 해결하는 팀이라는 신뢰. 그러나 각자의 과거는 여전히 미해결이고, 옛 로펌 이름이 도착한다.</t>
        </is>
      </c>
    </row>
    <row r="8" ht="16.5" customHeight="1" s="78">
      <c r="A8" s="83" t="inlineStr">
        <is>
          <t>핵심 갈등</t>
        </is>
      </c>
      <c r="B8" s="86" t="inlineStr">
        <is>
          <t>전문가의 말투 vs 이웃의 삶 / 여전히 못 정한 방법 / 각자 숨기는 과거</t>
        </is>
      </c>
    </row>
    <row r="9" ht="29.25" customHeight="1" s="78">
      <c r="A9" s="83" t="inlineStr">
        <is>
          <t>비트 1</t>
        </is>
      </c>
      <c r="B9" s="86" t="inlineStr">
        <is>
          <t>사건1 임대료 인상, 1~2화(Fatima): 도입에서 여전히 자리 못 잡은 한 달 차 팀의 말다툼을 보여 주고, 해결에서 Gramsci의 카드 #1(legge 431/1998)로 부당 인상을 막는다.</t>
        </is>
      </c>
    </row>
    <row r="10" ht="29.25" customHeight="1" s="78">
      <c r="A10" s="83" t="inlineStr">
        <is>
          <t>비트 2</t>
        </is>
      </c>
      <c r="B10" s="86" t="inlineStr">
        <is>
          <t>사건2 퇴거 집행, 3~4화: 밤 여덟 시 급보 → 아침 집행 연기. Garibaldi·Paolo 첫 카메오, 넷의 역할 분담(서류·건강·숫자·동선)이 처음으로 손발이 맞는다.</t>
        </is>
      </c>
    </row>
    <row r="11" ht="29.25" customHeight="1" s="78">
      <c r="A11" s="83" t="inlineStr">
        <is>
          <t>비트 3</t>
        </is>
      </c>
      <c r="B11" s="86" t="inlineStr">
        <is>
          <t>사건3 임금 체불·위장 인턴, 5~6화: Chiara의 컨설팅 용어가 청년 노동자를 지치게 하고, 협상 중 Sofia가 1차 폭발한다. 폭발 후 쉬운 말로 다시 협상해 해결.</t>
        </is>
      </c>
    </row>
    <row r="12" ht="29.25" customHeight="1" s="78">
      <c r="A12" s="83" t="inlineStr">
        <is>
          <t>비트 4</t>
        </is>
      </c>
      <c r="B12" s="86" t="inlineStr">
        <is>
          <t>사건4 의료 접근, 7~8화: 체류 서류 없는 가족의 아이가 진료를 못 받는다. Montessori·Dante 카메오, Cesare의 가짜 무릎이 진짜 아픈 아이 앞에서 조용해지는 대비. STP 코드로 해결.</t>
        </is>
      </c>
    </row>
    <row r="13" ht="29.25" customHeight="1" s="78">
      <c r="A13" s="83" t="inlineStr">
        <is>
          <t>비트 5</t>
        </is>
      </c>
      <c r="B13" s="86" t="inlineStr">
        <is>
          <t>사건5 금융 사기, 9~10화: 저축을 잃은 이웃을 두고 Alessandro가 장부를, 낯선 Francesco가 계좌 흐름을 추적한다. Galileo 카메오. Francesco는 설명 없이 사라지고 Alessandro는 은행 이름에 말없이 굳는다.</t>
        </is>
      </c>
    </row>
    <row r="14" ht="29.25" customHeight="1" s="78">
      <c r="A14" s="83" t="inlineStr">
        <is>
          <t>비트 6</t>
        </is>
      </c>
      <c r="B14" s="86" t="inlineStr">
        <is>
          <t>사건6 오래된 서류·훅, 11~12화: 수십 년 전 퇴거 서류의 절차 오류를 바로잡다가 서명란에서 Marco의 옛 로펌 이름을 발견한다. Marco가 얼어붙고 금요일 이야기(2부)가 예고된다.</t>
        </is>
      </c>
    </row>
    <row r="15" ht="42" customHeight="1" s="78">
      <c r="A15" s="83" t="inlineStr">
        <is>
          <t>인물 아크</t>
        </is>
      </c>
      <c r="B15" s="85" t="inlineStr">
        <is>
          <t>Sofia=독자의 대리인(질문), 한 달이 지나도 Marco에게 Lei 유지. Cesare=심술과 복선(매년 하는 소리라는 게 드러남). Rosa=정서적 중심. 카메오는 사건별로 분산: Gramsci(1·2·6화), Machiavelli(1·5·12화), Garibaldi·Paolo(3·4화), Montessori·Dante(7화), Francesco·Galileo(9·10·11화). 폭발 화(6화)에는 Garibaldi·Rosa·Gramsci의 고정 반응만 남기고 Paolo의 욕은 9부 2차 폭발로 이관해 과밀을 해소.</t>
        </is>
      </c>
    </row>
    <row r="16" ht="42" customHeight="1" s="78">
      <c r="A16" s="83" t="inlineStr">
        <is>
          <t>복선·회수</t>
        </is>
      </c>
      <c r="B16" s="85" t="inlineStr">
        <is>
          <t>Cesare의 마지막 겨울·우산(1화 → 11부 12화, 13부 2화) / Gramsci 카드 #1(2화 → 13부 10화) / Sofia 1차 폭발(6화 → 9부 6화) / Garibaldi «Nulla da segnalare»(4화 → 12부 8화) / Francesco 첫 등장(9화 → 9부 8화) / Cesare의 «Niente male»(7화, Dante에게 → 11부 12화, Sofia에게) / 옛 로펌 이름(12화 → 2부 전체)</t>
        </is>
      </c>
    </row>
    <row r="17" ht="16.5" customHeight="1" s="78">
      <c r="A17" s="83" t="inlineStr">
        <is>
          <t>현안 (ID)</t>
        </is>
      </c>
      <c r="B17" s="85" t="inlineStr">
        <is>
          <t>E1●● S1●● S2● E3●</t>
        </is>
      </c>
    </row>
    <row r="18" ht="29.25" customHeight="1" s="78">
      <c r="A18" s="83" t="inlineStr">
        <is>
          <t>제도·전문 영역</t>
        </is>
      </c>
      <c r="B18" s="86" t="inlineStr">
        <is>
          <t>주거 임대차(legge 431/1998), 퇴거 집행과 집행 연기·비귀책 체납 기금, 위장 인턴·임금 체불, 서류 없는 외국인의 의료 접근(STP 코드), 금융 사기·계좌 추적, 오래된 절차 정정, 공개 출처 찾기(Normattiva·Gazzetta Ufficiale·Treccani)</t>
        </is>
      </c>
    </row>
    <row r="19" ht="29.25" customHeight="1" s="78">
      <c r="A19" s="83" t="inlineStr">
        <is>
          <t>언어 설계</t>
        </is>
      </c>
      <c r="B19" s="85" t="inlineStr">
        <is>
          <t>B1. 한 줄 15단어 이내, 현재·명령형·근과거(passato prossimo). tu·voi 중심. 낭독: 빠른 티키타카로 입 풀기. Marco·Cesare의 격식체는 한두 줄 맛보기. 매 사건 2화(도입→해결) 리듬을 반복해 구조를 익히게 한다. Rosa의 로마 사투리(romanesco)는 한 화에 한두 마디만.</t>
        </is>
      </c>
    </row>
    <row r="20" ht="18" customHeight="1" s="78">
      <c r="A20" s="83" t="inlineStr">
        <is>
          <t>대화량 (화당 120턴)</t>
        </is>
      </c>
      <c r="B20" s="85">
        <f>"화당 "&amp;턴_설계!$B$5&amp;"턴 · 부 총 "&amp;TEXT(턴_설계!D34,"#,##0")&amp;"턴 · 화당 약 "&amp;TEXT(턴_설계!F34,"#,##0")&amp;"단어 · 낭독 약 "&amp;TEXT(턴_설계!H34,"0.0")&amp;"분 (평균 "&amp;TEXT(턴_설계!E34,"0.0")&amp;"단어/턴)"</f>
        <v/>
      </c>
    </row>
    <row r="21" ht="29.25" customHeight="1" s="78">
      <c r="A21" s="88" t="inlineStr">
        <is>
          <t>Sofia 질문·Gramsci 카드</t>
        </is>
      </c>
      <c r="B21" s="85" t="inlineStr">
        <is>
          <t>Sofia: 임대·노동·의료·금융 기초 용어(deposito cauzionale, contratto a termine, tirocinio, codice STP, conto corrente). 카드: legge 431/1998, 사전(Treccani·Accademia della Crusca).</t>
        </is>
      </c>
    </row>
    <row r="22" ht="16.5" customHeight="1" s="78">
      <c r="A22" s="83" t="inlineStr">
        <is>
          <t>다음 부 연결</t>
        </is>
      </c>
      <c r="B22" s="85" t="inlineStr">
        <is>
          <t>2부: 금요일마다 한 명씩 과거를 이야기하는 규칙 — 첫 번째는 Marco.</t>
        </is>
      </c>
    </row>
    <row r="24" ht="30" customHeight="1" s="78">
      <c r="A24" s="139" t="inlineStr">
        <is>
          <t>2부</t>
        </is>
      </c>
      <c r="B24" s="140" t="inlineStr">
        <is>
          <t>L'Avvocato — 변호사   |   난이도 B2~C1   |   프레임: 1부와 같은 첫 겨울의 금요일 밤. 과거: 약 5년 전, Prati(Piazza Cavour 법원가)의 대형 로펌.</t>
        </is>
      </c>
    </row>
    <row r="25" ht="29.25" customHeight="1" s="78">
      <c r="A25" s="83" t="inlineStr">
        <is>
          <t>서사 기능</t>
        </is>
      </c>
      <c r="B25" s="86" t="inlineStr">
        <is>
          <t>첫 과거 회상. 공동 악역 Gruppo Meridiano를 도입하고 '법을 잘 쓰는 것과 옳은 것은 다르다'는 이 이야기의 첫 질문을 던진다. 프레임(Rosa의 식탁)과 과거를 오가는 구조 실험.</t>
        </is>
      </c>
    </row>
    <row r="26" ht="29.25" customHeight="1" s="78">
      <c r="A26" s="83" t="inlineStr">
        <is>
          <t>로그라인</t>
        </is>
      </c>
      <c r="B26" s="86" t="inlineStr">
        <is>
          <t>승소율 100%의 파트너 후보가 대형 고객의 주택 포트폴리오를 비우는 갱신 거절 전략을 설계해 재판에서 이기고, 그 승리가 한 노인의 죽음이 되었음을 알게 된다.</t>
        </is>
      </c>
    </row>
    <row r="27" ht="16.5" customHeight="1" s="78">
      <c r="A27" s="83" t="inlineStr">
        <is>
          <t>변화 (시작 → 끝)</t>
        </is>
      </c>
      <c r="B27" s="86" t="inlineStr">
        <is>
          <t>자랑스러운 승자 → 자기 승리에 사직서를 낸 사람.</t>
        </is>
      </c>
    </row>
    <row r="28" ht="16.5" customHeight="1" s="78">
      <c r="A28" s="83" t="inlineStr">
        <is>
          <t>핵심 갈등</t>
        </is>
      </c>
      <c r="B28" s="86" t="inlineStr">
        <is>
          <t>잘 쓰는 법 vs 옳은 것 / 파트너 승진 vs 양심</t>
        </is>
      </c>
    </row>
    <row r="29" ht="16.5" customHeight="1" s="78">
      <c r="A29" s="83" t="inlineStr">
        <is>
          <t>비트 1</t>
        </is>
      </c>
      <c r="B29" s="86" t="inlineStr">
        <is>
          <t>발단(1~3화): 금요일 프레임, 프라티의 월요일(편의점의 Dante), VIP 고객 Santoro.</t>
        </is>
      </c>
    </row>
    <row r="30" ht="16.5" customHeight="1" s="78">
      <c r="A30" s="83" t="inlineStr">
        <is>
          <t>비트 2</t>
        </is>
      </c>
      <c r="B30" s="86" t="inlineStr">
        <is>
          <t>전개(4~5화): 실사에서 Testaccio 건물 발견 / 프레임에서 그곳이 Rosa의 거리였음이 드러남.</t>
        </is>
      </c>
    </row>
    <row r="31" ht="16.5" customHeight="1" s="78">
      <c r="A31" s="83" t="inlineStr">
        <is>
          <t>비트 3</t>
        </is>
      </c>
      <c r="B31" s="86" t="inlineStr">
        <is>
          <t>미드포인트(6화): 조항 설계 — Marco가 스스로 함정을 만든다.</t>
        </is>
      </c>
    </row>
    <row r="32" ht="16.5" customHeight="1" s="78">
      <c r="A32" s="83" t="inlineStr">
        <is>
          <t>비트 4</t>
        </is>
      </c>
      <c r="B32" s="86" t="inlineStr">
        <is>
          <t>위기(7~9화): 세입자 총회(Assunta), 재판 승소, 프레임에서 Marco의 말이 막힘.</t>
        </is>
      </c>
    </row>
    <row r="33" ht="16.5" customHeight="1" s="78">
      <c r="A33" s="83" t="inlineStr">
        <is>
          <t>비트 5</t>
        </is>
      </c>
      <c r="B33" s="86" t="inlineStr">
        <is>
          <t>절정(10~11화): 파리올리 축하 만찬 중 부고, 손녀 Marina의 방문.</t>
        </is>
      </c>
    </row>
    <row r="34" ht="16.5" customHeight="1" s="78">
      <c r="A34" s="83" t="inlineStr">
        <is>
          <t>비트 6</t>
        </is>
      </c>
      <c r="B34" s="86" t="inlineStr">
        <is>
          <t>결말·훅(12화): 사직과 응급실 — Giulia가 Marco를 진료한다.</t>
        </is>
      </c>
    </row>
    <row r="35" ht="29.25" customHeight="1" s="78">
      <c r="A35" s="83" t="inlineStr">
        <is>
          <t>인물 아크</t>
        </is>
      </c>
      <c r="B35" s="85" t="inlineStr">
        <is>
          <t>Marco: 완결된 문장·조항 인용(초반의 차가움). 교차 카메오: Chiara(고객 컨설턴트), Alessandro(감사인), Giulia(응급의), Francesco·Gramsci·Paolo·Dante·Galileo. 가상 인물: Colombo(상사), Santoro(회장), Assunta(78세), Marina(손녀).</t>
        </is>
      </c>
    </row>
    <row r="36" ht="29.25" customHeight="1" s="78">
      <c r="A36" s="83" t="inlineStr">
        <is>
          <t>복선·회수</t>
        </is>
      </c>
      <c r="B36" s="85" t="inlineStr">
        <is>
          <t>«갱신 거절(diniego di rinnovo)» 조항 → 6부 6화 폭로, 11부 3화 주거법 개정으로 봉쇄 / «Questo non torna»(Alessandro) → 4부 / Rosa의 건물 → 8부 창당 동기</t>
        </is>
      </c>
    </row>
    <row r="37" ht="16.5" customHeight="1" s="78">
      <c r="A37" s="83" t="inlineStr">
        <is>
          <t>현안 (ID)</t>
        </is>
      </c>
      <c r="B37" s="85" t="inlineStr">
        <is>
          <t>E1● P3○</t>
        </is>
      </c>
    </row>
    <row r="38" ht="16.5" customHeight="1" s="78">
      <c r="A38" s="83" t="inlineStr">
        <is>
          <t>제도·전문 영역</t>
        </is>
      </c>
      <c r="B38" s="86" t="inlineStr">
        <is>
          <t>첫 만기 갱신 거절과 리모델링 사유(legge 431/1998 제3조), 실사(due diligence), 부동산 등기(Conservatoria)·토지대장(Catasto), 소송(citazione, udienza, sentenza, spese), 로펌 구조(socio)</t>
        </is>
      </c>
    </row>
    <row r="39" ht="29.25" customHeight="1" s="78">
      <c r="A39" s="83" t="inlineStr">
        <is>
          <t>언어 설계</t>
        </is>
      </c>
      <c r="B39" s="85" t="inlineStr">
        <is>
          <t>B2~C1. 접속법 현재·과거(congiuntivo), 수동태, 법률 문어체. 과거 장면은 격식 문어, 프레임 장면은 B1로 두어 톤을 대비. 발성: 또박또박, 중저음.</t>
        </is>
      </c>
    </row>
    <row r="40" ht="18" customHeight="1" s="78">
      <c r="A40" s="83" t="inlineStr">
        <is>
          <t>대화량 (화당 120턴)</t>
        </is>
      </c>
      <c r="B40" s="85">
        <f>"화당 "&amp;턴_설계!$B$5&amp;"턴 · 부 총 "&amp;TEXT(턴_설계!D35,"#,##0")&amp;"턴 · 화당 약 "&amp;TEXT(턴_설계!F35,"#,##0")&amp;"단어 · 낭독 약 "&amp;TEXT(턴_설계!H35,"0.0")&amp;"분 (평균 "&amp;TEXT(턴_설계!E35,"0.0")&amp;"단어/턴)"</f>
        <v/>
      </c>
    </row>
    <row r="41" ht="16.5" customHeight="1" s="78">
      <c r="A41" s="88" t="inlineStr">
        <is>
          <t>Sofia 질문·Gramsci 카드</t>
        </is>
      </c>
      <c r="B41" s="85" t="inlineStr">
        <is>
          <t>Sofia: citazione·sentenza·clausola 등 법률 용어. 카드: Conservatoria dei Registri Immobiliari, legge 431/1998, 민사소송법의 퇴거 확인 절차(convalida di sfratto).</t>
        </is>
      </c>
    </row>
    <row r="42" ht="16.5" customHeight="1" s="78">
      <c r="A42" s="83" t="inlineStr">
        <is>
          <t>다음 부 연결</t>
        </is>
      </c>
      <c r="B42" s="85" t="inlineStr">
        <is>
          <t>3부: 응급실에서 쓰러진 Marco — 다음 금요일은 Giulia의 이야기.</t>
        </is>
      </c>
    </row>
    <row r="44" ht="30" customHeight="1" s="78">
      <c r="A44" s="139" t="inlineStr">
        <is>
          <t>3부</t>
        </is>
      </c>
      <c r="B44" s="140" t="inlineStr">
        <is>
          <t>La Dottoressa — 의사   |   난이도 B2~C1   |   프레임: 금요일 밤. 과거: 약 4년 전, San Camillo 응급실(가상 설정).</t>
        </is>
      </c>
    </row>
    <row r="45" ht="29.25" customHeight="1" s="78">
      <c r="A45" s="83" t="inlineStr">
        <is>
          <t>서사 기능</t>
        </is>
      </c>
      <c r="B45" s="86" t="inlineStr">
        <is>
          <t>인간의 생명과 공공 보건이라는 정서적 무게. Gruppo Meridiano의 두 번째 얼굴(병원 외주)을 보여 주고, 폭염·고령 환자·서류 없는 환자 등 현안을 응급실에서 체감하게 한다.</t>
        </is>
      </c>
    </row>
    <row r="46" ht="16.5" customHeight="1" s="78">
      <c r="A46" s="83" t="inlineStr">
        <is>
          <t>로그라인</t>
        </is>
      </c>
      <c r="B46" s="86" t="inlineStr">
        <is>
          <t>응급의가 예산 삭감과 병원 외주 속에서 환자를 잃기 시작하고, 이름을 적어 두다가 내부 보고를 올리지만 징계로 돌아온다.</t>
        </is>
      </c>
    </row>
    <row r="47" ht="16.5" customHeight="1" s="78">
      <c r="A47" s="83" t="inlineStr">
        <is>
          <t>변화 (시작 → 끝)</t>
        </is>
      </c>
      <c r="B47" s="86" t="inlineStr">
        <is>
          <t>시스템을 믿는 의사 → 이름 명단만 든 사직자.</t>
        </is>
      </c>
    </row>
    <row r="48" ht="16.5" customHeight="1" s="78">
      <c r="A48" s="83" t="inlineStr">
        <is>
          <t>핵심 갈등</t>
        </is>
      </c>
      <c r="B48" s="86" t="inlineStr">
        <is>
          <t>의료 윤리 vs 관리 효율 / 침묵하는 동료들</t>
        </is>
      </c>
    </row>
    <row r="49" ht="16.5" customHeight="1" s="78">
      <c r="A49" s="83" t="inlineStr">
        <is>
          <t>비트 1</t>
        </is>
      </c>
      <c r="B49" s="86" t="inlineStr">
        <is>
          <t>발단(1~3화): 금요일 프레임, 야간 근무(Marco 진료), 폭염 환자 폭증.</t>
        </is>
      </c>
    </row>
    <row r="50" ht="16.5" customHeight="1" s="78">
      <c r="A50" s="83" t="inlineStr">
        <is>
          <t>비트 2</t>
        </is>
      </c>
      <c r="B50" s="86" t="inlineStr">
        <is>
          <t>전개(4~5화): 병원 외주 발표(컨설턴트 Chiara 등장), 프레임에서 수첩 명단과 Cesare의 부은 발목(«Sono i calzari.»).</t>
        </is>
      </c>
    </row>
    <row r="51" ht="16.5" customHeight="1" s="78">
      <c r="A51" s="83" t="inlineStr">
        <is>
          <t>비트 3</t>
        </is>
      </c>
      <c r="B51" s="86" t="inlineStr">
        <is>
          <t>미드포인트(6화): '명단의 첫 번째' — 서류 없는 환자가 병상 지연으로 숨진다.</t>
        </is>
      </c>
    </row>
    <row r="52" ht="16.5" customHeight="1" s="78">
      <c r="A52" s="83" t="inlineStr">
        <is>
          <t>비트 4</t>
        </is>
      </c>
      <c r="B52" s="86" t="inlineStr">
        <is>
          <t>위기(7~9화): 원장의 통계, 징계 절차, 프레임에서 Montessori의 되받기.</t>
        </is>
      </c>
    </row>
    <row r="53" ht="16.5" customHeight="1" s="78">
      <c r="A53" s="83" t="inlineStr">
        <is>
          <t>비트 5</t>
        </is>
      </c>
      <c r="B53" s="86" t="inlineStr">
        <is>
          <t>절정(10~11화): 병상 없는 밤, 사직.</t>
        </is>
      </c>
    </row>
    <row r="54" ht="16.5" customHeight="1" s="78">
      <c r="A54" s="83" t="inlineStr">
        <is>
          <t>비트 6</t>
        </is>
      </c>
      <c r="B54" s="86" t="inlineStr">
        <is>
          <t>결말·훅(12화): 계약 감사보고서에 서명한 사람이 있다 — Alessandro의 차례.</t>
        </is>
      </c>
    </row>
    <row r="55" ht="29.25" customHeight="1" s="78">
      <c r="A55" s="83" t="inlineStr">
        <is>
          <t>인물 아크</t>
        </is>
      </c>
      <c r="B55" s="85" t="inlineStr">
        <is>
          <t>Giulia: 짧은 문장·명령형·블랙유머. 가상 인물: Loredana(간호사), 원장. 교차 카메오: Marco(환자), Chiara(효율 발표), Alessandro(외주 업체 자문), Galileo(취재).</t>
        </is>
      </c>
    </row>
    <row r="56" ht="16.5" customHeight="1" s="78">
      <c r="A56" s="83" t="inlineStr">
        <is>
          <t>복선·회수</t>
        </is>
      </c>
      <c r="B56" s="85" t="inlineStr">
        <is>
          <t>Cesare의 부은 발목·숨참(→11부 4~6화 심부전 암시) / Giulia의 이름 명단(→12부 9화, 13부 7화) / 외주 계약(→9부 7화, 11부 4화)</t>
        </is>
      </c>
    </row>
    <row r="57" ht="16.5" customHeight="1" s="78">
      <c r="A57" s="83" t="inlineStr">
        <is>
          <t>현안 (ID)</t>
        </is>
      </c>
      <c r="B57" s="85" t="inlineStr">
        <is>
          <t>S4● S3○ S2○ P3○</t>
        </is>
      </c>
    </row>
    <row r="58" ht="16.5" customHeight="1" s="78">
      <c r="A58" s="83" t="inlineStr">
        <is>
          <t>제도·전문 영역</t>
        </is>
      </c>
      <c r="B58" s="86" t="inlineStr">
        <is>
          <t>병원 외주(esternalizzazione)·민간 위탁, 주 보건서비스(SSR Lazio)·ASL, 응급 분류(triage, 긴급도 코드 1~5), 서류 없는 환자의 필수 진료(STP 코드), 징계 절차</t>
        </is>
      </c>
    </row>
    <row r="59" ht="16.5" customHeight="1" s="78">
      <c r="A59" s="83" t="inlineStr">
        <is>
          <t>언어 설계</t>
        </is>
      </c>
      <c r="B59" s="85" t="inlineStr">
        <is>
          <t>B2~C1. 의학 어휘, 짧은 명령형, 긴박한 호흡. 발성: 빠른 템포와 짧은 호흡.</t>
        </is>
      </c>
    </row>
    <row r="60" ht="18" customHeight="1" s="78">
      <c r="A60" s="83" t="inlineStr">
        <is>
          <t>대화량 (화당 120턴)</t>
        </is>
      </c>
      <c r="B60" s="85">
        <f>"화당 "&amp;턴_설계!$B$5&amp;"턴 · 부 총 "&amp;TEXT(턴_설계!D36,"#,##0")&amp;"턴 · 화당 약 "&amp;TEXT(턴_설계!F36,"#,##0")&amp;"단어 · 낭독 약 "&amp;TEXT(턴_설계!H36,"0.0")&amp;"분 (평균 "&amp;TEXT(턴_설계!E36,"0.0")&amp;"단어/턴)"</f>
        <v/>
      </c>
    </row>
    <row r="61" ht="16.5" customHeight="1" s="78">
      <c r="A61" s="88" t="inlineStr">
        <is>
          <t>Sofia 질문·Gramsci 카드</t>
        </is>
      </c>
      <c r="B61" s="85" t="inlineStr">
        <is>
          <t>Sofia: triage·parametri vitali·sepsi 등 의학 용어. 카드: legge 833/1978(국가 보건서비스 설립), legge 219/2017(동의·사전의료지시), d.lgs. 286/1998 제35조.</t>
        </is>
      </c>
    </row>
    <row r="62" ht="16.5" customHeight="1" s="78">
      <c r="A62" s="83" t="inlineStr">
        <is>
          <t>다음 부 연결</t>
        </is>
      </c>
      <c r="B62" s="85" t="inlineStr">
        <is>
          <t>4부: Alessandro — «Tocca a me.» 그 서명의 주인.</t>
        </is>
      </c>
    </row>
    <row r="64" ht="30" customHeight="1" s="78">
      <c r="A64" s="139" t="inlineStr">
        <is>
          <t>4부</t>
        </is>
      </c>
      <c r="B64" s="140" t="inlineStr">
        <is>
          <t>Il Revisore — 회계사   |   난이도 B2~C1   |   프레임: 금요일 밤. 과거: 약 3년 전, Conti Revisori.</t>
        </is>
      </c>
    </row>
    <row r="65" ht="16.5" customHeight="1" s="78">
      <c r="A65" s="83" t="inlineStr">
        <is>
          <t>서사 기능</t>
        </is>
      </c>
      <c r="B65" s="86" t="inlineStr">
        <is>
          <t>돈의 흐름과 '서명의 책임'. 부패의 공모가 일상 업무의 얼굴로 온다는 것을 보여 주고, 이후 아크의 결정적 증거(USB)를 만든다.</t>
        </is>
      </c>
    </row>
    <row r="66" ht="29.25" customHeight="1" s="78">
      <c r="A66" s="83" t="inlineStr">
        <is>
          <t>로그라인</t>
        </is>
      </c>
      <c r="B66" s="86" t="inlineStr">
        <is>
          <t>시니어 파트너가 최대 고객의 이상 거래를 발견하지만, 압박과 승진 앞에서 결국 '깨끗한' 의견서에 서명하고 그 서명이 다른 사람의 죽음과 해고에 쓰인다.</t>
        </is>
      </c>
    </row>
    <row r="67" ht="16.5" customHeight="1" s="78">
      <c r="A67" s="83" t="inlineStr">
        <is>
          <t>변화 (시작 → 끝)</t>
        </is>
      </c>
      <c r="B67" s="86" t="inlineStr">
        <is>
          <t>정확함을 자랑하던 감사인 → '서명한 사람'. 다시는 서명하지 않겠다는 다짐.</t>
        </is>
      </c>
    </row>
    <row r="68" ht="16.5" customHeight="1" s="78">
      <c r="A68" s="83" t="inlineStr">
        <is>
          <t>핵심 갈등</t>
        </is>
      </c>
      <c r="B68" s="86" t="inlineStr">
        <is>
          <t>감사인의 독립성 vs 수임료 / 정확함 vs 생존</t>
        </is>
      </c>
    </row>
    <row r="69" ht="16.5" customHeight="1" s="78">
      <c r="A69" s="83" t="inlineStr">
        <is>
          <t>비트 1</t>
        </is>
      </c>
      <c r="B69" s="86" t="inlineStr">
        <is>
          <t>발단(1~3화): '내가 서명했다' 프레임, 결산 마감, 돈 잘 주는 고객.</t>
        </is>
      </c>
    </row>
    <row r="70" ht="16.5" customHeight="1" s="78">
      <c r="A70" s="83" t="inlineStr">
        <is>
          <t>비트 2</t>
        </is>
      </c>
      <c r="B70" s="86" t="inlineStr">
        <is>
          <t>전개(4~5화): '이건 안 맞아' — 특수관계자 대출 발견 / 프레임에서 아버지 이야기.</t>
        </is>
      </c>
    </row>
    <row r="71" ht="16.5" customHeight="1" s="78">
      <c r="A71" s="83" t="inlineStr">
        <is>
          <t>비트 3</t>
        </is>
      </c>
      <c r="B71" s="86" t="inlineStr">
        <is>
          <t>미드포인트(6화): 파트너 회의 — 한정 의견 주장, 리스크 위원회로 에스컬레이션.</t>
        </is>
      </c>
    </row>
    <row r="72" ht="16.5" customHeight="1" s="78">
      <c r="A72" s="83" t="inlineStr">
        <is>
          <t>비트 4</t>
        </is>
      </c>
      <c r="B72" s="86" t="inlineStr">
        <is>
          <t>위기(7~9화): 위원회의 '증거 불충분', 파리올리의 점심(위협), 프레임 '서명했어요?'.</t>
        </is>
      </c>
    </row>
    <row r="73" ht="16.5" customHeight="1" s="78">
      <c r="A73" s="83" t="inlineStr">
        <is>
          <t>비트 5</t>
        </is>
      </c>
      <c r="B73" s="86" t="inlineStr">
        <is>
          <t>절정(10~11화): 서명, 그리고 서명 이후 — 계약 확정과 구조조정 통보, 사직.</t>
        </is>
      </c>
    </row>
    <row r="74" ht="16.5" customHeight="1" s="78">
      <c r="A74" s="83" t="inlineStr">
        <is>
          <t>비트 6</t>
        </is>
      </c>
      <c r="B74" s="86" t="inlineStr">
        <is>
          <t>결말·훅(12화): 프레임에서 Chiara — «La lista la facevo io.»</t>
        </is>
      </c>
    </row>
    <row r="75" ht="29.25" customHeight="1" s="78">
      <c r="A75" s="83" t="inlineStr">
        <is>
          <t>인물 아크</t>
        </is>
      </c>
      <c r="B75" s="85" t="inlineStr">
        <is>
          <t>Alessandro: 건조·정확, 숫자 낭독. 가상 인물: Bassi(대표 파트너). 교차 카메오: Francesco(자료 제공), Santoro(회유), Galileo(전화), Chiara(구조조정 통보).</t>
        </is>
      </c>
    </row>
    <row r="76" ht="16.5" customHeight="1" s="78">
      <c r="A76" s="83" t="inlineStr">
        <is>
          <t>복선·회수</t>
        </is>
      </c>
      <c r="B76" s="86" t="inlineStr">
        <is>
          <t>복사본 USB(→6부 5화, 7부 5~6화) / «Io firmo solo ciò che ho verificato.»(→11부 10화) / Francesco 첫 접점(→7부 5화)</t>
        </is>
      </c>
    </row>
    <row r="77" ht="16.5" customHeight="1" s="78">
      <c r="A77" s="83" t="inlineStr">
        <is>
          <t>현안 (ID)</t>
        </is>
      </c>
      <c r="B77" s="85" t="inlineStr">
        <is>
          <t>—(정치 현안 없음, 감사·자금 세탁 중심)</t>
        </is>
      </c>
    </row>
    <row r="78" ht="29.25" customHeight="1" s="78">
      <c r="A78" s="83" t="inlineStr">
        <is>
          <t>제도·전문 영역</t>
        </is>
      </c>
      <c r="B78" s="86" t="inlineStr">
        <is>
          <t>법정 감사(d.lgs. 39/2010: 독립성·감사인 순환), 자금세탁방지(d.lgs. 231/2007), 특수관계자 거래, 의견 종류(senza rilievi / con rilievi / negativo / impossibilità di esprimere un giudizio)</t>
        </is>
      </c>
    </row>
    <row r="79" ht="16.5" customHeight="1" s="78">
      <c r="A79" s="83" t="inlineStr">
        <is>
          <t>언어 설계</t>
        </is>
      </c>
      <c r="B79" s="85" t="inlineStr">
        <is>
          <t>B2~C1. 숫자 낭독, 수동태·조건법, 감사 보고서체. 발성: 일정한 속도, 결론 문장에서 톤 낮춤.</t>
        </is>
      </c>
    </row>
    <row r="80" ht="18" customHeight="1" s="78">
      <c r="A80" s="83" t="inlineStr">
        <is>
          <t>대화량 (화당 120턴)</t>
        </is>
      </c>
      <c r="B80" s="85">
        <f>"화당 "&amp;턴_설계!$B$5&amp;"턴 · 부 총 "&amp;TEXT(턴_설계!D37,"#,##0")&amp;"턴 · 화당 약 "&amp;TEXT(턴_설계!F37,"#,##0")&amp;"단어 · 낭독 약 "&amp;TEXT(턴_설계!H37,"0.0")&amp;"분 (평균 "&amp;TEXT(턴_설계!E37,"0.0")&amp;"단어/턴)"</f>
        <v/>
      </c>
    </row>
    <row r="81" ht="16.5" customHeight="1" s="78">
      <c r="A81" s="88" t="inlineStr">
        <is>
          <t>Sofia 질문·Gramsci 카드</t>
        </is>
      </c>
      <c r="B81" s="85" t="inlineStr">
        <is>
          <t>Sofia: stato patrimoniale·conto economico·significatività 등 회계 용어. 카드: d.lgs. 39/2010, 법정 감사인 등록부(Registro dei revisori legali), 기업 등록부(Registro delle imprese).</t>
        </is>
      </c>
    </row>
    <row r="82" ht="16.5" customHeight="1" s="78">
      <c r="A82" s="83" t="inlineStr">
        <is>
          <t>다음 부 연결</t>
        </is>
      </c>
      <c r="B82" s="85" t="inlineStr">
        <is>
          <t>5부: Chiara — 그 의견서 이후 시작된 구조조정 명단의 주인.</t>
        </is>
      </c>
    </row>
    <row r="84" ht="30" customHeight="1" s="78">
      <c r="A84" s="139" t="inlineStr">
        <is>
          <t>5부</t>
        </is>
      </c>
      <c r="B84" s="140" t="inlineStr">
        <is>
          <t>La Consulente — 컨설턴트   |   난이도 B2~C1   |   프레임: 금요일 밤. 과거: 약 2년 전, EUR 오피스 타워 32층의 Zenit Consulting.</t>
        </is>
      </c>
    </row>
    <row r="85" ht="29.25" customHeight="1" s="78">
      <c r="A85" s="83" t="inlineStr">
        <is>
          <t>서사 기능</t>
        </is>
      </c>
      <c r="B85" s="86" t="inlineStr">
        <is>
          <t>효율의 이름으로 사람이 숫자가 되는 순간. 노동(Paolo), 청년 고용(S1), 영세·가족 기업 구조(E2)를 도입하고 Chiara의 말투 변화를 예고한다.</t>
        </is>
      </c>
    </row>
    <row r="86" ht="16.5" customHeight="1" s="78">
      <c r="A86" s="83" t="inlineStr">
        <is>
          <t>로그라인</t>
        </is>
      </c>
      <c r="B86" s="86" t="inlineStr">
        <is>
          <t>전략 컨설턴트가 영세 기업을 살리려던 낙관에서 출발해, 대형 고객 구조조정 모델의 셀 하나가 412명의 해고임을 알게 된다.</t>
        </is>
      </c>
    </row>
    <row r="87" ht="16.5" customHeight="1" s="78">
      <c r="A87" s="83" t="inlineStr">
        <is>
          <t>변화 (시작 → 끝)</t>
        </is>
      </c>
      <c r="B87" s="85" t="inlineStr">
        <is>
          <t>'스케일'을 믿던 사람 → 사람을 숫자로 본 죄책감을 인정하는 사람(프레젠테이션 톤에서 솔직한 톤으로 가는 시작).</t>
        </is>
      </c>
    </row>
    <row r="88" ht="16.5" customHeight="1" s="78">
      <c r="A88" s="83" t="inlineStr">
        <is>
          <t>핵심 갈등</t>
        </is>
      </c>
      <c r="B88" s="86" t="inlineStr">
        <is>
          <t>효율 vs 사람 / 조직 충성 vs 양심</t>
        </is>
      </c>
    </row>
    <row r="89" ht="16.5" customHeight="1" s="78">
      <c r="A89" s="83" t="inlineStr">
        <is>
          <t>비트 1</t>
        </is>
      </c>
      <c r="B89" s="86" t="inlineStr">
        <is>
          <t>발단(1~3화): 매트릭스 프레임, Zenit 32층, Ruggeri 공방(영세 기업의 실패).</t>
        </is>
      </c>
    </row>
    <row r="90" ht="16.5" customHeight="1" s="78">
      <c r="A90" s="83" t="inlineStr">
        <is>
          <t>비트 2</t>
        </is>
      </c>
      <c r="B90" s="86" t="inlineStr">
        <is>
          <t>전개(4~5화): 이카로 프로젝트 킥오프 / 프레임 '엑셀 한 장'.</t>
        </is>
      </c>
    </row>
    <row r="91" ht="16.5" customHeight="1" s="78">
      <c r="A91" s="83" t="inlineStr">
        <is>
          <t>비트 3</t>
        </is>
      </c>
      <c r="B91" s="86" t="inlineStr">
        <is>
          <t>미드포인트(6화): C47 셀 — 412개 일자리, 스푸만테.</t>
        </is>
      </c>
    </row>
    <row r="92" ht="16.5" customHeight="1" s="78">
      <c r="A92" s="83" t="inlineStr">
        <is>
          <t>비트 4</t>
        </is>
      </c>
      <c r="B92" s="86" t="inlineStr">
        <is>
          <t>위기(7~9화): 협상 테이블에서 Paolo와 대면, 잘못 보낸 이메일과 Montessori 상담, 프레임 '412'.</t>
        </is>
      </c>
    </row>
    <row r="93" ht="16.5" customHeight="1" s="78">
      <c r="A93" s="83" t="inlineStr">
        <is>
          <t>비트 5</t>
        </is>
      </c>
      <c r="B93" s="86" t="inlineStr">
        <is>
          <t>절정(10~11화): 파업과 Paolo의 해고, 마지막 회의에서 사직.</t>
        </is>
      </c>
    </row>
    <row r="94" ht="16.5" customHeight="1" s="78">
      <c r="A94" s="83" t="inlineStr">
        <is>
          <t>비트 6</t>
        </is>
      </c>
      <c r="B94" s="86" t="inlineStr">
        <is>
          <t>결말·훅(12화): 프레임 — 네 명이 같은 강당에 모인 콰르티촐로의 화요일 예고.</t>
        </is>
      </c>
    </row>
    <row r="95" ht="29.25" customHeight="1" s="78">
      <c r="A95" s="83" t="inlineStr">
        <is>
          <t>인물 아크</t>
        </is>
      </c>
      <c r="B95" s="85" t="inlineStr">
        <is>
          <t>Chiara: 영어식 경영 용어가 섞인 빠른 말투(itanglese). 가상 인물: Ruggeri(공방 주인), Zenit 파트너. 교차 카메오: Paolo(협상 상대), Montessori(상담), Alessandro(프레임).</t>
        </is>
      </c>
    </row>
    <row r="96" ht="29.25" customHeight="1" s="78">
      <c r="A96" s="83" t="inlineStr">
        <is>
          <t>복선·회수</t>
        </is>
      </c>
      <c r="B96" s="85" t="inlineStr">
        <is>
          <t>C47 셀(→11부 9화 '해고 없는 통합') / Paolo–Chiara 갈등(→8부 6화, 9부 5화, 10부 8화 화해) / «Ok, senza slide»(→6부, 13부 6화)</t>
        </is>
      </c>
    </row>
    <row r="97" ht="16.5" customHeight="1" s="78">
      <c r="A97" s="83" t="inlineStr">
        <is>
          <t>현안 (ID)</t>
        </is>
      </c>
      <c r="B97" s="85" t="inlineStr">
        <is>
          <t>E2● S1○</t>
        </is>
      </c>
    </row>
    <row r="98" ht="16.5" customHeight="1" s="78">
      <c r="A98" s="83" t="inlineStr">
        <is>
          <t>제도·전문 영역</t>
        </is>
      </c>
      <c r="B98" s="86" t="inlineStr">
        <is>
          <t>집단해고(legge 223/1991: 노조 협의 45일 + 행정 단계 30일), 노조 대표(RSU), 파업권(헌법 제40조), 영세·가족 기업 구조</t>
        </is>
      </c>
    </row>
    <row r="99" ht="16.5" customHeight="1" s="78">
      <c r="A99" s="83" t="inlineStr">
        <is>
          <t>언어 설계</t>
        </is>
      </c>
      <c r="B99" s="85" t="inlineStr">
        <is>
          <t>B2~C1. 경영 외래어(allineare, scalabile, KPI), 프레젠테이션 톤. 발성: 숨 가쁜 톤에서 느린 솔직한 톤으로.</t>
        </is>
      </c>
    </row>
    <row r="100" ht="18" customHeight="1" s="78">
      <c r="A100" s="83" t="inlineStr">
        <is>
          <t>대화량 (화당 120턴)</t>
        </is>
      </c>
      <c r="B100" s="85">
        <f>"화당 "&amp;턴_설계!$B$5&amp;"턴 · 부 총 "&amp;TEXT(턴_설계!D38,"#,##0")&amp;"턴 · 화당 약 "&amp;TEXT(턴_설계!F38,"#,##0")&amp;"단어 · 낭독 약 "&amp;TEXT(턴_설계!H38,"0.0")&amp;"분 (평균 "&amp;TEXT(턴_설계!E38,"0.0")&amp;"단어/턴)"</f>
        <v/>
      </c>
    </row>
    <row r="101" ht="16.5" customHeight="1" s="78">
      <c r="A101" s="88" t="inlineStr">
        <is>
          <t>Sofia 질문·Gramsci 카드</t>
        </is>
      </c>
      <c r="B101" s="85" t="inlineStr">
        <is>
          <t>Sofia: stakeholder·scalare·sinergia·KPI 등 경영 용어. 카드: legge 223/1991, 노동자 헌장(Statuto dei lavoratori, legge 300/1970).</t>
        </is>
      </c>
    </row>
    <row r="102" ht="16.5" customHeight="1" s="78">
      <c r="A102" s="83" t="inlineStr">
        <is>
          <t>다음 부 연결</t>
        </is>
      </c>
      <c r="B102" s="85" t="inlineStr">
        <is>
          <t>6부: 콰르티촐로 — 네 사람이 같은 총회에.</t>
        </is>
      </c>
    </row>
    <row r="104" ht="30" customHeight="1" s="78">
      <c r="A104" s="139" t="inlineStr">
        <is>
          <t>6부</t>
        </is>
      </c>
      <c r="B104" s="140" t="inlineStr">
        <is>
          <t>L'Incontro — 운명적 만남   |   난이도 B2   |   약 1년 전(1부보다 앞). Quarticciolo '14번 동(lotto 14)' → Testaccio 사무소 개소.</t>
        </is>
      </c>
    </row>
    <row r="105" ht="29.25" customHeight="1" s="78">
      <c r="A105" s="83" t="inlineStr">
        <is>
          <t>서사 기능</t>
        </is>
      </c>
      <c r="B105" s="86" t="inlineStr">
        <is>
          <t>퍼즐 완성. 네 개의 과거가 하나의 이름(Gruppo Meridiano)으로 수렴하고 팀이 결성된다. 1부의 '왜?'에 대한 대답이자 시간의 고리를 닫는 아크.</t>
        </is>
      </c>
    </row>
    <row r="106" ht="29.25" customHeight="1" s="78">
      <c r="A106" s="83" t="inlineStr">
        <is>
          <t>로그라인</t>
        </is>
      </c>
      <c r="B106" s="86" t="inlineStr">
        <is>
          <t>각자 무너진 네 사람이 같은 건물을 지키려고 모였다가 자기들이 서로 다른 얼굴의 같은 회사를 도왔음을 알게 되고, 서로를 비난한 끝에 처음으로 함께 이긴다.</t>
        </is>
      </c>
    </row>
    <row r="107" ht="16.5" customHeight="1" s="78">
      <c r="A107" s="83" t="inlineStr">
        <is>
          <t>변화 (시작 → 끝)</t>
        </is>
      </c>
      <c r="B107" s="86" t="inlineStr">
        <is>
          <t>혼자 무너진 네 사람 → 서로의 죄를 아는 팀.</t>
        </is>
      </c>
    </row>
    <row r="108" ht="16.5" customHeight="1" s="78">
      <c r="A108" s="83" t="inlineStr">
        <is>
          <t>핵심 갈등</t>
        </is>
      </c>
      <c r="B108" s="86" t="inlineStr">
        <is>
          <t>서로에 대한 책임(공모) vs 함께 속죄</t>
        </is>
      </c>
    </row>
    <row r="109" ht="16.5" customHeight="1" s="78">
      <c r="A109" s="83" t="inlineStr">
        <is>
          <t>비트 1</t>
        </is>
      </c>
      <c r="B109" s="86" t="inlineStr">
        <is>
          <t>발단(1~3화): 콰르티촐로의 화요일, 낯선 넷, 14번 동.</t>
        </is>
      </c>
    </row>
    <row r="110" ht="16.5" customHeight="1" s="78">
      <c r="A110" s="83" t="inlineStr">
        <is>
          <t>비트 2</t>
        </is>
      </c>
      <c r="B110" s="86" t="inlineStr">
        <is>
          <t>전개(4~5화): 계단의 밤(첫 속내), Alessandro의 서류.</t>
        </is>
      </c>
    </row>
    <row r="111" ht="16.5" customHeight="1" s="78">
      <c r="A111" s="83" t="inlineStr">
        <is>
          <t>비트 3</t>
        </is>
      </c>
      <c r="B111" s="86" t="inlineStr">
        <is>
          <t>미드포인트(6화): '같은 이름' — 네 개의 과거가 Meridiano 하나로 이어진다.</t>
        </is>
      </c>
    </row>
    <row r="112" ht="16.5" customHeight="1" s="78">
      <c r="A112" s="83" t="inlineStr">
        <is>
          <t>비트 4</t>
        </is>
      </c>
      <c r="B112" s="86" t="inlineStr">
        <is>
          <t>위기(7~9화): 서로에 대한 비난, 퇴거 아침 영시의 협업, 첫 정지 승리.</t>
        </is>
      </c>
    </row>
    <row r="113" ht="16.5" customHeight="1" s="78">
      <c r="A113" s="83" t="inlineStr">
        <is>
          <t>비트 5</t>
        </is>
      </c>
      <c r="B113" s="86" t="inlineStr">
        <is>
          <t>절정(10~11화): 테스타초의 가게, 식탁의 규칙(금요일 이야기 전통).</t>
        </is>
      </c>
    </row>
    <row r="114" ht="16.5" customHeight="1" s="78">
      <c r="A114" s="83" t="inlineStr">
        <is>
          <t>비트 6</t>
        </is>
      </c>
      <c r="B114" s="86" t="inlineStr">
        <is>
          <t>결말·훅(12화): 간판이 걸리고 «Domani, alle cinque.» → 1부 1화로.</t>
        </is>
      </c>
    </row>
    <row r="115" ht="29.25" customHeight="1" s="78">
      <c r="A115" s="83" t="inlineStr">
        <is>
          <t>인물 아크</t>
        </is>
      </c>
      <c r="B115" s="86" t="inlineStr">
        <is>
          <t>합류 순서: Sofia·Marina(1) → Paolo·Garibaldi(3) → Rosa·Cesare(4) → Machiavelli(5) → Gramsci·Galileo(8) → Dante·Montessori(9) → Francesco(10). Sofia는 이 건물의 세입자로 인턴이 된다. 부활자들이 '어디서 왔는지'는 끝내 설명하지 않는다.</t>
        </is>
      </c>
    </row>
    <row r="116" ht="16.5" customHeight="1" s="78">
      <c r="A116" s="83" t="inlineStr">
        <is>
          <t>복선·회수</t>
        </is>
      </c>
      <c r="B116" s="86" t="inlineStr">
        <is>
          <t>첫 회의 대사(→1부 1화) / 금요일 이야기 규칙(→2~5부 프레임) / Santoro의 이름(→7부, 9부)</t>
        </is>
      </c>
    </row>
    <row r="117" ht="16.5" customHeight="1" s="78">
      <c r="A117" s="83" t="inlineStr">
        <is>
          <t>현안 (ID)</t>
        </is>
      </c>
      <c r="B117" s="85" t="inlineStr">
        <is>
          <t>E1● S2● S1○</t>
        </is>
      </c>
    </row>
    <row r="118" ht="16.5" customHeight="1" s="78">
      <c r="A118" s="83" t="inlineStr">
        <is>
          <t>제도·전문 영역</t>
        </is>
      </c>
      <c r="B118" s="86" t="inlineStr">
        <is>
          <t>퇴거 집행과 집행 정지, 공공주택 매각분(dismissioni)의 민간 소유, 소유 구조(부동산 투자펀드·SIIQ), 소규모 임대인과 협약 임대료(canone concordato)</t>
        </is>
      </c>
    </row>
    <row r="119" ht="16.5" customHeight="1" s="78">
      <c r="A119" s="83" t="inlineStr">
        <is>
          <t>언어 설계</t>
        </is>
      </c>
      <c r="B119" s="85" t="inlineStr">
        <is>
          <t>B2. 감정 폭발·설득 구어체, 다툼과 화해. 발성: 소리 높임과 회복의 대비. Lei → tu 전환의 시작.</t>
        </is>
      </c>
    </row>
    <row r="120" ht="18" customHeight="1" s="78">
      <c r="A120" s="83" t="inlineStr">
        <is>
          <t>대화량 (화당 120턴)</t>
        </is>
      </c>
      <c r="B120" s="85">
        <f>"화당 "&amp;턴_설계!$B$5&amp;"턴 · 부 총 "&amp;TEXT(턴_설계!D39,"#,##0")&amp;"턴 · 화당 약 "&amp;TEXT(턴_설계!F39,"#,##0")&amp;"단어 · 낭독 약 "&amp;TEXT(턴_설계!H39,"0.0")&amp;"분 (평균 "&amp;TEXT(턴_설계!E39,"0.0")&amp;"단어/턴)"</f>
        <v/>
      </c>
    </row>
    <row r="121" ht="16.5" customHeight="1" s="78">
      <c r="A121" s="88" t="inlineStr">
        <is>
          <t>Sofia 질문·Gramsci 카드</t>
        </is>
      </c>
      <c r="B121" s="85" t="inlineStr">
        <is>
          <t>Sofia: «Cos'è un fondo avvoltoio?» 등 소유 구조 용어. 카드: 기업 등록부(Registro delle imprese), 퇴거 집행 연기 규정.</t>
        </is>
      </c>
    </row>
    <row r="122" ht="16.5" customHeight="1" s="78">
      <c r="A122" s="83" t="inlineStr">
        <is>
          <t>다음 부 연결</t>
        </is>
      </c>
      <c r="B122" s="85" t="inlineStr">
        <is>
          <t>1부 1화 — 원이 닫힌다. 그리고 7부로.</t>
        </is>
      </c>
    </row>
    <row r="124" ht="30" customHeight="1" s="78">
      <c r="A124" s="139" t="inlineStr">
        <is>
          <t>7부</t>
        </is>
      </c>
      <c r="B124" s="140" t="inlineStr">
        <is>
          <t>La Rete della Resistenza — 전면전   |   난이도 B2~C1   |   사무소 개소 1년 후. 법원(Piazzale Clodio), Campidoglio 앞, 로마 전역.</t>
        </is>
      </c>
    </row>
    <row r="125" ht="16.5" customHeight="1" s="78">
      <c r="A125" s="83" t="inlineStr">
        <is>
          <t>서사 기능</t>
        </is>
      </c>
      <c r="B125" s="86" t="inlineStr">
        <is>
          <t>전문 능력이 결합되어 첫 결정적 승리를 얻지만, 판결이 법 앞에서 무력할 수 있음을 배운다. 정치의 필요성을 낳는 아크.</t>
        </is>
      </c>
    </row>
    <row r="126" ht="29.25" customHeight="1" s="78">
      <c r="A126" s="83" t="inlineStr">
        <is>
          <t>로그라인</t>
        </is>
      </c>
      <c r="B126" s="86" t="inlineStr">
        <is>
          <t>사무소가 고발·내부고발·보도를 결합해 Gruppo Meridiano를 상대로 전면전을 벌이고 수사를 이끌어 내지만, 그 승리를 뒤집을 법이 준비되고 있음을 알게 된다.</t>
        </is>
      </c>
    </row>
    <row r="127" ht="16.5" customHeight="1" s="78">
      <c r="A127" s="83" t="inlineStr">
        <is>
          <t>변화 (시작 → 끝)</t>
        </is>
      </c>
      <c r="B127" s="86" t="inlineStr">
        <is>
          <t>사건을 푸는 사무소 → 법을 바꿔야 한다는 결론.</t>
        </is>
      </c>
    </row>
    <row r="128" ht="16.5" customHeight="1" s="78">
      <c r="A128" s="83" t="inlineStr">
        <is>
          <t>핵심 갈등</t>
        </is>
      </c>
      <c r="B128" s="86" t="inlineStr">
        <is>
          <t>합법 vs 효율(도청기) / 승리의 지속 가능성</t>
        </is>
      </c>
    </row>
    <row r="129" ht="16.5" customHeight="1" s="78">
      <c r="A129" s="83" t="inlineStr">
        <is>
          <t>비트 1</t>
        </is>
      </c>
      <c r="B129" s="86" t="inlineStr">
        <is>
          <t>발단(1~3화): 1년 후, 계단 위의 줄, 피해자를 벌한 시간(N4).</t>
        </is>
      </c>
    </row>
    <row r="130" ht="16.5" customHeight="1" s="78">
      <c r="A130" s="83" t="inlineStr">
        <is>
          <t>비트 2</t>
        </is>
      </c>
      <c r="B130" s="86" t="inlineStr">
        <is>
          <t>전개(4~5화): 서류 없는 사람들(S2), Francesco의 제보.</t>
        </is>
      </c>
    </row>
    <row r="131" ht="16.5" customHeight="1" s="78">
      <c r="A131" s="83" t="inlineStr">
        <is>
          <t>비트 3</t>
        </is>
      </c>
      <c r="B131" s="86" t="inlineStr">
        <is>
          <t>미드포인트(6화): 사건 파일 — 검찰 고발장(esposto) 제출.</t>
        </is>
      </c>
    </row>
    <row r="132" ht="16.5" customHeight="1" s="78">
      <c r="A132" s="83" t="inlineStr">
        <is>
          <t>비트 4</t>
        </is>
      </c>
      <c r="B132" s="86" t="inlineStr">
        <is>
          <t>위기(7~9화): 보복, 전등 속 마이크(사용할 수 없는 증거 논쟁), 동네의 보초.</t>
        </is>
      </c>
    </row>
    <row r="133" ht="16.5" customHeight="1" s="78">
      <c r="A133" s="83" t="inlineStr">
        <is>
          <t>비트 5</t>
        </is>
      </c>
      <c r="B133" s="86" t="inlineStr">
        <is>
          <t>절정(10~11화): GIP 결정과 피의자 통지 / 다가오는 법(공직자 범죄 축소·도청 제한 법안).</t>
        </is>
      </c>
    </row>
    <row r="134" ht="16.5" customHeight="1" s="78">
      <c r="A134" s="83" t="inlineStr">
        <is>
          <t>비트 6</t>
        </is>
      </c>
      <c r="B134" s="86" t="inlineStr">
        <is>
          <t>결말·훅(12화): 산 조반니의 의자 — «Dobbiamo cambiare la legge.»</t>
        </is>
      </c>
    </row>
    <row r="135" ht="16.5" customHeight="1" s="78">
      <c r="A135" s="83" t="inlineStr">
        <is>
          <t>인물 아크</t>
        </is>
      </c>
      <c r="B135" s="85" t="inlineStr">
        <is>
          <t>La Vecchia Guardia(Cesare·Garibaldi·Gramsci·Machiavelli) 전원 본격 합류. 가상 인물: Santoro(회장), GM 임원 3인, 예비수사판사. Gramsci와 Marco의 합법성 갈등이 핵심.</t>
        </is>
      </c>
    </row>
    <row r="136" ht="16.5" customHeight="1" s="78">
      <c r="A136" s="83" t="inlineStr">
        <is>
          <t>복선·회수</t>
        </is>
      </c>
      <c r="B136" s="85" t="inlineStr">
        <is>
          <t>USB·Francesco 자료(→9부 8화) / 도청기 논쟁(→11부 7화, 12부 5화) / 공직자 범죄 축소 법안(→8부 동기·국민투표)</t>
        </is>
      </c>
    </row>
    <row r="137" ht="16.5" customHeight="1" s="78">
      <c r="A137" s="83" t="inlineStr">
        <is>
          <t>현안 (ID)</t>
        </is>
      </c>
      <c r="B137" s="85" t="inlineStr">
        <is>
          <t>N4● S2● P3●</t>
        </is>
      </c>
    </row>
    <row r="138" ht="29.25" customHeight="1" s="78">
      <c r="A138" s="83" t="inlineStr">
        <is>
          <t>제도·전문 영역</t>
        </is>
      </c>
      <c r="B138" s="86" t="inlineStr">
        <is>
          <t>검찰 고발(esposto-denuncia), 민사 당사자 참여(parte civile), 로마 검찰·예비수사판사(GIP), 부패방지청(ANAC), 내부고발자 보호(d.lgs. 24/2023), 사용할 수 없는 증거(형사소송법 제191조), 명예훼손(형법 제595조), 범죄 폐지의 소급(형법 제2조 2항)</t>
        </is>
      </c>
    </row>
    <row r="139" ht="16.5" customHeight="1" s="78">
      <c r="A139" s="83" t="inlineStr">
        <is>
          <t>언어 설계</t>
        </is>
      </c>
      <c r="B139" s="85" t="inlineStr">
        <is>
          <t>B2~C1. 고발장·성명서·인터뷰 어휘. 발성: 긴박한 대화와 기자회견 톤.</t>
        </is>
      </c>
    </row>
    <row r="140" ht="18" customHeight="1" s="78">
      <c r="A140" s="83" t="inlineStr">
        <is>
          <t>대화량 (화당 120턴)</t>
        </is>
      </c>
      <c r="B140" s="85">
        <f>"화당 "&amp;턴_설계!$B$5&amp;"턴 · 부 총 "&amp;TEXT(턴_설계!D40,"#,##0")&amp;"턴 · 화당 약 "&amp;TEXT(턴_설계!F40,"#,##0")&amp;"단어 · 낭독 약 "&amp;TEXT(턴_설계!H40,"0.0")&amp;"분 (평균 "&amp;TEXT(턴_설계!E40,"0.0")&amp;"단어/턴)"</f>
        <v/>
      </c>
    </row>
    <row r="141" ht="16.5" customHeight="1" s="78">
      <c r="A141" s="88" t="inlineStr">
        <is>
          <t>Sofia 질문·Gramsci 카드</t>
        </is>
      </c>
      <c r="B141" s="85" t="inlineStr">
        <is>
          <t>Sofia: denuncia·querela·avviso di garanzia 등. 카드: d.lgs. 24/2023, 형사소송법 제191조, 형법 제2조.</t>
        </is>
      </c>
    </row>
    <row r="142" ht="16.5" customHeight="1" s="78">
      <c r="A142" s="83" t="inlineStr">
        <is>
          <t>다음 부 연결</t>
        </is>
      </c>
      <c r="B142" s="85" t="inlineStr">
        <is>
          <t>8부: Piazza San Giovanni — 광장으로.</t>
        </is>
      </c>
    </row>
    <row r="144" ht="30" customHeight="1" s="78">
      <c r="A144" s="139" t="inlineStr">
        <is>
          <t>8부</t>
        </is>
      </c>
      <c r="B144" s="140" t="inlineStr">
        <is>
          <t>Il Risveglio Civico — 정치적 각성과 창당   |   난이도 B2~C1   |   사무소 개소 약 2년 후. Piazza San Giovanni → 골목길 캠페인 → 로마 시의회·라치오 주의회 선거.</t>
        </is>
      </c>
    </row>
    <row r="145" ht="29.25" customHeight="1" s="78">
      <c r="A145" s="83" t="inlineStr">
        <is>
          <t>서사 기능</t>
        </is>
      </c>
      <c r="B145" s="86" t="inlineStr">
        <is>
          <t>장르 전환점. 사건을 푸는 사무소에서 법을 바꾸는 정당으로. 집회 신고·폐지 국민투표·정당 설립·선거 절차를 낭독 어휘로 소개한다.</t>
        </is>
      </c>
    </row>
    <row r="146" ht="29.25" customHeight="1" s="78">
      <c r="A146" s="83" t="inlineStr">
        <is>
          <t>로그라인</t>
        </is>
      </c>
      <c r="B146" s="86" t="inlineStr">
        <is>
          <t>법정에서 이겨도 법이 그대로면 소용없다는 걸 안 사무소가 광장으로 나가 폐지 국민투표에 도전하지만 정족수에 막히고, 스스로 정당 «Casa Comune»를 만든다.</t>
        </is>
      </c>
    </row>
    <row r="147" ht="16.5" customHeight="1" s="78">
      <c r="A147" s="83" t="inlineStr">
        <is>
          <t>변화 (시작 → 끝)</t>
        </is>
      </c>
      <c r="B147" s="86" t="inlineStr">
        <is>
          <t>사건 해결자 → 후보. 사무소가 정당이 된다.</t>
        </is>
      </c>
    </row>
    <row r="148" ht="16.5" customHeight="1" s="78">
      <c r="A148" s="83" t="inlineStr">
        <is>
          <t>핵심 갈등</t>
        </is>
      </c>
      <c r="B148" s="86" t="inlineStr">
        <is>
          <t>원칙(Paolo) vs 현실(Chiara·Machiavelli) / 순수함 vs 이기는 것</t>
        </is>
      </c>
    </row>
    <row r="149" ht="16.5" customHeight="1" s="78">
      <c r="A149" s="83" t="inlineStr">
        <is>
          <t>비트 1</t>
        </is>
      </c>
      <c r="B149" s="86" t="inlineStr">
        <is>
          <t>발단(1~3화): 산 조반니 집회, 사건에서 법으로, 50만 서명.</t>
        </is>
      </c>
    </row>
    <row r="150" ht="16.5" customHeight="1" s="78">
      <c r="A150" s="83" t="inlineStr">
        <is>
          <t>비트 2</t>
        </is>
      </c>
      <c r="B150" s="86" t="inlineStr">
        <is>
          <t>전환점(4화): 국민투표 정족수 미달로 무효.</t>
        </is>
      </c>
    </row>
    <row r="151" ht="16.5" customHeight="1" s="78">
      <c r="A151" s="83" t="inlineStr">
        <is>
          <t>비트 3</t>
        </is>
      </c>
      <c r="B151" s="86" t="inlineStr">
        <is>
          <t>미드포인트(5화): 정당의 탄생 — 설립 문서 서명, 이름 «Casa Comune».</t>
        </is>
      </c>
    </row>
    <row r="152" ht="16.5" customHeight="1" s="78">
      <c r="A152" s="83" t="inlineStr">
        <is>
          <t>비트 4</t>
        </is>
      </c>
      <c r="B152" s="86" t="inlineStr">
        <is>
          <t>위기(6~9화): 정관(내부 민주주의), 깨끗한 돈, 후보 명부, 골목길 캠페인.</t>
        </is>
      </c>
    </row>
    <row r="153" ht="16.5" customHeight="1" s="78">
      <c r="A153" s="83" t="inlineStr">
        <is>
          <t>비트 5</t>
        </is>
      </c>
      <c r="B153" s="86" t="inlineStr">
        <is>
          <t>절정(10~11화): 언론의 공격과 정정 청구, 선거 침묵.</t>
        </is>
      </c>
    </row>
    <row r="154" ht="16.5" customHeight="1" s="78">
      <c r="A154" s="83" t="inlineStr">
        <is>
          <t>비트 6</t>
        </is>
      </c>
      <c r="B154" s="86" t="inlineStr">
        <is>
          <t>결말·훅(12화): 개표의 밤 — 시의회 48석 중 5석·주의회 진출(가상). 시장 후보 Alessandro는 3위.</t>
        </is>
      </c>
    </row>
    <row r="155" ht="29.25" customHeight="1" s="78">
      <c r="A155" s="83" t="inlineStr">
        <is>
          <t>인물 아크</t>
        </is>
      </c>
      <c r="B155" s="85" t="inlineStr">
        <is>
          <t>Dante: 첫 문장 → 정당 이름·연설문. Paolo vs Chiara의 원칙 논쟁, 그 사이에서 표를 세는 Machiavelli. Alessandro=로마 시장 후보, Giulia=라치오 주의회 후보. Sofia: 첫 명부 실무.</t>
        </is>
      </c>
    </row>
    <row r="156" ht="16.5" customHeight="1" s="78">
      <c r="A156" s="83" t="inlineStr">
        <is>
          <t>복선·회수</t>
        </is>
      </c>
      <c r="B156" s="85" t="inlineStr">
        <is>
          <t>Paolo–Chiara 화해(→10부 8화) / 정당 이름의 유래(Rosa의 식탁)(→13부 마지막) / 정정권·언론 갈등(→9부 10화)</t>
        </is>
      </c>
    </row>
    <row r="157" ht="16.5" customHeight="1" s="78">
      <c r="A157" s="83" t="inlineStr">
        <is>
          <t>현안 (ID)</t>
        </is>
      </c>
      <c r="B157" s="85" t="inlineStr">
        <is>
          <t>P1○ E1○ E2○ S1○ S2○ N4○</t>
        </is>
      </c>
    </row>
    <row r="158" ht="16.5" customHeight="1" s="78">
      <c r="A158" s="83" t="inlineStr">
        <is>
          <t>제도·전문 영역</t>
        </is>
      </c>
      <c r="B158" s="86" t="inlineStr">
        <is>
          <t>집회 사전 통지(헌법 제17조·TULPS 제18조), 폐지 국민투표(헌법 제75조, legge 352/1970), 정당 설립과 국가 정당 등록부(헌법 제49조, d.l. 149/2013), 정치 후원 공개(legge 3/2019), 지방선거(TUEL), 방송 균등 노출(legge 28/2000), 정정권(legge 47/1948)</t>
        </is>
      </c>
    </row>
    <row r="159" ht="16.5" customHeight="1" s="78">
      <c r="A159" s="83" t="inlineStr">
        <is>
          <t>언어 설계</t>
        </is>
      </c>
      <c r="B159" s="85" t="inlineStr">
        <is>
          <t>B2~C1. 연설(discorso)·구호·선언문, 접속법. 발성: 광장 연설의 볼륨과 호흡.</t>
        </is>
      </c>
    </row>
    <row r="160" ht="18" customHeight="1" s="78">
      <c r="A160" s="83" t="inlineStr">
        <is>
          <t>대화량 (화당 120턴)</t>
        </is>
      </c>
      <c r="B160" s="85">
        <f>"화당 "&amp;턴_설계!$B$5&amp;"턴 · 부 총 "&amp;TEXT(턴_설계!D41,"#,##0")&amp;"턴 · 화당 약 "&amp;TEXT(턴_설계!F41,"#,##0")&amp;"단어 · 낭독 약 "&amp;TEXT(턴_설계!H41,"0.0")&amp;"분 (평균 "&amp;TEXT(턴_설계!E41,"0.0")&amp;"단어/턴)"</f>
        <v/>
      </c>
    </row>
    <row r="161" ht="16.5" customHeight="1" s="78">
      <c r="A161" s="88" t="inlineStr">
        <is>
          <t>Sofia 질문·Gramsci 카드</t>
        </is>
      </c>
      <c r="B161" s="85" t="inlineStr">
        <is>
          <t>Sofia: firme·quorum·seggio·ballottaggio 등 선거 용어. 카드: 헌법 제75조, d.l. 149/2013, 지방자치 통합법(TUEL).</t>
        </is>
      </c>
    </row>
    <row r="162" ht="16.5" customHeight="1" s="78">
      <c r="A162" s="83" t="inlineStr">
        <is>
          <t>다음 부 연결</t>
        </is>
      </c>
      <c r="B162" s="85" t="inlineStr">
        <is>
          <t>9부: 시의회와 주의회 — 소수 야당의 싸움.</t>
        </is>
      </c>
    </row>
    <row r="164" ht="30" customHeight="1" s="78">
      <c r="A164" s="139" t="inlineStr">
        <is>
          <t>9부</t>
        </is>
      </c>
      <c r="B164" s="140" t="inlineStr">
        <is>
          <t>In Campidoglio e alla Pisana — 시의회와 주의회   |   난이도 C1   |   지방·주 선거 직후 ~ 임기 중반. Campidoglio(Assemblea Capitolina), 라치오 주의회(Via della Pisana), 당사.</t>
        </is>
      </c>
    </row>
    <row r="165" ht="16.5" customHeight="1" s="78">
      <c r="A165" s="83" t="inlineStr">
        <is>
          <t>서사 기능</t>
        </is>
      </c>
      <c r="B165" s="86" t="inlineStr">
        <is>
          <t>제도 안의 싸움. 소수 야당으로 예산·계약·병원 외주를 파헤치며 권력의 내부를 배운다. Sofia의 2차 폭발(이번엔 옳다).</t>
        </is>
      </c>
    </row>
    <row r="166" ht="29.25" customHeight="1" s="78">
      <c r="A166" s="83" t="inlineStr">
        <is>
          <t>로그라인</t>
        </is>
      </c>
      <c r="B166" s="86" t="inlineStr">
        <is>
          <t>시의원 Alessandro와 주의원 Giulia가 예산과 계약을 파헤쳐 Gruppo Meridiano로 이어지는 스캔들을 폭로하고 고발로 잇지만, 정치는 사법을 기다려 주지 않는다.</t>
        </is>
      </c>
    </row>
    <row r="167" ht="16.5" customHeight="1" s="78">
      <c r="A167" s="83" t="inlineStr">
        <is>
          <t>변화 (시작 → 끝)</t>
        </is>
      </c>
      <c r="B167" s="86" t="inlineStr">
        <is>
          <t>구경꾼 → 견제자. 순진함 → 제도의 요령.</t>
        </is>
      </c>
    </row>
    <row r="168" ht="16.5" customHeight="1" s="78">
      <c r="A168" s="83" t="inlineStr">
        <is>
          <t>핵심 갈등</t>
        </is>
      </c>
      <c r="B168" s="86" t="inlineStr">
        <is>
          <t>동맹의 대가 vs 원칙 / 폭로의 합법성</t>
        </is>
      </c>
    </row>
    <row r="169" ht="16.5" customHeight="1" s="78">
      <c r="A169" s="83" t="inlineStr">
        <is>
          <t>비트 1</t>
        </is>
      </c>
      <c r="B169" s="86" t="inlineStr">
        <is>
          <t>발단(1~3화): 결선투표와 시의회 개원, 첫 본회의, 도시 예산 감사.</t>
        </is>
      </c>
    </row>
    <row r="170" ht="16.5" customHeight="1" s="78">
      <c r="A170" s="83" t="inlineStr">
        <is>
          <t>비트 2</t>
        </is>
      </c>
      <c r="B170" s="86" t="inlineStr">
        <is>
          <t>전개(4~5화): 계약 돋보기(PNRR·시 산하 기업), 불편한 동맹.</t>
        </is>
      </c>
    </row>
    <row r="171" ht="16.5" customHeight="1" s="78">
      <c r="A171" s="83" t="inlineStr">
        <is>
          <t>비트 3</t>
        </is>
      </c>
      <c r="B171" s="86" t="inlineStr">
        <is>
          <t>미드포인트(6화): 예산의 덫 — 임대료 보조 삭감 조항, Sofia 2차 폭발(Paolo의 욕 포함).</t>
        </is>
      </c>
    </row>
    <row r="172" ht="16.5" customHeight="1" s="78">
      <c r="A172" s="83" t="inlineStr">
        <is>
          <t>비트 4</t>
        </is>
      </c>
      <c r="B172" s="86" t="inlineStr">
        <is>
          <t>위기(7~9화): 주의회 보건(내륙 마을 진료소), 스캔들 폭로, 고발장(사법 지연).</t>
        </is>
      </c>
    </row>
    <row r="173" ht="16.5" customHeight="1" s="78">
      <c r="A173" s="83" t="inlineStr">
        <is>
          <t>비트 5</t>
        </is>
      </c>
      <c r="B173" s="86" t="inlineStr">
        <is>
          <t>절정(10~11화): 권력의 반격, 당내 경선 — 의리의 시험.</t>
        </is>
      </c>
    </row>
    <row r="174" ht="16.5" customHeight="1" s="78">
      <c r="A174" s="83" t="inlineStr">
        <is>
          <t>비트 6</t>
        </is>
      </c>
      <c r="B174" s="86" t="inlineStr">
        <is>
          <t>결말·훅(12화): 정부의 신임 투표 부결 → 해산과 조기 총선, 서명 수집 시작.</t>
        </is>
      </c>
    </row>
    <row r="175" ht="29.25" customHeight="1" s="78">
      <c r="A175" s="83" t="inlineStr">
        <is>
          <t>인물 아크</t>
        </is>
      </c>
      <c r="B175" s="85" t="inlineStr">
        <is>
          <t>Alessandro·Giulia는 각자 의회 무대. Sofia: 시의원 보좌. Gramsci·Galileo·Francesco: 스캔들 증거와 보도. Paolo·Chiara: 동맹 갈등. Machiavelli: 표 계산.</t>
        </is>
      </c>
    </row>
    <row r="176" ht="16.5" customHeight="1" s="78">
      <c r="A176" s="83" t="inlineStr">
        <is>
          <t>복선·회수</t>
        </is>
      </c>
      <c r="B176" s="85" t="inlineStr">
        <is>
          <t>Sofia 2차 폭발(1부 1차의 회수) / Meridiano 스캔들(→11부 2화, 12부 7화)</t>
        </is>
      </c>
    </row>
    <row r="177" ht="16.5" customHeight="1" s="78">
      <c r="A177" s="83" t="inlineStr">
        <is>
          <t>현안 (ID)</t>
        </is>
      </c>
      <c r="B177" s="85" t="inlineStr">
        <is>
          <t>P1● P3● E1● N2● S3●</t>
        </is>
      </c>
    </row>
    <row r="178" ht="16.5" customHeight="1" s="78">
      <c r="A178" s="83" t="inlineStr">
        <is>
          <t>제도·전문 영역</t>
        </is>
      </c>
      <c r="B178" s="86" t="inlineStr">
        <is>
          <t>시장 직선·결선과 시의회(TUEL), 시 예산·결산, 공공계약법(d.lgs. 36/2023), 국가–주 권한(헌법 제117조: 보건·도시계획), 검찰 고발·감사원, d.lgs. 24/2023</t>
        </is>
      </c>
    </row>
    <row r="179" ht="16.5" customHeight="1" s="78">
      <c r="A179" s="83" t="inlineStr">
        <is>
          <t>언어 설계</t>
        </is>
      </c>
      <c r="B179" s="85" t="inlineStr">
        <is>
          <t>C1. 회의 어휘, 표결·동의안, 질의·답변, «Signor Sindaco»·«Presidente»·«consigliera» 호칭. 발성: 정확하고 절제된 회의체.</t>
        </is>
      </c>
    </row>
    <row r="180" ht="18" customHeight="1" s="78">
      <c r="A180" s="83" t="inlineStr">
        <is>
          <t>대화량 (화당 120턴)</t>
        </is>
      </c>
      <c r="B180" s="85">
        <f>"화당 "&amp;턴_설계!$B$5&amp;"턴 · 부 총 "&amp;TEXT(턴_설계!D42,"#,##0")&amp;"턴 · 화당 약 "&amp;TEXT(턴_설계!F42,"#,##0")&amp;"단어 · 낭독 약 "&amp;TEXT(턴_설계!H42,"0.0")&amp;"분 (평균 "&amp;TEXT(턴_설계!E42,"0.0")&amp;"단어/턴)"</f>
        <v/>
      </c>
    </row>
    <row r="181" ht="16.5" customHeight="1" s="78">
      <c r="A181" s="88" t="inlineStr">
        <is>
          <t>Sofia 질문·Gramsci 카드</t>
        </is>
      </c>
      <c r="B181" s="85" t="inlineStr">
        <is>
          <t>Sofia: capitolato·gara d'appalto·emendamento 등. 카드: d.lgs. 36/2023, TUEL(d.lgs. 267/2000), 시의회 회의 규칙.</t>
        </is>
      </c>
    </row>
    <row r="182" ht="16.5" customHeight="1" s="78">
      <c r="A182" s="83" t="inlineStr">
        <is>
          <t>다음 부 연결</t>
        </is>
      </c>
      <c r="B182" s="85" t="inlineStr">
        <is>
          <t>10부: 국정 도전 — 해산과 총선.</t>
        </is>
      </c>
    </row>
    <row r="184" ht="30" customHeight="1" s="78">
      <c r="A184" s="139" t="inlineStr">
        <is>
          <t>10부</t>
        </is>
      </c>
      <c r="B184" s="140" t="inlineStr">
        <is>
          <t>Verso Palazzo Chigi — 총선에서 총리 취임까지   |   난이도 C1~C2   |   9부 이후 1~2년. Montecitorio, Palazzo Madama, Quirinale, Palazzo Chigi.</t>
        </is>
      </c>
    </row>
    <row r="185" ht="16.5" customHeight="1" s="78">
      <c r="A185" s="83" t="inlineStr">
        <is>
          <t>서사 기능</t>
        </is>
      </c>
      <c r="B185" s="86" t="inlineStr">
        <is>
          <t>긴장의 정점. 현실의 이탈리아 정부 구성 절차(대통령 협의, 조각 위임, 선서, 양원 신임, 해산과 재선거)를 드라마로 옮긴다. Marco가 연설가가 되는 순간.</t>
        </is>
      </c>
    </row>
    <row r="186" ht="16.5" customHeight="1" s="78">
      <c r="A186" s="83" t="inlineStr">
        <is>
          <t>로그라인</t>
        </is>
      </c>
      <c r="B186" s="86" t="inlineStr">
        <is>
          <t>조기 총선에서 3위로 들어간 Casa Comune가 두 번의 선거와 두 번의 신임 투표를 거쳐, 상원 1표 차로 총리를 배출한다.</t>
        </is>
      </c>
    </row>
    <row r="187" ht="16.5" customHeight="1" s="78">
      <c r="A187" s="83" t="inlineStr">
        <is>
          <t>변화 (시작 → 끝)</t>
        </is>
      </c>
      <c r="B187" s="86" t="inlineStr">
        <is>
          <t>제3당 → 정부의 주인.</t>
        </is>
      </c>
    </row>
    <row r="188" ht="16.5" customHeight="1" s="78">
      <c r="A188" s="83" t="inlineStr">
        <is>
          <t>핵심 갈등</t>
        </is>
      </c>
      <c r="B188" s="86" t="inlineStr">
        <is>
          <t>원칙 vs 협상(차등 자치·사법 개혁) / 피로</t>
        </is>
      </c>
    </row>
    <row r="189" ht="16.5" customHeight="1" s="78">
      <c r="A189" s="83" t="inlineStr">
        <is>
          <t>비트 1</t>
        </is>
      </c>
      <c r="B189" s="86" t="inlineStr">
        <is>
          <t>발단(1~3화): 해산 명령과 서명, 전국 유세(사르데냐 내륙·가뭄·풍력), TV 토론.</t>
        </is>
      </c>
    </row>
    <row r="190" ht="16.5" customHeight="1" s="78">
      <c r="A190" s="83" t="inlineStr">
        <is>
          <t>비트 2</t>
        </is>
      </c>
      <c r="B190" s="86" t="inlineStr">
        <is>
          <t>전환점(4화): 1차 총선 — 3위. 전개(5~6화): 개원·교섭단체, 대통령 협의.</t>
        </is>
      </c>
    </row>
    <row r="191" ht="16.5" customHeight="1" s="78">
      <c r="A191" s="83" t="inlineStr">
        <is>
          <t>비트 3</t>
        </is>
      </c>
      <c r="B191" s="86" t="inlineStr">
        <is>
          <t>미드포인트(7화): UCN 정부가 하원 신임 투표에서 부결.</t>
        </is>
      </c>
    </row>
    <row r="192" ht="16.5" customHeight="1" s="78">
      <c r="A192" s="83" t="inlineStr">
        <is>
          <t>비트 4</t>
        </is>
      </c>
      <c r="B192" s="86" t="inlineStr">
        <is>
          <t>위기(8~9화): 탐색 위임의 교착, 재해산과 재선거 캠페인.</t>
        </is>
      </c>
    </row>
    <row r="193" ht="16.5" customHeight="1" s="78">
      <c r="A193" s="83" t="inlineStr">
        <is>
          <t>비트 5</t>
        </is>
      </c>
      <c r="B193" s="86" t="inlineStr">
        <is>
          <t>전환점·절정(10~11화): 재선거 결과 1당(과반 아님), 지역정당과의 연정 협상.</t>
        </is>
      </c>
    </row>
    <row r="194" ht="16.5" customHeight="1" s="78">
      <c r="A194" s="83" t="inlineStr">
        <is>
          <t>비트 6</t>
        </is>
      </c>
      <c r="B194" s="86" t="inlineStr">
        <is>
          <t>결말·훅(12화): Quirinale 선서 → 하원 신임 → 상원 102 대 101, 1표 차 신임.</t>
        </is>
      </c>
    </row>
    <row r="195" ht="29.25" customHeight="1" s="78">
      <c r="A195" s="83" t="inlineStr">
        <is>
          <t>인물 아크</t>
        </is>
      </c>
      <c r="B195" s="85" t="inlineStr">
        <is>
          <t>Marco: 후반 연설가로 성장(따뜻한 문장). Dante: 연설문. Chiara·Machiavelli: 협상. Garibaldi: 캠프 총괄, 차등 자치 앞에서 정색. 가상 인물: 하원의장·상원의장(표결 결과 낭독). 대통령은 직접 대사 없음.</t>
        </is>
      </c>
    </row>
    <row r="196" ht="16.5" customHeight="1" s="78">
      <c r="A196" s="83" t="inlineStr">
        <is>
          <t>복선·회수</t>
        </is>
      </c>
      <c r="B196" s="85" t="inlineStr">
        <is>
          <t>TB의 조건부 기권(→12부 7화) / Cesare의 해설(→11부 12화 죽음) / 상원의 1표(→13부 원형)</t>
        </is>
      </c>
    </row>
    <row r="197" ht="16.5" customHeight="1" s="78">
      <c r="A197" s="83" t="inlineStr">
        <is>
          <t>현안 (ID)</t>
        </is>
      </c>
      <c r="B197" s="85" t="inlineStr">
        <is>
          <t>P1● P2● N5● (○ S3·S4·S1·S2·N3·N4·P3)</t>
        </is>
      </c>
    </row>
    <row r="198" ht="16.5" customHeight="1" s="78">
      <c r="A198" s="83" t="inlineStr">
        <is>
          <t>제도·전문 영역</t>
        </is>
      </c>
      <c r="B198" s="86" t="inlineStr">
        <is>
          <t>해산(헌법 제88조)·70일 이내 선거(제61조), 선거법(legge 165/2017), 명부 제출 서명, 개원·교섭단체, 대통령 협의와 조각 위임(제92조), 선서(제93조), 양원 신임(제94조), 차등 자치(legge 86/2024)</t>
        </is>
      </c>
    </row>
    <row r="199" ht="16.5" customHeight="1" s="78">
      <c r="A199" s="83" t="inlineStr">
        <is>
          <t>언어 설계</t>
        </is>
      </c>
      <c r="B199" s="85" t="inlineStr">
        <is>
          <t>C1~C2. 토론·연설 수사, 접속법·조건법 완곡. 발성: 장엄한 호흡, 표결 결과 낭독의 또박또박함.</t>
        </is>
      </c>
    </row>
    <row r="200" ht="18" customHeight="1" s="78">
      <c r="A200" s="83" t="inlineStr">
        <is>
          <t>대화량 (화당 120턴)</t>
        </is>
      </c>
      <c r="B200" s="85">
        <f>"화당 "&amp;턴_설계!$B$5&amp;"턴 · 부 총 "&amp;TEXT(턴_설계!D43,"#,##0")&amp;"턴 · 화당 약 "&amp;TEXT(턴_설계!F43,"#,##0")&amp;"단어 · 낭독 약 "&amp;TEXT(턴_설계!H43,"0.0")&amp;"분 (평균 "&amp;TEXT(턴_설계!E43,"0.0")&amp;"단어/턴)"</f>
        <v/>
      </c>
    </row>
    <row r="201" ht="16.5" customHeight="1" s="78">
      <c r="A201" s="88" t="inlineStr">
        <is>
          <t>Sofia 질문·Gramsci 카드</t>
        </is>
      </c>
      <c r="B201" s="85" t="inlineStr">
        <is>
          <t>Sofia: seggio·maggioranza assoluta·fiducia 등. 카드: 헌법 제88·92·94조, 하원·상원 속기록(resoconti stenografici).</t>
        </is>
      </c>
    </row>
    <row r="202" ht="16.5" customHeight="1" s="78">
      <c r="A202" s="83" t="inlineStr">
        <is>
          <t>다음 부 연결</t>
        </is>
      </c>
      <c r="B202" s="85" t="inlineStr">
        <is>
          <t>11부: 소수 연립 정부의 국정.</t>
        </is>
      </c>
    </row>
    <row r="204" ht="30" customHeight="1" s="78">
      <c r="A204" s="139" t="inlineStr">
        <is>
          <t>11부</t>
        </is>
      </c>
      <c r="B204" s="140" t="inlineStr">
        <is>
          <t>La Grande Battaglia Sociale I — 사회 현안 전투 I   |   난이도 C1~C2   |   취임 후 첫 해(가상). Palazzo Chigi, Consiglio dei Ministri, 브뤼셀.</t>
        </is>
      </c>
    </row>
    <row r="205" ht="29.25" customHeight="1" s="78">
      <c r="A205" s="83" t="inlineStr">
        <is>
          <t>서사 기능</t>
        </is>
      </c>
      <c r="B205" s="86" t="inlineStr">
        <is>
          <t>이야기의 시험대이자 Cesare의 마지막 임무. 총리가 되어도 권한은 국가와 주(Regione)로 나뉘어 있다는 현실을 국내에서 배운 뒤, 부활한 독재관이 2천 년 만에 다시 협상 테이블에 앉아 브뤼셀에서 승리하고 그 직후 숨을 거둔다.</t>
        </is>
      </c>
    </row>
    <row r="206" ht="29.25" customHeight="1" s="78">
      <c r="A206" s="83" t="inlineStr">
        <is>
          <t>로그라인</t>
        </is>
      </c>
      <c r="B206" s="86" t="inlineStr">
        <is>
          <t>연립 정부가 주거·보건·이민·청년의 벽을 넘고, Cesare가 자원해 NATO 방위비와 EU 재정규칙을 직접 협상해 이긴 뒤 귀국 직후 쓰러진다.</t>
        </is>
      </c>
    </row>
    <row r="207" ht="16.5" customHeight="1" s="78">
      <c r="A207" s="83" t="inlineStr">
        <is>
          <t>변화 (시작 → 끝)</t>
        </is>
      </c>
      <c r="B207" s="86" t="inlineStr">
        <is>
          <t>선거의 사람들 → 통치하는 사람들. 그리고 은퇴한 독재관 → 현역 협상가로 마지막으로 돌아간 사람.</t>
        </is>
      </c>
    </row>
    <row r="208" ht="16.5" customHeight="1" s="78">
      <c r="A208" s="83" t="inlineStr">
        <is>
          <t>핵심 갈등</t>
        </is>
      </c>
      <c r="B208" s="86" t="inlineStr">
        <is>
          <t>하고 싶은 것 vs 할 수 있는 것(권한) / 늙은 몸 vs 마지막 임무를 향한 의지</t>
        </is>
      </c>
    </row>
    <row r="209" ht="16.5" customHeight="1" s="78">
      <c r="A209" s="83" t="inlineStr">
        <is>
          <t>비트 1</t>
        </is>
      </c>
      <c r="B209" s="86" t="inlineStr">
        <is>
          <t>발단(1~2화): 첫 국무회의, 보이지 않는 집주인들 — 주거 현안.</t>
        </is>
      </c>
    </row>
    <row r="210" ht="16.5" customHeight="1" s="78">
      <c r="A210" s="83" t="inlineStr">
        <is>
          <t>비트 2</t>
        </is>
      </c>
      <c r="B210" s="86" t="inlineStr">
        <is>
          <t>전개(3~5화): 주거법(자기 조항 봉쇄), 응급실 마비(주 권한), 이민 분담.</t>
        </is>
      </c>
    </row>
    <row r="211" ht="16.5" customHeight="1" s="78">
      <c r="A211" s="83" t="inlineStr">
        <is>
          <t>비트 3</t>
        </is>
      </c>
      <c r="B211" s="86" t="inlineStr">
        <is>
          <t>위기(6화): 청년 고용·최저임금 협상 — 아직 죽지 않지만 계단에서 숨이 가쁘다.</t>
        </is>
      </c>
    </row>
    <row r="212" ht="16.5" customHeight="1" s="78">
      <c r="A212" s="83" t="inlineStr">
        <is>
          <t>비트 4</t>
        </is>
      </c>
      <c r="B212" s="86" t="inlineStr">
        <is>
          <t>위기(7~8화): 가격 카르텔·도청 논쟁(Cesare가 중재), 횡재세.</t>
        </is>
      </c>
    </row>
    <row r="213" ht="29.25" customHeight="1" s="78">
      <c r="A213" s="83" t="inlineStr">
        <is>
          <t>비트 5</t>
        </is>
      </c>
      <c r="B213" s="86" t="inlineStr">
        <is>
          <t>전환점(9화): Cesare가 브뤼셀行을 자원한다 — 금박 이름을 새긴 사업가 출신과 정보기관 출신의 이웃국 병합자, 두 지도자를 특징으로만 회상하며 이름은 끝내 말하지 않는다.</t>
        </is>
      </c>
    </row>
    <row r="214" ht="16.5" customHeight="1" s="78">
      <c r="A214" s="83" t="inlineStr">
        <is>
          <t>비트 6</t>
        </is>
      </c>
      <c r="B214" s="86" t="inlineStr">
        <is>
          <t>절정(10~11화): 직접 협상 — 상대의 거짓말을 반박하고 타결. 귀국길의 피로.</t>
        </is>
      </c>
    </row>
    <row r="215" ht="16.5" customHeight="1" s="78">
      <c r="A215" s="83" t="inlineStr">
        <is>
          <t>비트 7</t>
        </is>
      </c>
      <c r="B215" s="86" t="inlineStr">
        <is>
          <t>결말(12화): 귀국 직후 사망. «Niente male.» — 승리 직후라 더 무겁다.</t>
        </is>
      </c>
    </row>
    <row r="216" ht="29.25" customHeight="1" s="78">
      <c r="A216" s="83" t="inlineStr">
        <is>
          <t>인물 아크</t>
        </is>
      </c>
      <c r="B216" s="85" t="inlineStr">
        <is>
          <t>Marco=총리, Alessandro=경제재정부 장관(브뤼셀 동행), Giulia=보건부 장관, Chiara=총리실 실장, Garibaldi=지역통합 담당 장관(대표단 로지스틱스), Dante=연설·브리핑 문구, Machiavelli=정치 전략, Sofia: 마지막 순간을 함께한다.</t>
        </is>
      </c>
    </row>
    <row r="217" ht="29.25" customHeight="1" s="78">
      <c r="A217" s="83" t="inlineStr">
        <is>
          <t>복선·회수</t>
        </is>
      </c>
      <c r="B217" s="85" t="inlineStr">
        <is>
          <t>Marco의 옛 조항 봉쇄(2부 6화 회수) / Cesare 죽음·우산(→12부 1화, 13부 2화) / 도청 논쟁(7부 8화 회수) / Cesare가 브뤼셀로 자원(→12부 2~3화 메모 승계)</t>
        </is>
      </c>
    </row>
    <row r="218" ht="16.5" customHeight="1" s="78">
      <c r="A218" s="83" t="inlineStr">
        <is>
          <t>현안 (ID)</t>
        </is>
      </c>
      <c r="B218" s="85" t="inlineStr">
        <is>
          <t>E1● E3● S1● S2● N3●</t>
        </is>
      </c>
    </row>
    <row r="219" ht="16.5" customHeight="1" s="78">
      <c r="A219" s="83" t="inlineStr">
        <is>
          <t>제도·전문 영역</t>
        </is>
      </c>
      <c r="B219" s="86" t="inlineStr">
        <is>
          <t>국무회의(legge 400/1988), 국가–주 협의회(Conferenza Stato-Regioni), NATO 방위비 목표(2025 헤이그 합의·5%·2035), EU 재정규칙과 과도한 재정적자 절차(TFUE 제126조, 이탈리아는 2024년부터 대상)</t>
        </is>
      </c>
    </row>
    <row r="220" ht="29.25" customHeight="1" s="78">
      <c r="A220" s="83" t="inlineStr">
        <is>
          <t>언어 설계</t>
        </is>
      </c>
      <c r="B220" s="85" t="inlineStr">
        <is>
          <t>C1~C2. 국정 문서·외교 협상 어휘, 조문 낭독, 완곡어법(Cesare의 3인칭 화법과 라틴어 한 줄). 발성: 노련한 협상가의 절제된 반박과 임종 장면의 낮은 목소리.</t>
        </is>
      </c>
    </row>
    <row r="221" ht="18" customHeight="1" s="78">
      <c r="A221" s="83" t="inlineStr">
        <is>
          <t>대화량 (화당 120턴)</t>
        </is>
      </c>
      <c r="B221" s="85">
        <f>"화당 "&amp;턴_설계!$B$5&amp;"턴 · 부 총 "&amp;TEXT(턴_설계!D44,"#,##0")&amp;"턴 · 화당 약 "&amp;TEXT(턴_설계!F44,"#,##0")&amp;"단어 · 낭독 약 "&amp;TEXT(턴_설계!H44,"0.0")&amp;"분 (평균 "&amp;TEXT(턴_설계!E44,"0.0")&amp;"단어/턴)"</f>
        <v/>
      </c>
    </row>
    <row r="222" ht="16.5" customHeight="1" s="78">
      <c r="A222" s="88" t="inlineStr">
        <is>
          <t>Sofia 질문·Gramsci 카드</t>
        </is>
      </c>
      <c r="B222" s="85" t="inlineStr">
        <is>
          <t>Sofia: decreto-legge·conflitto di attribuzione·ricorso in via principale 등. 카드: 헌법 제117·77조, NATO 방위비 목표 문서, EU 기능조약 제126조.</t>
        </is>
      </c>
    </row>
    <row r="223" ht="16.5" customHeight="1" s="78">
      <c r="A223" s="83" t="inlineStr">
        <is>
          <t>다음 부 연결</t>
        </is>
      </c>
      <c r="B223" s="85" t="inlineStr">
        <is>
          <t>12부: 장례식으로 시작해 그의 메모로 협상을 잇는다.</t>
        </is>
      </c>
    </row>
    <row r="225" ht="30" customHeight="1" s="78">
      <c r="A225" s="139" t="inlineStr">
        <is>
          <t>12부</t>
        </is>
      </c>
      <c r="B225" s="140" t="inlineStr">
        <is>
          <t>La Grande Battaglia Sociale II — 사회 현안 전투 II   |   난이도 C1~C2   |   Cesare 사후. Palazzo Chigi, 브뤼셀, 홍수 현장.</t>
        </is>
      </c>
    </row>
    <row r="226" ht="29.25" customHeight="1" s="78">
      <c r="A226" s="83" t="inlineStr">
        <is>
          <t>서사 기능</t>
        </is>
      </c>
      <c r="B226" s="86" t="inlineStr">
        <is>
          <t>상실 이후의 국정. 죽은 사람의 메모로 산 사람들이 협상을 잇는 법, 그리고 새로운 현안(플랫폼 노동·스파이웨어·청년 정신건강)을 통과하는 팀의 성장.</t>
        </is>
      </c>
    </row>
    <row r="227" ht="29.25" customHeight="1" s="78">
      <c r="A227" s="83" t="inlineStr">
        <is>
          <t>로그라인</t>
        </is>
      </c>
      <c r="B227" s="86" t="inlineStr">
        <is>
          <t>장례식을 치른 팀이 Cesare의 메모로 브뤼셀 후속 협상을 마무리하고, 플랫폼 노동·스파이웨어 스캔들·청년 정신건강을 거쳐 불신임안과 홍수까지 버텨낸다.</t>
        </is>
      </c>
    </row>
    <row r="228" ht="16.5" customHeight="1" s="78">
      <c r="A228" s="83" t="inlineStr">
        <is>
          <t>변화 (시작 → 끝)</t>
        </is>
      </c>
      <c r="B228" s="86" t="inlineStr">
        <is>
          <t>한 사람의 노련함에 기대던 팀 → 그의 방식을 자기 것으로 만든 팀.</t>
        </is>
      </c>
    </row>
    <row r="229" ht="16.5" customHeight="1" s="78">
      <c r="A229" s="83" t="inlineStr">
        <is>
          <t>핵심 갈등</t>
        </is>
      </c>
      <c r="B229" s="86" t="inlineStr">
        <is>
          <t>애도 vs 계속 가는 것 / 새 현안들의 무게</t>
        </is>
      </c>
    </row>
    <row r="230" ht="16.5" customHeight="1" s="78">
      <c r="A230" s="83" t="inlineStr">
        <is>
          <t>비트 1</t>
        </is>
      </c>
      <c r="B230" s="86" t="inlineStr">
        <is>
          <t>발단(1화): 장례식 — Sofia가 처음으로 tu를 쓴다.</t>
        </is>
      </c>
    </row>
    <row r="231" ht="16.5" customHeight="1" s="78">
      <c r="A231" s="83" t="inlineStr">
        <is>
          <t>비트 2</t>
        </is>
      </c>
      <c r="B231" s="86" t="inlineStr">
        <is>
          <t>전개(2~3화): 유작 메모 발견, 그 메모로 잇는 2차 브뤼셀 협상.</t>
        </is>
      </c>
    </row>
    <row r="232" ht="16.5" customHeight="1" s="78">
      <c r="A232" s="83" t="inlineStr">
        <is>
          <t>비트 3</t>
        </is>
      </c>
      <c r="B232" s="86" t="inlineStr">
        <is>
          <t>전개(4~6화): 플랫폼 노동(라이더), 스파이웨어 스캔들, 청년 정신건강.</t>
        </is>
      </c>
    </row>
    <row r="233" ht="16.5" customHeight="1" s="78">
      <c r="A233" s="83" t="inlineStr">
        <is>
          <t>비트 4</t>
        </is>
      </c>
      <c r="B233" s="86" t="inlineStr">
        <is>
          <t>위기(7~8화): 불신임안 방어, 홍수 재난.</t>
        </is>
      </c>
    </row>
    <row r="234" ht="16.5" customHeight="1" s="78">
      <c r="A234" s="83" t="inlineStr">
        <is>
          <t>비트 5</t>
        </is>
      </c>
      <c r="B234" s="86" t="inlineStr">
        <is>
          <t>절정(9화): 거리에서 나타난 성과들.</t>
        </is>
      </c>
    </row>
    <row r="235" ht="16.5" customHeight="1" s="78">
      <c r="A235" s="83" t="inlineStr">
        <is>
          <t>비트 6</t>
        </is>
      </c>
      <c r="B235" s="86" t="inlineStr">
        <is>
          <t>위기·결말(10~12화): 올드 가드의 빈자리, 국방비 예산 반영 논쟁, 예산안 제출 준비.</t>
        </is>
      </c>
    </row>
    <row r="236" ht="29.25" customHeight="1" s="78">
      <c r="A236" s="83" t="inlineStr">
        <is>
          <t>인물 아크</t>
        </is>
      </c>
      <c r="B236" s="85" t="inlineStr">
        <is>
          <t>Alessandro·Dante=Cesare의 메모를 잇는 두 사람. Gramsci=감시당해 본 사람의 감각으로 스파이웨어 추적. Montessori·Sofia=청년 정신건강. Garibaldi·Gramsci·Machiavelli=빈자리를 마주함.</t>
        </is>
      </c>
    </row>
    <row r="237" ht="16.5" customHeight="1" s="78">
      <c r="A237" s="83" t="inlineStr">
        <is>
          <t>복선·회수</t>
        </is>
      </c>
      <c r="B237" s="85" t="inlineStr">
        <is>
          <t>Cesare의 유작 메모(11부 11화 회수 시작) / Sofia의 Lei→tu(1화에서 전환) / 7부 도청 논쟁이 국가적 스캔들로 확장</t>
        </is>
      </c>
    </row>
    <row r="238" ht="16.5" customHeight="1" s="78">
      <c r="A238" s="83" t="inlineStr">
        <is>
          <t>현안 (ID)</t>
        </is>
      </c>
      <c r="B238" s="85" t="inlineStr">
        <is>
          <t>N3● E3● N6● N7● N8● P1● P2● P3● N1● S4●</t>
        </is>
      </c>
    </row>
    <row r="239" ht="29.25" customHeight="1" s="78">
      <c r="A239" s="83" t="inlineStr">
        <is>
          <t>제도·전문 영역</t>
        </is>
      </c>
      <c r="B239" s="86" t="inlineStr">
        <is>
          <t>유작 메모 승계, 정보기관 체계와 의회 통제(legge 124/2007·COPASIR), 플랫폼 노동(d.lgs. 81/2015·EU 지침 2024/2831), 불신임안(헌법 제94조), 민방위(d.lgs. 1/2018), 예산(헌법 제81조, legge 196/2009)</t>
        </is>
      </c>
    </row>
    <row r="240" ht="16.5" customHeight="1" s="78">
      <c r="A240" s="83" t="inlineStr">
        <is>
          <t>언어 설계</t>
        </is>
      </c>
      <c r="B240" s="85" t="inlineStr">
        <is>
          <t>C1~C2. 추도사, 인용(Cesare의 문장을 빌려 쓰는 대사), 국정 어휘. 발성: 1화의 낮고 절제된 애도 톤에서 점차 회복.</t>
        </is>
      </c>
    </row>
    <row r="241" ht="18" customHeight="1" s="78">
      <c r="A241" s="83" t="inlineStr">
        <is>
          <t>대화량 (화당 120턴)</t>
        </is>
      </c>
      <c r="B241" s="85">
        <f>"화당 "&amp;턴_설계!$B$5&amp;"턴 · 부 총 "&amp;TEXT(턴_설계!D45,"#,##0")&amp;"턴 · 화당 약 "&amp;TEXT(턴_설계!F45,"#,##0")&amp;"단어 · 낭독 약 "&amp;TEXT(턴_설계!H45,"0.0")&amp;"분 (평균 "&amp;TEXT(턴_설계!E45,"0.0")&amp;"단어/턴)"</f>
        <v/>
      </c>
    </row>
    <row r="242" ht="16.5" customHeight="1" s="78">
      <c r="A242" s="88" t="inlineStr">
        <is>
          <t>Sofia 질문·Gramsci 카드</t>
        </is>
      </c>
      <c r="B242" s="85" t="inlineStr">
        <is>
          <t>Sofia: intercettazioni·spyware·salute mentale 등. 카드: legge 124/2007, d.lgs. 81/2015 제47-bis조, d.lgs. 1/2018.</t>
        </is>
      </c>
    </row>
    <row r="243" ht="16.5" customHeight="1" s="78">
      <c r="A243" s="83" t="inlineStr">
        <is>
          <t>다음 부 연결</t>
        </is>
      </c>
      <c r="B243" s="85" t="inlineStr">
        <is>
          <t>13부: 1부의 식탁으로 돌아간다.</t>
        </is>
      </c>
    </row>
    <row r="245" ht="30" customHeight="1" s="78">
      <c r="A245" s="139" t="inlineStr">
        <is>
          <t>13부</t>
        </is>
      </c>
      <c r="B245" s="140" t="inlineStr">
        <is>
          <t>Ritorno a Testaccio — 귀환   |   난이도 B1~B2   |   임기 후반. Testaccio 사무소와 Trattoria da Rosa. 마지막에 다시 '다섯 시'.</t>
        </is>
      </c>
    </row>
    <row r="246" ht="16.5" customHeight="1" s="78">
      <c r="A246" s="83" t="inlineStr">
        <is>
          <t>서사 기능</t>
        </is>
      </c>
      <c r="B246" s="86" t="inlineStr">
        <is>
          <t>원형 닫기와 성장의 확인. 낭독자가 1부 장면을 다시 읽으며 실력의 성장을 체감한다. Sofia가 질문받는 쪽으로 이동한다.</t>
        </is>
      </c>
    </row>
    <row r="247" ht="16.5" customHeight="1" s="78">
      <c r="A247" s="83" t="inlineStr">
        <is>
          <t>로그라인</t>
        </is>
      </c>
      <c r="B247" s="86" t="inlineStr">
        <is>
          <t>장관들이 손님으로 돌아온 테스타초에서 Cesare의 우산이 Sofia에게 도착하고, 새 인턴이 던진 질문에 Sofia가 답한다.</t>
        </is>
      </c>
    </row>
    <row r="248" ht="16.5" customHeight="1" s="78">
      <c r="A248" s="83" t="inlineStr">
        <is>
          <t>변화 (시작 → 끝)</t>
        </is>
      </c>
      <c r="B248" s="86" t="inlineStr">
        <is>
          <t>총리와 장관들 → 다시 식탁 앞의 사람들. Sofia: 묻는 사람 → 설명하는 사람.</t>
        </is>
      </c>
    </row>
    <row r="249" ht="16.5" customHeight="1" s="78">
      <c r="A249" s="83" t="inlineStr">
        <is>
          <t>핵심 갈등</t>
        </is>
      </c>
      <c r="B249" s="86" t="inlineStr">
        <is>
          <t>애도 vs 계속 가는 것 / 겸직 제한으로 사무소를 놓아야 함</t>
        </is>
      </c>
    </row>
    <row r="250" ht="16.5" customHeight="1" s="78">
      <c r="A250" s="83" t="inlineStr">
        <is>
          <t>비트 1</t>
        </is>
      </c>
      <c r="B250" s="86" t="inlineStr">
        <is>
          <t>발단(1~3화): 다섯 시, 우산(유언장), 빈 의자.</t>
        </is>
      </c>
    </row>
    <row r="251" ht="16.5" customHeight="1" s="78">
      <c r="A251" s="83" t="inlineStr">
        <is>
          <t>비트 2</t>
        </is>
      </c>
      <c r="B251" s="86" t="inlineStr">
        <is>
          <t>전개(4~5화): 사무소의 재단 전환, 새 인턴 Luca.</t>
        </is>
      </c>
    </row>
    <row r="252" ht="16.5" customHeight="1" s="78">
      <c r="A252" s="83" t="inlineStr">
        <is>
          <t>비트 3</t>
        </is>
      </c>
      <c r="B252" s="86" t="inlineStr">
        <is>
          <t>미드포인트(6화): Sofia가 어려운 말을 쉬운 말로 설명한다.</t>
        </is>
      </c>
    </row>
    <row r="253" ht="16.5" customHeight="1" s="78">
      <c r="A253" s="83" t="inlineStr">
        <is>
          <t>비트 4</t>
        </is>
      </c>
      <c r="B253" s="86" t="inlineStr">
        <is>
          <t>전개(7~8화): 임기 보고서(현안 결산), 시민들의 편지.</t>
        </is>
      </c>
    </row>
    <row r="254" ht="16.5" customHeight="1" s="78">
      <c r="A254" s="83" t="inlineStr">
        <is>
          <t>비트 5</t>
        </is>
      </c>
      <c r="B254" s="86" t="inlineStr">
        <is>
          <t>위기(9화): 올드 가드와 빈 의자.</t>
        </is>
      </c>
    </row>
    <row r="255" ht="16.5" customHeight="1" s="78">
      <c r="A255" s="83" t="inlineStr">
        <is>
          <t>비트 6</t>
        </is>
      </c>
      <c r="B255" s="86" t="inlineStr">
        <is>
          <t>절정·결말(10~12화): 빠진 카드(Gramsci가 처음 결론을 말함), 다시 다섯 시, «Sedetevi, che vi porto qualcosa.»</t>
        </is>
      </c>
    </row>
    <row r="256" ht="16.5" customHeight="1" s="78">
      <c r="A256" s="83" t="inlineStr">
        <is>
          <t>인물 아크</t>
        </is>
      </c>
      <c r="B256" s="85" t="inlineStr">
        <is>
          <t>Sofia 12화 전부, Rosa 10화. Cesare는 유언장·회상 3화. 신규 엑스트라: Luca(새 인턴), 공증인.</t>
        </is>
      </c>
    </row>
    <row r="257" ht="16.5" customHeight="1" s="78">
      <c r="A257" s="83" t="inlineStr">
        <is>
          <t>복선·회수</t>
        </is>
      </c>
      <c r="B257" s="85" t="inlineStr">
        <is>
          <t>(회수 아크) 1부 첫 대사·우산·Gramsci 카드·Sofia의 질문 — '복선_회수' 시트 참고</t>
        </is>
      </c>
    </row>
    <row r="258" ht="16.5" customHeight="1" s="78">
      <c r="A258" s="83" t="inlineStr">
        <is>
          <t>현안 (ID)</t>
        </is>
      </c>
      <c r="B258" s="85" t="inlineStr">
        <is>
          <t>S1● (7화 결산에서 E3·S3·N5·N3 등)</t>
        </is>
      </c>
    </row>
    <row r="259" ht="16.5" customHeight="1" s="78">
      <c r="A259" s="83" t="inlineStr">
        <is>
          <t>제도·전문 영역</t>
        </is>
      </c>
      <c r="B259" s="86" t="inlineStr">
        <is>
          <t>정부 구성원의 이해충돌(legge 215/2004), 유언(notaio, esecutore testamentario, Registro generale dei testamenti), 재단 설립(민법 제14조 이하, 제3섹터법 d.lgs. 117/2017)</t>
        </is>
      </c>
    </row>
    <row r="260" ht="16.5" customHeight="1" s="78">
      <c r="A260" s="83" t="inlineStr">
        <is>
          <t>언어 설계</t>
        </is>
      </c>
      <c r="B260" s="85" t="inlineStr">
        <is>
          <t>B1~B2. 1부와 같은 문장을 다시 읽어 비교. 발성: 따뜻하고 여유로운 톤. Sofia의 설명은 쉬운 말.</t>
        </is>
      </c>
    </row>
    <row r="261" ht="18" customHeight="1" s="78">
      <c r="A261" s="83" t="inlineStr">
        <is>
          <t>대화량 (화당 120턴)</t>
        </is>
      </c>
      <c r="B261" s="85">
        <f>"화당 "&amp;턴_설계!$B$5&amp;"턴 · 부 총 "&amp;TEXT(턴_설계!D46,"#,##0")&amp;"턴 · 화당 약 "&amp;TEXT(턴_설계!F46,"#,##0")&amp;"단어 · 낭독 약 "&amp;TEXT(턴_설계!H46,"0.0")&amp;"분 (평균 "&amp;TEXT(턴_설계!E46,"0.0")&amp;"단어/턴)"</f>
        <v/>
      </c>
    </row>
    <row r="262" ht="16.5" customHeight="1" s="78">
      <c r="A262" s="88" t="inlineStr">
        <is>
          <t>Sofia 질문·Gramsci 카드</t>
        </is>
      </c>
      <c r="B262" s="85" t="inlineStr">
        <is>
          <t>Sofia가 새 인턴의 질문에 답한다. 카드: Gramsci가 처음으로 결론을 직접 말한다.</t>
        </is>
      </c>
    </row>
    <row r="263" ht="16.5" customHeight="1" s="78">
      <c r="A263" s="83" t="inlineStr">
        <is>
          <t>다음 부 연결</t>
        </is>
      </c>
      <c r="B263" s="86" t="inlineStr">
        <is>
          <t>끝 — 원.</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tabColor rgb="FFBF8F00"/>
    <outlinePr summaryBelow="1" summaryRight="1"/>
    <pageSetUpPr fitToPage="1"/>
  </sheetPr>
  <dimension ref="A1:J161"/>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6" customWidth="1" style="77" min="1" max="2"/>
    <col width="13" customWidth="1" style="77" min="3" max="3"/>
    <col width="32" customWidth="1" style="77" min="4" max="4"/>
    <col width="24" customWidth="1" style="77" min="5" max="5"/>
    <col width="62" customWidth="1" style="77" min="6" max="6"/>
    <col width="46" customWidth="1" style="77" min="7" max="7"/>
    <col width="28" customWidth="1" style="77" min="8" max="8"/>
    <col width="16" customWidth="1" style="77" min="9" max="9"/>
    <col width="8" customWidth="1" style="77" min="10" max="10"/>
  </cols>
  <sheetData>
    <row r="1" ht="24" customHeight="1" s="78">
      <c r="A1" s="98" t="inlineStr">
        <is>
          <t>전체 화별 목차 (1~13부, 156화)</t>
        </is>
      </c>
    </row>
    <row r="2" ht="15" customHeight="1" s="78">
      <c r="A2" s="97" t="inlineStr">
        <is>
          <t>현실 제도와 현안(ID는 '현안_배치' 시트)을 반영한 초안. 의석 수·결과는 가상 수치. 모든 화는 지문 없이 대화문으로만 진행한다.</t>
        </is>
      </c>
    </row>
    <row r="4" ht="29.25" customHeight="1" s="78">
      <c r="A4" s="100" t="inlineStr">
        <is>
          <t>부</t>
        </is>
      </c>
      <c r="B4" s="100" t="inlineStr">
        <is>
          <t>화</t>
        </is>
      </c>
      <c r="C4" s="100" t="inlineStr">
        <is>
          <t>서사 기능</t>
        </is>
      </c>
      <c r="D4" s="100" t="inlineStr">
        <is>
          <t>제목 (IT)</t>
        </is>
      </c>
      <c r="E4" s="100" t="inlineStr">
        <is>
          <t>한국어</t>
        </is>
      </c>
      <c r="F4" s="100" t="inlineStr">
        <is>
          <t>핵심 사건</t>
        </is>
      </c>
      <c r="G4" s="100" t="inlineStr">
        <is>
          <t>반영 제도·전문 영역</t>
        </is>
      </c>
      <c r="H4" s="100" t="inlineStr">
        <is>
          <t>주요 인물</t>
        </is>
      </c>
      <c r="I4" s="100" t="inlineStr">
        <is>
          <t>반영 현안
(ID)</t>
        </is>
      </c>
      <c r="J4" s="100" t="inlineStr">
        <is>
          <t>턴 수</t>
        </is>
      </c>
    </row>
    <row r="5" ht="67.5" customHeight="1" s="78">
      <c r="A5" s="101" t="n">
        <v>1</v>
      </c>
      <c r="B5" s="101" t="n">
        <v>1</v>
      </c>
      <c r="C5" s="103" t="inlineStr">
        <is>
          <t>사건1 도입</t>
        </is>
      </c>
      <c r="D5" s="85" t="inlineStr">
        <is>
          <t>Un'altra lettera</t>
        </is>
      </c>
      <c r="E5" s="86" t="inlineStr">
        <is>
          <t>또 다른 편지</t>
        </is>
      </c>
      <c r="F5" s="86" t="inlineStr">
        <is>
          <t>사무소 개소 1개월 후. 다섯 시, 여전히 방법을 못 정한 채 매일 다투는 팀. Fatima가 두 번째로 찾아와 새 임대료 인상 통지서와 퇴거 경고장을 보인다. Sofia는 여전히 Marco에게 Lei를 쓴다. Gramsci가 지나가며 «날짜를 세어 보라»는 힌트만 던지고, Machiavelli는 «이 집의 진짜 주인이 누구인가»만 묻는다. 계약서가 없어 다음 날로 미뤄진다.</t>
        </is>
      </c>
      <c r="G5" s="86" t="inlineStr">
        <is>
          <t>생활 법률 구어체, 반복되는 말다툼 (B1)</t>
        </is>
      </c>
      <c r="H5" s="85" t="inlineStr">
        <is>
          <t>Rosa, Marco, Giulia, Alessandro, Chiara, Sofia, Cesare, Fatima, Gramsci, Machiavelli</t>
        </is>
      </c>
      <c r="I5" s="101" t="inlineStr">
        <is>
          <t>E1</t>
        </is>
      </c>
      <c r="J5" s="101">
        <f>턴_설계!$B$5</f>
        <v/>
      </c>
    </row>
    <row r="6" ht="54.75" customHeight="1" s="78">
      <c r="A6" s="101" t="n">
        <v>1</v>
      </c>
      <c r="B6" s="101" t="n">
        <v>2</v>
      </c>
      <c r="C6" s="103" t="inlineStr">
        <is>
          <t>사건1 해결</t>
        </is>
      </c>
      <c r="D6" s="85" t="inlineStr">
        <is>
          <t>La clausola che non sale</t>
        </is>
      </c>
      <c r="E6" s="86" t="inlineStr">
        <is>
          <t>오르지 않는 조항</t>
        </is>
      </c>
      <c r="F6" s="85" t="inlineStr">
        <is>
          <t>[사건1 해결] Fatima와 Sofia가 계약서를 가져온다. Gramsci의 카드 #1(legge 431/1998)로 계약에 정한 ISTAT 물가 연동 한도를 넘는 인상이 부당함을 확인하고, 기한 안에 등기우편(raccomandata) 답장을 쓴다. 사무소의 첫 번째 규칙(가난한 이웃에겐 돈을 받지 않는다)이 확인된다.</t>
        </is>
      </c>
      <c r="G6" s="86" t="inlineStr">
        <is>
          <t>주거 임대차(legge 431/1998), ISTAT 물가 연동 조정(aggiornamento ISTAT), 기한·답변</t>
        </is>
      </c>
      <c r="H6" s="85" t="inlineStr">
        <is>
          <t>Marco, Alessandro, Chiara, Fatima, Gramsci, Sofia, Rosa</t>
        </is>
      </c>
      <c r="I6" s="101" t="inlineStr">
        <is>
          <t>E1</t>
        </is>
      </c>
      <c r="J6" s="101">
        <f>턴_설계!$B$5</f>
        <v/>
      </c>
    </row>
    <row r="7" ht="54.75" customHeight="1" s="78">
      <c r="A7" s="101" t="n">
        <v>1</v>
      </c>
      <c r="B7" s="101" t="n">
        <v>3</v>
      </c>
      <c r="C7" s="103" t="inlineStr">
        <is>
          <t>사건2 도입</t>
        </is>
      </c>
      <c r="D7" s="85" t="inlineStr">
        <is>
          <t>L'avviso delle otto</t>
        </is>
      </c>
      <c r="E7" s="86" t="inlineStr">
        <is>
          <t>여덟 시의 통지</t>
        </is>
      </c>
      <c r="F7" s="85" t="inlineStr">
        <is>
          <t>[사건2 도입] 밤 여덟 시, 퇴거 집행(sfratto)이 다음 날 아침으로 잡혔다는 급보가 온다. Garibaldi가 주민을 '의용대'처럼 조직하고 Paolo가 이웃들을 모은다. 네 사람이 각자 서류·건강·숫자·동선을 맡아 밤새 준비하지만 승산은 불투명하다.</t>
        </is>
      </c>
      <c r="G7" s="86" t="inlineStr">
        <is>
          <t>퇴거 집행 예고(preavviso di rilascio), 긴급 동원, 이웃 조직</t>
        </is>
      </c>
      <c r="H7" s="85" t="inlineStr">
        <is>
          <t>Marco, Giulia, Alessandro, Chiara, Garibaldi, Paolo, Sofia, Rosa</t>
        </is>
      </c>
      <c r="I7" s="101" t="inlineStr">
        <is>
          <t>E1</t>
        </is>
      </c>
      <c r="J7" s="101">
        <f>턴_설계!$B$5</f>
        <v/>
      </c>
    </row>
    <row r="8" ht="42" customHeight="1" s="78">
      <c r="A8" s="101" t="n">
        <v>1</v>
      </c>
      <c r="B8" s="101" t="n">
        <v>4</v>
      </c>
      <c r="C8" s="103" t="inlineStr">
        <is>
          <t>사건2 해결</t>
        </is>
      </c>
      <c r="D8" s="85" t="inlineStr">
        <is>
          <t>Il furgone che non arrivò</t>
        </is>
      </c>
      <c r="E8" s="86" t="inlineStr">
        <is>
          <t>오지 않은 트럭</t>
        </is>
      </c>
      <c r="F8" s="85" t="inlineStr">
        <is>
          <t>[사건2 해결] 집행 당일 아침. Marco의 집행 연기 신청, Giulia의 취약계층 진단서, Alessandro의 체납액 계산과 비귀책 체납 기금 신청, Chiara의 동선 배치가 맞물려 집행관이 집행을 연기한다. Garibaldi의 «Nulla da segnalare» 보고로 마무리된다.</t>
        </is>
      </c>
      <c r="G8" s="86" t="inlineStr">
        <is>
          <t>집행 연기(rinvio dell'esecuzione), 비귀책 체납 기금(Fondo morosità incolpevole), 집행관(ufficiale giudiziario) 대응</t>
        </is>
      </c>
      <c r="H8" s="85" t="inlineStr">
        <is>
          <t>Marco, Giulia, Alessandro, Chiara, Garibaldi, Paolo, Sofia, Rosa</t>
        </is>
      </c>
      <c r="I8" s="101" t="inlineStr">
        <is>
          <t>E1</t>
        </is>
      </c>
      <c r="J8" s="101">
        <f>턴_설계!$B$5</f>
        <v/>
      </c>
    </row>
    <row r="9" ht="42" customHeight="1" s="78">
      <c r="A9" s="101" t="n">
        <v>1</v>
      </c>
      <c r="B9" s="101" t="n">
        <v>5</v>
      </c>
      <c r="C9" s="103" t="inlineStr">
        <is>
          <t>사건3 도입</t>
        </is>
      </c>
      <c r="D9" s="85" t="inlineStr">
        <is>
          <t>Lo stagista della fabbrica</t>
        </is>
      </c>
      <c r="E9" s="86" t="inlineStr">
        <is>
          <t>공장의 인턴</t>
        </is>
      </c>
      <c r="F9" s="85" t="inlineStr">
        <is>
          <t>[사건3 도입] 임금 체불과 무급 초과근무에 지친 청년 노동자 Davide(가상)가 찾아온다. 서류상 '인턴(tirocinio)'이지만 실제로는 정규직 일을 한다. Chiara가 컨설팅 용어로 상황을 분석하려 하고 Sofia가 통역하듯 애쓰지만 Davide는 점점 지쳐 간다.</t>
        </is>
      </c>
      <c r="G9" s="86" t="inlineStr">
        <is>
          <t>위장 인턴(tirocinio), 기간제 계약, 초과근무, 경영 용어의 벽</t>
        </is>
      </c>
      <c r="H9" s="85" t="inlineStr">
        <is>
          <t>Chiara, Sofia, Alessandro, Rosa, Machiavelli, Davide(가상)</t>
        </is>
      </c>
      <c r="I9" s="101" t="inlineStr">
        <is>
          <t>S1</t>
        </is>
      </c>
      <c r="J9" s="101">
        <f>턴_설계!$B$5</f>
        <v/>
      </c>
    </row>
    <row r="10" ht="54.75" customHeight="1" s="78">
      <c r="A10" s="101" t="n">
        <v>1</v>
      </c>
      <c r="B10" s="101" t="n">
        <v>6</v>
      </c>
      <c r="C10" s="103" t="inlineStr">
        <is>
          <t>사건3 해결(폭발)</t>
        </is>
      </c>
      <c r="D10" s="85" t="inlineStr">
        <is>
          <t>Basta!</t>
        </is>
      </c>
      <c r="E10" s="86" t="inlineStr">
        <is>
          <t>그만!</t>
        </is>
      </c>
      <c r="F10" s="85" t="inlineStr">
        <is>
          <t>[사건3 해결] 협상 자리에서 Chiara의 용어가 한 시간째 이어지자 Sofia가 폭발한다(1차 폭발). Giulia·Garibaldi·Rosa·Gramsci의 고정 반응, Cesare의 «Stolta… Domanda.», Alessandro의 «Traduco io.» 이후 쉬운 말로 다시 협상해 밀린 임금 지급과 정식 계약 전환에 합의한다.</t>
        </is>
      </c>
      <c r="G10" s="86" t="inlineStr">
        <is>
          <t>감정 표현, 전문 용어 → 쉬운 말, 임금 체불 합의(conciliazione)</t>
        </is>
      </c>
      <c r="H10" s="85" t="inlineStr">
        <is>
          <t>Sofia, Chiara, Alessandro, Giulia, Cesare, Garibaldi, Rosa, Gramsci, Davide(가상)</t>
        </is>
      </c>
      <c r="I10" s="101" t="inlineStr">
        <is>
          <t>S1</t>
        </is>
      </c>
      <c r="J10" s="101">
        <f>턴_설계!$B$5</f>
        <v/>
      </c>
    </row>
    <row r="11" ht="67.5" customHeight="1" s="78">
      <c r="A11" s="101" t="n">
        <v>1</v>
      </c>
      <c r="B11" s="101" t="n">
        <v>7</v>
      </c>
      <c r="C11" s="103" t="inlineStr">
        <is>
          <t>사건4 도입</t>
        </is>
      </c>
      <c r="D11" s="85" t="inlineStr">
        <is>
          <t>La bambina con la febbre</t>
        </is>
      </c>
      <c r="E11" s="86" t="inlineStr">
        <is>
          <t>열이 나는 아이</t>
        </is>
      </c>
      <c r="F11" s="85" t="inlineStr">
        <is>
          <t>[사건4 도입] 체류 서류가 없어 소아과 주치의(pediatra)를 배정받지 못하는 가족이 찾아온다. Giulia가 나서고 Montessori가 들러 «E questo come ti fa sentire?»를 처음 선보인다. 마침 들른 Dante는 Cesare에게 원고를 놀림받다 «Niente male.»라는 최고의 칭찬을 듣는다. 정작 진짜 아픈 아이 앞에서 Cesare는 자기 무릎 타령을 멈춘다.</t>
        </is>
      </c>
      <c r="G11" s="86" t="inlineStr">
        <is>
          <t>서류 없는 가족의 의료 접근, 증상 표현</t>
        </is>
      </c>
      <c r="H11" s="85" t="inlineStr">
        <is>
          <t>Giulia, Montessori, Cesare, Dante, Sofia, Rosa, 가족(가상: Amina·Noa)</t>
        </is>
      </c>
      <c r="I11" s="101" t="inlineStr">
        <is>
          <t>S2</t>
        </is>
      </c>
      <c r="J11" s="101">
        <f>턴_설계!$B$5</f>
        <v/>
      </c>
    </row>
    <row r="12" ht="42" customHeight="1" s="78">
      <c r="A12" s="101" t="n">
        <v>1</v>
      </c>
      <c r="B12" s="101" t="n">
        <v>8</v>
      </c>
      <c r="C12" s="103" t="inlineStr">
        <is>
          <t>사건4 해결</t>
        </is>
      </c>
      <c r="D12" s="85" t="inlineStr">
        <is>
          <t>Un codice per tutti</t>
        </is>
      </c>
      <c r="E12" s="86" t="inlineStr">
        <is>
          <t>모두를 위한 코드</t>
        </is>
      </c>
      <c r="F12" s="85" t="inlineStr">
        <is>
          <t>[사건4 해결] Marco와 Giulia가 STP 코드(체류 서류 없는 외국인의 긴급·필수 진료 코드)와 미성년자 소아과 등록 경로를 찾아내 아이가 진료를 받는다. Cesare가 평소와 달리 조용히 커피를 마신다.</t>
        </is>
      </c>
      <c r="G12" s="104" t="inlineStr">
        <is>
          <t>STP 코드(d.lgs. 286/1998 제35조), 미성년자 소아과 등록, 진료 의뢰서(impegnativa)</t>
        </is>
      </c>
      <c r="H12" s="85" t="inlineStr">
        <is>
          <t>Giulia, Marco, Sofia, Rosa, 가족(가상)</t>
        </is>
      </c>
      <c r="I12" s="101" t="inlineStr">
        <is>
          <t>S2</t>
        </is>
      </c>
      <c r="J12" s="101">
        <f>턴_설계!$B$5</f>
        <v/>
      </c>
    </row>
    <row r="13" ht="54.75" customHeight="1" s="78">
      <c r="A13" s="101" t="n">
        <v>1</v>
      </c>
      <c r="B13" s="101" t="n">
        <v>9</v>
      </c>
      <c r="C13" s="103" t="inlineStr">
        <is>
          <t>사건5 도입</t>
        </is>
      </c>
      <c r="D13" s="85" t="inlineStr">
        <is>
          <t>La vedova del quinto piano</t>
        </is>
      </c>
      <c r="E13" s="85" t="inlineStr">
        <is>
          <t>5층의 미망인</t>
        </is>
      </c>
      <c r="F13" s="85" t="inlineStr">
        <is>
          <t>[사건5 도입] 가짜 투자에 저축을 잃은 노년의 이웃 Iolanda(가상)가 찾아온다. Alessandro가 장부를 살피는 동안, 양복 입은 낯선 남자 Francesco가 나타나 은행 쪽 흐름을 봐 주겠다고 하면서도 자기 이야기는 하지 않는다. Galileo가 '관찰 대상'이라며 기웃거린다.</t>
        </is>
      </c>
      <c r="G13" s="86" t="inlineStr">
        <is>
          <t>저축·투자 사기, 은행 계좌 기초 어휘</t>
        </is>
      </c>
      <c r="H13" s="85" t="inlineStr">
        <is>
          <t>Alessandro, Francesco, Galileo, Sofia, Rosa, Iolanda(가상)</t>
        </is>
      </c>
      <c r="I13" s="101" t="inlineStr">
        <is>
          <t>E3</t>
        </is>
      </c>
      <c r="J13" s="101">
        <f>턴_설계!$B$5</f>
        <v/>
      </c>
    </row>
    <row r="14" ht="42" customHeight="1" s="78">
      <c r="A14" s="101" t="n">
        <v>1</v>
      </c>
      <c r="B14" s="101" t="n">
        <v>10</v>
      </c>
      <c r="C14" s="103" t="inlineStr">
        <is>
          <t>사건5 해결</t>
        </is>
      </c>
      <c r="D14" s="85" t="inlineStr">
        <is>
          <t>Segui il denaro</t>
        </is>
      </c>
      <c r="E14" s="86" t="inlineStr">
        <is>
          <t>돈을 따라가라</t>
        </is>
      </c>
      <c r="F14" s="85" t="inlineStr">
        <is>
          <t>[사건5 해결] Francesco의 계좌 흐름 추적과 Alessandro의 장부 대조로 사기 계좌를 찾아 돈 일부를 되찾는다. Francesco는 설명 없이 떠나고, Alessandro는 «Banca Adriatica»라는 이름에 말없이 굳는다.</t>
        </is>
      </c>
      <c r="G14" s="86" t="inlineStr">
        <is>
          <t>자금 흐름 추적, 계좌·송금(bonifico) 어휘</t>
        </is>
      </c>
      <c r="H14" s="85" t="inlineStr">
        <is>
          <t>Alessandro, Francesco, Sofia, Rosa, Iolanda(가상)</t>
        </is>
      </c>
      <c r="I14" s="101" t="inlineStr">
        <is>
          <t>E3</t>
        </is>
      </c>
      <c r="J14" s="101">
        <f>턴_설계!$B$5</f>
        <v/>
      </c>
    </row>
    <row r="15" ht="42" customHeight="1" s="78">
      <c r="A15" s="101" t="n">
        <v>1</v>
      </c>
      <c r="B15" s="101" t="n">
        <v>11</v>
      </c>
      <c r="C15" s="103" t="inlineStr">
        <is>
          <t>사건6 도입</t>
        </is>
      </c>
      <c r="D15" s="85" t="inlineStr">
        <is>
          <t>Una carta di anni fa</t>
        </is>
      </c>
      <c r="E15" s="86" t="inlineStr">
        <is>
          <t>수년 전 서류</t>
        </is>
      </c>
      <c r="F15" s="85" t="inlineStr">
        <is>
          <t>[사건6 도입] Fatima의 남편 Karim(가상)이 수십 년 전 다른 건물에서 받은 낡은 퇴거 서류를 들고 온다. 당장 급한 사안은 아니지만 오래된 절차 오류가 보인다. Galileo가 «증거가 두 개면 기사가 된다»며 흥미를 보인다.</t>
        </is>
      </c>
      <c r="G15" s="86" t="inlineStr">
        <is>
          <t>오래된 서류 판독, 절차 하자</t>
        </is>
      </c>
      <c r="H15" s="85" t="inlineStr">
        <is>
          <t>Marco, Galileo, Sofia, Rosa, Karim(가상)</t>
        </is>
      </c>
      <c r="I15" s="101" t="inlineStr">
        <is>
          <t>E1</t>
        </is>
      </c>
      <c r="J15" s="101">
        <f>턴_설계!$B$5</f>
        <v/>
      </c>
    </row>
    <row r="16" ht="54.75" customHeight="1" s="78">
      <c r="A16" s="101" t="n">
        <v>1</v>
      </c>
      <c r="B16" s="101" t="n">
        <v>12</v>
      </c>
      <c r="C16" s="103" t="inlineStr">
        <is>
          <t>사건6 해결(훅)</t>
        </is>
      </c>
      <c r="D16" s="85" t="inlineStr">
        <is>
          <t>La firma</t>
        </is>
      </c>
      <c r="E16" s="86" t="inlineStr">
        <is>
          <t>서명</t>
        </is>
      </c>
      <c r="F16" s="85" t="inlineStr">
        <is>
          <t>[사건6 해결·훅] 절차 오류를 바로잡아 오래된 기록을 정정하지만, 진짜 충격은 서류 맨 아래: Marco의 옛 로펌 «Ferrari &amp; Colombo»의 서명이다. Marco가 얼어붙고 Rosa가 «Sedetevi, che vi porto qualcosa.»로 분위기를 잇는다. 금요일에는 Marco의 이야기가 시작된다.</t>
        </is>
      </c>
      <c r="G16" s="86" t="inlineStr">
        <is>
          <t>서명·기록 정정, 이름 확인</t>
        </is>
      </c>
      <c r="H16" s="85" t="inlineStr">
        <is>
          <t>Marco, Rosa, Sofia, Cesare, Machiavelli, Karim(가상)</t>
        </is>
      </c>
      <c r="I16" s="101" t="inlineStr">
        <is>
          <t>E1</t>
        </is>
      </c>
      <c r="J16" s="101">
        <f>턴_설계!$B$5</f>
        <v/>
      </c>
    </row>
    <row r="17" ht="42" customHeight="1" s="78">
      <c r="A17" s="101" t="n">
        <v>2</v>
      </c>
      <c r="B17" s="101" t="n">
        <v>1</v>
      </c>
      <c r="C17" s="103" t="inlineStr">
        <is>
          <t>발단</t>
        </is>
      </c>
      <c r="D17" s="85" t="inlineStr">
        <is>
          <t>Venerdì di storie</t>
        </is>
      </c>
      <c r="E17" s="86" t="inlineStr">
        <is>
          <t>금요일의 이야기</t>
        </is>
      </c>
      <c r="F17" s="85" t="inlineStr">
        <is>
          <t>(프레임) Rosa의 식탁에서 금요일마다 한 사람이 과거를 이야기하는 규칙이 시작된다. Sofia가 Marco에게 왜 로펌을 그만뒀느냐고 묻고 Marco는 «Andiamo con ordine.»로 시작한다.</t>
        </is>
      </c>
      <c r="G17" s="86" t="inlineStr">
        <is>
          <t>격식체(Lei)와 tu의 대비, 과거 이야기 도입</t>
        </is>
      </c>
      <c r="H17" s="85" t="inlineStr">
        <is>
          <t>Sofia, Marco, Rosa, Cesare</t>
        </is>
      </c>
      <c r="I17" s="101" t="inlineStr">
        <is>
          <t>E1</t>
        </is>
      </c>
      <c r="J17" s="101">
        <f>턴_설계!$B$5</f>
        <v/>
      </c>
    </row>
    <row r="18" ht="42" customHeight="1" s="78">
      <c r="A18" s="101" t="n">
        <v>2</v>
      </c>
      <c r="B18" s="101" t="n">
        <v>2</v>
      </c>
      <c r="C18" s="103" t="inlineStr">
        <is>
          <t>발단</t>
        </is>
      </c>
      <c r="D18" s="85" t="inlineStr">
        <is>
          <t>Un lunedì in Prati</t>
        </is>
      </c>
      <c r="E18" s="86" t="inlineStr">
        <is>
          <t>프라티의 월요일</t>
        </is>
      </c>
      <c r="F18" s="85" t="inlineStr">
        <is>
          <t>(과거) 승소율 100%의 파트너 후보 Marco의 하루. 새벽 편의점에서 계산대에 선 채 『신곡』을 중얼거리는 야간 점원 Dante와 마주친다. 상사 Colombo(가상)가 파트너 승진을 암시한다.</t>
        </is>
      </c>
      <c r="G18" s="86" t="inlineStr">
        <is>
          <t>로펌 어휘: socio, parcella, portafoglio clienti</t>
        </is>
      </c>
      <c r="H18" s="85" t="inlineStr">
        <is>
          <t>Marco, Dante, Colombo(가상)</t>
        </is>
      </c>
      <c r="I18" s="101" t="n"/>
      <c r="J18" s="101">
        <f>턴_설계!$B$5</f>
        <v/>
      </c>
    </row>
    <row r="19" ht="42" customHeight="1" s="78">
      <c r="A19" s="101" t="n">
        <v>2</v>
      </c>
      <c r="B19" s="101" t="n">
        <v>3</v>
      </c>
      <c r="C19" s="103" t="inlineStr">
        <is>
          <t>발단</t>
        </is>
      </c>
      <c r="D19" s="85" t="inlineStr">
        <is>
          <t>Il cliente d'oro</t>
        </is>
      </c>
      <c r="E19" s="85" t="inlineStr">
        <is>
          <t>VIP 고객</t>
        </is>
      </c>
      <c r="F19" s="86" t="inlineStr">
        <is>
          <t>대형 고객 Gruppo Meridiano의 회장 Santoro(가상)를 소개받는다. 회의석에는 고객 측 컨설턴트 Chiara와 매각 은행 지점장 Francesco가 있다.</t>
        </is>
      </c>
      <c r="G19" s="86" t="inlineStr">
        <is>
          <t>인수합병 어휘: acquisizione, portafoglio, clausola</t>
        </is>
      </c>
      <c r="H19" s="85" t="inlineStr">
        <is>
          <t>Marco, Chiara, Francesco, Santoro(가상)</t>
        </is>
      </c>
      <c r="I19" s="101" t="inlineStr">
        <is>
          <t>E1</t>
        </is>
      </c>
      <c r="J19" s="101">
        <f>턴_설계!$B$5</f>
        <v/>
      </c>
    </row>
    <row r="20" ht="42" customHeight="1" s="78">
      <c r="A20" s="101" t="n">
        <v>2</v>
      </c>
      <c r="B20" s="101" t="n">
        <v>4</v>
      </c>
      <c r="C20" s="103" t="inlineStr">
        <is>
          <t>전개</t>
        </is>
      </c>
      <c r="D20" s="85" t="inlineStr">
        <is>
          <t>Il portafoglio di Testaccio</t>
        </is>
      </c>
      <c r="E20" s="86" t="inlineStr">
        <is>
          <t>테스타초 자산 포트폴리오</t>
        </is>
      </c>
      <c r="F20" s="86" t="inlineStr">
        <is>
          <t>실사(due diligence). 포트폴리오에 Testaccio 건물 12채가 들어 있다. 감사인 Alessandro가 «Questo non torna»를 흘리고, Piazza Borghese 고서 노점에서 등기 자료를 찾던 Marco에게 Gramsci가 «Cercalo tu.»</t>
        </is>
      </c>
      <c r="G20" s="86" t="inlineStr">
        <is>
          <t>실사, 부동산 등기(Conservatoria dei Registri Immobiliari)·토지대장(Catasto), 임차인 명부</t>
        </is>
      </c>
      <c r="H20" s="85" t="inlineStr">
        <is>
          <t>Marco, Alessandro, Gramsci</t>
        </is>
      </c>
      <c r="I20" s="101" t="inlineStr">
        <is>
          <t>E1</t>
        </is>
      </c>
      <c r="J20" s="101">
        <f>턴_설계!$B$5</f>
        <v/>
      </c>
    </row>
    <row r="21" ht="42" customHeight="1" s="78">
      <c r="A21" s="101" t="n">
        <v>2</v>
      </c>
      <c r="B21" s="101" t="n">
        <v>5</v>
      </c>
      <c r="C21" s="103" t="inlineStr">
        <is>
          <t>전개</t>
        </is>
      </c>
      <c r="D21" s="85" t="inlineStr">
        <is>
          <t>Venerdì: la via di Rosa</t>
        </is>
      </c>
      <c r="E21" s="86" t="inlineStr">
        <is>
          <t>금요일: Rosa의 거리</t>
        </is>
      </c>
      <c r="F21" s="85" t="inlineStr">
        <is>
          <t>(프레임) 그 포트폴리오에 Rosa의 트라토리아가 있던 건물이 들어 있었음이 밝혀진다. Sofia는 놀라 Lei를 놓치고 Marco는 잠시 침묵한다.</t>
        </is>
      </c>
      <c r="G21" s="86" t="inlineStr">
        <is>
          <t>감정 표현, 놀람</t>
        </is>
      </c>
      <c r="H21" s="85" t="inlineStr">
        <is>
          <t>Rosa, Marco, Sofia</t>
        </is>
      </c>
      <c r="I21" s="101" t="inlineStr">
        <is>
          <t>E1</t>
        </is>
      </c>
      <c r="J21" s="101">
        <f>턴_설계!$B$5</f>
        <v/>
      </c>
    </row>
    <row r="22" ht="42" customHeight="1" s="78">
      <c r="A22" s="101" t="n">
        <v>2</v>
      </c>
      <c r="B22" s="101" t="n">
        <v>6</v>
      </c>
      <c r="C22" s="103" t="inlineStr">
        <is>
          <t>미드포인트</t>
        </is>
      </c>
      <c r="D22" s="85" t="inlineStr">
        <is>
          <t>La clausola</t>
        </is>
      </c>
      <c r="E22" s="86" t="inlineStr">
        <is>
          <t>조항</t>
        </is>
      </c>
      <c r="F22" s="86" t="inlineStr">
        <is>
          <t>임차인을 비우는 가장 '깨끗한' 방법으로 Marco가 «첫 만기 때 리모델링을 이유로 갱신을 거절하는(diniego di rinnovo per ristrutturazione)» 조항 전략을 설계한다. Chiara의 재무 모델이 이를 뒷받침한다.</t>
        </is>
      </c>
      <c r="G22" s="86" t="inlineStr">
        <is>
          <t>갱신 거절 사유(legge 431/1998 제3조), 리모델링 사유, 통지 요건(만기 6개월 전)</t>
        </is>
      </c>
      <c r="H22" s="85" t="inlineStr">
        <is>
          <t>Marco, Chiara, Colombo(가상)</t>
        </is>
      </c>
      <c r="I22" s="101" t="inlineStr">
        <is>
          <t>E1</t>
        </is>
      </c>
      <c r="J22" s="101">
        <f>턴_설계!$B$5</f>
        <v/>
      </c>
    </row>
    <row r="23" ht="42" customHeight="1" s="78">
      <c r="A23" s="101" t="n">
        <v>2</v>
      </c>
      <c r="B23" s="101" t="n">
        <v>7</v>
      </c>
      <c r="C23" s="103" t="inlineStr">
        <is>
          <t>위기</t>
        </is>
      </c>
      <c r="D23" s="85" t="inlineStr">
        <is>
          <t>L'assemblea degli inquilini</t>
        </is>
      </c>
      <c r="E23" s="86" t="inlineStr">
        <is>
          <t>세입자 총회</t>
        </is>
      </c>
      <c r="F23" s="86" t="inlineStr">
        <is>
          <t>세입자들이 총회를 연다. 노조 출신 Paolo가 이끌고, 응급실 의사 Giulia가 공황을 일으킨 노인을 돌본다. Marco는 78세 Assunta(가상)를 만난다.</t>
        </is>
      </c>
      <c r="G23" s="86" t="inlineStr">
        <is>
          <t>총회·발언·동의, 항의 표현</t>
        </is>
      </c>
      <c r="H23" s="85" t="inlineStr">
        <is>
          <t>Marco, Paolo, Giulia, Assunta(가상)</t>
        </is>
      </c>
      <c r="I23" s="101" t="inlineStr">
        <is>
          <t>E1</t>
        </is>
      </c>
      <c r="J23" s="101">
        <f>턴_설계!$B$5</f>
        <v/>
      </c>
    </row>
    <row r="24" ht="42" customHeight="1" s="78">
      <c r="A24" s="101" t="n">
        <v>2</v>
      </c>
      <c r="B24" s="101" t="n">
        <v>8</v>
      </c>
      <c r="C24" s="103" t="inlineStr">
        <is>
          <t>위기</t>
        </is>
      </c>
      <c r="D24" s="85" t="inlineStr">
        <is>
          <t>Il processo</t>
        </is>
      </c>
      <c r="E24" s="86" t="inlineStr">
        <is>
          <t>재판</t>
        </is>
      </c>
      <c r="F24" s="86" t="inlineStr">
        <is>
          <t>심리(udienza)와 판결. Marco가 승소한다. 방청석의 Galileo가 «È orgoglioso?»라고 묻는다. 감사인 Alessandro는 고객의 장부를 보고 고개를 젓는다.</t>
        </is>
      </c>
      <c r="G24" s="86" t="inlineStr">
        <is>
          <t>소송: citazione, udienza, sentenza, spese processuali</t>
        </is>
      </c>
      <c r="H24" s="85" t="inlineStr">
        <is>
          <t>Marco, Galileo, Alessandro, 판사(가상)</t>
        </is>
      </c>
      <c r="I24" s="101" t="inlineStr">
        <is>
          <t>E1·P3</t>
        </is>
      </c>
      <c r="J24" s="101">
        <f>턴_설계!$B$5</f>
        <v/>
      </c>
    </row>
    <row r="25" ht="42" customHeight="1" s="78">
      <c r="A25" s="101" t="n">
        <v>2</v>
      </c>
      <c r="B25" s="101" t="n">
        <v>9</v>
      </c>
      <c r="C25" s="103" t="inlineStr">
        <is>
          <t>위기</t>
        </is>
      </c>
      <c r="D25" s="85" t="inlineStr">
        <is>
          <t>Venerdì: continua</t>
        </is>
      </c>
      <c r="E25" s="86" t="inlineStr">
        <is>
          <t>금요일: 계속해</t>
        </is>
      </c>
      <c r="F25" s="85" t="inlineStr">
        <is>
          <t>(프레임) Marco가 말을 잇지 못하자 Cesare가 «Quando Cesare era in Gallia…»로 시간을 벌어 주고 Rosa가 «Continua.»라고 한다. Sofia는 «E lei?»라고 묻는다. Machiavelli는 말없이 메모한다.</t>
        </is>
      </c>
      <c r="G25" s="86" t="inlineStr">
        <is>
          <t>위로·재촉 표현</t>
        </is>
      </c>
      <c r="H25" s="85" t="inlineStr">
        <is>
          <t>Marco, Cesare, Rosa, Sofia, Machiavelli</t>
        </is>
      </c>
      <c r="I25" s="101" t="n"/>
      <c r="J25" s="101">
        <f>턴_설계!$B$5</f>
        <v/>
      </c>
    </row>
    <row r="26" ht="29.25" customHeight="1" s="78">
      <c r="A26" s="101" t="n">
        <v>2</v>
      </c>
      <c r="B26" s="101" t="n">
        <v>10</v>
      </c>
      <c r="C26" s="103" t="inlineStr">
        <is>
          <t>절정</t>
        </is>
      </c>
      <c r="D26" s="85" t="inlineStr">
        <is>
          <t>Una cena ai Parioli</t>
        </is>
      </c>
      <c r="E26" s="86" t="inlineStr">
        <is>
          <t>파리올리의 저녁</t>
        </is>
      </c>
      <c r="F26" s="86" t="inlineStr">
        <is>
          <t>승소 축하 만찬. 파트너들이 건배하는 동안 Santoro가 다음 포트폴리오를 건넨다. Marco의 휴대전화가 울린다.</t>
        </is>
      </c>
      <c r="G26" s="86" t="inlineStr">
        <is>
          <t>고급 식당 표현, 건배·축하(brindisi)</t>
        </is>
      </c>
      <c r="H26" s="85" t="inlineStr">
        <is>
          <t>Marco, Colombo(가상), Santoro(가상), Alessandro</t>
        </is>
      </c>
      <c r="I26" s="101" t="n"/>
      <c r="J26" s="101">
        <f>턴_설계!$B$5</f>
        <v/>
      </c>
    </row>
    <row r="27" ht="29.25" customHeight="1" s="78">
      <c r="A27" s="101" t="n">
        <v>2</v>
      </c>
      <c r="B27" s="101" t="n">
        <v>11</v>
      </c>
      <c r="C27" s="103" t="inlineStr">
        <is>
          <t>절정</t>
        </is>
      </c>
      <c r="D27" s="85" t="inlineStr">
        <is>
          <t>La nipote di Assunta</t>
        </is>
      </c>
      <c r="E27" s="85" t="inlineStr">
        <is>
          <t>Assunta의 손녀</t>
        </is>
      </c>
      <c r="F27" s="85" t="inlineStr">
        <is>
          <t>Assunta가 퇴거 석 달 뒤 세상을 떠났다는 소식. 손녀 Marina(가상)가 사무실로 찾아와 조용히 묻는다: «Ha vinto Lei?»</t>
        </is>
      </c>
      <c r="G27" s="86" t="inlineStr">
        <is>
          <t>조의·항의, 문서 vs 사람</t>
        </is>
      </c>
      <c r="H27" s="85" t="inlineStr">
        <is>
          <t>Marco, Marina(가상)</t>
        </is>
      </c>
      <c r="I27" s="101" t="inlineStr">
        <is>
          <t>E1</t>
        </is>
      </c>
      <c r="J27" s="101">
        <f>턴_설계!$B$5</f>
        <v/>
      </c>
    </row>
    <row r="28" ht="42" customHeight="1" s="78">
      <c r="A28" s="101" t="n">
        <v>2</v>
      </c>
      <c r="B28" s="101" t="n">
        <v>12</v>
      </c>
      <c r="C28" s="103" t="inlineStr">
        <is>
          <t>결말·훅</t>
        </is>
      </c>
      <c r="D28" s="85" t="inlineStr">
        <is>
          <t>Venerdì: le dimissioni</t>
        </is>
      </c>
      <c r="E28" s="86" t="inlineStr">
        <is>
          <t>금요일: 사직</t>
        </is>
      </c>
      <c r="F28" s="85" t="inlineStr">
        <is>
          <t>(프레임+과거) Marco가 다음 포트폴리오 서명을 거부하고 사직서를 낸다. 짐 상자를 든 채 응급실 대기실에서 쓰러지고 Giulia가 그를 진료한다. Sofia는 여전히 Lei를 쓴다.</t>
        </is>
      </c>
      <c r="G28" s="86" t="inlineStr">
        <is>
          <t>사직·거절 표현, 접속법(congiuntivo)</t>
        </is>
      </c>
      <c r="H28" s="85" t="inlineStr">
        <is>
          <t>Marco, Giulia, Sofia, Rosa</t>
        </is>
      </c>
      <c r="I28" s="101" t="n"/>
      <c r="J28" s="101">
        <f>턴_설계!$B$5</f>
        <v/>
      </c>
    </row>
    <row r="29" ht="42" customHeight="1" s="78">
      <c r="A29" s="101" t="n">
        <v>3</v>
      </c>
      <c r="B29" s="101" t="n">
        <v>1</v>
      </c>
      <c r="C29" s="103" t="inlineStr">
        <is>
          <t>발단</t>
        </is>
      </c>
      <c r="D29" s="85" t="inlineStr">
        <is>
          <t>Venerdì: i nomi</t>
        </is>
      </c>
      <c r="E29" s="86" t="inlineStr">
        <is>
          <t>금요일: 이름들</t>
        </is>
      </c>
      <c r="F29" s="85" t="inlineStr">
        <is>
          <t>(프레임) Giulia가 «Questa non è una statistica, è una persona.»라며 이야기를 시작한다. Cesare가 계단을 오르내리다 숨을 고르는 것을 Giulia가 흘끗 본다.</t>
        </is>
      </c>
      <c r="G29" s="86" t="inlineStr">
        <is>
          <t>의학 어휘 도입</t>
        </is>
      </c>
      <c r="H29" s="85" t="inlineStr">
        <is>
          <t>Giulia, Sofia, Cesare, Rosa</t>
        </is>
      </c>
      <c r="I29" s="101" t="n"/>
      <c r="J29" s="101">
        <f>턴_설계!$B$5</f>
        <v/>
      </c>
    </row>
    <row r="30" ht="42" customHeight="1" s="78">
      <c r="A30" s="101" t="n">
        <v>3</v>
      </c>
      <c r="B30" s="101" t="n">
        <v>2</v>
      </c>
      <c r="C30" s="103" t="inlineStr">
        <is>
          <t>발단</t>
        </is>
      </c>
      <c r="D30" s="85" t="inlineStr">
        <is>
          <t>Turno di notte</t>
        </is>
      </c>
      <c r="E30" s="86" t="inlineStr">
        <is>
          <t>야간 근무</t>
        </is>
      </c>
      <c r="F30" s="85" t="inlineStr">
        <is>
          <t>(과거) San Camillo 응급실(가상 설정)의 야간 근무. 분류(triage), 병상, 간호사 Loredana(가상)와의 호흡. 가슴 통증으로 실려 온 Marco를 진료한다.</t>
        </is>
      </c>
      <c r="G30" s="85" t="inlineStr">
        <is>
          <t>triage(긴급도 코드 1~5), parametri vitali, barella, box</t>
        </is>
      </c>
      <c r="H30" s="85" t="inlineStr">
        <is>
          <t>Giulia, Loredana(가상), Marco</t>
        </is>
      </c>
      <c r="I30" s="101" t="n"/>
      <c r="J30" s="101">
        <f>턴_설계!$B$5</f>
        <v/>
      </c>
    </row>
    <row r="31" ht="29.25" customHeight="1" s="78">
      <c r="A31" s="101" t="n">
        <v>3</v>
      </c>
      <c r="B31" s="101" t="n">
        <v>3</v>
      </c>
      <c r="C31" s="103" t="inlineStr">
        <is>
          <t>발단</t>
        </is>
      </c>
      <c r="D31" s="85" t="inlineStr">
        <is>
          <t>L'ondata di calore</t>
        </is>
      </c>
      <c r="E31" s="86" t="inlineStr">
        <is>
          <t>폭염</t>
        </is>
      </c>
      <c r="F31" s="86" t="inlineStr">
        <is>
          <t>폭염 경보(bollino rosso)에 고령 환자가 몰려 응급실이 넘친다. 산소·수액·얼음. Giulia는 밤새 환자 이름을 외운다.</t>
        </is>
      </c>
      <c r="G31" s="86" t="inlineStr">
        <is>
          <t>열사병(colpo di calore), 탈수, 고령 환자</t>
        </is>
      </c>
      <c r="H31" s="85" t="inlineStr">
        <is>
          <t>Giulia, Loredana(가상)</t>
        </is>
      </c>
      <c r="I31" s="101" t="inlineStr">
        <is>
          <t>S4·S3</t>
        </is>
      </c>
      <c r="J31" s="101">
        <f>턴_설계!$B$5</f>
        <v/>
      </c>
    </row>
    <row r="32" ht="29.25" customHeight="1" s="78">
      <c r="A32" s="101" t="n">
        <v>3</v>
      </c>
      <c r="B32" s="101" t="n">
        <v>4</v>
      </c>
      <c r="C32" s="103" t="inlineStr">
        <is>
          <t>전개</t>
        </is>
      </c>
      <c r="D32" s="85" t="inlineStr">
        <is>
          <t>Un contratto che nessuno legge</t>
        </is>
      </c>
      <c r="E32" s="86" t="inlineStr">
        <is>
          <t>읽히지 않는 계약</t>
        </is>
      </c>
      <c r="F32" s="86" t="inlineStr">
        <is>
          <t>병원이 검사·병상 관리를 Meridiano Salute에 외주한다고 발표한다. 원장 회의에서 컨설턴트 Chiara가 '효율' 발표를 한다.</t>
        </is>
      </c>
      <c r="G32" s="86" t="inlineStr">
        <is>
          <t>외주(esternalizzazione)·민간 위탁, 예산, 입찰(gara d'appalto)</t>
        </is>
      </c>
      <c r="H32" s="85" t="inlineStr">
        <is>
          <t>Giulia, 원장(가상), Chiara</t>
        </is>
      </c>
      <c r="I32" s="101" t="inlineStr">
        <is>
          <t>S3</t>
        </is>
      </c>
      <c r="J32" s="101">
        <f>턴_설계!$B$5</f>
        <v/>
      </c>
    </row>
    <row r="33" ht="42" customHeight="1" s="78">
      <c r="A33" s="101" t="n">
        <v>3</v>
      </c>
      <c r="B33" s="101" t="n">
        <v>5</v>
      </c>
      <c r="C33" s="103" t="inlineStr">
        <is>
          <t>전개</t>
        </is>
      </c>
      <c r="D33" s="85" t="inlineStr">
        <is>
          <t>Venerdì: la lista</t>
        </is>
      </c>
      <c r="E33" s="86" t="inlineStr">
        <is>
          <t>금요일: 명단</t>
        </is>
      </c>
      <c r="F33" s="85" t="inlineStr">
        <is>
          <t>(프레임) Sofia가 Giulia의 수첩 명단을 본다. Giulia는 «Ho visto di peggio in un martedì qualsiasi.»로 넘긴다. Cesare는 발목이 부었냐는 물음에 «Sono i calzari.»</t>
        </is>
      </c>
      <c r="G33" s="86" t="inlineStr">
        <is>
          <t>명단·숫자 읽기</t>
        </is>
      </c>
      <c r="H33" s="85" t="inlineStr">
        <is>
          <t>Giulia, Sofia, Cesare</t>
        </is>
      </c>
      <c r="I33" s="101" t="n"/>
      <c r="J33" s="101">
        <f>턴_설계!$B$5</f>
        <v/>
      </c>
    </row>
    <row r="34" ht="42" customHeight="1" s="78">
      <c r="A34" s="101" t="n">
        <v>3</v>
      </c>
      <c r="B34" s="101" t="n">
        <v>6</v>
      </c>
      <c r="C34" s="103" t="inlineStr">
        <is>
          <t>미드포인트</t>
        </is>
      </c>
      <c r="D34" s="85" t="inlineStr">
        <is>
          <t>La prima della lista</t>
        </is>
      </c>
      <c r="E34" s="86" t="inlineStr">
        <is>
          <t>명단의 첫 번째</t>
        </is>
      </c>
      <c r="F34" s="86" t="inlineStr">
        <is>
          <t>체류 서류 없는 20대 여성이 패혈증으로 실려 오지만 병상 배정이 아홉 시간 지연되어 숨진다. 외주 병상관리가 '비용 검토' 중이었다. Giulia가 수첩에 첫 이름을 쓴다.</t>
        </is>
      </c>
      <c r="G34" s="86" t="inlineStr">
        <is>
          <t>패혈증(sepsi), 병상 관리(bed management), 서류 없는 환자의 접근권(STP 코드)</t>
        </is>
      </c>
      <c r="H34" s="85" t="inlineStr">
        <is>
          <t>Giulia, Loredana(가상), 원장(가상)</t>
        </is>
      </c>
      <c r="I34" s="101" t="inlineStr">
        <is>
          <t>S2·S3</t>
        </is>
      </c>
      <c r="J34" s="101">
        <f>턴_설계!$B$5</f>
        <v/>
      </c>
    </row>
    <row r="35" ht="42" customHeight="1" s="78">
      <c r="A35" s="101" t="n">
        <v>3</v>
      </c>
      <c r="B35" s="101" t="n">
        <v>7</v>
      </c>
      <c r="C35" s="103" t="inlineStr">
        <is>
          <t>위기</t>
        </is>
      </c>
      <c r="D35" s="85" t="inlineStr">
        <is>
          <t>I numeri del direttore</t>
        </is>
      </c>
      <c r="E35" s="86" t="inlineStr">
        <is>
          <t>원장의 숫자</t>
        </is>
      </c>
      <c r="F35" s="86" t="inlineStr">
        <is>
          <t>원장(direttore generale)이 '대기 시간 개선' 통계를 발표한다. 외주 업체의 재무를 자문하는 Alessandro가 배석한다. Giulia가 내부 사망 사례 보고서를 제출한다.</t>
        </is>
      </c>
      <c r="G35" s="86" t="inlineStr">
        <is>
          <t>통계 읽기, 보고서 어휘</t>
        </is>
      </c>
      <c r="H35" s="85" t="inlineStr">
        <is>
          <t>Giulia, 원장(가상), Alessandro</t>
        </is>
      </c>
      <c r="I35" s="101" t="inlineStr">
        <is>
          <t>P3</t>
        </is>
      </c>
      <c r="J35" s="101">
        <f>턴_설계!$B$5</f>
        <v/>
      </c>
    </row>
    <row r="36" ht="29.25" customHeight="1" s="78">
      <c r="A36" s="101" t="n">
        <v>3</v>
      </c>
      <c r="B36" s="101" t="n">
        <v>8</v>
      </c>
      <c r="C36" s="103" t="inlineStr">
        <is>
          <t>위기</t>
        </is>
      </c>
      <c r="D36" s="85" t="inlineStr">
        <is>
          <t>Il procedimento</t>
        </is>
      </c>
      <c r="E36" s="86" t="inlineStr">
        <is>
          <t>징계 절차</t>
        </is>
      </c>
      <c r="F36" s="86" t="inlineStr">
        <is>
          <t>보고서 유출 의혹으로 징계 절차가 시작된다. 취재하는 Galileo에게 Giulia가 «Questo non esce da qui.»라고 못 박는다.</t>
        </is>
      </c>
      <c r="G36" s="86" t="inlineStr">
        <is>
          <t>징계(procedimento disciplinare), 비밀유지</t>
        </is>
      </c>
      <c r="H36" s="85" t="inlineStr">
        <is>
          <t>Giulia, Galileo, 원장(가상)</t>
        </is>
      </c>
      <c r="I36" s="101" t="inlineStr">
        <is>
          <t>P3</t>
        </is>
      </c>
      <c r="J36" s="101">
        <f>턴_설계!$B$5</f>
        <v/>
      </c>
    </row>
    <row r="37" ht="29.25" customHeight="1" s="78">
      <c r="A37" s="101" t="n">
        <v>3</v>
      </c>
      <c r="B37" s="101" t="n">
        <v>9</v>
      </c>
      <c r="C37" s="103" t="inlineStr">
        <is>
          <t>위기</t>
        </is>
      </c>
      <c r="D37" s="85" t="inlineStr">
        <is>
          <t>Venerdì: e come ti fa sentire?</t>
        </is>
      </c>
      <c r="E37" s="86" t="inlineStr">
        <is>
          <t>금요일: 기분이 어때요?</t>
        </is>
      </c>
      <c r="F37" s="85" t="inlineStr">
        <is>
          <t>(프레임) Montessori가 Giulia에게 감정을 되묻는다. Giulia는 «Prima, respira.»로 받아친다. Sofia가 Montessori의 화법을 흉내 낸다.</t>
        </is>
      </c>
      <c r="G37" s="86" t="inlineStr">
        <is>
          <t>감정 표현, 되받기 화법</t>
        </is>
      </c>
      <c r="H37" s="85" t="inlineStr">
        <is>
          <t>Giulia, Montessori, Sofia</t>
        </is>
      </c>
      <c r="I37" s="101" t="n"/>
      <c r="J37" s="101">
        <f>턴_설계!$B$5</f>
        <v/>
      </c>
    </row>
    <row r="38" ht="29.25" customHeight="1" s="78">
      <c r="A38" s="101" t="n">
        <v>3</v>
      </c>
      <c r="B38" s="101" t="n">
        <v>10</v>
      </c>
      <c r="C38" s="103" t="inlineStr">
        <is>
          <t>절정</t>
        </is>
      </c>
      <c r="D38" s="85" t="inlineStr">
        <is>
          <t>Una notte senza letti</t>
        </is>
      </c>
      <c r="E38" s="86" t="inlineStr">
        <is>
          <t>병상 없는 밤</t>
        </is>
      </c>
      <c r="F38" s="86" t="inlineStr">
        <is>
          <t>버스 사고와 폭염이 겹친 밤. 병상이 없어 복도까지 환자가 찬다. Giulia가 즉흥으로 일곱 명을 살리고 한 명을 잃는다.</t>
        </is>
      </c>
      <c r="G38" s="86" t="inlineStr">
        <is>
          <t>대량 환자(maxi-emergenza), 우선순위, 명령형(imperativo)</t>
        </is>
      </c>
      <c r="H38" s="85" t="inlineStr">
        <is>
          <t>Giulia, Loredana(가상)</t>
        </is>
      </c>
      <c r="I38" s="101" t="inlineStr">
        <is>
          <t>S4</t>
        </is>
      </c>
      <c r="J38" s="101">
        <f>턴_설계!$B$5</f>
        <v/>
      </c>
    </row>
    <row r="39" ht="29.25" customHeight="1" s="78">
      <c r="A39" s="101" t="n">
        <v>3</v>
      </c>
      <c r="B39" s="101" t="n">
        <v>11</v>
      </c>
      <c r="C39" s="103" t="inlineStr">
        <is>
          <t>절정</t>
        </is>
      </c>
      <c r="D39" s="85" t="inlineStr">
        <is>
          <t>Le dimissioni della dottoressa</t>
        </is>
      </c>
      <c r="E39" s="86" t="inlineStr">
        <is>
          <t>의사의 사직</t>
        </is>
      </c>
      <c r="F39" s="86" t="inlineStr">
        <is>
          <t>징계 통보와 마지막 근무. 수첩을 덮고 사직서를 낸다. Loredana가 «Dottoressa, non se ne vada.»</t>
        </is>
      </c>
      <c r="G39" s="86" t="inlineStr">
        <is>
          <t>사직서, 작별</t>
        </is>
      </c>
      <c r="H39" s="85" t="inlineStr">
        <is>
          <t>Giulia, Loredana(가상), 원장(가상)</t>
        </is>
      </c>
      <c r="I39" s="101" t="n"/>
      <c r="J39" s="101">
        <f>턴_설계!$B$5</f>
        <v/>
      </c>
    </row>
    <row r="40" ht="29.25" customHeight="1" s="78">
      <c r="A40" s="101" t="n">
        <v>3</v>
      </c>
      <c r="B40" s="101" t="n">
        <v>12</v>
      </c>
      <c r="C40" s="103" t="inlineStr">
        <is>
          <t>결말·훅</t>
        </is>
      </c>
      <c r="D40" s="85" t="inlineStr">
        <is>
          <t>Venerdì: una firma</t>
        </is>
      </c>
      <c r="E40" s="86" t="inlineStr">
        <is>
          <t>금요일: 한 사람의 서명</t>
        </is>
      </c>
      <c r="F40" s="85" t="inlineStr">
        <is>
          <t>(프레임) Giulia가 «La relazione di revisione sul contratto aveva una firma.»라고 말한다. Alessandro가 조용히 «Tocca a me.»</t>
        </is>
      </c>
      <c r="G40" s="86" t="inlineStr">
        <is>
          <t>서명·책임 표현</t>
        </is>
      </c>
      <c r="H40" s="85" t="inlineStr">
        <is>
          <t>Giulia, Alessandro, Sofia, Cesare</t>
        </is>
      </c>
      <c r="I40" s="101" t="n"/>
      <c r="J40" s="101">
        <f>턴_설계!$B$5</f>
        <v/>
      </c>
    </row>
    <row r="41" ht="29.25" customHeight="1" s="78">
      <c r="A41" s="101" t="n">
        <v>4</v>
      </c>
      <c r="B41" s="101" t="n">
        <v>1</v>
      </c>
      <c r="C41" s="103" t="inlineStr">
        <is>
          <t>발단</t>
        </is>
      </c>
      <c r="D41" s="85" t="inlineStr">
        <is>
          <t>Venerdì: ho firmato io</t>
        </is>
      </c>
      <c r="E41" s="86" t="inlineStr">
        <is>
          <t>금요일: 내가 서명했다</t>
        </is>
      </c>
      <c r="F41" s="85" t="inlineStr">
        <is>
          <t>(프레임) Alessandro가 «Fammi vedere le carte.»를 습관처럼 하다가 «Ho firmato io.»라고 시작한다. Sofia가 숫자를 못 읽어 질문한다.</t>
        </is>
      </c>
      <c r="G41" s="86" t="inlineStr">
        <is>
          <t>회계 어휘 도입</t>
        </is>
      </c>
      <c r="H41" s="85" t="inlineStr">
        <is>
          <t>Alessandro, Sofia, Giulia, Cesare</t>
        </is>
      </c>
      <c r="I41" s="101" t="n"/>
      <c r="J41" s="101">
        <f>턴_설계!$B$5</f>
        <v/>
      </c>
    </row>
    <row r="42" ht="29.25" customHeight="1" s="78">
      <c r="A42" s="101" t="n">
        <v>4</v>
      </c>
      <c r="B42" s="101" t="n">
        <v>2</v>
      </c>
      <c r="C42" s="103" t="inlineStr">
        <is>
          <t>발단</t>
        </is>
      </c>
      <c r="D42" s="85" t="inlineStr">
        <is>
          <t>Chiusura di bilancio</t>
        </is>
      </c>
      <c r="E42" s="86" t="inlineStr">
        <is>
          <t>결산 마감</t>
        </is>
      </c>
      <c r="F42" s="85" t="inlineStr">
        <is>
          <t>(과거) Conti Revisori의 결산 감사 마감 주간. 표본추출(campionamento)과 중요성(significatività). Alessandro의 정확성과 냉소.</t>
        </is>
      </c>
      <c r="G42" s="86" t="inlineStr">
        <is>
          <t>감사 절차 어휘</t>
        </is>
      </c>
      <c r="H42" s="85" t="inlineStr">
        <is>
          <t>Alessandro, Bassi(가상), 후배 감사인(가상)</t>
        </is>
      </c>
      <c r="I42" s="101" t="n"/>
      <c r="J42" s="101">
        <f>턴_설계!$B$5</f>
        <v/>
      </c>
    </row>
    <row r="43" ht="29.25" customHeight="1" s="78">
      <c r="A43" s="101" t="n">
        <v>4</v>
      </c>
      <c r="B43" s="101" t="n">
        <v>3</v>
      </c>
      <c r="C43" s="103" t="inlineStr">
        <is>
          <t>발단</t>
        </is>
      </c>
      <c r="D43" s="85" t="inlineStr">
        <is>
          <t>Il cliente che paga bene</t>
        </is>
      </c>
      <c r="E43" s="86" t="inlineStr">
        <is>
          <t>돈 잘 주는 고객</t>
        </is>
      </c>
      <c r="F43" s="85" t="inlineStr">
        <is>
          <t>Gruppo Meridiano가 회사 수임료의 15%를 차지한다. 독립성과 감사인 순환 규정이 문제가 된다. 대표 파트너 Bassi는 '관계'를 강조한다.</t>
        </is>
      </c>
      <c r="G43" s="86" t="inlineStr">
        <is>
          <t>독립성, 수임료 집중, 감사인 순환(d.lgs. 39/2010)</t>
        </is>
      </c>
      <c r="H43" s="85" t="inlineStr">
        <is>
          <t>Alessandro, Bassi(가상)</t>
        </is>
      </c>
      <c r="I43" s="101" t="n"/>
      <c r="J43" s="101">
        <f>턴_설계!$B$5</f>
        <v/>
      </c>
    </row>
    <row r="44" ht="29.25" customHeight="1" s="78">
      <c r="A44" s="101" t="n">
        <v>4</v>
      </c>
      <c r="B44" s="101" t="n">
        <v>4</v>
      </c>
      <c r="C44" s="103" t="inlineStr">
        <is>
          <t>전개</t>
        </is>
      </c>
      <c r="D44" s="85" t="inlineStr">
        <is>
          <t>Questo non torna</t>
        </is>
      </c>
      <c r="E44" s="86" t="inlineStr">
        <is>
          <t>이건 안 맞아</t>
        </is>
      </c>
      <c r="F44" s="86" t="inlineStr">
        <is>
          <t>특수관계자 대출이 룩셈부르크 지주회사로 흘러간 흔적. 은행 자료를 보내 준 Francesco가 «Segui il denaro.»</t>
        </is>
      </c>
      <c r="G44" s="86" t="inlineStr">
        <is>
          <t>특수관계자 거래(parti correlate), 조세 회피처</t>
        </is>
      </c>
      <c r="H44" s="85" t="inlineStr">
        <is>
          <t>Alessandro, Francesco</t>
        </is>
      </c>
      <c r="I44" s="101" t="n"/>
      <c r="J44" s="101">
        <f>턴_설계!$B$5</f>
        <v/>
      </c>
    </row>
    <row r="45" ht="29.25" customHeight="1" s="78">
      <c r="A45" s="101" t="n">
        <v>4</v>
      </c>
      <c r="B45" s="101" t="n">
        <v>5</v>
      </c>
      <c r="C45" s="103" t="inlineStr">
        <is>
          <t>전개</t>
        </is>
      </c>
      <c r="D45" s="85" t="inlineStr">
        <is>
          <t>Venerdì: il padre di Alessandro</t>
        </is>
      </c>
      <c r="E45" s="86" t="inlineStr">
        <is>
          <t>금요일: Alessandro의 아버지</t>
        </is>
      </c>
      <c r="F45" s="85" t="inlineStr">
        <is>
          <t>(프레임) 정직한 장부를 지키다 해고된 아버지 이야기. «Mostrami i numeri e ti dirò chi sei.»의 기원.</t>
        </is>
      </c>
      <c r="G45" s="86" t="inlineStr">
        <is>
          <t>가족 이야기, 과거</t>
        </is>
      </c>
      <c r="H45" s="85" t="inlineStr">
        <is>
          <t>Alessandro, Sofia, Rosa</t>
        </is>
      </c>
      <c r="I45" s="101" t="n"/>
      <c r="J45" s="101">
        <f>턴_설계!$B$5</f>
        <v/>
      </c>
    </row>
    <row r="46" ht="42" customHeight="1" s="78">
      <c r="A46" s="101" t="n">
        <v>4</v>
      </c>
      <c r="B46" s="101" t="n">
        <v>6</v>
      </c>
      <c r="C46" s="103" t="inlineStr">
        <is>
          <t>미드포인트</t>
        </is>
      </c>
      <c r="D46" s="85" t="inlineStr">
        <is>
          <t>La riunione dei soci</t>
        </is>
      </c>
      <c r="E46" s="86" t="inlineStr">
        <is>
          <t>파트너 회의</t>
        </is>
      </c>
      <c r="F46" s="85" t="inlineStr">
        <is>
          <t>Alessandro가 '한정 의견(giudizio con rilievi)'을 주장하자 파트너들이 승진과 고객 유지를 들어 설득한다. Alessandro는 리스크 위원회로 사안을 올린다.</t>
        </is>
      </c>
      <c r="G46" s="86" t="inlineStr">
        <is>
          <t>의견 종류: senza rilievi, con rilievi, negativo, impossibilità di esprimere un giudizio</t>
        </is>
      </c>
      <c r="H46" s="85" t="inlineStr">
        <is>
          <t>Alessandro, Bassi(가상), 파트너들</t>
        </is>
      </c>
      <c r="I46" s="101" t="n"/>
      <c r="J46" s="101">
        <f>턴_설계!$B$5</f>
        <v/>
      </c>
    </row>
    <row r="47" ht="29.25" customHeight="1" s="78">
      <c r="A47" s="101" t="n">
        <v>4</v>
      </c>
      <c r="B47" s="101" t="n">
        <v>7</v>
      </c>
      <c r="C47" s="103" t="inlineStr">
        <is>
          <t>위기</t>
        </is>
      </c>
      <c r="D47" s="85" t="inlineStr">
        <is>
          <t>Il comitato rischi</t>
        </is>
      </c>
      <c r="E47" s="86" t="inlineStr">
        <is>
          <t>리스크 위원회</t>
        </is>
      </c>
      <c r="F47" s="85" t="inlineStr">
        <is>
          <t>GM의 변호사 서한이 도착한다(고객 측 변호사는 Marco의 옛 동료). 위원회는 '증거 불충분'으로 결정한다.</t>
        </is>
      </c>
      <c r="G47" s="86" t="inlineStr">
        <is>
          <t>변호사 서한(lettera dei legali), 충분한 증거</t>
        </is>
      </c>
      <c r="H47" s="85" t="inlineStr">
        <is>
          <t>Alessandro, 위원회(가상)</t>
        </is>
      </c>
      <c r="I47" s="101" t="inlineStr">
        <is>
          <t>P3</t>
        </is>
      </c>
      <c r="J47" s="101">
        <f>턴_설계!$B$5</f>
        <v/>
      </c>
    </row>
    <row r="48" ht="29.25" customHeight="1" s="78">
      <c r="A48" s="101" t="n">
        <v>4</v>
      </c>
      <c r="B48" s="101" t="n">
        <v>8</v>
      </c>
      <c r="C48" s="103" t="inlineStr">
        <is>
          <t>위기</t>
        </is>
      </c>
      <c r="D48" s="85" t="inlineStr">
        <is>
          <t>Un pranzo ai Parioli</t>
        </is>
      </c>
      <c r="E48" s="86" t="inlineStr">
        <is>
          <t>파리올리의 점심</t>
        </is>
      </c>
      <c r="F48" s="85" t="inlineStr">
        <is>
          <t>Santoro가 Alessandro에게 점심을 산다. 정중한 위협과 제안: 파트너 승진과 개인 자문 계약. 뉴스레터 «Nuncius»를 쓰는 Galileo의 전화가 온다.</t>
        </is>
      </c>
      <c r="G48" s="86" t="inlineStr">
        <is>
          <t>완곡한 압박, 접속법·조건법</t>
        </is>
      </c>
      <c r="H48" s="85" t="inlineStr">
        <is>
          <t>Alessandro, Santoro(가상), Galileo</t>
        </is>
      </c>
      <c r="I48" s="101" t="n"/>
      <c r="J48" s="101">
        <f>턴_설계!$B$5</f>
        <v/>
      </c>
    </row>
    <row r="49" ht="42" customHeight="1" s="78">
      <c r="A49" s="101" t="n">
        <v>4</v>
      </c>
      <c r="B49" s="101" t="n">
        <v>9</v>
      </c>
      <c r="C49" s="103" t="inlineStr">
        <is>
          <t>위기</t>
        </is>
      </c>
      <c r="D49" s="85" t="inlineStr">
        <is>
          <t>Venerdì: e hai firmato?</t>
        </is>
      </c>
      <c r="E49" s="86" t="inlineStr">
        <is>
          <t>금요일: 서명했어요?</t>
        </is>
      </c>
      <c r="F49" s="85" t="inlineStr">
        <is>
          <t>(프레임) Sofia가 묻고 Alessandro는 «Aspetta.»라고 한다. Cesare가 «Tutti, prima o poi, firmiamo qualcosa.»라고 말하고 Giulia가 눈을 감는다.</t>
        </is>
      </c>
      <c r="G49" s="86" t="inlineStr">
        <is>
          <t>재촉·회피</t>
        </is>
      </c>
      <c r="H49" s="85" t="inlineStr">
        <is>
          <t>Alessandro, Sofia, Cesare, Giulia</t>
        </is>
      </c>
      <c r="I49" s="101" t="n"/>
      <c r="J49" s="101">
        <f>턴_설계!$B$5</f>
        <v/>
      </c>
    </row>
    <row r="50" ht="29.25" customHeight="1" s="78">
      <c r="A50" s="101" t="n">
        <v>4</v>
      </c>
      <c r="B50" s="101" t="n">
        <v>10</v>
      </c>
      <c r="C50" s="103" t="inlineStr">
        <is>
          <t>절정</t>
        </is>
      </c>
      <c r="D50" s="85" t="inlineStr">
        <is>
          <t>La firma</t>
        </is>
      </c>
      <c r="E50" s="86" t="inlineStr">
        <is>
          <t>서명</t>
        </is>
      </c>
      <c r="F50" s="85" t="inlineStr">
        <is>
          <t>Alessandro가 '적정(senza rilievi)' 의견서에 서명한다. 서명 후 그는 복사본 USB를 챙긴다.</t>
        </is>
      </c>
      <c r="G50" s="86" t="inlineStr">
        <is>
          <t>서명, 감사보고서(relazione di revisione), 책임</t>
        </is>
      </c>
      <c r="H50" s="85" t="inlineStr">
        <is>
          <t>Alessandro, Bassi(가상)</t>
        </is>
      </c>
      <c r="I50" s="101" t="n"/>
      <c r="J50" s="101">
        <f>턴_설계!$B$5</f>
        <v/>
      </c>
    </row>
    <row r="51" ht="42" customHeight="1" s="78">
      <c r="A51" s="101" t="n">
        <v>4</v>
      </c>
      <c r="B51" s="101" t="n">
        <v>11</v>
      </c>
      <c r="C51" s="103" t="inlineStr">
        <is>
          <t>절정</t>
        </is>
      </c>
      <c r="D51" s="85" t="inlineStr">
        <is>
          <t>Dopo la firma</t>
        </is>
      </c>
      <c r="E51" s="86" t="inlineStr">
        <is>
          <t>서명 이후</t>
        </is>
      </c>
      <c r="F51" s="86" t="inlineStr">
        <is>
          <t>그 의견서로 병원 외주 계약이 확정되고(3부의 계약) 구조조정 컨설팅이 시작된다는 통보를 받는다. Alessandro는 사직하고 다시는 서명하지 않겠다고 다짐한다.</t>
        </is>
      </c>
      <c r="G51" s="86" t="inlineStr">
        <is>
          <t>결과·책임, 사직</t>
        </is>
      </c>
      <c r="H51" s="85" t="inlineStr">
        <is>
          <t>Alessandro, Bassi(가상), Chiara</t>
        </is>
      </c>
      <c r="I51" s="101" t="n"/>
      <c r="J51" s="101">
        <f>턴_설계!$B$5</f>
        <v/>
      </c>
    </row>
    <row r="52" ht="29.25" customHeight="1" s="78">
      <c r="A52" s="101" t="n">
        <v>4</v>
      </c>
      <c r="B52" s="101" t="n">
        <v>12</v>
      </c>
      <c r="C52" s="103" t="inlineStr">
        <is>
          <t>결말·훅</t>
        </is>
      </c>
      <c r="D52" s="85" t="inlineStr">
        <is>
          <t>Venerdì: la lista di Chiara</t>
        </is>
      </c>
      <c r="E52" s="86" t="inlineStr">
        <is>
          <t>금요일: Chiara의 명단</t>
        </is>
      </c>
      <c r="F52" s="85" t="inlineStr">
        <is>
          <t>(프레임) Alessandro가 USB를 꺼내지 않은 채 식탁에 놓고, Chiara가 «La lista la facevo io.»라고 말한다.</t>
        </is>
      </c>
      <c r="G52" s="86" t="inlineStr">
        <is>
          <t>고백</t>
        </is>
      </c>
      <c r="H52" s="85" t="inlineStr">
        <is>
          <t>Alessandro, Chiara, Sofia, Rosa</t>
        </is>
      </c>
      <c r="I52" s="101" t="n"/>
      <c r="J52" s="101">
        <f>턴_설계!$B$5</f>
        <v/>
      </c>
    </row>
    <row r="53" ht="29.25" customHeight="1" s="78">
      <c r="A53" s="101" t="n">
        <v>5</v>
      </c>
      <c r="B53" s="101" t="n">
        <v>1</v>
      </c>
      <c r="C53" s="103" t="inlineStr">
        <is>
          <t>발단</t>
        </is>
      </c>
      <c r="D53" s="85" t="inlineStr">
        <is>
          <t>Venerdì: in una matrice</t>
        </is>
      </c>
      <c r="E53" s="86" t="inlineStr">
        <is>
          <t>금요일: 매트릭스로</t>
        </is>
      </c>
      <c r="F53" s="85" t="inlineStr">
        <is>
          <t>(프레임) Chiara가 «Mettiamolo in una matrice.»로 시작하다 Sofia에게 제지당한다.</t>
        </is>
      </c>
      <c r="G53" s="86" t="inlineStr">
        <is>
          <t>경영 어휘 도입, 쉬운 말로 바꾸기</t>
        </is>
      </c>
      <c r="H53" s="85" t="inlineStr">
        <is>
          <t>Chiara, Sofia, Cesare</t>
        </is>
      </c>
      <c r="I53" s="101" t="n"/>
      <c r="J53" s="101">
        <f>턴_설계!$B$5</f>
        <v/>
      </c>
    </row>
    <row r="54" ht="29.25" customHeight="1" s="78">
      <c r="A54" s="101" t="n">
        <v>5</v>
      </c>
      <c r="B54" s="101" t="n">
        <v>2</v>
      </c>
      <c r="C54" s="103" t="inlineStr">
        <is>
          <t>발단</t>
        </is>
      </c>
      <c r="D54" s="85" t="inlineStr">
        <is>
          <t>Zenit, 32° piano</t>
        </is>
      </c>
      <c r="E54" s="85" t="inlineStr">
        <is>
          <t>Zenit, 32층</t>
        </is>
      </c>
      <c r="F54" s="85" t="inlineStr">
        <is>
          <t>(과거) EUR 오피스 타워의 컨설팅 회사 문화: up-or-out, 야근, 영어가 섞인 이탈리아어(itanglese). Chiara의 초고속 승진.</t>
        </is>
      </c>
      <c r="G54" s="85" t="inlineStr">
        <is>
          <t>allineare, scalabile, impatto, stakeholder</t>
        </is>
      </c>
      <c r="H54" s="85" t="inlineStr">
        <is>
          <t>Chiara, 파트너(가상)</t>
        </is>
      </c>
      <c r="I54" s="101" t="n"/>
      <c r="J54" s="101">
        <f>턴_설계!$B$5</f>
        <v/>
      </c>
    </row>
    <row r="55" ht="42" customHeight="1" s="78">
      <c r="A55" s="101" t="n">
        <v>5</v>
      </c>
      <c r="B55" s="101" t="n">
        <v>3</v>
      </c>
      <c r="C55" s="103" t="inlineStr">
        <is>
          <t>발단</t>
        </is>
      </c>
      <c r="D55" s="85" t="inlineStr">
        <is>
          <t>La bottega dei Ruggeri</t>
        </is>
      </c>
      <c r="E55" s="85" t="inlineStr">
        <is>
          <t>Ruggeri 가족의 공방</t>
        </is>
      </c>
      <c r="F55" s="86" t="inlineStr">
        <is>
          <t>영세 가족 제조업체 컨설팅. Chiara의 '규모 키우기' 권고가 현실과 맞지 않아 실패한다. 생산성은 조언이 아니라 구조의 문제임을 처음 본다.</t>
        </is>
      </c>
      <c r="G55" s="86" t="inlineStr">
        <is>
          <t>영세·가족 기업, 생산성, 규모의 경제</t>
        </is>
      </c>
      <c r="H55" s="85" t="inlineStr">
        <is>
          <t>Chiara, Ruggeri(가상)</t>
        </is>
      </c>
      <c r="I55" s="101" t="inlineStr">
        <is>
          <t>E2</t>
        </is>
      </c>
      <c r="J55" s="101">
        <f>턴_설계!$B$5</f>
        <v/>
      </c>
    </row>
    <row r="56" ht="29.25" customHeight="1" s="78">
      <c r="A56" s="101" t="n">
        <v>5</v>
      </c>
      <c r="B56" s="101" t="n">
        <v>4</v>
      </c>
      <c r="C56" s="103" t="inlineStr">
        <is>
          <t>전개</t>
        </is>
      </c>
      <c r="D56" s="85" t="inlineStr">
        <is>
          <t>Progetto Icaro</t>
        </is>
      </c>
      <c r="E56" s="86" t="inlineStr">
        <is>
          <t>이카로 프로젝트</t>
        </is>
      </c>
      <c r="F56" s="85" t="inlineStr">
        <is>
          <t>GM이 Zenit에 '비용 18% 절감'을 의뢰한다. 킥오프 회의.</t>
        </is>
      </c>
      <c r="G56" s="86" t="inlineStr">
        <is>
          <t>프로젝트 관리, 목표, 절감</t>
        </is>
      </c>
      <c r="H56" s="85" t="inlineStr">
        <is>
          <t>Chiara, 파트너(가상), GM 임원(가상)</t>
        </is>
      </c>
      <c r="I56" s="101" t="n"/>
      <c r="J56" s="101">
        <f>턴_설계!$B$5</f>
        <v/>
      </c>
    </row>
    <row r="57" ht="29.25" customHeight="1" s="78">
      <c r="A57" s="101" t="n">
        <v>5</v>
      </c>
      <c r="B57" s="101" t="n">
        <v>5</v>
      </c>
      <c r="C57" s="103" t="inlineStr">
        <is>
          <t>전개</t>
        </is>
      </c>
      <c r="D57" s="85" t="inlineStr">
        <is>
          <t>Venerdì: un Excel</t>
        </is>
      </c>
      <c r="E57" s="86" t="inlineStr">
        <is>
          <t>금요일: 엑셀 한 장</t>
        </is>
      </c>
      <c r="F57" s="85" t="inlineStr">
        <is>
          <t>(프레임) Chiara가 «Io non licenziavo nessuno; spostavo celle.»라고 말한다. Sofia가 «E quante celle?»</t>
        </is>
      </c>
      <c r="G57" s="86" t="inlineStr">
        <is>
          <t>질문·죄책 표현</t>
        </is>
      </c>
      <c r="H57" s="85" t="inlineStr">
        <is>
          <t>Chiara, Sofia, Alessandro</t>
        </is>
      </c>
      <c r="I57" s="101" t="n"/>
      <c r="J57" s="101">
        <f>턴_설계!$B$5</f>
        <v/>
      </c>
    </row>
    <row r="58" ht="29.25" customHeight="1" s="78">
      <c r="A58" s="101" t="n">
        <v>5</v>
      </c>
      <c r="B58" s="101" t="n">
        <v>6</v>
      </c>
      <c r="C58" s="103" t="inlineStr">
        <is>
          <t>미드포인트</t>
        </is>
      </c>
      <c r="D58" s="85" t="inlineStr">
        <is>
          <t>La cella C47</t>
        </is>
      </c>
      <c r="E58" s="85" t="inlineStr">
        <is>
          <t>C47 셀</t>
        </is>
      </c>
      <c r="F58" s="86" t="inlineStr">
        <is>
          <t>모델이 완성되고 승인이 난다. 셀 하나가 412개 일자리다. 팀은 스푸만테를 딴다.</t>
        </is>
      </c>
      <c r="G58" s="86" t="inlineStr">
        <is>
          <t>모델, 시나리오, 인원 감축</t>
        </is>
      </c>
      <c r="H58" s="85" t="inlineStr">
        <is>
          <t>Chiara, 팀(가상)</t>
        </is>
      </c>
      <c r="I58" s="101" t="inlineStr">
        <is>
          <t>S1</t>
        </is>
      </c>
      <c r="J58" s="101">
        <f>턴_설계!$B$5</f>
        <v/>
      </c>
    </row>
    <row r="59" ht="29.25" customHeight="1" s="78">
      <c r="A59" s="101" t="n">
        <v>5</v>
      </c>
      <c r="B59" s="101" t="n">
        <v>7</v>
      </c>
      <c r="C59" s="103" t="inlineStr">
        <is>
          <t>위기</t>
        </is>
      </c>
      <c r="D59" s="85" t="inlineStr">
        <is>
          <t>Il tavolo della trattativa</t>
        </is>
      </c>
      <c r="E59" s="86" t="inlineStr">
        <is>
          <t>협상 테이블</t>
        </is>
      </c>
      <c r="F59" s="86" t="inlineStr">
        <is>
          <t>집단해고 협의 절차. 노조 대표 Paolo가 «Dietro ogni cella c'è una persona.»</t>
        </is>
      </c>
      <c r="G59" s="86" t="inlineStr">
        <is>
          <t>집단해고(licenziamento collettivo, legge 223/1991), 노조 협의 45일 + 행정 단계 30일, 노조 대표(RSU)</t>
        </is>
      </c>
      <c r="H59" s="85" t="inlineStr">
        <is>
          <t>Chiara, Paolo, 노무 담당(가상)</t>
        </is>
      </c>
      <c r="I59" s="101" t="inlineStr">
        <is>
          <t>S1</t>
        </is>
      </c>
      <c r="J59" s="101">
        <f>턴_설계!$B$5</f>
        <v/>
      </c>
    </row>
    <row r="60" ht="29.25" customHeight="1" s="78">
      <c r="A60" s="101" t="n">
        <v>5</v>
      </c>
      <c r="B60" s="101" t="n">
        <v>8</v>
      </c>
      <c r="C60" s="103" t="inlineStr">
        <is>
          <t>위기</t>
        </is>
      </c>
      <c r="D60" s="85" t="inlineStr">
        <is>
          <t>La mail sbagliata</t>
        </is>
      </c>
      <c r="E60" s="86" t="inlineStr">
        <is>
          <t>잘못 보낸 이메일</t>
        </is>
      </c>
      <c r="F60" s="85" t="inlineStr">
        <is>
          <t>Chiara가 이름이 든 파일을 잘못 보낸다. 기간제·청년이 먼저 잘려 있다. 번아웃 상담에서 Montessori를 만난다.</t>
        </is>
      </c>
      <c r="G60" s="86" t="inlineStr">
        <is>
          <t>기간제 계약, 청년 우선 해고, 죄책감</t>
        </is>
      </c>
      <c r="H60" s="85" t="inlineStr">
        <is>
          <t>Chiara, Montessori</t>
        </is>
      </c>
      <c r="I60" s="101" t="inlineStr">
        <is>
          <t>S1</t>
        </is>
      </c>
      <c r="J60" s="101">
        <f>턴_설계!$B$5</f>
        <v/>
      </c>
    </row>
    <row r="61" ht="29.25" customHeight="1" s="78">
      <c r="A61" s="101" t="n">
        <v>5</v>
      </c>
      <c r="B61" s="101" t="n">
        <v>9</v>
      </c>
      <c r="C61" s="103" t="inlineStr">
        <is>
          <t>위기</t>
        </is>
      </c>
      <c r="D61" s="85" t="inlineStr">
        <is>
          <t>Venerdì: quattrocentododici</t>
        </is>
      </c>
      <c r="E61" s="86" t="inlineStr">
        <is>
          <t>금요일: 412</t>
        </is>
      </c>
      <c r="F61" s="85" t="inlineStr">
        <is>
          <t>(프레임) «Quattrocentododici.» Sofia가 말을 잃고 Cesare가 «Almeno lo dice senza slide.»</t>
        </is>
      </c>
      <c r="G61" s="86" t="inlineStr">
        <is>
          <t>숫자 낭독</t>
        </is>
      </c>
      <c r="H61" s="85" t="inlineStr">
        <is>
          <t>Chiara, Sofia, Cesare</t>
        </is>
      </c>
      <c r="I61" s="101" t="n"/>
      <c r="J61" s="101">
        <f>턴_설계!$B$5</f>
        <v/>
      </c>
    </row>
    <row r="62" ht="29.25" customHeight="1" s="78">
      <c r="A62" s="101" t="n">
        <v>5</v>
      </c>
      <c r="B62" s="101" t="n">
        <v>10</v>
      </c>
      <c r="C62" s="103" t="inlineStr">
        <is>
          <t>절정</t>
        </is>
      </c>
      <c r="D62" s="85" t="inlineStr">
        <is>
          <t>Lo sciopero</t>
        </is>
      </c>
      <c r="E62" s="86" t="inlineStr">
        <is>
          <t>파업</t>
        </is>
      </c>
      <c r="F62" s="86" t="inlineStr">
        <is>
          <t>파업이 벌어지고 Paolo가 해고되어 블랙리스트에 오른다. Chiara는 유리창 너머로 그것을 본다.</t>
        </is>
      </c>
      <c r="G62" s="86" t="inlineStr">
        <is>
          <t>파업권(헌법 제40조), 해고, 블랙리스트</t>
        </is>
      </c>
      <c r="H62" s="85" t="inlineStr">
        <is>
          <t>Chiara, Paolo</t>
        </is>
      </c>
      <c r="I62" s="101" t="inlineStr">
        <is>
          <t>S1</t>
        </is>
      </c>
      <c r="J62" s="101">
        <f>턴_설계!$B$5</f>
        <v/>
      </c>
    </row>
    <row r="63" ht="16.5" customHeight="1" s="78">
      <c r="A63" s="101" t="n">
        <v>5</v>
      </c>
      <c r="B63" s="101" t="n">
        <v>11</v>
      </c>
      <c r="C63" s="103" t="inlineStr">
        <is>
          <t>절정</t>
        </is>
      </c>
      <c r="D63" s="85" t="inlineStr">
        <is>
          <t>L'ultima riunione</t>
        </is>
      </c>
      <c r="E63" s="86" t="inlineStr">
        <is>
          <t>마지막 회의</t>
        </is>
      </c>
      <c r="F63" s="86" t="inlineStr">
        <is>
          <t>보너스 지급 회의. Chiara가 '이카로 2'를 거절하고 사직한다.</t>
        </is>
      </c>
      <c r="G63" s="86" t="inlineStr">
        <is>
          <t>보너스, 거절, 사직</t>
        </is>
      </c>
      <c r="H63" s="85" t="inlineStr">
        <is>
          <t>Chiara, 파트너(가상)</t>
        </is>
      </c>
      <c r="I63" s="101" t="n"/>
      <c r="J63" s="101">
        <f>턴_설계!$B$5</f>
        <v/>
      </c>
    </row>
    <row r="64" ht="29.25" customHeight="1" s="78">
      <c r="A64" s="101" t="n">
        <v>5</v>
      </c>
      <c r="B64" s="101" t="n">
        <v>12</v>
      </c>
      <c r="C64" s="103" t="inlineStr">
        <is>
          <t>결말·훅</t>
        </is>
      </c>
      <c r="D64" s="85" t="inlineStr">
        <is>
          <t>Venerdì: un martedì al Quarticciolo</t>
        </is>
      </c>
      <c r="E64" s="86" t="inlineStr">
        <is>
          <t>금요일: 콰르티촐로의 화요일</t>
        </is>
      </c>
      <c r="F64" s="85" t="inlineStr">
        <is>
          <t>(프레임) 네 명이 같은 강당에 모이게 된 화요일을 Rosa가 설명하며 6부를 예고한다.</t>
        </is>
      </c>
      <c r="G64" s="86" t="inlineStr">
        <is>
          <t>다음 이야기 예고</t>
        </is>
      </c>
      <c r="H64" s="85" t="inlineStr">
        <is>
          <t>Chiara, Rosa, Marco, Giulia, Alessandro</t>
        </is>
      </c>
      <c r="I64" s="101" t="n"/>
      <c r="J64" s="101">
        <f>턴_설계!$B$5</f>
        <v/>
      </c>
    </row>
    <row r="65" ht="29.25" customHeight="1" s="78">
      <c r="A65" s="101" t="n">
        <v>6</v>
      </c>
      <c r="B65" s="101" t="n">
        <v>1</v>
      </c>
      <c r="C65" s="103" t="inlineStr">
        <is>
          <t>발단</t>
        </is>
      </c>
      <c r="D65" s="85" t="inlineStr">
        <is>
          <t>Un martedì al Quarticciolo</t>
        </is>
      </c>
      <c r="E65" s="86" t="inlineStr">
        <is>
          <t>콰르티촐로의 화요일</t>
        </is>
      </c>
      <c r="F65" s="86" t="inlineStr">
        <is>
          <t>네 사람이 각자 다른 이유로 같은 세입자 총회에 도착한다. 옛 공공주택 매각분을 사들인 민간 블록이다. 손녀 Marina(가상)와 23세 세입자 Sofia가 맞이한다.</t>
        </is>
      </c>
      <c r="G65" s="86" t="inlineStr">
        <is>
          <t>총회 공고, 자기소개</t>
        </is>
      </c>
      <c r="H65" s="85" t="inlineStr">
        <is>
          <t>Marco, Giulia, Alessandro, Chiara, Marina(가상), Sofia</t>
        </is>
      </c>
      <c r="I65" s="101" t="inlineStr">
        <is>
          <t>E1</t>
        </is>
      </c>
      <c r="J65" s="101">
        <f>턴_설계!$B$5</f>
        <v/>
      </c>
    </row>
    <row r="66" ht="29.25" customHeight="1" s="78">
      <c r="A66" s="101" t="n">
        <v>6</v>
      </c>
      <c r="B66" s="101" t="n">
        <v>2</v>
      </c>
      <c r="C66" s="103" t="inlineStr">
        <is>
          <t>발단</t>
        </is>
      </c>
      <c r="D66" s="85" t="inlineStr">
        <is>
          <t>Quattro sconosciuti</t>
        </is>
      </c>
      <c r="E66" s="86" t="inlineStr">
        <is>
          <t>네 명의 낯선 사람</t>
        </is>
      </c>
      <c r="F66" s="86" t="inlineStr">
        <is>
          <t>서로 아는 척하지 않는다. Marco와 Alessandro는 서로의 명함 «Ferrari &amp; Colombo», «Conti Revisori»에서 흠칫한다.</t>
        </is>
      </c>
      <c r="G66" s="86" t="inlineStr">
        <is>
          <t>긴장 대화, Lei</t>
        </is>
      </c>
      <c r="H66" s="85" t="inlineStr">
        <is>
          <t>Marco, Giulia, Alessandro, Chiara, Sofia</t>
        </is>
      </c>
      <c r="I66" s="101" t="n"/>
      <c r="J66" s="101">
        <f>턴_설계!$B$5</f>
        <v/>
      </c>
    </row>
    <row r="67" ht="29.25" customHeight="1" s="78">
      <c r="A67" s="101" t="n">
        <v>6</v>
      </c>
      <c r="B67" s="101" t="n">
        <v>3</v>
      </c>
      <c r="C67" s="103" t="inlineStr">
        <is>
          <t>발단</t>
        </is>
      </c>
      <c r="D67" s="85" t="inlineStr">
        <is>
          <t>Il lotto quattordici</t>
        </is>
      </c>
      <c r="E67" s="85" t="inlineStr">
        <is>
          <t>14번 동</t>
        </is>
      </c>
      <c r="F67" s="86" t="inlineStr">
        <is>
          <t>건물을 돌아본다. 22가구, 물이 새는 벽, 동네 진료소 폐쇄. 이웃 Paolo와 '계단 반장' Garibaldi가 안내한다.</t>
        </is>
      </c>
      <c r="G67" s="86" t="inlineStr">
        <is>
          <t>건물·거주 표현</t>
        </is>
      </c>
      <c r="H67" s="85" t="inlineStr">
        <is>
          <t>Marco, Giulia, Alessandro, Chiara, Paolo, Garibaldi, Sofia</t>
        </is>
      </c>
      <c r="I67" s="101" t="inlineStr">
        <is>
          <t>E1</t>
        </is>
      </c>
      <c r="J67" s="101">
        <f>턴_설계!$B$5</f>
        <v/>
      </c>
    </row>
    <row r="68" ht="29.25" customHeight="1" s="78">
      <c r="A68" s="101" t="n">
        <v>6</v>
      </c>
      <c r="B68" s="101" t="n">
        <v>4</v>
      </c>
      <c r="C68" s="103" t="inlineStr">
        <is>
          <t>전개</t>
        </is>
      </c>
      <c r="D68" s="85" t="inlineStr">
        <is>
          <t>La notte delle scale</t>
        </is>
      </c>
      <c r="E68" s="86" t="inlineStr">
        <is>
          <t>계단의 밤</t>
        </is>
      </c>
      <c r="F68" s="86" t="inlineStr">
        <is>
          <t>새벽 퇴거 집행 소문에 함께 밤샘한다. Rosa의 음식과 Cesare의 커피 불평. 처음으로 조금씩 속내를 꺼낸다.</t>
        </is>
      </c>
      <c r="G68" s="86" t="inlineStr">
        <is>
          <t>밤샘 대화, 위로</t>
        </is>
      </c>
      <c r="H68" s="85" t="inlineStr">
        <is>
          <t>Marco, Giulia, Alessandro, Chiara, Rosa, Cesare, Garibaldi</t>
        </is>
      </c>
      <c r="I68" s="101" t="n"/>
      <c r="J68" s="101">
        <f>턴_설계!$B$5</f>
        <v/>
      </c>
    </row>
    <row r="69" ht="29.25" customHeight="1" s="78">
      <c r="A69" s="101" t="n">
        <v>6</v>
      </c>
      <c r="B69" s="101" t="n">
        <v>5</v>
      </c>
      <c r="C69" s="103" t="inlineStr">
        <is>
          <t>전개</t>
        </is>
      </c>
      <c r="D69" s="85" t="inlineStr">
        <is>
          <t>Le carte di Alessandro</t>
        </is>
      </c>
      <c r="E69" s="85" t="inlineStr">
        <is>
          <t>Alessandro의 서류</t>
        </is>
      </c>
      <c r="F69" s="85" t="inlineStr">
        <is>
          <t>Alessandro가 USB를 꺼내 Fondo Cardinale – Gruppo Meridiano – Meridiano Salute의 연결을 보여 준다. 변호사가 필요하다.</t>
        </is>
      </c>
      <c r="G69" s="86" t="inlineStr">
        <is>
          <t>서류 브리핑, 지분 구조</t>
        </is>
      </c>
      <c r="H69" s="85" t="inlineStr">
        <is>
          <t>Alessandro, Marco, Sofia, Machiavelli</t>
        </is>
      </c>
      <c r="I69" s="101" t="n"/>
      <c r="J69" s="101">
        <f>턴_설계!$B$5</f>
        <v/>
      </c>
    </row>
    <row r="70" ht="42" customHeight="1" s="78">
      <c r="A70" s="101" t="n">
        <v>6</v>
      </c>
      <c r="B70" s="101" t="n">
        <v>6</v>
      </c>
      <c r="C70" s="103" t="inlineStr">
        <is>
          <t>미드포인트</t>
        </is>
      </c>
      <c r="D70" s="85" t="inlineStr">
        <is>
          <t>Uno stesso nome</t>
        </is>
      </c>
      <c r="E70" s="86" t="inlineStr">
        <is>
          <t>같은 이름</t>
        </is>
      </c>
      <c r="F70" s="85" t="inlineStr">
        <is>
          <t>Marco의 퇴거, Giulia의 외주, Alessandro의 감사, Chiara의 구조조정이 모두 Gruppo Meridiano였다. 각자 «il mio cliente / il mio contratto / la mia relazione / il mio piano.»</t>
        </is>
      </c>
      <c r="G70" s="86" t="inlineStr">
        <is>
          <t>책임 표현, 접속법</t>
        </is>
      </c>
      <c r="H70" s="85" t="inlineStr">
        <is>
          <t>Marco, Giulia, Alessandro, Chiara</t>
        </is>
      </c>
      <c r="I70" s="101" t="inlineStr">
        <is>
          <t>E1</t>
        </is>
      </c>
      <c r="J70" s="101">
        <f>턴_설계!$B$5</f>
        <v/>
      </c>
    </row>
    <row r="71" ht="29.25" customHeight="1" s="78">
      <c r="A71" s="101" t="n">
        <v>6</v>
      </c>
      <c r="B71" s="101" t="n">
        <v>7</v>
      </c>
      <c r="C71" s="103" t="inlineStr">
        <is>
          <t>위기</t>
        </is>
      </c>
      <c r="D71" s="85" t="inlineStr">
        <is>
          <t>Rimproveri</t>
        </is>
      </c>
      <c r="E71" s="86" t="inlineStr">
        <is>
          <t>서로에 대한 비난</t>
        </is>
      </c>
      <c r="F71" s="86" t="inlineStr">
        <is>
          <t>공모라고 서로를 몰아세운다. Marco가 나가 버리고 Giulia가 막아선다.</t>
        </is>
      </c>
      <c r="G71" s="86" t="inlineStr">
        <is>
          <t>다툼, 비난·사과</t>
        </is>
      </c>
      <c r="H71" s="85" t="inlineStr">
        <is>
          <t>Marco, Giulia, Alessandro, Chiara, Sofia</t>
        </is>
      </c>
      <c r="I71" s="101" t="n"/>
      <c r="J71" s="101">
        <f>턴_설계!$B$5</f>
        <v/>
      </c>
    </row>
    <row r="72" ht="42" customHeight="1" s="78">
      <c r="A72" s="101" t="n">
        <v>6</v>
      </c>
      <c r="B72" s="101" t="n">
        <v>8</v>
      </c>
      <c r="C72" s="103" t="inlineStr">
        <is>
          <t>위기</t>
        </is>
      </c>
      <c r="D72" s="85" t="inlineStr">
        <is>
          <t>Ora zero</t>
        </is>
      </c>
      <c r="E72" s="86" t="inlineStr">
        <is>
          <t>영시</t>
        </is>
      </c>
      <c r="F72" s="86" t="inlineStr">
        <is>
          <t>퇴거 집행 날 새벽. 서로의 전문성을 처음 합친다: Marco는 집행 정지 신청, Alessandro는 서류, Chiara는 동선, Giulia는 취약계층 진단서. Galileo가 기록하고 Gramsci가 서류 위치를 알려 준다.</t>
        </is>
      </c>
      <c r="G72" s="86" t="inlineStr">
        <is>
          <t>집행 정지(sospensione dell'esecuzione), 진단서</t>
        </is>
      </c>
      <c r="H72" s="85" t="inlineStr">
        <is>
          <t>Marco, Giulia, Alessandro, Chiara, Galileo, Gramsci, Garibaldi</t>
        </is>
      </c>
      <c r="I72" s="101" t="inlineStr">
        <is>
          <t>E1·S2</t>
        </is>
      </c>
      <c r="J72" s="101">
        <f>턴_설계!$B$5</f>
        <v/>
      </c>
    </row>
    <row r="73" ht="42" customHeight="1" s="78">
      <c r="A73" s="101" t="n">
        <v>6</v>
      </c>
      <c r="B73" s="101" t="n">
        <v>9</v>
      </c>
      <c r="C73" s="103" t="inlineStr">
        <is>
          <t>위기</t>
        </is>
      </c>
      <c r="D73" s="85" t="inlineStr">
        <is>
          <t>La prima sospensione</t>
        </is>
      </c>
      <c r="E73" s="86" t="inlineStr">
        <is>
          <t>첫 정지</t>
        </is>
      </c>
      <c r="F73" s="86" t="inlineStr">
        <is>
          <t>법원이 집행을 정지한다. Dante의 서툰 첫 연설이 군중을 울리고 Montessori가 아이들을 달랜다. Fatima 가족이 인사한다.</t>
        </is>
      </c>
      <c r="G73" s="86" t="inlineStr">
        <is>
          <t>안도·감사 표현</t>
        </is>
      </c>
      <c r="H73" s="85" t="inlineStr">
        <is>
          <t>Marco, Giulia, Alessandro, Chiara, Dante, Montessori, Sofia, Fatima(가상)</t>
        </is>
      </c>
      <c r="I73" s="101" t="inlineStr">
        <is>
          <t>S2·E1</t>
        </is>
      </c>
      <c r="J73" s="101">
        <f>턴_설계!$B$5</f>
        <v/>
      </c>
    </row>
    <row r="74" ht="29.25" customHeight="1" s="78">
      <c r="A74" s="101" t="n">
        <v>6</v>
      </c>
      <c r="B74" s="101" t="n">
        <v>10</v>
      </c>
      <c r="C74" s="103" t="inlineStr">
        <is>
          <t>절정</t>
        </is>
      </c>
      <c r="D74" s="85" t="inlineStr">
        <is>
          <t>Un locale a Testaccio</t>
        </is>
      </c>
      <c r="E74" s="86" t="inlineStr">
        <is>
          <t>테스타초의 가게</t>
        </is>
      </c>
      <c r="F74" s="86" t="inlineStr">
        <is>
          <t>사무실 자리를 찾는다. 소규모 집주인이 월세를 낮춰 주고 Rosa의 트라토리아가 1층에서 다시 문을 연다. Francesco가 계좌 도움을 자청한다.</t>
        </is>
      </c>
      <c r="G74" s="86" t="inlineStr">
        <is>
          <t>임대 협상, 협약 임대료(canone concordato), 소규모 임대인</t>
        </is>
      </c>
      <c r="H74" s="85" t="inlineStr">
        <is>
          <t>Marco, Giulia, Alessandro, Chiara, Rosa, Francesco</t>
        </is>
      </c>
      <c r="I74" s="101" t="inlineStr">
        <is>
          <t>E1</t>
        </is>
      </c>
      <c r="J74" s="101">
        <f>턴_설계!$B$5</f>
        <v/>
      </c>
    </row>
    <row r="75" ht="42" customHeight="1" s="78">
      <c r="A75" s="101" t="n">
        <v>6</v>
      </c>
      <c r="B75" s="101" t="n">
        <v>11</v>
      </c>
      <c r="C75" s="103" t="inlineStr">
        <is>
          <t>절정</t>
        </is>
      </c>
      <c r="D75" s="85" t="inlineStr">
        <is>
          <t>Le regole del tavolo</t>
        </is>
      </c>
      <c r="E75" s="86" t="inlineStr">
        <is>
          <t>식탁의 규칙</t>
        </is>
      </c>
      <c r="F75" s="86" t="inlineStr">
        <is>
          <t>규칙을 정한다: 가난한 사람에게는 수임료 없음, 금요일마다 한 명씩 과거를 이야기함. Sofia가 «Posso restare?» Cesare는 '청하지 않은 고문', Machiavelli는 '청하지 않은 전략가'를 자처한다.</t>
        </is>
      </c>
      <c r="G75" s="86" t="inlineStr">
        <is>
          <t>규칙, 약속 표현</t>
        </is>
      </c>
      <c r="H75" s="86" t="inlineStr">
        <is>
          <t>전원</t>
        </is>
      </c>
      <c r="I75" s="101" t="inlineStr">
        <is>
          <t>S1</t>
        </is>
      </c>
      <c r="J75" s="101">
        <f>턴_설계!$B$5</f>
        <v/>
      </c>
    </row>
    <row r="76" ht="29.25" customHeight="1" s="78">
      <c r="A76" s="101" t="n">
        <v>6</v>
      </c>
      <c r="B76" s="101" t="n">
        <v>12</v>
      </c>
      <c r="C76" s="103" t="inlineStr">
        <is>
          <t>결말·훅</t>
        </is>
      </c>
      <c r="D76" s="85" t="inlineStr">
        <is>
          <t>L'insegna</t>
        </is>
      </c>
      <c r="E76" s="86" t="inlineStr">
        <is>
          <t>간판</t>
        </is>
      </c>
      <c r="F76" s="86" t="inlineStr">
        <is>
          <t>간판이 걸린다. Rosa가 «Domani, alle cinque.» 원이 닫히며 1부 1화로 이어진다.</t>
        </is>
      </c>
      <c r="G76" s="86" t="inlineStr">
        <is>
          <t>시간 표현, 마무리</t>
        </is>
      </c>
      <c r="H76" s="86" t="inlineStr">
        <is>
          <t>전원</t>
        </is>
      </c>
      <c r="I76" s="101" t="n"/>
      <c r="J76" s="101">
        <f>턴_설계!$B$5</f>
        <v/>
      </c>
    </row>
    <row r="77" ht="42" customHeight="1" s="78">
      <c r="A77" s="101" t="n">
        <v>7</v>
      </c>
      <c r="B77" s="101" t="n">
        <v>1</v>
      </c>
      <c r="C77" s="103" t="inlineStr">
        <is>
          <t>발단</t>
        </is>
      </c>
      <c r="D77" s="85" t="inlineStr">
        <is>
          <t>Un anno dopo</t>
        </is>
      </c>
      <c r="E77" s="85" t="inlineStr">
        <is>
          <t>1년 후</t>
        </is>
      </c>
      <c r="F77" s="86" t="inlineStr">
        <is>
          <t>사무소가 커졌다. Rosa가 팀 이름을 호명하며 역할을 소개한다: Garibaldi 로지스틱스, Gramsci 출처, Galileo 공론화·검증, Montessori 상담, Paolo 현장, Dante 글, Francesco 자금, Machiavelli 전략.</t>
        </is>
      </c>
      <c r="G77" s="86" t="inlineStr">
        <is>
          <t>역할·업무 분담</t>
        </is>
      </c>
      <c r="H77" s="86" t="inlineStr">
        <is>
          <t>전원</t>
        </is>
      </c>
      <c r="I77" s="101" t="n"/>
      <c r="J77" s="101">
        <f>턴_설계!$B$5</f>
        <v/>
      </c>
    </row>
    <row r="78" ht="29.25" customHeight="1" s="78">
      <c r="A78" s="101" t="n">
        <v>7</v>
      </c>
      <c r="B78" s="101" t="n">
        <v>2</v>
      </c>
      <c r="C78" s="103" t="inlineStr">
        <is>
          <t>발단</t>
        </is>
      </c>
      <c r="D78" s="85" t="inlineStr">
        <is>
          <t>La fila sulle scale</t>
        </is>
      </c>
      <c r="E78" s="86" t="inlineStr">
        <is>
          <t>계단 위의 줄</t>
        </is>
      </c>
      <c r="F78" s="86" t="inlineStr">
        <is>
          <t>의뢰인 줄이 계단까지 이어진다. 접수·분류 창구(sportello)를 세우고 Chiara의 매트릭스가 처음으로 쓸모 있어진다.</t>
        </is>
      </c>
      <c r="G78" s="86" t="inlineStr">
        <is>
          <t>접수·분류, 순서</t>
        </is>
      </c>
      <c r="H78" s="85" t="inlineStr">
        <is>
          <t>Chiara, Sofia, Garibaldi, Rosa</t>
        </is>
      </c>
      <c r="I78" s="101" t="inlineStr">
        <is>
          <t>S1·E1</t>
        </is>
      </c>
      <c r="J78" s="101">
        <f>턴_설계!$B$5</f>
        <v/>
      </c>
    </row>
    <row r="79" ht="42" customHeight="1" s="78">
      <c r="A79" s="101" t="n">
        <v>7</v>
      </c>
      <c r="B79" s="101" t="n">
        <v>3</v>
      </c>
      <c r="C79" s="103" t="inlineStr">
        <is>
          <t>발단</t>
        </is>
      </c>
      <c r="D79" s="85" t="inlineStr">
        <is>
          <t>Il tempo che ha punito la vittima</t>
        </is>
      </c>
      <c r="E79" s="86" t="inlineStr">
        <is>
          <t>피해자를 벌한 시간</t>
        </is>
      </c>
      <c r="F79" s="86" t="inlineStr">
        <is>
          <t>성폭력 피해자 사건. 재판이 늘어지는 동안 공소시효가 다가오고, 폭력·위협 입증을 중심으로 한 현행 조항 때문에 피해자가 다시 심문대에 선다. Marco와 Montessori가 피해자를 돕는다. '동의(consenso)' 기준을 명문화하자는 쪽과 절차부터 고치자는 쪽이 사무실 안에서도 갈린다.</t>
        </is>
      </c>
      <c r="G79" s="86" t="inlineStr">
        <is>
          <t>형법 제609-bis조(성폭력), 공소시효(prescrizione), '자유롭고 현재적인 동의' 개정 논의</t>
        </is>
      </c>
      <c r="H79" s="85" t="inlineStr">
        <is>
          <t>Marco, Montessori, Alessandro, Galileo</t>
        </is>
      </c>
      <c r="I79" s="101" t="inlineStr">
        <is>
          <t>N4</t>
        </is>
      </c>
      <c r="J79" s="101">
        <f>턴_설계!$B$5</f>
        <v/>
      </c>
    </row>
    <row r="80" ht="42" customHeight="1" s="78">
      <c r="A80" s="101" t="n">
        <v>7</v>
      </c>
      <c r="B80" s="101" t="n">
        <v>4</v>
      </c>
      <c r="C80" s="103" t="inlineStr">
        <is>
          <t>전개</t>
        </is>
      </c>
      <c r="D80" s="85" t="inlineStr">
        <is>
          <t>Senza documenti</t>
        </is>
      </c>
      <c r="E80" s="86" t="inlineStr">
        <is>
          <t>서류 없는 사람들</t>
        </is>
      </c>
      <c r="F80" s="85" t="inlineStr">
        <is>
          <t>Karim이 체류허가(permesso di soggiorno) 갱신과 축소된 특별보호(protezione speciale) 문제를 들고 온다. Paolo는 노동, Giulia는 의료 접근을 이야기하고 수용의 한계를 두고 의견이 갈린다.</t>
        </is>
      </c>
      <c r="G80" s="85" t="inlineStr">
        <is>
          <t>permesso di soggiorno, protezione speciale, 이민 쿼터(decreto flussi)</t>
        </is>
      </c>
      <c r="H80" s="85" t="inlineStr">
        <is>
          <t>Marco, Paolo, Giulia, Karim(가상)</t>
        </is>
      </c>
      <c r="I80" s="101" t="inlineStr">
        <is>
          <t>S2</t>
        </is>
      </c>
      <c r="J80" s="101">
        <f>턴_설계!$B$5</f>
        <v/>
      </c>
    </row>
    <row r="81" ht="29.25" customHeight="1" s="78">
      <c r="A81" s="101" t="n">
        <v>7</v>
      </c>
      <c r="B81" s="101" t="n">
        <v>5</v>
      </c>
      <c r="C81" s="103" t="inlineStr">
        <is>
          <t>전개</t>
        </is>
      </c>
      <c r="D81" s="85" t="inlineStr">
        <is>
          <t>La segnalazione di Francesco</t>
        </is>
      </c>
      <c r="E81" s="85" t="inlineStr">
        <is>
          <t>Francesco의 제보</t>
        </is>
      </c>
      <c r="F81" s="86" t="inlineStr">
        <is>
          <t>전 은행 지점장이 내부 자료를 들고 나온다. 내부고발자 보호법과 신고 채널을 검토한다.</t>
        </is>
      </c>
      <c r="G81" s="86" t="inlineStr">
        <is>
          <t>내부고발자 보호(d.lgs. 24/2023), 내부 신고 채널, ANAC 외부 신고</t>
        </is>
      </c>
      <c r="H81" s="85" t="inlineStr">
        <is>
          <t>Francesco, Marco, Alessandro, Galileo</t>
        </is>
      </c>
      <c r="I81" s="101" t="inlineStr">
        <is>
          <t>P3</t>
        </is>
      </c>
      <c r="J81" s="101">
        <f>턴_설계!$B$5</f>
        <v/>
      </c>
    </row>
    <row r="82" ht="29.25" customHeight="1" s="78">
      <c r="A82" s="101" t="n">
        <v>7</v>
      </c>
      <c r="B82" s="101" t="n">
        <v>6</v>
      </c>
      <c r="C82" s="103" t="inlineStr">
        <is>
          <t>미드포인트</t>
        </is>
      </c>
      <c r="D82" s="85" t="inlineStr">
        <is>
          <t>Il fascicolo</t>
        </is>
      </c>
      <c r="E82" s="86" t="inlineStr">
        <is>
          <t>사건 파일</t>
        </is>
      </c>
      <c r="F82" s="85" t="inlineStr">
        <is>
          <t>Alessandro·Francesco의 자금 경로 + Gramsci의 공개 출처 + Giulia의 사망 사례. Marco가 로마 검찰(Procura della Repubblica)에 고발장(esposto-denuncia)을 쓰고, 피해 주민 단체의 민사 당사자 참여(parte civile)를 준비한다.</t>
        </is>
      </c>
      <c r="G82" s="85" t="inlineStr">
        <is>
          <t>esposto, denuncia, parte civile, Procura, ANAC</t>
        </is>
      </c>
      <c r="H82" s="85" t="inlineStr">
        <is>
          <t>Marco, Alessandro, Francesco, Gramsci, Giulia</t>
        </is>
      </c>
      <c r="I82" s="101" t="inlineStr">
        <is>
          <t>P3</t>
        </is>
      </c>
      <c r="J82" s="101">
        <f>턴_설계!$B$5</f>
        <v/>
      </c>
    </row>
    <row r="83" ht="29.25" customHeight="1" s="78">
      <c r="A83" s="101" t="n">
        <v>7</v>
      </c>
      <c r="B83" s="101" t="n">
        <v>7</v>
      </c>
      <c r="C83" s="103" t="inlineStr">
        <is>
          <t>위기</t>
        </is>
      </c>
      <c r="D83" s="85" t="inlineStr">
        <is>
          <t>Rappresaglie</t>
        </is>
      </c>
      <c r="E83" s="86" t="inlineStr">
        <is>
          <t>보복</t>
        </is>
      </c>
      <c r="F83" s="86" t="inlineStr">
        <is>
          <t>명예훼손 고소(querela per diffamazione)가 Galileo에게, 위생 점검(NAS)이 Rosa의 트라토리아에 날아온다. 익명의 협박이 이어진다.</t>
        </is>
      </c>
      <c r="G83" s="86" t="inlineStr">
        <is>
          <t>명예훼손(형법 제595조), 괴롭히기 소송(querela temeraria·SLAPP), 협박</t>
        </is>
      </c>
      <c r="H83" s="85" t="inlineStr">
        <is>
          <t>Galileo, Rosa, Marco, Garibaldi</t>
        </is>
      </c>
      <c r="I83" s="101" t="inlineStr">
        <is>
          <t>P3</t>
        </is>
      </c>
      <c r="J83" s="101">
        <f>턴_설계!$B$5</f>
        <v/>
      </c>
    </row>
    <row r="84" ht="29.25" customHeight="1" s="78">
      <c r="A84" s="101" t="n">
        <v>7</v>
      </c>
      <c r="B84" s="101" t="n">
        <v>8</v>
      </c>
      <c r="C84" s="103" t="inlineStr">
        <is>
          <t>위기</t>
        </is>
      </c>
      <c r="D84" s="85" t="inlineStr">
        <is>
          <t>Il microfono nella lampada</t>
        </is>
      </c>
      <c r="E84" s="86" t="inlineStr">
        <is>
          <t>전등 속 마이크</t>
        </is>
      </c>
      <c r="F84" s="85" t="inlineStr">
        <is>
          <t>Gramsci가 도청기를 찾아낸다 — 평생 정치경찰에게 감시당했던 사람의 감각이다. 되쏘자는 Gramsci와 합법 경로만 쓰자는 Marco가 충돌한다.</t>
        </is>
      </c>
      <c r="G84" s="86" t="inlineStr">
        <is>
          <t>사용할 수 없는 증거(prove inutilizzabili, 형사소송법 제191조), 통신의 비밀(헌법 제15조)</t>
        </is>
      </c>
      <c r="H84" s="85" t="inlineStr">
        <is>
          <t>Gramsci, Marco, Garibaldi, Montessori</t>
        </is>
      </c>
      <c r="I84" s="101" t="inlineStr">
        <is>
          <t>P3</t>
        </is>
      </c>
      <c r="J84" s="101">
        <f>턴_설계!$B$5</f>
        <v/>
      </c>
    </row>
    <row r="85" ht="29.25" customHeight="1" s="78">
      <c r="A85" s="101" t="n">
        <v>7</v>
      </c>
      <c r="B85" s="101" t="n">
        <v>9</v>
      </c>
      <c r="C85" s="103" t="inlineStr">
        <is>
          <t>위기</t>
        </is>
      </c>
      <c r="D85" s="85" t="inlineStr">
        <is>
          <t>La guardia del quartiere</t>
        </is>
      </c>
      <c r="E85" s="86" t="inlineStr">
        <is>
          <t>동네의 보초</t>
        </is>
      </c>
      <c r="F85" s="86" t="inlineStr">
        <is>
          <t>사무소 앞에 이웃들이 교대로 서서 지킨다. Paolo가 조직하고 Dante가 벽에 문구를 쓴다.</t>
        </is>
      </c>
      <c r="G85" s="86" t="inlineStr">
        <is>
          <t>연대·조직 표현</t>
        </is>
      </c>
      <c r="H85" s="85" t="inlineStr">
        <is>
          <t>Paolo, Dante, Rosa, Garibaldi</t>
        </is>
      </c>
      <c r="I85" s="101" t="n"/>
      <c r="J85" s="101">
        <f>턴_설계!$B$5</f>
        <v/>
      </c>
    </row>
    <row r="86" ht="29.25" customHeight="1" s="78">
      <c r="A86" s="101" t="n">
        <v>7</v>
      </c>
      <c r="B86" s="101" t="n">
        <v>10</v>
      </c>
      <c r="C86" s="103" t="inlineStr">
        <is>
          <t>절정</t>
        </is>
      </c>
      <c r="D86" s="85" t="inlineStr">
        <is>
          <t>Il decreto del GIP</t>
        </is>
      </c>
      <c r="E86" s="86" t="inlineStr">
        <is>
          <t>예비수사판사의 결정</t>
        </is>
      </c>
      <c r="F86" s="86" t="inlineStr">
        <is>
          <t>로마의 예비수사판사(GIP)가 압수수색과 수사 연장을 승인하고, 검찰이 GM 임원 세 명에게 피의자 통지(avviso di garanzia)를 보낸다. 사무실이 환호한다.</t>
        </is>
      </c>
      <c r="G86" s="104" t="inlineStr">
        <is>
          <t>GIP, avviso di garanzia, interrogatorio</t>
        </is>
      </c>
      <c r="H86" s="85" t="inlineStr">
        <is>
          <t>Marco, Alessandro, Galileo, Francesco</t>
        </is>
      </c>
      <c r="I86" s="101" t="inlineStr">
        <is>
          <t>P3</t>
        </is>
      </c>
      <c r="J86" s="101">
        <f>턴_설계!$B$5</f>
        <v/>
      </c>
    </row>
    <row r="87" ht="29.25" customHeight="1" s="78">
      <c r="A87" s="101" t="n">
        <v>7</v>
      </c>
      <c r="B87" s="101" t="n">
        <v>11</v>
      </c>
      <c r="C87" s="103" t="inlineStr">
        <is>
          <t>절정</t>
        </is>
      </c>
      <c r="D87" s="85" t="inlineStr">
        <is>
          <t>La legge che viene</t>
        </is>
      </c>
      <c r="E87" s="86" t="inlineStr">
        <is>
          <t>다가오는 법</t>
        </is>
      </c>
      <c r="F87" s="85" t="inlineStr">
        <is>
          <t>GM과 가까운 의원들이 공직자 범죄를 축소하고 도청을 제한하는 법안을 낸다. 통과되면 임원들의 혐의 일부가 소급해 사라진다(형법 제2조 2항). Cesare: «Le sentenze si vincono; le leggi si scrivono.»</t>
        </is>
      </c>
      <c r="G87" s="86" t="inlineStr">
        <is>
          <t>입법 발의, 범죄 폐지의 소급(abolitio criminis)</t>
        </is>
      </c>
      <c r="H87" s="85" t="inlineStr">
        <is>
          <t>Cesare, Marco, Chiara, Paolo, Machiavelli</t>
        </is>
      </c>
      <c r="I87" s="101" t="inlineStr">
        <is>
          <t>P1·P3</t>
        </is>
      </c>
      <c r="J87" s="101">
        <f>턴_설계!$B$5</f>
        <v/>
      </c>
    </row>
    <row r="88" ht="29.25" customHeight="1" s="78">
      <c r="A88" s="101" t="n">
        <v>7</v>
      </c>
      <c r="B88" s="101" t="n">
        <v>12</v>
      </c>
      <c r="C88" s="103" t="inlineStr">
        <is>
          <t>결말·훅</t>
        </is>
      </c>
      <c r="D88" s="85" t="inlineStr">
        <is>
          <t>Una sedia a San Giovanni</t>
        </is>
      </c>
      <c r="E88" s="86" t="inlineStr">
        <is>
          <t>산 조반니의 의자</t>
        </is>
      </c>
      <c r="F88" s="85" t="inlineStr">
        <is>
          <t>Paolo가 Piazza San Giovanni에서 모이자고 제안한다. Rosa가 식탁의 의자를 든다. Marco가 «Dobbiamo cambiare la legge.»</t>
        </is>
      </c>
      <c r="G88" s="86" t="inlineStr">
        <is>
          <t>결단, 제안</t>
        </is>
      </c>
      <c r="H88" s="86" t="inlineStr">
        <is>
          <t>전원</t>
        </is>
      </c>
      <c r="I88" s="101" t="inlineStr">
        <is>
          <t>P1</t>
        </is>
      </c>
      <c r="J88" s="101">
        <f>턴_설계!$B$5</f>
        <v/>
      </c>
    </row>
    <row r="89" ht="29.25" customHeight="1" s="78">
      <c r="A89" s="101" t="n">
        <v>8</v>
      </c>
      <c r="B89" s="101" t="n">
        <v>1</v>
      </c>
      <c r="C89" s="103" t="inlineStr">
        <is>
          <t>발단</t>
        </is>
      </c>
      <c r="D89" s="85" t="inlineStr">
        <is>
          <t>La piazza di San Giovanni</t>
        </is>
      </c>
      <c r="E89" s="86" t="inlineStr">
        <is>
          <t>산 조반니 광장의 집회</t>
        </is>
      </c>
      <c r="F89" s="86" t="inlineStr">
        <is>
          <t>사무소를 거쳐 간 의뢰인 수백 명이 광장에 모인다. Paolo와 Garibaldi가 조직하고, 집회 신고를 두고 Marco와 Garibaldi가 실랑이한다(«천 명을 이끌고 시칠리아에 상륙할 때 신고 같은 건 안 했소!»).</t>
        </is>
      </c>
      <c r="G89" s="86" t="inlineStr">
        <is>
          <t>공공장소 집회는 3일 전 경찰청장(Questore)에게 사전 통지(헌법 제17조, TULPS 제18조)</t>
        </is>
      </c>
      <c r="H89" s="85" t="inlineStr">
        <is>
          <t>Paolo, Garibaldi, Marco</t>
        </is>
      </c>
      <c r="I89" s="101" t="inlineStr">
        <is>
          <t>E1·S2</t>
        </is>
      </c>
      <c r="J89" s="101">
        <f>턴_설계!$B$5</f>
        <v/>
      </c>
    </row>
    <row r="90" ht="29.25" customHeight="1" s="78">
      <c r="A90" s="101" t="n">
        <v>8</v>
      </c>
      <c r="B90" s="101" t="n">
        <v>2</v>
      </c>
      <c r="C90" s="103" t="inlineStr">
        <is>
          <t>발단</t>
        </is>
      </c>
      <c r="D90" s="85" t="inlineStr">
        <is>
          <t>Dal caso alla legge</t>
        </is>
      </c>
      <c r="E90" s="86" t="inlineStr">
        <is>
          <t>사건에서 법으로</t>
        </is>
      </c>
      <c r="F90" s="85" t="inlineStr">
        <is>
          <t>Marco가 수십 건의 사건에서 같은 조항이 반복되는 것을 짚는다. 법을 바꿔야 한다. Machiavelli가 '가장 빠른 길과 가장 오래가는 길'을 구분한다.</t>
        </is>
      </c>
      <c r="G90" s="86" t="inlineStr">
        <is>
          <t>법을 바꾸는 길: 정부 법안(disegno di legge), 의원 발의(proposta di legge), 국민 발의(5만 서명), 폐지 국민투표(50만 서명)</t>
        </is>
      </c>
      <c r="H90" s="85" t="inlineStr">
        <is>
          <t>Marco, Sofia, Machiavelli</t>
        </is>
      </c>
      <c r="I90" s="101" t="n"/>
      <c r="J90" s="101">
        <f>턴_설계!$B$5</f>
        <v/>
      </c>
    </row>
    <row r="91" ht="16.5" customHeight="1" s="78">
      <c r="A91" s="101" t="n">
        <v>8</v>
      </c>
      <c r="B91" s="101" t="n">
        <v>3</v>
      </c>
      <c r="C91" s="103" t="inlineStr">
        <is>
          <t>발단</t>
        </is>
      </c>
      <c r="D91" s="85" t="inlineStr">
        <is>
          <t>Cinquecentomila firme</t>
        </is>
      </c>
      <c r="E91" s="85" t="inlineStr">
        <is>
          <t>50만 서명</t>
        </is>
      </c>
      <c r="F91" s="85" t="inlineStr">
        <is>
          <t>7부의 '공직자 범죄 축소법'을 없애는 폐지 국민투표 서명 운동. Rosa의 트라토리아가 서명 접수처가 되고 온라인 서명도 받는다.</t>
        </is>
      </c>
      <c r="G91" s="86" t="inlineStr">
        <is>
          <t>폐지 국민투표 50만 서명(헌법 제75조, legge 352/1970), 전자 서명 플랫폼</t>
        </is>
      </c>
      <c r="H91" s="85" t="inlineStr">
        <is>
          <t>Rosa, Paolo, Sofia</t>
        </is>
      </c>
      <c r="I91" s="101" t="inlineStr">
        <is>
          <t>P3·S1</t>
        </is>
      </c>
      <c r="J91" s="101">
        <f>턴_설계!$B$5</f>
        <v/>
      </c>
    </row>
    <row r="92" ht="29.25" customHeight="1" s="78">
      <c r="A92" s="101" t="n">
        <v>8</v>
      </c>
      <c r="B92" s="101" t="n">
        <v>4</v>
      </c>
      <c r="C92" s="103" t="inlineStr">
        <is>
          <t>전환점</t>
        </is>
      </c>
      <c r="D92" s="85" t="inlineStr">
        <is>
          <t>Il quorum</t>
        </is>
      </c>
      <c r="E92" s="86" t="inlineStr">
        <is>
          <t>정족수</t>
        </is>
      </c>
      <c r="F92" s="86" t="inlineStr">
        <is>
          <t>헌법재판소가 국민투표를 허용하지만, 투표율이 유권자 과반에 못 미쳐 무효가 된다. 개표 방송 앞의 시민들.</t>
        </is>
      </c>
      <c r="G92" s="86" t="inlineStr">
        <is>
          <t>폐지 국민투표는 유권자 과반 투표 시에만 유효(헌법 제75조), 헌법재판소 허용 심사(ammissibilità)</t>
        </is>
      </c>
      <c r="H92" s="85" t="inlineStr">
        <is>
          <t>Marco, Galileo, Machiavelli</t>
        </is>
      </c>
      <c r="I92" s="101" t="n"/>
      <c r="J92" s="101">
        <f>턴_설계!$B$5</f>
        <v/>
      </c>
    </row>
    <row r="93" ht="29.25" customHeight="1" s="78">
      <c r="A93" s="101" t="n">
        <v>8</v>
      </c>
      <c r="B93" s="101" t="n">
        <v>5</v>
      </c>
      <c r="C93" s="103" t="inlineStr">
        <is>
          <t>미드포인트</t>
        </is>
      </c>
      <c r="D93" s="85" t="inlineStr">
        <is>
          <t>Nasce un partito</t>
        </is>
      </c>
      <c r="E93" s="86" t="inlineStr">
        <is>
          <t>정당의 탄생</t>
        </is>
      </c>
      <c r="F93" s="86" t="inlineStr">
        <is>
          <t>이름을 정한다: «Casa Comune» — Rosa의 식탁에서 나온 이름. 공증인 앞에서 설립 문서와 정관에 서명한다.</t>
        </is>
      </c>
      <c r="G93" s="86" t="inlineStr">
        <is>
          <t>정당은 법인격 없는 사단(헌법 제49조, 민법 제36조), 국가 정당 등록부 등록(d.l. 149/2013)</t>
        </is>
      </c>
      <c r="H93" s="85" t="inlineStr">
        <is>
          <t>Rosa, Dante, Marco</t>
        </is>
      </c>
      <c r="I93" s="101" t="n"/>
      <c r="J93" s="101">
        <f>턴_설계!$B$5</f>
        <v/>
      </c>
    </row>
    <row r="94" ht="29.25" customHeight="1" s="78">
      <c r="A94" s="101" t="n">
        <v>8</v>
      </c>
      <c r="B94" s="101" t="n">
        <v>6</v>
      </c>
      <c r="C94" s="103" t="inlineStr">
        <is>
          <t>위기</t>
        </is>
      </c>
      <c r="D94" s="85" t="inlineStr">
        <is>
          <t>Lo statuto</t>
        </is>
      </c>
      <c r="E94" s="86" t="inlineStr">
        <is>
          <t>정관</t>
        </is>
      </c>
      <c r="F94" s="86" t="inlineStr">
        <is>
          <t>당원 자격, 윤리 강령, 후보 경선 방식을 둘러싼 토론. Chiara의 조직도 vs Paolo의 총회.</t>
        </is>
      </c>
      <c r="G94" s="86" t="inlineStr">
        <is>
          <t>등록 정당 정관의 민주적 절차 요건(d.l. 149/2013 제3조), 헌법 제49조 '민주적 방법'</t>
        </is>
      </c>
      <c r="H94" s="85" t="inlineStr">
        <is>
          <t>Chiara, Paolo, Machiavelli</t>
        </is>
      </c>
      <c r="I94" s="101" t="inlineStr">
        <is>
          <t>P1</t>
        </is>
      </c>
      <c r="J94" s="101">
        <f>턴_설계!$B$5</f>
        <v/>
      </c>
    </row>
    <row r="95" ht="29.25" customHeight="1" s="78">
      <c r="A95" s="101" t="n">
        <v>8</v>
      </c>
      <c r="B95" s="101" t="n">
        <v>7</v>
      </c>
      <c r="C95" s="103" t="inlineStr">
        <is>
          <t>위기</t>
        </is>
      </c>
      <c r="D95" s="85" t="inlineStr">
        <is>
          <t>Il denaro pulito</t>
        </is>
      </c>
      <c r="E95" s="86" t="inlineStr">
        <is>
          <t>깨끗한 돈</t>
        </is>
      </c>
      <c r="F95" s="86" t="inlineStr">
        <is>
          <t>소액 후원 원칙과 회계 공개. 은행이 계좌 개설을 미룬다. Francesco의 노하우.</t>
        </is>
      </c>
      <c r="G95" s="86" t="inlineStr">
        <is>
          <t>정치 후원 공개 의무(legge 3/2019), 2x1000 기부, 정당 회계 감독위원회(Commissione di garanzia)</t>
        </is>
      </c>
      <c r="H95" s="85" t="inlineStr">
        <is>
          <t>Alessandro, Francesco</t>
        </is>
      </c>
      <c r="I95" s="101" t="n"/>
      <c r="J95" s="101">
        <f>턴_설계!$B$5</f>
        <v/>
      </c>
    </row>
    <row r="96" ht="29.25" customHeight="1" s="78">
      <c r="A96" s="101" t="n">
        <v>8</v>
      </c>
      <c r="B96" s="101" t="n">
        <v>8</v>
      </c>
      <c r="C96" s="103" t="inlineStr">
        <is>
          <t>위기</t>
        </is>
      </c>
      <c r="D96" s="85" t="inlineStr">
        <is>
          <t>Le candidature</t>
        </is>
      </c>
      <c r="E96" s="86" t="inlineStr">
        <is>
          <t>후보 명부</t>
        </is>
      </c>
      <c r="F96" s="85" t="inlineStr">
        <is>
          <t>Alessandro는 로마 시장 후보, Giulia는 라치오 주의회 명부 1번. 명부 순서를 둘러싼 갈등.</t>
        </is>
      </c>
      <c r="G96" s="86" t="inlineStr">
        <is>
          <t>성별 균형(명부 내 한 성별 2/3 초과 금지·선호투표 성별 교차), 명부 제출 서명</t>
        </is>
      </c>
      <c r="H96" s="85" t="inlineStr">
        <is>
          <t>Alessandro, Giulia, Sofia</t>
        </is>
      </c>
      <c r="I96" s="101" t="inlineStr">
        <is>
          <t>N4·S1</t>
        </is>
      </c>
      <c r="J96" s="101">
        <f>턴_설계!$B$5</f>
        <v/>
      </c>
    </row>
    <row r="97" ht="29.25" customHeight="1" s="78">
      <c r="A97" s="101" t="n">
        <v>8</v>
      </c>
      <c r="B97" s="101" t="n">
        <v>9</v>
      </c>
      <c r="C97" s="103" t="inlineStr">
        <is>
          <t>위기</t>
        </is>
      </c>
      <c r="D97" s="85" t="inlineStr">
        <is>
          <t>La campagna nei quartieri</t>
        </is>
      </c>
      <c r="E97" s="86" t="inlineStr">
        <is>
          <t>골목길 캠페인</t>
        </is>
      </c>
      <c r="F97" s="85" t="inlineStr">
        <is>
          <t>Rosa의 트라토리아에서 시작해 Quarticciolo·Tor Bella Monaca 골목을 도는 유세. Dante의 첫 연설 문구.</t>
        </is>
      </c>
      <c r="G97" s="86" t="inlineStr">
        <is>
          <t>선거운동 규칙, 방송 균등 노출(par condicio, legge 28/2000), AGCOM 감독</t>
        </is>
      </c>
      <c r="H97" s="85" t="inlineStr">
        <is>
          <t>Dante, Rosa, Garibaldi</t>
        </is>
      </c>
      <c r="I97" s="101" t="inlineStr">
        <is>
          <t>E1·E2·S2</t>
        </is>
      </c>
      <c r="J97" s="101">
        <f>턴_설계!$B$5</f>
        <v/>
      </c>
    </row>
    <row r="98" ht="16.5" customHeight="1" s="78">
      <c r="A98" s="101" t="n">
        <v>8</v>
      </c>
      <c r="B98" s="101" t="n">
        <v>10</v>
      </c>
      <c r="C98" s="103" t="inlineStr">
        <is>
          <t>절정</t>
        </is>
      </c>
      <c r="D98" s="85" t="inlineStr">
        <is>
          <t>L'attacco della stampa</t>
        </is>
      </c>
      <c r="E98" s="86" t="inlineStr">
        <is>
          <t>언론의 공격</t>
        </is>
      </c>
      <c r="F98" s="86" t="inlineStr">
        <is>
          <t>왜곡 기사가 나온다. Galileo가 반박하고 정정을 청구한다.</t>
        </is>
      </c>
      <c r="G98" s="86" t="inlineStr">
        <is>
          <t>정정권(legge 47/1948 제8조), AGCOM 제소</t>
        </is>
      </c>
      <c r="H98" s="85" t="inlineStr">
        <is>
          <t>Galileo, Marco</t>
        </is>
      </c>
      <c r="I98" s="101" t="n"/>
      <c r="J98" s="101">
        <f>턴_설계!$B$5</f>
        <v/>
      </c>
    </row>
    <row r="99" ht="29.25" customHeight="1" s="78">
      <c r="A99" s="101" t="n">
        <v>8</v>
      </c>
      <c r="B99" s="101" t="n">
        <v>11</v>
      </c>
      <c r="C99" s="103" t="inlineStr">
        <is>
          <t>절정</t>
        </is>
      </c>
      <c r="D99" s="85" t="inlineStr">
        <is>
          <t>Il silenzio elettorale</t>
        </is>
      </c>
      <c r="E99" s="86" t="inlineStr">
        <is>
          <t>선거 침묵</t>
        </is>
      </c>
      <c r="F99" s="86" t="inlineStr">
        <is>
          <t>선거 전날, 마지막 유세의 유혹을 접고 정적. Montessori의 되받기가 처음으로 위로가 된다.</t>
        </is>
      </c>
      <c r="G99" s="86" t="inlineStr">
        <is>
          <t>선거 전날·당일 선거운동 금지(legge 212/1956), 마지막 15일 여론조사 공표 금지(legge 28/2000)</t>
        </is>
      </c>
      <c r="H99" s="85" t="inlineStr">
        <is>
          <t>Montessori, Chiara</t>
        </is>
      </c>
      <c r="I99" s="101" t="n"/>
      <c r="J99" s="101">
        <f>턴_설계!$B$5</f>
        <v/>
      </c>
    </row>
    <row r="100" ht="29.25" customHeight="1" s="78">
      <c r="A100" s="101" t="n">
        <v>8</v>
      </c>
      <c r="B100" s="101" t="n">
        <v>12</v>
      </c>
      <c r="C100" s="103" t="inlineStr">
        <is>
          <t>결말·훅</t>
        </is>
      </c>
      <c r="D100" s="85" t="inlineStr">
        <is>
          <t>La notte dello spoglio</t>
        </is>
      </c>
      <c r="E100" s="86" t="inlineStr">
        <is>
          <t>개표의 밤</t>
        </is>
      </c>
      <c r="F100" s="104" t="inlineStr">
        <is>
          <t>Assemblea Capitolina 48석 중 5석, 라치오 주의회 진출 (가상 수치). 시장 후보 Alessandro는 3위로 결선에 오르지 못한다.</t>
        </is>
      </c>
      <c r="G100" s="86" t="inlineStr">
        <is>
          <t>시장 직선·결선투표(ballottaggio), 시장 연합 과반 보너스, 명부 문턱 3%</t>
        </is>
      </c>
      <c r="H100" s="86" t="inlineStr">
        <is>
          <t>전원</t>
        </is>
      </c>
      <c r="I100" s="101" t="n"/>
      <c r="J100" s="101">
        <f>턴_설계!$B$5</f>
        <v/>
      </c>
    </row>
    <row r="101" ht="29.25" customHeight="1" s="78">
      <c r="A101" s="101" t="n">
        <v>9</v>
      </c>
      <c r="B101" s="101" t="n">
        <v>1</v>
      </c>
      <c r="C101" s="103" t="inlineStr">
        <is>
          <t>발단</t>
        </is>
      </c>
      <c r="D101" s="85" t="inlineStr">
        <is>
          <t>L'insediamento</t>
        </is>
      </c>
      <c r="E101" s="86" t="inlineStr">
        <is>
          <t>시의회 개원</t>
        </is>
      </c>
      <c r="F101" s="85" t="inlineStr">
        <is>
          <t>2주 뒤 결선투표에서 다른 당 후보가 시장이 된다. 낙선한 시장 후보 Alessandro는 규정에 따라 시의원이 되어 첫 회의에서 자리에 앉는다.</t>
        </is>
      </c>
      <c r="G101" s="86" t="inlineStr">
        <is>
          <t>시장 직선·결선(TUEL 제72조), 낙선 시장 후보의 의석(TUEL 제73조, 확인)</t>
        </is>
      </c>
      <c r="H101" s="85" t="inlineStr">
        <is>
          <t>Alessandro, Marco</t>
        </is>
      </c>
      <c r="I101" s="101" t="n"/>
      <c r="J101" s="101">
        <f>턴_설계!$B$5</f>
        <v/>
      </c>
    </row>
    <row r="102" ht="29.25" customHeight="1" s="78">
      <c r="A102" s="101" t="n">
        <v>9</v>
      </c>
      <c r="B102" s="101" t="n">
        <v>2</v>
      </c>
      <c r="C102" s="103" t="inlineStr">
        <is>
          <t>발단</t>
        </is>
      </c>
      <c r="D102" s="85" t="inlineStr">
        <is>
          <t>La prima seduta</t>
        </is>
      </c>
      <c r="E102" s="86" t="inlineStr">
        <is>
          <t>첫 본회의</t>
        </is>
      </c>
      <c r="F102" s="86" t="inlineStr">
        <is>
          <t>발언 시간, 질의·동의안 절차를 배우는 신참 의원들. Sofia의 질문 연발.</t>
        </is>
      </c>
      <c r="G102" s="86" t="inlineStr">
        <is>
          <t>회의 운영: mozione, interrogazione, ordine del giorno</t>
        </is>
      </c>
      <c r="H102" s="85" t="inlineStr">
        <is>
          <t>Alessandro, Sofia</t>
        </is>
      </c>
      <c r="I102" s="101" t="n"/>
      <c r="J102" s="101">
        <f>턴_설계!$B$5</f>
        <v/>
      </c>
    </row>
    <row r="103" ht="29.25" customHeight="1" s="78">
      <c r="A103" s="101" t="n">
        <v>9</v>
      </c>
      <c r="B103" s="101" t="n">
        <v>3</v>
      </c>
      <c r="C103" s="103" t="inlineStr">
        <is>
          <t>발단</t>
        </is>
      </c>
      <c r="D103" s="85" t="inlineStr">
        <is>
          <t>La revisione dei conti della città</t>
        </is>
      </c>
      <c r="E103" s="86" t="inlineStr">
        <is>
          <t>도시 예산 감사</t>
        </is>
      </c>
      <c r="F103" s="85" t="inlineStr">
        <is>
          <t>Alessandro가 시 예산과 결산(rendiconto)을 파고들고 Francesco가 계좌 흐름을 그린다.</t>
        </is>
      </c>
      <c r="G103" s="86" t="inlineStr">
        <is>
          <t>결산(rendiconto), 회계감사단(Collegio dei revisori), 감사원(Corte dei conti)</t>
        </is>
      </c>
      <c r="H103" s="85" t="inlineStr">
        <is>
          <t>Alessandro, Francesco</t>
        </is>
      </c>
      <c r="I103" s="101" t="n"/>
      <c r="J103" s="101">
        <f>턴_설계!$B$5</f>
        <v/>
      </c>
    </row>
    <row r="104" ht="29.25" customHeight="1" s="78">
      <c r="A104" s="101" t="n">
        <v>9</v>
      </c>
      <c r="B104" s="101" t="n">
        <v>4</v>
      </c>
      <c r="C104" s="103" t="inlineStr">
        <is>
          <t>전개</t>
        </is>
      </c>
      <c r="D104" s="85" t="inlineStr">
        <is>
          <t>Contratti sotto la lente</t>
        </is>
      </c>
      <c r="E104" s="86" t="inlineStr">
        <is>
          <t>돋보기 아래의 계약들</t>
        </is>
      </c>
      <c r="F104" s="86" t="inlineStr">
        <is>
          <t>시 산하 기업과 공공주택 기관의 쪼개기 발주, 그리고 PNRR 사업이 소수 업체로 흘러간 정황. 행정 병목 때문에 일부는 집행조차 못 했다.</t>
        </is>
      </c>
      <c r="G104" s="86" t="inlineStr">
        <is>
          <t>공공계약법(d.lgs. 36/2023), 인위적 분할 발주(frazionamento), PNRR</t>
        </is>
      </c>
      <c r="H104" s="85" t="inlineStr">
        <is>
          <t>Alessandro, Gramsci, Francesco</t>
        </is>
      </c>
      <c r="I104" s="101" t="inlineStr">
        <is>
          <t>N2</t>
        </is>
      </c>
      <c r="J104" s="101">
        <f>턴_설계!$B$5</f>
        <v/>
      </c>
    </row>
    <row r="105" ht="29.25" customHeight="1" s="78">
      <c r="A105" s="101" t="n">
        <v>9</v>
      </c>
      <c r="B105" s="101" t="n">
        <v>5</v>
      </c>
      <c r="C105" s="103" t="inlineStr">
        <is>
          <t>전개</t>
        </is>
      </c>
      <c r="D105" s="85" t="inlineStr">
        <is>
          <t>L'alleanza scomoda</t>
        </is>
      </c>
      <c r="E105" s="86" t="inlineStr">
        <is>
          <t>불편한 동맹</t>
        </is>
      </c>
      <c r="F105" s="86" t="inlineStr">
        <is>
          <t>예산 통과를 위해 거대 정당 중 한 곳과 표를 맞바꿔야 하는 딜레마. Paolo는 반대하고 Machiavelli는 표를 센다.</t>
        </is>
      </c>
      <c r="G105" s="86" t="inlineStr">
        <is>
          <t>소수 의원단의 캐스팅보트, 예산안 표결</t>
        </is>
      </c>
      <c r="H105" s="85" t="inlineStr">
        <is>
          <t>Chiara, Paolo, Machiavelli</t>
        </is>
      </c>
      <c r="I105" s="101" t="inlineStr">
        <is>
          <t>P1</t>
        </is>
      </c>
      <c r="J105" s="101">
        <f>턴_설계!$B$5</f>
        <v/>
      </c>
    </row>
    <row r="106" ht="42" customHeight="1" s="78">
      <c r="A106" s="101" t="n">
        <v>9</v>
      </c>
      <c r="B106" s="101" t="n">
        <v>6</v>
      </c>
      <c r="C106" s="103" t="inlineStr">
        <is>
          <t>미드포인트</t>
        </is>
      </c>
      <c r="D106" s="85" t="inlineStr">
        <is>
          <t>La trappola del bilancio</t>
        </is>
      </c>
      <c r="E106" s="86" t="inlineStr">
        <is>
          <t>예산의 덫</t>
        </is>
      </c>
      <c r="F106" s="86" t="inlineStr">
        <is>
          <t>예산안 부속 규정에 숨은 임대료 보조 20% 삭감과 단기 관광임대 용도 완화 조항. Sofia의 2차 폭발. Cesare가 선을 넘고 Garibaldi·Rosa가 나무란다.</t>
        </is>
      </c>
      <c r="G106" s="86" t="inlineStr">
        <is>
          <t>시 예산안(bilancio di previsione), 예산 위원회, 도시계획 용도</t>
        </is>
      </c>
      <c r="H106" s="85" t="inlineStr">
        <is>
          <t>Sofia, Alessandro, Cesare, Garibaldi, Rosa, Paolo</t>
        </is>
      </c>
      <c r="I106" s="101" t="inlineStr">
        <is>
          <t>E1</t>
        </is>
      </c>
      <c r="J106" s="101">
        <f>턴_설계!$B$5</f>
        <v/>
      </c>
    </row>
    <row r="107" ht="29.25" customHeight="1" s="78">
      <c r="A107" s="101" t="n">
        <v>9</v>
      </c>
      <c r="B107" s="101" t="n">
        <v>7</v>
      </c>
      <c r="C107" s="103" t="inlineStr">
        <is>
          <t>위기</t>
        </is>
      </c>
      <c r="D107" s="85" t="inlineStr">
        <is>
          <t>La sanità alla Pisana</t>
        </is>
      </c>
      <c r="E107" s="86" t="inlineStr">
        <is>
          <t>주의회에서의 보건</t>
        </is>
      </c>
      <c r="F107" s="86" t="inlineStr">
        <is>
          <t>내륙 마을의 야간 진료소(guardia medica)가 문을 닫고 고령 인구가 늘어난다. Giulia가 라치오 주의회(Via della Pisana) 보건 위원회에서 병원 외주 계약 자료를 요구한다.</t>
        </is>
      </c>
      <c r="G107" s="86" t="inlineStr">
        <is>
          <t>보건은 주가 운영(주 보건서비스·ASL), 헌법 제117조 공동입법</t>
        </is>
      </c>
      <c r="H107" s="85" t="inlineStr">
        <is>
          <t>Giulia, Galileo</t>
        </is>
      </c>
      <c r="I107" s="101" t="inlineStr">
        <is>
          <t>S3</t>
        </is>
      </c>
      <c r="J107" s="101">
        <f>턴_설계!$B$5</f>
        <v/>
      </c>
    </row>
    <row r="108" ht="29.25" customHeight="1" s="78">
      <c r="A108" s="101" t="n">
        <v>9</v>
      </c>
      <c r="B108" s="101" t="n">
        <v>8</v>
      </c>
      <c r="C108" s="103" t="inlineStr">
        <is>
          <t>위기</t>
        </is>
      </c>
      <c r="D108" s="85" t="inlineStr">
        <is>
          <t>Lo scandalo scoperchiato</t>
        </is>
      </c>
      <c r="E108" s="86" t="inlineStr">
        <is>
          <t>파헤쳐진 스캔들</t>
        </is>
      </c>
      <c r="F108" s="86" t="inlineStr">
        <is>
          <t>외주 계약과 시 계약이 한 회사로 이어진다. Gramsci가 출처를 가리키고 Marco는 합법 증거만 쓰자고 고집한다.</t>
        </is>
      </c>
      <c r="G108" s="86" t="inlineStr">
        <is>
          <t>사용할 수 없는 증거(형사소송법 제191조), 내부고발자 보호(d.lgs. 24/2023)</t>
        </is>
      </c>
      <c r="H108" s="85" t="inlineStr">
        <is>
          <t>Gramsci, Marco, Francesco</t>
        </is>
      </c>
      <c r="I108" s="101" t="n"/>
      <c r="J108" s="101">
        <f>턴_설계!$B$5</f>
        <v/>
      </c>
    </row>
    <row r="109" ht="29.25" customHeight="1" s="78">
      <c r="A109" s="101" t="n">
        <v>9</v>
      </c>
      <c r="B109" s="101" t="n">
        <v>9</v>
      </c>
      <c r="C109" s="103" t="inlineStr">
        <is>
          <t>위기</t>
        </is>
      </c>
      <c r="D109" s="85" t="inlineStr">
        <is>
          <t>L'esposto</t>
        </is>
      </c>
      <c r="E109" s="86" t="inlineStr">
        <is>
          <t>고발장</t>
        </is>
      </c>
      <c r="F109" s="86" t="inlineStr">
        <is>
          <t>사무소가 검찰과 감사원(재정 손해)에 고발장을 낸다. 주민 단체는 민사 당사자로 참여를 준비한다.</t>
        </is>
      </c>
      <c r="G109" s="86" t="inlineStr">
        <is>
          <t>검사의 기소 의무(헌법 제112조), 감사원 재정 책임, parte civile</t>
        </is>
      </c>
      <c r="H109" s="85" t="inlineStr">
        <is>
          <t>Marco, Galileo</t>
        </is>
      </c>
      <c r="I109" s="101" t="inlineStr">
        <is>
          <t>P3</t>
        </is>
      </c>
      <c r="J109" s="101">
        <f>턴_설계!$B$5</f>
        <v/>
      </c>
    </row>
    <row r="110" ht="29.25" customHeight="1" s="78">
      <c r="A110" s="101" t="n">
        <v>9</v>
      </c>
      <c r="B110" s="101" t="n">
        <v>10</v>
      </c>
      <c r="C110" s="103" t="inlineStr">
        <is>
          <t>절정</t>
        </is>
      </c>
      <c r="D110" s="85" t="inlineStr">
        <is>
          <t>La risposta del potere</t>
        </is>
      </c>
      <c r="E110" s="86" t="inlineStr">
        <is>
          <t>권력의 반격</t>
        </is>
      </c>
      <c r="F110" s="86" t="inlineStr">
        <is>
          <t>명예훼손 소송과 여론전. Montessori와 Dante가 대응 메시지를 설계한다.</t>
        </is>
      </c>
      <c r="G110" s="86" t="inlineStr">
        <is>
          <t>명예훼손 소송, 정정권</t>
        </is>
      </c>
      <c r="H110" s="85" t="inlineStr">
        <is>
          <t>Dante, Montessori</t>
        </is>
      </c>
      <c r="I110" s="101" t="n"/>
      <c r="J110" s="101">
        <f>턴_설계!$B$5</f>
        <v/>
      </c>
    </row>
    <row r="111" ht="16.5" customHeight="1" s="78">
      <c r="A111" s="101" t="n">
        <v>9</v>
      </c>
      <c r="B111" s="101" t="n">
        <v>11</v>
      </c>
      <c r="C111" s="103" t="inlineStr">
        <is>
          <t>절정</t>
        </is>
      </c>
      <c r="D111" s="85" t="inlineStr">
        <is>
          <t>La lealtà alla prova</t>
        </is>
      </c>
      <c r="E111" s="86" t="inlineStr">
        <is>
          <t>시험대에 오른 의리</t>
        </is>
      </c>
      <c r="F111" s="86" t="inlineStr">
        <is>
          <t>총선에 누가 나설지 당내 경선. 서운함과 화해.</t>
        </is>
      </c>
      <c r="G111" s="86" t="inlineStr">
        <is>
          <t>당내 경선(primarie), 정관</t>
        </is>
      </c>
      <c r="H111" s="85" t="inlineStr">
        <is>
          <t>Chiara, Paolo, Alessandro, Machiavelli</t>
        </is>
      </c>
      <c r="I111" s="101" t="n"/>
      <c r="J111" s="101">
        <f>턴_설계!$B$5</f>
        <v/>
      </c>
    </row>
    <row r="112" ht="29.25" customHeight="1" s="78">
      <c r="A112" s="101" t="n">
        <v>9</v>
      </c>
      <c r="B112" s="101" t="n">
        <v>12</v>
      </c>
      <c r="C112" s="103" t="inlineStr">
        <is>
          <t>결말·훅</t>
        </is>
      </c>
      <c r="D112" s="85" t="inlineStr">
        <is>
          <t>Il salto nazionale</t>
        </is>
      </c>
      <c r="E112" s="86" t="inlineStr">
        <is>
          <t>전국 무대로의 도약</t>
        </is>
      </c>
      <c r="F112" s="86" t="inlineStr">
        <is>
          <t>국가 예산안을 건 신임 투표가 부결되어 정부가 무너지고, 대통령이 의회를 해산한다. Casa Comune는 명부 제출 서명 수집부터 시작한다.</t>
        </is>
      </c>
      <c r="G112" s="86" t="inlineStr">
        <is>
          <t>해산(헌법 제88조), 교섭단체 없는 정당의 명부 제출 서명(legge 165/2017, 확인)</t>
        </is>
      </c>
      <c r="H112" s="85" t="inlineStr">
        <is>
          <t>Marco, Chiara, Garibaldi</t>
        </is>
      </c>
      <c r="I112" s="101" t="n"/>
      <c r="J112" s="101">
        <f>턴_설계!$B$5</f>
        <v/>
      </c>
    </row>
    <row r="113" ht="29.25" customHeight="1" s="78">
      <c r="A113" s="101" t="n">
        <v>10</v>
      </c>
      <c r="B113" s="101" t="n">
        <v>1</v>
      </c>
      <c r="C113" s="103" t="inlineStr">
        <is>
          <t>발단</t>
        </is>
      </c>
      <c r="D113" s="85" t="inlineStr">
        <is>
          <t>Il decreto e le firme</t>
        </is>
      </c>
      <c r="E113" s="86" t="inlineStr">
        <is>
          <t>해산 명령과 서명</t>
        </is>
      </c>
      <c r="F113" s="86" t="inlineStr">
        <is>
          <t>해산 명령과 선거일이 관보(Gazzetta Ufficiale)에 실린다. 해산 후 70일 안에 선거. 로마 선거구 서명을 모은다.</t>
        </is>
      </c>
      <c r="G113" s="86" t="inlineStr">
        <is>
          <t>해산(헌법 제88조), 70일 이내 선거(헌법 제61조), 명부 제출 서명</t>
        </is>
      </c>
      <c r="H113" s="85" t="inlineStr">
        <is>
          <t>Chiara, Garibaldi, Rosa</t>
        </is>
      </c>
      <c r="I113" s="101" t="n"/>
      <c r="J113" s="101">
        <f>턴_설계!$B$5</f>
        <v/>
      </c>
    </row>
    <row r="114" ht="29.25" customHeight="1" s="78">
      <c r="A114" s="101" t="n">
        <v>10</v>
      </c>
      <c r="B114" s="101" t="n">
        <v>2</v>
      </c>
      <c r="C114" s="103" t="inlineStr">
        <is>
          <t>발단</t>
        </is>
      </c>
      <c r="D114" s="85" t="inlineStr">
        <is>
          <t>La campagna</t>
        </is>
      </c>
      <c r="E114" s="86" t="inlineStr">
        <is>
          <t>전국 유세</t>
        </is>
      </c>
      <c r="F114" s="86" t="inlineStr">
        <is>
          <t>전국 순회. Garibaldi의 로지스틱스, Dante의 문구. 사르데냐 내륙의 과소 마을에서 가뭄과 풍력·태양광 단지 찬반을 마주한다.</t>
        </is>
      </c>
      <c r="G114" s="86" t="inlineStr">
        <is>
          <t>공식 캠페인, 방송 균등 노출(par condicio), AGCOM</t>
        </is>
      </c>
      <c r="H114" s="85" t="inlineStr">
        <is>
          <t>Garibaldi, Dante</t>
        </is>
      </c>
      <c r="I114" s="101" t="inlineStr">
        <is>
          <t>N5·S3·S4</t>
        </is>
      </c>
      <c r="J114" s="101">
        <f>턴_설계!$B$5</f>
        <v/>
      </c>
    </row>
    <row r="115" ht="16.5" customHeight="1" s="78">
      <c r="A115" s="101" t="n">
        <v>10</v>
      </c>
      <c r="B115" s="101" t="n">
        <v>3</v>
      </c>
      <c r="C115" s="103" t="inlineStr">
        <is>
          <t>발단</t>
        </is>
      </c>
      <c r="D115" s="85" t="inlineStr">
        <is>
          <t>Il dibattito in TV</t>
        </is>
      </c>
      <c r="E115" s="85" t="inlineStr">
        <is>
          <t>TV 토론</t>
        </is>
      </c>
      <c r="F115" s="85" t="inlineStr">
        <is>
          <t>Marco의 첫 TV 토론. Sofia가 준비한 질문 목록과 Machiavelli의 '상대가 가장 두려워하는 질문'이 승부를 가른다.</t>
        </is>
      </c>
      <c r="G115" s="86" t="inlineStr">
        <is>
          <t>방송사와 후보 진영의 협상으로 규칙 결정</t>
        </is>
      </c>
      <c r="H115" s="85" t="inlineStr">
        <is>
          <t>Marco, Sofia, Montessori, Machiavelli</t>
        </is>
      </c>
      <c r="I115" s="101" t="inlineStr">
        <is>
          <t>N4·S2·N3·P2·S1</t>
        </is>
      </c>
      <c r="J115" s="101">
        <f>턴_설계!$B$5</f>
        <v/>
      </c>
    </row>
    <row r="116" ht="16.5" customHeight="1" s="78">
      <c r="A116" s="101" t="n">
        <v>10</v>
      </c>
      <c r="B116" s="101" t="n">
        <v>4</v>
      </c>
      <c r="C116" s="103" t="inlineStr">
        <is>
          <t>전환점</t>
        </is>
      </c>
      <c r="D116" s="85" t="inlineStr">
        <is>
          <t>La notte elettorale</t>
        </is>
      </c>
      <c r="E116" s="86" t="inlineStr">
        <is>
          <t>총선의 밤 (1차)</t>
        </is>
      </c>
      <c r="F116" s="85" t="inlineStr">
        <is>
          <t>CC 하원 70석 3위, UCN이 1당이지만 과반과는 멀다 (가상 수치).</t>
        </is>
      </c>
      <c r="G116" s="86" t="inlineStr">
        <is>
          <t>하원 400석·상원 200석, 소선거구+비례 혼합(legge 165/2017), 명부 문턱 3%·연합 10%</t>
        </is>
      </c>
      <c r="H116" s="86" t="inlineStr">
        <is>
          <t>전원</t>
        </is>
      </c>
      <c r="I116" s="101" t="n"/>
      <c r="J116" s="101">
        <f>턴_설계!$B$5</f>
        <v/>
      </c>
    </row>
    <row r="117" ht="16.5" customHeight="1" s="78">
      <c r="A117" s="101" t="n">
        <v>10</v>
      </c>
      <c r="B117" s="101" t="n">
        <v>5</v>
      </c>
      <c r="C117" s="103" t="inlineStr">
        <is>
          <t>전개</t>
        </is>
      </c>
      <c r="D117" s="85" t="inlineStr">
        <is>
          <t>La prima seduta delle Camere</t>
        </is>
      </c>
      <c r="E117" s="86" t="inlineStr">
        <is>
          <t>개원</t>
        </is>
      </c>
      <c r="F117" s="86" t="inlineStr">
        <is>
          <t>하원의장 선출, CC 교섭단체 구성. 초선 의원들의 첫 좌석.</t>
        </is>
      </c>
      <c r="G117" s="86" t="inlineStr">
        <is>
          <t>개원, 의장단(Ufficio di Presidenza), 교섭단체(gruppo parlamentare) 요건</t>
        </is>
      </c>
      <c r="H117" s="85" t="inlineStr">
        <is>
          <t>Marco, Alessandro</t>
        </is>
      </c>
      <c r="I117" s="101" t="n"/>
      <c r="J117" s="101">
        <f>턴_설계!$B$5</f>
        <v/>
      </c>
    </row>
    <row r="118" ht="29.25" customHeight="1" s="78">
      <c r="A118" s="101" t="n">
        <v>10</v>
      </c>
      <c r="B118" s="101" t="n">
        <v>6</v>
      </c>
      <c r="C118" s="103" t="inlineStr">
        <is>
          <t>전개</t>
        </is>
      </c>
      <c r="D118" s="85" t="inlineStr">
        <is>
          <t>Le consultazioni</t>
        </is>
      </c>
      <c r="E118" s="86" t="inlineStr">
        <is>
          <t>대통령 협의</t>
        </is>
      </c>
      <c r="F118" s="85" t="inlineStr">
        <is>
          <t>Quirinale에서 대통령이 각 정당 대표와 면담한다. 옛 교황의 궁에 들어선 Garibaldi가 정장을 입고 어색해한다.</t>
        </is>
      </c>
      <c r="G118" s="86" t="inlineStr">
        <is>
          <t>대통령이 협의 후 총리 후보에게 조각 위임(incarico, 헌법 제92조)</t>
        </is>
      </c>
      <c r="H118" s="85" t="inlineStr">
        <is>
          <t>Marco, Cesare, Garibaldi</t>
        </is>
      </c>
      <c r="I118" s="101" t="n"/>
      <c r="J118" s="101">
        <f>턴_설계!$B$5</f>
        <v/>
      </c>
    </row>
    <row r="119" ht="16.5" customHeight="1" s="78">
      <c r="A119" s="101" t="n">
        <v>10</v>
      </c>
      <c r="B119" s="101" t="n">
        <v>7</v>
      </c>
      <c r="C119" s="103" t="inlineStr">
        <is>
          <t>미드포인트</t>
        </is>
      </c>
      <c r="D119" s="85" t="inlineStr">
        <is>
          <t>La prima fiducia</t>
        </is>
      </c>
      <c r="E119" s="86" t="inlineStr">
        <is>
          <t>첫 신임 투표</t>
        </is>
      </c>
      <c r="F119" s="85" t="inlineStr">
        <is>
          <t>UCN 지도자가 조각 위임을 받아 선서까지 하지만, 하원 신임 투표에서 부결된다. Cesare의 해설.</t>
        </is>
      </c>
      <c r="G119" s="86" t="inlineStr">
        <is>
          <t>정부는 선서 후 10일 안에 양원 신임 필요(헌법 제94조), 신임은 찬성이 반대보다 많아야 함</t>
        </is>
      </c>
      <c r="H119" s="85" t="inlineStr">
        <is>
          <t>Cesare, Marco, Machiavelli</t>
        </is>
      </c>
      <c r="I119" s="101" t="n"/>
      <c r="J119" s="101">
        <f>턴_설계!$B$5</f>
        <v/>
      </c>
    </row>
    <row r="120" ht="29.25" customHeight="1" s="78">
      <c r="A120" s="101" t="n">
        <v>10</v>
      </c>
      <c r="B120" s="101" t="n">
        <v>8</v>
      </c>
      <c r="C120" s="103" t="inlineStr">
        <is>
          <t>위기</t>
        </is>
      </c>
      <c r="D120" s="85" t="inlineStr">
        <is>
          <t>Il mandato esplorativo</t>
        </is>
      </c>
      <c r="E120" s="86" t="inlineStr">
        <is>
          <t>탐색 위임</t>
        </is>
      </c>
      <c r="F120" s="86" t="inlineStr">
        <is>
          <t>대통령이 상원의장에게 탐색 위임을 주지만 다수파가 나오지 않는다. 시간만 흐르고 Casa Comune 내부의 원칙 논쟁.</t>
        </is>
      </c>
      <c r="G120" s="86" t="inlineStr">
        <is>
          <t>탐색 위임(mandato esplorativo, 헌정 관행), 사퇴한 정부의 일상 업무 처리(affari correnti)</t>
        </is>
      </c>
      <c r="H120" s="85" t="inlineStr">
        <is>
          <t>Marco, Paolo, Chiara, Machiavelli</t>
        </is>
      </c>
      <c r="I120" s="101" t="inlineStr">
        <is>
          <t>P1</t>
        </is>
      </c>
      <c r="J120" s="101">
        <f>턴_설계!$B$5</f>
        <v/>
      </c>
    </row>
    <row r="121" ht="16.5" customHeight="1" s="78">
      <c r="A121" s="101" t="n">
        <v>10</v>
      </c>
      <c r="B121" s="101" t="n">
        <v>9</v>
      </c>
      <c r="C121" s="103" t="inlineStr">
        <is>
          <t>위기</t>
        </is>
      </c>
      <c r="D121" s="85" t="inlineStr">
        <is>
          <t>Di nuovo alle urne</t>
        </is>
      </c>
      <c r="E121" s="86" t="inlineStr">
        <is>
          <t>다시 투표소로</t>
        </is>
      </c>
      <c r="F121" s="86" t="inlineStr">
        <is>
          <t>대통령이 다시 해산한다. 지친 유권자, 짧아진 준비. Rosa의 위로.</t>
        </is>
      </c>
      <c r="G121" s="86" t="inlineStr">
        <is>
          <t>해산은 양원 의장 의견 청취 후(헌법 제88조), 70일 이내 선거</t>
        </is>
      </c>
      <c r="H121" s="85" t="inlineStr">
        <is>
          <t>Rosa, Chiara</t>
        </is>
      </c>
      <c r="I121" s="101" t="n"/>
      <c r="J121" s="101">
        <f>턴_설계!$B$5</f>
        <v/>
      </c>
    </row>
    <row r="122" ht="16.5" customHeight="1" s="78">
      <c r="A122" s="101" t="n">
        <v>10</v>
      </c>
      <c r="B122" s="101" t="n">
        <v>10</v>
      </c>
      <c r="C122" s="103" t="inlineStr">
        <is>
          <t>전환점</t>
        </is>
      </c>
      <c r="D122" s="85" t="inlineStr">
        <is>
          <t>La notte elettorale II</t>
        </is>
      </c>
      <c r="E122" s="86" t="inlineStr">
        <is>
          <t>총선의 밤 (2차)</t>
        </is>
      </c>
      <c r="F122" s="85" t="inlineStr">
        <is>
          <t>CC 하원 130석 1당, 그러나 과반은 아니다 (가상 수치).</t>
        </is>
      </c>
      <c r="G122" s="86" t="inlineStr">
        <is>
          <t>하원 과반 201석 미달 → 연정 협상</t>
        </is>
      </c>
      <c r="H122" s="86" t="inlineStr">
        <is>
          <t>전원</t>
        </is>
      </c>
      <c r="I122" s="101" t="n"/>
      <c r="J122" s="101">
        <f>턴_설계!$B$5</f>
        <v/>
      </c>
    </row>
    <row r="123" ht="29.25" customHeight="1" s="78">
      <c r="A123" s="101" t="n">
        <v>10</v>
      </c>
      <c r="B123" s="101" t="n">
        <v>11</v>
      </c>
      <c r="C123" s="103" t="inlineStr">
        <is>
          <t>절정</t>
        </is>
      </c>
      <c r="D123" s="85" t="inlineStr">
        <is>
          <t>Le trattative</t>
        </is>
      </c>
      <c r="E123" s="86" t="inlineStr">
        <is>
          <t>연정 협상</t>
        </is>
      </c>
      <c r="F123" s="85" t="inlineStr">
        <is>
          <t>PPS·지역정당 연합과 협상. TB는 북부 주들의 차등 자치 가속을 조건으로 건다. Garibaldi가 '나라를 다시 쪼갤 셈이냐'며 정색한다. Francesco·Alessandro가 비용을 추산하고 Machiavelli가 협상 테이블을 설계한다.</t>
        </is>
      </c>
      <c r="G123" s="86" t="inlineStr">
        <is>
          <t>연정 협약(accordo di coalizione), 차등 자치(legge 86/2024)·필수 급부 수준(LEP)</t>
        </is>
      </c>
      <c r="H123" s="85" t="inlineStr">
        <is>
          <t>Chiara, Alessandro, Francesco, Machiavelli, Garibaldi</t>
        </is>
      </c>
      <c r="I123" s="101" t="inlineStr">
        <is>
          <t>P2·P3·P1</t>
        </is>
      </c>
      <c r="J123" s="101">
        <f>턴_설계!$B$5</f>
        <v/>
      </c>
    </row>
    <row r="124" ht="29.25" customHeight="1" s="78">
      <c r="A124" s="101" t="n">
        <v>10</v>
      </c>
      <c r="B124" s="101" t="n">
        <v>12</v>
      </c>
      <c r="C124" s="103" t="inlineStr">
        <is>
          <t>결말·훅</t>
        </is>
      </c>
      <c r="D124" s="85" t="inlineStr">
        <is>
          <t>Il voto decisivo</t>
        </is>
      </c>
      <c r="E124" s="86" t="inlineStr">
        <is>
          <t>결정적 한 표</t>
        </is>
      </c>
      <c r="F124" s="86" t="inlineStr">
        <is>
          <t>대통령의 조각 위임 → Quirinale 선서 → 하원 신임 통과. 상원에서는 TB가 반대로 돌아서며 102 대 101, 종신 상원의원 표로 1표 차 통과.</t>
        </is>
      </c>
      <c r="G124" s="86" t="inlineStr">
        <is>
          <t>선서 문구(«Giuro di essere fedele alla Repubblica…»), 호명 투표(appello nominale), 종신 상원의원(senatori a vita)</t>
        </is>
      </c>
      <c r="H124" s="85" t="inlineStr">
        <is>
          <t>Marco, 상원의장(가상)</t>
        </is>
      </c>
      <c r="I124" s="101" t="n"/>
      <c r="J124" s="101">
        <f>턴_설계!$B$5</f>
        <v/>
      </c>
    </row>
    <row r="125" ht="29.25" customHeight="1" s="78">
      <c r="A125" s="101" t="n">
        <v>11</v>
      </c>
      <c r="B125" s="101" t="n">
        <v>1</v>
      </c>
      <c r="C125" s="103" t="inlineStr">
        <is>
          <t>발단</t>
        </is>
      </c>
      <c r="D125" s="85" t="inlineStr">
        <is>
          <t>Il primo ostacolo</t>
        </is>
      </c>
      <c r="E125" s="86" t="inlineStr">
        <is>
          <t>첫 번째 벽</t>
        </is>
      </c>
      <c r="F125" s="104" t="inlineStr">
        <is>
          <t>Palazzo Chigi의 첫 국무회의. 첫날의 어색함. 임대료 시위가 Piazza Colonna까지 온다.</t>
        </is>
      </c>
      <c r="G125" s="86" t="inlineStr">
        <is>
          <t>국무회의(Consiglio dei Ministri), 장관 임명 대통령령, legge 400/1988</t>
        </is>
      </c>
      <c r="H125" s="85" t="inlineStr">
        <is>
          <t>Marco, Chiara</t>
        </is>
      </c>
      <c r="I125" s="101" t="inlineStr">
        <is>
          <t>P1·E1</t>
        </is>
      </c>
      <c r="J125" s="101">
        <f>턴_설계!$B$5</f>
        <v/>
      </c>
    </row>
    <row r="126" ht="29.25" customHeight="1" s="78">
      <c r="A126" s="101" t="n">
        <v>11</v>
      </c>
      <c r="B126" s="101" t="n">
        <v>2</v>
      </c>
      <c r="C126" s="103" t="inlineStr">
        <is>
          <t>전개</t>
        </is>
      </c>
      <c r="D126" s="85" t="inlineStr">
        <is>
          <t>Padroni invisibili</t>
        </is>
      </c>
      <c r="E126" s="86" t="inlineStr">
        <is>
          <t>보이지 않는 집주인들</t>
        </is>
      </c>
      <c r="F126" s="85" t="inlineStr">
        <is>
          <t>Alessandro·Francesco가 사모펀드의 주택 매입을 부동산 투자펀드·상장 부동산회사(SIIQ)·자회사 구조로 추적한다.</t>
        </is>
      </c>
      <c r="G126" s="86" t="inlineStr">
        <is>
          <t>실소유자 등록부(titolare effettivo, d.lgs. 231/2007), 기업 등록부(Registro delle imprese)</t>
        </is>
      </c>
      <c r="H126" s="85" t="inlineStr">
        <is>
          <t>Alessandro, Francesco</t>
        </is>
      </c>
      <c r="I126" s="101" t="inlineStr">
        <is>
          <t>E1</t>
        </is>
      </c>
      <c r="J126" s="101">
        <f>턴_설계!$B$5</f>
        <v/>
      </c>
    </row>
    <row r="127" ht="29.25" customHeight="1" s="78">
      <c r="A127" s="101" t="n">
        <v>11</v>
      </c>
      <c r="B127" s="101" t="n">
        <v>3</v>
      </c>
      <c r="C127" s="103" t="inlineStr">
        <is>
          <t>전개</t>
        </is>
      </c>
      <c r="D127" s="85" t="inlineStr">
        <is>
          <t>La legge sulla casa</t>
        </is>
      </c>
      <c r="E127" s="86" t="inlineStr">
        <is>
          <t>주거법</t>
        </is>
      </c>
      <c r="F127" s="86" t="inlineStr">
        <is>
          <t>주거법 개정안: Marco가 과거에 쓰던 '리모델링 갱신 거절' 남용을 막고 단기 관광임대를 규율한다. 그러나 관광은 주 권한, 도시계획은 공동 권한이라 Regione Lazio가 헌법재판소 제소를 예고한다.</t>
        </is>
      </c>
      <c r="G127" s="86" t="inlineStr">
        <is>
          <t>국가–주 권한 배분(헌법 제117조), legge 431/1998 개정, 단기임대 CIN 코드(d.l. 145/2023), 주의 헌법재판소 제소(헌법 제127조)</t>
        </is>
      </c>
      <c r="H127" s="85" t="inlineStr">
        <is>
          <t>Marco, Gramsci</t>
        </is>
      </c>
      <c r="I127" s="101" t="inlineStr">
        <is>
          <t>E1</t>
        </is>
      </c>
      <c r="J127" s="101">
        <f>턴_설계!$B$5</f>
        <v/>
      </c>
    </row>
    <row r="128" ht="42" customHeight="1" s="78">
      <c r="A128" s="101" t="n">
        <v>11</v>
      </c>
      <c r="B128" s="101" t="n">
        <v>4</v>
      </c>
      <c r="C128" s="103" t="inlineStr">
        <is>
          <t>위기</t>
        </is>
      </c>
      <c r="D128" s="85" t="inlineStr">
        <is>
          <t>Pronto soccorso al collasso</t>
        </is>
      </c>
      <c r="E128" s="86" t="inlineStr">
        <is>
          <t>응급실 마비</t>
        </is>
      </c>
      <c r="F128" s="86" t="inlineStr">
        <is>
          <t>폭염이 겹쳐 고령 환자가 몰린 응급실이 마비된다. Giulia가 현장으로 달려가지만 병원 운영·외주 계약은 주(Regione)와 ASL 권한임을 다시 배운다. 정부가 쓸 수 있는 수단은 법 개정, 국가 보건기금 배분 조건, 필수 의료 수준(LEA), 국가–주 협의회.</t>
        </is>
      </c>
      <c r="G128" s="86" t="inlineStr">
        <is>
          <t>주 보건서비스(SSR)·ASL, 필수 의료 수준(LEA), 국가–주 협의회(Conferenza Stato-Regioni), 보건 협약(Patto per la Salute)</t>
        </is>
      </c>
      <c r="H128" s="85" t="inlineStr">
        <is>
          <t>Giulia, Sofia, Montessori, Marco</t>
        </is>
      </c>
      <c r="I128" s="101" t="inlineStr">
        <is>
          <t>S3·S4</t>
        </is>
      </c>
      <c r="J128" s="101">
        <f>턴_설계!$B$5</f>
        <v/>
      </c>
    </row>
    <row r="129" ht="42" customHeight="1" s="78">
      <c r="A129" s="101" t="n">
        <v>11</v>
      </c>
      <c r="B129" s="101" t="n">
        <v>5</v>
      </c>
      <c r="C129" s="103" t="inlineStr">
        <is>
          <t>위기</t>
        </is>
      </c>
      <c r="D129" s="85" t="inlineStr">
        <is>
          <t>La ripartizione</t>
        </is>
      </c>
      <c r="E129" s="86" t="inlineStr">
        <is>
          <t>분담</t>
        </is>
      </c>
      <c r="F129" s="86" t="inlineStr">
        <is>
          <t>람페두사 등 도착 지역의 수용 시설이 한계에 달하고, 보호자 없는 미성년자(MSNA) 비용을 두고 지자체와 내무부가 서로 떠넘긴다. 국무회의가 분산 수용을 추진하자 Rosa가 Testaccio·Esquilino 이웃들의 이야기를 꺼낸다.</t>
        </is>
      </c>
      <c r="G129" s="86" t="inlineStr">
        <is>
          <t>이민 통합법(d.lgs. 286/1998), 수용 체계(CAS·SAI), 보호자 없는 미성년자 보호(legge 47/2017), 국가–지자체 협의회(Conferenza Unificata)</t>
        </is>
      </c>
      <c r="H129" s="85" t="inlineStr">
        <is>
          <t>Marco, Rosa, Giulia, Paolo</t>
        </is>
      </c>
      <c r="I129" s="101" t="inlineStr">
        <is>
          <t>S2</t>
        </is>
      </c>
      <c r="J129" s="101">
        <f>턴_설계!$B$5</f>
        <v/>
      </c>
    </row>
    <row r="130" ht="42" customHeight="1" s="78">
      <c r="A130" s="101" t="n">
        <v>11</v>
      </c>
      <c r="B130" s="101" t="n">
        <v>6</v>
      </c>
      <c r="C130" s="103" t="inlineStr">
        <is>
          <t>전개</t>
        </is>
      </c>
      <c r="D130" s="85" t="inlineStr">
        <is>
          <t>La voce dei giovani</t>
        </is>
      </c>
      <c r="E130" s="86" t="inlineStr">
        <is>
          <t>청년들의 목소리</t>
        </is>
      </c>
      <c r="F130" s="86" t="inlineStr">
        <is>
          <t>청년 고용·무급 인턴 처우와 법정 최저임금 협상. Cesare가 Sofia의 청년 정책안을 놓고 평소처럼 투덜대며 조언한다. 아직은 죽지 않지만 계단을 오르며 살짝 숨이 가쁜 게 보인다.</t>
        </is>
      </c>
      <c r="G130" s="86" t="inlineStr">
        <is>
          <t>사회적 대화: 정부·노조(CGIL·CISL·UIL)·경영계, 법정 최저임금 부재와 단체협약</t>
        </is>
      </c>
      <c r="H130" s="85" t="inlineStr">
        <is>
          <t>Sofia, Cesare, Paolo</t>
        </is>
      </c>
      <c r="I130" s="101" t="inlineStr">
        <is>
          <t>S1</t>
        </is>
      </c>
      <c r="J130" s="101">
        <f>턴_설계!$B$5</f>
        <v/>
      </c>
    </row>
    <row r="131" ht="42" customHeight="1" s="78">
      <c r="A131" s="101" t="n">
        <v>11</v>
      </c>
      <c r="B131" s="101" t="n">
        <v>7</v>
      </c>
      <c r="C131" s="103" t="inlineStr">
        <is>
          <t>위기</t>
        </is>
      </c>
      <c r="D131" s="85" t="inlineStr">
        <is>
          <t>Il cartello dei prezzi</t>
        </is>
      </c>
      <c r="E131" s="86" t="inlineStr">
        <is>
          <t>가격 카르텔</t>
        </is>
      </c>
      <c r="F131" s="86" t="inlineStr">
        <is>
          <t>도청 자료를 쓰자는 Gramsci vs 합법 경로만 쓰겠다는 Marco. 아직 살아 있는 Cesare가 둘의 다툼을 지켜보며 «합법이 이기는 데는 시간이 걸리지만, 이기고 나면 아무도 뒤집지 못하지»라고 거든다.</t>
        </is>
      </c>
      <c r="G131" s="86" t="inlineStr">
        <is>
          <t>공정거래위원회(AGCM, legge 287/1990) 조사, 사용할 수 없는 증거, 감청은 판사 허가(형사소송법 제266조 이하)</t>
        </is>
      </c>
      <c r="H131" s="85" t="inlineStr">
        <is>
          <t>Gramsci, Marco, Galileo, Cesare</t>
        </is>
      </c>
      <c r="I131" s="101" t="n"/>
      <c r="J131" s="101">
        <f>턴_설계!$B$5</f>
        <v/>
      </c>
    </row>
    <row r="132" ht="54.75" customHeight="1" s="78">
      <c r="A132" s="101" t="n">
        <v>11</v>
      </c>
      <c r="B132" s="101" t="n">
        <v>8</v>
      </c>
      <c r="C132" s="103" t="inlineStr">
        <is>
          <t>위기</t>
        </is>
      </c>
      <c r="D132" s="85" t="inlineStr">
        <is>
          <t>La tassa sui giganti</t>
        </is>
      </c>
      <c r="E132" s="86" t="inlineStr">
        <is>
          <t>거인들에게 매기는 세금</t>
        </is>
      </c>
      <c r="F132" s="86" t="inlineStr">
        <is>
          <t>횡재세를 긴급 명령(decreto-legge)으로 기습 발표하면 시장이 흔들린다(2023년 은행 횡재세 선례). 60일 안의 법률 전환 과정에서 수정되는 정치. 걷힌 돈을 전기요금과 에너지 전환에 어떻게 나눌지, 재생에너지 입지 갈등의 재원 문제도 얽힌다. 재계·은행의 반발과 계좌 동결 시도를 Francesco가 막는다.</t>
        </is>
      </c>
      <c r="G132" s="104" t="inlineStr">
        <is>
          <t>decreto-legge와 60일 내 법률 전환(헌법 제77조), 은행 횡재세 선례(d.l. 104/2023), 에너지 기업 특별 부담금</t>
        </is>
      </c>
      <c r="H132" s="85" t="inlineStr">
        <is>
          <t>Alessandro, Francesco, Marco</t>
        </is>
      </c>
      <c r="I132" s="101" t="inlineStr">
        <is>
          <t>N5·S4</t>
        </is>
      </c>
      <c r="J132" s="101">
        <f>턴_설계!$B$5</f>
        <v/>
      </c>
    </row>
    <row r="133" ht="105.75" customHeight="1" s="78">
      <c r="A133" s="101" t="n">
        <v>11</v>
      </c>
      <c r="B133" s="101" t="n">
        <v>9</v>
      </c>
      <c r="C133" s="103" t="inlineStr">
        <is>
          <t>전환점</t>
        </is>
      </c>
      <c r="D133" s="85" t="inlineStr">
        <is>
          <t>Verso Bruxelles</t>
        </is>
      </c>
      <c r="E133" s="86" t="inlineStr">
        <is>
          <t>브뤼셀로 가는 길</t>
        </is>
      </c>
      <c r="F133" s="85" t="inlineStr">
        <is>
          <t>NATO 5% 목표(2035년 시한) 이행 경로와 EU 과도한 재정적자 절차가 겹친 대표단이 꾸려진다. Cesare가 «Cesare andrà.»라고 자원한다 — 2천 년 만에 다시 협상 테이블에 앉는 순간. 짐을 싸며 Dante에게 자신이 본 두 종류의 지도자를 회상한다: 건물에 금박 이름을 새기던 사업가 출신으로 이제 관세를 무기 삼아 카메라 앞에서 소리치는 인물, 그리고 정보기관에서 30년을 보낸 뒤 '민주주의'라 부르는 자리에 눌러앉아 이웃 나라 땅을 가져간 인물. 이름도 국가도 끝내 말하지 않는다(실존 인물 실명 미사용, 특징 묘사로만).</t>
        </is>
      </c>
      <c r="G133" s="85" t="inlineStr">
        <is>
          <t>NATO 방위비 목표(2025 헤이그 합의, 5%·2035년), EU 재정규칙의 국방비 예외 조항, 대표단 구성</t>
        </is>
      </c>
      <c r="H133" s="85" t="inlineStr">
        <is>
          <t>Cesare, Dante, Alessandro</t>
        </is>
      </c>
      <c r="I133" s="101" t="inlineStr">
        <is>
          <t>N3</t>
        </is>
      </c>
      <c r="J133" s="101">
        <f>턴_설계!$B$5</f>
        <v/>
      </c>
    </row>
    <row r="134" ht="67.5" customHeight="1" s="78">
      <c r="A134" s="101" t="n">
        <v>11</v>
      </c>
      <c r="B134" s="101" t="n">
        <v>10</v>
      </c>
      <c r="C134" s="103" t="inlineStr">
        <is>
          <t>절정</t>
        </is>
      </c>
      <c r="D134" s="85" t="inlineStr">
        <is>
          <t>Il tavolo di Bruxelles</t>
        </is>
      </c>
      <c r="E134" s="86" t="inlineStr">
        <is>
          <t>브뤼셀의 테이블</t>
        </is>
      </c>
      <c r="F134" s="86" t="inlineStr">
        <is>
          <t>직접 협상. 상대측 인사(가상)가 «이탈리아는 항상 약속만 하고 지키지 않았다»고 과장하자 Cesare가 상대가 인용한 합의문의 날짜와 조항을 정확히 짚어 반박한다. «Horum omnium fortissimi sunt Belgae»로 긴장을 풀고, «Mi permetta una precisazione»로 3.5% 핵심 방위비의 검증 가능한 단계 경로와 국방비의 재정규칙상 유연성을 맞바꾸는 절충을 이끈다.</t>
        </is>
      </c>
      <c r="G134" s="86" t="inlineStr">
        <is>
          <t>과도한 재정적자 절차(TFUE 제126조), 국가 예외 조항, NATO 이행 점검(2029), ECOFIN</t>
        </is>
      </c>
      <c r="H134" s="85" t="inlineStr">
        <is>
          <t>Cesare, Alessandro, Dante</t>
        </is>
      </c>
      <c r="I134" s="101" t="inlineStr">
        <is>
          <t>N3·E3</t>
        </is>
      </c>
      <c r="J134" s="101">
        <f>턴_설계!$B$5</f>
        <v/>
      </c>
    </row>
    <row r="135" ht="42" customHeight="1" s="78">
      <c r="A135" s="101" t="n">
        <v>11</v>
      </c>
      <c r="B135" s="101" t="n">
        <v>11</v>
      </c>
      <c r="C135" s="103" t="inlineStr">
        <is>
          <t>절정</t>
        </is>
      </c>
      <c r="D135" s="85" t="inlineStr">
        <is>
          <t>Il trionfo e la stanchezza</t>
        </is>
      </c>
      <c r="E135" s="86" t="inlineStr">
        <is>
          <t>승리와 피로</t>
        </is>
      </c>
      <c r="F135" s="86" t="inlineStr">
        <is>
          <t>협상 타결: 재정 유연성 확보 + 국방비의 단계적·검증 가능한 증액. 귀국 비행기에서 Cesare가 지친 기색을 숨기며 Alessandro에게 메모를 남기라고 한다.</t>
        </is>
      </c>
      <c r="G135" s="86" t="inlineStr">
        <is>
          <t>협상 결과의 국내 반영 절차, 예산 반영 일정</t>
        </is>
      </c>
      <c r="H135" s="85" t="inlineStr">
        <is>
          <t>Cesare, Alessandro, Garibaldi</t>
        </is>
      </c>
      <c r="I135" s="101" t="inlineStr">
        <is>
          <t>N3·E3</t>
        </is>
      </c>
      <c r="J135" s="101">
        <f>턴_설계!$B$5</f>
        <v/>
      </c>
    </row>
    <row r="136" ht="42" customHeight="1" s="78">
      <c r="A136" s="101" t="n">
        <v>11</v>
      </c>
      <c r="B136" s="101" t="n">
        <v>12</v>
      </c>
      <c r="C136" s="103" t="inlineStr">
        <is>
          <t>결말(사망)</t>
        </is>
      </c>
      <c r="D136" s="85" t="inlineStr">
        <is>
          <t>Un'ultima precisazione</t>
        </is>
      </c>
      <c r="E136" s="86" t="inlineStr">
        <is>
          <t>마지막 각주 하나</t>
        </is>
      </c>
      <c r="F136" s="86" t="inlineStr">
        <is>
          <t>귀국 직후, Testaccio 자택에서 심부전으로 두 번째 죽음을 맞는다. Sofia가 청년 정책안 마지막 서명을 받으러 왔다가 그를 발견한다. 마지막 말은 «Niente male.» — 브뤼셀 승리 직후라 더 무겁다.</t>
        </is>
      </c>
      <c r="G136" s="85" t="inlineStr">
        <is>
          <t>insufficienza cardiaca, 사망 확인, 장례 절차 시작</t>
        </is>
      </c>
      <c r="H136" s="85" t="inlineStr">
        <is>
          <t>Sofia, Giulia, Cesare</t>
        </is>
      </c>
      <c r="I136" s="101" t="inlineStr">
        <is>
          <t>N3</t>
        </is>
      </c>
      <c r="J136" s="101">
        <f>턴_설계!$B$5</f>
        <v/>
      </c>
    </row>
    <row r="137" ht="42" customHeight="1" s="78">
      <c r="A137" s="101" t="n">
        <v>12</v>
      </c>
      <c r="B137" s="101" t="n">
        <v>1</v>
      </c>
      <c r="C137" s="103" t="inlineStr">
        <is>
          <t>발단(장례)</t>
        </is>
      </c>
      <c r="D137" s="85" t="inlineStr">
        <is>
          <t>La veglia</t>
        </is>
      </c>
      <c r="E137" s="86" t="inlineStr">
        <is>
          <t>장례식</t>
        </is>
      </c>
      <c r="F137" s="85" t="inlineStr">
        <is>
          <t>Trattoria da Rosa가 첫 장면. 빈자리에 커피 한 잔이 놓인다. Sofia가 조사에서 처음으로 Cesare에게 tu를 쓴다. «Per te, "niente male" era il complimento più grande.»</t>
        </is>
      </c>
      <c r="G137" s="85" t="inlineStr">
        <is>
          <t>veglia funebre, funerale, condoglianze, elogio funebre</t>
        </is>
      </c>
      <c r="H137" s="85" t="inlineStr">
        <is>
          <t>Sofia, Rosa, Garibaldi, Gramsci, Giulia, Machiavelli</t>
        </is>
      </c>
      <c r="I137" s="101" t="n"/>
      <c r="J137" s="101">
        <f>턴_설계!$B$5</f>
        <v/>
      </c>
    </row>
    <row r="138" ht="29.25" customHeight="1" s="78">
      <c r="A138" s="101" t="n">
        <v>12</v>
      </c>
      <c r="B138" s="101" t="n">
        <v>2</v>
      </c>
      <c r="C138" s="103" t="inlineStr">
        <is>
          <t>전개</t>
        </is>
      </c>
      <c r="D138" s="85" t="inlineStr">
        <is>
          <t>Il quaderno che ha lasciato</t>
        </is>
      </c>
      <c r="E138" s="86" t="inlineStr">
        <is>
          <t>그가 남긴 수첩</t>
        </is>
      </c>
      <c r="F138" s="85" t="inlineStr">
        <is>
          <t>Cesare가 죽기 전 남긴 브뤼셀 후속 협상 메모가 발견된다. 감옥에서 수첩을 쓰던 Gramsci가 정리하고 Dante가 문장을 다듬는다.</t>
        </is>
      </c>
      <c r="G138" s="86" t="inlineStr">
        <is>
          <t>유작 메모, 외교 기록 인계</t>
        </is>
      </c>
      <c r="H138" s="85" t="inlineStr">
        <is>
          <t>Gramsci, Dante, Alessandro</t>
        </is>
      </c>
      <c r="I138" s="101" t="n"/>
      <c r="J138" s="101">
        <f>턴_설계!$B$5</f>
        <v/>
      </c>
    </row>
    <row r="139" ht="42" customHeight="1" s="78">
      <c r="A139" s="101" t="n">
        <v>12</v>
      </c>
      <c r="B139" s="101" t="n">
        <v>3</v>
      </c>
      <c r="C139" s="103" t="inlineStr">
        <is>
          <t>전개</t>
        </is>
      </c>
      <c r="D139" s="85" t="inlineStr">
        <is>
          <t>Secondo round a Bruxelles</t>
        </is>
      </c>
      <c r="E139" s="86" t="inlineStr">
        <is>
          <t>브뤼셀 2차 협상</t>
        </is>
      </c>
      <c r="F139" s="85" t="inlineStr">
        <is>
          <t>Cesare 없이 떠나는 팀. Alessandro가 협상석에 앉고 Dante가 다듬은 그의 문장(«non è stato niente male» 포함)을 인용해 3.5% 이행 경로의 세부 일정을 확정한다.</t>
        </is>
      </c>
      <c r="G139" s="86" t="inlineStr">
        <is>
          <t>협상 세부 일정 확정, 중기 재정구조계획(Piano strutturale di bilancio) 승인</t>
        </is>
      </c>
      <c r="H139" s="85" t="inlineStr">
        <is>
          <t>Alessandro, Dante, Garibaldi</t>
        </is>
      </c>
      <c r="I139" s="101" t="inlineStr">
        <is>
          <t>N3·E3</t>
        </is>
      </c>
      <c r="J139" s="101">
        <f>턴_설계!$B$5</f>
        <v/>
      </c>
    </row>
    <row r="140" ht="42" customHeight="1" s="78">
      <c r="A140" s="101" t="n">
        <v>12</v>
      </c>
      <c r="B140" s="101" t="n">
        <v>4</v>
      </c>
      <c r="C140" s="103" t="inlineStr">
        <is>
          <t>전개</t>
        </is>
      </c>
      <c r="D140" s="85" t="inlineStr">
        <is>
          <t>L'app che decide</t>
        </is>
      </c>
      <c r="E140" s="86" t="inlineStr">
        <is>
          <t>결정하는 앱</t>
        </is>
      </c>
      <c r="F140" s="86" t="inlineStr">
        <is>
          <t>배달 라이더들이 알고리즘 배차와 일방적 계정 차단에 항의한다. 2019년 라이더 보호 조항 이후에도 고용 지위 분쟁과 '디지털 불법 중개(caporalato digitale)' 수사가 이어짐을 Paolo가 현장에서, Dante가 문구로 돕는다.</t>
        </is>
      </c>
      <c r="G140" s="86" t="inlineStr">
        <is>
          <t>라이더 보호(d.lgs. 81/2015 제47-bis조 이하), EU 플랫폼노동 지침(2024/2831) 국내 이행, 알고리즘 투명성</t>
        </is>
      </c>
      <c r="H140" s="85" t="inlineStr">
        <is>
          <t>Paolo, Dante, Marco</t>
        </is>
      </c>
      <c r="I140" s="101" t="inlineStr">
        <is>
          <t>N6</t>
        </is>
      </c>
      <c r="J140" s="101">
        <f>턴_설계!$B$5</f>
        <v/>
      </c>
    </row>
    <row r="141" ht="42" customHeight="1" s="78">
      <c r="A141" s="101" t="n">
        <v>12</v>
      </c>
      <c r="B141" s="101" t="n">
        <v>5</v>
      </c>
      <c r="C141" s="103" t="inlineStr">
        <is>
          <t>전개</t>
        </is>
      </c>
      <c r="D141" s="85" t="inlineStr">
        <is>
          <t>Il software che nessuno ha autorizzato</t>
        </is>
      </c>
      <c r="E141" s="86" t="inlineStr">
        <is>
          <t>누구도 승인하지 않은 소프트웨어</t>
        </is>
      </c>
      <c r="F141" s="86" t="inlineStr">
        <is>
          <t>언론인과 시민단체 활동가 휴대전화에 군사급 스파이웨어가 심어졌다는 의혹이 터진다. 자신을 감시하던 정치경찰 파일을 기억하는 Gramsci가 패턴을 알아보고, Galileo가 검증하며, Marco는 합법적 감독 경로(COPASIR·검찰)를 고집한다.</t>
        </is>
      </c>
      <c r="G141" s="86" t="inlineStr">
        <is>
          <t>정보기관 체계(legge 124/2007: DIS·AISE·AISI), 의회 정보위원회(COPASIR), 감청의 사법 통제</t>
        </is>
      </c>
      <c r="H141" s="85" t="inlineStr">
        <is>
          <t>Gramsci, Galileo, Marco</t>
        </is>
      </c>
      <c r="I141" s="101" t="inlineStr">
        <is>
          <t>N7</t>
        </is>
      </c>
      <c r="J141" s="101">
        <f>턴_설계!$B$5</f>
        <v/>
      </c>
    </row>
    <row r="142" ht="29.25" customHeight="1" s="78">
      <c r="A142" s="101" t="n">
        <v>12</v>
      </c>
      <c r="B142" s="101" t="n">
        <v>6</v>
      </c>
      <c r="C142" s="103" t="inlineStr">
        <is>
          <t>전개</t>
        </is>
      </c>
      <c r="D142" s="85" t="inlineStr">
        <is>
          <t>Le liste d'attesa</t>
        </is>
      </c>
      <c r="E142" s="86" t="inlineStr">
        <is>
          <t>대기 명단</t>
        </is>
      </c>
      <c r="F142" s="86" t="inlineStr">
        <is>
          <t>청년 정신건강 상담 대기가 몇 달씩 밀린 현실. Montessori가 현장에서, Sofia가 자신의 불안을 처음 인정하며 함께 부딪힌다.</t>
        </is>
      </c>
      <c r="G142" s="86" t="inlineStr">
        <is>
          <t>지역 정신건강센터(CSM) 대기, 공공 심리 지원(bonus psicologo) 예산</t>
        </is>
      </c>
      <c r="H142" s="85" t="inlineStr">
        <is>
          <t>Montessori, Sofia, Giulia</t>
        </is>
      </c>
      <c r="I142" s="101" t="inlineStr">
        <is>
          <t>N8</t>
        </is>
      </c>
      <c r="J142" s="101">
        <f>턴_설계!$B$5</f>
        <v/>
      </c>
    </row>
    <row r="143" ht="42" customHeight="1" s="78">
      <c r="A143" s="101" t="n">
        <v>12</v>
      </c>
      <c r="B143" s="101" t="n">
        <v>7</v>
      </c>
      <c r="C143" s="103" t="inlineStr">
        <is>
          <t>위기</t>
        </is>
      </c>
      <c r="D143" s="85" t="inlineStr">
        <is>
          <t>La mozione che non somma</t>
        </is>
      </c>
      <c r="E143" s="86" t="inlineStr">
        <is>
          <t>모자란 불신임안</t>
        </is>
      </c>
      <c r="F143" s="86" t="inlineStr">
        <is>
          <t>야당의 불신임안: 하원 1/10(40명) 서명, 3일 뒤 토론, 호명 표결, 찬성이 반대보다 많아야 가결 → 부결. 기권한 지역정당 TB는 차등 자치 가속을 요구하고, 사법 최고회의(CSM) 구성을 둘러싼 대립이 정국을 더 얼어붙게 한다.</t>
        </is>
      </c>
      <c r="G143" s="86" t="inlineStr">
        <is>
          <t>헌법 제94조 (정치경로_의석 C블록), 사법 최고회의(CSM)</t>
        </is>
      </c>
      <c r="H143" s="85" t="inlineStr">
        <is>
          <t>Marco, Chiara, Garibaldi, Machiavelli</t>
        </is>
      </c>
      <c r="I143" s="101" t="inlineStr">
        <is>
          <t>P1·P2·P3</t>
        </is>
      </c>
      <c r="J143" s="101">
        <f>턴_설계!$B$5</f>
        <v/>
      </c>
    </row>
    <row r="144" ht="42" customHeight="1" s="78">
      <c r="A144" s="101" t="n">
        <v>12</v>
      </c>
      <c r="B144" s="101" t="n">
        <v>8</v>
      </c>
      <c r="C144" s="103" t="inlineStr">
        <is>
          <t>위기</t>
        </is>
      </c>
      <c r="D144" s="85" t="inlineStr">
        <is>
          <t>L'alluvione</t>
        </is>
      </c>
      <c r="E144" s="86" t="inlineStr">
        <is>
          <t>홍수</t>
        </is>
      </c>
      <c r="F144" s="86" t="inlineStr">
        <is>
          <t>가상의 중부 지방에 집중호우와 하천 범람이 덮친다. 적색 경보와 대피 지연을 둘러싼 주–중앙정부 책임 공방, 국가 비상사태 선포, 민방위·군 투입. Garibaldi가 지휘하고 Dante가 추모 문구를 쓴다.</t>
        </is>
      </c>
      <c r="G144" s="86" t="inlineStr">
        <is>
          <t>민방위법(d.lgs. 1/2018), 국가 비상사태(stato di emergenza di rilievo nazionale), IT-alert, 산사태·홍수 취약성(dissesto idrogeologico), EU 연대기금</t>
        </is>
      </c>
      <c r="H144" s="85" t="inlineStr">
        <is>
          <t>Garibaldi, Giulia, Marco, Galileo, Dante</t>
        </is>
      </c>
      <c r="I144" s="101" t="inlineStr">
        <is>
          <t>N1·N3·S4</t>
        </is>
      </c>
      <c r="J144" s="101">
        <f>턴_설계!$B$5</f>
        <v/>
      </c>
    </row>
    <row r="145" ht="16.5" customHeight="1" s="78">
      <c r="A145" s="101" t="n">
        <v>12</v>
      </c>
      <c r="B145" s="101" t="n">
        <v>9</v>
      </c>
      <c r="C145" s="103" t="inlineStr">
        <is>
          <t>절정</t>
        </is>
      </c>
      <c r="D145" s="85" t="inlineStr">
        <is>
          <t>Risultati per strada</t>
        </is>
      </c>
      <c r="E145" s="86" t="inlineStr">
        <is>
          <t>거리에서 나타난 변화</t>
        </is>
      </c>
      <c r="F145" s="86" t="inlineStr">
        <is>
          <t>임대료·응급실 대기·청년 고용 지표. 사회적 대화 협약 서명.</t>
        </is>
      </c>
      <c r="G145" s="86" t="inlineStr">
        <is>
          <t>성과 지표 공표, 사회적 대화 협약</t>
        </is>
      </c>
      <c r="H145" s="85" t="inlineStr">
        <is>
          <t>Alessandro, Giulia, Sofia</t>
        </is>
      </c>
      <c r="I145" s="101" t="inlineStr">
        <is>
          <t>N3·E3·P1</t>
        </is>
      </c>
      <c r="J145" s="101">
        <f>턴_설계!$B$5</f>
        <v/>
      </c>
    </row>
    <row r="146" ht="42" customHeight="1" s="78">
      <c r="A146" s="101" t="n">
        <v>12</v>
      </c>
      <c r="B146" s="101" t="n">
        <v>10</v>
      </c>
      <c r="C146" s="103" t="inlineStr">
        <is>
          <t>전개</t>
        </is>
      </c>
      <c r="D146" s="85" t="inlineStr">
        <is>
          <t>Il vuoto nella Vecchia Guardia</t>
        </is>
      </c>
      <c r="E146" s="86" t="inlineStr">
        <is>
          <t>올드 가드의 빈자리</t>
        </is>
      </c>
      <c r="F146" s="85" t="inlineStr">
        <is>
          <t>Garibaldi와 Gramsci, Machiavelli가 Cesare 없는 La Vecchia Guardia를 마주한다. 셋 다 말을 아끼다가 결국 그의 커피 불평을 그리워한다고 인정한다.</t>
        </is>
      </c>
      <c r="G146" s="85" t="inlineStr">
        <is>
          <t>—</t>
        </is>
      </c>
      <c r="H146" s="85" t="inlineStr">
        <is>
          <t>Garibaldi, Gramsci, Machiavelli, Rosa</t>
        </is>
      </c>
      <c r="I146" s="101" t="n"/>
      <c r="J146" s="101">
        <f>턴_설계!$B$5</f>
        <v/>
      </c>
    </row>
    <row r="147" ht="29.25" customHeight="1" s="78">
      <c r="A147" s="101" t="n">
        <v>12</v>
      </c>
      <c r="B147" s="101" t="n">
        <v>11</v>
      </c>
      <c r="C147" s="103" t="inlineStr">
        <is>
          <t>위기</t>
        </is>
      </c>
      <c r="D147" s="85" t="inlineStr">
        <is>
          <t>Prima della legge di bilancio</t>
        </is>
      </c>
      <c r="E147" s="86" t="inlineStr">
        <is>
          <t>예산안 앞에서</t>
        </is>
      </c>
      <c r="F147" s="86" t="inlineStr">
        <is>
          <t>국방비 증액분을 예산에 어떻게 반영할지 논쟁: 연금·복지와의 줄다리기. Alessandro가 브뤼셀 합의의 검증 가능한 경로를 방패로 쓴다.</t>
        </is>
      </c>
      <c r="G147" s="86" t="inlineStr">
        <is>
          <t>재정 계획 문서, 적자·순지출 경로, NATO 이행 경로의 국내 반영</t>
        </is>
      </c>
      <c r="H147" s="85" t="inlineStr">
        <is>
          <t>Alessandro, Marco, Chiara</t>
        </is>
      </c>
      <c r="I147" s="101" t="n"/>
      <c r="J147" s="101">
        <f>턴_설계!$B$5</f>
        <v/>
      </c>
    </row>
    <row r="148" ht="29.25" customHeight="1" s="78">
      <c r="A148" s="101" t="n">
        <v>12</v>
      </c>
      <c r="B148" s="101" t="n">
        <v>12</v>
      </c>
      <c r="C148" s="103" t="inlineStr">
        <is>
          <t>결말·훅</t>
        </is>
      </c>
      <c r="D148" s="85" t="inlineStr">
        <is>
          <t>La battaglia continua</t>
        </is>
      </c>
      <c r="E148" s="86" t="inlineStr">
        <is>
          <t>싸움은 계속된다</t>
        </is>
      </c>
      <c r="F148" s="86" t="inlineStr">
        <is>
          <t>예산안 제출 준비(10월 20일 시한): 그동안의 성과 지표도 정리한다. 야당의 대규모 수정안 공세.</t>
        </is>
      </c>
      <c r="G148" s="86" t="inlineStr">
        <is>
          <t>예산안은 10월 20일까지 의회 제출(legge 196/2009), 연말까지 미통과 시 잠정 집행(esercizio provvisorio, 헌법 제81조, 최대 4개월)</t>
        </is>
      </c>
      <c r="H148" s="85" t="inlineStr">
        <is>
          <t>Alessandro, Marco, Chiara, Garibaldi</t>
        </is>
      </c>
      <c r="I148" s="101" t="n"/>
      <c r="J148" s="101">
        <f>턴_설계!$B$5</f>
        <v/>
      </c>
    </row>
    <row r="149" ht="29.25" customHeight="1" s="78">
      <c r="A149" s="101" t="n">
        <v>13</v>
      </c>
      <c r="B149" s="101" t="n">
        <v>1</v>
      </c>
      <c r="C149" s="103" t="inlineStr">
        <is>
          <t>발단</t>
        </is>
      </c>
      <c r="D149" s="85" t="inlineStr">
        <is>
          <t>Sono le cinque</t>
        </is>
      </c>
      <c r="E149" s="86" t="inlineStr">
        <is>
          <t>다섯 시</t>
        </is>
      </c>
      <c r="F149" s="85" t="inlineStr">
        <is>
          <t>1부 1화와 같은 대사로 시작하지만 자리가 달라졌다: 장관들은 이제 손님으로 온다.</t>
        </is>
      </c>
      <c r="G149" s="86" t="inlineStr">
        <is>
          <t>정부 구성원의 겸직·이해충돌 제한(legge 215/2004)</t>
        </is>
      </c>
      <c r="H149" s="85" t="inlineStr">
        <is>
          <t>Rosa, Marco</t>
        </is>
      </c>
      <c r="I149" s="101" t="n"/>
      <c r="J149" s="101">
        <f>턴_설계!$B$5</f>
        <v/>
      </c>
    </row>
    <row r="150" ht="29.25" customHeight="1" s="78">
      <c r="A150" s="101" t="n">
        <v>13</v>
      </c>
      <c r="B150" s="101" t="n">
        <v>2</v>
      </c>
      <c r="C150" s="103" t="inlineStr">
        <is>
          <t>발단</t>
        </is>
      </c>
      <c r="D150" s="85" t="inlineStr">
        <is>
          <t>L'ombrello</t>
        </is>
      </c>
      <c r="E150" s="86" t="inlineStr">
        <is>
          <t>우산</t>
        </is>
      </c>
      <c r="F150" s="85" t="inlineStr">
        <is>
          <t>Cesare의 유언장. 공증인 앞에서 우산이 Sofia에게 간다. '부활자의 유언이 유효한가'를 두고 공증인이 곤혹스러워한다.</t>
        </is>
      </c>
      <c r="G150" s="86" t="inlineStr">
        <is>
          <t>유언: 공증인(notaio), 유언집행자(esecutore testamentario), 유언 공개, 유언 등록부(Registro generale dei testamenti)</t>
        </is>
      </c>
      <c r="H150" s="85" t="inlineStr">
        <is>
          <t>Sofia, Garibaldi, Rosa</t>
        </is>
      </c>
      <c r="I150" s="101" t="n"/>
      <c r="J150" s="101">
        <f>턴_설계!$B$5</f>
        <v/>
      </c>
    </row>
    <row r="151" ht="16.5" customHeight="1" s="78">
      <c r="A151" s="101" t="n">
        <v>13</v>
      </c>
      <c r="B151" s="101" t="n">
        <v>3</v>
      </c>
      <c r="C151" s="103" t="inlineStr">
        <is>
          <t>발단</t>
        </is>
      </c>
      <c r="D151" s="85" t="inlineStr">
        <is>
          <t>La sedia vuota</t>
        </is>
      </c>
      <c r="E151" s="86" t="inlineStr">
        <is>
          <t>빈 의자</t>
        </is>
      </c>
      <c r="F151" s="86" t="inlineStr">
        <is>
          <t>커피 한 잔이 놓인 빈 자리. 새 손님이 그 자리에 앉으려 한다.</t>
        </is>
      </c>
      <c r="G151" s="85" t="inlineStr">
        <is>
          <t>—</t>
        </is>
      </c>
      <c r="H151" s="85" t="inlineStr">
        <is>
          <t>Rosa, Garibaldi</t>
        </is>
      </c>
      <c r="I151" s="101" t="n"/>
      <c r="J151" s="101">
        <f>턴_설계!$B$5</f>
        <v/>
      </c>
    </row>
    <row r="152" ht="29.25" customHeight="1" s="78">
      <c r="A152" s="101" t="n">
        <v>13</v>
      </c>
      <c r="B152" s="101" t="n">
        <v>4</v>
      </c>
      <c r="C152" s="103" t="inlineStr">
        <is>
          <t>전개</t>
        </is>
      </c>
      <c r="D152" s="85" t="inlineStr">
        <is>
          <t>Una fondazione per lo studio</t>
        </is>
      </c>
      <c r="E152" s="86" t="inlineStr">
        <is>
          <t>사무소를 재단으로</t>
        </is>
      </c>
      <c r="F152" s="86" t="inlineStr">
        <is>
          <t>장관들이 사무소를 떠나며 재단으로 전환. Paolo와 Rosa가 운영을 맡는다.</t>
        </is>
      </c>
      <c r="G152" s="86" t="inlineStr">
        <is>
          <t>재단 설립(민법 제14조 이하), 제3섹터법(d.lgs. 117/2017), 이해충돌</t>
        </is>
      </c>
      <c r="H152" s="85" t="inlineStr">
        <is>
          <t>Paolo, Rosa, Francesco</t>
        </is>
      </c>
      <c r="I152" s="101" t="n"/>
      <c r="J152" s="101">
        <f>턴_설계!$B$5</f>
        <v/>
      </c>
    </row>
    <row r="153" ht="29.25" customHeight="1" s="78">
      <c r="A153" s="101" t="n">
        <v>13</v>
      </c>
      <c r="B153" s="101" t="n">
        <v>5</v>
      </c>
      <c r="C153" s="103" t="inlineStr">
        <is>
          <t>전개</t>
        </is>
      </c>
      <c r="D153" s="85" t="inlineStr">
        <is>
          <t>Il nuovo stagista</t>
        </is>
      </c>
      <c r="E153" s="86" t="inlineStr">
        <is>
          <t>새 인턴</t>
        </is>
      </c>
      <c r="F153" s="86" t="inlineStr">
        <is>
          <t>새 인턴 Luca가 도착해 «Scusi, cosa significa?»라고 묻는다. Sofia가 답하는 쪽에 선다.</t>
        </is>
      </c>
      <c r="G153" s="85" t="inlineStr">
        <is>
          <t>—</t>
        </is>
      </c>
      <c r="H153" s="85" t="inlineStr">
        <is>
          <t>Sofia, Luca(신규 엑스트라)</t>
        </is>
      </c>
      <c r="I153" s="101" t="inlineStr">
        <is>
          <t>S1</t>
        </is>
      </c>
      <c r="J153" s="101">
        <f>턴_설계!$B$5</f>
        <v/>
      </c>
    </row>
    <row r="154" ht="29.25" customHeight="1" s="78">
      <c r="A154" s="101" t="n">
        <v>13</v>
      </c>
      <c r="B154" s="101" t="n">
        <v>6</v>
      </c>
      <c r="C154" s="103" t="inlineStr">
        <is>
          <t>미드포인트</t>
        </is>
      </c>
      <c r="D154" s="85" t="inlineStr">
        <is>
          <t>Sofia spiega</t>
        </is>
      </c>
      <c r="E154" s="85" t="inlineStr">
        <is>
          <t>Sofia의 설명</t>
        </is>
      </c>
      <c r="F154" s="85" t="inlineStr">
        <is>
          <t>Luca의 질문에 Sofia가 어려운 말을 쉬운 말로 풀어 준다. Garibaldi도 함께 배운다.</t>
        </is>
      </c>
      <c r="G154" s="85" t="inlineStr">
        <is>
          <t>—</t>
        </is>
      </c>
      <c r="H154" s="85" t="inlineStr">
        <is>
          <t>Sofia, Garibaldi</t>
        </is>
      </c>
      <c r="I154" s="101" t="inlineStr">
        <is>
          <t>S1</t>
        </is>
      </c>
      <c r="J154" s="101">
        <f>턴_설계!$B$5</f>
        <v/>
      </c>
    </row>
    <row r="155" ht="29.25" customHeight="1" s="78">
      <c r="A155" s="101" t="n">
        <v>13</v>
      </c>
      <c r="B155" s="101" t="n">
        <v>7</v>
      </c>
      <c r="C155" s="103" t="inlineStr">
        <is>
          <t>전개</t>
        </is>
      </c>
      <c r="D155" s="85" t="inlineStr">
        <is>
          <t>Il bilancio della legislatura</t>
        </is>
      </c>
      <c r="E155" s="86" t="inlineStr">
        <is>
          <t>임기 보고서</t>
        </is>
      </c>
      <c r="F155" s="85" t="inlineStr">
        <is>
          <t>Alessandro가 숫자로 성과를 발표하고 Giulia가 사람 이야기로 보완한다.</t>
        </is>
      </c>
      <c r="G155" s="86" t="inlineStr">
        <is>
          <t>성과 공시, 의회 속기록(resoconti stenografici)</t>
        </is>
      </c>
      <c r="H155" s="85" t="inlineStr">
        <is>
          <t>Alessandro, Giulia</t>
        </is>
      </c>
      <c r="I155" s="101" t="inlineStr">
        <is>
          <t>E3·S3·N5·N3</t>
        </is>
      </c>
      <c r="J155" s="101">
        <f>턴_설계!$B$5</f>
        <v/>
      </c>
    </row>
    <row r="156" ht="16.5" customHeight="1" s="78">
      <c r="A156" s="101" t="n">
        <v>13</v>
      </c>
      <c r="B156" s="101" t="n">
        <v>8</v>
      </c>
      <c r="C156" s="103" t="inlineStr">
        <is>
          <t>전개</t>
        </is>
      </c>
      <c r="D156" s="85" t="inlineStr">
        <is>
          <t>Le lettere della gente</t>
        </is>
      </c>
      <c r="E156" s="86" t="inlineStr">
        <is>
          <t>시민들이 보낸 편지</t>
        </is>
      </c>
      <c r="F156" s="85" t="inlineStr">
        <is>
          <t>Galileo가 편지를 낭독하고 Dante가 답장을 쓴다.</t>
        </is>
      </c>
      <c r="G156" s="85" t="inlineStr">
        <is>
          <t>—</t>
        </is>
      </c>
      <c r="H156" s="85" t="inlineStr">
        <is>
          <t>Galileo, Dante</t>
        </is>
      </c>
      <c r="I156" s="101" t="n"/>
      <c r="J156" s="101">
        <f>턴_설계!$B$5</f>
        <v/>
      </c>
    </row>
    <row r="157" ht="16.5" customHeight="1" s="78">
      <c r="A157" s="101" t="n">
        <v>13</v>
      </c>
      <c r="B157" s="101" t="n">
        <v>9</v>
      </c>
      <c r="C157" s="103" t="inlineStr">
        <is>
          <t>위기</t>
        </is>
      </c>
      <c r="D157" s="85" t="inlineStr">
        <is>
          <t>La Vecchia Guardia</t>
        </is>
      </c>
      <c r="E157" s="86" t="inlineStr">
        <is>
          <t>올드 가드</t>
        </is>
      </c>
      <c r="F157" s="85" t="inlineStr">
        <is>
          <t>Garibaldi와 Gramsci, Machiavelli와 빈 의자. Gramsci가 마지막 카드를 꺼낸다.</t>
        </is>
      </c>
      <c r="G157" s="85" t="inlineStr">
        <is>
          <t>—</t>
        </is>
      </c>
      <c r="H157" s="85" t="inlineStr">
        <is>
          <t>Garibaldi, Gramsci, Machiavelli</t>
        </is>
      </c>
      <c r="I157" s="101" t="n"/>
      <c r="J157" s="101">
        <f>턴_설계!$B$5</f>
        <v/>
      </c>
    </row>
    <row r="158" ht="29.25" customHeight="1" s="78">
      <c r="A158" s="101" t="n">
        <v>13</v>
      </c>
      <c r="B158" s="101" t="n">
        <v>10</v>
      </c>
      <c r="C158" s="103" t="inlineStr">
        <is>
          <t>절정</t>
        </is>
      </c>
      <c r="D158" s="85" t="inlineStr">
        <is>
          <t>La scheda che mancava</t>
        </is>
      </c>
      <c r="E158" s="86" t="inlineStr">
        <is>
          <t>빠진 카드</t>
        </is>
      </c>
      <c r="F158" s="86" t="inlineStr">
        <is>
          <t>카드 뒷면에 끝내 적지 않던 것. Gramsci가 처음으로 결론을 직접 말한다.</t>
        </is>
      </c>
      <c r="G158" s="85" t="inlineStr">
        <is>
          <t>—</t>
        </is>
      </c>
      <c r="H158" s="85" t="inlineStr">
        <is>
          <t>Gramsci, Sofia</t>
        </is>
      </c>
      <c r="I158" s="101" t="n"/>
      <c r="J158" s="101">
        <f>턴_설계!$B$5</f>
        <v/>
      </c>
    </row>
    <row r="159" ht="29.25" customHeight="1" s="78">
      <c r="A159" s="101" t="n">
        <v>13</v>
      </c>
      <c r="B159" s="101" t="n">
        <v>11</v>
      </c>
      <c r="C159" s="103" t="inlineStr">
        <is>
          <t>절정</t>
        </is>
      </c>
      <c r="D159" s="85" t="inlineStr">
        <is>
          <t>Di nuovo le cinque</t>
        </is>
      </c>
      <c r="E159" s="86" t="inlineStr">
        <is>
          <t>다시 다섯 시</t>
        </is>
      </c>
      <c r="F159" s="85" t="inlineStr">
        <is>
          <t>1부 1화 장면을 새 인턴이 읽고, 낭독 학습자도 다시 읽는다. 원형 구조.</t>
        </is>
      </c>
      <c r="G159" s="85" t="inlineStr">
        <is>
          <t>—</t>
        </is>
      </c>
      <c r="H159" s="86" t="inlineStr">
        <is>
          <t>전원</t>
        </is>
      </c>
      <c r="I159" s="101" t="n"/>
      <c r="J159" s="101">
        <f>턴_설계!$B$5</f>
        <v/>
      </c>
    </row>
    <row r="160" ht="16.5" customHeight="1" s="78">
      <c r="A160" s="101" t="n">
        <v>13</v>
      </c>
      <c r="B160" s="101" t="n">
        <v>12</v>
      </c>
      <c r="C160" s="103" t="inlineStr">
        <is>
          <t>결말</t>
        </is>
      </c>
      <c r="D160" s="85" t="inlineStr">
        <is>
          <t>Sedetevi, che vi porto qualcosa</t>
        </is>
      </c>
      <c r="E160" s="86" t="inlineStr">
        <is>
          <t>앉아, 뭐 좀 내줄게</t>
        </is>
      </c>
      <c r="F160" s="86" t="inlineStr">
        <is>
          <t>최종화. Rosa의 시그니처로 끝난다.</t>
        </is>
      </c>
      <c r="G160" s="85" t="inlineStr">
        <is>
          <t>—</t>
        </is>
      </c>
      <c r="H160" s="85" t="inlineStr">
        <is>
          <t>Rosa, 전원</t>
        </is>
      </c>
      <c r="I160" s="101" t="n"/>
      <c r="J160" s="101">
        <f>턴_설계!$B$5</f>
        <v/>
      </c>
    </row>
    <row r="161" ht="15" customHeight="1" s="78">
      <c r="I161" s="141" t="inlineStr">
        <is>
          <t>합계</t>
        </is>
      </c>
      <c r="J161" s="142">
        <f>SUM(J5:J160)</f>
        <v/>
      </c>
    </row>
  </sheetData>
  <autoFilter ref="A4:J160"/>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tabColor rgb="FF1F3864"/>
    <outlinePr summaryBelow="1" summaryRight="1"/>
    <pageSetUpPr fitToPage="1"/>
  </sheetPr>
  <dimension ref="A1:I36"/>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5" customWidth="1" style="77" min="1" max="1"/>
    <col width="34" customWidth="1" style="77" min="2" max="2"/>
    <col width="12" customWidth="1" style="77" min="3" max="3"/>
    <col width="8" customWidth="1" style="77" min="4" max="4"/>
    <col width="16" customWidth="1" style="77" min="5" max="5"/>
    <col width="8" customWidth="1" style="77" min="6" max="7"/>
    <col width="42" customWidth="1" style="77" min="8" max="8"/>
    <col width="20" customWidth="1" style="77" min="9" max="9"/>
  </cols>
  <sheetData>
    <row r="1" ht="24" customHeight="1" s="78">
      <c r="A1" s="98" t="inlineStr">
        <is>
          <t>복선 설치와 회수 (Setup → Payoff)</t>
        </is>
      </c>
    </row>
    <row r="2" ht="15" customHeight="1" s="78">
      <c r="A2" s="97" t="inlineStr">
        <is>
          <t>설치 부와 회수 부의 간격(부 수)은 수식으로 계산됩니다. 간격이 클수록 오래 기다린 복선이라 낭독 시 기억에 남습니다.</t>
        </is>
      </c>
    </row>
    <row r="4" ht="30" customHeight="1" s="78">
      <c r="A4" s="99" t="inlineStr">
        <is>
          <t>No</t>
        </is>
      </c>
      <c r="B4" s="100" t="inlineStr">
        <is>
          <t>복선(설치)</t>
        </is>
      </c>
      <c r="C4" s="100" t="inlineStr">
        <is>
          <t>유형</t>
        </is>
      </c>
      <c r="D4" s="100" t="inlineStr">
        <is>
          <t>설치 부</t>
        </is>
      </c>
      <c r="E4" s="100" t="inlineStr">
        <is>
          <t>설치 위치</t>
        </is>
      </c>
      <c r="F4" s="100" t="inlineStr">
        <is>
          <t>회수 부</t>
        </is>
      </c>
      <c r="G4" s="100" t="inlineStr">
        <is>
          <t>간격(부)</t>
        </is>
      </c>
      <c r="H4" s="100" t="inlineStr">
        <is>
          <t>회수 위치와 효과</t>
        </is>
      </c>
      <c r="I4" s="100" t="inlineStr">
        <is>
          <t>관련 인물</t>
        </is>
      </c>
    </row>
    <row r="5" ht="29.25" customHeight="1" s="78">
      <c r="A5" s="101" t="n">
        <v>1</v>
      </c>
      <c r="B5" s="85" t="inlineStr">
        <is>
          <t>Cesare의 «Questo sarà il mio ultimo inverno» 반복</t>
        </is>
      </c>
      <c r="C5" s="103" t="inlineStr">
        <is>
          <t>대사</t>
        </is>
      </c>
      <c r="D5" s="102" t="n">
        <v>1</v>
      </c>
      <c r="E5" s="85" t="inlineStr">
        <is>
          <t>1부 1화</t>
        </is>
      </c>
      <c r="F5" s="102" t="n">
        <v>11</v>
      </c>
      <c r="G5" s="101">
        <f>F5-D5</f>
        <v/>
      </c>
      <c r="H5" s="85" t="inlineStr">
        <is>
          <t>11부 12화 — 양치기 소년 개그가 진짜 (두 번째) 죽음이 되는 낙차</t>
        </is>
      </c>
      <c r="I5" s="85" t="inlineStr">
        <is>
          <t>Cesare</t>
        </is>
      </c>
    </row>
    <row r="6" ht="29.25" customHeight="1" s="78">
      <c r="A6" s="101" t="n">
        <v>2</v>
      </c>
      <c r="B6" s="85" t="inlineStr">
        <is>
          <t>Cesare가 Sofia에게 우산을 물려준다고 말한다</t>
        </is>
      </c>
      <c r="C6" s="103" t="inlineStr">
        <is>
          <t>소품</t>
        </is>
      </c>
      <c r="D6" s="102" t="n">
        <v>1</v>
      </c>
      <c r="E6" s="85" t="inlineStr">
        <is>
          <t>1부 1화</t>
        </is>
      </c>
      <c r="F6" s="102" t="n">
        <v>13</v>
      </c>
      <c r="G6" s="101">
        <f>F6-D6</f>
        <v/>
      </c>
      <c r="H6" s="85" t="inlineStr">
        <is>
          <t>13부 2화 — 유언장에서 우산이 진짜 유산으로 돌아옴</t>
        </is>
      </c>
      <c r="I6" s="85" t="inlineStr">
        <is>
          <t>Cesare, Sofia</t>
        </is>
      </c>
    </row>
    <row r="7" ht="29.25" customHeight="1" s="78">
      <c r="A7" s="101" t="n">
        <v>3</v>
      </c>
      <c r="B7" s="85" t="inlineStr">
        <is>
          <t>Cesare의 부은 발목·숨참 («Sono i calzari.»)</t>
        </is>
      </c>
      <c r="C7" s="103" t="inlineStr">
        <is>
          <t>설정</t>
        </is>
      </c>
      <c r="D7" s="102" t="n">
        <v>3</v>
      </c>
      <c r="E7" s="85" t="inlineStr">
        <is>
          <t>3부 1·5화</t>
        </is>
      </c>
      <c r="F7" s="102" t="n">
        <v>11</v>
      </c>
      <c r="G7" s="101">
        <f>F7-D7</f>
        <v/>
      </c>
      <c r="H7" s="85" t="inlineStr">
        <is>
          <t>11부 4~6화 — Giulia가 진단을 알고도 침묵한 이유가 드러남</t>
        </is>
      </c>
      <c r="I7" s="85" t="inlineStr">
        <is>
          <t>Giulia, Cesare</t>
        </is>
      </c>
    </row>
    <row r="8" ht="29.25" customHeight="1" s="78">
      <c r="A8" s="101" t="n">
        <v>4</v>
      </c>
      <c r="B8" s="85" t="inlineStr">
        <is>
          <t>Cesare의 최고 칭찬 «Niente male.»</t>
        </is>
      </c>
      <c r="C8" s="103" t="inlineStr">
        <is>
          <t>대사</t>
        </is>
      </c>
      <c r="D8" s="102" t="n">
        <v>1</v>
      </c>
      <c r="E8" s="85" t="inlineStr">
        <is>
          <t>1부 7화(Dante에게 1회)</t>
        </is>
      </c>
      <c r="F8" s="102" t="n">
        <v>11</v>
      </c>
      <c r="G8" s="101">
        <f>F8-D8</f>
        <v/>
      </c>
      <c r="H8" s="85" t="inlineStr">
        <is>
          <t>11부 12화 — Sofia에게 처음이자 마지막 칭찬, 브뤼셀 승리 직후라 더 무겁다</t>
        </is>
      </c>
      <c r="I8" s="85" t="inlineStr">
        <is>
          <t>Cesare, Sofia</t>
        </is>
      </c>
    </row>
    <row r="9" ht="29.25" customHeight="1" s="78">
      <c r="A9" s="101" t="n">
        <v>5</v>
      </c>
      <c r="B9" s="85" t="inlineStr">
        <is>
          <t>Sofia의 1차 폭발</t>
        </is>
      </c>
      <c r="C9" s="103" t="inlineStr">
        <is>
          <t>사건</t>
        </is>
      </c>
      <c r="D9" s="102" t="n">
        <v>1</v>
      </c>
      <c r="E9" s="85" t="inlineStr">
        <is>
          <t>1부 6화</t>
        </is>
      </c>
      <c r="F9" s="102" t="n">
        <v>9</v>
      </c>
      <c r="G9" s="101">
        <f>F9-D9</f>
        <v/>
      </c>
      <c r="H9" s="85" t="inlineStr">
        <is>
          <t>9부 6화 — 몰라서 화내던 Sofia → 알아서 화내는 Sofia</t>
        </is>
      </c>
      <c r="I9" s="85" t="inlineStr">
        <is>
          <t>Sofia</t>
        </is>
      </c>
    </row>
    <row r="10" ht="29.25" customHeight="1" s="78">
      <c r="A10" s="101" t="n">
        <v>6</v>
      </c>
      <c r="B10" s="85" t="inlineStr">
        <is>
          <t>Sofia의 Lei (Cesare에게)</t>
        </is>
      </c>
      <c r="C10" s="103" t="inlineStr">
        <is>
          <t>호칭</t>
        </is>
      </c>
      <c r="D10" s="102" t="n">
        <v>1</v>
      </c>
      <c r="E10" s="85" t="inlineStr">
        <is>
          <t>1부 1화</t>
        </is>
      </c>
      <c r="F10" s="102" t="n">
        <v>12</v>
      </c>
      <c r="G10" s="101">
        <f>F10-D10</f>
        <v/>
      </c>
      <c r="H10" s="85" t="inlineStr">
        <is>
          <t>12부 1화 — 조사에서 처음 tu — 호칭 전환이 곧 애도</t>
        </is>
      </c>
      <c r="I10" s="85" t="inlineStr">
        <is>
          <t>Sofia, Cesare</t>
        </is>
      </c>
    </row>
    <row r="11" ht="29.25" customHeight="1" s="78">
      <c r="A11" s="101" t="n">
        <v>7</v>
      </c>
      <c r="B11" s="85" t="inlineStr">
        <is>
          <t>Gramsci의 카드 #1과 «Cercalo tu.»</t>
        </is>
      </c>
      <c r="C11" s="103" t="inlineStr">
        <is>
          <t>대사</t>
        </is>
      </c>
      <c r="D11" s="102" t="n">
        <v>1</v>
      </c>
      <c r="E11" s="85" t="inlineStr">
        <is>
          <t>1부 2화</t>
        </is>
      </c>
      <c r="F11" s="102" t="n">
        <v>13</v>
      </c>
      <c r="G11" s="101">
        <f>F11-D11</f>
        <v/>
      </c>
      <c r="H11" s="85" t="inlineStr">
        <is>
          <t>13부 10화 — 끝까지 결론을 말하지 않던 그가 처음 답을 말함</t>
        </is>
      </c>
      <c r="I11" s="85" t="inlineStr">
        <is>
          <t>Gramsci, Sofia</t>
        </is>
      </c>
    </row>
    <row r="12" ht="29.25" customHeight="1" s="78">
      <c r="A12" s="101" t="n">
        <v>8</v>
      </c>
      <c r="B12" s="85" t="inlineStr">
        <is>
          <t>Marco의 «갱신 거절(diniego di rinnovo)» 조항</t>
        </is>
      </c>
      <c r="C12" s="103" t="inlineStr">
        <is>
          <t>사건</t>
        </is>
      </c>
      <c r="D12" s="102" t="n">
        <v>2</v>
      </c>
      <c r="E12" s="85" t="inlineStr">
        <is>
          <t>2부 6화</t>
        </is>
      </c>
      <c r="F12" s="102" t="n">
        <v>11</v>
      </c>
      <c r="G12" s="101">
        <f>F12-D12</f>
        <v/>
      </c>
      <c r="H12" s="85" t="inlineStr">
        <is>
          <t>11부 3화 — 자기가 쓰던 조항 전략을 국정에서 봉쇄</t>
        </is>
      </c>
      <c r="I12" s="85" t="inlineStr">
        <is>
          <t>Marco</t>
        </is>
      </c>
    </row>
    <row r="13" ht="29.25" customHeight="1" s="78">
      <c r="A13" s="101" t="n">
        <v>9</v>
      </c>
      <c r="B13" s="85" t="inlineStr">
        <is>
          <t>Alessandro의 «Questo non torna»</t>
        </is>
      </c>
      <c r="C13" s="103" t="inlineStr">
        <is>
          <t>대사</t>
        </is>
      </c>
      <c r="D13" s="102" t="n">
        <v>2</v>
      </c>
      <c r="E13" s="85" t="inlineStr">
        <is>
          <t>2부 4화</t>
        </is>
      </c>
      <c r="F13" s="102" t="n">
        <v>4</v>
      </c>
      <c r="G13" s="101">
        <f>F13-D13</f>
        <v/>
      </c>
      <c r="H13" s="85" t="inlineStr">
        <is>
          <t>4부 4화 — 감사인의 눈이 처음 이상을 발견한 순간의 원점</t>
        </is>
      </c>
      <c r="I13" s="85" t="inlineStr">
        <is>
          <t>Alessandro</t>
        </is>
      </c>
    </row>
    <row r="14" ht="16.5" customHeight="1" s="78">
      <c r="A14" s="101" t="n">
        <v>10</v>
      </c>
      <c r="B14" s="85" t="inlineStr">
        <is>
          <t>Alessandro의 복사본 USB</t>
        </is>
      </c>
      <c r="C14" s="103" t="inlineStr">
        <is>
          <t>소품</t>
        </is>
      </c>
      <c r="D14" s="102" t="n">
        <v>4</v>
      </c>
      <c r="E14" s="85" t="inlineStr">
        <is>
          <t>4부 10화</t>
        </is>
      </c>
      <c r="F14" s="102" t="n">
        <v>7</v>
      </c>
      <c r="G14" s="101">
        <f>F14-D14</f>
        <v/>
      </c>
      <c r="H14" s="85" t="inlineStr">
        <is>
          <t>7부 5~6화 — 서명의 죄가 고발의 증거로 바뀜</t>
        </is>
      </c>
      <c r="I14" s="85" t="inlineStr">
        <is>
          <t>Alessandro, Marco</t>
        </is>
      </c>
    </row>
    <row r="15" ht="29.25" customHeight="1" s="78">
      <c r="A15" s="101" t="n">
        <v>11</v>
      </c>
      <c r="B15" s="85" t="inlineStr">
        <is>
          <t>Alessandro의 «다시는 서명하지 않는다»</t>
        </is>
      </c>
      <c r="C15" s="103" t="inlineStr">
        <is>
          <t>인물</t>
        </is>
      </c>
      <c r="D15" s="102" t="n">
        <v>4</v>
      </c>
      <c r="E15" s="85" t="inlineStr">
        <is>
          <t>4부 11화</t>
        </is>
      </c>
      <c r="F15" s="102" t="n">
        <v>11</v>
      </c>
      <c r="G15" s="101">
        <f>F15-D15</f>
        <v/>
      </c>
      <c r="H15" s="85" t="inlineStr">
        <is>
          <t>11부 10화 — «Io firmo solo ciò che ho verificato.» — 브뤼셀 합의문 서명으로 회수</t>
        </is>
      </c>
      <c r="I15" s="85" t="inlineStr">
        <is>
          <t>Alessandro</t>
        </is>
      </c>
    </row>
    <row r="16" ht="29.25" customHeight="1" s="78">
      <c r="A16" s="101" t="n">
        <v>12</v>
      </c>
      <c r="B16" s="85" t="inlineStr">
        <is>
          <t>Chiara의 C47 셀</t>
        </is>
      </c>
      <c r="C16" s="103" t="inlineStr">
        <is>
          <t>소품</t>
        </is>
      </c>
      <c r="D16" s="102" t="n">
        <v>5</v>
      </c>
      <c r="E16" s="85" t="inlineStr">
        <is>
          <t>5부 6화</t>
        </is>
      </c>
      <c r="F16" s="102" t="n">
        <v>11</v>
      </c>
      <c r="G16" s="101">
        <f>F16-D16</f>
        <v/>
      </c>
      <c r="H16" s="85" t="inlineStr">
        <is>
          <t>11부 9화 — 사람을 지우던 셀이 해고 없는 통합 모델로</t>
        </is>
      </c>
      <c r="I16" s="85" t="inlineStr">
        <is>
          <t>Chiara</t>
        </is>
      </c>
    </row>
    <row r="17" ht="29.25" customHeight="1" s="78">
      <c r="A17" s="101" t="n">
        <v>13</v>
      </c>
      <c r="B17" s="85" t="inlineStr">
        <is>
          <t>Chiara의 «Mettiamolo in una matrice»</t>
        </is>
      </c>
      <c r="C17" s="103" t="inlineStr">
        <is>
          <t>대사</t>
        </is>
      </c>
      <c r="D17" s="102" t="n">
        <v>1</v>
      </c>
      <c r="E17" s="85" t="inlineStr">
        <is>
          <t>1부 1화</t>
        </is>
      </c>
      <c r="F17" s="102" t="n">
        <v>13</v>
      </c>
      <c r="G17" s="101">
        <f>F17-D17</f>
        <v/>
      </c>
      <c r="H17" s="85" t="inlineStr">
        <is>
          <t>13부 6화 — «Ok, senza slide» — 쉬운 말로의 변화</t>
        </is>
      </c>
      <c r="I17" s="85" t="inlineStr">
        <is>
          <t>Chiara</t>
        </is>
      </c>
    </row>
    <row r="18" ht="29.25" customHeight="1" s="78">
      <c r="A18" s="101" t="n">
        <v>14</v>
      </c>
      <c r="B18" s="85" t="inlineStr">
        <is>
          <t>Giulia의 이름 명단</t>
        </is>
      </c>
      <c r="C18" s="103" t="inlineStr">
        <is>
          <t>소품</t>
        </is>
      </c>
      <c r="D18" s="102" t="n">
        <v>3</v>
      </c>
      <c r="E18" s="85" t="inlineStr">
        <is>
          <t>3부 5화</t>
        </is>
      </c>
      <c r="F18" s="102" t="n">
        <v>13</v>
      </c>
      <c r="G18" s="101">
        <f>F18-D18</f>
        <v/>
      </c>
      <c r="H18" s="85" t="inlineStr">
        <is>
          <t>13부 7화 — 수첩의 이름들이 임기 보고서의 사람 이야기가 됨</t>
        </is>
      </c>
      <c r="I18" s="85" t="inlineStr">
        <is>
          <t>Giulia</t>
        </is>
      </c>
    </row>
    <row r="19" ht="16.5" customHeight="1" s="78">
      <c r="A19" s="101" t="n">
        <v>15</v>
      </c>
      <c r="B19" s="85" t="inlineStr">
        <is>
          <t>Paolo–Chiara 갈등</t>
        </is>
      </c>
      <c r="C19" s="103" t="inlineStr">
        <is>
          <t>관계</t>
        </is>
      </c>
      <c r="D19" s="102" t="n">
        <v>5</v>
      </c>
      <c r="E19" s="85" t="inlineStr">
        <is>
          <t>5부 7·10화</t>
        </is>
      </c>
      <c r="F19" s="102" t="n">
        <v>10</v>
      </c>
      <c r="G19" s="101">
        <f>F19-D19</f>
        <v/>
      </c>
      <c r="H19" s="85" t="inlineStr">
        <is>
          <t>10부 8화 — 해고한 쪽과 해고당한 쪽의 화해</t>
        </is>
      </c>
      <c r="I19" s="85" t="inlineStr">
        <is>
          <t>Paolo, Chiara</t>
        </is>
      </c>
    </row>
    <row r="20" ht="29.25" customHeight="1" s="78">
      <c r="A20" s="101" t="n">
        <v>16</v>
      </c>
      <c r="B20" s="85" t="inlineStr">
        <is>
          <t>Francesco의 첫 등장(의뢰인)</t>
        </is>
      </c>
      <c r="C20" s="103" t="inlineStr">
        <is>
          <t>인물</t>
        </is>
      </c>
      <c r="D20" s="102" t="n">
        <v>1</v>
      </c>
      <c r="E20" s="85" t="inlineStr">
        <is>
          <t>1부 9화</t>
        </is>
      </c>
      <c r="F20" s="102" t="n">
        <v>9</v>
      </c>
      <c r="G20" s="101">
        <f>F20-D20</f>
        <v/>
      </c>
      <c r="H20" s="85" t="inlineStr">
        <is>
          <t>9부 8화 — 내부고발자가 시 계약 스캔들의 열쇠가 됨</t>
        </is>
      </c>
      <c r="I20" s="85" t="inlineStr">
        <is>
          <t>Francesco</t>
        </is>
      </c>
    </row>
    <row r="21" ht="29.25" customHeight="1" s="78">
      <c r="A21" s="101" t="n">
        <v>17</v>
      </c>
      <c r="B21" s="85" t="inlineStr">
        <is>
          <t>Gruppo Meridiano의 이름</t>
        </is>
      </c>
      <c r="C21" s="103" t="inlineStr">
        <is>
          <t>설정</t>
        </is>
      </c>
      <c r="D21" s="102" t="n">
        <v>2</v>
      </c>
      <c r="E21" s="85" t="inlineStr">
        <is>
          <t>2부 3화</t>
        </is>
      </c>
      <c r="F21" s="102" t="n">
        <v>12</v>
      </c>
      <c r="G21" s="101">
        <f>F21-D21</f>
        <v/>
      </c>
      <c r="H21" s="85" t="inlineStr">
        <is>
          <t>12부 7화 — 13부를 관통하는 악역의 수사가 불신임안 정국 속에서 재판으로 넘어감</t>
        </is>
      </c>
      <c r="I21" s="86" t="inlineStr">
        <is>
          <t>전원</t>
        </is>
      </c>
    </row>
    <row r="22" ht="29.25" customHeight="1" s="78">
      <c r="A22" s="101" t="n">
        <v>18</v>
      </c>
      <c r="B22" s="85" t="inlineStr">
        <is>
          <t>Montessori의 «E questo come ti fa sentire?»</t>
        </is>
      </c>
      <c r="C22" s="103" t="inlineStr">
        <is>
          <t>대사</t>
        </is>
      </c>
      <c r="D22" s="102" t="n">
        <v>1</v>
      </c>
      <c r="E22" s="85" t="inlineStr">
        <is>
          <t>1부 7화</t>
        </is>
      </c>
      <c r="F22" s="102" t="n">
        <v>12</v>
      </c>
      <c r="G22" s="101">
        <f>F22-D22</f>
        <v/>
      </c>
      <c r="H22" s="85" t="inlineStr">
        <is>
          <t>12부(애도 상담) — 다들 질색하던 질문이 처음 진지하게 쓰임</t>
        </is>
      </c>
      <c r="I22" s="85" t="inlineStr">
        <is>
          <t>Montessori</t>
        </is>
      </c>
    </row>
    <row r="23" ht="29.25" customHeight="1" s="78">
      <c r="A23" s="101" t="n">
        <v>19</v>
      </c>
      <c r="B23" s="85" t="inlineStr">
        <is>
          <t>Dante의 서툰 첫 연설</t>
        </is>
      </c>
      <c r="C23" s="103" t="inlineStr">
        <is>
          <t>사건</t>
        </is>
      </c>
      <c r="D23" s="102" t="n">
        <v>6</v>
      </c>
      <c r="E23" s="85" t="inlineStr">
        <is>
          <t>6부 9화</t>
        </is>
      </c>
      <c r="F23" s="102" t="n">
        <v>10</v>
      </c>
      <c r="G23" s="101">
        <f>F23-D23</f>
        <v/>
      </c>
      <c r="H23" s="85" t="inlineStr">
        <is>
          <t>10부 12화 — 취임 연설·유작 메모까지 이어지는 글쟁이의 성장</t>
        </is>
      </c>
      <c r="I23" s="85" t="inlineStr">
        <is>
          <t>Dante</t>
        </is>
      </c>
    </row>
    <row r="24" ht="29.25" customHeight="1" s="78">
      <c r="A24" s="101" t="n">
        <v>20</v>
      </c>
      <c r="B24" s="85" t="inlineStr">
        <is>
          <t>Garibaldi의 «Nulla da segnalare»</t>
        </is>
      </c>
      <c r="C24" s="103" t="inlineStr">
        <is>
          <t>대사</t>
        </is>
      </c>
      <c r="D24" s="102" t="n">
        <v>1</v>
      </c>
      <c r="E24" s="85" t="inlineStr">
        <is>
          <t>1부 4화</t>
        </is>
      </c>
      <c r="F24" s="102" t="n">
        <v>12</v>
      </c>
      <c r="G24" s="101">
        <f>F24-D24</f>
        <v/>
      </c>
      <c r="H24" s="85" t="inlineStr">
        <is>
          <t>12부 8화 — 홍수 앞에서 처음으로 «C'è da segnalare»라고 보고</t>
        </is>
      </c>
      <c r="I24" s="85" t="inlineStr">
        <is>
          <t>Garibaldi</t>
        </is>
      </c>
    </row>
    <row r="25" ht="29.25" customHeight="1" s="78">
      <c r="A25" s="101" t="n">
        <v>21</v>
      </c>
      <c r="B25" s="85" t="inlineStr">
        <is>
          <t>Rosa의 식탁과 «Sedetevi, che vi porto qualcosa.»</t>
        </is>
      </c>
      <c r="C25" s="103" t="inlineStr">
        <is>
          <t>소품</t>
        </is>
      </c>
      <c r="D25" s="102" t="n">
        <v>1</v>
      </c>
      <c r="E25" s="85" t="inlineStr">
        <is>
          <t>1부 1·12화</t>
        </is>
      </c>
      <c r="F25" s="102" t="n">
        <v>13</v>
      </c>
      <c r="G25" s="101">
        <f>F25-D25</f>
        <v/>
      </c>
      <c r="H25" s="85" t="inlineStr">
        <is>
          <t>13부 12화 — 같은 대사로 시작해 같은 대사로 끝나는 원형</t>
        </is>
      </c>
      <c r="I25" s="85" t="inlineStr">
        <is>
          <t>Rosa</t>
        </is>
      </c>
    </row>
    <row r="26" ht="29.25" customHeight="1" s="78">
      <c r="A26" s="101" t="n">
        <v>22</v>
      </c>
      <c r="B26" s="85" t="inlineStr">
        <is>
          <t>«Sono le cinque. Comincia la riunione…»</t>
        </is>
      </c>
      <c r="C26" s="103" t="inlineStr">
        <is>
          <t>대사</t>
        </is>
      </c>
      <c r="D26" s="102" t="n">
        <v>6</v>
      </c>
      <c r="E26" s="85" t="inlineStr">
        <is>
          <t>6부 12화</t>
        </is>
      </c>
      <c r="F26" s="102" t="n">
        <v>13</v>
      </c>
      <c r="G26" s="101">
        <f>F26-D26</f>
        <v/>
      </c>
      <c r="H26" s="85" t="inlineStr">
        <is>
          <t>13부 1·11화 — 시간의 고리: 낭독자가 같은 문장을 다시 읽음</t>
        </is>
      </c>
      <c r="I26" s="85" t="inlineStr">
        <is>
          <t>Rosa, 전원</t>
        </is>
      </c>
    </row>
    <row r="27" ht="29.25" customHeight="1" s="78">
      <c r="A27" s="101" t="n">
        <v>23</v>
      </c>
      <c r="B27" s="85" t="inlineStr">
        <is>
          <t>TB의 조건부 기권</t>
        </is>
      </c>
      <c r="C27" s="103" t="inlineStr">
        <is>
          <t>정치</t>
        </is>
      </c>
      <c r="D27" s="102" t="n">
        <v>10</v>
      </c>
      <c r="E27" s="85" t="inlineStr">
        <is>
          <t>10부 11~12화</t>
        </is>
      </c>
      <c r="F27" s="102" t="n">
        <v>12</v>
      </c>
      <c r="G27" s="101">
        <f>F27-D27</f>
        <v/>
      </c>
      <c r="H27" s="85" t="inlineStr">
        <is>
          <t>12부 7화 — 협상의 대가(차등 자치)가 불신임안 정국으로 이어짐</t>
        </is>
      </c>
      <c r="I27" s="85" t="inlineStr">
        <is>
          <t>Chiara, Marco, Machiavelli</t>
        </is>
      </c>
    </row>
    <row r="28" ht="29.25" customHeight="1" s="78">
      <c r="A28" s="101" t="n">
        <v>24</v>
      </c>
      <c r="B28" s="86" t="inlineStr">
        <is>
          <t>공직자 범죄 축소·도청 제한 법안</t>
        </is>
      </c>
      <c r="C28" s="103" t="inlineStr">
        <is>
          <t>정치</t>
        </is>
      </c>
      <c r="D28" s="102" t="n">
        <v>7</v>
      </c>
      <c r="E28" s="85" t="inlineStr">
        <is>
          <t>7부 11화</t>
        </is>
      </c>
      <c r="F28" s="102" t="n">
        <v>8</v>
      </c>
      <c r="G28" s="101">
        <f>F28-D28</f>
        <v/>
      </c>
      <c r="H28" s="85" t="inlineStr">
        <is>
          <t>8부 1~5화 — 법정 승리가 법 앞에서 무력해지는 경험이 국민투표와 창당의 동기</t>
        </is>
      </c>
      <c r="I28" s="85" t="inlineStr">
        <is>
          <t>Marco, Paolo</t>
        </is>
      </c>
    </row>
    <row r="29" ht="29.25" customHeight="1" s="78">
      <c r="A29" s="101" t="n">
        <v>25</v>
      </c>
      <c r="B29" s="85" t="inlineStr">
        <is>
          <t>Cesare가 브뤼셀行을 자원한다</t>
        </is>
      </c>
      <c r="C29" s="103" t="inlineStr">
        <is>
          <t>사건</t>
        </is>
      </c>
      <c r="D29" s="102" t="n">
        <v>11</v>
      </c>
      <c r="E29" s="85" t="inlineStr">
        <is>
          <t>11부 9화</t>
        </is>
      </c>
      <c r="F29" s="102" t="n">
        <v>12</v>
      </c>
      <c r="G29" s="101">
        <f>F29-D29</f>
        <v/>
      </c>
      <c r="H29" s="85" t="inlineStr">
        <is>
          <t>12부 3화 — 그의 메모로 팀이 2차 협상을 잇는 복선</t>
        </is>
      </c>
      <c r="I29" s="85" t="inlineStr">
        <is>
          <t>Cesare, Alessandro, Dante</t>
        </is>
      </c>
    </row>
    <row r="30" ht="29.25" customHeight="1" s="78">
      <c r="A30" s="101" t="n">
        <v>26</v>
      </c>
      <c r="B30" s="85" t="inlineStr">
        <is>
          <t>Cesare가 상대의 거짓 주장을 반박한다</t>
        </is>
      </c>
      <c r="C30" s="103" t="inlineStr">
        <is>
          <t>대사</t>
        </is>
      </c>
      <c r="D30" s="102" t="n">
        <v>11</v>
      </c>
      <c r="E30" s="85" t="inlineStr">
        <is>
          <t>11부 10화</t>
        </is>
      </c>
      <c r="F30" s="102" t="n">
        <v>12</v>
      </c>
      <c r="G30" s="101">
        <f>F30-D30</f>
        <v/>
      </c>
      <c r="H30" s="85" t="inlineStr">
        <is>
          <t>12부 3화 — Dante·Alessandro가 같은 화법(정확한 반박)을 물려받음</t>
        </is>
      </c>
      <c r="I30" s="85" t="inlineStr">
        <is>
          <t>Cesare, Alessandro</t>
        </is>
      </c>
    </row>
    <row r="31" ht="29.25" customHeight="1" s="78">
      <c r="A31" s="101" t="n">
        <v>27</v>
      </c>
      <c r="B31" s="85" t="inlineStr">
        <is>
          <t>7부의 도청 논쟁</t>
        </is>
      </c>
      <c r="C31" s="103" t="inlineStr">
        <is>
          <t>사건</t>
        </is>
      </c>
      <c r="D31" s="102" t="n">
        <v>7</v>
      </c>
      <c r="E31" s="85" t="inlineStr">
        <is>
          <t>7부 8화</t>
        </is>
      </c>
      <c r="F31" s="102" t="n">
        <v>12</v>
      </c>
      <c r="G31" s="101">
        <f>F31-D31</f>
        <v/>
      </c>
      <c r="H31" s="85" t="inlineStr">
        <is>
          <t>12부 5화 — 개인 간 도청 논쟁이 국가적 스파이웨어 스캔들로 확장</t>
        </is>
      </c>
      <c r="I31" s="85" t="inlineStr">
        <is>
          <t>Gramsci, Marco, Galileo</t>
        </is>
      </c>
    </row>
    <row r="32" ht="29.25" customHeight="1" s="78">
      <c r="A32" s="101" t="n">
        <v>28</v>
      </c>
      <c r="B32" s="85" t="inlineStr">
        <is>
          <t>Galileo의 «Mi servono due fonti indipendenti»</t>
        </is>
      </c>
      <c r="C32" s="103" t="inlineStr">
        <is>
          <t>대사</t>
        </is>
      </c>
      <c r="D32" s="102" t="n">
        <v>1</v>
      </c>
      <c r="E32" s="85" t="inlineStr">
        <is>
          <t>1부 11화</t>
        </is>
      </c>
      <c r="F32" s="102" t="n">
        <v>9</v>
      </c>
      <c r="G32" s="101">
        <f>F32-D32</f>
        <v/>
      </c>
      <c r="H32" s="85" t="inlineStr">
        <is>
          <t>9부 8화 — 폭로 기사에서 두 개의 독립 출처를 갖추는 장면</t>
        </is>
      </c>
      <c r="I32" s="85" t="inlineStr">
        <is>
          <t>Galileo, Gramsci</t>
        </is>
      </c>
    </row>
    <row r="34" ht="15" customHeight="1" s="78">
      <c r="B34" s="141" t="inlineStr">
        <is>
          <t>평균 간격(부)</t>
        </is>
      </c>
      <c r="G34" s="143">
        <f>AVERAGE(G5:G32)</f>
        <v/>
      </c>
    </row>
    <row r="35" ht="15" customHeight="1" s="78">
      <c r="B35" s="141" t="inlineStr">
        <is>
          <t>가장 긴 복선(부)</t>
        </is>
      </c>
      <c r="G35" s="141">
        <f>MAX(G5:G32)</f>
        <v/>
      </c>
    </row>
    <row r="36" ht="15" customHeight="1" s="78">
      <c r="B36" s="141" t="inlineStr">
        <is>
          <t>복선 개수</t>
        </is>
      </c>
      <c r="G36" s="141">
        <f>COUNTA(B5:B32)</f>
        <v/>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9.xml><?xml version="1.0" encoding="utf-8"?>
<worksheet xmlns="http://schemas.openxmlformats.org/spreadsheetml/2006/main">
  <sheetPr filterMode="0">
    <tabColor rgb="FFC00000"/>
    <outlinePr summaryBelow="1" summaryRight="1"/>
    <pageSetUpPr fitToPage="1"/>
  </sheetPr>
  <dimension ref="A1:M29"/>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6" customWidth="1" style="77" min="1" max="1"/>
    <col width="9" customWidth="1" style="77" min="2" max="2"/>
    <col width="22" customWidth="1" style="77" min="3" max="3"/>
    <col width="26" customWidth="1" style="77" min="4" max="4"/>
    <col width="46" customWidth="1" style="77" min="5" max="5"/>
    <col width="36" customWidth="1" style="77" min="6" max="6"/>
    <col width="32" customWidth="1" style="77" min="7" max="7"/>
    <col width="24" customWidth="1" style="77" min="8" max="9"/>
    <col width="42" customWidth="1" style="77" min="10" max="10"/>
    <col width="34" customWidth="1" style="77" min="11" max="11"/>
    <col width="38" customWidth="1" style="77" min="12" max="12"/>
    <col width="36" customWidth="1" style="77" min="13" max="13"/>
  </cols>
  <sheetData>
    <row r="1" ht="24" customHeight="1" s="78">
      <c r="A1" s="98" t="inlineStr">
        <is>
          <t>이탈리아 현안 18개 배치표</t>
        </is>
      </c>
    </row>
    <row r="2" ht="15" customHeight="1" s="78">
      <c r="A2" s="97" t="inlineStr">
        <is>
          <t>현재 이탈리아의 쟁점을 이야기 곳곳에 녹이는 계획. 현실의 정당·정치인·참사 희생자는 특정하지 않고 가상 설정으로 각색하며, 제도와 통계만 현실 기준으로 쓴다.</t>
        </is>
      </c>
    </row>
    <row r="4" ht="19.5" customHeight="1" s="78">
      <c r="A4" s="99" t="inlineStr">
        <is>
          <t>ID</t>
        </is>
      </c>
      <c r="B4" s="100" t="inlineStr">
        <is>
          <t>분야</t>
        </is>
      </c>
      <c r="C4" s="100" t="inlineStr">
        <is>
          <t>현안</t>
        </is>
      </c>
      <c r="D4" s="100" t="inlineStr">
        <is>
          <t>이탈리아어 키워드</t>
        </is>
      </c>
      <c r="E4" s="100" t="inlineStr">
        <is>
          <t>이야기 속 가상 설정</t>
        </is>
      </c>
      <c r="F4" s="100" t="inlineStr">
        <is>
          <t>주요 배치 (전용 화)</t>
        </is>
      </c>
      <c r="G4" s="100" t="inlineStr">
        <is>
          <t>곁가지 배치</t>
        </is>
      </c>
      <c r="H4" s="100" t="inlineStr">
        <is>
          <t>주요 인물</t>
        </is>
      </c>
      <c r="I4" s="100" t="inlineStr">
        <is>
          <t>권한 소재</t>
        </is>
      </c>
      <c r="J4" s="100" t="inlineStr">
        <is>
          <t>관련 제도·법</t>
        </is>
      </c>
      <c r="K4" s="100" t="inlineStr">
        <is>
          <t>낭독 어휘</t>
        </is>
      </c>
      <c r="L4" s="100" t="inlineStr">
        <is>
          <t>균형·민감도 유의</t>
        </is>
      </c>
      <c r="M4" s="100" t="inlineStr">
        <is>
          <t>현실 기준값·확인</t>
        </is>
      </c>
    </row>
    <row r="5" ht="42" customHeight="1" s="78">
      <c r="A5" s="144" t="inlineStr">
        <is>
          <t>P1</t>
        </is>
      </c>
      <c r="B5" s="103" t="inlineStr">
        <is>
          <t>정치</t>
        </is>
      </c>
      <c r="C5" s="86" t="inlineStr">
        <is>
          <t>정부 불안정과 연정 협상</t>
        </is>
      </c>
      <c r="D5" s="85" t="inlineStr">
        <is>
          <t>governo, fiducia, maggioranza, rimpasto, crisi di governo</t>
        </is>
      </c>
      <c r="E5" s="86" t="inlineStr">
        <is>
          <t>어떤 정당도 과반이 안 되는 의회. 법안마다 협상 비용이 든다. Casa Comune도 연립 정부로 표결마다 파트너의 이탈을 걱정해야 한다. 공화국 역사상 짧은 정부 수명이 '이탈리아식 불안정'으로 대사에 등장한다.</t>
        </is>
      </c>
      <c r="F5" s="85" t="inlineStr">
        <is>
          <t>9부 5화 불편한 동맹, 10부 8화 탐색 위임, 12부 7화 모자란 불신임안</t>
        </is>
      </c>
      <c r="G5" s="85" t="inlineStr">
        <is>
          <t>7부 11화, 8부 6화(왜 새 정당인가: 거대 정당 피로), 11부 1화, 12부 9화</t>
        </is>
      </c>
      <c r="H5" s="85" t="inlineStr">
        <is>
          <t>Chiara, Marco, Paolo, Machiavelli</t>
        </is>
      </c>
      <c r="I5" s="86" t="inlineStr">
        <is>
          <t>하원·상원·시의회</t>
        </is>
      </c>
      <c r="J5" s="86" t="inlineStr">
        <is>
          <t>헌법 제88·92·94조, 연정 협약</t>
        </is>
      </c>
      <c r="K5" s="85" t="inlineStr">
        <is>
          <t>maggioranza, fiducia, crisi di governo, rimpasto, voto di sfiducia</t>
        </is>
      </c>
      <c r="L5" s="86" t="inlineStr">
        <is>
          <t>특정 실존 정당·인물을 비난하는 대사 금지. 가상 정당(CC·UCN·PPS·IU·TA·TB)으로만.</t>
        </is>
      </c>
      <c r="M5" s="86" t="inlineStr">
        <is>
          <t>현실은 2022년 이후 우파 연립 다수 정부(2026-09 기준). 이야기에는 쓰지 않음</t>
        </is>
      </c>
    </row>
    <row r="6" ht="54.75" customHeight="1" s="78">
      <c r="A6" s="144" t="inlineStr">
        <is>
          <t>P2</t>
        </is>
      </c>
      <c r="B6" s="103" t="inlineStr">
        <is>
          <t>정치</t>
        </is>
      </c>
      <c r="C6" s="86" t="inlineStr">
        <is>
          <t>남북 격차와 차등 자치</t>
        </is>
      </c>
      <c r="D6" s="85" t="inlineStr">
        <is>
          <t>autonomia differenziata, LEP, Mezzogiorno, questione meridionale, residuo fiscale</t>
        </is>
      </c>
      <c r="E6" s="86" t="inlineStr">
        <is>
          <t>북부 주 연합 TB가 지지의 대가로 차등 자치(더 많은 권한과 세수 이양) 가속을 요구한다. 남부의 필수 공공서비스 수준(LEP)은 어떻게 보장하나. 나라를 통일한 Garibaldi가 가장 예민하게 반응한다.</t>
        </is>
      </c>
      <c r="F6" s="85" t="inlineStr">
        <is>
          <t>10부 11화 연정 협상</t>
        </is>
      </c>
      <c r="G6" s="85" t="inlineStr">
        <is>
          <t>10부 3화(TV 토론 공격), 12부 7화(불신임안에서 TB의 기권)</t>
        </is>
      </c>
      <c r="H6" s="85" t="inlineStr">
        <is>
          <t>Garibaldi, Marco, Paolo, Chiara</t>
        </is>
      </c>
      <c r="I6" s="86" t="inlineStr">
        <is>
          <t>의회, 헌법재판소, 주</t>
        </is>
      </c>
      <c r="J6" s="86" t="inlineStr">
        <is>
          <t>헌법 제116조 3항·제117조, legge 86/2024(차등 자치), 헌법재판소 2024년 판결 192호</t>
        </is>
      </c>
      <c r="K6" s="85" t="inlineStr">
        <is>
          <t>autonomia differenziata, LEP, perequazione, Mezzogiorno, coesione</t>
        </is>
      </c>
      <c r="L6" s="86" t="inlineStr">
        <is>
          <t>가장 민감. 북부의 효율 논거와 남부의 형평 논거를 각 인물이 나눠 말하게 하고 결론은 열어 둔다(Marco는 헌법 우려, Garibaldi는 통일의 가치, Chiara는 현실 협상).</t>
        </is>
      </c>
      <c r="M6" s="86" t="inlineStr">
        <is>
          <t>헌법재판소가 2024년 legge 86/2024 일부를 위헌 판단. 이후 입법·협상 진행 상황은 반영 전 확인</t>
        </is>
      </c>
    </row>
    <row r="7" ht="42" customHeight="1" s="78">
      <c r="A7" s="144" t="inlineStr">
        <is>
          <t>P3</t>
        </is>
      </c>
      <c r="B7" s="103" t="inlineStr">
        <is>
          <t>정치</t>
        </is>
      </c>
      <c r="C7" s="86" t="inlineStr">
        <is>
          <t>사법 개혁과 정치적 대립</t>
        </is>
      </c>
      <c r="D7" s="85" t="inlineStr">
        <is>
          <t>separazione delle carriere, CSM, prescrizione, intercettazioni, lentezza della giustizia</t>
        </is>
      </c>
      <c r="E7" s="86" t="inlineStr">
        <is>
          <t>사법 개혁과 도청 제한을 둘러싼 대립 속에 스캔들 수사가 표류한다. 재판 지연과 공소시효가 사무소의 고발을 무력하게 만든다.</t>
        </is>
      </c>
      <c r="F7" s="85" t="inlineStr">
        <is>
          <t>7부(고발·GIP 결정·보복), 9부 9화 고발장</t>
        </is>
      </c>
      <c r="G7" s="85" t="inlineStr">
        <is>
          <t>2부 8화(재판), 3부(징계·외주), 4부 7화, 8부 3~4화(국민투표), 10부 11화(협상 조건), 12부 7화</t>
        </is>
      </c>
      <c r="H7" s="85" t="inlineStr">
        <is>
          <t>Marco, Galileo, Gramsci</t>
        </is>
      </c>
      <c r="I7" s="86" t="inlineStr">
        <is>
          <t>의회, 사법 최고회의(CSM), 사법부</t>
        </is>
      </c>
      <c r="J7" s="86" t="inlineStr">
        <is>
          <t>헌법 제104~112조, 형사소송법, 형법 제2조</t>
        </is>
      </c>
      <c r="K7" s="85" t="inlineStr">
        <is>
          <t>CSM, magistratura, prescrizione, intercettazioni, abolitio criminis</t>
        </is>
      </c>
      <c r="L7" s="86" t="inlineStr">
        <is>
          <t>여야 모두가 사법부를 압박한다는 비판을 각각 담는다. 실제 재판 결과를 단정하지 않는다.</t>
        </is>
      </c>
      <c r="M7" s="86" t="inlineStr">
        <is>
          <t>검사·판사 경력 분리 개헌은 2026년 3월 국민투표에서 부결(반대 약 53.6%, 투표율 약 58.9%). 이후 논의는 반영 전 확인</t>
        </is>
      </c>
    </row>
    <row r="8" ht="42" customHeight="1" s="78">
      <c r="A8" s="144" t="inlineStr">
        <is>
          <t>E1</t>
        </is>
      </c>
      <c r="B8" s="103" t="inlineStr">
        <is>
          <t>경제</t>
        </is>
      </c>
      <c r="C8" s="86" t="inlineStr">
        <is>
          <t>주거난과 단기 관광 임대</t>
        </is>
      </c>
      <c r="D8" s="85" t="inlineStr">
        <is>
          <t>emergenza abitativa, affitti brevi, sfratto, canone concordato, overtourism</t>
        </is>
      </c>
      <c r="E8" s="86" t="inlineStr">
        <is>
          <t>로마 중심가 월세가 임금보다 빨리 오르고 단기 관광 임대가 동네를 비운다. 소규모 임대인의 입장(Rosa의 친구)도 대사에 넣는다.</t>
        </is>
      </c>
      <c r="F8" s="85" t="inlineStr">
        <is>
          <t>2부 6화(조항 설계), 6부 1·3·8·10화(Quarticciolo), 9부 6화(임대료 보조 삭감·단기임대 조항), 11부 2·3화</t>
        </is>
      </c>
      <c r="G8" s="85" t="inlineStr">
        <is>
          <t>1부 1·2·11·12화(Fatima), 8부 1·9화, 13부</t>
        </is>
      </c>
      <c r="H8" s="85" t="inlineStr">
        <is>
          <t>Rosa, Sofia, Alessandro, Marco</t>
        </is>
      </c>
      <c r="I8" s="86" t="inlineStr">
        <is>
          <t>국가(임대차 기본법·세제), 주(관광·주거 정책), 시(도시계획·인허가)</t>
        </is>
      </c>
      <c r="J8" s="85" t="inlineStr">
        <is>
          <t>legge 431/1998, 단기임대 CIN 코드(d.l. 145/2023), 비귀책 체납 기금</t>
        </is>
      </c>
      <c r="K8" s="85" t="inlineStr">
        <is>
          <t>affitti brevi, sfratto, canone, piccolo proprietario, CIN</t>
        </is>
      </c>
      <c r="L8" s="86" t="inlineStr">
        <is>
          <t>임차인만 피해자로 그리지 않는다. 소규모 임대인·대형 보유자(펀드)를 구분해서 말한다.</t>
        </is>
      </c>
      <c r="M8" s="86" t="inlineStr">
        <is>
          <t>단기임대 규제와 로마 시 조치의 세부는 반영 전 확인</t>
        </is>
      </c>
    </row>
    <row r="9" ht="42" customHeight="1" s="78">
      <c r="A9" s="144" t="inlineStr">
        <is>
          <t>E2</t>
        </is>
      </c>
      <c r="B9" s="103" t="inlineStr">
        <is>
          <t>경제</t>
        </is>
      </c>
      <c r="C9" s="86" t="inlineStr">
        <is>
          <t>저생산성과 영세·가족 기업 구조</t>
        </is>
      </c>
      <c r="D9" s="85" t="inlineStr">
        <is>
          <t>microimpresa, PMI, produttività, impresa familiare, passaggio generazionale</t>
        </is>
      </c>
      <c r="E9" s="85" t="inlineStr">
        <is>
          <t>Chiara가 컨설팅한 규모의 경제 없는 가족 공방들: 해고 없이 살릴 길을 못 찾았던 과거. 11부에서 영세 기업 통합·R&amp;D 전환 사업을 설계한다.</t>
        </is>
      </c>
      <c r="F9" s="85" t="inlineStr">
        <is>
          <t>5부 3화 Ruggeri 공방</t>
        </is>
      </c>
      <c r="G9" s="85" t="inlineStr">
        <is>
          <t>8부 9화(골목 상권), 11부 9화, 13부</t>
        </is>
      </c>
      <c r="H9" s="85" t="inlineStr">
        <is>
          <t>Chiara, Rosa, Paolo</t>
        </is>
      </c>
      <c r="I9" s="86" t="inlineStr">
        <is>
          <t>국가·주</t>
        </is>
      </c>
      <c r="J9" s="85" t="inlineStr">
        <is>
          <t>R&amp;D 세액공제, 기업 지원 제도(확인), 집단해고법</t>
        </is>
      </c>
      <c r="K9" s="85" t="inlineStr">
        <is>
          <t>produttività, scalare, aggregazione, ricerca e sviluppo</t>
        </is>
      </c>
      <c r="L9" s="85" t="inlineStr">
        <is>
          <t>'영세 기업이 문제'라는 식의 낙인 대신 구조 문제로 설명한다.</t>
        </is>
      </c>
      <c r="M9" s="86" t="inlineStr">
        <is>
          <t>통계 수치는 반영 전 확인</t>
        </is>
      </c>
    </row>
    <row r="10" ht="42" customHeight="1" s="78">
      <c r="A10" s="144" t="inlineStr">
        <is>
          <t>E3</t>
        </is>
      </c>
      <c r="B10" s="103" t="inlineStr">
        <is>
          <t>경제</t>
        </is>
      </c>
      <c r="C10" s="86" t="inlineStr">
        <is>
          <t>국가 부채와 재정 건전성</t>
        </is>
      </c>
      <c r="D10" s="85" t="inlineStr">
        <is>
          <t>debito pubblico, spread, deficit, procedura per deficit eccessivo, pensioni</t>
        </is>
      </c>
      <c r="E10" s="104" t="inlineStr">
        <is>
          <t>GDP의 130%를 넘는 부채, 과도한 재정적자 절차, 연금 지출 증가 사이의 줄타기. Alessandro가 숫자로 설명하고 Sofia가 되묻는다.</t>
        </is>
      </c>
      <c r="F10" s="85" t="inlineStr">
        <is>
          <t>11부 10화(EU 재정규칙), 12부 11~12화(예산안)</t>
        </is>
      </c>
      <c r="G10" s="85" t="inlineStr">
        <is>
          <t>12부 3화, 13부 7화</t>
        </is>
      </c>
      <c r="H10" s="85" t="inlineStr">
        <is>
          <t>Alessandro, Cesare(메모), Francesco</t>
        </is>
      </c>
      <c r="I10" s="86" t="inlineStr">
        <is>
          <t>국가·EU</t>
        </is>
      </c>
      <c r="J10" s="104" t="inlineStr">
        <is>
          <t>EU 재정규칙과 중기 재정구조계획, TFUE 제126조, 헌법 제81조</t>
        </is>
      </c>
      <c r="K10" s="85" t="inlineStr">
        <is>
          <t>debito, deficit, spread, sostenibilità, pensioni</t>
        </is>
      </c>
      <c r="L10" s="86" t="inlineStr">
        <is>
          <t>긴축 vs 확대 양쪽 논거를 모두 숫자로 제시한다.</t>
        </is>
      </c>
      <c r="M10" s="86" t="inlineStr">
        <is>
          <t>부채 GDP 대비 137.1%(2025년 말, ISTAT), 2025년 적자 3.1%로 과도한 재정적자 절차 조기 졸업 불발</t>
        </is>
      </c>
    </row>
    <row r="11" ht="42" customHeight="1" s="78">
      <c r="A11" s="144" t="inlineStr">
        <is>
          <t>S1</t>
        </is>
      </c>
      <c r="B11" s="103" t="inlineStr">
        <is>
          <t>사회</t>
        </is>
      </c>
      <c r="C11" s="86" t="inlineStr">
        <is>
          <t>청년 고용 불안과 두뇌 유출</t>
        </is>
      </c>
      <c r="D11" s="85" t="inlineStr">
        <is>
          <t>tirocinio, contratto a termine, NEET, salario minimo, fuga dei cervelli</t>
        </is>
      </c>
      <c r="E11" s="86" t="inlineStr">
        <is>
          <t>무급·저임금 인턴과 기간제 계약으로 청년의 자립이 늦어지고, 많은 청년이 해외로 떠난다. 법정 최저임금이 없는 나라에서 Sofia가 그 당사자이자 질문자다.</t>
        </is>
      </c>
      <c r="F11" s="85" t="inlineStr">
        <is>
          <t>11부 6화, 13부 5·6화</t>
        </is>
      </c>
      <c r="G11" s="85" t="inlineStr">
        <is>
          <t>1부 5·6화(Davide), 5부(Chiara의 인력 감축), 7부 2화, 8부, 10부 3화</t>
        </is>
      </c>
      <c r="H11" s="85" t="inlineStr">
        <is>
          <t>Sofia, Paolo, Chiara</t>
        </is>
      </c>
      <c r="I11" s="86" t="inlineStr">
        <is>
          <t>국가(노동법)·단체협약·주(인턴 규율)</t>
        </is>
      </c>
      <c r="J11" s="86" t="inlineStr">
        <is>
          <t>사회적 대화, 단체협약, 인턴 규율(주별 지침)</t>
        </is>
      </c>
      <c r="K11" s="85" t="inlineStr">
        <is>
          <t>tirocinio, contratto, salario minimo, precariato, NEET</t>
        </is>
      </c>
      <c r="L11" s="86" t="inlineStr">
        <is>
          <t>청년 vs 기성세대 구도로 몰지 않는다(Paolo도 Cesare도 청년의 편에서 돕는다).</t>
        </is>
      </c>
      <c r="M11" s="86" t="inlineStr">
        <is>
          <t>청년(15~24세) 실업률 18.9%, 전체 5.8% (2026년 7월, ISTAT 잠정)</t>
        </is>
      </c>
    </row>
    <row r="12" ht="42" customHeight="1" s="78">
      <c r="A12" s="144" t="inlineStr">
        <is>
          <t>S2</t>
        </is>
      </c>
      <c r="B12" s="103" t="inlineStr">
        <is>
          <t>사회</t>
        </is>
      </c>
      <c r="C12" s="86" t="inlineStr">
        <is>
          <t>이민·난민과 수용 분담</t>
        </is>
      </c>
      <c r="D12" s="85" t="inlineStr">
        <is>
          <t>permesso di soggiorno, protezione speciale, accoglienza, MSNA, cittadinanza</t>
        </is>
      </c>
      <c r="E12" s="85" t="inlineStr">
        <is>
          <t>Testaccio·Esquilino는 다국적 동네다. 서류 없는 이웃, 체류허가 사건, 람페두사 도착과 수용 과부하, 보호자 없는 미성년자 비용을 둘러싼 떠넘기기.</t>
        </is>
      </c>
      <c r="F12" s="85" t="inlineStr">
        <is>
          <t>6부 8·9화(퇴거 저지·서류 없는 이웃), 7부 4화(체류허가), 11부 5화 분담</t>
        </is>
      </c>
      <c r="G12" s="85" t="inlineStr">
        <is>
          <t>1부 7·8화, 3부 6화(서류 없는 환자), 8부(투표권 없는 이웃), 10부 3화</t>
        </is>
      </c>
      <c r="H12" s="85" t="inlineStr">
        <is>
          <t>Rosa, Giulia, Marco, Paolo, Montessori</t>
        </is>
      </c>
      <c r="I12" s="86" t="inlineStr">
        <is>
          <t>국가(이민·국경·수용), 지자체(SAI·아동 보호)</t>
        </is>
      </c>
      <c r="J12" s="85" t="inlineStr">
        <is>
          <t>d.lgs. 286/1998, legge 47/2017, 수용 체계(CAS·SAI)</t>
        </is>
      </c>
      <c r="K12" s="85" t="inlineStr">
        <is>
          <t>permesso di soggiorno, accoglienza, minore non accompagnato, richiesta d'asilo, cittadinanza</t>
        </is>
      </c>
      <c r="L12" s="86" t="inlineStr">
        <is>
          <t>반이민 여론(IU)과 수용 부담 지역의 실제 어려움을 함께 담고, 이주민을 배경이 아닌 화자로 세운다.</t>
        </is>
      </c>
      <c r="M12" s="86" t="inlineStr">
        <is>
          <t>알바니아 수용 시설 협정, 시민권 요건 국민투표(2025년 정족수 미달) 등 최신 상황은 반영 전 확인</t>
        </is>
      </c>
    </row>
    <row r="13" ht="54.75" customHeight="1" s="78">
      <c r="A13" s="144" t="inlineStr">
        <is>
          <t>S3</t>
        </is>
      </c>
      <c r="B13" s="103" t="inlineStr">
        <is>
          <t>사회</t>
        </is>
      </c>
      <c r="C13" s="86" t="inlineStr">
        <is>
          <t>고령화와 내륙 과소지역(aree interne)</t>
        </is>
      </c>
      <c r="D13" s="85" t="inlineStr">
        <is>
          <t>spopolamento, aree interne, denatalità, guardia medica, piccoli comuni</t>
        </is>
      </c>
      <c r="E13" s="86" t="inlineStr">
        <is>
          <t>내륙 마을의 야간 진료소가 문을 닫고 주는 병원 외주를 늘린다(9부). Garibaldi가 말년을 보낸 사르데냐 일대의 과소 마을을 캠페인이 지나며 일자리·의료·연금 문제가 되풀이된다(10부).</t>
        </is>
      </c>
      <c r="F13" s="85" t="inlineStr">
        <is>
          <t>9부 7화 주의회에서의 보건</t>
        </is>
      </c>
      <c r="G13" s="85" t="inlineStr">
        <is>
          <t>3부(응급실 고령 환자), 10부 2화(사르데냐 내륙), 11부 4화, 13부</t>
        </is>
      </c>
      <c r="H13" s="85" t="inlineStr">
        <is>
          <t>Garibaldi, Giulia, Sofia</t>
        </is>
      </c>
      <c r="I13" s="86" t="inlineStr">
        <is>
          <t>주·시·국가</t>
        </is>
      </c>
      <c r="J13" s="86" t="inlineStr">
        <is>
          <t>내륙 지역 국가 전략(SNAI), 주 보건서비스</t>
        </is>
      </c>
      <c r="K13" s="85" t="inlineStr">
        <is>
          <t>spopolamento, invecchiamento, natalità, guardia medica</t>
        </is>
      </c>
      <c r="L13" s="85" t="inlineStr">
        <is>
          <t>'텅 빈 마을'을 동정하지 않고 마을 사람들이 직접 말하게 한다.</t>
        </is>
      </c>
      <c r="M13" s="86" t="inlineStr">
        <is>
          <t>출생률·인구 통계는 반영 전 확인</t>
        </is>
      </c>
    </row>
    <row r="14" ht="42" customHeight="1" s="78">
      <c r="A14" s="144" t="inlineStr">
        <is>
          <t>S4</t>
        </is>
      </c>
      <c r="B14" s="103" t="inlineStr">
        <is>
          <t>사회</t>
        </is>
      </c>
      <c r="C14" s="86" t="inlineStr">
        <is>
          <t>가뭄·폭염과 에너지 전환 부담</t>
        </is>
      </c>
      <c r="D14" s="85" t="inlineStr">
        <is>
          <t>siccità, ondata di calore, bollino rosso, bollette, transizione energetica</t>
        </is>
      </c>
      <c r="E14" s="86" t="inlineStr">
        <is>
          <t>폭염 경보에 응급실이 넘치고(3부), 저수지가 마른 남부 마을을 지나며(10부), 횡재세 재원을 전환 비용과 전기요금에 쓸지 논쟁한다(11부).</t>
        </is>
      </c>
      <c r="F14" s="85" t="inlineStr">
        <is>
          <t>3부 3·10화(폭염 응급실)</t>
        </is>
      </c>
      <c r="G14" s="85" t="inlineStr">
        <is>
          <t>10부 2화, 11부 4·8화, 12부 8화</t>
        </is>
      </c>
      <c r="H14" s="85" t="inlineStr">
        <is>
          <t>Giulia, Garibaldi, Alessandro</t>
        </is>
      </c>
      <c r="I14" s="86" t="inlineStr">
        <is>
          <t>국가·주·유역 관리 기구</t>
        </is>
      </c>
      <c r="J14" s="86" t="inlineStr">
        <is>
          <t>폭염 경보 체계, 수자원 관리(확인)</t>
        </is>
      </c>
      <c r="K14" s="85" t="inlineStr">
        <is>
          <t>siccità, ondata di calore, bollino rosso, bolletta, transizione energetica</t>
        </is>
      </c>
      <c r="L14" s="86" t="inlineStr">
        <is>
          <t>기후를 정치적 구호로 쓰지 않고 현장 사건으로 보여 준다.</t>
        </is>
      </c>
      <c r="M14" s="86" t="inlineStr">
        <is>
          <t>최신 가뭄·폭염 통계 확인</t>
        </is>
      </c>
    </row>
    <row r="15" ht="42" customHeight="1" s="78">
      <c r="A15" s="144" t="inlineStr">
        <is>
          <t>N1</t>
        </is>
      </c>
      <c r="B15" s="103" t="inlineStr">
        <is>
          <t>재난</t>
        </is>
      </c>
      <c r="C15" s="86" t="inlineStr">
        <is>
          <t>홍수와 수리·지반 취약성</t>
        </is>
      </c>
      <c r="D15" s="85" t="inlineStr">
        <is>
          <t>alluvione, allerta rossa, IT-alert, Protezione Civile, dissesto idrogeologico</t>
        </is>
      </c>
      <c r="E15" s="86" t="inlineStr">
        <is>
          <t>가상의 중부 지방에 집중호우와 하천 범람이 덮친다. 경보·대피 지연, 주–중앙정부 책임 공방, 국가 비상사태 선포, 민방위·군 투입, 복구와 보상.</t>
        </is>
      </c>
      <c r="F15" s="85" t="inlineStr">
        <is>
          <t>12부 8화 L'alluvione</t>
        </is>
      </c>
      <c r="G15" s="85" t="inlineStr">
        <is>
          <t>13부(복구 결산)</t>
        </is>
      </c>
      <c r="H15" s="85" t="inlineStr">
        <is>
          <t>Garibaldi, Giulia, Marco, Galileo, Dante</t>
        </is>
      </c>
      <c r="I15" s="86" t="inlineStr">
        <is>
          <t>주·시(1차 대응), 국가(비상사태·민방위 국), EU</t>
        </is>
      </c>
      <c r="J15" s="85" t="inlineStr">
        <is>
          <t>d.lgs. 1/2018(민방위법), EU 연대기금</t>
        </is>
      </c>
      <c r="K15" s="85" t="inlineStr">
        <is>
          <t>protezione civile, allerta rossa, stato di emergenza, sfollati</t>
        </is>
      </c>
      <c r="L15" s="86" t="inlineStr">
        <is>
          <t>실제 참사와 희생자를 연상시키므로 추모의 톤을 지키고, 특정 정치인 비난 없이 제도의 공백을 보여 준다.</t>
        </is>
      </c>
      <c r="M15" s="86" t="inlineStr">
        <is>
          <t>실제 홍수(에밀리아로마냐 2023 등) 후속 조치는 반영 전 확인</t>
        </is>
      </c>
    </row>
    <row r="16" ht="42" customHeight="1" s="78">
      <c r="A16" s="144" t="inlineStr">
        <is>
          <t>N2</t>
        </is>
      </c>
      <c r="B16" s="101" t="inlineStr">
        <is>
          <t>EU</t>
        </is>
      </c>
      <c r="C16" s="86" t="inlineStr">
        <is>
          <t>회복기금(PNRR) 집행</t>
        </is>
      </c>
      <c r="D16" s="85" t="inlineStr">
        <is>
          <t>PNRR, milestone, target, rendicontazione, soggetti attuatori</t>
        </is>
      </c>
      <c r="E16" s="104" t="inlineStr">
        <is>
          <t>EU 최대 규모의 회복기금이 시 계약으로 흘러가 소수 업체가 독점하고 행정 병목으로 지연된다. Alessandro·Francesco가 자금 흐름을 추적한다.</t>
        </is>
      </c>
      <c r="F16" s="85" t="inlineStr">
        <is>
          <t>9부 4화 돋보기 아래의 계약들</t>
        </is>
      </c>
      <c r="G16" s="85" t="inlineStr">
        <is>
          <t>11부 9화, 12부 9화</t>
        </is>
      </c>
      <c r="H16" s="85" t="inlineStr">
        <is>
          <t>Alessandro, Francesco, Chiara</t>
        </is>
      </c>
      <c r="I16" s="86" t="inlineStr">
        <is>
          <t>국가·주·시·EU</t>
        </is>
      </c>
      <c r="J16" s="85" t="inlineStr">
        <is>
          <t>PNRR 거버넌스(d.l. 77/2021), 공공계약법(d.lgs. 36/2023)</t>
        </is>
      </c>
      <c r="K16" s="85" t="inlineStr">
        <is>
          <t>fondi europei, gara, milestone, attuazione</t>
        </is>
      </c>
      <c r="L16" s="85" t="inlineStr">
        <is>
          <t>'기금이 낭비된다'는 단정 대신 병목의 원인(절차·인력·배분)을 나눠서 보여 준다.</t>
        </is>
      </c>
      <c r="M16" s="104" t="inlineStr">
        <is>
          <t>PNRR 사업 완료 시한(2026년 8월) 이후 최종 결산은 반영 전 확인</t>
        </is>
      </c>
    </row>
    <row r="17" ht="67.5" customHeight="1" s="78">
      <c r="A17" s="144" t="inlineStr">
        <is>
          <t>N3</t>
        </is>
      </c>
      <c r="B17" s="101" t="inlineStr">
        <is>
          <t>EU·NATO</t>
        </is>
      </c>
      <c r="C17" s="86" t="inlineStr">
        <is>
          <t>국방비 증액과 NATO</t>
        </is>
      </c>
      <c r="D17" s="85" t="inlineStr">
        <is>
          <t>spesa per la difesa, NATO, 5%, clausola di salvaguardia, SAFE</t>
        </is>
      </c>
      <c r="E17" s="85" t="inlineStr">
        <is>
          <t>2025년 헤이그 합의로 NATO가 5%(핵심 3.5%+관련 1.5%) 목표를 2035년까지 세웠고 이탈리아도 서명했다. 과도한 재정적자 절차 아래서 재원이 없다. Cesare가 11부에서 직접 나서 검증 가능한 단계 경로와 재정 유연성을 얻어내고, 12부에서 그 경로를 예산에 반영하는 논쟁이 이어진다.</t>
        </is>
      </c>
      <c r="F17" s="85" t="inlineStr">
        <is>
          <t>11부 9~11화(Cesare의 직접 협상), 11부 12화(사망)</t>
        </is>
      </c>
      <c r="G17" s="85" t="inlineStr">
        <is>
          <t>10부 3화(TV 토론), 12부 3화(후속 협상), 12부 11화(예산 반영)</t>
        </is>
      </c>
      <c r="H17" s="85" t="inlineStr">
        <is>
          <t>Cesare, Alessandro, Dante, Garibaldi, Marco</t>
        </is>
      </c>
      <c r="I17" s="86" t="inlineStr">
        <is>
          <t>국가·NATO·EU</t>
        </is>
      </c>
      <c r="J17" s="85" t="inlineStr">
        <is>
          <t>2025 헤이그 합의, EU 재정규칙 국가 예외 조항, 헌법 제81조</t>
        </is>
      </c>
      <c r="K17" s="85" t="inlineStr">
        <is>
          <t>spesa per la difesa, capacità, impegno, deterrenza</t>
        </is>
      </c>
      <c r="L17" s="86" t="inlineStr">
        <is>
          <t>안보 강화 vs 복지 우선 두 입장을 모두 설득력 있게 들려준다.</t>
        </is>
      </c>
      <c r="M17" s="86" t="inlineStr">
        <is>
          <t>이탈리아는 회계 방식 변경으로 2% 도달을 발표(2025), 2026년 4월 국방비용 예외 조항 활용 포기 보도. 최신 수치 확인</t>
        </is>
      </c>
    </row>
    <row r="18" ht="54.75" customHeight="1" s="78">
      <c r="A18" s="144" t="inlineStr">
        <is>
          <t>N4</t>
        </is>
      </c>
      <c r="B18" s="103" t="inlineStr">
        <is>
          <t>젠더</t>
        </is>
      </c>
      <c r="C18" s="86" t="inlineStr">
        <is>
          <t>성폭력 법의 '동의' 기준과 재판 지연</t>
        </is>
      </c>
      <c r="D18" s="85" t="inlineStr">
        <is>
          <t>consenso, violenza sessuale, prescrizione, femminicidio, vittimizzazione secondaria</t>
        </is>
      </c>
      <c r="E18" s="86" t="inlineStr">
        <is>
          <t>폭력·위협 입증 중심의 현행 조항과 재판 지연 때문에 피해자가 다시 심문대에 서고, 공소시효가 다가온다. 사무소가 피해자 사건을 돕고 Marco는 '법은 있는데 정의가 늦는' 현실을 마주한다.</t>
        </is>
      </c>
      <c r="F18" s="85" t="inlineStr">
        <is>
          <t>7부 3화 피해자를 벌한 시간</t>
        </is>
      </c>
      <c r="G18" s="85" t="inlineStr">
        <is>
          <t>8부 8화(성별 균형 명부), 10부 3화(TV 토론)</t>
        </is>
      </c>
      <c r="H18" s="85" t="inlineStr">
        <is>
          <t>Marco, Montessori, Alessandro, Galileo</t>
        </is>
      </c>
      <c r="I18" s="86" t="inlineStr">
        <is>
          <t>국가(형법·형사소송)</t>
        </is>
      </c>
      <c r="J18" s="86" t="inlineStr">
        <is>
          <t>형법 제609-bis조, 공소시효 규정, 여성 살해 가중 처벌 입법(확인)</t>
        </is>
      </c>
      <c r="K18" s="85" t="inlineStr">
        <is>
          <t>consenso, violenza sessuale, prescrizione, vittima</t>
        </is>
      </c>
      <c r="L18" s="104" t="inlineStr">
        <is>
          <t>'동의' 명문화 주장과 절차 개혁 우선 주장을 각자의 가장 강한 논거로 제시한다. 트랜스 관련 법은 본문에서 다루지 않거나 언급 수준으로 최소화(미결).</t>
        </is>
      </c>
      <c r="M18" s="104" t="inlineStr">
        <is>
          <t>'동의' 기준 개정안과 여성 살해죄 신설의 입법 진행 상황 확인</t>
        </is>
      </c>
    </row>
    <row r="19" ht="42" customHeight="1" s="78">
      <c r="A19" s="144" t="inlineStr">
        <is>
          <t>N5</t>
        </is>
      </c>
      <c r="B19" s="103" t="inlineStr">
        <is>
          <t>에너지</t>
        </is>
      </c>
      <c r="C19" s="86" t="inlineStr">
        <is>
          <t>재생에너지 입지 갈등(녹색 대 녹색)</t>
        </is>
      </c>
      <c r="D19" s="85" t="inlineStr">
        <is>
          <t>agrivoltaico, pale eoliche, aree idonee, paesaggio, VIA</t>
        </is>
      </c>
      <c r="E19" s="86" t="inlineStr">
        <is>
          <t>사르데냐 내륙의 대형 풍력·태양광 단지 계획: 일자리·세수 vs 농지·경관·생태. 주민 찬반이 갈리고 Montessori가 중재한다.</t>
        </is>
      </c>
      <c r="F19" s="85" t="inlineStr">
        <is>
          <t>10부 2화 전국 유세 (사르데냐 내륙의 풍력·태양광 단지)</t>
        </is>
      </c>
      <c r="G19" s="85" t="inlineStr">
        <is>
          <t>11부 8화(횡재세 재원), 13부 7화</t>
        </is>
      </c>
      <c r="H19" s="85" t="inlineStr">
        <is>
          <t>Garibaldi, Dante, Sofia, Montessori</t>
        </is>
      </c>
      <c r="I19" s="86" t="inlineStr">
        <is>
          <t>국가(대형 설비)·주(적합 부지 지정)·시</t>
        </is>
      </c>
      <c r="J19" s="86" t="inlineStr">
        <is>
          <t>적합 부지(aree idonee) 규정, 환경영향평가(VIA), 농지 지상 태양광 제한(2024)</t>
        </is>
      </c>
      <c r="K19" s="85" t="inlineStr">
        <is>
          <t>parco eolico, agrivoltaico, valutazione di impatto ambientale, agricoltore</t>
        </is>
      </c>
      <c r="L19" s="86" t="inlineStr">
        <is>
          <t>어느 쪽도 악역으로 만들지 않는다. 마을 안의 두 목소리가 모두 옳다는 형태로.</t>
        </is>
      </c>
      <c r="M19" s="86" t="inlineStr">
        <is>
          <t>사르데냐 주 적합 부지 법과 헌법재판소 다툼 등 인허가 기준 확인</t>
        </is>
      </c>
    </row>
    <row r="20" ht="42" customHeight="1" s="78">
      <c r="A20" s="144" t="inlineStr">
        <is>
          <t>N6</t>
        </is>
      </c>
      <c r="B20" s="103" t="inlineStr">
        <is>
          <t>노동</t>
        </is>
      </c>
      <c r="C20" s="86" t="inlineStr">
        <is>
          <t>플랫폼 노동(라이더) 이후의 갈등</t>
        </is>
      </c>
      <c r="D20" s="85" t="inlineStr">
        <is>
          <t>rider, algoritmo, piattaforma, caporalato digitale, subordinazione</t>
        </is>
      </c>
      <c r="E20" s="86" t="inlineStr">
        <is>
          <t>배달 라이더가 알고리즘 배차·일방적 계정 차단에 항의한다. 2019년 보호 조항 이후에도 고용 지위 분쟁과 '디지털 불법 중개' 수사가 계속됨을 Paolo가 현장에서 겪는다.</t>
        </is>
      </c>
      <c r="F20" s="85" t="inlineStr">
        <is>
          <t>12부 4화 L'app che decide</t>
        </is>
      </c>
      <c r="G20" s="85" t="inlineStr">
        <is>
          <t>5부(Chiara의 과거, 곁가지)</t>
        </is>
      </c>
      <c r="H20" s="85" t="inlineStr">
        <is>
          <t>Paolo, Dante, Marco</t>
        </is>
      </c>
      <c r="I20" s="86" t="inlineStr">
        <is>
          <t>국가(노동법)·EU</t>
        </is>
      </c>
      <c r="J20" s="85" t="inlineStr">
        <is>
          <t>d.lgs. 81/2015 제47-bis조 이하(라이더 보호), EU 지침 2024/2831</t>
        </is>
      </c>
      <c r="K20" s="85" t="inlineStr">
        <is>
          <t>algoritmo, piattaforma, lavoro subordinato, disconnessione</t>
        </is>
      </c>
      <c r="L20" s="86" t="inlineStr">
        <is>
          <t>플랫폼 vs 라이더 구도를 단순화하지 않는다. 자영업을 원하는 라이더의 목소리도 담는다.</t>
        </is>
      </c>
      <c r="M20" s="85" t="inlineStr">
        <is>
          <t>EU 플랫폼노동 지침 국내 이행 시한 2026년 12월. 최신 적용 사례는 확인 필요</t>
        </is>
      </c>
    </row>
    <row r="21" ht="42" customHeight="1" s="78">
      <c r="A21" s="144" t="inlineStr">
        <is>
          <t>N7</t>
        </is>
      </c>
      <c r="B21" s="103" t="inlineStr">
        <is>
          <t>사법·통제</t>
        </is>
      </c>
      <c r="C21" s="86" t="inlineStr">
        <is>
          <t>스파이웨어·정보기관 감시 스캔들</t>
        </is>
      </c>
      <c r="D21" s="85" t="inlineStr">
        <is>
          <t>spyware, intercettazioni illegali, COPASIR, servizi segreti, giornalisti</t>
        </is>
      </c>
      <c r="E21" s="86" t="inlineStr">
        <is>
          <t>언론인과 시민단체 활동가 휴대전화에 군사급 스파이웨어가 심어졌다는 의혹. 파시스트 정치경찰에게 감시당했던 Gramsci가 흔적을 알아채고 Marco는 합법적 감독 경로를 고집한다.</t>
        </is>
      </c>
      <c r="F21" s="85" t="inlineStr">
        <is>
          <t>12부 5화 Il software che nessuno ha autorizzato</t>
        </is>
      </c>
      <c r="G21" s="85" t="inlineStr">
        <is>
          <t>7부 8화(도청 논쟁)와 연결·확장</t>
        </is>
      </c>
      <c r="H21" s="85" t="inlineStr">
        <is>
          <t>Gramsci, Galileo, Marco</t>
        </is>
      </c>
      <c r="I21" s="86" t="inlineStr">
        <is>
          <t>정보기관(DIS·AISE·AISI)·사법부·의회(COPASIR)</t>
        </is>
      </c>
      <c r="J21" s="85" t="inlineStr">
        <is>
          <t>legge 124/2007, 형사소송법 감청 규정, 의회 조사위원회</t>
        </is>
      </c>
      <c r="K21" s="85" t="inlineStr">
        <is>
          <t>spyware, controllo parlamentare, intercettazione, segreto di Stato</t>
        </is>
      </c>
      <c r="L21" s="86" t="inlineStr">
        <is>
          <t>실제 사건을 특정하지 않는다. 가상의 스캔들로 각색하고 여야 모두를 향한 감독 공백을 보여 준다.</t>
        </is>
      </c>
      <c r="M21" s="85" t="inlineStr">
        <is>
          <t>2025년 언론인·활동가 스파이웨어 의혹 등 실제 사례가 있음. 세부는 반영 전 확인</t>
        </is>
      </c>
    </row>
    <row r="22" ht="42" customHeight="1" s="78">
      <c r="A22" s="144" t="inlineStr">
        <is>
          <t>N8</t>
        </is>
      </c>
      <c r="B22" s="103" t="inlineStr">
        <is>
          <t>사회</t>
        </is>
      </c>
      <c r="C22" s="86" t="inlineStr">
        <is>
          <t>청년 정신건강 위기</t>
        </is>
      </c>
      <c r="D22" s="85" t="inlineStr">
        <is>
          <t>salute mentale, ansia, liste d'attesa, bonus psicologo, CSM</t>
        </is>
      </c>
      <c r="E22" s="86" t="inlineStr">
        <is>
          <t>청년 정신건강 상담 대기가 몇 달씩 밀린다. Montessori가 현장에서, Sofia가 자신의 불안을 처음 인정하며 함께 부딪힌다.</t>
        </is>
      </c>
      <c r="F22" s="85" t="inlineStr">
        <is>
          <t>12부 6화 Le liste d'attesa</t>
        </is>
      </c>
      <c r="G22" s="85" t="inlineStr">
        <is>
          <t>1부(Sofia의 폭발과 연결 가능, 곁가지)</t>
        </is>
      </c>
      <c r="H22" s="85" t="inlineStr">
        <is>
          <t>Montessori, Sofia, Giulia</t>
        </is>
      </c>
      <c r="I22" s="86" t="inlineStr">
        <is>
          <t>주(정신건강 서비스)·국가(지원 예산)</t>
        </is>
      </c>
      <c r="J22" s="86" t="inlineStr">
        <is>
          <t>공공 심리 지원(bonus psicologo), 지역 정신건강센터</t>
        </is>
      </c>
      <c r="K22" s="85" t="inlineStr">
        <is>
          <t>salute mentale, ansia, terapia, lista d'attesa</t>
        </is>
      </c>
      <c r="L22" s="86" t="inlineStr">
        <is>
          <t>청년 정신건강을 극적 소재로만 소비하지 않는다. 낙인 없이, 도움을 구하는 것이 자연스럽다는 톤으로.</t>
        </is>
      </c>
      <c r="M22" s="86" t="inlineStr">
        <is>
          <t>청년 불안장애·상담 대기 증가는 이탈리아에서 널리 보도된 추세. 최신 통계는 확인 필요</t>
        </is>
      </c>
    </row>
    <row r="24" ht="18" customHeight="1" s="78">
      <c r="A24" s="81" t="inlineStr">
        <is>
          <t>현실 기준값 (확인일 2026-09-24)</t>
        </is>
      </c>
      <c r="B24" s="82" t="n"/>
      <c r="C24" s="82" t="n"/>
      <c r="D24" s="82" t="n"/>
      <c r="E24" s="82" t="n"/>
      <c r="F24" s="82" t="n"/>
      <c r="G24" s="82" t="n"/>
      <c r="H24" s="82" t="n"/>
      <c r="I24" s="82" t="n"/>
      <c r="J24" s="82" t="n"/>
      <c r="K24" s="82" t="n"/>
      <c r="L24" s="82" t="n"/>
      <c r="M24" s="82" t="n"/>
    </row>
    <row r="25" ht="19.5" customHeight="1" s="78">
      <c r="A25" s="99" t="inlineStr">
        <is>
          <t>No</t>
        </is>
      </c>
      <c r="B25" s="100" t="inlineStr">
        <is>
          <t>구분</t>
        </is>
      </c>
      <c r="C25" s="100" t="inlineStr">
        <is>
          <t>항목</t>
        </is>
      </c>
      <c r="D25" s="100" t="inlineStr">
        <is>
          <t>값</t>
        </is>
      </c>
      <c r="E25" s="100" t="inlineStr">
        <is>
          <t>출처·비고</t>
        </is>
      </c>
    </row>
    <row r="26" ht="29.25" customHeight="1" s="78">
      <c r="A26" s="101" t="inlineStr">
        <is>
          <t>1</t>
        </is>
      </c>
      <c r="B26" s="86" t="inlineStr">
        <is>
          <t>경제</t>
        </is>
      </c>
      <c r="C26" s="86" t="inlineStr">
        <is>
          <t>정부 부채 / GDP</t>
        </is>
      </c>
      <c r="D26" s="104" t="inlineStr">
        <is>
          <t>137.1% (2025년 말), 2025년 적자 3.1%</t>
        </is>
      </c>
      <c r="E26" s="104" t="inlineStr">
        <is>
          <t>ISTAT 2026년 1차 EU 통보. 과도한 재정적자 절차(2024~)는 2027년 졸업 전망 보도.</t>
        </is>
      </c>
    </row>
    <row r="27" ht="29.25" customHeight="1" s="78">
      <c r="A27" s="101" t="inlineStr">
        <is>
          <t>2</t>
        </is>
      </c>
      <c r="B27" s="86" t="inlineStr">
        <is>
          <t>사회</t>
        </is>
      </c>
      <c r="C27" s="86" t="inlineStr">
        <is>
          <t>청년(15~24세) 실업률</t>
        </is>
      </c>
      <c r="D27" s="85" t="inlineStr">
        <is>
          <t>18.9% (2026년 7월), 전체 5.8%</t>
        </is>
      </c>
      <c r="E27" s="85" t="inlineStr">
        <is>
          <t>ISTAT 월간 잠정치(트레이딩이코노믹스 인용 포함). 청년 실업은 전체의 약 3.3배.</t>
        </is>
      </c>
    </row>
    <row r="28" ht="29.25" customHeight="1" s="78">
      <c r="A28" s="101" t="inlineStr">
        <is>
          <t>3</t>
        </is>
      </c>
      <c r="B28" s="86" t="inlineStr">
        <is>
          <t>정치</t>
        </is>
      </c>
      <c r="C28" s="86" t="inlineStr">
        <is>
          <t>현 정부 형태</t>
        </is>
      </c>
      <c r="D28" s="86" t="inlineStr">
        <is>
          <t>우파 연립 다수 정부(2022~)</t>
        </is>
      </c>
      <c r="E28" s="86" t="inlineStr">
        <is>
          <t>이야기에는 실존 정당·인물을 쓰지 않는다. 이야기 속은 '연립 정부'와 '소수 야당'.</t>
        </is>
      </c>
    </row>
    <row r="29" ht="42" customHeight="1" s="78">
      <c r="A29" s="101" t="inlineStr">
        <is>
          <t>4</t>
        </is>
      </c>
      <c r="B29" s="86" t="inlineStr">
        <is>
          <t>확인 필요</t>
        </is>
      </c>
      <c r="C29" s="86" t="inlineStr">
        <is>
          <t>변동이 잦은 항목</t>
        </is>
      </c>
      <c r="D29" s="86" t="inlineStr">
        <is>
          <t>차등 자치 입법, 사법 개혁 후속, NATO 경로, 이민 협정, PNRR 결산, '동의' 기준 개정</t>
        </is>
      </c>
      <c r="E29" s="86" t="inlineStr">
        <is>
          <t>교재에 넣기 직전 최신 상태를 확인한다. (확인일 2026-09-24)</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filterMode="0">
    <tabColor rgb="FFC00000"/>
    <outlinePr summaryBelow="1" summaryRight="1"/>
    <pageSetUpPr fitToPage="1"/>
  </sheetPr>
  <dimension ref="A1:Q27"/>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6" customWidth="1" style="77" min="1" max="1"/>
    <col width="30" customWidth="1" style="77" min="2" max="2"/>
    <col width="6" customWidth="1" style="77" min="3" max="15"/>
    <col width="10" customWidth="1" style="77" min="16" max="17"/>
  </cols>
  <sheetData>
    <row r="1" ht="24" customHeight="1" s="78">
      <c r="A1" s="98" t="inlineStr">
        <is>
          <t>현안 분포표 (부 × 현안)</t>
        </is>
      </c>
    </row>
    <row r="2" ht="15" customHeight="1" s="78">
      <c r="A2" s="80" t="inlineStr">
        <is>
          <t>● = 그 화의 주된 사건(전용 화), ○ = 곁가지(대사·서브플롯). 기호를 바꾸면 아래 집계가 자동 갱신됩니다.</t>
        </is>
      </c>
    </row>
    <row r="4" ht="21.75" customHeight="1" s="78">
      <c r="A4" s="99" t="inlineStr">
        <is>
          <t>ID</t>
        </is>
      </c>
      <c r="B4" s="100" t="inlineStr">
        <is>
          <t>현안</t>
        </is>
      </c>
      <c r="C4" s="99" t="inlineStr">
        <is>
          <t>1부</t>
        </is>
      </c>
      <c r="D4" s="99" t="inlineStr">
        <is>
          <t>2부</t>
        </is>
      </c>
      <c r="E4" s="99" t="inlineStr">
        <is>
          <t>3부</t>
        </is>
      </c>
      <c r="F4" s="99" t="inlineStr">
        <is>
          <t>4부</t>
        </is>
      </c>
      <c r="G4" s="99" t="inlineStr">
        <is>
          <t>5부</t>
        </is>
      </c>
      <c r="H4" s="99" t="inlineStr">
        <is>
          <t>6부</t>
        </is>
      </c>
      <c r="I4" s="99" t="inlineStr">
        <is>
          <t>7부</t>
        </is>
      </c>
      <c r="J4" s="99" t="inlineStr">
        <is>
          <t>8부</t>
        </is>
      </c>
      <c r="K4" s="99" t="inlineStr">
        <is>
          <t>9부</t>
        </is>
      </c>
      <c r="L4" s="99" t="inlineStr">
        <is>
          <t>10부</t>
        </is>
      </c>
      <c r="M4" s="99" t="inlineStr">
        <is>
          <t>11부</t>
        </is>
      </c>
      <c r="N4" s="99" t="inlineStr">
        <is>
          <t>12부</t>
        </is>
      </c>
      <c r="O4" s="99" t="inlineStr">
        <is>
          <t>13부</t>
        </is>
      </c>
      <c r="P4" s="100" t="inlineStr">
        <is>
          <t>● 수</t>
        </is>
      </c>
      <c r="Q4" s="100" t="inlineStr">
        <is>
          <t>○ 수</t>
        </is>
      </c>
    </row>
    <row r="5" ht="15" customHeight="1" s="78">
      <c r="A5" s="125" t="inlineStr">
        <is>
          <t>P1</t>
        </is>
      </c>
      <c r="B5" s="145" t="inlineStr">
        <is>
          <t>정부 불안정·연정 협상</t>
        </is>
      </c>
      <c r="C5" s="107" t="n"/>
      <c r="D5" s="107" t="n"/>
      <c r="E5" s="107" t="n"/>
      <c r="F5" s="107" t="n"/>
      <c r="G5" s="107" t="n"/>
      <c r="H5" s="107" t="n"/>
      <c r="I5" s="107" t="inlineStr">
        <is>
          <t>○</t>
        </is>
      </c>
      <c r="J5" s="107" t="inlineStr">
        <is>
          <t>○</t>
        </is>
      </c>
      <c r="K5" s="107" t="inlineStr">
        <is>
          <t>●</t>
        </is>
      </c>
      <c r="L5" s="107" t="inlineStr">
        <is>
          <t>●</t>
        </is>
      </c>
      <c r="M5" s="107" t="inlineStr">
        <is>
          <t>○</t>
        </is>
      </c>
      <c r="N5" s="107" t="inlineStr">
        <is>
          <t>●</t>
        </is>
      </c>
      <c r="O5" s="107" t="n"/>
      <c r="P5" s="108">
        <f>COUNTIF(C5:O5,"●")</f>
        <v/>
      </c>
      <c r="Q5" s="108">
        <f>COUNTIF(C5:O5,"○")</f>
        <v/>
      </c>
    </row>
    <row r="6" ht="15" customHeight="1" s="78">
      <c r="A6" s="125" t="inlineStr">
        <is>
          <t>P2</t>
        </is>
      </c>
      <c r="B6" s="145" t="inlineStr">
        <is>
          <t>남북 격차·차등 자치</t>
        </is>
      </c>
      <c r="C6" s="107" t="n"/>
      <c r="D6" s="107" t="n"/>
      <c r="E6" s="107" t="n"/>
      <c r="F6" s="107" t="n"/>
      <c r="G6" s="107" t="n"/>
      <c r="H6" s="107" t="n"/>
      <c r="I6" s="107" t="n"/>
      <c r="J6" s="107" t="n"/>
      <c r="K6" s="107" t="n"/>
      <c r="L6" s="107" t="inlineStr">
        <is>
          <t>●</t>
        </is>
      </c>
      <c r="M6" s="107" t="n"/>
      <c r="N6" s="107" t="inlineStr">
        <is>
          <t>○</t>
        </is>
      </c>
      <c r="O6" s="107" t="n"/>
      <c r="P6" s="108">
        <f>COUNTIF(C6:O6,"●")</f>
        <v/>
      </c>
      <c r="Q6" s="108">
        <f>COUNTIF(C6:O6,"○")</f>
        <v/>
      </c>
    </row>
    <row r="7" ht="15" customHeight="1" s="78">
      <c r="A7" s="125" t="inlineStr">
        <is>
          <t>P3</t>
        </is>
      </c>
      <c r="B7" s="145" t="inlineStr">
        <is>
          <t>사법 개혁·정치 대립</t>
        </is>
      </c>
      <c r="C7" s="107" t="n"/>
      <c r="D7" s="107" t="inlineStr">
        <is>
          <t>○</t>
        </is>
      </c>
      <c r="E7" s="107" t="inlineStr">
        <is>
          <t>○</t>
        </is>
      </c>
      <c r="F7" s="107" t="inlineStr">
        <is>
          <t>○</t>
        </is>
      </c>
      <c r="G7" s="107" t="n"/>
      <c r="H7" s="107" t="n"/>
      <c r="I7" s="107" t="inlineStr">
        <is>
          <t>●</t>
        </is>
      </c>
      <c r="J7" s="107" t="inlineStr">
        <is>
          <t>○</t>
        </is>
      </c>
      <c r="K7" s="107" t="inlineStr">
        <is>
          <t>●</t>
        </is>
      </c>
      <c r="L7" s="107" t="inlineStr">
        <is>
          <t>○</t>
        </is>
      </c>
      <c r="M7" s="107" t="n"/>
      <c r="N7" s="107" t="inlineStr">
        <is>
          <t>○</t>
        </is>
      </c>
      <c r="O7" s="107" t="n"/>
      <c r="P7" s="108">
        <f>COUNTIF(C7:O7,"●")</f>
        <v/>
      </c>
      <c r="Q7" s="108">
        <f>COUNTIF(C7:O7,"○")</f>
        <v/>
      </c>
    </row>
    <row r="8" ht="15" customHeight="1" s="78">
      <c r="A8" s="125" t="inlineStr">
        <is>
          <t>E1</t>
        </is>
      </c>
      <c r="B8" s="145" t="inlineStr">
        <is>
          <t>주거난·단기 관광 임대</t>
        </is>
      </c>
      <c r="C8" s="107" t="inlineStr">
        <is>
          <t>○</t>
        </is>
      </c>
      <c r="D8" s="107" t="inlineStr">
        <is>
          <t>●</t>
        </is>
      </c>
      <c r="E8" s="107" t="n"/>
      <c r="F8" s="107" t="n"/>
      <c r="G8" s="107" t="n"/>
      <c r="H8" s="107" t="inlineStr">
        <is>
          <t>●</t>
        </is>
      </c>
      <c r="I8" s="107" t="n"/>
      <c r="J8" s="107" t="inlineStr">
        <is>
          <t>○</t>
        </is>
      </c>
      <c r="K8" s="107" t="inlineStr">
        <is>
          <t>●</t>
        </is>
      </c>
      <c r="L8" s="107" t="n"/>
      <c r="M8" s="107" t="inlineStr">
        <is>
          <t>●</t>
        </is>
      </c>
      <c r="N8" s="107" t="n"/>
      <c r="O8" s="107" t="inlineStr">
        <is>
          <t>○</t>
        </is>
      </c>
      <c r="P8" s="108">
        <f>COUNTIF(C8:O8,"●")</f>
        <v/>
      </c>
      <c r="Q8" s="108">
        <f>COUNTIF(C8:O8,"○")</f>
        <v/>
      </c>
    </row>
    <row r="9" ht="15" customHeight="1" s="78">
      <c r="A9" s="125" t="inlineStr">
        <is>
          <t>E2</t>
        </is>
      </c>
      <c r="B9" s="145" t="inlineStr">
        <is>
          <t>저생산성·영세 기업</t>
        </is>
      </c>
      <c r="C9" s="107" t="n"/>
      <c r="D9" s="107" t="n"/>
      <c r="E9" s="107" t="n"/>
      <c r="F9" s="107" t="n"/>
      <c r="G9" s="107" t="inlineStr">
        <is>
          <t>●</t>
        </is>
      </c>
      <c r="H9" s="107" t="n"/>
      <c r="I9" s="107" t="n"/>
      <c r="J9" s="107" t="inlineStr">
        <is>
          <t>○</t>
        </is>
      </c>
      <c r="K9" s="107" t="n"/>
      <c r="L9" s="107" t="n"/>
      <c r="M9" s="107" t="inlineStr">
        <is>
          <t>○</t>
        </is>
      </c>
      <c r="N9" s="107" t="n"/>
      <c r="O9" s="107" t="inlineStr">
        <is>
          <t>○</t>
        </is>
      </c>
      <c r="P9" s="108">
        <f>COUNTIF(C9:O9,"●")</f>
        <v/>
      </c>
      <c r="Q9" s="108">
        <f>COUNTIF(C9:O9,"○")</f>
        <v/>
      </c>
    </row>
    <row r="10" ht="15" customHeight="1" s="78">
      <c r="A10" s="125" t="inlineStr">
        <is>
          <t>E3</t>
        </is>
      </c>
      <c r="B10" s="145" t="inlineStr">
        <is>
          <t>부채·재정·연금</t>
        </is>
      </c>
      <c r="C10" s="107" t="n"/>
      <c r="D10" s="107" t="n"/>
      <c r="E10" s="107" t="n"/>
      <c r="F10" s="107" t="n"/>
      <c r="G10" s="107" t="n"/>
      <c r="H10" s="107" t="n"/>
      <c r="I10" s="107" t="n"/>
      <c r="J10" s="107" t="n"/>
      <c r="K10" s="107" t="n"/>
      <c r="L10" s="107" t="n"/>
      <c r="M10" s="107" t="inlineStr">
        <is>
          <t>●</t>
        </is>
      </c>
      <c r="N10" s="107" t="inlineStr">
        <is>
          <t>●</t>
        </is>
      </c>
      <c r="O10" s="107" t="inlineStr">
        <is>
          <t>○</t>
        </is>
      </c>
      <c r="P10" s="108">
        <f>COUNTIF(C10:O10,"●")</f>
        <v/>
      </c>
      <c r="Q10" s="108">
        <f>COUNTIF(C10:O10,"○")</f>
        <v/>
      </c>
    </row>
    <row r="11" ht="15" customHeight="1" s="78">
      <c r="A11" s="125" t="inlineStr">
        <is>
          <t>S1</t>
        </is>
      </c>
      <c r="B11" s="145" t="inlineStr">
        <is>
          <t>청년 고용·두뇌 유출</t>
        </is>
      </c>
      <c r="C11" s="107" t="inlineStr">
        <is>
          <t>○</t>
        </is>
      </c>
      <c r="D11" s="107" t="n"/>
      <c r="E11" s="107" t="n"/>
      <c r="F11" s="107" t="n"/>
      <c r="G11" s="107" t="inlineStr">
        <is>
          <t>○</t>
        </is>
      </c>
      <c r="H11" s="107" t="n"/>
      <c r="I11" s="107" t="inlineStr">
        <is>
          <t>○</t>
        </is>
      </c>
      <c r="J11" s="107" t="inlineStr">
        <is>
          <t>○</t>
        </is>
      </c>
      <c r="K11" s="107" t="n"/>
      <c r="L11" s="107" t="inlineStr">
        <is>
          <t>○</t>
        </is>
      </c>
      <c r="M11" s="107" t="inlineStr">
        <is>
          <t>●</t>
        </is>
      </c>
      <c r="N11" s="107" t="n"/>
      <c r="O11" s="107" t="inlineStr">
        <is>
          <t>●</t>
        </is>
      </c>
      <c r="P11" s="108">
        <f>COUNTIF(C11:O11,"●")</f>
        <v/>
      </c>
      <c r="Q11" s="108">
        <f>COUNTIF(C11:O11,"○")</f>
        <v/>
      </c>
    </row>
    <row r="12" ht="15" customHeight="1" s="78">
      <c r="A12" s="125" t="inlineStr">
        <is>
          <t>S2</t>
        </is>
      </c>
      <c r="B12" s="145" t="inlineStr">
        <is>
          <t>이민·난민·수용 분담</t>
        </is>
      </c>
      <c r="C12" s="107" t="inlineStr">
        <is>
          <t>○</t>
        </is>
      </c>
      <c r="D12" s="107" t="n"/>
      <c r="E12" s="107" t="inlineStr">
        <is>
          <t>○</t>
        </is>
      </c>
      <c r="F12" s="107" t="n"/>
      <c r="G12" s="107" t="n"/>
      <c r="H12" s="107" t="inlineStr">
        <is>
          <t>●</t>
        </is>
      </c>
      <c r="I12" s="107" t="inlineStr">
        <is>
          <t>●</t>
        </is>
      </c>
      <c r="J12" s="107" t="inlineStr">
        <is>
          <t>○</t>
        </is>
      </c>
      <c r="K12" s="107" t="n"/>
      <c r="L12" s="107" t="inlineStr">
        <is>
          <t>○</t>
        </is>
      </c>
      <c r="M12" s="107" t="inlineStr">
        <is>
          <t>●</t>
        </is>
      </c>
      <c r="N12" s="107" t="n"/>
      <c r="O12" s="107" t="n"/>
      <c r="P12" s="108">
        <f>COUNTIF(C12:O12,"●")</f>
        <v/>
      </c>
      <c r="Q12" s="108">
        <f>COUNTIF(C12:O12,"○")</f>
        <v/>
      </c>
    </row>
    <row r="13" ht="15" customHeight="1" s="78">
      <c r="A13" s="125" t="inlineStr">
        <is>
          <t>S3</t>
        </is>
      </c>
      <c r="B13" s="145" t="inlineStr">
        <is>
          <t>고령화·내륙 과소지역</t>
        </is>
      </c>
      <c r="C13" s="107" t="n"/>
      <c r="D13" s="107" t="n"/>
      <c r="E13" s="107" t="inlineStr">
        <is>
          <t>○</t>
        </is>
      </c>
      <c r="F13" s="107" t="n"/>
      <c r="G13" s="107" t="n"/>
      <c r="H13" s="107" t="n"/>
      <c r="I13" s="107" t="n"/>
      <c r="J13" s="107" t="n"/>
      <c r="K13" s="107" t="inlineStr">
        <is>
          <t>●</t>
        </is>
      </c>
      <c r="L13" s="107" t="inlineStr">
        <is>
          <t>○</t>
        </is>
      </c>
      <c r="M13" s="107" t="inlineStr">
        <is>
          <t>○</t>
        </is>
      </c>
      <c r="N13" s="107" t="n"/>
      <c r="O13" s="107" t="inlineStr">
        <is>
          <t>○</t>
        </is>
      </c>
      <c r="P13" s="108">
        <f>COUNTIF(C13:O13,"●")</f>
        <v/>
      </c>
      <c r="Q13" s="108">
        <f>COUNTIF(C13:O13,"○")</f>
        <v/>
      </c>
    </row>
    <row r="14" ht="15" customHeight="1" s="78">
      <c r="A14" s="125" t="inlineStr">
        <is>
          <t>S4</t>
        </is>
      </c>
      <c r="B14" s="145" t="inlineStr">
        <is>
          <t>가뭄·폭염·에너지 전환</t>
        </is>
      </c>
      <c r="C14" s="107" t="n"/>
      <c r="D14" s="107" t="n"/>
      <c r="E14" s="107" t="inlineStr">
        <is>
          <t>●</t>
        </is>
      </c>
      <c r="F14" s="107" t="n"/>
      <c r="G14" s="107" t="n"/>
      <c r="H14" s="107" t="n"/>
      <c r="I14" s="107" t="n"/>
      <c r="J14" s="107" t="n"/>
      <c r="K14" s="107" t="n"/>
      <c r="L14" s="107" t="inlineStr">
        <is>
          <t>○</t>
        </is>
      </c>
      <c r="M14" s="107" t="inlineStr">
        <is>
          <t>○</t>
        </is>
      </c>
      <c r="N14" s="107" t="inlineStr">
        <is>
          <t>○</t>
        </is>
      </c>
      <c r="O14" s="107" t="n"/>
      <c r="P14" s="108">
        <f>COUNTIF(C14:O14,"●")</f>
        <v/>
      </c>
      <c r="Q14" s="108">
        <f>COUNTIF(C14:O14,"○")</f>
        <v/>
      </c>
    </row>
    <row r="15" ht="15" customHeight="1" s="78">
      <c r="A15" s="125" t="inlineStr">
        <is>
          <t>N1</t>
        </is>
      </c>
      <c r="B15" s="145" t="inlineStr">
        <is>
          <t>홍수·지반 취약성</t>
        </is>
      </c>
      <c r="C15" s="107" t="n"/>
      <c r="D15" s="107" t="n"/>
      <c r="E15" s="107" t="n"/>
      <c r="F15" s="107" t="n"/>
      <c r="G15" s="107" t="n"/>
      <c r="H15" s="107" t="n"/>
      <c r="I15" s="107" t="n"/>
      <c r="J15" s="107" t="n"/>
      <c r="K15" s="107" t="n"/>
      <c r="L15" s="107" t="n"/>
      <c r="M15" s="107" t="n"/>
      <c r="N15" s="107" t="inlineStr">
        <is>
          <t>●</t>
        </is>
      </c>
      <c r="O15" s="107" t="inlineStr">
        <is>
          <t>○</t>
        </is>
      </c>
      <c r="P15" s="108">
        <f>COUNTIF(C15:O15,"●")</f>
        <v/>
      </c>
      <c r="Q15" s="108">
        <f>COUNTIF(C15:O15,"○")</f>
        <v/>
      </c>
    </row>
    <row r="16" ht="15" customHeight="1" s="78">
      <c r="A16" s="125" t="inlineStr">
        <is>
          <t>N2</t>
        </is>
      </c>
      <c r="B16" s="146" t="inlineStr">
        <is>
          <t>PNRR 집행</t>
        </is>
      </c>
      <c r="C16" s="107" t="n"/>
      <c r="D16" s="107" t="n"/>
      <c r="E16" s="107" t="n"/>
      <c r="F16" s="107" t="n"/>
      <c r="G16" s="107" t="n"/>
      <c r="H16" s="107" t="n"/>
      <c r="I16" s="107" t="n"/>
      <c r="J16" s="107" t="n"/>
      <c r="K16" s="107" t="inlineStr">
        <is>
          <t>●</t>
        </is>
      </c>
      <c r="L16" s="107" t="n"/>
      <c r="M16" s="107" t="inlineStr">
        <is>
          <t>○</t>
        </is>
      </c>
      <c r="N16" s="107" t="inlineStr">
        <is>
          <t>○</t>
        </is>
      </c>
      <c r="O16" s="107" t="n"/>
      <c r="P16" s="108">
        <f>COUNTIF(C16:O16,"●")</f>
        <v/>
      </c>
      <c r="Q16" s="108">
        <f>COUNTIF(C16:O16,"○")</f>
        <v/>
      </c>
    </row>
    <row r="17" ht="15" customHeight="1" s="78">
      <c r="A17" s="125" t="inlineStr">
        <is>
          <t>N3</t>
        </is>
      </c>
      <c r="B17" s="145" t="inlineStr">
        <is>
          <t>국방비·NATO</t>
        </is>
      </c>
      <c r="C17" s="107" t="n"/>
      <c r="D17" s="107" t="n"/>
      <c r="E17" s="107" t="n"/>
      <c r="F17" s="107" t="n"/>
      <c r="G17" s="107" t="n"/>
      <c r="H17" s="107" t="n"/>
      <c r="I17" s="107" t="n"/>
      <c r="J17" s="107" t="n"/>
      <c r="K17" s="107" t="n"/>
      <c r="L17" s="107" t="inlineStr">
        <is>
          <t>○</t>
        </is>
      </c>
      <c r="M17" s="107" t="inlineStr">
        <is>
          <t>●</t>
        </is>
      </c>
      <c r="N17" s="107" t="inlineStr">
        <is>
          <t>●</t>
        </is>
      </c>
      <c r="O17" s="107" t="inlineStr">
        <is>
          <t>○</t>
        </is>
      </c>
      <c r="P17" s="108">
        <f>COUNTIF(C17:O17,"●")</f>
        <v/>
      </c>
      <c r="Q17" s="108">
        <f>COUNTIF(C17:O17,"○")</f>
        <v/>
      </c>
    </row>
    <row r="18" ht="15" customHeight="1" s="78">
      <c r="A18" s="125" t="inlineStr">
        <is>
          <t>N4</t>
        </is>
      </c>
      <c r="B18" s="145" t="inlineStr">
        <is>
          <t>성폭력 법·재판 지연</t>
        </is>
      </c>
      <c r="C18" s="107" t="n"/>
      <c r="D18" s="107" t="n"/>
      <c r="E18" s="107" t="n"/>
      <c r="F18" s="107" t="n"/>
      <c r="G18" s="107" t="n"/>
      <c r="H18" s="107" t="n"/>
      <c r="I18" s="107" t="inlineStr">
        <is>
          <t>●</t>
        </is>
      </c>
      <c r="J18" s="107" t="inlineStr">
        <is>
          <t>○</t>
        </is>
      </c>
      <c r="K18" s="107" t="n"/>
      <c r="L18" s="107" t="inlineStr">
        <is>
          <t>○</t>
        </is>
      </c>
      <c r="M18" s="107" t="n"/>
      <c r="N18" s="107" t="n"/>
      <c r="O18" s="107" t="n"/>
      <c r="P18" s="108">
        <f>COUNTIF(C18:O18,"●")</f>
        <v/>
      </c>
      <c r="Q18" s="108">
        <f>COUNTIF(C18:O18,"○")</f>
        <v/>
      </c>
    </row>
    <row r="19" ht="15" customHeight="1" s="78">
      <c r="A19" s="125" t="inlineStr">
        <is>
          <t>N5</t>
        </is>
      </c>
      <c r="B19" s="145" t="inlineStr">
        <is>
          <t>녹색 대 녹색</t>
        </is>
      </c>
      <c r="C19" s="107" t="n"/>
      <c r="D19" s="107" t="n"/>
      <c r="E19" s="107" t="n"/>
      <c r="F19" s="107" t="n"/>
      <c r="G19" s="107" t="n"/>
      <c r="H19" s="107" t="n"/>
      <c r="I19" s="107" t="n"/>
      <c r="J19" s="107" t="n"/>
      <c r="K19" s="107" t="n"/>
      <c r="L19" s="107" t="inlineStr">
        <is>
          <t>●</t>
        </is>
      </c>
      <c r="M19" s="107" t="inlineStr">
        <is>
          <t>○</t>
        </is>
      </c>
      <c r="N19" s="107" t="n"/>
      <c r="O19" s="107" t="inlineStr">
        <is>
          <t>○</t>
        </is>
      </c>
      <c r="P19" s="108">
        <f>COUNTIF(C19:O19,"●")</f>
        <v/>
      </c>
      <c r="Q19" s="108">
        <f>COUNTIF(C19:O19,"○")</f>
        <v/>
      </c>
    </row>
    <row r="20" ht="15" customHeight="1" s="78">
      <c r="A20" s="125" t="inlineStr">
        <is>
          <t>N6</t>
        </is>
      </c>
      <c r="B20" s="145" t="inlineStr">
        <is>
          <t>플랫폼 노동(라이더)</t>
        </is>
      </c>
      <c r="C20" s="107" t="n"/>
      <c r="D20" s="107" t="n"/>
      <c r="E20" s="107" t="n"/>
      <c r="F20" s="107" t="n"/>
      <c r="G20" s="107" t="inlineStr">
        <is>
          <t>○</t>
        </is>
      </c>
      <c r="H20" s="107" t="n"/>
      <c r="I20" s="107" t="n"/>
      <c r="J20" s="107" t="n"/>
      <c r="K20" s="107" t="n"/>
      <c r="L20" s="107" t="n"/>
      <c r="M20" s="107" t="n"/>
      <c r="N20" s="107" t="inlineStr">
        <is>
          <t>●</t>
        </is>
      </c>
      <c r="O20" s="107" t="n"/>
      <c r="P20" s="108">
        <f>COUNTIF(C20:O20,"●")</f>
        <v/>
      </c>
      <c r="Q20" s="108">
        <f>COUNTIF(C20:O20,"○")</f>
        <v/>
      </c>
    </row>
    <row r="21" ht="15" customHeight="1" s="78">
      <c r="A21" s="125" t="inlineStr">
        <is>
          <t>N7</t>
        </is>
      </c>
      <c r="B21" s="145" t="inlineStr">
        <is>
          <t>스파이웨어·정보기관 감시</t>
        </is>
      </c>
      <c r="C21" s="107" t="n"/>
      <c r="D21" s="107" t="n"/>
      <c r="E21" s="107" t="n"/>
      <c r="F21" s="107" t="n"/>
      <c r="G21" s="107" t="n"/>
      <c r="H21" s="107" t="n"/>
      <c r="I21" s="107" t="inlineStr">
        <is>
          <t>○</t>
        </is>
      </c>
      <c r="J21" s="107" t="n"/>
      <c r="K21" s="107" t="n"/>
      <c r="L21" s="107" t="n"/>
      <c r="M21" s="107" t="n"/>
      <c r="N21" s="107" t="inlineStr">
        <is>
          <t>●</t>
        </is>
      </c>
      <c r="O21" s="107" t="n"/>
      <c r="P21" s="108">
        <f>COUNTIF(C21:O21,"●")</f>
        <v/>
      </c>
      <c r="Q21" s="108">
        <f>COUNTIF(C21:O21,"○")</f>
        <v/>
      </c>
    </row>
    <row r="22" ht="15" customHeight="1" s="78">
      <c r="A22" s="125" t="inlineStr">
        <is>
          <t>N8</t>
        </is>
      </c>
      <c r="B22" s="145" t="inlineStr">
        <is>
          <t>청년 정신건강</t>
        </is>
      </c>
      <c r="C22" s="107" t="inlineStr">
        <is>
          <t>○</t>
        </is>
      </c>
      <c r="D22" s="107" t="n"/>
      <c r="E22" s="107" t="n"/>
      <c r="F22" s="107" t="n"/>
      <c r="G22" s="107" t="n"/>
      <c r="H22" s="107" t="n"/>
      <c r="I22" s="107" t="n"/>
      <c r="J22" s="107" t="n"/>
      <c r="K22" s="107" t="n"/>
      <c r="L22" s="107" t="n"/>
      <c r="M22" s="107" t="n"/>
      <c r="N22" s="107" t="inlineStr">
        <is>
          <t>●</t>
        </is>
      </c>
      <c r="O22" s="107" t="n"/>
      <c r="P22" s="108">
        <f>COUNTIF(C22:O22,"●")</f>
        <v/>
      </c>
      <c r="Q22" s="108">
        <f>COUNTIF(C22:O22,"○")</f>
        <v/>
      </c>
    </row>
    <row r="23" ht="15" customHeight="1" s="78">
      <c r="A23" s="147" t="n"/>
      <c r="B23" s="122" t="inlineStr">
        <is>
          <t>부별 ● 수</t>
        </is>
      </c>
      <c r="C23" s="128">
        <f>COUNTIF(C5:C22,"●")</f>
        <v/>
      </c>
      <c r="D23" s="128">
        <f>COUNTIF(D5:D22,"●")</f>
        <v/>
      </c>
      <c r="E23" s="128">
        <f>COUNTIF(E5:E22,"●")</f>
        <v/>
      </c>
      <c r="F23" s="128">
        <f>COUNTIF(F5:F22,"●")</f>
        <v/>
      </c>
      <c r="G23" s="128">
        <f>COUNTIF(G5:G22,"●")</f>
        <v/>
      </c>
      <c r="H23" s="128">
        <f>COUNTIF(H5:H22,"●")</f>
        <v/>
      </c>
      <c r="I23" s="128">
        <f>COUNTIF(I5:I22,"●")</f>
        <v/>
      </c>
      <c r="J23" s="128">
        <f>COUNTIF(J5:J22,"●")</f>
        <v/>
      </c>
      <c r="K23" s="128">
        <f>COUNTIF(K5:K22,"●")</f>
        <v/>
      </c>
      <c r="L23" s="128">
        <f>COUNTIF(L5:L22,"●")</f>
        <v/>
      </c>
      <c r="M23" s="128">
        <f>COUNTIF(M5:M22,"●")</f>
        <v/>
      </c>
      <c r="N23" s="128">
        <f>COUNTIF(N5:N22,"●")</f>
        <v/>
      </c>
      <c r="O23" s="128">
        <f>COUNTIF(O5:O22,"●")</f>
        <v/>
      </c>
      <c r="P23" s="128">
        <f>SUM(P5:P22)</f>
        <v/>
      </c>
      <c r="Q23" s="147" t="n"/>
    </row>
    <row r="24" ht="15" customHeight="1" s="78">
      <c r="A24" s="147" t="n"/>
      <c r="B24" s="122" t="inlineStr">
        <is>
          <t>부별 ○ 수</t>
        </is>
      </c>
      <c r="C24" s="128">
        <f>COUNTIF(C5:C22,"○")</f>
        <v/>
      </c>
      <c r="D24" s="128">
        <f>COUNTIF(D5:D22,"○")</f>
        <v/>
      </c>
      <c r="E24" s="128">
        <f>COUNTIF(E5:E22,"○")</f>
        <v/>
      </c>
      <c r="F24" s="128">
        <f>COUNTIF(F5:F22,"○")</f>
        <v/>
      </c>
      <c r="G24" s="128">
        <f>COUNTIF(G5:G22,"○")</f>
        <v/>
      </c>
      <c r="H24" s="128">
        <f>COUNTIF(H5:H22,"○")</f>
        <v/>
      </c>
      <c r="I24" s="128">
        <f>COUNTIF(I5:I22,"○")</f>
        <v/>
      </c>
      <c r="J24" s="128">
        <f>COUNTIF(J5:J22,"○")</f>
        <v/>
      </c>
      <c r="K24" s="128">
        <f>COUNTIF(K5:K22,"○")</f>
        <v/>
      </c>
      <c r="L24" s="128">
        <f>COUNTIF(L5:L22,"○")</f>
        <v/>
      </c>
      <c r="M24" s="128">
        <f>COUNTIF(M5:M22,"○")</f>
        <v/>
      </c>
      <c r="N24" s="128">
        <f>COUNTIF(N5:N22,"○")</f>
        <v/>
      </c>
      <c r="O24" s="128">
        <f>COUNTIF(O5:O22,"○")</f>
        <v/>
      </c>
      <c r="P24" s="147" t="n"/>
      <c r="Q24" s="128">
        <f>SUM(Q5:Q22)</f>
        <v/>
      </c>
    </row>
    <row r="26" ht="29.25" customHeight="1" s="78">
      <c r="A26" s="138" t="inlineStr">
        <is>
          <t>읽는 법: 1~5부는 곁가지 중심이라 B1~B2 난이도를 지키고, 9~12부에서 전용 화가 몰린다. 화당 전용 현안은 1개(+곁가지 1~2개)로 제한해 낭독 분량을 지킨다. N6~N8은 12부의 신규 현안으로 각 1개 전용 화를 받는다.</t>
        </is>
      </c>
    </row>
    <row r="27" ht="16.5" customHeight="1" s="78">
      <c r="A27" s="138" t="inlineStr">
        <is>
          <t>현안 ID와 설명은 '현안_배치' 시트, 화별 반영은 '화별목차_전체'의 '반영 현안' 열을 참고.</t>
        </is>
      </c>
    </row>
  </sheetData>
  <mergeCells count="2">
    <mergeCell ref="A27:Q27"/>
    <mergeCell ref="A26:Q26"/>
  </mergeCells>
  <conditionalFormatting sqref="C5:O22">
    <cfRule type="cellIs" rank="0" priority="2" equalAverage="0" operator="equal" aboveAverage="0" dxfId="3" text="" percent="0" bottom="0">
      <formula>"●"</formula>
    </cfRule>
    <cfRule type="cellIs" rank="0" priority="3" equalAverage="0" operator="equal" aboveAverage="0" dxfId="4" text="" percent="0" bottom="0">
      <formula>"○"</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tabColor rgb="FFBF8F00"/>
    <outlinePr summaryBelow="1" summaryRight="1"/>
    <pageSetUpPr fitToPage="1"/>
  </sheetPr>
  <dimension ref="A1:G55"/>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4" customWidth="1" style="77" min="1" max="1"/>
    <col width="26" customWidth="1" style="77" min="2" max="2"/>
    <col width="62" customWidth="1" style="77" min="3" max="3"/>
    <col width="34" customWidth="1" style="77" min="4" max="4"/>
    <col width="20" customWidth="1" style="77" min="5" max="5"/>
    <col width="38" customWidth="1" style="77" min="6" max="6"/>
    <col width="18" customWidth="1" style="77" min="7" max="7"/>
  </cols>
  <sheetData>
    <row r="1" ht="24" customHeight="1" s="78">
      <c r="A1" s="98" t="inlineStr">
        <is>
          <t>현실 정치 제도 기준표 (이탈리아)</t>
        </is>
      </c>
    </row>
    <row r="2" ht="15" customHeight="1" s="78">
      <c r="A2" s="80" t="inlineStr">
        <is>
          <t>8~12부에 반영한 실제 제도. 정당·정치인은 전부 가상이며 실존 정치인의 대사는 쓰지 않는다. '검색 확인' 표시는 2026-09-24 기준 자료로 확인한 항목.</t>
        </is>
      </c>
    </row>
    <row r="4" ht="19.5" customHeight="1" s="78">
      <c r="A4" s="100" t="inlineStr">
        <is>
          <t>영역</t>
        </is>
      </c>
      <c r="B4" s="100" t="inlineStr">
        <is>
          <t>제도·규칙</t>
        </is>
      </c>
      <c r="C4" s="100" t="inlineStr">
        <is>
          <t>핵심 내용</t>
        </is>
      </c>
      <c r="D4" s="100" t="inlineStr">
        <is>
          <t>근거</t>
        </is>
      </c>
      <c r="E4" s="100" t="inlineStr">
        <is>
          <t>이야기 반영</t>
        </is>
      </c>
      <c r="F4" s="100" t="inlineStr">
        <is>
          <t>낭독 어휘</t>
        </is>
      </c>
      <c r="G4" s="100" t="inlineStr">
        <is>
          <t>확인 상태</t>
        </is>
      </c>
    </row>
    <row r="5" ht="39" customHeight="1" s="78">
      <c r="A5" s="83" t="inlineStr">
        <is>
          <t>정당·선거</t>
        </is>
      </c>
      <c r="B5" s="86" t="inlineStr">
        <is>
          <t>정당 설립</t>
        </is>
      </c>
      <c r="C5" s="86" t="inlineStr">
        <is>
          <t>이탈리아 정당은 대개 법인격 없는 사단(associazione non riconosciuta)으로, 공증인 앞에서 설립 문서(atto costitutivo)와 정관(statuto)을 작성해 만든다. 국가 정당 등록부에 등록하면 2x1000 기부 등 혜택 자격을 얻는다.</t>
        </is>
      </c>
      <c r="D5" s="86" t="inlineStr">
        <is>
          <t>헌법 제49조, 민법 제36조, d.l. 149/2013 제4조</t>
        </is>
      </c>
      <c r="E5" s="85" t="inlineStr">
        <is>
          <t>8부 5화</t>
        </is>
      </c>
      <c r="F5" s="85" t="inlineStr">
        <is>
          <t>atto costitutivo, statuto, iscrizione, associazione</t>
        </is>
      </c>
      <c r="G5" s="86" t="inlineStr">
        <is>
          <t>기획 시점 지식 — Normattiva 확인 필요</t>
        </is>
      </c>
    </row>
    <row r="6" ht="26.25" customHeight="1" s="78">
      <c r="A6" s="83" t="inlineStr">
        <is>
          <t>정당·선거</t>
        </is>
      </c>
      <c r="B6" s="86" t="inlineStr">
        <is>
          <t>정당의 민주적 내부 운영</t>
        </is>
      </c>
      <c r="C6" s="86" t="inlineStr">
        <is>
          <t>시민은 '민주적 방법으로' 국가 정책 결정에 참여하기 위해 정당을 결성한다. 등록 정당의 정관은 기관 구성·당원 권리·후보 선출 절차 등을 명시해야 한다.</t>
        </is>
      </c>
      <c r="D6" s="86" t="inlineStr">
        <is>
          <t>헌법 제49조, d.l. 149/2013 제3조</t>
        </is>
      </c>
      <c r="E6" s="85" t="inlineStr">
        <is>
          <t>8부 6화</t>
        </is>
      </c>
      <c r="F6" s="85" t="inlineStr">
        <is>
          <t>metodo democratico, statuto, iscritto, organi</t>
        </is>
      </c>
      <c r="G6" s="86" t="inlineStr">
        <is>
          <t>기획 시점 지식 — Normattiva 확인 필요</t>
        </is>
      </c>
    </row>
    <row r="7" ht="26.25" customHeight="1" s="78">
      <c r="A7" s="83" t="inlineStr">
        <is>
          <t>정당·선거</t>
        </is>
      </c>
      <c r="B7" s="86" t="inlineStr">
        <is>
          <t>정당 재정</t>
        </is>
      </c>
      <c r="C7" s="86" t="inlineStr">
        <is>
          <t>공적 직접 보조금은 폐지되고(2013~), 개인의 2x1000 세금 기부와 공개 의무가 있는 후원으로 운영된다. 정당 회계는 독립 위원회(Commissione di garanzia)가 감독한다.</t>
        </is>
      </c>
      <c r="D7" s="85" t="inlineStr">
        <is>
          <t>d.l. 149/2013, legge 3/2019</t>
        </is>
      </c>
      <c r="E7" s="85" t="inlineStr">
        <is>
          <t>8부 7화</t>
        </is>
      </c>
      <c r="F7" s="85" t="inlineStr">
        <is>
          <t>finanziamento, 2x1000, donazione, rendiconto</t>
        </is>
      </c>
      <c r="G7" s="86" t="inlineStr">
        <is>
          <t>기획 시점 지식 — Normattiva 확인 필요</t>
        </is>
      </c>
    </row>
    <row r="8" ht="26.25" customHeight="1" s="78">
      <c r="A8" s="83" t="inlineStr">
        <is>
          <t>정당·선거</t>
        </is>
      </c>
      <c r="B8" s="86" t="inlineStr">
        <is>
          <t>집회 신고</t>
        </is>
      </c>
      <c r="C8" s="86" t="inlineStr">
        <is>
          <t>공공장소 집회는 최소 3일 전 경찰청장(Questore)에게 통지한다. 허가가 아니라 통지이며, 공공질서·안전을 이유로만 금지할 수 있다.</t>
        </is>
      </c>
      <c r="D8" s="86" t="inlineStr">
        <is>
          <t>헌법 제17조, TULPS 제18조</t>
        </is>
      </c>
      <c r="E8" s="85" t="inlineStr">
        <is>
          <t>8부 1화</t>
        </is>
      </c>
      <c r="F8" s="85" t="inlineStr">
        <is>
          <t>preavviso, manifestazione, Questura, piazza</t>
        </is>
      </c>
      <c r="G8" s="86" t="inlineStr">
        <is>
          <t>기획 시점 지식 — Normattiva 확인 필요</t>
        </is>
      </c>
    </row>
    <row r="9" ht="39" customHeight="1" s="78">
      <c r="A9" s="83" t="inlineStr">
        <is>
          <t>정당·선거</t>
        </is>
      </c>
      <c r="B9" s="86" t="inlineStr">
        <is>
          <t>국민 발의와 폐지 국민투표</t>
        </is>
      </c>
      <c r="C9" s="86" t="inlineStr">
        <is>
          <t>국민 5만 명 서명으로 법안을 발의할 수 있다(의회 심의 의무는 약함). 유권자 50만 명 서명(또는 주의회 5곳)으로 법률 폐지 국민투표를 청구하며, 헌법재판소 허용 심사를 거친다. 유권자 과반이 투표해야 유효하다.</t>
        </is>
      </c>
      <c r="D9" s="86" t="inlineStr">
        <is>
          <t>헌법 제71·75조, legge 352/1970</t>
        </is>
      </c>
      <c r="E9" s="85" t="inlineStr">
        <is>
          <t>8부 2~4화</t>
        </is>
      </c>
      <c r="F9" s="85" t="inlineStr">
        <is>
          <t>iniziativa popolare, referendum abrogativo, quorum, ammissibilità</t>
        </is>
      </c>
      <c r="G9" s="86" t="inlineStr">
        <is>
          <t>기획 시점 지식 — Normattiva 확인 필요</t>
        </is>
      </c>
    </row>
    <row r="10" ht="26.25" customHeight="1" s="78">
      <c r="A10" s="83" t="inlineStr">
        <is>
          <t>정당·선거</t>
        </is>
      </c>
      <c r="B10" s="86" t="inlineStr">
        <is>
          <t>총선 제도</t>
        </is>
      </c>
      <c r="C10" s="86" t="inlineStr">
        <is>
          <t>하원 400석·상원 200석(선출). 약 3/8은 소선거구 단순다수, 나머지는 비례(해외 선거구 별도). 명부 문턱 3%, 연합 문턱 10%. 하원 과반 201석.</t>
        </is>
      </c>
      <c r="D10" s="85" t="inlineStr">
        <is>
          <t>legge 165/2017 (Rosatellum), 헌법 제56·57조(2020 의석 축소 개헌)</t>
        </is>
      </c>
      <c r="E10" s="85" t="inlineStr">
        <is>
          <t>10부</t>
        </is>
      </c>
      <c r="F10" s="85" t="inlineStr">
        <is>
          <t>collegio uninominale, proporzionale, soglia di sbarramento, seggio</t>
        </is>
      </c>
      <c r="G10" s="86" t="inlineStr">
        <is>
          <t>기획 시점 지식 — Normattiva 확인 필요</t>
        </is>
      </c>
    </row>
    <row r="11" ht="26.25" customHeight="1" s="78">
      <c r="A11" s="83" t="inlineStr">
        <is>
          <t>정당·선거</t>
        </is>
      </c>
      <c r="B11" s="86" t="inlineStr">
        <is>
          <t>명부 제출 서명 요건</t>
        </is>
      </c>
      <c r="C11" s="86" t="inlineStr">
        <is>
          <t>의회에 교섭단체가 없는 정당은 선거구마다 일정 수의 유권자 서명을 받아야 명부를 낼 수 있다(전자 서명 허용 확대 중). 지방선거도 인구 규모에 따라 서명이 필요하다.</t>
        </is>
      </c>
      <c r="D11" s="85" t="inlineStr">
        <is>
          <t>legge 165/2017, 지방선거법</t>
        </is>
      </c>
      <c r="E11" s="85" t="inlineStr">
        <is>
          <t>9부 12화, 10부 1화</t>
        </is>
      </c>
      <c r="F11" s="85" t="inlineStr">
        <is>
          <t>raccolta firme, presentazione delle liste, sottoscrittori</t>
        </is>
      </c>
      <c r="G11" s="86" t="inlineStr">
        <is>
          <t>서명 수·면제 요건 확인 필요</t>
        </is>
      </c>
    </row>
    <row r="12" ht="39" customHeight="1" s="78">
      <c r="A12" s="83" t="inlineStr">
        <is>
          <t>정당·선거</t>
        </is>
      </c>
      <c r="B12" s="86" t="inlineStr">
        <is>
          <t>선거 일정</t>
        </is>
      </c>
      <c r="C12" s="86" t="inlineStr">
        <is>
          <t>해산 후 70일 안에 선거, 새 의회는 선거 후 20일 안에 소집. 선거 전날·당일은 선거운동 금지(silenzio elettorale), 마지막 15일은 여론조사 공표 금지. 방송 노출은 균등 원칙(par condicio)과 AGCOM 감독.</t>
        </is>
      </c>
      <c r="D12" s="86" t="inlineStr">
        <is>
          <t>헌법 제61조, legge 212/1956, legge 28/2000</t>
        </is>
      </c>
      <c r="E12" s="85" t="inlineStr">
        <is>
          <t>8부 11화, 10부</t>
        </is>
      </c>
      <c r="F12" s="85" t="inlineStr">
        <is>
          <t>campagna elettorale, silenzio elettorale, sondaggio, par condicio</t>
        </is>
      </c>
      <c r="G12" s="86" t="inlineStr">
        <is>
          <t>기획 시점 지식 — Normattiva 확인 필요</t>
        </is>
      </c>
    </row>
    <row r="13" ht="26.25" customHeight="1" s="78">
      <c r="A13" s="83" t="inlineStr">
        <is>
          <t>정당·선거</t>
        </is>
      </c>
      <c r="B13" s="86" t="inlineStr">
        <is>
          <t>로마 시의회·라치오 주의회 선거</t>
        </is>
      </c>
      <c r="C13" s="86" t="inlineStr">
        <is>
          <t>로마 시장은 직선제이며 과반 득표자가 없으면 2주 뒤 결선(ballottaggio). 시의회(Assemblea Capitolina)는 48석, 당선 시장 연합에 과반 보너스. 라치오 주지사도 직선제, 주의회는 약 50석.</t>
        </is>
      </c>
      <c r="D13" s="85" t="inlineStr">
        <is>
          <t>TUEL(d.lgs. 267/2000) 제71~73조, 라치오 주 선거법</t>
        </is>
      </c>
      <c r="E13" s="85" t="inlineStr">
        <is>
          <t>8부 12화, 9부</t>
        </is>
      </c>
      <c r="F13" s="85" t="inlineStr">
        <is>
          <t>sindaco, ballottaggio, consigliere, premio di maggioranza</t>
        </is>
      </c>
      <c r="G13" s="86" t="inlineStr">
        <is>
          <t>의석 수·문턱·동시 선거 여부 확인 필요</t>
        </is>
      </c>
    </row>
    <row r="14" ht="15" customHeight="1" s="78">
      <c r="A14" s="83" t="inlineStr">
        <is>
          <t>정당·선거</t>
        </is>
      </c>
      <c r="B14" s="86" t="inlineStr">
        <is>
          <t>낙선 시장 후보의 의석</t>
        </is>
      </c>
      <c r="C14" s="86" t="inlineStr">
        <is>
          <t>결선에 오르지 못한 시장 후보라도 연계 명부가 의석을 얻으면 시의원으로 선출될 수 있다.</t>
        </is>
      </c>
      <c r="D14" s="85" t="inlineStr">
        <is>
          <t>TUEL 제73조</t>
        </is>
      </c>
      <c r="E14" s="85" t="inlineStr">
        <is>
          <t>9부 1화</t>
        </is>
      </c>
      <c r="F14" s="85" t="inlineStr">
        <is>
          <t>candidato sindaco, consigliere, proclamazione</t>
        </is>
      </c>
      <c r="G14" s="86" t="inlineStr">
        <is>
          <t>조항 세부 확인 필요</t>
        </is>
      </c>
    </row>
    <row r="15" ht="26.25" customHeight="1" s="78">
      <c r="A15" s="83" t="inlineStr">
        <is>
          <t>정당·선거</t>
        </is>
      </c>
      <c r="B15" s="86" t="inlineStr">
        <is>
          <t>선거 분쟁</t>
        </is>
      </c>
      <c r="C15" s="86" t="inlineStr">
        <is>
          <t>명부 제출·접수는 선거 사무국(Ufficio elettorale)이 심사하고, 거부 결정은 행정법원(TAR) 등으로 다툰다. 방송 불공정은 AGCOM에 제소.</t>
        </is>
      </c>
      <c r="D15" s="86" t="inlineStr">
        <is>
          <t>선거법, 행정소송법</t>
        </is>
      </c>
      <c r="E15" s="85" t="inlineStr">
        <is>
          <t>8부 10~11화, 10부</t>
        </is>
      </c>
      <c r="F15" s="85" t="inlineStr">
        <is>
          <t>ricorso, TAR, AGCOM, esclusione della lista</t>
        </is>
      </c>
      <c r="G15" s="86" t="inlineStr">
        <is>
          <t>기획 시점 지식 — Normattiva 확인 필요</t>
        </is>
      </c>
    </row>
    <row r="16" ht="26.25" customHeight="1" s="78">
      <c r="A16" s="83" t="inlineStr">
        <is>
          <t>정당·선거</t>
        </is>
      </c>
      <c r="B16" s="86" t="inlineStr">
        <is>
          <t>정정권</t>
        </is>
      </c>
      <c r="C16" s="86" t="inlineStr">
        <is>
          <t>보도로 명예가 훼손된 사람은 해당 매체에 정정·반론 게재를 청구할 수 있다.</t>
        </is>
      </c>
      <c r="D16" s="85" t="inlineStr">
        <is>
          <t>legge 47/1948 제8조</t>
        </is>
      </c>
      <c r="E16" s="85" t="inlineStr">
        <is>
          <t>8부 10화</t>
        </is>
      </c>
      <c r="F16" s="85" t="inlineStr">
        <is>
          <t>rettifica, replica, diffamazione</t>
        </is>
      </c>
      <c r="G16" s="86" t="inlineStr">
        <is>
          <t>기획 시점 지식 — Normattiva 확인 필요</t>
        </is>
      </c>
    </row>
    <row r="17" ht="26.25" customHeight="1" s="78">
      <c r="A17" s="83" t="inlineStr">
        <is>
          <t>정당·선거</t>
        </is>
      </c>
      <c r="B17" s="86" t="inlineStr">
        <is>
          <t>성별 균형 명부</t>
        </is>
      </c>
      <c r="C17" s="86" t="inlineStr">
        <is>
          <t>명부 안에서 한 성별이 2/3를 넘을 수 없고, 선호 투표를 두 명 할 때는 성별을 달리해야 한다(지방선거).</t>
        </is>
      </c>
      <c r="D17" s="85" t="inlineStr">
        <is>
          <t>legge 215/2012, legge 165/2017</t>
        </is>
      </c>
      <c r="E17" s="85" t="inlineStr">
        <is>
          <t>8부 8화</t>
        </is>
      </c>
      <c r="F17" s="85" t="inlineStr">
        <is>
          <t>parità di genere, doppia preferenza di genere</t>
        </is>
      </c>
      <c r="G17" s="86" t="inlineStr">
        <is>
          <t>기획 시점 지식 — Normattiva 확인 필요</t>
        </is>
      </c>
    </row>
    <row r="18" ht="37.5" customHeight="1" s="78">
      <c r="A18" s="83" t="inlineStr">
        <is>
          <t>의회</t>
        </is>
      </c>
      <c r="B18" s="86" t="inlineStr">
        <is>
          <t>양원제</t>
        </is>
      </c>
      <c r="C18" s="86" t="inlineStr">
        <is>
          <t>하원(Camera, Montecitorio)과 상원(Senato, Palazzo Madama)이 동등한 권한을 가진 완전 양원제. 법안은 양원이 같은 문안으로 통과시켜야 한다(수정되면 다시 반대편 원으로 — navetta).</t>
        </is>
      </c>
      <c r="D18" s="86" t="inlineStr">
        <is>
          <t>헌법 제55·70조</t>
        </is>
      </c>
      <c r="E18" s="85" t="inlineStr">
        <is>
          <t>10~12부</t>
        </is>
      </c>
      <c r="F18" s="85" t="inlineStr">
        <is>
          <t>bicameralismo perfetto, navetta, Camera, Senato</t>
        </is>
      </c>
      <c r="G18" s="86" t="inlineStr">
        <is>
          <t>기획 시점 지식 — Normattiva 확인 필요</t>
        </is>
      </c>
    </row>
    <row r="19" ht="26.25" customHeight="1" s="78">
      <c r="A19" s="83" t="inlineStr">
        <is>
          <t>의회</t>
        </is>
      </c>
      <c r="B19" s="86" t="inlineStr">
        <is>
          <t>개원·의장·교섭단체</t>
        </is>
      </c>
      <c r="C19" s="86" t="inlineStr">
        <is>
          <t>새 의회 첫 회의에서 양원 의장을 선출한다. 교섭단체(gruppo parlamentare)는 하원·상원 각각의 최소 인원 요건이 있고, 미달하면 혼합 그룹(Gruppo misto).</t>
        </is>
      </c>
      <c r="D19" s="86" t="inlineStr">
        <is>
          <t>양원 의사규칙</t>
        </is>
      </c>
      <c r="E19" s="85" t="inlineStr">
        <is>
          <t>10부 5화</t>
        </is>
      </c>
      <c r="F19" s="85" t="inlineStr">
        <is>
          <t>Presidente della Camera, gruppo parlamentare, Gruppo misto</t>
        </is>
      </c>
      <c r="G19" s="86" t="inlineStr">
        <is>
          <t>최소 인원(하원 20명·상원 6명 등) 확인 필요</t>
        </is>
      </c>
    </row>
    <row r="20" ht="26.25" customHeight="1" s="78">
      <c r="A20" s="83" t="inlineStr">
        <is>
          <t>의회</t>
        </is>
      </c>
      <c r="B20" s="86" t="inlineStr">
        <is>
          <t>입법 절차</t>
        </is>
      </c>
      <c r="C20" s="86" t="inlineStr">
        <is>
          <t>정부 법안(disegno di legge)·의원 발의(proposta di legge)·국민 발의 → 위원회·본회의 → 양원 동일 문안 의결 → 대통령 공포(1개월 내) → 관보(Gazzetta Ufficiale) 게재.</t>
        </is>
      </c>
      <c r="D20" s="86" t="inlineStr">
        <is>
          <t>헌법 제70~74조</t>
        </is>
      </c>
      <c r="E20" s="85" t="inlineStr">
        <is>
          <t>11부</t>
        </is>
      </c>
      <c r="F20" s="85" t="inlineStr">
        <is>
          <t>disegno di legge, emendamento, commissione, promulgazione</t>
        </is>
      </c>
      <c r="G20" s="86" t="inlineStr">
        <is>
          <t>기획 시점 지식 — Normattiva 확인 필요</t>
        </is>
      </c>
    </row>
    <row r="21" ht="26.25" customHeight="1" s="78">
      <c r="A21" s="83" t="inlineStr">
        <is>
          <t>의회</t>
        </is>
      </c>
      <c r="B21" s="86" t="inlineStr">
        <is>
          <t>긴급 명령 (decreto-legge)</t>
        </is>
      </c>
      <c r="C21" s="86" t="inlineStr">
        <is>
          <t>정부가 '특별한 필요와 긴급성'이 있을 때 발령, 60일 안에 의회가 법률로 전환(conversione)하지 않으면 소급해 효력을 잃는다. 세금 조치에도 쓰인다(예: 2023년 은행 횡재세).</t>
        </is>
      </c>
      <c r="D21" s="86" t="inlineStr">
        <is>
          <t>헌법 제77조</t>
        </is>
      </c>
      <c r="E21" s="85" t="inlineStr">
        <is>
          <t>11부 8화</t>
        </is>
      </c>
      <c r="F21" s="85" t="inlineStr">
        <is>
          <t>decreto-legge, conversione in legge, necessità e urgenza</t>
        </is>
      </c>
      <c r="G21" s="86" t="inlineStr">
        <is>
          <t>기획 시점 지식 — Normattiva 확인 필요</t>
        </is>
      </c>
    </row>
    <row r="22" ht="39" customHeight="1" s="78">
      <c r="A22" s="83" t="inlineStr">
        <is>
          <t>의회</t>
        </is>
      </c>
      <c r="B22" s="86" t="inlineStr">
        <is>
          <t>예산안</t>
        </is>
      </c>
      <c r="C22" s="86" t="inlineStr">
        <is>
          <t>정부는 매년 10월 20일까지 예산안(legge di bilancio)을 의회에 제출, 연말까지 통과시켜야 한다. 못 하면 법률로 최대 4개월 잠정 집행(esercizio provvisorio). 헌법은 균형 재정 원칙을 둔다.</t>
        </is>
      </c>
      <c r="D22" s="86" t="inlineStr">
        <is>
          <t>헌법 제81조, legge 196/2009</t>
        </is>
      </c>
      <c r="E22" s="85" t="inlineStr">
        <is>
          <t>12부 11~12화</t>
        </is>
      </c>
      <c r="F22" s="85" t="inlineStr">
        <is>
          <t>legge di bilancio, esercizio provvisorio, pareggio di bilancio</t>
        </is>
      </c>
      <c r="G22" s="86" t="inlineStr">
        <is>
          <t>기획 시점 지식 — Normattiva 확인 필요</t>
        </is>
      </c>
    </row>
    <row r="23" ht="26.25" customHeight="1" s="78">
      <c r="A23" s="83" t="inlineStr">
        <is>
          <t>의회</t>
        </is>
      </c>
      <c r="B23" s="86" t="inlineStr">
        <is>
          <t>의원 특권</t>
        </is>
      </c>
      <c r="C23" s="86" t="inlineStr">
        <is>
          <t>의원은 직무상 표결·발언에 면책되고, 체포·수색·감청에는 소속 원의 허가가 필요하다.</t>
        </is>
      </c>
      <c r="D23" s="86" t="inlineStr">
        <is>
          <t>헌법 제68조</t>
        </is>
      </c>
      <c r="E23" s="85" t="inlineStr">
        <is>
          <t>10~12부</t>
        </is>
      </c>
      <c r="F23" s="85" t="inlineStr">
        <is>
          <t>insindacabilità, autorizzazione a procedere</t>
        </is>
      </c>
      <c r="G23" s="86" t="inlineStr">
        <is>
          <t>기획 시점 지식 — Normattiva 확인 필요</t>
        </is>
      </c>
    </row>
    <row r="24" ht="26.25" customHeight="1" s="78">
      <c r="A24" s="83" t="inlineStr">
        <is>
          <t>의회</t>
        </is>
      </c>
      <c r="B24" s="86" t="inlineStr">
        <is>
          <t>조사위원회</t>
        </is>
      </c>
      <c r="C24" s="86" t="inlineStr">
        <is>
          <t>각 원은 공익 사안에 대해 사법기관과 같은 권한을 가진 조사위원회를 설치할 수 있다.</t>
        </is>
      </c>
      <c r="D24" s="86" t="inlineStr">
        <is>
          <t>헌법 제82조</t>
        </is>
      </c>
      <c r="E24" s="85" t="inlineStr">
        <is>
          <t>9~12부</t>
        </is>
      </c>
      <c r="F24" s="85" t="inlineStr">
        <is>
          <t>commissione d'inchiesta, audizione</t>
        </is>
      </c>
      <c r="G24" s="86" t="inlineStr">
        <is>
          <t>기획 시점 지식 — Normattiva 확인 필요</t>
        </is>
      </c>
    </row>
    <row r="25" ht="39" customHeight="1" s="78">
      <c r="A25" s="83" t="inlineStr">
        <is>
          <t>정부</t>
        </is>
      </c>
      <c r="B25" s="86" t="inlineStr">
        <is>
          <t>정부 구성</t>
        </is>
      </c>
      <c r="C25" s="86" t="inlineStr">
        <is>
          <t>대통령이 정당 대표 등과 협의(consultazioni) → 총리 후보에게 조각 위임(incarico) → 후보가 장관 명단 제출 → 대통령이 임명 → Quirinale에서 선서(giuramento) → 10일 안에 양원 각각 신임(fiducia). 다수가 불분명하면 대통령이 탐색 위임(mandato esplorativo)을 주기도 한다.</t>
        </is>
      </c>
      <c r="D25" s="86" t="inlineStr">
        <is>
          <t>헌법 제92~94조, 헌정 관행</t>
        </is>
      </c>
      <c r="E25" s="85" t="inlineStr">
        <is>
          <t>10부 6~12화</t>
        </is>
      </c>
      <c r="F25" s="85" t="inlineStr">
        <is>
          <t>consultazioni, incarico, giuramento, fiducia, mandato esplorativo</t>
        </is>
      </c>
      <c r="G25" s="86" t="inlineStr">
        <is>
          <t>검색 확인 (2026-09-24) (1987년·1972년 등 신임 부결 선례 있음)</t>
        </is>
      </c>
    </row>
    <row r="26" ht="26.25" customHeight="1" s="78">
      <c r="A26" s="83" t="inlineStr">
        <is>
          <t>정부</t>
        </is>
      </c>
      <c r="B26" s="86" t="inlineStr">
        <is>
          <t>신임 투표 방식</t>
        </is>
      </c>
      <c r="C26" s="86" t="inlineStr">
        <is>
          <t>신임·불신임은 이유를 붙인 동의안으로 호명 투표(appello nominale). 찬성이 반대보다 많으면 가결(단순다수). 종신 상원의원도 투표권이 있다.</t>
        </is>
      </c>
      <c r="D26" s="86" t="inlineStr">
        <is>
          <t>헌법 제59·94조, 양원 의사규칙</t>
        </is>
      </c>
      <c r="E26" s="85" t="inlineStr">
        <is>
          <t>10부 12화, 12부 7화</t>
        </is>
      </c>
      <c r="F26" s="85" t="inlineStr">
        <is>
          <t>appello nominale, maggioranza semplice, senatore a vita</t>
        </is>
      </c>
      <c r="G26" s="86" t="inlineStr">
        <is>
          <t>상원 기권 산정 방식(규칙 개정) 확인 필요</t>
        </is>
      </c>
    </row>
    <row r="27" ht="26.25" customHeight="1" s="78">
      <c r="A27" s="83" t="inlineStr">
        <is>
          <t>정부</t>
        </is>
      </c>
      <c r="B27" s="86" t="inlineStr">
        <is>
          <t>취임과 내각</t>
        </is>
      </c>
      <c r="C27" s="86" t="inlineStr">
        <is>
          <t>총리(Presidente del Consiglio)와 장관은 대통령 앞에서 선서한다. 국무회의(Consiglio dei Ministri)는 Palazzo Chigi에서 열리며 요일은 고정되어 있지 않다.</t>
        </is>
      </c>
      <c r="D27" s="86" t="inlineStr">
        <is>
          <t>헌법 제93·95조, legge 400/1988</t>
        </is>
      </c>
      <c r="E27" s="85" t="inlineStr">
        <is>
          <t>10부 12화, 11부 1화</t>
        </is>
      </c>
      <c r="F27" s="85" t="inlineStr">
        <is>
          <t>giuramento, Presidente del Consiglio, Consiglio dei Ministri</t>
        </is>
      </c>
      <c r="G27" s="86" t="inlineStr">
        <is>
          <t>기획 시점 지식 — Normattiva 확인 필요</t>
        </is>
      </c>
    </row>
    <row r="28" ht="26.25" customHeight="1" s="78">
      <c r="A28" s="83" t="inlineStr">
        <is>
          <t>정부</t>
        </is>
      </c>
      <c r="B28" s="86" t="inlineStr">
        <is>
          <t>총리실 직제</t>
        </is>
      </c>
      <c r="C28" s="86" t="inlineStr">
        <is>
          <t>총리실(Presidenza del Consiglio)에 실장(Segretario generale), 국무차관(sottosegretario alla Presidenza), 대변인, 정보기관 총괄(DIS) 위임 등.</t>
        </is>
      </c>
      <c r="D28" s="85" t="inlineStr">
        <is>
          <t>legge 400/1988, d.lgs. 303/1999</t>
        </is>
      </c>
      <c r="E28" s="85" t="inlineStr">
        <is>
          <t>10~12부</t>
        </is>
      </c>
      <c r="F28" s="85" t="inlineStr">
        <is>
          <t>Presidenza del Consiglio, sottosegretario, portavoce</t>
        </is>
      </c>
      <c r="G28" s="86" t="inlineStr">
        <is>
          <t>기획 시점 지식 — Normattiva 확인 필요</t>
        </is>
      </c>
    </row>
    <row r="29" ht="26.25" customHeight="1" s="78">
      <c r="A29" s="83" t="inlineStr">
        <is>
          <t>정부</t>
        </is>
      </c>
      <c r="B29" s="86" t="inlineStr">
        <is>
          <t>불신임안</t>
        </is>
      </c>
      <c r="C29" s="86" t="inlineStr">
        <is>
          <t>의원 1/10 이상 서명, 제출 3일 뒤부터 토론, 호명 투표 단순다수. 대안 총리 후보는 필요 없다(건설적 불신임 아님).</t>
        </is>
      </c>
      <c r="D29" s="86" t="inlineStr">
        <is>
          <t>헌법 제94조 5항</t>
        </is>
      </c>
      <c r="E29" s="85" t="inlineStr">
        <is>
          <t>12부 7화</t>
        </is>
      </c>
      <c r="F29" s="85" t="inlineStr">
        <is>
          <t>mozione di sfiducia, appello nominale</t>
        </is>
      </c>
      <c r="G29" s="86" t="inlineStr">
        <is>
          <t>기획 시점 지식 — Normattiva 확인 필요</t>
        </is>
      </c>
    </row>
    <row r="30" ht="26.25" customHeight="1" s="78">
      <c r="A30" s="83" t="inlineStr">
        <is>
          <t>정부</t>
        </is>
      </c>
      <c r="B30" s="86" t="inlineStr">
        <is>
          <t>해산</t>
        </is>
      </c>
      <c r="C30" s="86" t="inlineStr">
        <is>
          <t>대통령이 양원 의장의 의견을 들은 뒤 양원 또는 한 원을 해산한다. 대통령 임기 마지막 6개월에는 원칙적으로 불가.</t>
        </is>
      </c>
      <c r="D30" s="86" t="inlineStr">
        <is>
          <t>헌법 제88조</t>
        </is>
      </c>
      <c r="E30" s="85" t="inlineStr">
        <is>
          <t>9부 12화, 10부 1·9화</t>
        </is>
      </c>
      <c r="F30" s="85" t="inlineStr">
        <is>
          <t>scioglimento delle Camere, decreto, elezioni anticipate</t>
        </is>
      </c>
      <c r="G30" s="86" t="inlineStr">
        <is>
          <t>기획 시점 지식 — Normattiva 확인 필요</t>
        </is>
      </c>
    </row>
    <row r="31" ht="26.25" customHeight="1" s="78">
      <c r="A31" s="83" t="inlineStr">
        <is>
          <t>정부</t>
        </is>
      </c>
      <c r="B31" s="86" t="inlineStr">
        <is>
          <t>정부 구성원 이해충돌</t>
        </is>
      </c>
      <c r="C31" s="86" t="inlineStr">
        <is>
          <t>총리·장관 등은 겸직·민간 활동이 제한되며 AGCM 등이 이해충돌을 감독한다. 공직 간 겸직 불가 규정도 따로 있다.</t>
        </is>
      </c>
      <c r="D31" s="85" t="inlineStr">
        <is>
          <t>legge 215/2004, d.lgs. 39/2013</t>
        </is>
      </c>
      <c r="E31" s="85" t="inlineStr">
        <is>
          <t>13부 1·4화</t>
        </is>
      </c>
      <c r="F31" s="85" t="inlineStr">
        <is>
          <t>conflitto di interessi, incompatibilità</t>
        </is>
      </c>
      <c r="G31" s="86" t="inlineStr">
        <is>
          <t>기획 시점 지식 — Normattiva 확인 필요</t>
        </is>
      </c>
    </row>
    <row r="32" ht="26.25" customHeight="1" s="78">
      <c r="A32" s="83" t="inlineStr">
        <is>
          <t>영토</t>
        </is>
      </c>
      <c r="B32" s="86" t="inlineStr">
        <is>
          <t>국가–주 권한 배분</t>
        </is>
      </c>
      <c r="C32" s="86" t="inlineStr">
        <is>
          <t>국가 전속 권한, 공동 입법 권한(보건·도시계획·에너지 등, 국가가 기본 원칙), 주의 잔여 권한(관광 등)으로 나뉜다. 병원 운영은 주 보건서비스(SSR)와 ASL이 맡는다.</t>
        </is>
      </c>
      <c r="D32" s="86" t="inlineStr">
        <is>
          <t>헌법 제117조</t>
        </is>
      </c>
      <c r="E32" s="85" t="inlineStr">
        <is>
          <t>9부 7화, 11부 3~5화</t>
        </is>
      </c>
      <c r="F32" s="85" t="inlineStr">
        <is>
          <t>competenza concorrente, competenza esclusiva, Regione, ASL</t>
        </is>
      </c>
      <c r="G32" s="86" t="inlineStr">
        <is>
          <t>기획 시점 지식 — Normattiva 확인 필요</t>
        </is>
      </c>
    </row>
    <row r="33" ht="26.25" customHeight="1" s="78">
      <c r="A33" s="83" t="inlineStr">
        <is>
          <t>영토</t>
        </is>
      </c>
      <c r="B33" s="86" t="inlineStr">
        <is>
          <t>라치오 주</t>
        </is>
      </c>
      <c r="C33" s="86" t="inlineStr">
        <is>
          <t>주지사(Presidente della Regione)와 주정부(Giunta), 주의회(Consiglio regionale, Via della Pisana). 주 보건서비스를 운영한다.</t>
        </is>
      </c>
      <c r="D33" s="86" t="inlineStr">
        <is>
          <t>라치오 주 헌장(Statuto)</t>
        </is>
      </c>
      <c r="E33" s="85" t="inlineStr">
        <is>
          <t>8부 12화, 9부</t>
        </is>
      </c>
      <c r="F33" s="85" t="inlineStr">
        <is>
          <t>Consiglio regionale, Giunta, assessore</t>
        </is>
      </c>
      <c r="G33" s="86" t="inlineStr">
        <is>
          <t>기획 시점 지식 — Normattiva 확인 필요</t>
        </is>
      </c>
    </row>
    <row r="34" ht="26.25" customHeight="1" s="78">
      <c r="A34" s="83" t="inlineStr">
        <is>
          <t>영토</t>
        </is>
      </c>
      <c r="B34" s="86" t="inlineStr">
        <is>
          <t>협의체</t>
        </is>
      </c>
      <c r="C34" s="86" t="inlineStr">
        <is>
          <t>국가–주 조정: 국가–주 협의회(Conferenza Stato-Regioni), 국가–지자체 통합 협의회(Conferenza Unificata), 보건 협약(Patto per la Salute), 국가 보건기금 배분.</t>
        </is>
      </c>
      <c r="D34" s="85" t="inlineStr">
        <is>
          <t>d.lgs. 281/1997</t>
        </is>
      </c>
      <c r="E34" s="85" t="inlineStr">
        <is>
          <t>11부 3~5화</t>
        </is>
      </c>
      <c r="F34" s="85" t="inlineStr">
        <is>
          <t>Conferenza Stato-Regioni, intesa, riparto</t>
        </is>
      </c>
      <c r="G34" s="86" t="inlineStr">
        <is>
          <t>기획 시점 지식 — Normattiva 확인 필요</t>
        </is>
      </c>
    </row>
    <row r="35" ht="26.25" customHeight="1" s="78">
      <c r="A35" s="83" t="inlineStr">
        <is>
          <t>영토</t>
        </is>
      </c>
      <c r="B35" s="86" t="inlineStr">
        <is>
          <t>로마 수도(Roma Capitale)</t>
        </is>
      </c>
      <c r="C35" s="86" t="inlineStr">
        <is>
          <t>시장·시정부(Giunta)·Assemblea Capitolina, 15개 구(Municipi). 수도로서 특별 권한 확대 논의가 계속된다. 시 산하 기업·기관 계약은 공공계약법 적용.</t>
        </is>
      </c>
      <c r="D35" s="85" t="inlineStr">
        <is>
          <t>TUEL, legge 42/2009 제24조, d.lgs. 36/2023</t>
        </is>
      </c>
      <c r="E35" s="85" t="inlineStr">
        <is>
          <t>9부</t>
        </is>
      </c>
      <c r="F35" s="85" t="inlineStr">
        <is>
          <t>Assemblea Capitolina, Giunta, Municipio, gara</t>
        </is>
      </c>
      <c r="G35" s="86" t="inlineStr">
        <is>
          <t>기획 시점 지식 — Normattiva 확인 필요</t>
        </is>
      </c>
    </row>
    <row r="36" ht="26.25" customHeight="1" s="78">
      <c r="A36" s="83" t="inlineStr">
        <is>
          <t>영토</t>
        </is>
      </c>
      <c r="B36" s="86" t="inlineStr">
        <is>
          <t>차등 자치</t>
        </is>
      </c>
      <c r="C36" s="86" t="inlineStr">
        <is>
          <t>주가 추가 권한을 국가와 협약으로 가져올 수 있다. 시행법(2024)은 헌법재판소에서 일부 위헌 판단을 받았고, 필수 급부 수준(LEP) 설정이 쟁점이다.</t>
        </is>
      </c>
      <c r="D36" s="86" t="inlineStr">
        <is>
          <t>헌법 제116조 3항, legge 86/2024, 헌법재판소 2024년 판결 192호</t>
        </is>
      </c>
      <c r="E36" s="85" t="inlineStr">
        <is>
          <t>10부 11화, 12부 7화</t>
        </is>
      </c>
      <c r="F36" s="85" t="inlineStr">
        <is>
          <t>autonomia differenziata, LEP, intesa</t>
        </is>
      </c>
      <c r="G36" s="86" t="inlineStr">
        <is>
          <t>최신 입법 상황 확인 필요</t>
        </is>
      </c>
    </row>
    <row r="37" ht="26.25" customHeight="1" s="78">
      <c r="A37" s="83" t="inlineStr">
        <is>
          <t>사법·통제</t>
        </is>
      </c>
      <c r="B37" s="86" t="inlineStr">
        <is>
          <t>헌법재판소</t>
        </is>
      </c>
      <c r="C37" s="86" t="inlineStr">
        <is>
          <t>법률의 위헌 여부를 판단한다. 국가는 주 법률을, 주는 국가 법률을 공표 60일 안에 직접 제소할 수 있다(ricorso in via principale). 국가 기관 간 권한 다툼은 conflitto di attribuzione.</t>
        </is>
      </c>
      <c r="D37" s="86" t="inlineStr">
        <is>
          <t>헌법 제127·134조</t>
        </is>
      </c>
      <c r="E37" s="85" t="inlineStr">
        <is>
          <t>11부 3·5화</t>
        </is>
      </c>
      <c r="F37" s="85" t="inlineStr">
        <is>
          <t>Corte costituzionale, ricorso in via principale, conflitto di attribuzione</t>
        </is>
      </c>
      <c r="G37" s="86" t="inlineStr">
        <is>
          <t>기획 시점 지식 — Normattiva 확인 필요</t>
        </is>
      </c>
    </row>
    <row r="38" ht="37.5" customHeight="1" s="78">
      <c r="A38" s="83" t="inlineStr">
        <is>
          <t>사법·통제</t>
        </is>
      </c>
      <c r="B38" s="86" t="inlineStr">
        <is>
          <t>검찰·반부패</t>
        </is>
      </c>
      <c r="C38" s="86" t="inlineStr">
        <is>
          <t>검사는 기소 의무를 진다. 시민·단체는 고발(esposto·denuncia)할 수 있고 피해자는 민사 당사자(parte civile)로 재판에 참여한다. 부패 예방은 ANAC, 재정 손해는 감사원(Corte dei conti).</t>
        </is>
      </c>
      <c r="D38" s="86" t="inlineStr">
        <is>
          <t>헌법 제112조, 형사소송법</t>
        </is>
      </c>
      <c r="E38" s="85" t="inlineStr">
        <is>
          <t>7부, 9부 9화</t>
        </is>
      </c>
      <c r="F38" s="85" t="inlineStr">
        <is>
          <t>esposto, denuncia, parte civile, Procura, ANAC</t>
        </is>
      </c>
      <c r="G38" s="86" t="inlineStr">
        <is>
          <t>기획 시점 지식 — Normattiva 확인 필요</t>
        </is>
      </c>
    </row>
    <row r="39" ht="26.25" customHeight="1" s="78">
      <c r="A39" s="83" t="inlineStr">
        <is>
          <t>사법·통제</t>
        </is>
      </c>
      <c r="B39" s="86" t="inlineStr">
        <is>
          <t>내부고발자 보호</t>
        </is>
      </c>
      <c r="C39" s="86" t="inlineStr">
        <is>
          <t>위반을 신고한 사람을 보복에서 보호하고, 내부 채널·ANAC 외부 채널·공개의 단계를 둔다.</t>
        </is>
      </c>
      <c r="D39" s="85" t="inlineStr">
        <is>
          <t>d.lgs. 24/2023 (EU 지침 이행)</t>
        </is>
      </c>
      <c r="E39" s="85" t="inlineStr">
        <is>
          <t>7부, 9부 8화</t>
        </is>
      </c>
      <c r="F39" s="85" t="inlineStr">
        <is>
          <t>whistleblower, segnalazione, ritorsione, ANAC</t>
        </is>
      </c>
      <c r="G39" s="86" t="inlineStr">
        <is>
          <t>기획 시점 지식 — Normattiva 확인 필요</t>
        </is>
      </c>
    </row>
    <row r="40" ht="26.25" customHeight="1" s="78">
      <c r="A40" s="83" t="inlineStr">
        <is>
          <t>사법·통제</t>
        </is>
      </c>
      <c r="B40" s="86" t="inlineStr">
        <is>
          <t>사용할 수 없는 증거</t>
        </is>
      </c>
      <c r="C40" s="86" t="inlineStr">
        <is>
          <t>법이 금지한 방식으로 얻은 증거는 쓸 수 없다. 감청은 예비수사판사(GIP)의 허가가 필요하다.</t>
        </is>
      </c>
      <c r="D40" s="86" t="inlineStr">
        <is>
          <t>형사소송법 제191조·제266조 이하, 헌법 제15조</t>
        </is>
      </c>
      <c r="E40" s="85" t="inlineStr">
        <is>
          <t>7부 8화, 11부 7화</t>
        </is>
      </c>
      <c r="F40" s="85" t="inlineStr">
        <is>
          <t>prove inutilizzabili, intercettazione, autorizzazione del GIP</t>
        </is>
      </c>
      <c r="G40" s="86" t="inlineStr">
        <is>
          <t>기획 시점 지식 — Normattiva 확인 필요</t>
        </is>
      </c>
    </row>
    <row r="41" ht="26.25" customHeight="1" s="78">
      <c r="A41" s="83" t="inlineStr">
        <is>
          <t>사법·통제</t>
        </is>
      </c>
      <c r="B41" s="86" t="inlineStr">
        <is>
          <t>정보기관 통제</t>
        </is>
      </c>
      <c r="C41" s="86" t="inlineStr">
        <is>
          <t>정보기관은 DIS(총괄)·AISE(대외)·AISI(대내)로 구성되며 총리 책임 아래 있고, 의회 정보위원회(COPASIR)가 감독한다. 국가 기밀 규정도 같은 법에 있다.</t>
        </is>
      </c>
      <c r="D41" s="85" t="inlineStr">
        <is>
          <t>legge 124/2007</t>
        </is>
      </c>
      <c r="E41" s="85" t="inlineStr">
        <is>
          <t>12부 5화</t>
        </is>
      </c>
      <c r="F41" s="85" t="inlineStr">
        <is>
          <t>servizi segreti, COPASIR, segreto di Stato</t>
        </is>
      </c>
      <c r="G41" s="86" t="inlineStr">
        <is>
          <t>기획 시점 지식 — Normattiva 확인 필요</t>
        </is>
      </c>
    </row>
    <row r="42" ht="39" customHeight="1" s="78">
      <c r="A42" s="148" t="inlineStr">
        <is>
          <t>EU</t>
        </is>
      </c>
      <c r="B42" s="104" t="inlineStr">
        <is>
          <t>EU 재정 규칙</t>
        </is>
      </c>
      <c r="C42" s="104" t="inlineStr">
        <is>
          <t>2024년 개정 규칙에 따라 중기 재정구조계획과 순지출 경로를 제출·협의한다. 이탈리아는 2024년부터 과도한 재정적자 절차 대상이다.</t>
        </is>
      </c>
      <c r="D42" s="85" t="inlineStr">
        <is>
          <t>TFUE 제126조, EU 재정규칙 개정(2024)</t>
        </is>
      </c>
      <c r="E42" s="85" t="inlineStr">
        <is>
          <t>11부 9~10화</t>
        </is>
      </c>
      <c r="F42" s="85" t="inlineStr">
        <is>
          <t>piano strutturale di bilancio, deficit eccessivo, ECOFIN, Commissione europea</t>
        </is>
      </c>
      <c r="G42" s="86" t="inlineStr">
        <is>
          <t>검색 확인 (2026-09-24) (2025년 적자 3.1%로 조기 졸업 불발)</t>
        </is>
      </c>
    </row>
    <row r="43" ht="39" customHeight="1" s="78">
      <c r="A43" s="83" t="inlineStr">
        <is>
          <t>영토</t>
        </is>
      </c>
      <c r="B43" s="86" t="inlineStr">
        <is>
          <t>재난·민방위</t>
        </is>
      </c>
      <c r="C43" s="86" t="inlineStr">
        <is>
          <t>민방위 국가 체계(Servizio nazionale della Protezione Civile)는 시장·주·국가가 단계적으로 대응한다. 국가 비상사태는 국무회의가 선포하고 민방위국이 지휘한다. 경보는 IT-alert로 휴대전화에 전송.</t>
        </is>
      </c>
      <c r="D43" s="85" t="inlineStr">
        <is>
          <t>d.lgs. 1/2018 (민방위법)</t>
        </is>
      </c>
      <c r="E43" s="85" t="inlineStr">
        <is>
          <t>12부 8화</t>
        </is>
      </c>
      <c r="F43" s="85" t="inlineStr">
        <is>
          <t>protezione civile, allerta rossa, IT-alert, stato di emergenza</t>
        </is>
      </c>
      <c r="G43" s="86" t="inlineStr">
        <is>
          <t>기획 시점 지식 — Normattiva 확인 필요</t>
        </is>
      </c>
    </row>
    <row r="44" ht="26.25" customHeight="1" s="78">
      <c r="A44" s="83" t="inlineStr">
        <is>
          <t>사회</t>
        </is>
      </c>
      <c r="B44" s="86" t="inlineStr">
        <is>
          <t>이민·외국인</t>
        </is>
      </c>
      <c r="C44" s="86" t="inlineStr">
        <is>
          <t>체류·난민·국경은 국가 권한. 1차 수용(CAS)은 도청(Prefettura), 2차 통합 수용(SAI)은 지자체 네트워크가 맡아 비용·분담 갈등이 생긴다. 보호자 없는 미성년자는 별도 보호 체계.</t>
        </is>
      </c>
      <c r="D44" s="85" t="inlineStr">
        <is>
          <t>d.lgs. 286/1998, d.lgs. 142/2015, legge 47/2017</t>
        </is>
      </c>
      <c r="E44" s="85" t="inlineStr">
        <is>
          <t>6·7부, 11부 5화</t>
        </is>
      </c>
      <c r="F44" s="85" t="inlineStr">
        <is>
          <t>permesso di soggiorno, accoglienza, CAS, SAI, MSNA</t>
        </is>
      </c>
      <c r="G44" s="86" t="inlineStr">
        <is>
          <t>최신 협정·법 개정 확인 필요</t>
        </is>
      </c>
    </row>
    <row r="45" ht="26.25" customHeight="1" s="78">
      <c r="A45" s="83" t="inlineStr">
        <is>
          <t>사회</t>
        </is>
      </c>
      <c r="B45" s="86" t="inlineStr">
        <is>
          <t>성폭력 관련 법</t>
        </is>
      </c>
      <c r="C45" s="86" t="inlineStr">
        <is>
          <t>형법의 성폭력 조항은 폭력·위협·권한 남용 등을 구성 요건으로 둔다. '자유롭고 현재적인 동의'를 명문화하는 개정 논의와 여성 살해 가중 처벌 입법이 이어졌다.</t>
        </is>
      </c>
      <c r="D45" s="86" t="inlineStr">
        <is>
          <t>형법 제609-bis조</t>
        </is>
      </c>
      <c r="E45" s="85" t="inlineStr">
        <is>
          <t>7부 3화, 8부, 10부 3화</t>
        </is>
      </c>
      <c r="F45" s="85" t="inlineStr">
        <is>
          <t>consenso, violenza sessuale, femminicidio</t>
        </is>
      </c>
      <c r="G45" s="86" t="inlineStr">
        <is>
          <t>개정 진행 상황 확인 필요</t>
        </is>
      </c>
    </row>
    <row r="46" ht="26.25" customHeight="1" s="78">
      <c r="A46" s="83" t="inlineStr">
        <is>
          <t>사법·통제</t>
        </is>
      </c>
      <c r="B46" s="86" t="inlineStr">
        <is>
          <t>범죄 폐지의 소급</t>
        </is>
      </c>
      <c r="C46" s="86" t="inlineStr">
        <is>
          <t>나중의 법률이 어떤 행위를 범죄에서 제외하면, 이미 확정된 판결도 그 효력이 멈춘다(abolitio criminis).</t>
        </is>
      </c>
      <c r="D46" s="86" t="inlineStr">
        <is>
          <t>형법 제2조 2항</t>
        </is>
      </c>
      <c r="E46" s="85" t="inlineStr">
        <is>
          <t>7부 11화</t>
        </is>
      </c>
      <c r="F46" s="85" t="inlineStr">
        <is>
          <t>abolitio criminis, retroattività, reato</t>
        </is>
      </c>
      <c r="G46" s="86" t="inlineStr">
        <is>
          <t>기획 시점 지식 — Normattiva 확인 필요</t>
        </is>
      </c>
    </row>
    <row r="47" ht="26.25" customHeight="1" s="78">
      <c r="A47" s="83" t="inlineStr">
        <is>
          <t>사법·통제</t>
        </is>
      </c>
      <c r="B47" s="86" t="inlineStr">
        <is>
          <t>사법 최고회의(CSM)와 사법 개혁</t>
        </is>
      </c>
      <c r="C47" s="104" t="inlineStr">
        <is>
          <t>CSM은 판사·검사의 인사·징계를 맡는 헌법 기관. 검사·판사 경력 분리와 CSM 분할을 담은 개헌은 2026년 3월 국민투표에서 부결되었다.</t>
        </is>
      </c>
      <c r="D47" s="86" t="inlineStr">
        <is>
          <t>헌법 제104~107조</t>
        </is>
      </c>
      <c r="E47" s="85" t="inlineStr">
        <is>
          <t>8부 4화, 10부 11화, 12부 7화</t>
        </is>
      </c>
      <c r="F47" s="85" t="inlineStr">
        <is>
          <t>CSM, separazione delle carriere, magistratura</t>
        </is>
      </c>
      <c r="G47" s="86" t="inlineStr">
        <is>
          <t>검색 확인 (2026-09-24)</t>
        </is>
      </c>
    </row>
    <row r="48" ht="26.25" customHeight="1" s="78">
      <c r="A48" s="148" t="inlineStr">
        <is>
          <t>EU</t>
        </is>
      </c>
      <c r="B48" s="86" t="inlineStr">
        <is>
          <t>회복기금(PNRR)</t>
        </is>
      </c>
      <c r="C48" s="86" t="inlineStr">
        <is>
          <t>이탈리아는 EU 회복기금의 최대 수혜국으로 국가 회복·복원력 계획(PNRR)을 집행한다. 목표·이정표 달성에 따라 분할 지급되며, 사업 완료 시한은 2026년 8월.</t>
        </is>
      </c>
      <c r="D48" s="85" t="inlineStr">
        <is>
          <t>d.l. 77/2021 (PNRR 거버넌스)</t>
        </is>
      </c>
      <c r="E48" s="85" t="inlineStr">
        <is>
          <t>9부 4화, 11부 9화</t>
        </is>
      </c>
      <c r="F48" s="85" t="inlineStr">
        <is>
          <t>PNRR, milestone, target, soggetto attuatore</t>
        </is>
      </c>
      <c r="G48" s="86" t="inlineStr">
        <is>
          <t>최종 결산·집행률 확인 필요</t>
        </is>
      </c>
    </row>
    <row r="49" ht="51.75" customHeight="1" s="78">
      <c r="A49" s="148" t="inlineStr">
        <is>
          <t>EU·NATO</t>
        </is>
      </c>
      <c r="B49" s="86" t="inlineStr">
        <is>
          <t>국방비와 NATO</t>
        </is>
      </c>
      <c r="C49" s="104" t="inlineStr">
        <is>
          <t>2025년 헤이그 정상회의에서 NATO가 GDP 5%(핵심 방위 3.5% + 관련 지출 1.5%) 목표를 2035년까지 합의했다(스페인만 예외). 이탈리아는 회계 방식 변경으로 2% 도달을 발표했고, 재정 적자 절차 때문에 증액 속도가 쟁점이다. 이 갈등을 배경으로 Cesare가 검증 가능한 단계 경로를 협상한다.</t>
        </is>
      </c>
      <c r="D49" s="85" t="inlineStr">
        <is>
          <t>2025 헤이그 합의, EU 재정규칙 국가 예외 조항</t>
        </is>
      </c>
      <c r="E49" s="85" t="inlineStr">
        <is>
          <t>11부 9~11화(Cesare의 직접 협상), 12부 3·11화(후속)</t>
        </is>
      </c>
      <c r="F49" s="85" t="inlineStr">
        <is>
          <t>spesa per la difesa, NATO, capacità, impegno</t>
        </is>
      </c>
      <c r="G49" s="86" t="inlineStr">
        <is>
          <t>검색 확인 (2026-09-24) (헤이그 합의 수치·이탈리아 2% 발표)</t>
        </is>
      </c>
    </row>
    <row r="50" ht="39" customHeight="1" s="78">
      <c r="A50" s="83" t="inlineStr">
        <is>
          <t>영토</t>
        </is>
      </c>
      <c r="B50" s="86" t="inlineStr">
        <is>
          <t>재생에너지 인허가</t>
        </is>
      </c>
      <c r="C50" s="86" t="inlineStr">
        <is>
          <t>대형 설비는 국가, 그 밖은 주·시가 인허가하며 환경영향평가(VIA)가 필요하다. 주가 적합 부지(aree idonee)를 지정하고, 2024년부터 농지 지상 태양광이 제한되었다. 사르데냐 등에서 주민 반발이 크다.</t>
        </is>
      </c>
      <c r="D50" s="85" t="inlineStr">
        <is>
          <t>d.lgs. 199/2021, d.l. 63/2024, 환경법(d.lgs. 152/2006)</t>
        </is>
      </c>
      <c r="E50" s="85" t="inlineStr">
        <is>
          <t>10부 2화, 11부 8화</t>
        </is>
      </c>
      <c r="F50" s="85" t="inlineStr">
        <is>
          <t>aree idonee, agrivoltaico, pale eoliche, VIA</t>
        </is>
      </c>
      <c r="G50" s="86" t="inlineStr">
        <is>
          <t>최신 기준 확인 필요</t>
        </is>
      </c>
    </row>
    <row r="51" ht="26.25" customHeight="1" s="78">
      <c r="A51" s="83" t="inlineStr">
        <is>
          <t>사회</t>
        </is>
      </c>
      <c r="B51" s="86" t="inlineStr">
        <is>
          <t>내륙 과소지역</t>
        </is>
      </c>
      <c r="C51" s="86" t="inlineStr">
        <is>
          <t>내륙 지역 국가 전략(SNAI)이 인구 감소 지역의 교통·보건·교육을 지원한다. 선거구 재조정(2020 의석 축소) 이후 농촌 대표성도 쟁점이다.</t>
        </is>
      </c>
      <c r="D51" s="85" t="inlineStr">
        <is>
          <t>SNAI, legge 51/2019</t>
        </is>
      </c>
      <c r="E51" s="85" t="inlineStr">
        <is>
          <t>10부 2화</t>
        </is>
      </c>
      <c r="F51" s="85" t="inlineStr">
        <is>
          <t>aree interne, spopolamento, piccoli comuni</t>
        </is>
      </c>
      <c r="G51" s="86" t="inlineStr">
        <is>
          <t>기획 시점 지식 — Normattiva 확인 필요</t>
        </is>
      </c>
    </row>
    <row r="52" ht="26.25" customHeight="1" s="78">
      <c r="A52" s="83" t="inlineStr">
        <is>
          <t>정부</t>
        </is>
      </c>
      <c r="B52" s="86" t="inlineStr">
        <is>
          <t>사회적 대화</t>
        </is>
      </c>
      <c r="C52" s="86" t="inlineStr">
        <is>
          <t>정부·노조(CGIL·CISL·UIL)·경영단체(Confindustria 등) 협의. 법정 최저임금이 없고 단체협약이 임금을 정하며, CNEL은 헌법 자문 기관이다.</t>
        </is>
      </c>
      <c r="D52" s="86" t="inlineStr">
        <is>
          <t>헌법 제39·99조, 관행</t>
        </is>
      </c>
      <c r="E52" s="85" t="inlineStr">
        <is>
          <t>11부 6화</t>
        </is>
      </c>
      <c r="F52" s="85" t="inlineStr">
        <is>
          <t>concertazione, sindacati, contratto collettivo, salario minimo</t>
        </is>
      </c>
      <c r="G52" s="86" t="inlineStr">
        <is>
          <t>기획 시점 지식 — Normattiva 확인 필요</t>
        </is>
      </c>
    </row>
    <row r="53" ht="26.25" customHeight="1" s="78">
      <c r="A53" s="83" t="inlineStr">
        <is>
          <t>정부</t>
        </is>
      </c>
      <c r="B53" s="86" t="inlineStr">
        <is>
          <t>연금</t>
        </is>
      </c>
      <c r="C53" s="86" t="inlineStr">
        <is>
          <t>노령 연금 수급 연령과 조기 퇴직 제도(Quota 등)가 매년 예산안 논쟁의 중심이다. 연금 지출은 GDP 대비 EU 최고 수준.</t>
        </is>
      </c>
      <c r="D53" s="85" t="inlineStr">
        <is>
          <t>legge 214/2011 (Fornero), 매년 예산법</t>
        </is>
      </c>
      <c r="E53" s="85" t="inlineStr">
        <is>
          <t>12부 11~12화</t>
        </is>
      </c>
      <c r="F53" s="85" t="inlineStr">
        <is>
          <t>pensioni, età pensionabile, Quota</t>
        </is>
      </c>
      <c r="G53" s="86" t="inlineStr">
        <is>
          <t>기획 시점 지식 — Normattiva 확인 필요</t>
        </is>
      </c>
    </row>
    <row r="55" ht="15" customHeight="1" s="78">
      <c r="A55" s="138" t="inlineStr">
        <is>
          <t>※ 법령 번호·조항은 교재에 넣기 전에 Normattiva(normattiva.it)의 현행 통합본(testo vigente)으로 반드시 확인하세요. '검색 확인'은 공개 자료에서 교차 확인한 항목이며, 나머지는 기획 시점 지식입니다.</t>
        </is>
      </c>
    </row>
  </sheetData>
  <mergeCells count="1">
    <mergeCell ref="A55:G5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2.xml><?xml version="1.0" encoding="utf-8"?>
<worksheet xmlns="http://schemas.openxmlformats.org/spreadsheetml/2006/main">
  <sheetPr filterMode="0">
    <tabColor rgb="FFBF8F00"/>
    <outlinePr summaryBelow="1" summaryRight="1"/>
    <pageSetUpPr fitToPage="1"/>
  </sheetPr>
  <dimension ref="A1:F9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77" min="1" max="1"/>
    <col width="26" customWidth="1" style="77" min="2" max="2"/>
    <col width="46" customWidth="1" style="77" min="3" max="3"/>
    <col width="30" customWidth="1" style="77" min="4" max="4"/>
    <col width="34" customWidth="1" style="77" min="5" max="5"/>
    <col width="6" customWidth="1" style="77" min="6" max="6"/>
  </cols>
  <sheetData>
    <row r="1" ht="24" customHeight="1" s="78">
      <c r="A1" s="98" t="inlineStr">
        <is>
          <t>정치 경로와 가상 의석 시뮬레이션</t>
        </is>
      </c>
    </row>
    <row r="2" ht="15" customHeight="1" s="78">
      <c r="A2" s="97" t="inlineStr">
        <is>
          <t>창당에서 총리까지의 경로를 이탈리아 현실 제도에 맞춰 단계화했다. 정당·의석 수는 전부 가상의 교육용 수치이며, 파란 숫자·표결 값은 수정하면 결과가 자동 갱신된다. 표결 값: Sì(찬성) / No(반대) / Astenuto(기권) / Assente(불참).</t>
        </is>
      </c>
    </row>
    <row r="4" ht="15" customHeight="1" s="78">
      <c r="A4" s="115" t="inlineStr">
        <is>
          <t>1. 정치 경로 (창당 → 총리)</t>
        </is>
      </c>
    </row>
    <row r="5" ht="15" customHeight="1" s="78">
      <c r="A5" s="100" t="inlineStr">
        <is>
          <t>단계</t>
        </is>
      </c>
      <c r="B5" s="100" t="inlineStr">
        <is>
          <t>부·화</t>
        </is>
      </c>
      <c r="C5" s="100" t="inlineStr">
        <is>
          <t>이야기 사건</t>
        </is>
      </c>
      <c r="D5" s="100" t="inlineStr">
        <is>
          <t>제도·규칙</t>
        </is>
      </c>
      <c r="E5" s="100" t="inlineStr">
        <is>
          <t>확인 상태</t>
        </is>
      </c>
    </row>
    <row r="6" ht="26.25" customHeight="1" s="78">
      <c r="A6" s="101" t="inlineStr">
        <is>
          <t>1</t>
        </is>
      </c>
      <c r="B6" s="101" t="inlineStr">
        <is>
          <t>8부 1~4화</t>
        </is>
      </c>
      <c r="C6" s="101" t="inlineStr">
        <is>
          <t>San Giovanni 집회 → 폐지 국민투표 서명 50만 → 정족수 미달로 무효</t>
        </is>
      </c>
      <c r="D6" s="103" t="inlineStr">
        <is>
          <t>집회 사전 통지(3일), 헌법 제75조, 헌법재판소 허용 심사</t>
        </is>
      </c>
      <c r="E6" s="103" t="inlineStr">
        <is>
          <t>기획 지식</t>
        </is>
      </c>
    </row>
    <row r="7" ht="26.25" customHeight="1" s="78">
      <c r="A7" s="101" t="inlineStr">
        <is>
          <t>2</t>
        </is>
      </c>
      <c r="B7" s="101" t="inlineStr">
        <is>
          <t>8부 5~7화</t>
        </is>
      </c>
      <c r="C7" s="103" t="inlineStr">
        <is>
          <t>정당 «Casa Comune» 창당</t>
        </is>
      </c>
      <c r="D7" s="103" t="inlineStr">
        <is>
          <t>공증인 앞 설립 문서·정관, 국가 정당 등록부(d.l. 149/2013), 후원 공개(legge 3/2019)</t>
        </is>
      </c>
      <c r="E7" s="103" t="inlineStr">
        <is>
          <t>기획 지식</t>
        </is>
      </c>
    </row>
    <row r="8" ht="26.25" customHeight="1" s="78">
      <c r="A8" s="101" t="inlineStr">
        <is>
          <t>3</t>
        </is>
      </c>
      <c r="B8" s="101" t="inlineStr">
        <is>
          <t>8부 8~12화</t>
        </is>
      </c>
      <c r="C8" s="103" t="inlineStr">
        <is>
          <t>첫 로마 시의회·라치오 주의회 선거, 시의회 48석 중 5석·주의회 진출 (가상 수치)</t>
        </is>
      </c>
      <c r="D8" s="103" t="inlineStr">
        <is>
          <t>시장 직선·결선, 과반 보너스, 문턱 3%, 성별 균형 명부, 정정권</t>
        </is>
      </c>
      <c r="E8" s="103" t="inlineStr">
        <is>
          <t>의석·문턱 확인 필요</t>
        </is>
      </c>
    </row>
    <row r="9" ht="15" customHeight="1" s="78">
      <c r="A9" s="101" t="inlineStr">
        <is>
          <t>4</t>
        </is>
      </c>
      <c r="B9" s="101" t="inlineStr">
        <is>
          <t>9부 1화</t>
        </is>
      </c>
      <c r="C9" s="103" t="inlineStr">
        <is>
          <t>결선에서 다른 당 시장 당선, 낙선 시장 후보 Alessandro는 시의원으로</t>
        </is>
      </c>
      <c r="D9" s="101" t="inlineStr">
        <is>
          <t>TUEL 제72·73조</t>
        </is>
      </c>
      <c r="E9" s="103" t="inlineStr">
        <is>
          <t>조항 확인 필요</t>
        </is>
      </c>
    </row>
    <row r="10" ht="26.25" customHeight="1" s="78">
      <c r="A10" s="101" t="inlineStr">
        <is>
          <t>5</t>
        </is>
      </c>
      <c r="B10" s="101" t="inlineStr">
        <is>
          <t>9부 2~11화</t>
        </is>
      </c>
      <c r="C10" s="101" t="inlineStr">
        <is>
          <t>Alessandro는 시의회(예산·계약), Giulia는 주의회(보건)에서 활동. 스캔들 폭로, 검찰 고발</t>
        </is>
      </c>
      <c r="D10" s="103" t="inlineStr">
        <is>
          <t>보건·도시계획은 국가–주 공동 권한(헌법 제117조), d.lgs. 24/2023, 형사소송법 제191조</t>
        </is>
      </c>
      <c r="E10" s="103" t="inlineStr">
        <is>
          <t>기획 지식</t>
        </is>
      </c>
    </row>
    <row r="11" ht="26.25" customHeight="1" s="78">
      <c r="A11" s="101" t="inlineStr">
        <is>
          <t>6</t>
        </is>
      </c>
      <c r="B11" s="101" t="inlineStr">
        <is>
          <t>9부 12화</t>
        </is>
      </c>
      <c r="C11" s="101" t="inlineStr">
        <is>
          <t>UCN 정부가 예산 신임 투표에서 패배 → 대통령이 해산</t>
        </is>
      </c>
      <c r="D11" s="103" t="inlineStr">
        <is>
          <t>해산: 대통령이 양원 의장 의견 청취 후(헌법 제88조). 명부 제출 서명 필요</t>
        </is>
      </c>
      <c r="E11" s="103" t="inlineStr">
        <is>
          <t>기획 지식</t>
        </is>
      </c>
    </row>
    <row r="12" ht="26.25" customHeight="1" s="78">
      <c r="A12" s="101" t="inlineStr">
        <is>
          <t>7</t>
        </is>
      </c>
      <c r="B12" s="101" t="inlineStr">
        <is>
          <t>10부 1~4화</t>
        </is>
      </c>
      <c r="C12" s="103" t="inlineStr">
        <is>
          <t>총선 1차: 캠페인, TV 토론, 결과 CC 하원 70석 3위 (아래 A블록)</t>
        </is>
      </c>
      <c r="D12" s="103" t="inlineStr">
        <is>
          <t>해산 후 70일 이내 선거, 하원 400석·상원 200석, 문턱 3%</t>
        </is>
      </c>
      <c r="E12" s="103" t="inlineStr">
        <is>
          <t>기획 지식</t>
        </is>
      </c>
    </row>
    <row r="13" ht="15" customHeight="1" s="78">
      <c r="A13" s="101" t="inlineStr">
        <is>
          <t>8</t>
        </is>
      </c>
      <c r="B13" s="101" t="inlineStr">
        <is>
          <t>10부 5화</t>
        </is>
      </c>
      <c r="C13" s="103" t="inlineStr">
        <is>
          <t>개원, 양원 의장 선출, CC 교섭단체 구성</t>
        </is>
      </c>
      <c r="D13" s="103" t="inlineStr">
        <is>
          <t>교섭단체 최소 인원 (CC 70석이라 충족)</t>
        </is>
      </c>
      <c r="E13" s="103" t="inlineStr">
        <is>
          <t>인원 요건 확인 필요</t>
        </is>
      </c>
    </row>
    <row r="14" ht="26.25" customHeight="1" s="78">
      <c r="A14" s="101" t="inlineStr">
        <is>
          <t>9</t>
        </is>
      </c>
      <c r="B14" s="101" t="inlineStr">
        <is>
          <t>10부 6~7화</t>
        </is>
      </c>
      <c r="C14" s="103" t="inlineStr">
        <is>
          <t>대통령 협의 → UCN 지도자 조각 위임 → 선서 → 하원 신임 부결 (A블록)</t>
        </is>
      </c>
      <c r="D14" s="103" t="inlineStr">
        <is>
          <t>헌법 제92~94조: 선서 후 10일 안에 양원 신임, 찬성&gt;반대</t>
        </is>
      </c>
      <c r="E14" s="103" t="inlineStr">
        <is>
          <t>검색 확인 (선례)</t>
        </is>
      </c>
    </row>
    <row r="15" ht="15" customHeight="1" s="78">
      <c r="A15" s="101" t="inlineStr">
        <is>
          <t>10</t>
        </is>
      </c>
      <c r="B15" s="101" t="inlineStr">
        <is>
          <t>10부 8화</t>
        </is>
      </c>
      <c r="C15" s="103" t="inlineStr">
        <is>
          <t>탐색 위임(상원의장) → 다수파 불성립, 부결된 정부는 일상 업무만</t>
        </is>
      </c>
      <c r="D15" s="103" t="inlineStr">
        <is>
          <t>헌정 관행, 사퇴 정부의 affari correnti</t>
        </is>
      </c>
      <c r="E15" s="103" t="inlineStr">
        <is>
          <t>기획 지식</t>
        </is>
      </c>
    </row>
    <row r="16" ht="15" customHeight="1" s="78">
      <c r="A16" s="101" t="inlineStr">
        <is>
          <t>11</t>
        </is>
      </c>
      <c r="B16" s="101" t="inlineStr">
        <is>
          <t>10부 9~10화</t>
        </is>
      </c>
      <c r="C16" s="103" t="inlineStr">
        <is>
          <t>재해산과 재선거: CC 하원 130석 1당이지만 과반 아님 (B블록)</t>
        </is>
      </c>
      <c r="D16" s="103" t="inlineStr">
        <is>
          <t>하원 과반 201석 미달 → 연정 협상</t>
        </is>
      </c>
      <c r="E16" s="103" t="inlineStr">
        <is>
          <t>가상 수치</t>
        </is>
      </c>
    </row>
    <row r="17" ht="15" customHeight="1" s="78">
      <c r="A17" s="101" t="inlineStr">
        <is>
          <t>12</t>
        </is>
      </c>
      <c r="B17" s="101" t="inlineStr">
        <is>
          <t>10부 11화</t>
        </is>
      </c>
      <c r="C17" s="101" t="inlineStr">
        <is>
          <t>PPS·지역정당 연합과 연정 협상 (TB는 차등 자치 가속 요구)</t>
        </is>
      </c>
      <c r="D17" s="103" t="inlineStr">
        <is>
          <t>연정 협약, legge 86/2024</t>
        </is>
      </c>
      <c r="E17" s="101" t="inlineStr">
        <is>
          <t>—</t>
        </is>
      </c>
    </row>
    <row r="18" ht="26.25" customHeight="1" s="78">
      <c r="A18" s="101" t="inlineStr">
        <is>
          <t>13</t>
        </is>
      </c>
      <c r="B18" s="101" t="inlineStr">
        <is>
          <t>10부 12화</t>
        </is>
      </c>
      <c r="C18" s="101" t="inlineStr">
        <is>
          <t>Marco 조각 위임 → Quirinale 선서 → 하원 신임 통과 → 상원 1표 차 신임 (B블록)</t>
        </is>
      </c>
      <c r="D18" s="103" t="inlineStr">
        <is>
          <t>양원 각각 단순다수 신임, 종신 상원의원 투표권</t>
        </is>
      </c>
      <c r="E18" s="103" t="inlineStr">
        <is>
          <t>기획 지식</t>
        </is>
      </c>
    </row>
    <row r="19" ht="15" customHeight="1" s="78">
      <c r="A19" s="101" t="inlineStr">
        <is>
          <t>14</t>
        </is>
      </c>
      <c r="B19" s="101" t="inlineStr">
        <is>
          <t>11부 1화</t>
        </is>
      </c>
      <c r="C19" s="103" t="inlineStr">
        <is>
          <t>첫 국무회의, 장관 임명</t>
        </is>
      </c>
      <c r="D19" s="101" t="inlineStr">
        <is>
          <t>legge 400/1988</t>
        </is>
      </c>
      <c r="E19" s="103" t="inlineStr">
        <is>
          <t>기획 지식</t>
        </is>
      </c>
    </row>
    <row r="20" ht="26.25" customHeight="1" s="78">
      <c r="A20" s="101" t="inlineStr">
        <is>
          <t>15</t>
        </is>
      </c>
      <c r="B20" s="101" t="inlineStr">
        <is>
          <t>11부 2~5·8화</t>
        </is>
      </c>
      <c r="C20" s="103" t="inlineStr">
        <is>
          <t>국정: 주거·보건·이민은 주·지자체와 나눠 가진 권한의 벽, 횡재세는 decreto-legge와 법률 전환</t>
        </is>
      </c>
      <c r="D20" s="103" t="inlineStr">
        <is>
          <t>헌법 제117·77·127조, 국가–주 협의회</t>
        </is>
      </c>
      <c r="E20" s="103" t="inlineStr">
        <is>
          <t>기획 지식</t>
        </is>
      </c>
    </row>
    <row r="21" ht="15" customHeight="1" s="78">
      <c r="A21" s="101" t="inlineStr">
        <is>
          <t>16</t>
        </is>
      </c>
      <c r="B21" s="101" t="inlineStr">
        <is>
          <t>12부 7화</t>
        </is>
      </c>
      <c r="C21" s="103" t="inlineStr">
        <is>
          <t>야당이 불신임안 제출 → 부결 (C블록)</t>
        </is>
      </c>
      <c r="D21" s="103" t="inlineStr">
        <is>
          <t>헌법 제94조: 1/10 서명, 3일 뒤 토론, 단순다수</t>
        </is>
      </c>
      <c r="E21" s="103" t="inlineStr">
        <is>
          <t>기획 지식</t>
        </is>
      </c>
    </row>
    <row r="22" ht="26.25" customHeight="1" s="78">
      <c r="A22" s="101" t="inlineStr">
        <is>
          <t>17</t>
        </is>
      </c>
      <c r="B22" s="101" t="inlineStr">
        <is>
          <t>12부 8화</t>
        </is>
      </c>
      <c r="C22" s="103" t="inlineStr">
        <is>
          <t>대규모 홍수(가상): 경보·대피 책임 공방, 국가 비상사태, 민방위·군 투입, 보상</t>
        </is>
      </c>
      <c r="D22" s="101" t="inlineStr">
        <is>
          <t>d.lgs. 1/2018, IT-alert, EU 연대기금</t>
        </is>
      </c>
      <c r="E22" s="103" t="inlineStr">
        <is>
          <t>기획 지식</t>
        </is>
      </c>
    </row>
    <row r="23" ht="26.25" customHeight="1" s="78">
      <c r="A23" s="101" t="inlineStr">
        <is>
          <t>18</t>
        </is>
      </c>
      <c r="B23" s="101" t="inlineStr">
        <is>
          <t>12부 11~12화</t>
        </is>
      </c>
      <c r="C23" s="103" t="inlineStr">
        <is>
          <t>예산안 제출 준비 (연금·부채·방위비 사이의 줄타기)</t>
        </is>
      </c>
      <c r="D23" s="101" t="inlineStr">
        <is>
          <t>10월 20일 제출, 연말 미통과 시 잠정 집행(헌법 제81조)</t>
        </is>
      </c>
      <c r="E23" s="103" t="inlineStr">
        <is>
          <t>기획 지식</t>
        </is>
      </c>
    </row>
    <row r="24" ht="15" customHeight="1" s="78">
      <c r="A24" s="101" t="inlineStr">
        <is>
          <t>19</t>
        </is>
      </c>
      <c r="B24" s="101" t="inlineStr">
        <is>
          <t>13부</t>
        </is>
      </c>
      <c r="C24" s="103" t="inlineStr">
        <is>
          <t>임기 후반, 사무소를 재단으로 전환</t>
        </is>
      </c>
      <c r="D24" s="103" t="inlineStr">
        <is>
          <t>정부 구성원 이해충돌(legge 215/2004)</t>
        </is>
      </c>
      <c r="E24" s="103" t="inlineStr">
        <is>
          <t>기획 지식</t>
        </is>
      </c>
    </row>
    <row r="26" ht="15" customHeight="1" s="78">
      <c r="A26" s="115" t="inlineStr">
        <is>
          <t>2. 가상 정당 (실존 정당·정치인 사용 금지)</t>
        </is>
      </c>
    </row>
    <row r="27" ht="15" customHeight="1" s="78">
      <c r="A27" s="100" t="inlineStr">
        <is>
          <t>약칭</t>
        </is>
      </c>
      <c r="B27" s="100" t="inlineStr">
        <is>
          <t>정당명 (가상)</t>
        </is>
      </c>
      <c r="C27" s="100" t="inlineStr">
        <is>
          <t>성격</t>
        </is>
      </c>
      <c r="D27" s="100" t="inlineStr">
        <is>
          <t>이야기 속 역할</t>
        </is>
      </c>
    </row>
    <row r="28" ht="15" customHeight="1" s="78">
      <c r="A28" s="101" t="inlineStr">
        <is>
          <t>CC</t>
        </is>
      </c>
      <c r="B28" s="101" t="inlineStr">
        <is>
          <t>Casa Comune</t>
        </is>
      </c>
      <c r="C28" s="103" t="inlineStr">
        <is>
          <t>주인공 정당. Rosa의 식탁에서 나온 이름</t>
        </is>
      </c>
      <c r="D28" s="103" t="inlineStr">
        <is>
          <t>시민 정당. 창당 → 지방 → 총선 → 총리</t>
        </is>
      </c>
    </row>
    <row r="29" ht="26.25" customHeight="1" s="78">
      <c r="A29" s="101" t="inlineStr">
        <is>
          <t>UCN</t>
        </is>
      </c>
      <c r="B29" s="101" t="inlineStr">
        <is>
          <t>Unione Civica Nazionale</t>
        </is>
      </c>
      <c r="C29" s="103" t="inlineStr">
        <is>
          <t>거대 보수 정당</t>
        </is>
      </c>
      <c r="D29" s="103" t="inlineStr">
        <is>
          <t>현직 총리 배출, 1차 총선 1당, 첫 정부가 하원 신임 부결</t>
        </is>
      </c>
    </row>
    <row r="30" ht="26.25" customHeight="1" s="78">
      <c r="A30" s="101" t="inlineStr">
        <is>
          <t>PPS</t>
        </is>
      </c>
      <c r="B30" s="101" t="inlineStr">
        <is>
          <t>Partito del Progresso Sociale</t>
        </is>
      </c>
      <c r="C30" s="103" t="inlineStr">
        <is>
          <t>거대 중도좌파 정당</t>
        </is>
      </c>
      <c r="D30" s="103" t="inlineStr">
        <is>
          <t>재선거에서 52석으로 추락, Marco 정부의 연정 파트너</t>
        </is>
      </c>
    </row>
    <row r="31" ht="15" customHeight="1" s="78">
      <c r="A31" s="101" t="inlineStr">
        <is>
          <t>IU</t>
        </is>
      </c>
      <c r="B31" s="101" t="inlineStr">
        <is>
          <t>Italia Unita</t>
        </is>
      </c>
      <c r="C31" s="103" t="inlineStr">
        <is>
          <t>민족주의 성향 소수당</t>
        </is>
      </c>
      <c r="D31" s="101" t="inlineStr">
        <is>
          <t>UCN과 함께 반대·불신임안 지지</t>
        </is>
      </c>
    </row>
    <row r="32" ht="15" customHeight="1" s="78">
      <c r="A32" s="101" t="inlineStr">
        <is>
          <t>TA</t>
        </is>
      </c>
      <c r="B32" s="101" t="inlineStr">
        <is>
          <t>Coalizione Territoriale A</t>
        </is>
      </c>
      <c r="C32" s="103" t="inlineStr">
        <is>
          <t>남부·섬 지역정당 연합</t>
        </is>
      </c>
      <c r="D32" s="103" t="inlineStr">
        <is>
          <t>조건부 친여 (필수 급부 수준 보장 요구)</t>
        </is>
      </c>
    </row>
    <row r="33" ht="26.25" customHeight="1" s="78">
      <c r="A33" s="101" t="inlineStr">
        <is>
          <t>TB</t>
        </is>
      </c>
      <c r="B33" s="101" t="inlineStr">
        <is>
          <t>Coalizione Territoriale B</t>
        </is>
      </c>
      <c r="C33" s="103" t="inlineStr">
        <is>
          <t>북부 자치주의 지역정당 연합</t>
        </is>
      </c>
      <c r="D33" s="103" t="inlineStr">
        <is>
          <t>캐스팅보트: 차등 자치 가속을 조건으로 하원 기권·상원 반대 (협상의 열쇠)</t>
        </is>
      </c>
    </row>
    <row r="35" ht="15" customHeight="1" s="78">
      <c r="A35" s="115" t="inlineStr">
        <is>
          <t>3-A. 총선 1차 결과와 UCN 정부의 하원 신임 투표 (가상, 10부 7화)</t>
        </is>
      </c>
    </row>
    <row r="36" ht="15" customHeight="1" s="78">
      <c r="A36" s="100" t="inlineStr">
        <is>
          <t>정당</t>
        </is>
      </c>
      <c r="B36" s="100" t="inlineStr">
        <is>
          <t>의석</t>
        </is>
      </c>
      <c r="C36" s="100" t="inlineStr">
        <is>
          <t>표결</t>
        </is>
      </c>
      <c r="D36" s="100" t="n"/>
      <c r="E36" s="100" t="inlineStr">
        <is>
          <t>비고</t>
        </is>
      </c>
    </row>
    <row r="37" ht="15" customHeight="1" s="78">
      <c r="A37" s="125" t="inlineStr">
        <is>
          <t>UCN</t>
        </is>
      </c>
      <c r="B37" s="107" t="n">
        <v>145</v>
      </c>
      <c r="C37" s="107" t="inlineStr">
        <is>
          <t>Sì</t>
        </is>
      </c>
      <c r="D37" s="149" t="n"/>
      <c r="E37" s="149" t="n"/>
    </row>
    <row r="38" ht="15" customHeight="1" s="78">
      <c r="A38" s="125" t="inlineStr">
        <is>
          <t>PPS</t>
        </is>
      </c>
      <c r="B38" s="107" t="n">
        <v>105</v>
      </c>
      <c r="C38" s="107" t="inlineStr">
        <is>
          <t>No</t>
        </is>
      </c>
      <c r="D38" s="149" t="n"/>
      <c r="E38" s="149" t="n"/>
    </row>
    <row r="39" ht="15" customHeight="1" s="78">
      <c r="A39" s="125" t="inlineStr">
        <is>
          <t>CC</t>
        </is>
      </c>
      <c r="B39" s="107" t="n">
        <v>70</v>
      </c>
      <c r="C39" s="107" t="inlineStr">
        <is>
          <t>No</t>
        </is>
      </c>
      <c r="D39" s="149" t="n"/>
      <c r="E39" s="149" t="n"/>
    </row>
    <row r="40" ht="15" customHeight="1" s="78">
      <c r="A40" s="125" t="inlineStr">
        <is>
          <t>IU</t>
        </is>
      </c>
      <c r="B40" s="107" t="n">
        <v>40</v>
      </c>
      <c r="C40" s="107" t="inlineStr">
        <is>
          <t>Sì</t>
        </is>
      </c>
      <c r="D40" s="149" t="n"/>
      <c r="E40" s="149" t="n"/>
    </row>
    <row r="41" ht="15" customHeight="1" s="78">
      <c r="A41" s="125" t="inlineStr">
        <is>
          <t>TA</t>
        </is>
      </c>
      <c r="B41" s="107" t="n">
        <v>15</v>
      </c>
      <c r="C41" s="107" t="inlineStr">
        <is>
          <t>No</t>
        </is>
      </c>
      <c r="D41" s="149" t="n"/>
      <c r="E41" s="149" t="n"/>
    </row>
    <row r="42" ht="15" customHeight="1" s="78">
      <c r="A42" s="125" t="inlineStr">
        <is>
          <t>TB</t>
        </is>
      </c>
      <c r="B42" s="107" t="n">
        <v>25</v>
      </c>
      <c r="C42" s="107" t="inlineStr">
        <is>
          <t>Astenuto</t>
        </is>
      </c>
      <c r="D42" s="149" t="n"/>
      <c r="E42" s="149" t="n"/>
    </row>
    <row r="43" ht="15" customHeight="1" s="78">
      <c r="A43" s="150" t="inlineStr">
        <is>
          <t>총 의석</t>
        </is>
      </c>
      <c r="B43" s="151">
        <f>SUM(B37:B42)</f>
        <v/>
      </c>
      <c r="C43" s="151" t="n"/>
      <c r="D43" s="151" t="n"/>
      <c r="E43" s="151">
        <f>IF(B43=400,"400석 OK","400석과 불일치")</f>
        <v/>
      </c>
    </row>
    <row r="44" ht="15" customHeight="1" s="78">
      <c r="A44" s="150" t="inlineStr">
        <is>
          <t>절대다수 (참고)</t>
        </is>
      </c>
      <c r="B44" s="151">
        <f>INT(B43/2)+1</f>
        <v/>
      </c>
      <c r="C44" s="151" t="n"/>
      <c r="D44" s="151" t="n"/>
      <c r="E44" s="151" t="n"/>
    </row>
    <row r="45" ht="15" customHeight="1" s="78">
      <c r="A45" s="150" t="inlineStr">
        <is>
          <t>찬성 (Sì)</t>
        </is>
      </c>
      <c r="B45" s="151" t="n"/>
      <c r="C45" s="151">
        <f>SUMIF(C37:C42,"Sì",$B$37:$B$42)</f>
        <v/>
      </c>
      <c r="D45" s="151" t="n"/>
      <c r="E45" s="151" t="n"/>
    </row>
    <row r="46" ht="15" customHeight="1" s="78">
      <c r="A46" s="150" t="inlineStr">
        <is>
          <t>반대 (No)</t>
        </is>
      </c>
      <c r="B46" s="151" t="n"/>
      <c r="C46" s="151">
        <f>SUMIF(C37:C42,"No",$B$37:$B$42)</f>
        <v/>
      </c>
      <c r="D46" s="151" t="n"/>
      <c r="E46" s="151" t="n"/>
    </row>
    <row r="47" ht="15" customHeight="1" s="78">
      <c r="A47" s="150" t="inlineStr">
        <is>
          <t>기권 (Astenuto)</t>
        </is>
      </c>
      <c r="B47" s="151" t="n"/>
      <c r="C47" s="151">
        <f>SUMIF(C37:C42,"Astenuto",$B$37:$B$42)</f>
        <v/>
      </c>
      <c r="D47" s="151" t="n"/>
      <c r="E47" s="151" t="n"/>
    </row>
    <row r="48" ht="15" customHeight="1" s="78">
      <c r="A48" s="150" t="inlineStr">
        <is>
          <t>불참 (Assente)</t>
        </is>
      </c>
      <c r="B48" s="151" t="n"/>
      <c r="C48" s="151">
        <f>SUMIF(C37:C42,"Assente",$B$37:$B$42)</f>
        <v/>
      </c>
      <c r="D48" s="151" t="n"/>
      <c r="E48" s="151" t="n"/>
    </row>
    <row r="49" ht="15" customHeight="1" s="78">
      <c r="A49" s="150" t="inlineStr">
        <is>
          <t>결과</t>
        </is>
      </c>
      <c r="B49" s="151" t="n"/>
      <c r="C49" s="151">
        <f>IF(C45&gt;C46,"신임 가결","신임 부결")</f>
        <v/>
      </c>
      <c r="D49" s="151" t="n"/>
      <c r="E49" s="152" t="inlineStr">
        <is>
          <t>찬성 &gt; 반대이면 가결 (단순다수)</t>
        </is>
      </c>
    </row>
    <row r="50" ht="48" customHeight="1" s="78">
      <c r="A50" s="138" t="inlineStr">
        <is>
          <t>해석: UCN 정부는 찬성 185 대 반대 190으로 하원 신임을 얻지 못한다(TB 기권 25). 신임 없는 정부는 사퇴하고 일상 업무만 처리한다. 대통령은 탐색 위임을 시도하지만 다수파가 나오지 않자 양원 의장의 의견을 들어 해산한다(헌법 제88조). 첫 정부가 신임 투표에서 부결된 실제 선례가 있다(1987년 등).</t>
        </is>
      </c>
    </row>
    <row r="52" ht="15" customHeight="1" s="78">
      <c r="A52" s="115" t="inlineStr">
        <is>
          <t>3-B. 재선거 결과와 Marco 정부의 양원 신임 투표 (가상, 10부 12화)</t>
        </is>
      </c>
    </row>
    <row r="53" ht="15" customHeight="1" s="78">
      <c r="A53" s="100" t="inlineStr">
        <is>
          <t>정당</t>
        </is>
      </c>
      <c r="B53" s="100" t="inlineStr">
        <is>
          <t>하원 의석</t>
        </is>
      </c>
      <c r="C53" s="100" t="inlineStr">
        <is>
          <t>하원 표결</t>
        </is>
      </c>
      <c r="D53" s="100" t="inlineStr">
        <is>
          <t>상원 의석</t>
        </is>
      </c>
      <c r="E53" s="100" t="inlineStr">
        <is>
          <t>상원 표결</t>
        </is>
      </c>
    </row>
    <row r="54" ht="15" customHeight="1" s="78">
      <c r="A54" s="125" t="inlineStr">
        <is>
          <t>CC</t>
        </is>
      </c>
      <c r="B54" s="107" t="n">
        <v>130</v>
      </c>
      <c r="C54" s="107" t="inlineStr">
        <is>
          <t>Sì</t>
        </is>
      </c>
      <c r="D54" s="107" t="n">
        <v>64</v>
      </c>
      <c r="E54" s="107" t="inlineStr">
        <is>
          <t>Sì</t>
        </is>
      </c>
    </row>
    <row r="55" ht="15" customHeight="1" s="78">
      <c r="A55" s="125" t="inlineStr">
        <is>
          <t>UCN</t>
        </is>
      </c>
      <c r="B55" s="107" t="n">
        <v>122</v>
      </c>
      <c r="C55" s="107" t="inlineStr">
        <is>
          <t>No</t>
        </is>
      </c>
      <c r="D55" s="107" t="n">
        <v>62</v>
      </c>
      <c r="E55" s="107" t="inlineStr">
        <is>
          <t>No</t>
        </is>
      </c>
    </row>
    <row r="56" ht="15" customHeight="1" s="78">
      <c r="A56" s="125" t="inlineStr">
        <is>
          <t>PPS</t>
        </is>
      </c>
      <c r="B56" s="107" t="n">
        <v>52</v>
      </c>
      <c r="C56" s="107" t="inlineStr">
        <is>
          <t>Sì</t>
        </is>
      </c>
      <c r="D56" s="107" t="n">
        <v>26</v>
      </c>
      <c r="E56" s="107" t="inlineStr">
        <is>
          <t>Sì</t>
        </is>
      </c>
    </row>
    <row r="57" ht="15" customHeight="1" s="78">
      <c r="A57" s="125" t="inlineStr">
        <is>
          <t>IU</t>
        </is>
      </c>
      <c r="B57" s="107" t="n">
        <v>38</v>
      </c>
      <c r="C57" s="107" t="inlineStr">
        <is>
          <t>No</t>
        </is>
      </c>
      <c r="D57" s="107" t="n">
        <v>19</v>
      </c>
      <c r="E57" s="107" t="inlineStr">
        <is>
          <t>No</t>
        </is>
      </c>
    </row>
    <row r="58" ht="15" customHeight="1" s="78">
      <c r="A58" s="125" t="inlineStr">
        <is>
          <t>TA</t>
        </is>
      </c>
      <c r="B58" s="107" t="n">
        <v>20</v>
      </c>
      <c r="C58" s="107" t="inlineStr">
        <is>
          <t>Sì</t>
        </is>
      </c>
      <c r="D58" s="107" t="n">
        <v>10</v>
      </c>
      <c r="E58" s="107" t="inlineStr">
        <is>
          <t>Sì</t>
        </is>
      </c>
    </row>
    <row r="59" ht="15" customHeight="1" s="78">
      <c r="A59" s="125" t="inlineStr">
        <is>
          <t>TB</t>
        </is>
      </c>
      <c r="B59" s="107" t="n">
        <v>38</v>
      </c>
      <c r="C59" s="107" t="inlineStr">
        <is>
          <t>Astenuto</t>
        </is>
      </c>
      <c r="D59" s="107" t="n">
        <v>19</v>
      </c>
      <c r="E59" s="107" t="inlineStr">
        <is>
          <t>No</t>
        </is>
      </c>
    </row>
    <row r="60" ht="15" customHeight="1" s="78">
      <c r="A60" s="153" t="inlineStr">
        <is>
          <t>종신 상원의원 (찬성)</t>
        </is>
      </c>
      <c r="B60" s="107" t="n"/>
      <c r="C60" s="107" t="n"/>
      <c r="D60" s="107" t="n">
        <v>2</v>
      </c>
      <c r="E60" s="107" t="inlineStr">
        <is>
          <t>Sì</t>
        </is>
      </c>
    </row>
    <row r="61" ht="15" customHeight="1" s="78">
      <c r="A61" s="153" t="inlineStr">
        <is>
          <t>종신 상원의원 (반대)</t>
        </is>
      </c>
      <c r="B61" s="107" t="n"/>
      <c r="C61" s="107" t="n"/>
      <c r="D61" s="107" t="n">
        <v>1</v>
      </c>
      <c r="E61" s="107" t="inlineStr">
        <is>
          <t>No</t>
        </is>
      </c>
    </row>
    <row r="62" ht="15" customHeight="1" s="78">
      <c r="A62" s="153" t="inlineStr">
        <is>
          <t>종신 상원의원 (불참)</t>
        </is>
      </c>
      <c r="B62" s="107" t="n"/>
      <c r="C62" s="107" t="n"/>
      <c r="D62" s="107" t="n">
        <v>2</v>
      </c>
      <c r="E62" s="107" t="inlineStr">
        <is>
          <t>Assente</t>
        </is>
      </c>
    </row>
    <row r="63" ht="15" customHeight="1" s="78">
      <c r="A63" s="150" t="inlineStr">
        <is>
          <t>선출 의석 합계</t>
        </is>
      </c>
      <c r="B63" s="152">
        <f>SUM(B54:B62)</f>
        <v/>
      </c>
      <c r="C63" s="152">
        <f>IF(B63=400,"하원 400석 OK","400석과 불일치")</f>
        <v/>
      </c>
      <c r="D63" s="152">
        <f>SUM(D54:D59)</f>
        <v/>
      </c>
      <c r="E63" s="152">
        <f>IF(D63=200,"상원 선출 200석 OK","200석과 불일치")</f>
        <v/>
      </c>
    </row>
    <row r="64" ht="15" customHeight="1" s="78">
      <c r="A64" s="150" t="inlineStr">
        <is>
          <t>종신 상원의원</t>
        </is>
      </c>
      <c r="B64" s="151" t="inlineStr">
        <is>
          <t>—</t>
        </is>
      </c>
      <c r="C64" s="152" t="n"/>
      <c r="D64" s="152">
        <f>SUM(D60:D62)</f>
        <v/>
      </c>
      <c r="E64" s="152" t="inlineStr">
        <is>
          <t>투표권 있음 (가상 5명)</t>
        </is>
      </c>
    </row>
    <row r="65" ht="15" customHeight="1" s="78">
      <c r="A65" s="150" t="inlineStr">
        <is>
          <t>찬성 (Sì)</t>
        </is>
      </c>
      <c r="B65" s="152" t="n"/>
      <c r="C65" s="152">
        <f>SUMIF(C54:C62,"Sì",$B$54:$B$62)</f>
        <v/>
      </c>
      <c r="D65" s="152" t="n"/>
      <c r="E65" s="152">
        <f>SUMIF(E54:E62,"Sì",$D$54:$D$62)</f>
        <v/>
      </c>
    </row>
    <row r="66" ht="15" customHeight="1" s="78">
      <c r="A66" s="150" t="inlineStr">
        <is>
          <t>반대 (No)</t>
        </is>
      </c>
      <c r="B66" s="152" t="n"/>
      <c r="C66" s="152">
        <f>SUMIF(C54:C62,"No",$B$54:$B$62)</f>
        <v/>
      </c>
      <c r="D66" s="152" t="n"/>
      <c r="E66" s="152">
        <f>SUMIF(E54:E62,"No",$D$54:$D$62)</f>
        <v/>
      </c>
    </row>
    <row r="67" ht="15" customHeight="1" s="78">
      <c r="A67" s="150" t="inlineStr">
        <is>
          <t>기권 (Astenuto)</t>
        </is>
      </c>
      <c r="B67" s="152" t="n"/>
      <c r="C67" s="152">
        <f>SUMIF(C54:C62,"Astenuto",$B$54:$B$62)</f>
        <v/>
      </c>
      <c r="D67" s="152" t="n"/>
      <c r="E67" s="152">
        <f>SUMIF(E54:E62,"Astenuto",$D$54:$D$62)</f>
        <v/>
      </c>
    </row>
    <row r="68" ht="15" customHeight="1" s="78">
      <c r="A68" s="150" t="inlineStr">
        <is>
          <t>불참 (Assente)</t>
        </is>
      </c>
      <c r="B68" s="152" t="n"/>
      <c r="C68" s="152">
        <f>SUMIF(C54:C62,"Assente",$B$54:$B$62)</f>
        <v/>
      </c>
      <c r="D68" s="152" t="n"/>
      <c r="E68" s="152">
        <f>SUMIF(E54:E62,"Assente",$D$54:$D$62)</f>
        <v/>
      </c>
    </row>
    <row r="69" ht="15" customHeight="1" s="78">
      <c r="A69" s="150" t="inlineStr">
        <is>
          <t>결과</t>
        </is>
      </c>
      <c r="B69" s="152" t="n"/>
      <c r="C69" s="152">
        <f>IF(C65&gt;C66,"하원 신임 가결","하원 신임 부결")</f>
        <v/>
      </c>
      <c r="D69" s="152" t="n"/>
      <c r="E69" s="152">
        <f>IF(E65&gt;E66,"상원 신임 가결","상원 신임 부결")</f>
        <v/>
      </c>
    </row>
    <row r="70" ht="15" customHeight="1" s="78">
      <c r="A70" s="150" t="inlineStr">
        <is>
          <t>상원 표 차</t>
        </is>
      </c>
      <c r="B70" s="152" t="n"/>
      <c r="C70" s="152" t="n"/>
      <c r="D70" s="152" t="n"/>
      <c r="E70" s="152">
        <f>E65-E66</f>
        <v/>
      </c>
    </row>
    <row r="71" ht="60" customHeight="1" s="78">
      <c r="A71" s="138" t="inlineStr">
        <is>
          <t>해석: 하원은 CC·PPS·TA의 202표로 여유 있게 통과(TB 기권). 상원에서는 TB가 차등 자치 조건을 이유로 반대로 돌아서 선출 의원만으로는 100 대 100 동수 — 종신 상원의원 두 명의 찬성과 한 명의 반대로 102 대 101, 1표 차로 신임이 가결된다. 종신 상원의원의 표가 정부의 운명을 가른 실제 사례(2006년 등)가 있다.</t>
        </is>
      </c>
    </row>
    <row r="73" ht="15" customHeight="1" s="78">
      <c r="A73" s="115" t="inlineStr">
        <is>
          <t>3-C. 야당의 불신임안 (가상, 12부 7화, 하원)</t>
        </is>
      </c>
    </row>
    <row r="74" ht="15" customHeight="1" s="78">
      <c r="A74" s="100" t="inlineStr">
        <is>
          <t>정당</t>
        </is>
      </c>
      <c r="B74" s="100" t="inlineStr">
        <is>
          <t>의석</t>
        </is>
      </c>
      <c r="C74" s="100" t="inlineStr">
        <is>
          <t>표결</t>
        </is>
      </c>
      <c r="D74" s="100" t="n"/>
      <c r="E74" s="100" t="inlineStr">
        <is>
          <t>비고</t>
        </is>
      </c>
    </row>
    <row r="75" ht="15" customHeight="1" s="78">
      <c r="A75" s="125" t="inlineStr">
        <is>
          <t>UCN</t>
        </is>
      </c>
      <c r="B75" s="107" t="n">
        <v>122</v>
      </c>
      <c r="C75" s="107" t="inlineStr">
        <is>
          <t>Sì</t>
        </is>
      </c>
      <c r="D75" s="149" t="n"/>
      <c r="E75" s="149" t="n"/>
    </row>
    <row r="76" ht="15" customHeight="1" s="78">
      <c r="A76" s="125" t="inlineStr">
        <is>
          <t>IU</t>
        </is>
      </c>
      <c r="B76" s="107" t="n">
        <v>38</v>
      </c>
      <c r="C76" s="107" t="inlineStr">
        <is>
          <t>Sì</t>
        </is>
      </c>
      <c r="D76" s="149" t="n"/>
      <c r="E76" s="149" t="n"/>
    </row>
    <row r="77" ht="15" customHeight="1" s="78">
      <c r="A77" s="125" t="inlineStr">
        <is>
          <t>TB</t>
        </is>
      </c>
      <c r="B77" s="107" t="n">
        <v>38</v>
      </c>
      <c r="C77" s="107" t="inlineStr">
        <is>
          <t>Astenuto</t>
        </is>
      </c>
      <c r="D77" s="149" t="n"/>
      <c r="E77" s="149" t="n"/>
    </row>
    <row r="78" ht="15" customHeight="1" s="78">
      <c r="A78" s="125" t="inlineStr">
        <is>
          <t>CC</t>
        </is>
      </c>
      <c r="B78" s="107" t="n">
        <v>130</v>
      </c>
      <c r="C78" s="107" t="inlineStr">
        <is>
          <t>No</t>
        </is>
      </c>
      <c r="D78" s="149" t="n"/>
      <c r="E78" s="149" t="n"/>
    </row>
    <row r="79" ht="15" customHeight="1" s="78">
      <c r="A79" s="125" t="inlineStr">
        <is>
          <t>PPS</t>
        </is>
      </c>
      <c r="B79" s="107" t="n">
        <v>52</v>
      </c>
      <c r="C79" s="107" t="inlineStr">
        <is>
          <t>No</t>
        </is>
      </c>
      <c r="D79" s="149" t="n"/>
      <c r="E79" s="149" t="n"/>
    </row>
    <row r="80" ht="15" customHeight="1" s="78">
      <c r="A80" s="125" t="inlineStr">
        <is>
          <t>TA</t>
        </is>
      </c>
      <c r="B80" s="107" t="n">
        <v>20</v>
      </c>
      <c r="C80" s="107" t="inlineStr">
        <is>
          <t>No</t>
        </is>
      </c>
      <c r="D80" s="149" t="n"/>
      <c r="E80" s="149" t="n"/>
    </row>
    <row r="81" ht="15" customHeight="1" s="78">
      <c r="A81" s="150" t="inlineStr">
        <is>
          <t>총 의석</t>
        </is>
      </c>
      <c r="B81" s="152">
        <f>SUM(B75:B80)</f>
        <v/>
      </c>
      <c r="C81" s="152" t="n"/>
      <c r="D81" s="152" t="n"/>
      <c r="E81" s="152">
        <f>IF(B81=400,"400석 OK","400석과 불일치")</f>
        <v/>
      </c>
    </row>
    <row r="82" ht="15" customHeight="1" s="78">
      <c r="A82" s="150" t="inlineStr">
        <is>
          <t>절대다수 (참고)</t>
        </is>
      </c>
      <c r="B82" s="152">
        <f>INT(B81/2)+1</f>
        <v/>
      </c>
      <c r="C82" s="152" t="n"/>
      <c r="D82" s="152" t="n"/>
      <c r="E82" s="152" t="n"/>
    </row>
    <row r="83" ht="15" customHeight="1" s="78">
      <c r="A83" s="150" t="inlineStr">
        <is>
          <t>찬성 (Sì)</t>
        </is>
      </c>
      <c r="B83" s="152" t="n"/>
      <c r="C83" s="152">
        <f>SUMIF(C75:C80,"Sì",$B$75:$B$80)</f>
        <v/>
      </c>
      <c r="D83" s="152" t="n"/>
      <c r="E83" s="152" t="n"/>
    </row>
    <row r="84" ht="15" customHeight="1" s="78">
      <c r="A84" s="150" t="inlineStr">
        <is>
          <t>반대 (No)</t>
        </is>
      </c>
      <c r="B84" s="152" t="n"/>
      <c r="C84" s="152">
        <f>SUMIF(C75:C80,"No",$B$75:$B$80)</f>
        <v/>
      </c>
      <c r="D84" s="152" t="n"/>
      <c r="E84" s="152" t="n"/>
    </row>
    <row r="85" ht="15" customHeight="1" s="78">
      <c r="A85" s="150" t="inlineStr">
        <is>
          <t>기권 (Astenuto)</t>
        </is>
      </c>
      <c r="B85" s="152" t="n"/>
      <c r="C85" s="152">
        <f>SUMIF(C75:C80,"Astenuto",$B$75:$B$80)</f>
        <v/>
      </c>
      <c r="D85" s="152" t="n"/>
      <c r="E85" s="152" t="n"/>
    </row>
    <row r="86" ht="15" customHeight="1" s="78">
      <c r="A86" s="150" t="inlineStr">
        <is>
          <t>불참 (Assente)</t>
        </is>
      </c>
      <c r="B86" s="152" t="n"/>
      <c r="C86" s="152">
        <f>SUMIF(C75:C80,"Assente",$B$75:$B$80)</f>
        <v/>
      </c>
      <c r="D86" s="152" t="n"/>
      <c r="E86" s="152" t="n"/>
    </row>
    <row r="87" ht="15" customHeight="1" s="78">
      <c r="A87" s="150" t="inlineStr">
        <is>
          <t>결과</t>
        </is>
      </c>
      <c r="B87" s="152" t="n"/>
      <c r="C87" s="152">
        <f>IF(C83&gt;C84,"불신임 가결","불신임 부결")</f>
        <v/>
      </c>
      <c r="D87" s="152" t="n"/>
      <c r="E87" s="152" t="inlineStr">
        <is>
          <t>찬성 &gt; 반대이면 가결 (대안 후보 불필요)</t>
        </is>
      </c>
    </row>
    <row r="88" ht="15" customHeight="1" s="78">
      <c r="A88" s="150" t="inlineStr">
        <is>
          <t>발의 필요 서명 (1/10)</t>
        </is>
      </c>
      <c r="B88" s="152" t="n"/>
      <c r="C88" s="152">
        <f>ROUNDUP(B81/10,0)</f>
        <v/>
      </c>
      <c r="D88" s="152" t="n"/>
      <c r="E88" s="152">
        <f>IF(B75&gt;=C88,"UCN 단독으로 서명 충족","미달")</f>
        <v/>
      </c>
    </row>
    <row r="89" ht="48" customHeight="1" s="78">
      <c r="A89" s="138" t="inlineStr">
        <is>
          <t>해석: 발의 요건(40명)은 UCN 단독으로 충족하지만, 찬성 160 대 반대 202로 부결(TB 기권 38). 제출 후 3일이 지나야 토론할 수 있고 호명 투표로 표결한다. PPS(52석)가 돌아서면 찬성 212 대 반대 150으로 가결될 수 있다는 긴장이 이 화의 서스펜스.</t>
        </is>
      </c>
    </row>
    <row r="91" ht="15" customHeight="1" s="78">
      <c r="A91" s="115" t="inlineStr">
        <is>
          <t>4. 이야기 속 엑스트라 화자 (전부 가상)</t>
        </is>
      </c>
    </row>
    <row r="92" ht="60" customHeight="1" s="78">
      <c r="A92" s="114" t="inlineStr">
        <is>
          <t>PRESIDENTE DELLA CAMERA / PRESIDENTE DEL SENATO(표결 결과를 낭독), SINDACO / SINDACA(가상), PRESIDENTE DEL CONSIGLIO USCENTE(UCN, 가상), MODERATRICE(TV 토론), NOTAIO(13부 유언장). 대통령(Presidente della Repubblica)은 직접 대사를 주지 않고, 협의·조각 위임 결과는 대통령실 사무총장의 발표문(가상)이나 인물들의 대사로 전달한다. 실존 정치인·정당명은 쓰지 않는다.</t>
        </is>
      </c>
    </row>
  </sheetData>
  <mergeCells count="4">
    <mergeCell ref="A89:F89"/>
    <mergeCell ref="A71:F71"/>
    <mergeCell ref="A92:F92"/>
    <mergeCell ref="A50:F50"/>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3.xml><?xml version="1.0" encoding="utf-8"?>
<worksheet xmlns="http://schemas.openxmlformats.org/spreadsheetml/2006/main">
  <sheetPr filterMode="0">
    <tabColor rgb="FF548235"/>
    <outlinePr summaryBelow="1" summaryRight="1"/>
    <pageSetUpPr fitToPage="1"/>
  </sheetPr>
  <dimension ref="A1:E3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77" min="1" max="1"/>
    <col width="22" customWidth="1" style="77" min="2" max="2"/>
    <col width="26" customWidth="1" style="77" min="3" max="3"/>
    <col width="34" customWidth="1" style="77" min="4" max="4"/>
    <col width="52" customWidth="1" style="77" min="5" max="5"/>
  </cols>
  <sheetData>
    <row r="1" ht="24" customHeight="1" s="78">
      <c r="A1" s="98" t="inlineStr">
        <is>
          <t>호칭 규칙 (tu / Lei / voi / Loro)</t>
        </is>
      </c>
    </row>
    <row r="2" ht="15" customHeight="1" s="78">
      <c r="A2" s="97" t="inlineStr">
        <is>
          <t>표준 이탈리아어 기준. 격식 복수 Loro는 현대 구어에서 거의 쓰지 않으므로 Cesare의 고풍 캐릭터 장치로만 사용. 2~5부 '사무소 프레임 장면'은 1부와 같은 규칙을 따른다.</t>
        </is>
      </c>
    </row>
    <row r="4" ht="19.5" customHeight="1" s="78">
      <c r="A4" s="100" t="inlineStr">
        <is>
          <t>화자 → 청자</t>
        </is>
      </c>
      <c r="B4" s="99" t="inlineStr">
        <is>
          <t>1부 (현재)</t>
        </is>
      </c>
      <c r="C4" s="99" t="inlineStr">
        <is>
          <t>2~5부 (각자의 과거)</t>
        </is>
      </c>
      <c r="D4" s="99" t="inlineStr">
        <is>
          <t>6부 이후</t>
        </is>
      </c>
      <c r="E4" s="100" t="inlineStr">
        <is>
          <t>비고</t>
        </is>
      </c>
    </row>
    <row r="5" ht="26.25" customHeight="1" s="78">
      <c r="A5" s="83" t="inlineStr">
        <is>
          <t>주력 4인 상호</t>
        </is>
      </c>
      <c r="B5" s="85" t="inlineStr">
        <is>
          <t>tu</t>
        </is>
      </c>
      <c r="C5" s="85" t="inlineStr">
        <is>
          <t>Lei (만나기 전이라)</t>
        </is>
      </c>
      <c r="D5" s="85" t="inlineStr">
        <is>
          <t>tu</t>
        </is>
      </c>
      <c r="E5" s="85" t="inlineStr">
        <is>
          <t>6부 만남을 기점으로 전환 — «Diamoci del tu.» 같은 전환 순간을 대사로 드러낼 것</t>
        </is>
      </c>
    </row>
    <row r="6" ht="15" customHeight="1" s="78">
      <c r="A6" s="83" t="inlineStr">
        <is>
          <t>주력 4인 → Sofia</t>
        </is>
      </c>
      <c r="B6" s="85" t="inlineStr">
        <is>
          <t>tu</t>
        </is>
      </c>
      <c r="C6" s="85" t="inlineStr">
        <is>
          <t>tu (프레임 장면)</t>
        </is>
      </c>
      <c r="D6" s="85" t="inlineStr">
        <is>
          <t>tu</t>
        </is>
      </c>
      <c r="E6" s="85" t="n"/>
    </row>
    <row r="7" ht="26.25" customHeight="1" s="78">
      <c r="A7" s="148" t="inlineStr">
        <is>
          <t>Sofia → 주력 4인</t>
        </is>
      </c>
      <c r="B7" s="85" t="inlineStr">
        <is>
          <t>Lei</t>
        </is>
      </c>
      <c r="C7" s="85" t="inlineStr">
        <is>
          <t>Lei (프레임 장면)</t>
        </is>
      </c>
      <c r="D7" s="85" t="inlineStr">
        <is>
          <t>tu (제안)</t>
        </is>
      </c>
      <c r="E7" s="85" t="inlineStr">
        <is>
          <t>6부에서는 이웃 사이라 tu, 인턴이 되면서(1부) Lei로 바뀐다 — 1부 1화 대본에서 «Al Quarticciolo mi davi del tu.»로 대사 설명. 이후 tu로 돌아갈 시점은 미확정</t>
        </is>
      </c>
    </row>
    <row r="8" ht="39" customHeight="1" s="78">
      <c r="A8" s="148" t="inlineStr">
        <is>
          <t>Sofia → Cesare</t>
        </is>
      </c>
      <c r="B8" s="85" t="inlineStr">
        <is>
          <t>Lei</t>
        </is>
      </c>
      <c r="C8" s="85" t="inlineStr">
        <is>
          <t>Lei</t>
        </is>
      </c>
      <c r="D8" s="85" t="inlineStr">
        <is>
          <t>Lei 유지 → 12부 1화 조사에서 처음 tu</t>
        </is>
      </c>
      <c r="E8" s="85" t="inlineStr">
        <is>
          <t>7부에서 Cesare가 «Puoi darmi del tu.»라고 허락해도 Sofia는 습관 때문에 끝내 Lei. 폭발 중에도 Lei (예: «Proprio Lei non mi chiami stolta!»). 폭발 중 tu 실수 금지 — 장례식 전환의 복선.</t>
        </is>
      </c>
    </row>
    <row r="9" ht="15" customHeight="1" s="78">
      <c r="A9" s="148" t="inlineStr">
        <is>
          <t>Sofia → Garibaldi, Francesco</t>
        </is>
      </c>
      <c r="B9" s="85" t="inlineStr">
        <is>
          <t>Lei</t>
        </is>
      </c>
      <c r="C9" s="86" t="inlineStr">
        <is>
          <t>해당 없음</t>
        </is>
      </c>
      <c r="D9" s="85" t="inlineStr">
        <is>
          <t>Lei (전환 시점 미정)</t>
        </is>
      </c>
      <c r="E9" s="85" t="n"/>
    </row>
    <row r="10" ht="15" customHeight="1" s="78">
      <c r="A10" s="148" t="inlineStr">
        <is>
          <t>Cesare → Sofia</t>
        </is>
      </c>
      <c r="B10" s="85" t="inlineStr">
        <is>
          <t>tu («ragazza»)</t>
        </is>
      </c>
      <c r="C10" s="86" t="inlineStr">
        <is>
          <t>해당 없음</t>
        </is>
      </c>
      <c r="D10" s="85" t="inlineStr">
        <is>
          <t>tu</t>
        </is>
      </c>
      <c r="E10" s="86" t="inlineStr">
        <is>
          <t>처음부터 tu — 욕(stolta)도 Sofia에게만</t>
        </is>
      </c>
    </row>
    <row r="11" ht="39" customHeight="1" s="78">
      <c r="A11" s="148" t="inlineStr">
        <is>
          <t>Cesare → 여럿(집단)</t>
        </is>
      </c>
      <c r="B11" s="85" t="inlineStr">
        <is>
          <t>Loro (고풍 격식 복수)</t>
        </is>
      </c>
      <c r="C11" s="85" t="inlineStr">
        <is>
          <t>Loro</t>
        </is>
      </c>
      <c r="D11" s="85" t="inlineStr">
        <is>
          <t>Loro</t>
        </is>
      </c>
      <c r="E11" s="86" t="inlineStr">
        <is>
          <t>사무소 안에서도 일부러 거리를 두는 심술. 현대 이탈리아어에서는 거의 쓰지 않는 격식 복수 Loro를 다른 인물의 voi와 비교 학습. 3인칭 자기 지칭(«Cesare pensa…»)과 함께.</t>
        </is>
      </c>
    </row>
    <row r="12" ht="15" customHeight="1" s="78">
      <c r="A12" s="148" t="inlineStr">
        <is>
          <t>Cesare → 개인 (Sofia 외)</t>
        </is>
      </c>
      <c r="B12" s="85" t="inlineStr">
        <is>
          <t>Lei</t>
        </is>
      </c>
      <c r="C12" s="85" t="inlineStr">
        <is>
          <t>Lei</t>
        </is>
      </c>
      <c r="D12" s="86" t="inlineStr">
        <is>
          <t>소수에게만 tu</t>
        </is>
      </c>
      <c r="E12" s="85" t="n"/>
    </row>
    <row r="13" ht="15" customHeight="1" s="78">
      <c r="A13" s="148" t="inlineStr">
        <is>
          <t>Garibaldi → 후배들</t>
        </is>
      </c>
      <c r="B13" s="85" t="inlineStr">
        <is>
          <t>tu (명령조)</t>
        </is>
      </c>
      <c r="C13" s="85" t="inlineStr">
        <is>
          <t>tu / Lei 혼용</t>
        </is>
      </c>
      <c r="D13" s="86" t="inlineStr">
        <is>
          <t>정치 무대에서는 Lei</t>
        </is>
      </c>
      <c r="E13" s="86" t="inlineStr">
        <is>
          <t>의용군 지휘관의 버릇으로 모두를 '동지'처럼 부른다</t>
        </is>
      </c>
    </row>
    <row r="14" ht="15" customHeight="1" s="78">
      <c r="A14" s="148" t="inlineStr">
        <is>
          <t>Gramsci → 전원</t>
        </is>
      </c>
      <c r="B14" s="85" t="inlineStr">
        <is>
          <t>tu</t>
        </is>
      </c>
      <c r="C14" s="85" t="inlineStr">
        <is>
          <t>tu</t>
        </is>
      </c>
      <c r="D14" s="85" t="inlineStr">
        <is>
          <t>tu</t>
        </is>
      </c>
      <c r="E14" s="86" t="inlineStr">
        <is>
          <t>모두에게 tu — 그래서 더 단호하다. «Cercalo tu.»</t>
        </is>
      </c>
    </row>
    <row r="15" ht="15" customHeight="1" s="78">
      <c r="A15" s="148" t="inlineStr">
        <is>
          <t>Rosa, Paolo → 전원</t>
        </is>
      </c>
      <c r="B15" s="85" t="inlineStr">
        <is>
          <t>tu</t>
        </is>
      </c>
      <c r="C15" s="85" t="inlineStr">
        <is>
          <t>tu</t>
        </is>
      </c>
      <c r="D15" s="85" t="inlineStr">
        <is>
          <t>tu</t>
        </is>
      </c>
      <c r="E15" s="85" t="inlineStr">
        <is>
          <t>Rosa는 'amore/tesoro', 로마 사투리 한두 마디(«daje», «che te serve?»)</t>
        </is>
      </c>
    </row>
    <row r="16" ht="15" customHeight="1" s="78">
      <c r="A16" s="148" t="inlineStr">
        <is>
          <t>Galileo → 취재·관찰 대상</t>
        </is>
      </c>
      <c r="B16" s="85" t="inlineStr">
        <is>
          <t>Lei (취재 시)</t>
        </is>
      </c>
      <c r="C16" s="85" t="inlineStr">
        <is>
          <t>Lei</t>
        </is>
      </c>
      <c r="D16" s="86" t="inlineStr">
        <is>
          <t>친해지면 tu</t>
        </is>
      </c>
      <c r="E16" s="85" t="n"/>
    </row>
    <row r="17" ht="26.25" customHeight="1" s="78">
      <c r="A17" s="148" t="inlineStr">
        <is>
          <t>Machiavelli, Dante, Montessori → 전원</t>
        </is>
      </c>
      <c r="B17" s="85" t="inlineStr">
        <is>
          <t>Lei</t>
        </is>
      </c>
      <c r="C17" s="85" t="inlineStr">
        <is>
          <t>Lei</t>
        </is>
      </c>
      <c r="D17" s="86" t="inlineStr">
        <is>
          <t>가까운 사람에게만 tu</t>
        </is>
      </c>
      <c r="E17" s="86" t="inlineStr">
        <is>
          <t>부활자들은 격식이 기본. Dante는 가끔 옛 존칭 voi를 한 사람에게 써서 웃음을 준다(옛 이탈리아어의 존칭 voi).</t>
        </is>
      </c>
    </row>
    <row r="18" ht="15" customHeight="1" s="78">
      <c r="A18" s="83" t="inlineStr">
        <is>
          <t>집단 대화 (사무소 안)</t>
        </is>
      </c>
      <c r="B18" s="85" t="inlineStr">
        <is>
          <t>voi</t>
        </is>
      </c>
      <c r="C18" s="85" t="inlineStr">
        <is>
          <t>voi</t>
        </is>
      </c>
      <c r="D18" s="85" t="inlineStr">
        <is>
          <t>voi</t>
        </is>
      </c>
      <c r="E18" s="86" t="inlineStr">
        <is>
          <t>예: «Sedetevi, che vi porto qualcosa.»</t>
        </is>
      </c>
    </row>
    <row r="19" ht="15" customHeight="1" s="78">
      <c r="A19" s="83" t="inlineStr">
        <is>
          <t>공식 연설·의회</t>
        </is>
      </c>
      <c r="B19" s="85" t="inlineStr">
        <is>
          <t>—</t>
        </is>
      </c>
      <c r="C19" s="85" t="inlineStr">
        <is>
          <t>—</t>
        </is>
      </c>
      <c r="D19" s="85" t="inlineStr">
        <is>
          <t>voi / Loro, «Onorevoli colleghi»</t>
        </is>
      </c>
      <c r="E19" s="85" t="inlineStr">
        <is>
          <t>8부 이후 대중 연설, 9부 이후 시의회·주의회·양원 토론</t>
        </is>
      </c>
    </row>
    <row r="20" ht="37.5" customHeight="1" s="78">
      <c r="A20" s="83" t="inlineStr">
        <is>
          <t>하원·상원</t>
        </is>
      </c>
      <c r="B20" s="85" t="inlineStr">
        <is>
          <t>—</t>
        </is>
      </c>
      <c r="C20" s="85" t="inlineStr">
        <is>
          <t>—</t>
        </is>
      </c>
      <c r="D20" s="85" t="inlineStr">
        <is>
          <t>«Signor Presidente / Signora Presidente»(의장), «onorevole»(하원의원), «senatore/senatrice», «signor Ministro / signora Ministra»</t>
        </is>
      </c>
      <c r="E20" s="86" t="inlineStr">
        <is>
          <t>의원끼리는 «collega», 총리는 «Presidente del Consiglio»로 부른다. 발언은 의장을 향해 3인칭</t>
        </is>
      </c>
    </row>
    <row r="21" ht="23.25" customHeight="1" s="78">
      <c r="A21" s="83" t="inlineStr">
        <is>
          <t>시의회 (Assemblea Capitolina)</t>
        </is>
      </c>
      <c r="B21" s="85" t="inlineStr">
        <is>
          <t>—</t>
        </is>
      </c>
      <c r="C21" s="85" t="inlineStr">
        <is>
          <t>—</t>
        </is>
      </c>
      <c r="D21" s="85" t="inlineStr">
        <is>
          <t>«Signor Sindaco / Signora Sindaca», «Presidente», «consigliera / consigliere»</t>
        </is>
      </c>
      <c r="E21" s="86" t="inlineStr">
        <is>
          <t>발언은 Lei, 회의 밖 동료끼리는 tu로 돌아간다</t>
        </is>
      </c>
    </row>
    <row r="22" ht="26.25" customHeight="1" s="78">
      <c r="A22" s="83" t="inlineStr">
        <is>
          <t>대통령</t>
        </is>
      </c>
      <c r="B22" s="85" t="inlineStr">
        <is>
          <t>—</t>
        </is>
      </c>
      <c r="C22" s="85" t="inlineStr">
        <is>
          <t>—</t>
        </is>
      </c>
      <c r="D22" s="85" t="inlineStr">
        <is>
          <t>«Signor Presidente della Repubblica»</t>
        </is>
      </c>
      <c r="E22" s="86" t="inlineStr">
        <is>
          <t>대통령은 직접 대사를 주지 않는다. 절차와 결과는 공식 발표문(가상)이나 인물의 대사로 전달</t>
        </is>
      </c>
    </row>
    <row r="24">
      <c r="A24" s="154" t="inlineStr">
        <is>
          <t>부활 인물 직접 호칭 규칙 (2부~7부 집필 중 확정, 2026-09-25)</t>
        </is>
      </c>
    </row>
    <row r="25">
      <c r="A25" s="155" t="inlineStr">
        <is>
          <t>다른 인물이 부활자를 이름/성으로 직접 부를 때(2인칭, vocative)는 역할·직함 + 이름의 정식 호칭을 쓴다. 3인칭 언급, 자기지칭(Cesare), tu 관계의 편한 호칭은 이름만 써도 된다.</t>
        </is>
      </c>
    </row>
    <row r="27">
      <c r="A27" s="156" t="inlineStr">
        <is>
          <t>약칭</t>
        </is>
      </c>
      <c r="B27" s="156" t="inlineStr">
        <is>
          <t>직접 호칭 시 정식 표현</t>
        </is>
      </c>
      <c r="C27" s="156" t="inlineStr">
        <is>
          <t>한국어 번역</t>
        </is>
      </c>
    </row>
    <row r="28">
      <c r="A28" s="77" t="inlineStr">
        <is>
          <t>Cesare</t>
        </is>
      </c>
      <c r="B28" s="77" t="inlineStr">
        <is>
          <t>Console Cesare</t>
        </is>
      </c>
      <c r="C28" s="77" t="inlineStr">
        <is>
          <t>체사레 집정관님</t>
        </is>
      </c>
    </row>
    <row r="29">
      <c r="A29" s="77" t="inlineStr">
        <is>
          <t>Gramsci</t>
        </is>
      </c>
      <c r="B29" s="77" t="inlineStr">
        <is>
          <t>Segretario Gramsci</t>
        </is>
      </c>
      <c r="C29" s="77" t="inlineStr">
        <is>
          <t>그람시 서기장님</t>
        </is>
      </c>
    </row>
    <row r="30">
      <c r="A30" s="77" t="inlineStr">
        <is>
          <t>Machiavelli</t>
        </is>
      </c>
      <c r="B30" s="77" t="inlineStr">
        <is>
          <t>Segretario Machiavelli</t>
        </is>
      </c>
      <c r="C30" s="77" t="inlineStr">
        <is>
          <t>마키아벨리 서기관</t>
        </is>
      </c>
    </row>
    <row r="31">
      <c r="A31" s="77" t="inlineStr">
        <is>
          <t>Garibaldi</t>
        </is>
      </c>
      <c r="B31" s="77" t="inlineStr">
        <is>
          <t>Generale Garibaldi</t>
        </is>
      </c>
      <c r="C31" s="77" t="inlineStr">
        <is>
          <t>가리발디 장군님</t>
        </is>
      </c>
    </row>
    <row r="32">
      <c r="A32" s="77" t="inlineStr">
        <is>
          <t>Dante</t>
        </is>
      </c>
      <c r="B32" s="77" t="inlineStr">
        <is>
          <t>Poeta Dante</t>
        </is>
      </c>
      <c r="C32" s="77" t="inlineStr">
        <is>
          <t>단테 시인님</t>
        </is>
      </c>
    </row>
    <row r="33">
      <c r="A33" s="77" t="inlineStr">
        <is>
          <t>Galileo</t>
        </is>
      </c>
      <c r="B33" s="77" t="inlineStr">
        <is>
          <t>Professor Galileo</t>
        </is>
      </c>
      <c r="C33" s="77" t="inlineStr">
        <is>
          <t>갈릴레오 교수님</t>
        </is>
      </c>
    </row>
    <row r="34">
      <c r="A34" s="77" t="inlineStr">
        <is>
          <t>Montessori</t>
        </is>
      </c>
      <c r="B34" s="77" t="inlineStr">
        <is>
          <t>Dottoressa Montessori</t>
        </is>
      </c>
      <c r="C34" s="77" t="inlineStr">
        <is>
          <t>몬테소리 박사님</t>
        </is>
      </c>
    </row>
    <row r="36">
      <c r="A36" s="157" t="inlineStr">
        <is>
          <t>예외: 1년 이상 함께한 친한 동료 사이의 격의없는 장면(7부 이후)에서는 직함 없이 이름만 써도 무방하다. Cesare는 본인 성격상 항상 공식적이어야 하므로 이 예외에서 제외.</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4.xml><?xml version="1.0" encoding="utf-8"?>
<worksheet xmlns="http://schemas.openxmlformats.org/spreadsheetml/2006/main">
  <sheetPr filterMode="0">
    <tabColor rgb="FF548235"/>
    <outlinePr summaryBelow="1" summaryRight="1"/>
    <pageSetUpPr fitToPage="1"/>
  </sheetPr>
  <dimension ref="A1:E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77" min="1" max="1"/>
    <col width="36" customWidth="1" style="77" min="2" max="2"/>
    <col width="32" customWidth="1" style="77" min="3" max="3"/>
    <col width="34" customWidth="1" style="77" min="4" max="4"/>
    <col width="48" customWidth="1" style="77" min="5" max="5"/>
  </cols>
  <sheetData>
    <row r="1" ht="24" customHeight="1" s="78">
      <c r="A1" s="79" t="inlineStr">
        <is>
          <t>Sofia의 폭발 (Lo Sfogo) 과 욕 배정</t>
        </is>
      </c>
    </row>
    <row r="2" ht="15" customHeight="1" s="78">
      <c r="A2" s="97" t="inlineStr">
        <is>
          <t>폭발은 총 2회. 희소성이 가치다. 폭발 뒤에는 반드시 쉬운 말로 다시 설명하는 어휘 교습 장면이 이어진다.</t>
        </is>
      </c>
    </row>
    <row r="4" ht="18" customHeight="1" s="78">
      <c r="A4" s="115" t="inlineStr">
        <is>
          <t>1. 폭발 배치 (총 2회)</t>
        </is>
      </c>
      <c r="B4" s="82" t="n"/>
      <c r="C4" s="82" t="n"/>
      <c r="D4" s="82" t="n"/>
      <c r="E4" s="82" t="n"/>
    </row>
    <row r="5" ht="19.5" customHeight="1" s="78">
      <c r="A5" s="100" t="inlineStr">
        <is>
          <t>회차</t>
        </is>
      </c>
      <c r="B5" s="100" t="inlineStr">
        <is>
          <t>위치</t>
        </is>
      </c>
      <c r="C5" s="100" t="inlineStr">
        <is>
          <t>성격</t>
        </is>
      </c>
      <c r="D5" s="100" t="inlineStr">
        <is>
          <t>단계 구성</t>
        </is>
      </c>
      <c r="E5" s="100" t="inlineStr">
        <is>
          <t>특기 사항</t>
        </is>
      </c>
    </row>
    <row r="6" ht="42" customHeight="1" s="78">
      <c r="A6" s="88" t="inlineStr">
        <is>
          <t>1차 폭발</t>
        </is>
      </c>
      <c r="B6" s="85" t="inlineStr">
        <is>
          <t>1부 6화 «Basta!» (사건3 위장 인턴·임금 체불 해결 화, Chiara의 경영 용어가 협상을 막는 장면)</t>
        </is>
      </c>
      <c r="C6" s="86" t="inlineStr">
        <is>
          <t>코미디 — 「몰라서 화내는 Sofia」</t>
        </is>
      </c>
      <c r="D6" s="85" t="inlineStr">
        <is>
          <t>1단계 → 2단계 → 3단계 전부 노출</t>
        </is>
      </c>
      <c r="E6" s="86" t="inlineStr">
        <is>
          <t>인물별 고정 반응 패턴을 여기서 한 번에 보여 준다. Garibaldi·Rosa·Gramsci가 이 화에 함께 등장 — Paolo의 욕은 9부 2차 폭발로 이관해 과밀을 피함.</t>
        </is>
      </c>
    </row>
    <row r="7" ht="42" customHeight="1" s="78">
      <c r="A7" s="88" t="inlineStr">
        <is>
          <t>2차 폭발</t>
        </is>
      </c>
      <c r="B7" s="85" t="inlineStr">
        <is>
          <t>9부 6화 (시의회 예산 심의)</t>
        </is>
      </c>
      <c r="C7" s="86" t="inlineStr">
        <is>
          <t>역전 — 「알아서 화내는 Sofia」. 이번엔 Sofia가 옳다.</t>
        </is>
      </c>
      <c r="D7" s="85" t="inlineStr">
        <is>
          <t>1단계에서 곧바로 3단계로 (2단계 생략: '이번엔 참지 않는다')</t>
        </is>
      </c>
      <c r="E7" s="86" t="inlineStr">
        <is>
          <t>관료 전문 용어 속에 서민 예산을 깎는 조항이 숨어 있었고 Sofia가 짚어 낸다. Cesare가 선을 넘는 말을 하고 Garibaldi·Rosa가 나무란다.</t>
        </is>
      </c>
    </row>
    <row r="8" ht="29.25" customHeight="1" s="78">
      <c r="A8" s="83" t="inlineStr">
        <is>
          <t>사이 구간</t>
        </is>
      </c>
      <c r="B8" s="85" t="inlineStr">
        <is>
          <t>2~8부</t>
        </is>
      </c>
      <c r="C8" s="86" t="inlineStr">
        <is>
          <t>폭발 없음</t>
        </is>
      </c>
      <c r="D8" s="85" t="inlineStr">
        <is>
          <t>1단계 질문만 일상 장치로 반복</t>
        </is>
      </c>
      <c r="E8" s="86" t="inlineStr">
        <is>
          <t>어휘 학습의 핵심은 1단계 질문. 폭발은 정점 이벤트일 뿐.</t>
        </is>
      </c>
    </row>
    <row r="10" ht="18" customHeight="1" s="78">
      <c r="A10" s="115" t="inlineStr">
        <is>
          <t>2. 3단계 계단</t>
        </is>
      </c>
      <c r="B10" s="82" t="n"/>
      <c r="C10" s="82" t="n"/>
      <c r="D10" s="82" t="n"/>
      <c r="E10" s="82" t="n"/>
    </row>
    <row r="11" ht="19.5" customHeight="1" s="78">
      <c r="A11" s="100" t="inlineStr">
        <is>
          <t>단계</t>
        </is>
      </c>
      <c r="B11" s="100" t="inlineStr">
        <is>
          <t>대사 (IT)</t>
        </is>
      </c>
      <c r="C11" s="100" t="inlineStr">
        <is>
          <t>한국어</t>
        </is>
      </c>
      <c r="D11" s="100" t="inlineStr">
        <is>
          <t>분위기</t>
        </is>
      </c>
      <c r="E11" s="100" t="inlineStr">
        <is>
          <t>사용</t>
        </is>
      </c>
    </row>
    <row r="12" ht="16.5" customHeight="1" s="78">
      <c r="A12" s="88" t="inlineStr">
        <is>
          <t>1단계</t>
        </is>
      </c>
      <c r="B12" s="85" t="inlineStr">
        <is>
          <t>Scusi, cosa significa?</t>
        </is>
      </c>
      <c r="C12" s="86" t="inlineStr">
        <is>
          <t>실례지만, 그게 무슨 뜻이에요?</t>
        </is>
      </c>
      <c r="D12" s="86" t="inlineStr">
        <is>
          <t>정중한 질문</t>
        </is>
      </c>
      <c r="E12" s="86" t="inlineStr">
        <is>
          <t>상시 (매 화 가능)</t>
        </is>
      </c>
    </row>
    <row r="13" ht="29.25" customHeight="1" s="78">
      <c r="A13" s="88" t="inlineStr">
        <is>
          <t>2단계</t>
        </is>
      </c>
      <c r="B13" s="85" t="inlineStr">
        <is>
          <t>Me lo spiega come se avessi cinque anni?</t>
        </is>
      </c>
      <c r="C13" s="86" t="inlineStr">
        <is>
          <t>다섯 살한테 설명하듯 해 주실래요?</t>
        </is>
      </c>
      <c r="D13" s="86" t="inlineStr">
        <is>
          <t>슬슬 짜증</t>
        </is>
      </c>
      <c r="E13" s="85" t="inlineStr">
        <is>
          <t>1차 폭발에서만</t>
        </is>
      </c>
    </row>
    <row r="14" ht="16.5" customHeight="1" s="78">
      <c r="A14" s="88" t="inlineStr">
        <is>
          <t>3단계</t>
        </is>
      </c>
      <c r="B14" s="85" t="inlineStr">
        <is>
          <t>BASTA! Non capisco niente!</t>
        </is>
      </c>
      <c r="C14" s="86" t="inlineStr">
        <is>
          <t>그만! 하나도 모르겠다고요!</t>
        </is>
      </c>
      <c r="D14" s="86" t="inlineStr">
        <is>
          <t>폭발</t>
        </is>
      </c>
      <c r="E14" s="85" t="inlineStr">
        <is>
          <t>1차 · 2차(9부)</t>
        </is>
      </c>
    </row>
    <row r="16" ht="18" customHeight="1" s="78">
      <c r="A16" s="115" t="inlineStr">
        <is>
          <t>3. 폭발 직후 고정 반응 (전부 대사로 처리 — 지문 폐기)</t>
        </is>
      </c>
      <c r="B16" s="82" t="n"/>
      <c r="C16" s="82" t="n"/>
      <c r="D16" s="82" t="n"/>
      <c r="E16" s="82" t="n"/>
    </row>
    <row r="17" ht="19.5" customHeight="1" s="78">
      <c r="A17" s="100" t="inlineStr">
        <is>
          <t>인물</t>
        </is>
      </c>
      <c r="B17" s="100" t="inlineStr">
        <is>
          <t>반응 대사 (IT)</t>
        </is>
      </c>
      <c r="C17" s="100" t="inlineStr">
        <is>
          <t>한국어</t>
        </is>
      </c>
      <c r="D17" s="100" t="inlineStr">
        <is>
          <t>기존 지문 (폐기)</t>
        </is>
      </c>
      <c r="E17" s="100" t="inlineStr">
        <is>
          <t>비고</t>
        </is>
      </c>
    </row>
    <row r="18" ht="16.5" customHeight="1" s="78">
      <c r="A18" s="88" t="inlineStr">
        <is>
          <t>Giulia</t>
        </is>
      </c>
      <c r="B18" s="85" t="inlineStr">
        <is>
          <t>Prima, respira.</t>
        </is>
      </c>
      <c r="C18" s="86" t="inlineStr">
        <is>
          <t>우선, 숨 쉬어요.</t>
        </is>
      </c>
      <c r="D18" s="85" t="inlineStr">
        <is>
          <t>—</t>
        </is>
      </c>
      <c r="E18" s="85" t="inlineStr">
        <is>
          <t>Sofia: «Non mi dica "respira"!»로 받는다</t>
        </is>
      </c>
    </row>
    <row r="19" ht="29.25" customHeight="1" s="78">
      <c r="A19" s="88" t="inlineStr">
        <is>
          <t>Rosa</t>
        </is>
      </c>
      <c r="B19" s="85" t="inlineStr">
        <is>
          <t>Uh. Poso 'sto piatto sul tavolo prima che voli.</t>
        </is>
      </c>
      <c r="C19" s="86" t="inlineStr">
        <is>
          <t>어이쿠. 접시 날아가기 전에 식탁에 내려놔야겠네.</t>
        </is>
      </c>
      <c r="D19" s="86" t="inlineStr">
        <is>
          <t>말없이 접시를 내려놓음</t>
        </is>
      </c>
      <c r="E19" s="86" t="inlineStr">
        <is>
          <t>정적의 순간을 웃음으로 대신한다. 'sto = questo (로마 구어)</t>
        </is>
      </c>
    </row>
    <row r="20" ht="29.25" customHeight="1" s="78">
      <c r="A20" s="88" t="inlineStr">
        <is>
          <t>Garibaldi</t>
        </is>
      </c>
      <c r="B20" s="85" t="inlineStr">
        <is>
          <t>Nulla da segn… No. Meglio che stia zitto.</t>
        </is>
      </c>
      <c r="C20" s="86" t="inlineStr">
        <is>
          <t>이상 없… 아니. 입 다무는 게 낫겠군.</t>
        </is>
      </c>
      <c r="D20" s="85" t="inlineStr">
        <is>
          <t>«Nulla da segnalare»를 하려다 입을 다묾</t>
        </is>
      </c>
      <c r="E20" s="85" t="n"/>
    </row>
    <row r="21" ht="29.25" customHeight="1" s="78">
      <c r="A21" s="88" t="inlineStr">
        <is>
          <t>Gramsci</t>
        </is>
      </c>
      <c r="B21" s="85" t="inlineStr">
        <is>
          <t>Io non ho detto niente.</t>
        </is>
      </c>
      <c r="C21" s="86" t="inlineStr">
        <is>
          <t>나는 아무 말도 안 했어.</t>
        </is>
      </c>
      <c r="D21" s="86" t="inlineStr">
        <is>
          <t>아무 말도 하지 않아 오히려 가장 긴장됨</t>
        </is>
      </c>
      <c r="E21" s="86" t="inlineStr">
        <is>
          <t>침묵 설정을 폐지하고 시그니처 대사로 대체</t>
        </is>
      </c>
    </row>
    <row r="23" ht="18" customHeight="1" s="78">
      <c r="A23" s="115" t="inlineStr">
        <is>
          <t>4. 욕 배정 (폭발 장면 한정 — 교재용 순한 표현만)</t>
        </is>
      </c>
      <c r="B23" s="82" t="n"/>
      <c r="C23" s="82" t="n"/>
      <c r="D23" s="82" t="n"/>
      <c r="E23" s="82" t="n"/>
    </row>
    <row r="24" ht="19.5" customHeight="1" s="78">
      <c r="A24" s="100" t="inlineStr">
        <is>
          <t>인물</t>
        </is>
      </c>
      <c r="B24" s="100" t="inlineStr">
        <is>
          <t>표현</t>
        </is>
      </c>
      <c r="C24" s="100" t="inlineStr">
        <is>
          <t>뉘앙스</t>
        </is>
      </c>
      <c r="D24" s="100" t="inlineStr">
        <is>
          <t>사용 규칙</t>
        </is>
      </c>
      <c r="E24" s="100" t="inlineStr">
        <is>
          <t>비고</t>
        </is>
      </c>
    </row>
    <row r="25" ht="29.25" customHeight="1" s="78">
      <c r="A25" s="88" t="inlineStr">
        <is>
          <t>Cesare</t>
        </is>
      </c>
      <c r="B25" s="85" t="inlineStr">
        <is>
          <t>Stolta / Testa di rapa</t>
        </is>
      </c>
      <c r="C25" s="86" t="inlineStr">
        <is>
          <t>고풍스럽고 격식 있는 욕 — 우아하게 기분 나쁨 (라틴어 stulta의 후손)</t>
        </is>
      </c>
      <c r="D25" s="85" t="inlineStr">
        <is>
          <t>1차·2차 폭발에서만, Sofia에게만</t>
        </is>
      </c>
      <c r="E25" s="85" t="inlineStr">
        <is>
          <t>11부 12화 마지막에 «stolta» 대신 «Niente male.»이 나올 때 낙차가 커진다.</t>
        </is>
      </c>
    </row>
    <row r="26" ht="29.25" customHeight="1" s="78">
      <c r="A26" s="88" t="inlineStr">
        <is>
          <t>Garibaldi</t>
        </is>
      </c>
      <c r="B26" s="85" t="inlineStr">
        <is>
          <t>Recluta! / Pivella</t>
        </is>
      </c>
      <c r="C26" s="86" t="inlineStr">
        <is>
          <t>의용군식 신병 취급</t>
        </is>
      </c>
      <c r="D26" s="85" t="inlineStr">
        <is>
          <t>1차에서 1회</t>
        </is>
      </c>
      <c r="E26" s="85" t="inlineStr">
        <is>
          <t>1부 6화(폭발 화)에 카메오로 함께 있으므로 여기서 1회 (확정)</t>
        </is>
      </c>
    </row>
    <row r="27" ht="16.5" customHeight="1" s="78">
      <c r="A27" s="88" t="inlineStr">
        <is>
          <t>Paolo</t>
        </is>
      </c>
      <c r="B27" s="85" t="inlineStr">
        <is>
          <t>Zuccona / Testona</t>
        </is>
      </c>
      <c r="C27" s="86" t="inlineStr">
        <is>
          <t>시장통식 직설</t>
        </is>
      </c>
      <c r="D27" s="85" t="inlineStr">
        <is>
          <t>2차(9부)에서 1회</t>
        </is>
      </c>
      <c r="E27" s="85" t="inlineStr">
        <is>
          <t>1차 폭발 화의 카메오 과밀을 피해 이관 (확정)</t>
        </is>
      </c>
    </row>
    <row r="28" ht="16.5" customHeight="1" s="78">
      <c r="A28" s="88" t="inlineStr">
        <is>
          <t>Rosa</t>
        </is>
      </c>
      <c r="B28" s="85" t="inlineStr">
        <is>
          <t>Svampita / Scemotta + «amore»</t>
        </is>
      </c>
      <c r="C28" s="86" t="inlineStr">
        <is>
          <t>애정이 섞여 욕인 줄 모름 (로마 할머니 화법)</t>
        </is>
      </c>
      <c r="D28" s="85" t="inlineStr">
        <is>
          <t>1차에서 1회</t>
        </is>
      </c>
      <c r="E28" s="85" t="n"/>
    </row>
    <row r="29" ht="16.5" customHeight="1" s="78">
      <c r="A29" s="88" t="inlineStr">
        <is>
          <t>Gramsci</t>
        </is>
      </c>
      <c r="B29" s="86" t="inlineStr">
        <is>
          <t>욕하지 않음</t>
        </is>
      </c>
      <c r="C29" s="86" t="inlineStr">
        <is>
          <t>대신 출처를 가리킨다</t>
        </is>
      </c>
      <c r="D29" s="85" t="inlineStr">
        <is>
          <t>—</t>
        </is>
      </c>
      <c r="E29" s="85" t="inlineStr">
        <is>
          <t>«Cercalo tu.»</t>
        </is>
      </c>
    </row>
    <row r="31" ht="18" customHeight="1" s="78">
      <c r="A31" s="115" t="inlineStr">
        <is>
          <t>5. 유지 규칙</t>
        </is>
      </c>
      <c r="B31" s="82" t="n"/>
      <c r="C31" s="82" t="n"/>
      <c r="D31" s="82" t="n"/>
      <c r="E31" s="82" t="n"/>
    </row>
    <row r="32" ht="29.25" customHeight="1" s="78">
      <c r="A32" s="114" t="inlineStr">
        <is>
          <t>1. Sofia가 옳은 경우가 있어야 한다. 2차(9부)에서는 관료 용어에 숨은 삭감 조항을 짚어 낸다. 1차에서도 Chiara의 용어(sinergie, scalabile)가 알맹이 없었음이 드러난다. Sofia는 '어려운 말로 숨는 어른들'을 드러내는 인물이다.</t>
        </is>
      </c>
    </row>
    <row r="33" ht="16.5" customHeight="1" s="78">
      <c r="A33" s="114" t="inlineStr">
        <is>
          <t>2. 폭발 직후에는 누군가 쉬운 말로 다시 설명한다 (전문 표현 → 쉬운 표현 짝 학습). 1차 담당: Alessandro — «Traduco io. Vuol dire: licenziare gente per risparmiare.»</t>
        </is>
      </c>
    </row>
    <row r="34" ht="16.5" customHeight="1" s="78">
      <c r="A34" s="114" t="inlineStr">
        <is>
          <t>3. 욕과 괴롭힘의 선: 별도 에피소드를 만들지 않고 2차 폭발에 합친다. Cesare가 정말 아픈 말을 하고 Garibaldi·Rosa가 나무라며, 사과는 «Ritiro quello che ho detto… in parte.» 정도로 삐딱하게.</t>
        </is>
      </c>
    </row>
    <row r="35" ht="16.5" customHeight="1" s="78">
      <c r="A35" s="114" t="inlineStr">
        <is>
          <t>4. 욕설 수위: cazzo, vaffanculo 등은 교재에서 제외. 필요하면 각주로 '실제로는 더 거칠게 말한다'고만 알려 준다. 로마 사투리 욕도 순한 것만.</t>
        </is>
      </c>
    </row>
  </sheetData>
  <mergeCells count="4">
    <mergeCell ref="A34:E34"/>
    <mergeCell ref="A35:E35"/>
    <mergeCell ref="A32:E32"/>
    <mergeCell ref="A33:E33"/>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5.xml><?xml version="1.0" encoding="utf-8"?>
<worksheet xmlns="http://schemas.openxmlformats.org/spreadsheetml/2006/main">
  <sheetPr filterMode="0">
    <tabColor rgb="FFC55A11"/>
    <outlinePr summaryBelow="1" summaryRight="1"/>
    <pageSetUpPr fitToPage="1"/>
  </sheetPr>
  <dimension ref="A1:E3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77" min="1" max="1"/>
    <col width="36" customWidth="1" style="77" min="2" max="2"/>
    <col width="38" customWidth="1" style="77" min="3" max="3"/>
    <col width="40" customWidth="1" style="77" min="4" max="4"/>
    <col width="34" customWidth="1" style="77" min="5" max="5"/>
  </cols>
  <sheetData>
    <row r="1" ht="24" customHeight="1" s="78">
      <c r="A1" s="79" t="inlineStr">
        <is>
          <t>Cesare — 부활한 독재관, 협상 승리 직후 두 번째 죽음</t>
        </is>
      </c>
    </row>
    <row r="2" ht="15" customHeight="1" s="78">
      <c r="A2" s="80" t="inlineStr">
        <is>
          <t>10부 동안 매 겨울 '마지막'이라고 외치는 양치기 소년 → 11부에서 2천 년 만에 다시 협상가가 되어 브뤼셀에서 승리하고, 그 직후 12화에서 진짜로(두 번째로) 죽는다.</t>
        </is>
      </c>
    </row>
    <row r="4" ht="18" customHeight="1" s="78">
      <c r="A4" s="115" t="inlineStr">
        <is>
          <t>1. 기본 설정</t>
        </is>
      </c>
      <c r="B4" s="82" t="n"/>
      <c r="C4" s="82" t="n"/>
      <c r="D4" s="82" t="n"/>
      <c r="E4" s="82" t="n"/>
    </row>
    <row r="5" ht="19.5" customHeight="1" s="78">
      <c r="A5" s="100" t="inlineStr">
        <is>
          <t>항목</t>
        </is>
      </c>
      <c r="B5" s="100" t="inlineStr">
        <is>
          <t>내용</t>
        </is>
      </c>
      <c r="C5" s="131" t="n"/>
      <c r="D5" s="131" t="n"/>
      <c r="E5" s="132" t="n"/>
    </row>
    <row r="6" ht="29.25" customHeight="1" s="78">
      <c r="A6" s="83" t="inlineStr">
        <is>
          <t>나이</t>
        </is>
      </c>
      <c r="B6" s="85">
        <f>"1부 "&amp;INDEX(캐릭터!$E$5:$E$19,MATCH("Cesare",캐릭터!$D$5:$D$19,0))&amp;"세 → 11부 약 "&amp;INDEX(캐릭터!$F$5:$F$19,MATCH("Cesare",캐릭터!$D$5:$D$19,0))&amp;"세 (부활 시점 나이 = 암살 당시 55세, 경과 연수 가정 "&amp;개요!$C$11&amp;"년)"</f>
        <v/>
      </c>
      <c r="C6" s="131" t="n"/>
      <c r="D6" s="131" t="n"/>
      <c r="E6" s="132" t="n"/>
    </row>
    <row r="7" ht="16.5" customHeight="1" s="78">
      <c r="A7" s="83" t="inlineStr">
        <is>
          <t>성격</t>
        </is>
      </c>
      <c r="B7" s="86" t="inlineStr">
        <is>
          <t>정중하게 독을 뿌리는 심술 영감. 예의를 지키며 비꼬는 화법이라 Paolo·Garibaldi의 큰 소리 화법과 구분된다. 자기 자신을 3인칭(«Cesare pensa…»)으로 부른다. 낭독하면 '정중한데 기분 나쁜' 억양 연습이 된다.</t>
        </is>
      </c>
      <c r="C7" s="131" t="n"/>
      <c r="D7" s="131" t="n"/>
      <c r="E7" s="132" t="n"/>
    </row>
    <row r="8" ht="29.25" customHeight="1" s="78">
      <c r="A8" s="83" t="inlineStr">
        <is>
          <t>심술 패턴</t>
        </is>
      </c>
      <c r="B8" s="86" t="inlineStr">
        <is>
          <t>커피가 맛없다고 매일 불평(«Che modo di rovinare un buon caffè.»). Chiara를 «quella delle slide», Dante의 원고를 «le mille bozze»라고 놀림. 모든 것이 «Ai miei tempi»(기원전!)보다 못하다.</t>
        </is>
      </c>
      <c r="C8" s="131" t="n"/>
      <c r="D8" s="131" t="n"/>
      <c r="E8" s="132" t="n"/>
    </row>
    <row r="9" ht="29.25" customHeight="1" s="78">
      <c r="A9" s="83" t="inlineStr">
        <is>
          <t>반복 개그</t>
        </is>
      </c>
      <c r="B9" s="86" t="inlineStr">
        <is>
          <t>매 겨울 «Questo sarà il mio ultimo inverno.» 선언, 유언장을 계속 고쳐 씀 (Sofia에게 우산을 물려주겠다 등). 입버릇 «Lo scrivano nel mio testamento.»(고풍 격식 복수 Loro). 모두 '또 시작이네' 하며 웃어넘긴다.</t>
        </is>
      </c>
      <c r="C9" s="131" t="n"/>
      <c r="D9" s="131" t="n"/>
      <c r="E9" s="132" t="n"/>
    </row>
    <row r="10" ht="16.5" customHeight="1" s="78">
      <c r="A10" s="83" t="inlineStr">
        <is>
          <t>가짜 병</t>
        </is>
      </c>
      <c r="B10" s="86" t="inlineStr">
        <is>
          <t>무릎, 소화, 불면 — 전부 엄살. 부은 발목은 «Sono i calzari.»(샌들 탓). 소란스러운 엄살이 진짜 병의 위장이 된다.</t>
        </is>
      </c>
      <c r="C10" s="131" t="n"/>
      <c r="D10" s="131" t="n"/>
      <c r="E10" s="132" t="n"/>
    </row>
    <row r="11" ht="16.5" customHeight="1" s="78">
      <c r="A11" s="83" t="inlineStr">
        <is>
          <t>진짜 병</t>
        </is>
      </c>
      <c r="B11" s="86" t="inlineStr">
        <is>
          <t>만성 심부전 (insufficienza cardiaca cronica). 이것만 숨긴다.</t>
        </is>
      </c>
      <c r="C11" s="131" t="n"/>
      <c r="D11" s="131" t="n"/>
      <c r="E11" s="132" t="n"/>
    </row>
    <row r="12" ht="29.25" customHeight="1" s="78">
      <c r="A12" s="88" t="inlineStr">
        <is>
          <t>Giulia의 딜레마</t>
        </is>
      </c>
      <c r="B12" s="104" t="inlineStr">
        <is>
          <t>Giulia는 진단을 알지만 의사의 비밀유지(segreto professionale)를 지킨다. Cesare가 «Dottoressa, questo resta tra noi.»라고 못 박았기 때문. 시청자가 뒤늦게 'Giulia가 왜 조용했는지' 깨닫는 구조.</t>
        </is>
      </c>
      <c r="C12" s="131" t="n"/>
      <c r="D12" s="131" t="n"/>
      <c r="E12" s="132" t="n"/>
    </row>
    <row r="13" ht="16.5" customHeight="1" s="78">
      <c r="A13" s="83" t="inlineStr">
        <is>
          <t>최고의 칭찬</t>
        </is>
      </c>
      <c r="B13" s="85" t="inlineStr">
        <is>
          <t>«Niente male.» — 극히 드물게 쓰는 표현. Sofia에게는 11부 12화(사망 직전)가 사실상 처음이어야 낙차가 산다.</t>
        </is>
      </c>
      <c r="C13" s="131" t="n"/>
      <c r="D13" s="131" t="n"/>
      <c r="E13" s="132" t="n"/>
    </row>
    <row r="14" ht="16.5" customHeight="1" s="78">
      <c r="A14" s="83" t="inlineStr">
        <is>
          <t>호칭·욕</t>
        </is>
      </c>
      <c r="B14" s="86" t="inlineStr">
        <is>
          <t>여럿에게는 Loro, Sofia에게는 tu(«ragazza»). 욕(«stolta»)은 Sofia에게만, 폭발 장면 2회 한정.</t>
        </is>
      </c>
      <c r="C14" s="131" t="n"/>
      <c r="D14" s="131" t="n"/>
      <c r="E14" s="132" t="n"/>
    </row>
    <row r="15" ht="16.5" customHeight="1" s="78">
      <c r="A15" s="83" t="inlineStr">
        <is>
          <t>죽음 이후</t>
        </is>
      </c>
      <c r="B15" s="85" t="inlineStr">
        <is>
          <t>La Vecchia Guardia는 Garibaldi + Gramsci + Machiavelli + 빈 의자. 12부 10화 'Il vuoto nella Vecchia Guardia'에서 정면으로 다룬다.</t>
        </is>
      </c>
      <c r="C15" s="131" t="n"/>
      <c r="D15" s="131" t="n"/>
      <c r="E15" s="132" t="n"/>
    </row>
    <row r="17" ht="18" customHeight="1" s="78">
      <c r="A17" s="115" t="inlineStr">
        <is>
          <t>2. 복선·사망 타임라인 (전부 대사로 처리)</t>
        </is>
      </c>
      <c r="B17" s="82" t="n"/>
      <c r="C17" s="82" t="n"/>
      <c r="D17" s="82" t="n"/>
      <c r="E17" s="82" t="n"/>
    </row>
    <row r="18" ht="19.5" customHeight="1" s="78">
      <c r="A18" s="100" t="inlineStr">
        <is>
          <t>부·화</t>
        </is>
      </c>
      <c r="B18" s="100" t="inlineStr">
        <is>
          <t>사건</t>
        </is>
      </c>
      <c r="C18" s="100" t="inlineStr">
        <is>
          <t>대화문 처리 방식</t>
        </is>
      </c>
      <c r="D18" s="100" t="inlineStr">
        <is>
          <t>대사 예시 (IT)</t>
        </is>
      </c>
      <c r="E18" s="100" t="inlineStr">
        <is>
          <t>학습 어휘</t>
        </is>
      </c>
    </row>
    <row r="19" ht="42" customHeight="1" s="78">
      <c r="A19" s="88" t="inlineStr">
        <is>
          <t>1~10부 (매 겨울)</t>
        </is>
      </c>
      <c r="B19" s="85" t="inlineStr">
        <is>
          <t>'마지막 겨울' 선언과 유언장 수정. 1부 1화(개소 1개월 시점)부터 이미 반복되어 온 농담으로 등장한다.</t>
        </is>
      </c>
      <c r="C19" s="86" t="inlineStr">
        <is>
          <t>본인이 선언하고 주변이 «Di nuovo…»로 받는다.</t>
        </is>
      </c>
      <c r="D19" s="85" t="inlineStr">
        <is>
          <t>Questo sarà il mio ultimo inverno. Lo scrivano nel mio testamento.</t>
        </is>
      </c>
      <c r="E19" s="85" t="inlineStr">
        <is>
          <t>testamento, lasciare in eredità, inverno</t>
        </is>
      </c>
    </row>
    <row r="20" ht="29.25" customHeight="1" s="78">
      <c r="A20" s="88" t="inlineStr">
        <is>
          <t>1~11부</t>
        </is>
      </c>
      <c r="B20" s="86" t="inlineStr">
        <is>
          <t>가짜 병 (무릎·소화·불면)</t>
        </is>
      </c>
      <c r="C20" s="85" t="inlineStr">
        <is>
          <t>Giulia가 «Non ha niente.»로 넘긴다.</t>
        </is>
      </c>
      <c r="D20" s="85" t="inlineStr">
        <is>
          <t>Mi fa male il ginocchio. È la fine.</t>
        </is>
      </c>
      <c r="E20" s="85" t="inlineStr">
        <is>
          <t>ginocchio, digestione, insonnia, acciacco</t>
        </is>
      </c>
    </row>
    <row r="21" ht="29.25" customHeight="1" s="78">
      <c r="A21" s="88" t="inlineStr">
        <is>
          <t>7부</t>
        </is>
      </c>
      <c r="B21" s="85" t="inlineStr">
        <is>
          <t>«Puoi darmi del tu.» 허락 — Sofia는 습관 때문에 Lei 유지</t>
        </is>
      </c>
      <c r="C21" s="86" t="inlineStr">
        <is>
          <t>허락과 거절이 모두 대사로 나온다.</t>
        </is>
      </c>
      <c r="D21" s="85" t="inlineStr">
        <is>
          <t>Puoi darmi del tu, ragazza. / Mi scusi, è l'abitudine.</t>
        </is>
      </c>
      <c r="E21" s="85" t="inlineStr">
        <is>
          <t>dare del tu, abitudine</t>
        </is>
      </c>
    </row>
    <row r="22" ht="29.25" customHeight="1" s="78">
      <c r="A22" s="88" t="inlineStr">
        <is>
          <t>9부</t>
        </is>
      </c>
      <c r="B22" s="85" t="inlineStr">
        <is>
          <t>Sofia 2차 폭발에서 Cesare가 선을 넘음 → Garibaldi·Rosa가 나무람</t>
        </is>
      </c>
      <c r="C22" s="86" t="inlineStr">
        <is>
          <t>선을 넘는 말과 사과 모두 대사로.</t>
        </is>
      </c>
      <c r="D22" s="85" t="inlineStr">
        <is>
          <t>Ritiro quello che ho detto… in parte.</t>
        </is>
      </c>
      <c r="E22" s="85" t="inlineStr">
        <is>
          <t>ritirare, scusarsi</t>
        </is>
      </c>
    </row>
    <row r="23" ht="42" customHeight="1" s="78">
      <c r="A23" s="88" t="inlineStr">
        <is>
          <t>11부 6화</t>
        </is>
      </c>
      <c r="B23" s="86" t="inlineStr">
        <is>
          <t>청년 고용 협상에서 좋은 조언을 하지만 계단에서 숨이 가쁜 게 처음으로 드러남 (죽음은 아직 아님)</t>
        </is>
      </c>
      <c r="C23" s="85" t="inlineStr">
        <is>
          <t>«Non ha niente»가 아니라 «Sto bene, sono solo le scale»로 처음 균열.</t>
        </is>
      </c>
      <c r="D23" s="85" t="inlineStr">
        <is>
          <t>Sto bene. Sono solo le scale, ragazza.</t>
        </is>
      </c>
      <c r="E23" s="85" t="inlineStr">
        <is>
          <t>scale, fiato, affanno, stanchezza</t>
        </is>
      </c>
    </row>
    <row r="24" ht="80.25" customHeight="1" s="78">
      <c r="A24" s="88" t="inlineStr">
        <is>
          <t>11부 9화</t>
        </is>
      </c>
      <c r="B24" s="86" t="inlineStr">
        <is>
          <t>브뤼셀行 자원(«Cesare andrà.»). Dante에게 짐을 싸며 두 지도자를 특징으로만 묘사 — 건물에 금박 이름을 새긴 사업가 출신과, 정보기관 출신으로 이웃 나라 땅을 가져간 인물. 이름·국가는 끝내 말하지 않는다.</t>
        </is>
      </c>
      <c r="C24" s="86" t="inlineStr">
        <is>
          <t>실명 대신 행동·이력의 특징만 나열. 실존 인물 실명 미사용.</t>
        </is>
      </c>
      <c r="D24" s="85" t="inlineStr">
        <is>
          <t>Uno ha scritto il suo nome in lettere d'oro sui suoi palazzi. Ora vende dazi allo stesso modo, urlando. / Somiglierà a chi vuole Lei, giovanotto. Io descrivo solo il paesaggio.</t>
        </is>
      </c>
      <c r="E24" s="85" t="inlineStr">
        <is>
          <t>dazi, servizi segreti, regime, discrezione diplomatica</t>
        </is>
      </c>
    </row>
    <row r="25" ht="29.25" customHeight="1" s="78">
      <c r="A25" s="88" t="inlineStr">
        <is>
          <t>11부 10화</t>
        </is>
      </c>
      <c r="B25" s="86" t="inlineStr">
        <is>
          <t>직접 협상. 상대의 과장·거짓 주장을 합의문의 날짜·조항으로 정확히 반박. 벨가이 인용으로 긴장을 푼다.</t>
        </is>
      </c>
      <c r="C25" s="85" t="inlineStr">
        <is>
          <t>«Mi permetta di correggerLa»로 시작하는 반박 대사.</t>
        </is>
      </c>
      <c r="D25" s="85" t="inlineStr">
        <is>
          <t>Horum omnium fortissimi sunt Belgae. / Cesare ricorda le date meglio dei vostri archivi, giovanotto. Li rilegga con più attenzione.</t>
        </is>
      </c>
      <c r="E25" s="85" t="inlineStr">
        <is>
          <t>correggere, archivio, precisione diplomatica</t>
        </is>
      </c>
    </row>
    <row r="26" ht="29.25" customHeight="1" s="78">
      <c r="A26" s="88" t="inlineStr">
        <is>
          <t>11부 11화</t>
        </is>
      </c>
      <c r="B26" s="86" t="inlineStr">
        <is>
          <t>타결. 귀국길에 피로를 숨기고 Alessandro에게 메모를 남기라고 지시</t>
        </is>
      </c>
      <c r="C26" s="86" t="inlineStr">
        <is>
          <t>직접 증상을 말하지 않고 '메모를 남기라'는 명령으로 암시.</t>
        </is>
      </c>
      <c r="D26" s="85" t="inlineStr">
        <is>
          <t>Per sicurezza, annota anche questo, Alessandro.</t>
        </is>
      </c>
      <c r="E26" s="85" t="inlineStr">
        <is>
          <t>per sicurezza, eredità, istruzione</t>
        </is>
      </c>
    </row>
    <row r="27" ht="42" customHeight="1" s="78">
      <c r="A27" s="88" t="inlineStr">
        <is>
          <t>11부 12화 (사망)</t>
        </is>
      </c>
      <c r="B27" s="86" t="inlineStr">
        <is>
          <t>귀국 직후 Testaccio 자택에서 심부전으로 두 번째 죽음. Sofia가 서명을 받으러 왔다가 발견</t>
        </is>
      </c>
      <c r="C27" s="86" t="inlineStr">
        <is>
          <t>사망은 지문 없이 호명과 확인 대사로: Sofia가 부르고 Giulia가 «Non c'è più.»라고 말한다.</t>
        </is>
      </c>
      <c r="D27" s="85" t="inlineStr">
        <is>
          <t>Niente male.  /  Cesare? — Non c'è più, Sofia.</t>
        </is>
      </c>
      <c r="E27" s="85" t="inlineStr">
        <is>
          <t>polso, arresto cardiaco, rianimazione, morire</t>
        </is>
      </c>
    </row>
    <row r="28" ht="42" customHeight="1" s="78">
      <c r="A28" s="88" t="inlineStr">
        <is>
          <t>12부 1화</t>
        </is>
      </c>
      <c r="B28" s="86" t="inlineStr">
        <is>
          <t>장례식이 첫 화. Trattoria da Rosa에 빈자리, Rosa가 커피 한 잔을 계속 내놓음. Sofia가 조사에서 처음으로 tu 사용</t>
        </is>
      </c>
      <c r="C28" s="86" t="inlineStr">
        <is>
          <t>장소·상황은 Rosa·Sofia의 대사로.</t>
        </is>
      </c>
      <c r="D28" s="85" t="inlineStr">
        <is>
          <t>Un caffè per Cesare. Come sempre. / Per te, "niente male" era il complimento più grande.</t>
        </is>
      </c>
      <c r="E28" s="85" t="inlineStr">
        <is>
          <t>veglia funebre, funerale, condoglianze, elogio funebre</t>
        </is>
      </c>
    </row>
    <row r="29" ht="29.25" customHeight="1" s="78">
      <c r="A29" s="88" t="inlineStr">
        <is>
          <t>12부 2~3화</t>
        </is>
      </c>
      <c r="B29" s="86" t="inlineStr">
        <is>
          <t>유작 메모 발견 → 2차 브뤼셀 협상에서 Dante가 다듬은 그의 문장을 인용</t>
        </is>
      </c>
      <c r="C29" s="85" t="inlineStr">
        <is>
          <t>Dante가 메모를 소리 내어 읽고 Alessandro가 협상장에서 그 문장을 인용한다.</t>
        </is>
      </c>
      <c r="D29" s="85" t="inlineStr">
        <is>
          <t>Mi permettano un'ultima precisazione: non è stato niente male.</t>
        </is>
      </c>
      <c r="E29" s="85" t="inlineStr">
        <is>
          <t>promemoria, eredità, precisazione, ECOFIN</t>
        </is>
      </c>
    </row>
    <row r="30" ht="42" customHeight="1" s="78">
      <c r="A30" s="88" t="inlineStr">
        <is>
          <t>12부 10화</t>
        </is>
      </c>
      <c r="B30" s="85" t="inlineStr">
        <is>
          <t>'올드 가드의 빈자리' — Garibaldi·Gramsci·Machiavelli가 그의 커피 불평을 그리워한다고 인정</t>
        </is>
      </c>
      <c r="C30" s="86" t="inlineStr">
        <is>
          <t>회상은 Rosa·Garibaldi·Gramsci의 대사로.</t>
        </is>
      </c>
      <c r="D30" s="85" t="inlineStr">
        <is>
          <t>Manca qualcuno a questo tavolo, e manca il suo caffè freddo.</t>
        </is>
      </c>
      <c r="E30" s="85" t="inlineStr">
        <is>
          <t>ricordare, vuoto, assenza</t>
        </is>
      </c>
    </row>
    <row r="31" ht="42" customHeight="1" s="78">
      <c r="A31" s="88" t="inlineStr">
        <is>
          <t>13부 2화</t>
        </is>
      </c>
      <c r="B31" s="86" t="inlineStr">
        <is>
          <t>유언장: 공증인 앞에서 우산이 Sofia에게 간다 (양치기 소년 개그의 회수). Garibaldi가 유언집행자(esecutore testamentario). 공증인은 '부활자의 유언'에 곤혹스러워한다.</t>
        </is>
      </c>
      <c r="C31" s="86" t="inlineStr">
        <is>
          <t>공증인(NOTAIO)이 유언 내용을 낭독하고 Sofia가 되묻는다.</t>
        </is>
      </c>
      <c r="D31" s="85" t="inlineStr">
        <is>
          <t>A Sofia, il mio ombrello. Lo scrivano nel mio testamento.</t>
        </is>
      </c>
      <c r="E31" s="85" t="inlineStr">
        <is>
          <t>testamento, esecutore testamentario, notaio, pubblicazione del testamento</t>
        </is>
      </c>
    </row>
    <row r="32" ht="29.25" customHeight="1" s="78">
      <c r="A32" s="88" t="inlineStr">
        <is>
          <t>12부 (선택)</t>
        </is>
      </c>
      <c r="B32" s="85" t="inlineStr">
        <is>
          <t>Montessori의 애도 상담</t>
        </is>
      </c>
      <c r="C32" s="86" t="inlineStr">
        <is>
          <t>다들 질색하던 «E questo come ti fa sentire?»가 처음으로 진지하게 쓰인다.</t>
        </is>
      </c>
      <c r="D32" s="85" t="inlineStr">
        <is>
          <t>E questo come ti fa sentire?</t>
        </is>
      </c>
      <c r="E32" s="85" t="inlineStr">
        <is>
          <t>lutto, perdita, dolore</t>
        </is>
      </c>
    </row>
  </sheetData>
  <mergeCells count="11">
    <mergeCell ref="B9:E9"/>
    <mergeCell ref="B8:E8"/>
    <mergeCell ref="B12:E12"/>
    <mergeCell ref="B13:E13"/>
    <mergeCell ref="B6:E6"/>
    <mergeCell ref="B15:E15"/>
    <mergeCell ref="B7:E7"/>
    <mergeCell ref="B11:E11"/>
    <mergeCell ref="B5:E5"/>
    <mergeCell ref="B10:E10"/>
    <mergeCell ref="B14:E14"/>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6.xml><?xml version="1.0" encoding="utf-8"?>
<worksheet xmlns="http://schemas.openxmlformats.org/spreadsheetml/2006/main">
  <sheetPr filterMode="0">
    <tabColor rgb="FFC55A11"/>
    <outlinePr summaryBelow="1" summaryRight="1"/>
    <pageSetUpPr fitToPage="1"/>
  </sheetPr>
  <dimension ref="A1:F5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77" min="1" max="1"/>
    <col width="30" customWidth="1" style="77" min="2" max="2"/>
    <col width="42" customWidth="1" style="77" min="3" max="3"/>
    <col width="46" customWidth="1" style="77" min="4" max="4"/>
    <col width="40" customWidth="1" style="77" min="5" max="5"/>
    <col width="18" customWidth="1" style="77" min="6" max="6"/>
  </cols>
  <sheetData>
    <row r="1" ht="24" customHeight="1" s="78">
      <c r="A1" s="79" t="inlineStr">
        <is>
          <t>Gramsci — 결론 대신 출처를 가리키는 사람</t>
        </is>
      </c>
    </row>
    <row r="2" ht="15" customHeight="1" s="78">
      <c r="A2" s="97" t="inlineStr">
        <is>
          <t>직접 답하지 않고 '어디를 찾을지'만 알려 준다. 감옥에서 노트(Quaderni)로 세상을 읽던 사람의 논리: 정보의 대부분은 공개 출처에 있다. 평생 정치경찰에게 감시당해 감시의 흔적도 알아본다.</t>
        </is>
      </c>
    </row>
    <row r="4" ht="18" customHeight="1" s="78">
      <c r="A4" s="115" t="inlineStr">
        <is>
          <t>1. 설정 변경</t>
        </is>
      </c>
      <c r="B4" s="82" t="n"/>
      <c r="C4" s="82" t="n"/>
      <c r="D4" s="82" t="n"/>
      <c r="E4" s="82" t="n"/>
      <c r="F4" s="82" t="n"/>
    </row>
    <row r="5" ht="19.5" customHeight="1" s="78">
      <c r="A5" s="100" t="inlineStr">
        <is>
          <t>항목</t>
        </is>
      </c>
      <c r="B5" s="100" t="inlineStr">
        <is>
          <t>내용</t>
        </is>
      </c>
      <c r="C5" s="131" t="n"/>
      <c r="D5" s="131" t="n"/>
      <c r="E5" s="131" t="n"/>
      <c r="F5" s="132" t="n"/>
    </row>
    <row r="6" ht="16.5" customHeight="1" s="78">
      <c r="A6" s="83" t="inlineStr">
        <is>
          <t>답하는 방식</t>
        </is>
      </c>
      <c r="B6" s="86" t="inlineStr">
        <is>
          <t>침묵 → 결론은 말하지 않고 출처만 가리킨다.</t>
        </is>
      </c>
      <c r="C6" s="131" t="n"/>
      <c r="D6" s="131" t="n"/>
      <c r="E6" s="131" t="n"/>
      <c r="F6" s="132" t="n"/>
    </row>
    <row r="7" ht="16.5" customHeight="1" s="78">
      <c r="A7" s="83" t="inlineStr">
        <is>
          <t>시그니처</t>
        </is>
      </c>
      <c r="B7" s="85" t="inlineStr">
        <is>
          <t>«Io non ho detto niente. Ma guarda in…» / «Non te lo dico. Ti dico dov'è.» / «Quasi tutto è nelle fonti aperte. Basta saper leggere.»</t>
        </is>
      </c>
      <c r="C7" s="131" t="n"/>
      <c r="D7" s="131" t="n"/>
      <c r="E7" s="131" t="n"/>
      <c r="F7" s="132" t="n"/>
    </row>
    <row r="8" ht="16.5" customHeight="1" s="78">
      <c r="A8" s="83" t="inlineStr">
        <is>
          <t>도구 (대화문 처리)</t>
        </is>
      </c>
      <c r="B8" s="86" t="inlineStr">
        <is>
          <t>책을 꺼내 건네거나 카드에 적어 주는 행동은 지문 대신 대사로 말한다: «Terzo ripiano, a sinistra.» / «Annota. Cerca: …»</t>
        </is>
      </c>
      <c r="C8" s="131" t="n"/>
      <c r="D8" s="131" t="n"/>
      <c r="E8" s="131" t="n"/>
      <c r="F8" s="132" t="n"/>
    </row>
    <row r="9" ht="16.5" customHeight="1" s="78">
      <c r="A9" s="83" t="inlineStr">
        <is>
          <t>호칭</t>
        </is>
      </c>
      <c r="B9" s="86" t="inlineStr">
        <is>
          <t>전원에게 tu — «Cercalo tu.»가 명령조라 더 단호하다.</t>
        </is>
      </c>
      <c r="C9" s="131" t="n"/>
      <c r="D9" s="131" t="n"/>
      <c r="E9" s="131" t="n"/>
      <c r="F9" s="132" t="n"/>
    </row>
    <row r="10" ht="16.5" customHeight="1" s="78">
      <c r="A10" s="88" t="inlineStr">
        <is>
          <t>Sofia와의 관계</t>
        </is>
      </c>
      <c r="B10" s="85" t="inlineStr">
        <is>
          <t>Sofia가 «Dimmi la risposta!» 하면 서가 위치만 말한다. 짜증 나지만 정답을 떠먹이지 않는 이 교재의 태도와 같다.</t>
        </is>
      </c>
      <c r="C10" s="131" t="n"/>
      <c r="D10" s="131" t="n"/>
      <c r="E10" s="131" t="n"/>
      <c r="F10" s="132" t="n"/>
    </row>
    <row r="11" ht="16.5" customHeight="1" s="78">
      <c r="A11" s="83" t="inlineStr">
        <is>
          <t>현실 요소</t>
        </is>
      </c>
      <c r="B11" s="85" t="inlineStr">
        <is>
          <t>Piazza Borghese의 고서·판화 노점(Mercato delle stampe), 일요일 Porta Portese 벼룩시장의 헌책 좌판, 국립중앙도서관(Biblioteca Nazionale Centrale di Roma, Castro Pretorio)을 단골 출처로. 학습자가 실제 로마에서 따라 걸어 볼 수 있다. 국립중앙문서고(Archivio Centrale dello Stato, EUR)에는 그 자신의 감시 파일도 있다.</t>
        </is>
      </c>
      <c r="C11" s="131" t="n"/>
      <c r="D11" s="131" t="n"/>
      <c r="E11" s="131" t="n"/>
      <c r="F11" s="132" t="n"/>
    </row>
    <row r="12" ht="16.5" customHeight="1" s="78">
      <c r="A12" s="83" t="inlineStr">
        <is>
          <t>서점 원칙</t>
        </is>
      </c>
      <c r="B12" s="86" t="inlineStr">
        <is>
          <t>손님이 찾던 답이 든 책일 때만 값을 받지 않는다.</t>
        </is>
      </c>
      <c r="C12" s="131" t="n"/>
      <c r="D12" s="131" t="n"/>
      <c r="E12" s="131" t="n"/>
      <c r="F12" s="132" t="n"/>
    </row>
    <row r="14" ht="18" customHeight="1" s="78">
      <c r="A14" s="115" t="inlineStr">
        <is>
          <t>2. 그의 서가 4칸</t>
        </is>
      </c>
      <c r="B14" s="82" t="n"/>
      <c r="C14" s="82" t="n"/>
      <c r="D14" s="82" t="n"/>
      <c r="E14" s="82" t="n"/>
      <c r="F14" s="82" t="n"/>
    </row>
    <row r="15" ht="19.5" customHeight="1" s="78">
      <c r="A15" s="100" t="inlineStr">
        <is>
          <t>칸</t>
        </is>
      </c>
      <c r="B15" s="100" t="inlineStr">
        <is>
          <t>내용</t>
        </is>
      </c>
      <c r="C15" s="100" t="inlineStr">
        <is>
          <t>대표 출처</t>
        </is>
      </c>
    </row>
    <row r="16" ht="16.5" customHeight="1" s="78">
      <c r="A16" s="83" t="inlineStr">
        <is>
          <t>법령칸</t>
        </is>
      </c>
      <c r="B16" s="86" t="inlineStr">
        <is>
          <t>법과 조문</t>
        </is>
      </c>
      <c r="C16" s="85" t="inlineStr">
        <is>
          <t>Normattiva(normattiva.it), 관보(gazzettaufficiale.it), 헌법, 각 법률</t>
        </is>
      </c>
    </row>
    <row r="17" ht="29.25" customHeight="1" s="78">
      <c r="A17" s="83" t="inlineStr">
        <is>
          <t>문서칸</t>
        </is>
      </c>
      <c r="B17" s="86" t="inlineStr">
        <is>
          <t>기록과 자료</t>
        </is>
      </c>
      <c r="C17" s="86" t="inlineStr">
        <is>
          <t>국립중앙문서고(ACS)의 정치범 기록(Casellario Politico Centrale), 로마 시 역사 문서고(Archivio Storico Capitolino), 양원 속기록(resoconti stenografici)</t>
        </is>
      </c>
    </row>
    <row r="18" ht="29.25" customHeight="1" s="78">
      <c r="A18" s="83" t="inlineStr">
        <is>
          <t>신문칸</t>
        </is>
      </c>
      <c r="B18" s="86" t="inlineStr">
        <is>
          <t>과거 기사</t>
        </is>
      </c>
      <c r="C18" s="86" t="inlineStr">
        <is>
          <t>국립중앙도서관 디지털 신문 자료, 신문사 온라인 아카이브(예: La Stampa 역사 아카이브)</t>
        </is>
      </c>
    </row>
    <row r="19" ht="29.25" customHeight="1" s="78">
      <c r="A19" s="83" t="inlineStr">
        <is>
          <t>사전칸</t>
        </is>
      </c>
      <c r="B19" s="86" t="inlineStr">
        <is>
          <t>용어</t>
        </is>
      </c>
      <c r="C19" s="85" t="inlineStr">
        <is>
          <t>Treccani(treccani.it) 사전·백과, Accademia della Crusca 언어 상담</t>
        </is>
      </c>
    </row>
    <row r="21" ht="18" customHeight="1" s="78">
      <c r="A21" s="115" t="inlineStr">
        <is>
          <t>3. 주제별 출처표 (기획한 에피소드 기준)</t>
        </is>
      </c>
      <c r="B21" s="82" t="n"/>
      <c r="C21" s="82" t="n"/>
      <c r="D21" s="82" t="n"/>
      <c r="E21" s="82" t="n"/>
      <c r="F21" s="82" t="n"/>
    </row>
    <row r="22" ht="19.5" customHeight="1" s="78">
      <c r="A22" s="100" t="inlineStr">
        <is>
          <t>상황</t>
        </is>
      </c>
      <c r="B22" s="100" t="inlineStr">
        <is>
          <t>관련 부·화</t>
        </is>
      </c>
      <c r="C22" s="99" t="inlineStr">
        <is>
          <t>Gramsci의 대사 (IT)</t>
        </is>
      </c>
      <c r="D22" s="100" t="inlineStr">
        <is>
          <t>찾을 곳</t>
        </is>
      </c>
      <c r="E22" s="100" t="inlineStr">
        <is>
          <t>검색어·키워드</t>
        </is>
      </c>
      <c r="F22" s="100" t="inlineStr">
        <is>
          <t>서가칸</t>
        </is>
      </c>
    </row>
    <row r="23" ht="29.25" customHeight="1" s="78">
      <c r="A23" s="83" t="inlineStr">
        <is>
          <t>정보기관 통제</t>
        </is>
      </c>
      <c r="B23" s="85" t="inlineStr">
        <is>
          <t>12부 5화 (스파이웨어)</t>
        </is>
      </c>
      <c r="C23" s="85" t="inlineStr">
        <is>
          <t>Comincia dalla legge che li ha creati.</t>
        </is>
      </c>
      <c r="D23" s="85" t="inlineStr">
        <is>
          <t>legge 124/2007 (정보기관 체계·국가 기밀), COPASIR 연례 보고서 — Normattiva·의회 사이트에서 검색</t>
        </is>
      </c>
      <c r="E23" s="85" t="inlineStr">
        <is>
          <t>legge 124/2007; COPASIR relazione annuale</t>
        </is>
      </c>
      <c r="F23" s="86" t="inlineStr">
        <is>
          <t>법령칸</t>
        </is>
      </c>
    </row>
    <row r="24" ht="42" customHeight="1" s="78">
      <c r="A24" s="83" t="inlineStr">
        <is>
          <t>도청의 합법성</t>
        </is>
      </c>
      <c r="B24" s="85" t="inlineStr">
        <is>
          <t>7부 8화, 11부 7화</t>
        </is>
      </c>
      <c r="C24" s="85" t="inlineStr">
        <is>
          <t>Una prova vietata non vale. Cercalo.</t>
        </is>
      </c>
      <c r="D24" s="86" t="inlineStr">
        <is>
          <t>헌법 제15조(통신의 비밀), 형사소송법 제191조(사용할 수 없는 증거)·제266조 이하(감청)</t>
        </is>
      </c>
      <c r="E24" s="85" t="inlineStr">
        <is>
          <t>intercettazioni, autorizzazione del GIP, catena di custodia, prove inutilizzabili</t>
        </is>
      </c>
      <c r="F24" s="86" t="inlineStr">
        <is>
          <t>법령칸</t>
        </is>
      </c>
    </row>
    <row r="25" ht="42" customHeight="1" s="78">
      <c r="A25" s="83" t="inlineStr">
        <is>
          <t>국가 기밀과 공개</t>
        </is>
      </c>
      <c r="B25" s="86" t="inlineStr">
        <is>
          <t>스파이웨어 관련</t>
        </is>
      </c>
      <c r="C25" s="85" t="inlineStr">
        <is>
          <t>C'è un segreto di Stato, e c'è una legge che lo limita.</t>
        </is>
      </c>
      <c r="D25" s="85" t="inlineStr">
        <is>
          <t>legge 124/2007 제39조 이하(국가 기밀), d.lgs. 33/2013·97/2016(정보공개 FOIA)</t>
        </is>
      </c>
      <c r="E25" s="85" t="inlineStr">
        <is>
          <t>segreto di Stato, accesso civico generalizzato</t>
        </is>
      </c>
      <c r="F25" s="86" t="inlineStr">
        <is>
          <t>법령칸</t>
        </is>
      </c>
    </row>
    <row r="26" ht="42" customHeight="1" s="78">
      <c r="A26" s="83" t="inlineStr">
        <is>
          <t>의사의 비밀유지</t>
        </is>
      </c>
      <c r="B26" s="85" t="inlineStr">
        <is>
          <t>11부 4~6화 (Cesare 복선)</t>
        </is>
      </c>
      <c r="C26" s="85" t="inlineStr">
        <is>
          <t>Chiedi alla dottoressa cosa dice il suo codice.</t>
        </is>
      </c>
      <c r="D26" s="86" t="inlineStr">
        <is>
          <t>형법 제622조(직업상 비밀 누설), 의사 윤리강령(FNOMCeO Codice di deontologia medica)</t>
        </is>
      </c>
      <c r="E26" s="85" t="inlineStr">
        <is>
          <t>segreto professionale, cartella clinica</t>
        </is>
      </c>
      <c r="F26" s="86" t="inlineStr">
        <is>
          <t>법령칸</t>
        </is>
      </c>
    </row>
    <row r="27" ht="42" customHeight="1" s="78">
      <c r="A27" s="83" t="inlineStr">
        <is>
          <t>자금 세탁</t>
        </is>
      </c>
      <c r="B27" s="85" t="inlineStr">
        <is>
          <t>4부, 11부 (주거·금융 전투)</t>
        </is>
      </c>
      <c r="C27" s="85" t="inlineStr">
        <is>
          <t>Ogni denaro ha una legge che lo sorveglia. Cercala.</t>
        </is>
      </c>
      <c r="D27" s="85" t="inlineStr">
        <is>
          <t>d.lgs. 231/2007 (자금세탁방지), 금융정보분석원(UIF, Banca d'Italia 소속), 기업 등록부</t>
        </is>
      </c>
      <c r="E27" s="85" t="inlineStr">
        <is>
          <t>riciclaggio, titolare effettivo, paradiso fiscale</t>
        </is>
      </c>
      <c r="F27" s="86" t="inlineStr">
        <is>
          <t>문서칸·법령칸</t>
        </is>
      </c>
    </row>
    <row r="28" ht="42" customHeight="1" s="78">
      <c r="A28" s="83" t="inlineStr">
        <is>
          <t>주거·퇴거</t>
        </is>
      </c>
      <c r="B28" s="85" t="inlineStr">
        <is>
          <t>1·2·11부</t>
        </is>
      </c>
      <c r="C28" s="85" t="inlineStr">
        <is>
          <t>Confronta quello che dicono con quello che esiste.</t>
        </is>
      </c>
      <c r="D28" s="85" t="inlineStr">
        <is>
          <t>legge 431/1998(주거 임대차), 민사소송법 제657조 이하(퇴거 확인 절차), d.l. 145/2023(단기임대 CIN)</t>
        </is>
      </c>
      <c r="E28" s="85" t="inlineStr">
        <is>
          <t>sfratto, locazione, diniego di rinnovo</t>
        </is>
      </c>
      <c r="F28" s="86" t="inlineStr">
        <is>
          <t>법령칸</t>
        </is>
      </c>
    </row>
    <row r="29" ht="29.25" customHeight="1" s="78">
      <c r="A29" s="83" t="inlineStr">
        <is>
          <t>가격 담합</t>
        </is>
      </c>
      <c r="B29" s="85" t="inlineStr">
        <is>
          <t>11부 7화</t>
        </is>
      </c>
      <c r="C29" s="85" t="inlineStr">
        <is>
          <t>Guarda nella Concorrenza.</t>
        </is>
      </c>
      <c r="D29" s="85" t="inlineStr">
        <is>
          <t>legge 287/1990(경쟁법), 공정거래위원회(AGCM, agcm.it)의 제재 결정</t>
        </is>
      </c>
      <c r="E29" s="85" t="inlineStr">
        <is>
          <t>cartello, istruttoria, concorrenza</t>
        </is>
      </c>
      <c r="F29" s="86" t="inlineStr">
        <is>
          <t>법령칸·문서칸</t>
        </is>
      </c>
    </row>
    <row r="30" ht="29.25" customHeight="1" s="78">
      <c r="A30" s="83" t="inlineStr">
        <is>
          <t>횡재세</t>
        </is>
      </c>
      <c r="B30" s="85" t="inlineStr">
        <is>
          <t>11부 8화</t>
        </is>
      </c>
      <c r="C30" s="85" t="inlineStr">
        <is>
          <t>Non l'hai inventato tu. È già stato fatto.</t>
        </is>
      </c>
      <c r="D30" s="85" t="inlineStr">
        <is>
          <t>d.l. 104/2023(은행 특별 부담금), d.l. 21/2022(에너지 기업 특별 부담금)와 관련 헌법재판소 판결</t>
        </is>
      </c>
      <c r="E30" s="85" t="inlineStr">
        <is>
          <t>contributo straordinario, extraprofitti</t>
        </is>
      </c>
      <c r="F30" s="86" t="inlineStr">
        <is>
          <t>법령칸</t>
        </is>
      </c>
    </row>
    <row r="31" ht="29.25" customHeight="1" s="78">
      <c r="A31" s="88" t="inlineStr">
        <is>
          <t>EU 긴축 압박</t>
        </is>
      </c>
      <c r="B31" s="85" t="inlineStr">
        <is>
          <t>11부 9~10화</t>
        </is>
      </c>
      <c r="C31" s="85" t="inlineStr">
        <is>
          <t>Quell'articolo non dice quello che ti hanno detto.</t>
        </is>
      </c>
      <c r="D31" s="86" t="inlineStr">
        <is>
          <t>유럽연합기능조약(TFUE) 제126조(과도한 재정적자 절차), EUR-Lex(eur-lex.europa.eu)</t>
        </is>
      </c>
      <c r="E31" s="85" t="inlineStr">
        <is>
          <t>procedura per deficit eccessivo</t>
        </is>
      </c>
      <c r="F31" s="86" t="inlineStr">
        <is>
          <t>법령칸</t>
        </is>
      </c>
    </row>
    <row r="32" ht="29.25" customHeight="1" s="78">
      <c r="A32" s="83" t="inlineStr">
        <is>
          <t>과거 감시 스캔들</t>
        </is>
      </c>
      <c r="B32" s="85" t="inlineStr">
        <is>
          <t>6~7부</t>
        </is>
      </c>
      <c r="C32" s="85" t="inlineStr">
        <is>
          <t>Gli archivi ricordano quello che la gente dimentica.</t>
        </is>
      </c>
      <c r="D32" s="86" t="inlineStr">
        <is>
          <t>국립중앙문서고의 정치범 기록(Casellario Politico Centrale), 신문 아카이브</t>
        </is>
      </c>
      <c r="E32" s="85" t="inlineStr">
        <is>
          <t>'fascicoli SIFAR'로 검색, Casellario Politico Centrale</t>
        </is>
      </c>
      <c r="F32" s="86" t="inlineStr">
        <is>
          <t>신문칸·문서칸</t>
        </is>
      </c>
    </row>
    <row r="33" ht="29.25" customHeight="1" s="78">
      <c r="A33" s="83" t="inlineStr">
        <is>
          <t>의회 발언 확인</t>
        </is>
      </c>
      <c r="B33" s="85" t="inlineStr">
        <is>
          <t>9부</t>
        </is>
      </c>
      <c r="C33" s="85" t="inlineStr">
        <is>
          <t>Tutto quello che si è detto in aula è scritto.</t>
        </is>
      </c>
      <c r="D33" s="86" t="inlineStr">
        <is>
          <t>양원 속기록(camera.it, senato.it), 로마 시의회 회의록</t>
        </is>
      </c>
      <c r="E33" s="85" t="inlineStr">
        <is>
          <t>resoconto stenografico, intervento</t>
        </is>
      </c>
      <c r="F33" s="86" t="inlineStr">
        <is>
          <t>문서칸</t>
        </is>
      </c>
    </row>
    <row r="34" ht="29.25" customHeight="1" s="78">
      <c r="A34" s="83" t="inlineStr">
        <is>
          <t>정당 창당</t>
        </is>
      </c>
      <c r="B34" s="85" t="inlineStr">
        <is>
          <t>8부 5~6화</t>
        </is>
      </c>
      <c r="C34" s="85" t="inlineStr">
        <is>
          <t>Un partito comincia su un foglio pubblico. Cercalo.</t>
        </is>
      </c>
      <c r="D34" s="86" t="inlineStr">
        <is>
          <t>헌법 제49조, d.l. 149/2013(정당 등록부·정관 요건)</t>
        </is>
      </c>
      <c r="E34" s="85" t="inlineStr">
        <is>
          <t>atto costitutivo, statuto, registro dei partiti</t>
        </is>
      </c>
      <c r="F34" s="86" t="inlineStr">
        <is>
          <t>법령칸·문서칸</t>
        </is>
      </c>
    </row>
    <row r="35" ht="29.25" customHeight="1" s="78">
      <c r="A35" s="83" t="inlineStr">
        <is>
          <t>정당 재정</t>
        </is>
      </c>
      <c r="B35" s="85" t="inlineStr">
        <is>
          <t>8부 7화</t>
        </is>
      </c>
      <c r="C35" s="85" t="inlineStr">
        <is>
          <t>Chi conta i soldi di un partito lascia anche lui una traccia.</t>
        </is>
      </c>
      <c r="D35" s="85" t="inlineStr">
        <is>
          <t>legge 3/2019(후원 공개), 정당 회계 감독위원회 보고서</t>
        </is>
      </c>
      <c r="E35" s="85" t="inlineStr">
        <is>
          <t>finanziamento dei partiti, rendiconto</t>
        </is>
      </c>
      <c r="F35" s="86" t="inlineStr">
        <is>
          <t>법령칸</t>
        </is>
      </c>
    </row>
    <row r="36" ht="29.25" customHeight="1" s="78">
      <c r="A36" s="83" t="inlineStr">
        <is>
          <t>선거 규칙</t>
        </is>
      </c>
      <c r="B36" s="85" t="inlineStr">
        <is>
          <t>8부·10부</t>
        </is>
      </c>
      <c r="C36" s="85" t="inlineStr">
        <is>
          <t>Le regole del gioco sono nella legge elettorale.</t>
        </is>
      </c>
      <c r="D36" s="85" t="inlineStr">
        <is>
          <t>legge 165/2017(총선), TUEL(지방선거), legge 28/2000(방송 균등 노출)</t>
        </is>
      </c>
      <c r="E36" s="85" t="inlineStr">
        <is>
          <t>presentazione delle liste, soglia, par condicio</t>
        </is>
      </c>
      <c r="F36" s="86" t="inlineStr">
        <is>
          <t>법령칸</t>
        </is>
      </c>
    </row>
    <row r="37" ht="29.25" customHeight="1" s="78">
      <c r="A37" s="83" t="inlineStr">
        <is>
          <t>정부 구성·해산</t>
        </is>
      </c>
      <c r="B37" s="85" t="inlineStr">
        <is>
          <t>10부</t>
        </is>
      </c>
      <c r="C37" s="85" t="inlineStr">
        <is>
          <t>Articolo 94. Leggilo piano, due volte.</t>
        </is>
      </c>
      <c r="D37" s="86" t="inlineStr">
        <is>
          <t>헌법 제88조(해산), 제92~94조(조각·선서·신임)</t>
        </is>
      </c>
      <c r="E37" s="85" t="inlineStr">
        <is>
          <t>incarico, fiducia, scioglimento, mozione di sfiducia</t>
        </is>
      </c>
      <c r="F37" s="86" t="inlineStr">
        <is>
          <t>법령칸</t>
        </is>
      </c>
    </row>
    <row r="38" ht="29.25" customHeight="1" s="78">
      <c r="A38" s="83" t="inlineStr">
        <is>
          <t>권한 배분</t>
        </is>
      </c>
      <c r="B38" s="85" t="inlineStr">
        <is>
          <t>9부·11부</t>
        </is>
      </c>
      <c r="C38" s="85" t="inlineStr">
        <is>
          <t>Chi comanda qui? Guarda il Titolo V.</t>
        </is>
      </c>
      <c r="D38" s="86" t="inlineStr">
        <is>
          <t>헌법 제5장(제114~133조), 특히 제117조, 라치오 주 헌장</t>
        </is>
      </c>
      <c r="E38" s="85" t="inlineStr">
        <is>
          <t>competenza concorrente, Regione, Titolo V</t>
        </is>
      </c>
      <c r="F38" s="86" t="inlineStr">
        <is>
          <t>법령칸</t>
        </is>
      </c>
    </row>
    <row r="39" ht="29.25" customHeight="1" s="78">
      <c r="A39" s="83" t="inlineStr">
        <is>
          <t>내부고발자 보호</t>
        </is>
      </c>
      <c r="B39" s="85" t="inlineStr">
        <is>
          <t>7부·9부</t>
        </is>
      </c>
      <c r="C39" s="85" t="inlineStr">
        <is>
          <t>C'è una legge per chi avvisa.</t>
        </is>
      </c>
      <c r="D39" s="85" t="inlineStr">
        <is>
          <t>d.lgs. 24/2023 (내부고발자 보호), ANAC 신고 채널</t>
        </is>
      </c>
      <c r="E39" s="85" t="inlineStr">
        <is>
          <t>whistleblowing, segnalazione, ritorsione</t>
        </is>
      </c>
      <c r="F39" s="86" t="inlineStr">
        <is>
          <t>법령칸</t>
        </is>
      </c>
    </row>
    <row r="40" ht="29.25" customHeight="1" s="78">
      <c r="A40" s="83" t="inlineStr">
        <is>
          <t>의회 표결 확인</t>
        </is>
      </c>
      <c r="B40" s="85" t="inlineStr">
        <is>
          <t>10부</t>
        </is>
      </c>
      <c r="C40" s="85" t="inlineStr">
        <is>
          <t>Ogni voto resta scritto.</t>
        </is>
      </c>
      <c r="D40" s="86" t="inlineStr">
        <is>
          <t>양원 속기록과 호명 투표 결과(camera.it, senato.it)</t>
        </is>
      </c>
      <c r="E40" s="85" t="inlineStr">
        <is>
          <t>appello nominale, votazione, fiducia</t>
        </is>
      </c>
      <c r="F40" s="86" t="inlineStr">
        <is>
          <t>문서칸</t>
        </is>
      </c>
    </row>
    <row r="41" ht="16.5" customHeight="1" s="78">
      <c r="A41" s="83" t="inlineStr">
        <is>
          <t>모르는 단어</t>
        </is>
      </c>
      <c r="B41" s="86" t="inlineStr">
        <is>
          <t>전 부</t>
        </is>
      </c>
      <c r="C41" s="85" t="inlineStr">
        <is>
          <t>Se non sai la parola, non sai la legge.</t>
        </is>
      </c>
      <c r="D41" s="85" t="inlineStr">
        <is>
          <t>Treccani, Accademia della Crusca</t>
        </is>
      </c>
      <c r="E41" s="85" t="inlineStr">
        <is>
          <t>—</t>
        </is>
      </c>
      <c r="F41" s="86" t="inlineStr">
        <is>
          <t>사전칸</t>
        </is>
      </c>
    </row>
    <row r="42" ht="16.5" customHeight="1" s="78">
      <c r="A42" s="138" t="inlineStr">
        <is>
          <t>※ 법령 번호와 조항은 기획 시점 지식으로 정리한 것입니다. 교재에 넣기 전에 Normattiva(normattiva.it)의 현행 통합본(testo vigente)으로 반드시 확인하세요. 참고 도서 제목은 지어낼 위험이 있어 제외하고 검색어만 적었습니다.</t>
        </is>
      </c>
    </row>
    <row r="44" ht="18" customHeight="1" s="78">
      <c r="A44" s="115" t="inlineStr">
        <is>
          <t>4. 카드(FICHA) 구술 템플릿 — 지문 없이 대사로만</t>
        </is>
      </c>
      <c r="B44" s="82" t="n"/>
      <c r="C44" s="82" t="n"/>
      <c r="D44" s="82" t="n"/>
      <c r="E44" s="82" t="n"/>
      <c r="F44" s="82" t="n"/>
    </row>
    <row r="45" ht="19.5" customHeight="1" s="78">
      <c r="A45" s="100" t="inlineStr">
        <is>
          <t>화자</t>
        </is>
      </c>
      <c r="B45" s="100" t="inlineStr">
        <is>
          <t>기능</t>
        </is>
      </c>
      <c r="C45" s="100" t="inlineStr">
        <is>
          <t>대사 (IT)</t>
        </is>
      </c>
      <c r="D45" s="100" t="inlineStr">
        <is>
          <t>한국어</t>
        </is>
      </c>
    </row>
    <row r="46" ht="16.5" customHeight="1" s="78">
      <c r="A46" s="88" t="inlineStr">
        <is>
          <t>GRAMSCI</t>
        </is>
      </c>
      <c r="B46" s="86" t="inlineStr">
        <is>
          <t>검색어 (Cerca)</t>
        </is>
      </c>
      <c r="C46" s="85" t="inlineStr">
        <is>
          <t>Annota. Cerca: «prove inutilizzabili».</t>
        </is>
      </c>
      <c r="D46" s="86" t="inlineStr">
        <is>
          <t>적어. 찾을 것: «사용할 수 없는 증거».</t>
        </is>
      </c>
    </row>
    <row r="47" ht="16.5" customHeight="1" s="78">
      <c r="A47" s="88" t="inlineStr">
        <is>
          <t>SOFIA</t>
        </is>
      </c>
      <c r="B47" s="86" t="inlineStr">
        <is>
          <t>질문으로 다음 항목을 끌어냄</t>
        </is>
      </c>
      <c r="C47" s="85" t="inlineStr">
        <is>
          <t>Va bene. Dove?</t>
        </is>
      </c>
      <c r="D47" s="86" t="inlineStr">
        <is>
          <t>알겠어요. 어디서요?</t>
        </is>
      </c>
    </row>
    <row r="48" ht="29.25" customHeight="1" s="78">
      <c r="A48" s="88" t="inlineStr">
        <is>
          <t>GRAMSCI</t>
        </is>
      </c>
      <c r="B48" s="86" t="inlineStr">
        <is>
          <t>출처 (Dove)</t>
        </is>
      </c>
      <c r="C48" s="85" t="inlineStr">
        <is>
          <t>Normattiva. Codice di procedura penale, articolo 191.</t>
        </is>
      </c>
      <c r="D48" s="86" t="inlineStr">
        <is>
          <t>노르마티바. 형사소송법 제191조.</t>
        </is>
      </c>
    </row>
    <row r="49" ht="16.5" customHeight="1" s="78">
      <c r="A49" s="88" t="inlineStr">
        <is>
          <t>SOFIA</t>
        </is>
      </c>
      <c r="B49" s="86" t="inlineStr">
        <is>
          <t>질문</t>
        </is>
      </c>
      <c r="C49" s="85" t="inlineStr">
        <is>
          <t>E che parole cerco?</t>
        </is>
      </c>
      <c r="D49" s="86" t="inlineStr">
        <is>
          <t>그럼 어떤 단어를 찾죠?</t>
        </is>
      </c>
    </row>
    <row r="50" ht="29.25" customHeight="1" s="78">
      <c r="A50" s="88" t="inlineStr">
        <is>
          <t>GRAMSCI</t>
        </is>
      </c>
      <c r="B50" s="86" t="inlineStr">
        <is>
          <t>키워드 (Parole chiave)</t>
        </is>
      </c>
      <c r="C50" s="85" t="inlineStr">
        <is>
          <t>Intercettazioni. Autorizzazione del giudice. Catena di custodia.</t>
        </is>
      </c>
      <c r="D50" s="86" t="inlineStr">
        <is>
          <t>감청. 판사의 허가. 증거 보관 연속성.</t>
        </is>
      </c>
    </row>
    <row r="51" ht="16.5" customHeight="1" s="78">
      <c r="A51" s="88" t="inlineStr">
        <is>
          <t>SOFIA</t>
        </is>
      </c>
      <c r="B51" s="85" t="inlineStr">
        <is>
          <t>Sofia의 조급함</t>
        </is>
      </c>
      <c r="C51" s="85" t="inlineStr">
        <is>
          <t>E la risposta?</t>
        </is>
      </c>
      <c r="D51" s="86" t="inlineStr">
        <is>
          <t>그럼 답은요?</t>
        </is>
      </c>
    </row>
    <row r="52" ht="29.25" customHeight="1" s="78">
      <c r="A52" s="88" t="inlineStr">
        <is>
          <t>GRAMSCI</t>
        </is>
      </c>
      <c r="B52" s="86" t="inlineStr">
        <is>
          <t>시그니처 + 서가 위치 (손짓 지문 대체)</t>
        </is>
      </c>
      <c r="C52" s="85" t="inlineStr">
        <is>
          <t>Io non ho detto niente. Terzo ripiano, a sinistra.</t>
        </is>
      </c>
      <c r="D52" s="86" t="inlineStr">
        <is>
          <t>나는 아무 말도 안 했어. 세 번째 선반, 왼쪽이야.</t>
        </is>
      </c>
    </row>
    <row r="53" ht="16.5" customHeight="1" s="78">
      <c r="A53" s="138" t="inlineStr">
        <is>
          <t>카드는 3줄(검색어·출처·키워드)과 마지막 시그니처로 짧게 유지한다. 이 카드가 모이면 교재 전체의 이탈리아어 자료 색인이 된다(Gramsci의 '수첩'). 카드를 넣을 화의 범위(전 화 vs Gramsci 등장 화)는 미결사항 참고.</t>
        </is>
      </c>
    </row>
  </sheetData>
  <mergeCells count="10">
    <mergeCell ref="B12:F12"/>
    <mergeCell ref="B7:F7"/>
    <mergeCell ref="A42:F42"/>
    <mergeCell ref="B6:F6"/>
    <mergeCell ref="B10:F10"/>
    <mergeCell ref="B11:F11"/>
    <mergeCell ref="B5:F5"/>
    <mergeCell ref="B8:F8"/>
    <mergeCell ref="A53:F53"/>
    <mergeCell ref="B9:F9"/>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7.xml><?xml version="1.0" encoding="utf-8"?>
<worksheet xmlns="http://schemas.openxmlformats.org/spreadsheetml/2006/main">
  <sheetPr filterMode="0">
    <tabColor rgb="FF548235"/>
    <outlinePr summaryBelow="1" summaryRight="1"/>
    <pageSetUpPr fitToPage="1"/>
  </sheetPr>
  <dimension ref="A1:E5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77" min="1" max="1"/>
    <col width="26" customWidth="1" style="77" min="2" max="2"/>
    <col width="66" customWidth="1" style="77" min="3" max="3"/>
    <col width="52" customWidth="1" style="77" min="4" max="4"/>
    <col width="13" customWidth="1" style="77" min="5" max="5"/>
  </cols>
  <sheetData>
    <row r="1" ht="24" customHeight="1" s="78">
      <c r="A1" s="98" t="inlineStr">
        <is>
          <t>대화문 규칙 — 모든 것은 대화문으로 풀어간다</t>
        </is>
      </c>
    </row>
    <row r="2" ht="15" customHeight="1" s="78">
      <c r="A2" s="97" t="inlineStr">
        <is>
          <t>이전 안(상황 30% + 대화 70%)을 폐기하고, 전 화를 「화자명: 대사」만으로 구성한다.</t>
        </is>
      </c>
    </row>
    <row r="4" ht="18" customHeight="1" s="78">
      <c r="A4" s="115" t="inlineStr">
        <is>
          <t>1. 원칙</t>
        </is>
      </c>
      <c r="B4" s="82" t="n"/>
      <c r="C4" s="82" t="n"/>
      <c r="D4" s="82" t="n"/>
    </row>
    <row r="5" ht="19.5" customHeight="1" s="78">
      <c r="A5" s="99" t="inlineStr">
        <is>
          <t>No</t>
        </is>
      </c>
      <c r="B5" s="100" t="inlineStr">
        <is>
          <t>규칙</t>
        </is>
      </c>
      <c r="C5" s="100" t="inlineStr">
        <is>
          <t>내용</t>
        </is>
      </c>
      <c r="D5" s="100" t="inlineStr">
        <is>
          <t>예시</t>
        </is>
      </c>
    </row>
    <row r="6" ht="16.5" customHeight="1" s="78">
      <c r="A6" s="101" t="inlineStr">
        <is>
          <t>1</t>
        </is>
      </c>
      <c r="B6" s="86" t="inlineStr">
        <is>
          <t>전 화 100% 대화문</t>
        </is>
      </c>
      <c r="C6" s="86" t="inlineStr">
        <is>
          <t>지문(narrazione)은 0%. 각 화는 화자명 + 대사로만 구성한다.</t>
        </is>
      </c>
      <c r="D6" s="85" t="inlineStr">
        <is>
          <t>ROSA: Sono le cinque. Comincia la riunione.</t>
        </is>
      </c>
    </row>
    <row r="7" ht="29.25" customHeight="1" s="78">
      <c r="A7" s="101" t="inlineStr">
        <is>
          <t>2</t>
        </is>
      </c>
      <c r="B7" s="86" t="inlineStr">
        <is>
          <t>화 머리 표기</t>
        </is>
      </c>
      <c r="C7" s="86" t="inlineStr">
        <is>
          <t>부·화 번호, 제목, 장소·날짜는 낭독하지 않는 표기 전용 한 줄(메타). 낭독 본문에는 넣지 않는다.</t>
        </is>
      </c>
      <c r="D7" s="85" t="inlineStr">
        <is>
          <t>[11부 4화 · Pronto soccorso al collasso]</t>
        </is>
      </c>
    </row>
    <row r="8" ht="29.25" customHeight="1" s="78">
      <c r="A8" s="101" t="inlineStr">
        <is>
          <t>3</t>
        </is>
      </c>
      <c r="B8" s="86" t="inlineStr">
        <is>
          <t>괄호 무대지시 금지</t>
        </is>
      </c>
      <c r="C8" s="86" t="inlineStr">
        <is>
          <t>행동·표정·침묵은 괄호 지문이 아니라 대사로 표현한다.</t>
        </is>
      </c>
      <c r="D8" s="85" t="inlineStr">
        <is>
          <t>(Rosa posa il piatto) → ROSA: Poso 'sto piatto prima che voli.</t>
        </is>
      </c>
    </row>
    <row r="9" ht="29.25" customHeight="1" s="78">
      <c r="A9" s="101" t="inlineStr">
        <is>
          <t>4</t>
        </is>
      </c>
      <c r="B9" s="86" t="inlineStr">
        <is>
          <t>장소·시간 소개</t>
        </is>
      </c>
      <c r="C9" s="86" t="inlineStr">
        <is>
          <t>지정 화자가 대사로 알린다: Rosa(식사·장소), Sofia(질문), Garibaldi(보고).</t>
        </is>
      </c>
      <c r="D9" s="85" t="inlineStr">
        <is>
          <t>ROSA: Sono le cinque. Riunione al mio tavolo.</t>
        </is>
      </c>
    </row>
    <row r="10" ht="29.25" customHeight="1" s="78">
      <c r="A10" s="101" t="inlineStr">
        <is>
          <t>5</t>
        </is>
      </c>
      <c r="B10" s="86" t="inlineStr">
        <is>
          <t>시간 경과·장면 전환</t>
        </is>
      </c>
      <c r="C10" s="86" t="inlineStr">
        <is>
          <t>인물이 말로 알린다. 전환은 화자 교체 + 장소 언급으로.</t>
        </is>
      </c>
      <c r="D10" s="85" t="inlineStr">
        <is>
          <t>GALILEO: Sono passati tre mesi dallo sfratto, vero?</t>
        </is>
      </c>
    </row>
    <row r="11" ht="29.25" customHeight="1" s="78">
      <c r="A11" s="101" t="inlineStr">
        <is>
          <t>6</t>
        </is>
      </c>
      <c r="B11" s="86" t="inlineStr">
        <is>
          <t>문서·기사·메모</t>
        </is>
      </c>
      <c r="C11" s="86" t="inlineStr">
        <is>
          <t>소리 내어 읽는다: Marco=조항, Galileo=기사·뉴스레터, Dante=초고·메모, Gramsci=카드.</t>
        </is>
      </c>
      <c r="D11" s="85" t="inlineStr">
        <is>
          <t>MARCO: Articolo 3: «Tutti i cittadini hanno pari dignità sociale…»</t>
        </is>
      </c>
    </row>
    <row r="12" ht="16.5" customHeight="1" s="78">
      <c r="A12" s="101" t="inlineStr">
        <is>
          <t>7</t>
        </is>
      </c>
      <c r="B12" s="86" t="inlineStr">
        <is>
          <t>무거운 장면 (죽음·침묵)</t>
        </is>
      </c>
      <c r="C12" s="86" t="inlineStr">
        <is>
          <t>짧은 호명·확인 대사로 처리한다.</t>
        </is>
      </c>
      <c r="D12" s="85" t="inlineStr">
        <is>
          <t>SOFIA: Cesare? / GIULIA: Non c'è più, Sofia.</t>
        </is>
      </c>
    </row>
    <row r="13" ht="29.25" customHeight="1" s="78">
      <c r="A13" s="101" t="inlineStr">
        <is>
          <t>8</t>
        </is>
      </c>
      <c r="B13" s="86" t="inlineStr">
        <is>
          <t>내면·감정</t>
        </is>
      </c>
      <c r="C13" s="86" t="inlineStr">
        <is>
          <t>독백은 '소리 내어 하는 말'로만 허용. 감정 노출은 Montessori의 되받기 화법을 활용.</t>
        </is>
      </c>
      <c r="D13" s="85" t="inlineStr">
        <is>
          <t>MONTESSORI: Allora ti senti sola. È così?</t>
        </is>
      </c>
    </row>
    <row r="14" ht="42" customHeight="1" s="78">
      <c r="A14" s="101" t="inlineStr">
        <is>
          <t>9</t>
        </is>
      </c>
      <c r="B14" s="86" t="inlineStr">
        <is>
          <t>문장 길이</t>
        </is>
      </c>
      <c r="C14" s="85" t="inlineStr">
        <is>
          <t>1부(B1): 대사 한 줄 15단어 이내. Cesare·Marco의 격식체는 한두 줄만 '어른들 말투 맛보기'. 부가 올라갈수록 인물별 허용 길이 확대. Sofia의 질문은 끝까지 짧게.</t>
        </is>
      </c>
      <c r="D14" s="85" t="inlineStr">
        <is>
          <t>1부 1화 대본(1부1화_Un_altra_lettera.docx)으로 한 줄 15단어 이내 점검</t>
        </is>
      </c>
    </row>
    <row r="15" ht="42" customHeight="1" s="78">
      <c r="A15" s="101" t="inlineStr">
        <is>
          <t>10</t>
        </is>
      </c>
      <c r="B15" s="86" t="inlineStr">
        <is>
          <t>화당 분량 = 120턴</t>
        </is>
      </c>
      <c r="C15" s="86" t="inlineStr">
        <is>
          <t>한 화는 대화 120턴(화자 교대 1회 = 1턴)으로 구성한다. 한 턴은 1부 15단어 이내, 연설·조항·기사 낭독은 긴 턴 1개로 세되 화당 3개까지. 화 유형별 도입·장면·절정·마무리 배분과 화자 점유율은 '턴_설계' 시트.</t>
        </is>
      </c>
      <c r="D15" s="85" t="inlineStr">
        <is>
          <t>120턴 중 장면 전환·시간·장소 안내 5~10턴, Sofia 질문→재설명 6~12턴</t>
        </is>
      </c>
    </row>
    <row r="16" ht="16.5" customHeight="1" s="78">
      <c r="A16" s="101" t="inlineStr">
        <is>
          <t>11</t>
        </is>
      </c>
      <c r="B16" s="86" t="inlineStr">
        <is>
          <t>시그니처 표현</t>
        </is>
      </c>
      <c r="C16" s="86" t="inlineStr">
        <is>
          <t>화자 식별 장치이자 반복 학습 문장. 한 화에 화자당 1~2회까지.</t>
        </is>
      </c>
      <c r="D16" s="85" t="n"/>
    </row>
    <row r="17" ht="29.25" customHeight="1" s="78">
      <c r="A17" s="101" t="inlineStr">
        <is>
          <t>12</t>
        </is>
      </c>
      <c r="B17" s="85" t="inlineStr">
        <is>
          <t>Sofia의 질문 장치</t>
        </is>
      </c>
      <c r="C17" s="86" t="inlineStr">
        <is>
          <t>어려운 용어 뒤에는 Sofia의 질문 → 쉬운 재설명이 온다 (전문 표현 → 쉬운 표현 짝).</t>
        </is>
      </c>
      <c r="D17" s="85" t="inlineStr">
        <is>
          <t>SOFIA: Scusi, cosa significa?</t>
        </is>
      </c>
    </row>
    <row r="18" ht="16.5" customHeight="1" s="78">
      <c r="A18" s="101" t="inlineStr">
        <is>
          <t>13</t>
        </is>
      </c>
      <c r="B18" s="85" t="inlineStr">
        <is>
          <t>Gramsci의 카드</t>
        </is>
      </c>
      <c r="C18" s="86" t="inlineStr">
        <is>
          <t>카드는 구술로 처리한다 (Gramsci_출처 시트 템플릿).</t>
        </is>
      </c>
      <c r="D18" s="85" t="inlineStr">
        <is>
          <t>GRAMSCI: Annota. Cerca: …</t>
        </is>
      </c>
    </row>
    <row r="19" ht="16.5" customHeight="1" s="78">
      <c r="A19" s="101" t="inlineStr">
        <is>
          <t>14</t>
        </is>
      </c>
      <c r="B19" s="86" t="inlineStr">
        <is>
          <t>욕설 수위</t>
        </is>
      </c>
      <c r="C19" s="85" t="inlineStr">
        <is>
          <t>cazzo, vaffanculo 등은 교재 제외. 순한 표현만 (Sofia_폭발과욕 시트).</t>
        </is>
      </c>
      <c r="D19" s="85" t="n"/>
    </row>
    <row r="20" ht="16.5" customHeight="1" s="78">
      <c r="A20" s="101" t="inlineStr">
        <is>
          <t>15</t>
        </is>
      </c>
      <c r="B20" s="86" t="inlineStr">
        <is>
          <t>호칭 전환</t>
        </is>
      </c>
      <c r="C20" s="85" t="inlineStr">
        <is>
          <t>tu/Lei 전환은 대사로 명시한다 (호칭규칙 시트).</t>
        </is>
      </c>
      <c r="D20" s="85" t="inlineStr">
        <is>
          <t>CESARE: Puoi darmi del tu.</t>
        </is>
      </c>
    </row>
    <row r="21" ht="29.25" customHeight="1" s="78">
      <c r="A21" s="101" t="inlineStr">
        <is>
          <t>16</t>
        </is>
      </c>
      <c r="B21" s="86" t="inlineStr">
        <is>
          <t>가상 정치 세계</t>
        </is>
      </c>
      <c r="C21" s="86" t="inlineStr">
        <is>
          <t>정당·정치인은 전부 가상. 실존 정치인·정당명을 쓰지 않고, 대통령은 직접 대사를 주지 않는다 (절차 결과는 양원 의장 대사나 공식 발표문으로).</t>
        </is>
      </c>
      <c r="D21" s="85" t="inlineStr">
        <is>
          <t>PRESIDENTE DEL SENATO: Favorevoli: centodue. Contrari: centouno.</t>
        </is>
      </c>
    </row>
    <row r="22" ht="54.75" customHeight="1" s="78">
      <c r="A22" s="101" t="inlineStr">
        <is>
          <t>17</t>
        </is>
      </c>
      <c r="B22" s="86" t="inlineStr">
        <is>
          <t>현안을 다루는 법</t>
        </is>
      </c>
      <c r="C22" s="86" t="inlineStr">
        <is>
          <t>시사 현안은 가상 설정으로 각색하고 실존 인물·참사 희생자를 특정하지 않는다. 찬반 양측이 각자의 가장 강한 논거를 말하게 하고, 결론은 화 안에서 제도의 결과(표결·판결·협약)로만 닫는다. 수치는 Gramsci의 카드로 출처를 안내한다.</t>
        </is>
      </c>
      <c r="D22" s="85" t="inlineStr">
        <is>
          <t>SOFIA: Scusi, cosa sono gli «affitti brevi»? / ALESSANDRO: Case affittate ai turisti per pochi giorni.</t>
        </is>
      </c>
    </row>
    <row r="23" ht="29.25" customHeight="1" s="78">
      <c r="A23" s="101" t="inlineStr">
        <is>
          <t>18</t>
        </is>
      </c>
      <c r="B23" s="86" t="inlineStr">
        <is>
          <t>화자 표기</t>
        </is>
      </c>
      <c r="C23" s="86" t="inlineStr">
        <is>
          <t>화자명은 대문자 + 콜론. 이탈리아어 본문과 한국어 번역은 열(또는 파일)을 분리해 낭독 시 번역이 섞이지 않게 한다.</t>
        </is>
      </c>
      <c r="D23" s="85" t="inlineStr">
        <is>
          <t>SOFIA: BASTA!</t>
        </is>
      </c>
    </row>
    <row r="24" ht="42" customHeight="1" s="78">
      <c r="A24" s="101" t="inlineStr">
        <is>
          <t>19</t>
        </is>
      </c>
      <c r="B24" s="86" t="inlineStr">
        <is>
          <t>고전 인용</t>
        </is>
      </c>
      <c r="C24" s="86" t="inlineStr">
        <is>
          <t>인물마다 다른 이탈리아 고전 출처를 맡겨 화마다 1~2명이 짧게 인용한다. 부활한 인물은 주로 자기 자신의 글을 인용한다(자기 인용 개그). 전부 저작권 만료 공유 저작물만 쓰고, 원문을 정확히 인용한다 (배정표는 아래 3번).</t>
        </is>
      </c>
      <c r="D24" s="85" t="inlineStr">
        <is>
          <t>DANTE: Fatti non foste a viver come bruti, ma per seguir virtute e canoscenza.</t>
        </is>
      </c>
    </row>
    <row r="26" ht="15" customHeight="1" s="78">
      <c r="A26" s="115" t="inlineStr">
        <is>
          <t>2. 지문 → 대사 대체표</t>
        </is>
      </c>
    </row>
    <row r="27" ht="15" customHeight="1" s="78">
      <c r="A27" s="99" t="inlineStr">
        <is>
          <t>No</t>
        </is>
      </c>
      <c r="B27" s="100" t="inlineStr">
        <is>
          <t>기존 지문</t>
        </is>
      </c>
      <c r="C27" s="100" t="inlineStr">
        <is>
          <t>대사 처리 (IT)</t>
        </is>
      </c>
      <c r="D27" s="100" t="inlineStr">
        <is>
          <t>담당 화자</t>
        </is>
      </c>
    </row>
    <row r="28" ht="15" customHeight="1" s="78">
      <c r="A28" s="101" t="inlineStr">
        <is>
          <t>1</t>
        </is>
      </c>
      <c r="B28" s="104" t="inlineStr">
        <is>
          <t>(Silenzio.) 폭발 직후 정적</t>
        </is>
      </c>
      <c r="C28" s="85" t="inlineStr">
        <is>
          <t>«Uh.» — 정적 대신 짧은 감탄으로 멈춤을 표현</t>
        </is>
      </c>
      <c r="D28" s="104" t="inlineStr">
        <is>
          <t>Rosa</t>
        </is>
      </c>
    </row>
    <row r="29" ht="15" customHeight="1" s="78">
      <c r="A29" s="101" t="inlineStr">
        <is>
          <t>2</t>
        </is>
      </c>
      <c r="B29" s="104" t="inlineStr">
        <is>
          <t>(Posa il piatto.) 행동</t>
        </is>
      </c>
      <c r="C29" s="85" t="inlineStr">
        <is>
          <t>«Poso 'sto piatto prima che voli.»</t>
        </is>
      </c>
      <c r="D29" s="104" t="inlineStr">
        <is>
          <t>Rosa</t>
        </is>
      </c>
    </row>
    <row r="30" ht="15" customHeight="1" s="78">
      <c r="A30" s="101" t="inlineStr">
        <is>
          <t>3</t>
        </is>
      </c>
      <c r="B30" s="86" t="inlineStr">
        <is>
          <t>장소 도입</t>
        </is>
      </c>
      <c r="C30" s="85" t="inlineStr">
        <is>
          <t>«Sono le cinque. Riunione al mio tavolo.»</t>
        </is>
      </c>
      <c r="D30" s="104" t="inlineStr">
        <is>
          <t>Rosa</t>
        </is>
      </c>
    </row>
    <row r="31" ht="15" customHeight="1" s="78">
      <c r="A31" s="101" t="inlineStr">
        <is>
          <t>4</t>
        </is>
      </c>
      <c r="B31" s="86" t="inlineStr">
        <is>
          <t>보고·상황 정리</t>
        </is>
      </c>
      <c r="C31" s="85" t="inlineStr">
        <is>
          <t>«Nulla da segnalare.» / «C'è da segnalare.»(12부 8화)</t>
        </is>
      </c>
      <c r="D31" s="104" t="inlineStr">
        <is>
          <t>Garibaldi</t>
        </is>
      </c>
    </row>
    <row r="32" ht="15" customHeight="1" s="78">
      <c r="A32" s="101" t="inlineStr">
        <is>
          <t>5</t>
        </is>
      </c>
      <c r="B32" s="86" t="inlineStr">
        <is>
          <t>서류를 건넴</t>
        </is>
      </c>
      <c r="C32" s="85" t="inlineStr">
        <is>
          <t>«Terzo ripiano, a sinistra.»</t>
        </is>
      </c>
      <c r="D32" s="104" t="inlineStr">
        <is>
          <t>Gramsci</t>
        </is>
      </c>
    </row>
    <row r="33" ht="15" customHeight="1" s="78">
      <c r="A33" s="101" t="inlineStr">
        <is>
          <t>6</t>
        </is>
      </c>
      <c r="B33" s="86" t="inlineStr">
        <is>
          <t>숫자 제시</t>
        </is>
      </c>
      <c r="C33" s="85" t="inlineStr">
        <is>
          <t>«Tre milioni duecentomila, in quattordici bonifici.»</t>
        </is>
      </c>
      <c r="D33" s="104" t="inlineStr">
        <is>
          <t>Alessandro, Francesco</t>
        </is>
      </c>
    </row>
    <row r="34" ht="15" customHeight="1" s="78">
      <c r="A34" s="101" t="inlineStr">
        <is>
          <t>7</t>
        </is>
      </c>
      <c r="B34" s="86" t="inlineStr">
        <is>
          <t>감정 드러내기</t>
        </is>
      </c>
      <c r="C34" s="85" t="inlineStr">
        <is>
          <t>«Allora ti senti arrabbiata. È così?»</t>
        </is>
      </c>
      <c r="D34" s="104" t="inlineStr">
        <is>
          <t>Montessori</t>
        </is>
      </c>
    </row>
    <row r="35" ht="15" customHeight="1" s="78">
      <c r="A35" s="101" t="inlineStr">
        <is>
          <t>8</t>
        </is>
      </c>
      <c r="B35" s="86" t="inlineStr">
        <is>
          <t>시간 경과</t>
        </is>
      </c>
      <c r="C35" s="85" t="inlineStr">
        <is>
          <t>«Sono passati tre mesi dallo sfratto, vero?»</t>
        </is>
      </c>
      <c r="D35" s="104" t="inlineStr">
        <is>
          <t>Galileo (질문 형태)</t>
        </is>
      </c>
    </row>
    <row r="36" ht="15" customHeight="1" s="78">
      <c r="A36" s="101" t="inlineStr">
        <is>
          <t>9</t>
        </is>
      </c>
      <c r="B36" s="86" t="inlineStr">
        <is>
          <t>신문 기사 삽입</t>
        </is>
      </c>
      <c r="C36" s="85" t="inlineStr">
        <is>
          <t>Galileo가 뉴스레터 «Nuncius» 첫 문단을 소리 내어 읽는다</t>
        </is>
      </c>
      <c r="D36" s="104" t="inlineStr">
        <is>
          <t>Galileo</t>
        </is>
      </c>
    </row>
    <row r="37" ht="15" customHeight="1" s="78">
      <c r="A37" s="101" t="inlineStr">
        <is>
          <t>10</t>
        </is>
      </c>
      <c r="B37" s="86" t="inlineStr">
        <is>
          <t>연설문 초고 삽입</t>
        </is>
      </c>
      <c r="C37" s="85" t="inlineStr">
        <is>
          <t>Dante가 초고를 읽고 Marco가 고친다</t>
        </is>
      </c>
      <c r="D37" s="104" t="inlineStr">
        <is>
          <t>Dante, Marco</t>
        </is>
      </c>
    </row>
    <row r="38" ht="15" customHeight="1" s="78">
      <c r="A38" s="101" t="inlineStr">
        <is>
          <t>11</t>
        </is>
      </c>
      <c r="B38" s="86" t="inlineStr">
        <is>
          <t>투표 결과 전광판·자막</t>
        </is>
      </c>
      <c r="C38" s="86" t="inlineStr">
        <is>
          <t>양원 의장이 표결 결과를 낭독한다: «Presenti: quattrocento. Votanti… Favorevoli…»</t>
        </is>
      </c>
      <c r="D38" s="104" t="inlineStr">
        <is>
          <t>PRESIDENTE DELLA CAMERA / DEL SENATO</t>
        </is>
      </c>
    </row>
    <row r="39" ht="26.25" customHeight="1" s="78">
      <c r="A39" s="101" t="inlineStr">
        <is>
          <t>12</t>
        </is>
      </c>
      <c r="B39" s="86" t="inlineStr">
        <is>
          <t>대통령 협의·선서</t>
        </is>
      </c>
      <c r="C39" s="86" t="inlineStr">
        <is>
          <t>대통령은 대사 없이, 협의 결과는 공식 발표문으로 전달하고 Marco가 선서 문구(«Giuro di essere fedele alla Repubblica…»)를 말한다</t>
        </is>
      </c>
      <c r="D39" s="86" t="inlineStr">
        <is>
          <t>발표문(가상), Marco</t>
        </is>
      </c>
    </row>
    <row r="41" ht="15" customHeight="1" s="78">
      <c r="A41" s="115" t="inlineStr">
        <is>
          <t>3. 고전 인용 배정 (화마다 1~2명)</t>
        </is>
      </c>
    </row>
    <row r="42" ht="57.75" customHeight="1" s="78">
      <c r="A42" s="158" t="inlineStr">
        <is>
          <t>인물마다 다른 출처를 맡겨 반복되지 않게 하고, Rosa가 거의 전 화에 등장하므로 로테이션 캐스트인 1부에서도 대부분의 화가 커버된다. 전부 저작권 만료 공유 저작물(단테·마키아벨리·갈릴레이·베카리아·만초니 등은 수백 년 전, 그람시는 1937년·몬테소리는 1952년 사망으로 사후 70년 경과)과 헌법 조문만 쓰고, 원문을 정확히 인용한다. 출처가 불확실한 '명언'(예: 가리발디의 «Qui si fa l'Italia o si muore»는 전언)은 '전해지는 말'임을 대사로 밝히거나 쓰지 않는다.</t>
        </is>
      </c>
      <c r="B42" s="131" t="n"/>
      <c r="C42" s="131" t="n"/>
      <c r="D42" s="131" t="n"/>
      <c r="E42" s="132" t="n"/>
    </row>
    <row r="43" ht="15" customHeight="1" s="78">
      <c r="A43" s="100" t="inlineStr">
        <is>
          <t>인물</t>
        </is>
      </c>
      <c r="B43" s="100" t="inlineStr">
        <is>
          <t>출처</t>
        </is>
      </c>
      <c r="C43" s="100" t="inlineStr">
        <is>
          <t>쓰는 방식</t>
        </is>
      </c>
      <c r="D43" s="100" t="inlineStr">
        <is>
          <t>실제 인용 예시 (IT·라틴어)</t>
        </is>
      </c>
      <c r="E43" s="100" t="inlineStr">
        <is>
          <t>등장 부</t>
        </is>
      </c>
    </row>
    <row r="44" ht="15" customHeight="1" s="78">
      <c r="A44" s="104" t="inlineStr">
        <is>
          <t>Rosa</t>
        </is>
      </c>
      <c r="B44" s="86" t="inlineStr">
        <is>
          <t>로마·이탈리아 속담(proverbi)</t>
        </is>
      </c>
      <c r="C44" s="86" t="inlineStr">
        <is>
          <t>인용이 아니라 그냥 말버릇처럼 자연스럽게 섞인다. 따뜻하고 실용적. 로마 사투리 버전도 가끔.</t>
        </is>
      </c>
      <c r="D44" s="104" t="inlineStr">
        <is>
          <t>Roma non fu fatta in un giorno. / Chi va piano va sano e va lontano.</t>
        </is>
      </c>
      <c r="E44" s="86" t="inlineStr">
        <is>
          <t>거의 전 화</t>
        </is>
      </c>
    </row>
    <row r="45" ht="26.25" customHeight="1" s="78">
      <c r="A45" s="104" t="inlineStr">
        <is>
          <t>Cesare</t>
        </is>
      </c>
      <c r="B45" s="86" t="inlineStr">
        <is>
          <t>자신의 『갈리아 전기』, 수에토니우스가 전한 말</t>
        </is>
      </c>
      <c r="C45" s="86" t="inlineStr">
        <is>
          <t>정중하게 비꼬는 코미디로(평소), 죽음 앞에서는 무겁게(11부). 자기 책을 인용하며 3인칭으로 자랑한다.</t>
        </is>
      </c>
      <c r="D45" s="104" t="inlineStr">
        <is>
          <t>Gallia est omnis divisa in partes tres. / Horum omnium fortissimi sunt Belgae. (De bello Gallico I, 1)</t>
        </is>
      </c>
      <c r="E45" s="104" t="inlineStr">
        <is>
          <t>1부, 11부</t>
        </is>
      </c>
    </row>
    <row r="46" ht="26.25" customHeight="1" s="78">
      <c r="A46" s="104" t="inlineStr">
        <is>
          <t>Gramsci</t>
        </is>
      </c>
      <c r="B46" s="86" t="inlineStr">
        <is>
          <t>자신의 글(『옥중수고』·『옥중서간』, 1917년 기사 등)</t>
        </is>
      </c>
      <c r="C46" s="86" t="inlineStr">
        <is>
          <t>감정으로 낭송하지 않고 서지 정보처럼 인용한다 — 「몇 번째 선반」식 습관과 같은 화법.</t>
        </is>
      </c>
      <c r="D46" s="104" t="inlineStr">
        <is>
          <t>Odio gli indifferenti. (La città futura, 1917) / Istruitevi, perché avremo bisogno di tutta la vostra intelligenza. (L'Ordine Nuovo, 1919)</t>
        </is>
      </c>
      <c r="E46" s="104" t="inlineStr">
        <is>
          <t>1·2·6·11·12·13부</t>
        </is>
      </c>
    </row>
    <row r="47" ht="23.25" customHeight="1" s="78">
      <c r="A47" s="104" t="inlineStr">
        <is>
          <t>Dante</t>
        </is>
      </c>
      <c r="B47" s="86" t="inlineStr">
        <is>
          <t>자신의 『신곡』</t>
        </is>
      </c>
      <c r="C47" s="86" t="inlineStr">
        <is>
          <t>자기 글이 부끄러운 척하며 결국 인용으로 도피한다. 시적이고 머뭇거리는 톤.</t>
        </is>
      </c>
      <c r="D47" s="104" t="inlineStr">
        <is>
          <t>Nel mezzo del cammin di nostra vita… (Inf. I) / Fatti non foste a viver come bruti, ma per seguir virtute e canoscenza. (Inf. XXVI)</t>
        </is>
      </c>
      <c r="E47" s="104" t="inlineStr">
        <is>
          <t>6부 이후</t>
        </is>
      </c>
    </row>
    <row r="48" ht="26.25" customHeight="1" s="78">
      <c r="A48" s="104" t="inlineStr">
        <is>
          <t>Marco</t>
        </is>
      </c>
      <c r="B48" s="86" t="inlineStr">
        <is>
          <t>베카리아 『범죄와 형벌』, 이탈리아 헌법</t>
        </is>
      </c>
      <c r="C48" s="86" t="inlineStr">
        <is>
          <t>총리가 되어 가며 연설에 섞어 쓴다.</t>
        </is>
      </c>
      <c r="D48" s="104" t="inlineStr">
        <is>
          <t>È meglio prevenire i delitti che punirgli. (Beccaria, cap. XLI) / Costituzione, art. 3: «Tutti i cittadini hanno pari dignità sociale…»</t>
        </is>
      </c>
      <c r="E48" s="104" t="inlineStr">
        <is>
          <t>8~13부</t>
        </is>
      </c>
    </row>
    <row r="49" ht="23.25" customHeight="1" s="78">
      <c r="A49" s="104" t="inlineStr">
        <is>
          <t>Machiavelli</t>
        </is>
      </c>
      <c r="B49" s="86" t="inlineStr">
        <is>
          <t>자신의 『군주론』</t>
        </is>
      </c>
      <c r="C49" s="86" t="inlineStr">
        <is>
          <t>현실 분석의 근거로 건조하게 인용하고, 오독에 대해 투덜댄다.</t>
        </is>
      </c>
      <c r="D49" s="104" t="inlineStr">
        <is>
          <t>…è molto più sicuro essere temuto che amato, quando si abbia a mancare dell'uno de' dua. (Il Principe, XVII)</t>
        </is>
      </c>
      <c r="E49" s="104" t="inlineStr">
        <is>
          <t>7부 이후</t>
        </is>
      </c>
    </row>
    <row r="50" ht="23.25" customHeight="1" s="78">
      <c r="A50" s="104" t="inlineStr">
        <is>
          <t>Galileo</t>
        </is>
      </c>
      <c r="B50" s="86" t="inlineStr">
        <is>
          <t>자신의 『시금석(Il Saggiatore)』</t>
        </is>
      </c>
      <c r="C50" s="86" t="inlineStr">
        <is>
          <t>관찰과 증거를 강조할 때 한 줄.</t>
        </is>
      </c>
      <c r="D50" s="104" t="inlineStr">
        <is>
          <t>La filosofia è scritta in questo grandissimo libro che continuamente ci sta aperto innanzi a gli occhi (io dico l'universo)… (Il Saggiatore)</t>
        </is>
      </c>
      <c r="E50" s="104" t="inlineStr">
        <is>
          <t>1부 이후</t>
        </is>
      </c>
    </row>
    <row r="51" ht="23.25" customHeight="1" s="78">
      <c r="A51" s="104" t="inlineStr">
        <is>
          <t>Garibaldi</t>
        </is>
      </c>
      <c r="B51" s="86" t="inlineStr">
        <is>
          <t>자신의 전보·회고록</t>
        </is>
      </c>
      <c r="C51" s="86" t="inlineStr">
        <is>
          <t>짧고 군인답게. «Obbedisco»(1866년 전보)는 명령에 따를 때의 개그로.</t>
        </is>
      </c>
      <c r="D51" s="104" t="inlineStr">
        <is>
          <t>Obbedisco. (1866)</t>
        </is>
      </c>
      <c r="E51" s="86" t="inlineStr">
        <is>
          <t>전 부</t>
        </is>
      </c>
    </row>
  </sheetData>
  <mergeCells count="1">
    <mergeCell ref="A42:E4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8.xml><?xml version="1.0" encoding="utf-8"?>
<worksheet xmlns="http://schemas.openxmlformats.org/spreadsheetml/2006/main">
  <sheetPr filterMode="0">
    <tabColor rgb="FF7F7F7F"/>
    <outlinePr summaryBelow="1" summaryRight="1"/>
    <pageSetUpPr fitToPage="1"/>
  </sheetPr>
  <dimension ref="A1:E7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77" min="1" max="1"/>
    <col width="26" customWidth="1" style="77" min="2" max="2"/>
    <col width="46" customWidth="1" style="77" min="3" max="4"/>
    <col width="24" customWidth="1" style="77" min="5" max="5"/>
  </cols>
  <sheetData>
    <row r="1" ht="24" customHeight="1" s="78">
      <c r="A1" s="98" t="inlineStr">
        <is>
          <t>변경 이력과 미결 사항</t>
        </is>
      </c>
    </row>
    <row r="3" ht="15" customHeight="1" s="78">
      <c r="A3" s="115" t="inlineStr">
        <is>
          <t>1. 변경 이력</t>
        </is>
      </c>
    </row>
    <row r="4" ht="15" customHeight="1" s="78">
      <c r="A4" s="99" t="inlineStr">
        <is>
          <t>No</t>
        </is>
      </c>
      <c r="B4" s="100" t="inlineStr">
        <is>
          <t>항목</t>
        </is>
      </c>
      <c r="C4" s="100" t="inlineStr">
        <is>
          <t>이전</t>
        </is>
      </c>
      <c r="D4" s="100" t="inlineStr">
        <is>
          <t>이후</t>
        </is>
      </c>
      <c r="E4" s="100" t="inlineStr">
        <is>
          <t>반영 시트</t>
        </is>
      </c>
    </row>
    <row r="5" ht="39" customHeight="1" s="78">
      <c r="A5" s="101" t="inlineStr">
        <is>
          <t>1</t>
        </is>
      </c>
      <c r="B5" s="86" t="inlineStr">
        <is>
          <t>인원</t>
        </is>
      </c>
      <c r="C5" s="104" t="inlineStr">
        <is>
          <t>13인 (내각)</t>
        </is>
      </c>
      <c r="D5" s="104" t="inlineStr">
        <is>
          <t>15인 — 주력 4인 + 부활 7인 + 서민·청년 3인 + 금융 1인. 15인 모두가 장관은 아니므로 '내각'보다 핵심 그룹(Il Cerchio di Testaccio) 개념 사용</t>
        </is>
      </c>
      <c r="E5" s="86" t="inlineStr">
        <is>
          <t>개요, 캐릭터</t>
        </is>
      </c>
    </row>
    <row r="6" ht="37.5" customHeight="1" s="78">
      <c r="A6" s="101" t="inlineStr">
        <is>
          <t>2</t>
        </is>
      </c>
      <c r="B6" s="86" t="inlineStr">
        <is>
          <t>부활자 설정</t>
        </is>
      </c>
      <c r="C6" s="86" t="inlineStr">
        <is>
          <t>현대 인물만의 원로 그룹</t>
        </is>
      </c>
      <c r="D6" s="86" t="inlineStr">
        <is>
          <t>각자의 시대에 죽었다가 이유 없이 현재 로마에 되살아난 역사 인물 7인(Cesare·Machiavelli·Garibaldi·Dante·Gramsci·Galileo·Montessori). 부활의 이유는 끝내 설명하지 않는다</t>
        </is>
      </c>
      <c r="E6" s="86" t="inlineStr">
        <is>
          <t>캐릭터</t>
        </is>
      </c>
    </row>
    <row r="7" ht="24.75" customHeight="1" s="78">
      <c r="A7" s="101" t="inlineStr">
        <is>
          <t>3</t>
        </is>
      </c>
      <c r="B7" s="86" t="inlineStr">
        <is>
          <t>가상 상호명</t>
        </is>
      </c>
      <c r="C7" s="86" t="inlineStr">
        <is>
          <t>실존 로펌·회계법인명</t>
        </is>
      </c>
      <c r="D7" s="104" t="inlineStr">
        <is>
          <t>Ferrari &amp; Colombo Studio Legale / Conti Revisori / Zenit Consulting (가상)</t>
        </is>
      </c>
      <c r="E7" s="86" t="inlineStr">
        <is>
          <t>캐릭터</t>
        </is>
      </c>
    </row>
    <row r="8" ht="26.25" customHeight="1" s="78">
      <c r="A8" s="101" t="inlineStr">
        <is>
          <t>4</t>
        </is>
      </c>
      <c r="B8" s="86" t="inlineStr">
        <is>
          <t>기관 실명</t>
        </is>
      </c>
      <c r="C8" s="86" t="inlineStr">
        <is>
          <t>실존 은행·병원명</t>
        </is>
      </c>
      <c r="D8" s="104" t="inlineStr">
        <is>
          <t>Banca Adriatica(가상), San Camillo 응급실은 '가상 설정'으로 운영·인물 모두 허구 (이야기 속에서 부패와 얽히기 때문)</t>
        </is>
      </c>
      <c r="E8" s="86" t="inlineStr">
        <is>
          <t>캐릭터</t>
        </is>
      </c>
    </row>
    <row r="9" ht="26.25" customHeight="1" s="78">
      <c r="A9" s="101" t="inlineStr">
        <is>
          <t>5</t>
        </is>
      </c>
      <c r="B9" s="104" t="inlineStr">
        <is>
          <t>Cesare</t>
        </is>
      </c>
      <c r="C9" s="86" t="inlineStr">
        <is>
          <t>우아한 원로</t>
        </is>
      </c>
      <c r="D9" s="86" t="inlineStr">
        <is>
          <t>가장 까칠한 심술 영감 + 시한부 (11부 12화 두 번째 죽음). 가짜 병은 엄살, 진짜 병은 만성 심부전</t>
        </is>
      </c>
      <c r="E9" s="104" t="inlineStr">
        <is>
          <t>Cesare_죽음</t>
        </is>
      </c>
    </row>
    <row r="10" ht="15" customHeight="1" s="78">
      <c r="A10" s="101" t="inlineStr">
        <is>
          <t>6</t>
        </is>
      </c>
      <c r="B10" s="104" t="inlineStr">
        <is>
          <t>Sofia 폭발</t>
        </is>
      </c>
      <c r="C10" s="86" t="inlineStr">
        <is>
          <t>자주 폭발하는 인물 (안)</t>
        </is>
      </c>
      <c r="D10" s="86" t="inlineStr">
        <is>
          <t>폭발은 1부·9부 딱 2회. 욕은 폭발 장면 한정</t>
        </is>
      </c>
      <c r="E10" s="104" t="inlineStr">
        <is>
          <t>Sofia_폭발과욕</t>
        </is>
      </c>
    </row>
    <row r="11" ht="26.25" customHeight="1" s="78">
      <c r="A11" s="101" t="inlineStr">
        <is>
          <t>7</t>
        </is>
      </c>
      <c r="B11" s="104" t="inlineStr">
        <is>
          <t>Gramsci</t>
        </is>
      </c>
      <c r="C11" s="86" t="inlineStr">
        <is>
          <t>침묵으로 대답</t>
        </is>
      </c>
      <c r="D11" s="86" t="inlineStr">
        <is>
          <t>결론 대신 출처(서가 위치·법령·검색어)를 가리킴 — 『옥중수고』의 수첩 습관</t>
        </is>
      </c>
      <c r="E11" s="104" t="inlineStr">
        <is>
          <t>Gramsci_출처</t>
        </is>
      </c>
    </row>
    <row r="12" ht="24.75" customHeight="1" s="78">
      <c r="A12" s="101" t="inlineStr">
        <is>
          <t>8</t>
        </is>
      </c>
      <c r="B12" s="104" t="inlineStr">
        <is>
          <t>Gramsci 대사</t>
        </is>
      </c>
      <c r="C12" s="104" t="inlineStr">
        <is>
          <t>«Segui il denaro. E la legge che lo sorveglia.»</t>
        </is>
      </c>
      <c r="D12" s="104" t="inlineStr">
        <is>
          <t>«Ogni denaro ha una legge che lo sorveglia. Cercala.» — Francesco의 시그니처 «Segui il denaro.»와 중복 방지</t>
        </is>
      </c>
      <c r="E12" s="104" t="inlineStr">
        <is>
          <t>Gramsci_출처</t>
        </is>
      </c>
    </row>
    <row r="13" ht="15" customHeight="1" s="78">
      <c r="A13" s="101" t="inlineStr">
        <is>
          <t>9</t>
        </is>
      </c>
      <c r="B13" s="86" t="inlineStr">
        <is>
          <t>형식</t>
        </is>
      </c>
      <c r="C13" s="86" t="inlineStr">
        <is>
          <t>상황 설명 30% + 대화 70%</t>
        </is>
      </c>
      <c r="D13" s="86" t="inlineStr">
        <is>
          <t>전 화 100% 대화문 (지문 없음)</t>
        </is>
      </c>
      <c r="E13" s="86" t="inlineStr">
        <is>
          <t>대화문규칙</t>
        </is>
      </c>
    </row>
    <row r="14" ht="15" customHeight="1" s="78">
      <c r="A14" s="101" t="inlineStr">
        <is>
          <t>10</t>
        </is>
      </c>
      <c r="B14" s="104" t="inlineStr">
        <is>
          <t>1부 시범 장면</t>
        </is>
      </c>
      <c r="C14" s="86" t="inlineStr">
        <is>
          <t>괄호 지문 포함</t>
        </is>
      </c>
      <c r="D14" s="86" t="inlineStr">
        <is>
          <t>모든 지문을 대사로 대체. 이후 '1부_시범대사' 시트는 삭제하고 1부 1화 전체 대본(1부1화_Un_altra_lettera.docx)으로 대체 (2026-09-25)</t>
        </is>
      </c>
      <c r="E14" s="104" t="inlineStr">
        <is>
          <t>1부 1화 대본</t>
        </is>
      </c>
    </row>
    <row r="15" ht="26.25" customHeight="1" s="78">
      <c r="A15" s="101" t="inlineStr">
        <is>
          <t>11</t>
        </is>
      </c>
      <c r="B15" s="86" t="inlineStr">
        <is>
          <t>부 수</t>
        </is>
      </c>
      <c r="C15" s="104" t="inlineStr">
        <is>
          <t>11부작 (132화) → 12부작 (144화)</t>
        </is>
      </c>
      <c r="D15" s="104" t="inlineStr">
        <is>
          <t>13부작 (156화). 11부를 '국정 I'과 '국정 II'로 분리하고 귀환 부를 13부로</t>
        </is>
      </c>
      <c r="E15" s="86" t="inlineStr">
        <is>
          <t>개요, 13부_구성, 아크_구성계획, 화별목차_전체</t>
        </is>
      </c>
    </row>
    <row r="16" ht="15" customHeight="1" s="78">
      <c r="A16" s="101" t="inlineStr">
        <is>
          <t>12</t>
        </is>
      </c>
      <c r="B16" s="86" t="inlineStr">
        <is>
          <t>정치 파트 구성</t>
        </is>
      </c>
      <c r="C16" s="104" t="inlineStr">
        <is>
          <t>8 정치 입문 · 9 의회 · 10 정부 · 11 사회 현안</t>
        </is>
      </c>
      <c r="D16" s="104" t="inlineStr">
        <is>
          <t>8 창당 · 9 시의회·주의회 · 10 총선~총리 취임 · 11~12 국정 · 13 귀환</t>
        </is>
      </c>
      <c r="E16" s="104" t="inlineStr">
        <is>
          <t>13부_구성, 화별목차_전체</t>
        </is>
      </c>
    </row>
    <row r="17" ht="26.25" customHeight="1" s="78">
      <c r="A17" s="101" t="inlineStr">
        <is>
          <t>13</t>
        </is>
      </c>
      <c r="B17" s="86" t="inlineStr">
        <is>
          <t>권한 배분 반영</t>
        </is>
      </c>
      <c r="C17" s="86" t="inlineStr">
        <is>
          <t>총리가 병원 외주·임대료 규제를 직접 결정</t>
        </is>
      </c>
      <c r="D17" s="86" t="inlineStr">
        <is>
          <t>보건·도시계획은 국가–주 공동 권한, 관광은 주 권한 → 협의체, 법 개정, 기금 배분 조건, 헌법재판소 다툼으로 재구성</t>
        </is>
      </c>
      <c r="E17" s="86" t="inlineStr">
        <is>
          <t>화별목차_전체 (11부 3~5화)</t>
        </is>
      </c>
    </row>
    <row r="18" ht="15" customHeight="1" s="78">
      <c r="A18" s="101" t="inlineStr">
        <is>
          <t>14</t>
        </is>
      </c>
      <c r="B18" s="86" t="inlineStr">
        <is>
          <t>가상 정치 세계</t>
        </is>
      </c>
      <c r="C18" s="104" t="inlineStr">
        <is>
          <t>—</t>
        </is>
      </c>
      <c r="D18" s="86" t="inlineStr">
        <is>
          <t>정당·정치인 전부 가상 (Casa Comune, UCN, PPS 등), 실명 금지</t>
        </is>
      </c>
      <c r="E18" s="86" t="inlineStr">
        <is>
          <t>정치경로_의석</t>
        </is>
      </c>
    </row>
    <row r="19" ht="26.25" customHeight="1" s="78">
      <c r="A19" s="101" t="inlineStr">
        <is>
          <t>15</t>
        </is>
      </c>
      <c r="B19" s="104" t="inlineStr">
        <is>
          <t>Cesare 사망 시점</t>
        </is>
      </c>
      <c r="C19" s="104" t="inlineStr">
        <is>
          <t>11부 6화(청년 고용 협상 화)</t>
        </is>
      </c>
      <c r="D19" s="104" t="inlineStr">
        <is>
          <t>11부 9~11화에서 직접 브뤼셀 협상에 나서 승리한 뒤 11부 12화(귀국 직후)에 사망. 12부는 장례식으로 열고 유작 메모로 2차 협상을 잇는다</t>
        </is>
      </c>
      <c r="E19" s="86" t="inlineStr">
        <is>
          <t>아크_구성계획, Cesare_죽음, 화별목차_전체</t>
        </is>
      </c>
    </row>
    <row r="20" ht="26.25" customHeight="1" s="78">
      <c r="A20" s="101" t="inlineStr">
        <is>
          <t>16</t>
        </is>
      </c>
      <c r="B20" s="86" t="inlineStr">
        <is>
          <t>실존 지도자 표현</t>
        </is>
      </c>
      <c r="C20" s="104" t="inlineStr">
        <is>
          <t>—</t>
        </is>
      </c>
      <c r="D20" s="86" t="inlineStr">
        <is>
          <t>실존 정치 지도자는 실명으로 쓰지 않고 Cesare가 «이름은 말하지 않겠다»고 스스로 선을 긋는 대사로 처리(11부 9화)</t>
        </is>
      </c>
      <c r="E20" s="86" t="inlineStr">
        <is>
          <t>화별목차_전체, Cesare_죽음</t>
        </is>
      </c>
    </row>
    <row r="21" ht="26.25" customHeight="1" s="78">
      <c r="A21" s="101" t="inlineStr">
        <is>
          <t>17</t>
        </is>
      </c>
      <c r="B21" s="86" t="inlineStr">
        <is>
          <t>신규 현안 3개</t>
        </is>
      </c>
      <c r="C21" s="104" t="inlineStr">
        <is>
          <t>15개 현안</t>
        </is>
      </c>
      <c r="D21" s="104" t="inlineStr">
        <is>
          <t>N6 플랫폼 노동 · N7 스파이웨어 스캔들(7부 도청 논쟁과 연결) · N8 청년 정신건강, 모두 12부에 전용 화</t>
        </is>
      </c>
      <c r="E21" s="86" t="inlineStr">
        <is>
          <t>현안_배치, 현안_분포</t>
        </is>
      </c>
    </row>
    <row r="22" ht="26.25" customHeight="1" s="78">
      <c r="A22" s="101" t="inlineStr">
        <is>
          <t>18</t>
        </is>
      </c>
      <c r="B22" s="86" t="inlineStr">
        <is>
          <t>화당 분량 확정</t>
        </is>
      </c>
      <c r="C22" s="86" t="inlineStr">
        <is>
          <t>화당 250~400단어(제안)</t>
        </is>
      </c>
      <c r="D22" s="86" t="inlineStr">
        <is>
          <t>화당 120턴 (부당 1,440턴, 전체 18,720턴). 낭독 시간은 부별 난이도 배율로 추정</t>
        </is>
      </c>
      <c r="E22" s="86" t="inlineStr">
        <is>
          <t>턴_설계, 대화문규칙</t>
        </is>
      </c>
    </row>
    <row r="23" ht="39" customHeight="1" s="78">
      <c r="A23" s="101" t="inlineStr">
        <is>
          <t>19</t>
        </is>
      </c>
      <c r="B23" s="104" t="inlineStr">
        <is>
          <t>1부 재설계</t>
        </is>
      </c>
      <c r="C23" s="86" t="inlineStr">
        <is>
          <t>소개 중심 12화</t>
        </is>
      </c>
      <c r="D23" s="86" t="inlineStr">
        <is>
          <t>개소 1개월 후 시점, 사건 6개 × 2화(도입→해결): ①Fatima 임대료 ②퇴거 집행 ③Davide 위장 인턴·Sofia 1차 폭발 ④의료 접근(Amina·Noa) ⑤금융 사기·Francesco ⑥오래된 서류·Marco 훅</t>
        </is>
      </c>
      <c r="E23" s="86" t="inlineStr">
        <is>
          <t>아크_구성계획, 화별목차_전체</t>
        </is>
      </c>
    </row>
    <row r="24" ht="26.25" customHeight="1" s="78">
      <c r="A24" s="101" t="inlineStr">
        <is>
          <t>20</t>
        </is>
      </c>
      <c r="B24" s="86" t="inlineStr">
        <is>
          <t>운영 방침</t>
        </is>
      </c>
      <c r="C24" s="86" t="inlineStr">
        <is>
          <t>화 완성마다 즉시 갱신</t>
        </is>
      </c>
      <c r="D24" s="86" t="inlineStr">
        <is>
          <t>부(시즌)가 끝날 때만, 또는 별도 요청 시에만 워크북 갱신 (2026-09-22부터)</t>
        </is>
      </c>
      <c r="E24" s="86" t="inlineStr">
        <is>
          <t>운영 방침</t>
        </is>
      </c>
    </row>
    <row r="25" ht="39" customHeight="1" s="78">
      <c r="A25" s="101" t="inlineStr">
        <is>
          <t>21</t>
        </is>
      </c>
      <c r="B25" s="86" t="inlineStr">
        <is>
          <t>스페인판 → 이탈리아판 전환 (2026-09-24)</t>
        </is>
      </c>
      <c r="C25" s="86" t="inlineStr">
        <is>
          <t>스페인(마드리드) 배경 워크북</t>
        </is>
      </c>
      <c r="D25" s="86" t="inlineStr">
        <is>
          <t>로마 배경으로 전면 현지화: 인물·지명·제목·대사·정치 제도·사회 현안·법령·호칭·욕·고전 인용을 모두 이탈리아 기준으로 교체. 대응표는 아래 22~27번</t>
        </is>
      </c>
      <c r="E25" s="86" t="inlineStr">
        <is>
          <t>전 시트</t>
        </is>
      </c>
    </row>
    <row r="26" ht="61.5" customHeight="1" s="78">
      <c r="A26" s="101" t="inlineStr">
        <is>
          <t>22</t>
        </is>
      </c>
      <c r="B26" s="86" t="inlineStr">
        <is>
          <t>인물 대응</t>
        </is>
      </c>
      <c r="C26" s="104" t="inlineStr">
        <is>
          <t>Mateo·Javier·Sofía·Diego / Carmen·Pepa·Nieves·Gonzalo / Anselmo·Raimundo·Ramón·Inés·Lucía·Tomás</t>
        </is>
      </c>
      <c r="D26" s="104" t="inlineStr">
        <is>
          <t>Marco·Giulia(여)·Alessandro(남)·Chiara(여) / Sofia·Rosa·Paolo·Francesco / Cesare·Gramsci·Garibaldi·Galileo·Montessori·Dante. Machiavelli는 신규(정치 전략). 의사·회계사·컨설턴트의 성별이 바뀌어 대사·호칭(dottoressa 등)을 조정</t>
        </is>
      </c>
      <c r="E26" s="86" t="inlineStr">
        <is>
          <t>캐릭터, 전 시트</t>
        </is>
      </c>
    </row>
    <row r="27" ht="36" customHeight="1" s="78">
      <c r="A27" s="101" t="inlineStr">
        <is>
          <t>23</t>
        </is>
      </c>
      <c r="B27" s="86" t="inlineStr">
        <is>
          <t>지명 대응</t>
        </is>
      </c>
      <c r="C27" s="104" t="inlineStr">
        <is>
          <t>Lavapiés·Vallecas·Castellana·Salamanca·Sol·Cibeles·Asamblea de Madrid·Moncloa·Zarzuela·Congreso</t>
        </is>
      </c>
      <c r="D27" s="104" t="inlineStr">
        <is>
          <t>Testaccio·Quarticciolo·Prati·Parioli·Piazza San Giovanni·Campidoglio·라치오 주의회(Via della Pisana)·Palazzo Chigi·Quirinale·Montecitorio/Palazzo Madama</t>
        </is>
      </c>
      <c r="E27" s="86" t="inlineStr">
        <is>
          <t>전 시트</t>
        </is>
      </c>
    </row>
    <row r="28" ht="37.5" customHeight="1" s="78">
      <c r="A28" s="101" t="inlineStr">
        <is>
          <t>24</t>
        </is>
      </c>
      <c r="B28" s="86" t="inlineStr">
        <is>
          <t>제도 대응</t>
        </is>
      </c>
      <c r="C28" s="86" t="inlineStr">
        <is>
          <t>국왕·investidura(2개월 시계)·건설적 불신임안·Real Decreto-ley·LOREG·acusación popular·BOE</t>
        </is>
      </c>
      <c r="D28" s="86" t="inlineStr">
        <is>
          <t>대통령·조각 위임과 양원 신임(탐색 위임·재해산)·불신임안(제94조)·decreto-legge(60일 전환)·legge 165/2017·검찰 고발과 parte civile·Gazzetta Ufficiale/Normattiva</t>
        </is>
      </c>
      <c r="E28" s="86" t="inlineStr">
        <is>
          <t>정치제도, 정치경로_의석, 화별목차_전체</t>
        </is>
      </c>
    </row>
    <row r="29" ht="39" customHeight="1" s="78">
      <c r="A29" s="101" t="inlineStr">
        <is>
          <t>25</t>
        </is>
      </c>
      <c r="B29" s="86" t="inlineStr">
        <is>
          <t>현안 대응</t>
        </is>
      </c>
      <c r="C29" s="86" t="inlineStr">
        <is>
          <t>사면·재정 분권 / 텅 빈 스페인 / DANA / 라이더법 / CNI / PRTR</t>
        </is>
      </c>
      <c r="D29" s="86" t="inlineStr">
        <is>
          <t>차등 자치·남북 격차 / 내륙 과소지역 / 홍수·지반 취약성 / 라이더 보호·EU 지침 / 정보기관·COPASIR·스파이웨어 / PNRR. 기준값을 ISTAT·NATO 자료로 다시 확인(2026-09-24)</t>
        </is>
      </c>
      <c r="E29" s="86" t="inlineStr">
        <is>
          <t>현안_배치, 현안_분포</t>
        </is>
      </c>
    </row>
    <row r="30" ht="39" customHeight="1" s="78">
      <c r="A30" s="101" t="inlineStr">
        <is>
          <t>26</t>
        </is>
      </c>
      <c r="B30" s="86" t="inlineStr">
        <is>
          <t>시뮬레이션 재설계</t>
        </is>
      </c>
      <c r="C30" s="86" t="inlineStr">
        <is>
          <t>하원 350석, investidura 1·2차 표결, 건설적 불신임안(176표)</t>
        </is>
      </c>
      <c r="D30" s="86" t="inlineStr">
        <is>
          <t>하원 400석·상원 200석, UCN 정부 하원 신임 부결 → 재선거 → Marco 정부 하원 통과·상원 102:101(종신 상원의원 포함), 불신임안은 단순다수</t>
        </is>
      </c>
      <c r="E30" s="86" t="inlineStr">
        <is>
          <t>정치경로_의석</t>
        </is>
      </c>
    </row>
    <row r="31" ht="26.25" customHeight="1" s="78">
      <c r="A31" s="101" t="inlineStr">
        <is>
          <t>27</t>
        </is>
      </c>
      <c r="B31" s="86" t="inlineStr">
        <is>
          <t>언어 장치</t>
        </is>
      </c>
      <c r="C31" s="104" t="inlineStr">
        <is>
          <t>tú/usted/vosotros/ustedes, 스페인 고전(세르반테스 등), 스페인어 욕</t>
        </is>
      </c>
      <c r="D31" s="104" t="inlineStr">
        <is>
          <t>tu/Lei/voi/Loro(Cesare의 고풍 격식 복수), 부활자의 자기 인용(단테·마키아벨리·갈릴레이·카이사르), 순한 이탈리아어·로마 사투리 욕</t>
        </is>
      </c>
      <c r="E31" s="86" t="inlineStr">
        <is>
          <t>호칭규칙, 대화문규칙, Sofia_폭발과욕</t>
        </is>
      </c>
    </row>
    <row r="32" ht="15" customHeight="1" s="78">
      <c r="A32" s="101" t="inlineStr">
        <is>
          <t>28</t>
        </is>
      </c>
      <c r="B32" s="86" t="inlineStr">
        <is>
          <t>시트명 변경</t>
        </is>
      </c>
      <c r="C32" s="104" t="inlineStr">
        <is>
          <t>Carmen_폭발과욕 / Anselmo_죽음 / Raimundo_출처 / 12부_구성</t>
        </is>
      </c>
      <c r="D32" s="104" t="inlineStr">
        <is>
          <t>Sofia_폭발과욕 / Cesare_죽음 / Gramsci_출처 / 13부_구성</t>
        </is>
      </c>
      <c r="E32" s="86" t="inlineStr">
        <is>
          <t>개요</t>
        </is>
      </c>
    </row>
    <row r="33" ht="26.25" customHeight="1" s="78">
      <c r="A33" s="101" t="inlineStr">
        <is>
          <t>29</t>
        </is>
      </c>
      <c r="B33" s="86" t="inlineStr">
        <is>
          <t>턴_설계 13부 확장</t>
        </is>
      </c>
      <c r="C33" s="104" t="inlineStr">
        <is>
          <t>12부 × 14인 표, 13부 대화량이 '전체' 행을 참조하던 오류</t>
        </is>
      </c>
      <c r="D33" s="104" t="inlineStr">
        <is>
          <t>13부 × 15인(+엑스트라)으로 확장, 신규 12부(국정 II) 점유율 추가, 아크_구성계획의 대화량 수식을 부별 행에 맞게 재연결</t>
        </is>
      </c>
      <c r="E33" s="86" t="inlineStr">
        <is>
          <t>턴_설계, 아크_구성계획</t>
        </is>
      </c>
    </row>
    <row r="34" ht="26.25" customHeight="1" s="78">
      <c r="A34" s="101" t="inlineStr">
        <is>
          <t>30</t>
        </is>
      </c>
      <c r="B34" s="86" t="inlineStr">
        <is>
          <t>현안_분포 재집계</t>
        </is>
      </c>
      <c r="C34" s="86" t="inlineStr">
        <is>
          <t>화별 목차와 어긋난 기호 배치</t>
        </is>
      </c>
      <c r="D34" s="86" t="inlineStr">
        <is>
          <t>현안_배치의 주요(●)·곁가지(○) 배치를 기준으로 부별 기호를 다시 채움</t>
        </is>
      </c>
      <c r="E34" s="86" t="inlineStr">
        <is>
          <t>현안_분포</t>
        </is>
      </c>
    </row>
    <row r="36" ht="15" customHeight="1" s="78">
      <c r="A36" s="115" t="inlineStr">
        <is>
          <t>2. 미결 사항 (확정 필요)</t>
        </is>
      </c>
    </row>
    <row r="37" ht="15" customHeight="1" s="78">
      <c r="A37" s="99" t="inlineStr">
        <is>
          <t>No</t>
        </is>
      </c>
      <c r="B37" s="100" t="inlineStr">
        <is>
          <t>항목</t>
        </is>
      </c>
      <c r="C37" s="100" t="inlineStr">
        <is>
          <t>내용</t>
        </is>
      </c>
      <c r="D37" s="100" t="inlineStr">
        <is>
          <t>제안</t>
        </is>
      </c>
      <c r="E37" s="100" t="inlineStr">
        <is>
          <t>관련 시트</t>
        </is>
      </c>
    </row>
    <row r="38" ht="26.25" customHeight="1" s="78">
      <c r="A38" s="101" t="inlineStr">
        <is>
          <t>1</t>
        </is>
      </c>
      <c r="B38" s="86" t="inlineStr">
        <is>
          <t>부활의 규칙</t>
        </is>
      </c>
      <c r="C38" s="86" t="inlineStr">
        <is>
          <t>부활자 7인의 신분(서류·국적·나이)과 부활 이유를 어디까지 설명할지.</t>
        </is>
      </c>
      <c r="D38" s="86" t="inlineStr">
        <is>
          <t>끝까지 설명하지 않고 개그로만 처리(공증인의 곤혹, 선거 출마 자격 등은 피해 간다)</t>
        </is>
      </c>
      <c r="E38" s="86" t="inlineStr">
        <is>
          <t>캐릭터</t>
        </is>
      </c>
    </row>
    <row r="39" ht="26.25" customHeight="1" s="78">
      <c r="A39" s="101" t="inlineStr">
        <is>
          <t>2</t>
        </is>
      </c>
      <c r="B39" s="104" t="inlineStr">
        <is>
          <t>Gramsci 카드의 범위</t>
        </is>
      </c>
      <c r="C39" s="86" t="inlineStr">
        <is>
          <t>카드를 전 화(156화)에 넣을지, Gramsci 등장 화에만 넣을지.</t>
        </is>
      </c>
      <c r="D39" s="86" t="inlineStr">
        <is>
          <t>등장 화에만 넣고, 미등장 화는 Sofia가 사전(Treccani)을 찾는 짧은 대사로 대체</t>
        </is>
      </c>
      <c r="E39" s="104" t="inlineStr">
        <is>
          <t>Gramsci_출처</t>
        </is>
      </c>
    </row>
    <row r="40" ht="26.25" customHeight="1" s="78">
      <c r="A40" s="101" t="inlineStr">
        <is>
          <t>3</t>
        </is>
      </c>
      <c r="B40" s="104" t="inlineStr">
        <is>
          <t>Sofia → 주력 4인 호칭 전환</t>
        </is>
      </c>
      <c r="C40" s="104" t="inlineStr">
        <is>
          <t>Cesare에게만 12부 1화에서 tu로 전환한다는 것 외에, 다른 인물에게 언제 tu로 넘어가는지 미정.</t>
        </is>
      </c>
      <c r="D40" s="104" t="inlineStr">
        <is>
          <t>6부 만남 이후 자연스럽게 tu (Cesare·Garibaldi·Francesco는 Lei 유지)</t>
        </is>
      </c>
      <c r="E40" s="86" t="inlineStr">
        <is>
          <t>호칭규칙</t>
        </is>
      </c>
    </row>
    <row r="41" ht="15" customHeight="1" s="78">
      <c r="A41" s="101" t="inlineStr">
        <is>
          <t>4</t>
        </is>
      </c>
      <c r="B41" s="86" t="inlineStr">
        <is>
          <t>경과 연수 가정</t>
        </is>
      </c>
      <c r="C41" s="104" t="inlineStr">
        <is>
          <t>1부→11부 6년 가정(Cesare 55→61세). 13부는 그 이후 시점.</t>
        </is>
      </c>
      <c r="D41" s="86" t="inlineStr">
        <is>
          <t>확정 시 개요!C11만 수정</t>
        </is>
      </c>
      <c r="E41" s="86" t="inlineStr">
        <is>
          <t>개요</t>
        </is>
      </c>
    </row>
    <row r="42" ht="26.25" customHeight="1" s="78">
      <c r="A42" s="101" t="inlineStr">
        <is>
          <t>5</t>
        </is>
      </c>
      <c r="B42" s="86" t="inlineStr">
        <is>
          <t>정치 직책</t>
        </is>
      </c>
      <c r="C42" s="104" t="inlineStr">
        <is>
          <t>15인의 직책은 제안 단계. Galileo(정부 대변인)·Montessori(청년 정신건강) 역할을 캐릭터 시트에 반영함.</t>
        </is>
      </c>
      <c r="D42" s="86" t="inlineStr">
        <is>
          <t>부활자는 정식 장관보다 '자문'으로 두는 안 유지 (Garibaldi만 장관)</t>
        </is>
      </c>
      <c r="E42" s="86" t="inlineStr">
        <is>
          <t>캐릭터</t>
        </is>
      </c>
    </row>
    <row r="43" ht="26.25" customHeight="1" s="78">
      <c r="A43" s="101" t="inlineStr">
        <is>
          <t>6</t>
        </is>
      </c>
      <c r="B43" s="86" t="inlineStr">
        <is>
          <t>법령·조항 확인</t>
        </is>
      </c>
      <c r="C43" s="86" t="inlineStr">
        <is>
          <t>출처표·제도표의 법령 번호·조항은 기획 시점 지식 기준.</t>
        </is>
      </c>
      <c r="D43" s="86" t="inlineStr">
        <is>
          <t>교재 반영 전 Normattiva 현행 통합본으로 확인. 선거 서명 요건·교섭단체 인원·TUEL 제73조는 특히 확인</t>
        </is>
      </c>
      <c r="E43" s="104" t="inlineStr">
        <is>
          <t>Gramsci_출처, 정치제도</t>
        </is>
      </c>
    </row>
    <row r="44" ht="37.5" customHeight="1" s="78">
      <c r="A44" s="101" t="inlineStr">
        <is>
          <t>7</t>
        </is>
      </c>
      <c r="B44" s="86" t="inlineStr">
        <is>
          <t>대화량 실측 교정</t>
        </is>
      </c>
      <c r="C44" s="86" t="inlineStr">
        <is>
          <t>화당 120턴은 확정. 화자 점유율·평균 단어/턴·낭독 속도(130단어/분)는 가정값이다. 이탈리아어는 스페인어와 단어 길이가 비슷해 기존 값 유지.</t>
        </is>
      </c>
      <c r="D44" s="104" t="inlineStr">
        <is>
          <t>1부 1~3화 대본을 쓴 뒤 실제 턴·단어를 재서 '턴_설계'의 파란 값을 교정</t>
        </is>
      </c>
      <c r="E44" s="86" t="inlineStr">
        <is>
          <t>턴_설계</t>
        </is>
      </c>
    </row>
    <row r="45" ht="15" customHeight="1" s="78">
      <c r="A45" s="101" t="inlineStr">
        <is>
          <t>8</t>
        </is>
      </c>
      <c r="B45" s="104" t="inlineStr">
        <is>
          <t>Montessori·Galileo 비중 보강</t>
        </is>
      </c>
      <c r="C45" s="86" t="inlineStr">
        <is>
          <t>가장 얇은 조연.</t>
        </is>
      </c>
      <c r="D45" s="104" t="inlineStr">
        <is>
          <t>3·5부 상담 장면 확대, 12부 애도 상담·스파이웨어 검증 배정</t>
        </is>
      </c>
      <c r="E45" s="86" t="inlineStr">
        <is>
          <t>등장비중, Cesare_죽음</t>
        </is>
      </c>
    </row>
    <row r="46" ht="15" customHeight="1" s="78">
      <c r="A46" s="101" t="inlineStr">
        <is>
          <t>9</t>
        </is>
      </c>
      <c r="B46" s="86" t="inlineStr">
        <is>
          <t>정부 형태</t>
        </is>
      </c>
      <c r="C46" s="104" t="inlineStr">
        <is>
          <t>CC 주도 연립(PPS·TA) + TB 사안별 지지 (현재 설정)</t>
        </is>
      </c>
      <c r="D46" s="104" t="inlineStr">
        <is>
          <t>PPS 장관 포함 여부와 연정 협약 문서의 대사화 결정</t>
        </is>
      </c>
      <c r="E46" s="86" t="inlineStr">
        <is>
          <t>정치경로_의석</t>
        </is>
      </c>
    </row>
    <row r="47" ht="26.25" customHeight="1" s="78">
      <c r="A47" s="101" t="inlineStr">
        <is>
          <t>10</t>
        </is>
      </c>
      <c r="B47" s="86" t="inlineStr">
        <is>
          <t>겸직 규정 확인</t>
        </is>
      </c>
      <c r="C47" s="104" t="inlineStr">
        <is>
          <t>Alessandro는 시의원, Giulia는 주의원으로 직책을 분리하고 Marco만 하원에 출마시키는 설정. 이후 장관 임명 시 지방 의원직 처리.</t>
        </is>
      </c>
      <c r="D47" s="86" t="inlineStr">
        <is>
          <t>지방 의원과 국회의원·장관의 겸직 불가 규정을 확인한 뒤 사퇴 장면을 넣을지 결정</t>
        </is>
      </c>
      <c r="E47" s="86" t="inlineStr">
        <is>
          <t>정치제도</t>
        </is>
      </c>
    </row>
    <row r="48" ht="15" customHeight="1" s="78">
      <c r="A48" s="101" t="inlineStr">
        <is>
          <t>11</t>
        </is>
      </c>
      <c r="B48" s="86" t="inlineStr">
        <is>
          <t>가상 수치</t>
        </is>
      </c>
      <c r="C48" s="86" t="inlineStr">
        <is>
          <t>의석 수(70·130 등)와 상원 1표 차 설정은 교육용 가상 수치.</t>
        </is>
      </c>
      <c r="D48" s="86" t="inlineStr">
        <is>
          <t>드라마 효과에 맞춰 조정 가능 (정치경로_의석의 파란 셀)</t>
        </is>
      </c>
      <c r="E48" s="86" t="inlineStr">
        <is>
          <t>정치경로_의석</t>
        </is>
      </c>
    </row>
    <row r="49" ht="15" customHeight="1" s="78">
      <c r="A49" s="101" t="inlineStr">
        <is>
          <t>12</t>
        </is>
      </c>
      <c r="B49" s="86" t="inlineStr">
        <is>
          <t>대통령 표현 방침</t>
        </is>
      </c>
      <c r="C49" s="86" t="inlineStr">
        <is>
          <t>대통령은 직접 대사 없이 공식 발표문·인물 대사로 절차 전달.</t>
        </is>
      </c>
      <c r="D49" s="86" t="inlineStr">
        <is>
          <t>확정 필요</t>
        </is>
      </c>
      <c r="E49" s="86" t="inlineStr">
        <is>
          <t>대화문규칙</t>
        </is>
      </c>
    </row>
    <row r="50" ht="26.25" customHeight="1" s="78">
      <c r="A50" s="101" t="inlineStr">
        <is>
          <t>13</t>
        </is>
      </c>
      <c r="B50" s="86" t="inlineStr">
        <is>
          <t>법안 형태·협의체 세부</t>
        </is>
      </c>
      <c r="C50" s="104" t="inlineStr">
        <is>
          <t>11부의 법안 형태(주거법: 법률 vs decreto-legge), 국가–주 협의회 세부.</t>
        </is>
      </c>
      <c r="D50" s="104" t="inlineStr">
        <is>
          <t>Normattiva·의회 자료로 확인 후 집필</t>
        </is>
      </c>
      <c r="E50" s="86" t="inlineStr">
        <is>
          <t>정치제도</t>
        </is>
      </c>
    </row>
    <row r="51" ht="26.25" customHeight="1" s="78">
      <c r="A51" s="101" t="inlineStr">
        <is>
          <t>14</t>
        </is>
      </c>
      <c r="B51" s="86" t="inlineStr">
        <is>
          <t>등장비중 재조정</t>
        </is>
      </c>
      <c r="C51" s="86" t="inlineStr">
        <is>
          <t>화별 목차의 카메오·교차 출연과 등장비중 표 사이에 미세한 차이가 있다(특히 Machiavelli 신규 배치).</t>
        </is>
      </c>
      <c r="D51" s="86" t="inlineStr">
        <is>
          <t>화별 대본 집필 전에 표를 화별 목차 기준으로 재집계</t>
        </is>
      </c>
      <c r="E51" s="86" t="inlineStr">
        <is>
          <t>등장비중, 화별목차_전체</t>
        </is>
      </c>
    </row>
    <row r="52" ht="39" customHeight="1" s="78">
      <c r="A52" s="101" t="inlineStr">
        <is>
          <t>15</t>
        </is>
      </c>
      <c r="B52" s="86" t="inlineStr">
        <is>
          <t>가상 인물 목록</t>
        </is>
      </c>
      <c r="C52" s="104" t="inlineStr">
        <is>
          <t>Santoro(GM 회장), Colombo·Bassi(파트너), Assunta·Marina, Loredana(간호사), Ruggeri(공방), Luca(새 인턴), Fatima·Karim, Davide, Iolanda, Amina·Noa 등.</t>
        </is>
      </c>
      <c r="D52" s="86" t="inlineStr">
        <is>
          <t>이름·나이·말투를 캐릭터 바이블 부록으로 확정</t>
        </is>
      </c>
      <c r="E52" s="86" t="inlineStr">
        <is>
          <t>아크_구성계획</t>
        </is>
      </c>
    </row>
    <row r="53" ht="15" customHeight="1" s="78">
      <c r="A53" s="101" t="inlineStr">
        <is>
          <t>16</t>
        </is>
      </c>
      <c r="B53" s="104" t="inlineStr">
        <is>
          <t>Gruppo Meridiano의 결말</t>
        </is>
      </c>
      <c r="C53" s="104" t="inlineStr">
        <is>
          <t>12부 7화 즈음 재판 시작만 언급하고 판결은 열어 두는 안.</t>
        </is>
      </c>
      <c r="D53" s="86" t="inlineStr">
        <is>
          <t>판결 여부를 정할지(열린 결말 vs 유죄/무죄)</t>
        </is>
      </c>
      <c r="E53" s="86" t="inlineStr">
        <is>
          <t>복선_회수</t>
        </is>
      </c>
    </row>
    <row r="54" ht="26.25" customHeight="1" s="78">
      <c r="A54" s="101" t="inlineStr">
        <is>
          <t>17</t>
        </is>
      </c>
      <c r="B54" s="104" t="inlineStr">
        <is>
          <t>7부 3화의 톤</t>
        </is>
      </c>
      <c r="C54" s="86" t="inlineStr">
        <is>
          <t>성폭력 사건 화는 피해자 중심으로, '동의' 명문화와 절차 개혁 양측 논거를 함께 담아야 한다.</t>
        </is>
      </c>
      <c r="D54" s="86" t="inlineStr">
        <is>
          <t>집필 전 톤 가이드 별도 확정</t>
        </is>
      </c>
      <c r="E54" s="86" t="inlineStr">
        <is>
          <t>현안_배치</t>
        </is>
      </c>
    </row>
    <row r="55" ht="26.25" customHeight="1" s="78">
      <c r="A55" s="101" t="inlineStr">
        <is>
          <t>18</t>
        </is>
      </c>
      <c r="B55" s="104" t="inlineStr">
        <is>
          <t>1부 대본 현지화</t>
        </is>
      </c>
      <c r="C55" s="86" t="inlineStr">
        <is>
          <t>스페인판 1부 12화 대본이 완성되어 있다.</t>
        </is>
      </c>
      <c r="D55" s="86" t="inlineStr">
        <is>
          <t>대본을 이 워크북의 인물·지명·제도 대응표에 맞춰 이탈리아어로 다시 쓴다 (직역 금지, 1부 B1 기준 재집필)</t>
        </is>
      </c>
      <c r="E55" s="86" t="inlineStr">
        <is>
          <t>화별목차_전체</t>
        </is>
      </c>
    </row>
    <row r="56" ht="15" customHeight="1" s="78">
      <c r="A56" s="101" t="inlineStr">
        <is>
          <t>19</t>
        </is>
      </c>
      <c r="B56" s="86" t="inlineStr">
        <is>
          <t>차등 자치 수위</t>
        </is>
      </c>
      <c r="C56" s="104" t="inlineStr">
        <is>
          <t>P2는 가장 민감한 현안. 남북 어느 쪽도 악역이 되지 않게.</t>
        </is>
      </c>
      <c r="D56" s="104" t="inlineStr">
        <is>
          <t>Garibaldi의 대사를 '통일의 가치'로만 두고 결론은 열어 둔다</t>
        </is>
      </c>
      <c r="E56" s="86" t="inlineStr">
        <is>
          <t>현안_배치</t>
        </is>
      </c>
    </row>
    <row r="57" ht="15" customHeight="1" s="78">
      <c r="A57" s="101" t="inlineStr">
        <is>
          <t>20</t>
        </is>
      </c>
      <c r="B57" s="104" t="inlineStr">
        <is>
          <t>11~12부 대본</t>
        </is>
      </c>
      <c r="C57" s="104" t="inlineStr">
        <is>
          <t>11부 후반(9~12화)·12부 모두 화별 목차만 있고 실제 대본은 미작성.</t>
        </is>
      </c>
      <c r="D57" s="86" t="inlineStr">
        <is>
          <t>극적 중요도가 높아 우선 집필을 검토</t>
        </is>
      </c>
      <c r="E57" s="86" t="inlineStr">
        <is>
          <t>화별목차_전체</t>
        </is>
      </c>
    </row>
    <row r="58" ht="26.25" customHeight="1" s="78">
      <c r="A58" s="101" t="inlineStr">
        <is>
          <t>21</t>
        </is>
      </c>
      <c r="B58" s="86" t="inlineStr">
        <is>
          <t>가상 외교 인사</t>
        </is>
      </c>
      <c r="C58" s="86" t="inlineStr">
        <is>
          <t>브뤼셀 협상의 NATO·EU 상대역(가상)의 이름·직급 미정.</t>
        </is>
      </c>
      <c r="D58" s="86" t="inlineStr">
        <is>
          <t>실명 조직(NATO, 유럽집행위원회)은 실제 기구명을 쓰되, 개인 인사는 전부 가상으로</t>
        </is>
      </c>
      <c r="E58" s="86" t="inlineStr">
        <is>
          <t>화별목차_전체 11부 9~10화</t>
        </is>
      </c>
    </row>
    <row r="59" ht="15" customHeight="1" s="78">
      <c r="A59" s="101" t="inlineStr">
        <is>
          <t>22</t>
        </is>
      </c>
      <c r="B59" s="86" t="inlineStr">
        <is>
          <t>로마 사투리 비율</t>
        </is>
      </c>
      <c r="C59" s="104" t="inlineStr">
        <is>
          <t>Rosa·Paolo의 romanesco를 어느 정도 쓸지.</t>
        </is>
      </c>
      <c r="D59" s="104" t="inlineStr">
        <is>
          <t>B1 부(1·13부)는 화당 1~2마디, 표준어 병기</t>
        </is>
      </c>
      <c r="E59" s="86" t="inlineStr">
        <is>
          <t>대화문규칙</t>
        </is>
      </c>
    </row>
    <row r="61">
      <c r="A61" s="154" t="inlineStr">
        <is>
          <t>3. 진행 상황 반영 (2026-09-25, 이탈리아판 대본 집필 진행 중)</t>
        </is>
      </c>
    </row>
    <row r="63">
      <c r="A63" s="156" t="inlineStr">
        <is>
          <t>No</t>
        </is>
      </c>
      <c r="B63" s="156" t="inlineStr">
        <is>
          <t>항목</t>
        </is>
      </c>
      <c r="C63" s="156" t="inlineStr">
        <is>
          <t>내용</t>
        </is>
      </c>
      <c r="D63" s="156" t="inlineStr">
        <is>
          <t>결과</t>
        </is>
      </c>
      <c r="E63" s="156" t="inlineStr">
        <is>
          <t>관련 시트</t>
        </is>
      </c>
    </row>
    <row r="64">
      <c r="A64" s="77" t="inlineStr">
        <is>
          <t>1</t>
        </is>
      </c>
      <c r="B64" s="77" t="inlineStr">
        <is>
          <t>1~7부 대본 완성</t>
        </is>
      </c>
      <c r="C64" s="77" t="inlineStr">
        <is>
          <t>1부~7부 각 12화, 총 84화 실제 대본 완성 (100% 대화문, 화자별 색상 구분 docx)</t>
        </is>
      </c>
      <c r="D64" s="77" t="inlineStr">
        <is>
          <t>완료</t>
        </is>
      </c>
      <c r="E64" s="77" t="inlineStr">
        <is>
          <t>제작현황</t>
        </is>
      </c>
    </row>
    <row r="65">
      <c r="A65" s="77" t="inlineStr">
        <is>
          <t>2</t>
        </is>
      </c>
      <c r="B65" s="77" t="inlineStr">
        <is>
          <t>8부 부분 완성</t>
        </is>
      </c>
      <c r="C65" s="77" t="inlineStr">
        <is>
          <t>8부 1~3화 완성 (광장 집회·입법 경로 설명·서명운동 도입). 4~12화는 미착수</t>
        </is>
      </c>
      <c r="D65" s="77" t="inlineStr">
        <is>
          <t>부분 완료</t>
        </is>
      </c>
      <c r="E65" s="77" t="inlineStr">
        <is>
          <t>제작현황</t>
        </is>
      </c>
    </row>
    <row r="66">
      <c r="A66" s="77" t="inlineStr">
        <is>
          <t>3</t>
        </is>
      </c>
      <c r="B66" s="77" t="inlineStr">
        <is>
          <t>미결 #3 해결: Sofia → 주력 4인 호칭 전환</t>
        </is>
      </c>
      <c r="C66" s="77" t="inlineStr">
        <is>
          <t>6부에서는 Sofia가 23세 이웃(tu). 주력 4인은 6부 4화 밤새움 장면에서 명시적으로 tu로 전환(«Diamoci del tu, ormai.»). Sofia가 인턴이 되는 1부부터는 Lei로 다시 전환, Cesare에게만은 6부도 계속 Lei 유지</t>
        </is>
      </c>
      <c r="D66" s="77" t="inlineStr">
        <is>
          <t>해결됨</t>
        </is>
      </c>
      <c r="E66" s="77" t="inlineStr">
        <is>
          <t>호칭규칙</t>
        </is>
      </c>
    </row>
    <row r="67">
      <c r="A67" s="77" t="inlineStr">
        <is>
          <t>4</t>
        </is>
      </c>
      <c r="B67" s="77" t="inlineStr">
        <is>
          <t>미결 #15 해결: 가상 인물 목록</t>
        </is>
      </c>
      <c r="C67" s="77" t="inlineStr">
        <is>
          <t>1~8부(부분) 집필 중 등장한 모든 가상 인물을 이름·최초 등장·역할 기준으로 정리. 이름 중복 5건 발견·개명(Iolanda→Pina/Federica/Valeria, Davide→Ottavio/Matteo)</t>
        </is>
      </c>
      <c r="D67" s="77" t="inlineStr">
        <is>
          <t>해결됨</t>
        </is>
      </c>
      <c r="E67" s="77" t="inlineStr">
        <is>
          <t>가상인물_등록부</t>
        </is>
      </c>
    </row>
    <row r="68">
      <c r="A68" s="77" t="inlineStr">
        <is>
          <t>5</t>
        </is>
      </c>
      <c r="B68" s="77" t="inlineStr">
        <is>
          <t>미결 #17 해결: 7부 3화 톤</t>
        </is>
      </c>
      <c r="C68" s="77" t="inlineStr">
        <is>
          <t>선정적 묘사 금지, 피해사실 자체는 상세히 다루지 않고 절차·제도(형법 609-bis조, 공소시효)와 인물들의 존엄 있는 태도에만 집중. '동의' 명문화 vs 절차 개혁, 양쪽 모두 선의로 그림</t>
        </is>
      </c>
      <c r="D68" s="77" t="inlineStr">
        <is>
          <t>해결됨</t>
        </is>
      </c>
      <c r="E68" s="77" t="inlineStr">
        <is>
          <t>7부 3화 대본</t>
        </is>
      </c>
    </row>
    <row r="69">
      <c r="A69" s="77" t="inlineStr">
        <is>
          <t>6</t>
        </is>
      </c>
      <c r="B69" s="77" t="inlineStr">
        <is>
          <t>부활 인물 직접 호칭 규칙 신설</t>
        </is>
      </c>
      <c r="C69" s="77" t="inlineStr">
        <is>
          <t>Console Cesare / Segretario Gramsci / Segretario Machiavelli / Generale Garibaldi / Poeta Dante / Professor Galileo / Dottoressa Montessori — 사용자 지시로 새로 확정</t>
        </is>
      </c>
      <c r="D69" s="77" t="inlineStr">
        <is>
          <t>신규</t>
        </is>
      </c>
      <c r="E69" s="77" t="inlineStr">
        <is>
          <t>호칭규칙</t>
        </is>
      </c>
    </row>
    <row r="70">
      <c r="A70" s="77" t="inlineStr">
        <is>
          <t>7</t>
        </is>
      </c>
      <c r="B70" s="77" t="inlineStr">
        <is>
          <t>연속성 오류 수정: Chiara의 Zenit 상사</t>
        </is>
      </c>
      <c r="C70" s="77" t="inlineStr">
        <is>
          <t>5부 2화에서 잘못 쓴 이름 Vergani를 4/6/11화와 동일하게 Moretti로 통일</t>
        </is>
      </c>
      <c r="D70" s="77" t="inlineStr">
        <is>
          <t>수정됨</t>
        </is>
      </c>
      <c r="E70" s="77" t="inlineStr">
        <is>
          <t>5부2화</t>
        </is>
      </c>
    </row>
    <row r="71">
      <c r="A71" s="77" t="inlineStr">
        <is>
          <t>8</t>
        </is>
      </c>
      <c r="B71" s="77" t="inlineStr">
        <is>
          <t>2~5부(과거) 구조 확정</t>
        </is>
      </c>
      <c r="C71" s="77" t="inlineStr">
        <is>
          <t>금요일 프레임(1·5·9·12화)이 현재·과거 장면을 감싸고, 일반 화는 전부 과거로 진행. B2~C1, 20단어 제한(1부 B1 15단어보다 완화)</t>
        </is>
      </c>
      <c r="D71" s="77" t="inlineStr">
        <is>
          <t>확정</t>
        </is>
      </c>
      <c r="E71" s="77" t="inlineStr">
        <is>
          <t>2~5부 전체</t>
        </is>
      </c>
    </row>
    <row r="72">
      <c r="A72" s="77" t="inlineStr">
        <is>
          <t>9</t>
        </is>
      </c>
      <c r="B72" s="77" t="inlineStr">
        <is>
          <t>6부 구조 확정</t>
        </is>
      </c>
      <c r="C72" s="77" t="inlineStr">
        <is>
          <t>프레임 없는 12화 연속 서사, B2, 18단어 제한. 12화 마지막 대사가 1부 1화 첫 대사와 정확히 맞물려 원형 구조 완성</t>
        </is>
      </c>
      <c r="D72" s="77" t="inlineStr">
        <is>
          <t>확정</t>
        </is>
      </c>
      <c r="E72" s="77" t="inlineStr">
        <is>
          <t>6부 전체</t>
        </is>
      </c>
    </row>
    <row r="73">
      <c r="A73" s="77" t="inlineStr">
        <is>
          <t>10</t>
        </is>
      </c>
      <c r="B73" s="77" t="inlineStr">
        <is>
          <t>7~8부 구조 확정</t>
        </is>
      </c>
      <c r="C73" s="77" t="inlineStr">
        <is>
          <t>프레임 없음. 7부는 1부의 연속(개소 1년 후), 8부는 7부의 연속. 둘 다 B2~C1, 20단어 제한</t>
        </is>
      </c>
      <c r="D73" s="77" t="inlineStr">
        <is>
          <t>확정</t>
        </is>
      </c>
      <c r="E73" s="77" t="inlineStr">
        <is>
          <t>7~8부</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9.xml><?xml version="1.0" encoding="utf-8"?>
<worksheet xmlns="http://schemas.openxmlformats.org/spreadsheetml/2006/main">
  <sheetPr>
    <outlinePr summaryBelow="1" summaryRight="1"/>
    <pageSetUpPr/>
  </sheetPr>
  <dimension ref="A1:G162"/>
  <sheetViews>
    <sheetView workbookViewId="0">
      <pane ySplit="4" topLeftCell="A5" activePane="bottomLeft" state="frozen"/>
      <selection pane="bottomLeft" activeCell="A1" sqref="A1"/>
    </sheetView>
  </sheetViews>
  <sheetFormatPr baseColWidth="8" defaultRowHeight="15"/>
  <cols>
    <col width="6" customWidth="1" style="78" min="1" max="1"/>
    <col width="6" customWidth="1" style="78" min="2" max="2"/>
    <col width="40" customWidth="1" style="78" min="3" max="3"/>
    <col width="28" customWidth="1" style="78" min="4" max="4"/>
    <col width="10" customWidth="1" style="78" min="5" max="5"/>
    <col width="46" customWidth="1" style="78" min="6" max="6"/>
    <col width="10" customWidth="1" style="78" min="7" max="7"/>
  </cols>
  <sheetData>
    <row r="1">
      <c r="A1" s="159" t="inlineStr">
        <is>
          <t>Roma 이탈리아어 낭독 교재 — 제작 현황 (2026-09-25 기준)</t>
        </is>
      </c>
    </row>
    <row r="2">
      <c r="A2" s="157" t="inlineStr">
        <is>
          <t>1부에서 8부 3화까지 실제 대본이 완성되었습니다. 이후 화는 미착수 상태입니다.</t>
        </is>
      </c>
    </row>
    <row r="4">
      <c r="A4" s="156" t="inlineStr">
        <is>
          <t>부</t>
        </is>
      </c>
      <c r="B4" s="156" t="inlineStr">
        <is>
          <t>화</t>
        </is>
      </c>
      <c r="C4" s="156" t="inlineStr">
        <is>
          <t>제목 (IT)</t>
        </is>
      </c>
      <c r="D4" s="156" t="inlineStr">
        <is>
          <t>제목 (한국어)</t>
        </is>
      </c>
      <c r="E4" s="156" t="inlineStr">
        <is>
          <t>상태</t>
        </is>
      </c>
      <c r="F4" s="156" t="inlineStr">
        <is>
          <t>파일명</t>
        </is>
      </c>
      <c r="G4" s="156" t="inlineStr">
        <is>
          <t>턴 수</t>
        </is>
      </c>
    </row>
    <row r="5">
      <c r="A5" s="77" t="n">
        <v>1</v>
      </c>
      <c r="B5" s="77" t="n">
        <v>1</v>
      </c>
      <c r="C5" s="77" t="inlineStr">
        <is>
          <t>Un'altra lettera</t>
        </is>
      </c>
      <c r="D5" s="77" t="inlineStr">
        <is>
          <t>또 다른 편지</t>
        </is>
      </c>
      <c r="E5" s="160" t="inlineStr">
        <is>
          <t>완료</t>
        </is>
      </c>
      <c r="F5" s="77" t="inlineStr">
        <is>
          <t>1부1화_Un_altra_lettera.docx</t>
        </is>
      </c>
      <c r="G5" s="77" t="n">
        <v>119</v>
      </c>
    </row>
    <row r="6">
      <c r="A6" s="77" t="n">
        <v>1</v>
      </c>
      <c r="B6" s="77" t="n">
        <v>2</v>
      </c>
      <c r="C6" s="77" t="inlineStr">
        <is>
          <t>La clausola che non sale</t>
        </is>
      </c>
      <c r="D6" s="77" t="inlineStr">
        <is>
          <t>오르지 않는 조항</t>
        </is>
      </c>
      <c r="E6" s="160" t="inlineStr">
        <is>
          <t>완료</t>
        </is>
      </c>
      <c r="F6" s="77" t="inlineStr">
        <is>
          <t>1부2화_La_clausola_che_non_sale.docx</t>
        </is>
      </c>
      <c r="G6" s="77" t="n">
        <v>120</v>
      </c>
    </row>
    <row r="7">
      <c r="A7" s="77" t="n">
        <v>1</v>
      </c>
      <c r="B7" s="77" t="n">
        <v>3</v>
      </c>
      <c r="C7" s="77" t="inlineStr">
        <is>
          <t>L'avviso delle otto</t>
        </is>
      </c>
      <c r="D7" s="77" t="inlineStr">
        <is>
          <t>여덟 시의 통지</t>
        </is>
      </c>
      <c r="E7" s="160" t="inlineStr">
        <is>
          <t>완료</t>
        </is>
      </c>
      <c r="F7" s="77" t="inlineStr">
        <is>
          <t>1부3화_Lavviso_delle_otto.docx</t>
        </is>
      </c>
      <c r="G7" s="77" t="n">
        <v>120</v>
      </c>
    </row>
    <row r="8">
      <c r="A8" s="77" t="n">
        <v>1</v>
      </c>
      <c r="B8" s="77" t="n">
        <v>4</v>
      </c>
      <c r="C8" s="77" t="inlineStr">
        <is>
          <t>Il furgone che non arrivò</t>
        </is>
      </c>
      <c r="D8" s="77" t="inlineStr">
        <is>
          <t>오지 않은 트럭</t>
        </is>
      </c>
      <c r="E8" s="160" t="inlineStr">
        <is>
          <t>완료</t>
        </is>
      </c>
      <c r="F8" s="77" t="inlineStr">
        <is>
          <t>1부4화_Il_furgone_che_non_arrivò.docx</t>
        </is>
      </c>
      <c r="G8" s="77" t="n">
        <v>120</v>
      </c>
    </row>
    <row r="9">
      <c r="A9" s="77" t="n">
        <v>1</v>
      </c>
      <c r="B9" s="77" t="n">
        <v>5</v>
      </c>
      <c r="C9" s="77" t="inlineStr">
        <is>
          <t>Lo stagista della fabbrica</t>
        </is>
      </c>
      <c r="D9" s="77" t="inlineStr">
        <is>
          <t>공장의 인턴</t>
        </is>
      </c>
      <c r="E9" s="160" t="inlineStr">
        <is>
          <t>완료</t>
        </is>
      </c>
      <c r="F9" s="77" t="inlineStr">
        <is>
          <t>1부5화_Lo_stagista_della_fabbrica.docx</t>
        </is>
      </c>
      <c r="G9" s="77" t="n">
        <v>120</v>
      </c>
    </row>
    <row r="10">
      <c r="A10" s="77" t="n">
        <v>1</v>
      </c>
      <c r="B10" s="77" t="n">
        <v>6</v>
      </c>
      <c r="C10" s="77" t="inlineStr">
        <is>
          <t>Basta!</t>
        </is>
      </c>
      <c r="D10" s="77" t="inlineStr">
        <is>
          <t>그만!</t>
        </is>
      </c>
      <c r="E10" s="160" t="inlineStr">
        <is>
          <t>완료</t>
        </is>
      </c>
      <c r="F10" s="77" t="inlineStr">
        <is>
          <t>1부6화_Basta.docx</t>
        </is>
      </c>
      <c r="G10" s="77" t="n">
        <v>120</v>
      </c>
    </row>
    <row r="11">
      <c r="A11" s="77" t="n">
        <v>1</v>
      </c>
      <c r="B11" s="77" t="n">
        <v>7</v>
      </c>
      <c r="C11" s="77" t="inlineStr">
        <is>
          <t>La bambina con la febbre</t>
        </is>
      </c>
      <c r="D11" s="77" t="inlineStr">
        <is>
          <t>열이 나는 아이</t>
        </is>
      </c>
      <c r="E11" s="160" t="inlineStr">
        <is>
          <t>완료</t>
        </is>
      </c>
      <c r="F11" s="77" t="inlineStr">
        <is>
          <t>1부7화_La_bambina_con_la_febbre.docx</t>
        </is>
      </c>
      <c r="G11" s="77" t="n">
        <v>120</v>
      </c>
    </row>
    <row r="12">
      <c r="A12" s="77" t="n">
        <v>1</v>
      </c>
      <c r="B12" s="77" t="n">
        <v>8</v>
      </c>
      <c r="C12" s="77" t="inlineStr">
        <is>
          <t>Un codice per tutti</t>
        </is>
      </c>
      <c r="D12" s="77" t="inlineStr">
        <is>
          <t>모두를 위한 코드</t>
        </is>
      </c>
      <c r="E12" s="160" t="inlineStr">
        <is>
          <t>완료</t>
        </is>
      </c>
      <c r="F12" s="77" t="inlineStr">
        <is>
          <t>1부8화_Un_codice_per_tutti.docx</t>
        </is>
      </c>
      <c r="G12" s="77" t="n">
        <v>120</v>
      </c>
    </row>
    <row r="13">
      <c r="A13" s="77" t="n">
        <v>1</v>
      </c>
      <c r="B13" s="77" t="n">
        <v>9</v>
      </c>
      <c r="C13" s="77" t="inlineStr">
        <is>
          <t>La vedova del quinto piano</t>
        </is>
      </c>
      <c r="D13" s="77" t="inlineStr">
        <is>
          <t>5층의 미망인</t>
        </is>
      </c>
      <c r="E13" s="160" t="inlineStr">
        <is>
          <t>완료</t>
        </is>
      </c>
      <c r="F13" s="77" t="inlineStr">
        <is>
          <t>1부9화_La_vedova_del_quinto_piano.docx</t>
        </is>
      </c>
      <c r="G13" s="77" t="n">
        <v>120</v>
      </c>
    </row>
    <row r="14">
      <c r="A14" s="77" t="n">
        <v>1</v>
      </c>
      <c r="B14" s="77" t="n">
        <v>10</v>
      </c>
      <c r="C14" s="77" t="inlineStr">
        <is>
          <t>Segui il denaro</t>
        </is>
      </c>
      <c r="D14" s="77" t="inlineStr">
        <is>
          <t>돈을 따라가라</t>
        </is>
      </c>
      <c r="E14" s="160" t="inlineStr">
        <is>
          <t>완료</t>
        </is>
      </c>
      <c r="F14" s="77" t="inlineStr">
        <is>
          <t>1부10화_Segui_il_denaro.docx</t>
        </is>
      </c>
      <c r="G14" s="77" t="n">
        <v>120</v>
      </c>
    </row>
    <row r="15">
      <c r="A15" s="77" t="n">
        <v>1</v>
      </c>
      <c r="B15" s="77" t="n">
        <v>11</v>
      </c>
      <c r="C15" s="77" t="inlineStr">
        <is>
          <t>Una carta di anni fa</t>
        </is>
      </c>
      <c r="D15" s="77" t="inlineStr">
        <is>
          <t>수년 전 서류</t>
        </is>
      </c>
      <c r="E15" s="160" t="inlineStr">
        <is>
          <t>완료</t>
        </is>
      </c>
      <c r="F15" s="77" t="inlineStr">
        <is>
          <t>1부11화_Una_carta_di_anni_fa.docx</t>
        </is>
      </c>
      <c r="G15" s="77" t="n">
        <v>120</v>
      </c>
    </row>
    <row r="16">
      <c r="A16" s="77" t="n">
        <v>1</v>
      </c>
      <c r="B16" s="77" t="n">
        <v>12</v>
      </c>
      <c r="C16" s="77" t="inlineStr">
        <is>
          <t>La firma</t>
        </is>
      </c>
      <c r="D16" s="77" t="inlineStr">
        <is>
          <t>서명</t>
        </is>
      </c>
      <c r="E16" s="160" t="inlineStr">
        <is>
          <t>완료</t>
        </is>
      </c>
      <c r="F16" s="77" t="inlineStr">
        <is>
          <t>1부12화_La_firma.docx</t>
        </is>
      </c>
      <c r="G16" s="77" t="n">
        <v>122</v>
      </c>
    </row>
    <row r="17">
      <c r="A17" s="77" t="n">
        <v>2</v>
      </c>
      <c r="B17" s="77" t="n">
        <v>1</v>
      </c>
      <c r="C17" s="77" t="inlineStr">
        <is>
          <t>Venerdì di storie</t>
        </is>
      </c>
      <c r="D17" s="77" t="inlineStr">
        <is>
          <t>금요일의 이야기</t>
        </is>
      </c>
      <c r="E17" s="160" t="inlineStr">
        <is>
          <t>완료</t>
        </is>
      </c>
      <c r="F17" s="77" t="inlineStr">
        <is>
          <t>2부1화_Venerdì_di_storie.docx</t>
        </is>
      </c>
      <c r="G17" s="77" t="n">
        <v>120</v>
      </c>
    </row>
    <row r="18">
      <c r="A18" s="77" t="n">
        <v>2</v>
      </c>
      <c r="B18" s="77" t="n">
        <v>2</v>
      </c>
      <c r="C18" s="77" t="inlineStr">
        <is>
          <t>Un lunedì in Prati</t>
        </is>
      </c>
      <c r="D18" s="77" t="inlineStr">
        <is>
          <t>프라티의 월요일</t>
        </is>
      </c>
      <c r="E18" s="160" t="inlineStr">
        <is>
          <t>완료</t>
        </is>
      </c>
      <c r="F18" s="77" t="inlineStr">
        <is>
          <t>2부2화_Un_lunedì_in_Prati.docx</t>
        </is>
      </c>
      <c r="G18" s="77" t="n">
        <v>120</v>
      </c>
    </row>
    <row r="19">
      <c r="A19" s="77" t="n">
        <v>2</v>
      </c>
      <c r="B19" s="77" t="n">
        <v>3</v>
      </c>
      <c r="C19" s="77" t="inlineStr">
        <is>
          <t>Il cliente d'oro</t>
        </is>
      </c>
      <c r="D19" s="77" t="inlineStr">
        <is>
          <t>VIP 고객</t>
        </is>
      </c>
      <c r="E19" s="160" t="inlineStr">
        <is>
          <t>완료</t>
        </is>
      </c>
      <c r="F19" s="77" t="inlineStr">
        <is>
          <t>2부3화_Il_cliente_doro.docx</t>
        </is>
      </c>
      <c r="G19" s="77" t="n">
        <v>120</v>
      </c>
    </row>
    <row r="20">
      <c r="A20" s="77" t="n">
        <v>2</v>
      </c>
      <c r="B20" s="77" t="n">
        <v>4</v>
      </c>
      <c r="C20" s="77" t="inlineStr">
        <is>
          <t>Il portafoglio di Testaccio</t>
        </is>
      </c>
      <c r="D20" s="77" t="inlineStr">
        <is>
          <t>테스타초 자산 포트폴리오</t>
        </is>
      </c>
      <c r="E20" s="160" t="inlineStr">
        <is>
          <t>완료</t>
        </is>
      </c>
      <c r="F20" s="77" t="inlineStr">
        <is>
          <t>2부4화_Il_portafoglio_di_Testaccio.docx</t>
        </is>
      </c>
      <c r="G20" s="77" t="n">
        <v>120</v>
      </c>
    </row>
    <row r="21">
      <c r="A21" s="77" t="n">
        <v>2</v>
      </c>
      <c r="B21" s="77" t="n">
        <v>5</v>
      </c>
      <c r="C21" s="77" t="inlineStr">
        <is>
          <t>Venerdì: la via di Rosa</t>
        </is>
      </c>
      <c r="D21" s="77" t="inlineStr">
        <is>
          <t>금요일: Rosa의 거리</t>
        </is>
      </c>
      <c r="E21" s="160" t="inlineStr">
        <is>
          <t>완료</t>
        </is>
      </c>
      <c r="F21" s="77" t="inlineStr">
        <is>
          <t>2부5화_Venerdì_la_via_di_Rosa.docx</t>
        </is>
      </c>
      <c r="G21" s="77" t="n">
        <v>120</v>
      </c>
    </row>
    <row r="22">
      <c r="A22" s="77" t="n">
        <v>2</v>
      </c>
      <c r="B22" s="77" t="n">
        <v>6</v>
      </c>
      <c r="C22" s="77" t="inlineStr">
        <is>
          <t>La clausola</t>
        </is>
      </c>
      <c r="D22" s="77" t="inlineStr">
        <is>
          <t>조항</t>
        </is>
      </c>
      <c r="E22" s="160" t="inlineStr">
        <is>
          <t>완료</t>
        </is>
      </c>
      <c r="F22" s="77" t="inlineStr">
        <is>
          <t>2부6화_La_clausola.docx</t>
        </is>
      </c>
      <c r="G22" s="77" t="n">
        <v>120</v>
      </c>
    </row>
    <row r="23">
      <c r="A23" s="77" t="n">
        <v>2</v>
      </c>
      <c r="B23" s="77" t="n">
        <v>7</v>
      </c>
      <c r="C23" s="77" t="inlineStr">
        <is>
          <t>L'assemblea degli inquilini</t>
        </is>
      </c>
      <c r="D23" s="77" t="inlineStr">
        <is>
          <t>세입자 총회</t>
        </is>
      </c>
      <c r="E23" s="160" t="inlineStr">
        <is>
          <t>완료</t>
        </is>
      </c>
      <c r="F23" s="77" t="inlineStr">
        <is>
          <t>2부7화_Lassemblea_degli_inquilini.docx</t>
        </is>
      </c>
      <c r="G23" s="77" t="n">
        <v>120</v>
      </c>
    </row>
    <row r="24">
      <c r="A24" s="77" t="n">
        <v>2</v>
      </c>
      <c r="B24" s="77" t="n">
        <v>8</v>
      </c>
      <c r="C24" s="77" t="inlineStr">
        <is>
          <t>Il processo</t>
        </is>
      </c>
      <c r="D24" s="77" t="inlineStr">
        <is>
          <t>재판</t>
        </is>
      </c>
      <c r="E24" s="160" t="inlineStr">
        <is>
          <t>완료</t>
        </is>
      </c>
      <c r="F24" s="77" t="inlineStr">
        <is>
          <t>2부8화_Il_processo.docx</t>
        </is>
      </c>
      <c r="G24" s="77" t="n">
        <v>120</v>
      </c>
    </row>
    <row r="25">
      <c r="A25" s="77" t="n">
        <v>2</v>
      </c>
      <c r="B25" s="77" t="n">
        <v>9</v>
      </c>
      <c r="C25" s="77" t="inlineStr">
        <is>
          <t>Venerdì: continua</t>
        </is>
      </c>
      <c r="D25" s="77" t="inlineStr">
        <is>
          <t>금요일: 계속해</t>
        </is>
      </c>
      <c r="E25" s="160" t="inlineStr">
        <is>
          <t>완료</t>
        </is>
      </c>
      <c r="F25" s="77" t="inlineStr">
        <is>
          <t>2부9화_Venerdì_continua.docx</t>
        </is>
      </c>
      <c r="G25" s="77" t="n">
        <v>120</v>
      </c>
    </row>
    <row r="26">
      <c r="A26" s="77" t="n">
        <v>2</v>
      </c>
      <c r="B26" s="77" t="n">
        <v>10</v>
      </c>
      <c r="C26" s="77" t="inlineStr">
        <is>
          <t>Una cena ai Parioli</t>
        </is>
      </c>
      <c r="D26" s="77" t="inlineStr">
        <is>
          <t>파리올리의 저녁</t>
        </is>
      </c>
      <c r="E26" s="160" t="inlineStr">
        <is>
          <t>완료</t>
        </is>
      </c>
      <c r="F26" s="77" t="inlineStr">
        <is>
          <t>2부10화_Una_cena_ai_Parioli.docx</t>
        </is>
      </c>
      <c r="G26" s="77" t="n">
        <v>120</v>
      </c>
    </row>
    <row r="27">
      <c r="A27" s="77" t="n">
        <v>2</v>
      </c>
      <c r="B27" s="77" t="n">
        <v>11</v>
      </c>
      <c r="C27" s="77" t="inlineStr">
        <is>
          <t>La nipote di Assunta</t>
        </is>
      </c>
      <c r="D27" s="77" t="inlineStr">
        <is>
          <t>Assunta의 손녀</t>
        </is>
      </c>
      <c r="E27" s="160" t="inlineStr">
        <is>
          <t>완료</t>
        </is>
      </c>
      <c r="F27" s="77" t="inlineStr">
        <is>
          <t>2부11화_La_nipote_di_Assunta.docx</t>
        </is>
      </c>
      <c r="G27" s="77" t="n">
        <v>120</v>
      </c>
    </row>
    <row r="28">
      <c r="A28" s="77" t="n">
        <v>2</v>
      </c>
      <c r="B28" s="77" t="n">
        <v>12</v>
      </c>
      <c r="C28" s="77" t="inlineStr">
        <is>
          <t>Venerdì: le dimissioni</t>
        </is>
      </c>
      <c r="D28" s="77" t="inlineStr">
        <is>
          <t>금요일: 사직</t>
        </is>
      </c>
      <c r="E28" s="160" t="inlineStr">
        <is>
          <t>완료</t>
        </is>
      </c>
      <c r="F28" s="77" t="inlineStr">
        <is>
          <t>2부12화_Venerdì_le_dimissioni.docx</t>
        </is>
      </c>
      <c r="G28" s="77" t="n">
        <v>120</v>
      </c>
    </row>
    <row r="29">
      <c r="A29" s="77" t="n">
        <v>3</v>
      </c>
      <c r="B29" s="77" t="n">
        <v>1</v>
      </c>
      <c r="C29" s="77" t="inlineStr">
        <is>
          <t>Venerdì: i nomi</t>
        </is>
      </c>
      <c r="D29" s="77" t="inlineStr">
        <is>
          <t>금요일: 이름들</t>
        </is>
      </c>
      <c r="E29" s="160" t="inlineStr">
        <is>
          <t>완료</t>
        </is>
      </c>
      <c r="F29" s="77" t="inlineStr">
        <is>
          <t>3부1화_Venerdì_i_nomi.docx</t>
        </is>
      </c>
      <c r="G29" s="77" t="n">
        <v>120</v>
      </c>
    </row>
    <row r="30">
      <c r="A30" s="77" t="n">
        <v>3</v>
      </c>
      <c r="B30" s="77" t="n">
        <v>2</v>
      </c>
      <c r="C30" s="77" t="inlineStr">
        <is>
          <t>Turno di notte</t>
        </is>
      </c>
      <c r="D30" s="77" t="inlineStr">
        <is>
          <t>야간 근무</t>
        </is>
      </c>
      <c r="E30" s="160" t="inlineStr">
        <is>
          <t>완료</t>
        </is>
      </c>
      <c r="F30" s="77" t="inlineStr">
        <is>
          <t>3부2화_Turno_di_notte.docx</t>
        </is>
      </c>
      <c r="G30" s="77" t="n">
        <v>120</v>
      </c>
    </row>
    <row r="31">
      <c r="A31" s="77" t="n">
        <v>3</v>
      </c>
      <c r="B31" s="77" t="n">
        <v>3</v>
      </c>
      <c r="C31" s="77" t="inlineStr">
        <is>
          <t>L'ondata di calore</t>
        </is>
      </c>
      <c r="D31" s="77" t="inlineStr">
        <is>
          <t>폭염</t>
        </is>
      </c>
      <c r="E31" s="160" t="inlineStr">
        <is>
          <t>완료</t>
        </is>
      </c>
      <c r="F31" s="77" t="inlineStr">
        <is>
          <t>3부3화_Londata_di_calore.docx</t>
        </is>
      </c>
      <c r="G31" s="77" t="n">
        <v>120</v>
      </c>
    </row>
    <row r="32">
      <c r="A32" s="77" t="n">
        <v>3</v>
      </c>
      <c r="B32" s="77" t="n">
        <v>4</v>
      </c>
      <c r="C32" s="77" t="inlineStr">
        <is>
          <t>Un contratto che nessuno legge</t>
        </is>
      </c>
      <c r="D32" s="77" t="inlineStr">
        <is>
          <t>읽히지 않는 계약</t>
        </is>
      </c>
      <c r="E32" s="160" t="inlineStr">
        <is>
          <t>완료</t>
        </is>
      </c>
      <c r="F32" s="77" t="inlineStr">
        <is>
          <t>3부4화_Un_contratto_che_nessuno_legge.docx</t>
        </is>
      </c>
      <c r="G32" s="77" t="n">
        <v>120</v>
      </c>
    </row>
    <row r="33">
      <c r="A33" s="77" t="n">
        <v>3</v>
      </c>
      <c r="B33" s="77" t="n">
        <v>5</v>
      </c>
      <c r="C33" s="77" t="inlineStr">
        <is>
          <t>Venerdì: la lista</t>
        </is>
      </c>
      <c r="D33" s="77" t="inlineStr">
        <is>
          <t>금요일: 명단</t>
        </is>
      </c>
      <c r="E33" s="160" t="inlineStr">
        <is>
          <t>완료</t>
        </is>
      </c>
      <c r="F33" s="77" t="inlineStr">
        <is>
          <t>3부5화_Venerdì_la_lista.docx</t>
        </is>
      </c>
      <c r="G33" s="77" t="n">
        <v>120</v>
      </c>
    </row>
    <row r="34">
      <c r="A34" s="77" t="n">
        <v>3</v>
      </c>
      <c r="B34" s="77" t="n">
        <v>6</v>
      </c>
      <c r="C34" s="77" t="inlineStr">
        <is>
          <t>La prima della lista</t>
        </is>
      </c>
      <c r="D34" s="77" t="inlineStr">
        <is>
          <t>명단의 첫 번째</t>
        </is>
      </c>
      <c r="E34" s="160" t="inlineStr">
        <is>
          <t>완료</t>
        </is>
      </c>
      <c r="F34" s="77" t="inlineStr">
        <is>
          <t>3부6화_La_prima_della_lista.docx</t>
        </is>
      </c>
      <c r="G34" s="77" t="n">
        <v>120</v>
      </c>
    </row>
    <row r="35">
      <c r="A35" s="77" t="n">
        <v>3</v>
      </c>
      <c r="B35" s="77" t="n">
        <v>7</v>
      </c>
      <c r="C35" s="77" t="inlineStr">
        <is>
          <t>I numeri del direttore</t>
        </is>
      </c>
      <c r="D35" s="77" t="inlineStr">
        <is>
          <t>원장의 숫자</t>
        </is>
      </c>
      <c r="E35" s="160" t="inlineStr">
        <is>
          <t>완료</t>
        </is>
      </c>
      <c r="F35" s="77" t="inlineStr">
        <is>
          <t>3부7화_I_numeri_del_direttore.docx</t>
        </is>
      </c>
      <c r="G35" s="77" t="n">
        <v>120</v>
      </c>
    </row>
    <row r="36">
      <c r="A36" s="77" t="n">
        <v>3</v>
      </c>
      <c r="B36" s="77" t="n">
        <v>8</v>
      </c>
      <c r="C36" s="77" t="inlineStr">
        <is>
          <t>Il procedimento</t>
        </is>
      </c>
      <c r="D36" s="77" t="inlineStr">
        <is>
          <t>징계 절차</t>
        </is>
      </c>
      <c r="E36" s="160" t="inlineStr">
        <is>
          <t>완료</t>
        </is>
      </c>
      <c r="F36" s="77" t="inlineStr">
        <is>
          <t>3부8화_Il_procedimento.docx</t>
        </is>
      </c>
      <c r="G36" s="77" t="n">
        <v>120</v>
      </c>
    </row>
    <row r="37">
      <c r="A37" s="77" t="n">
        <v>3</v>
      </c>
      <c r="B37" s="77" t="n">
        <v>9</v>
      </c>
      <c r="C37" s="77" t="inlineStr">
        <is>
          <t>Venerdì: e come ti fa sentire?</t>
        </is>
      </c>
      <c r="D37" s="77" t="inlineStr">
        <is>
          <t>금요일: 기분이 어때요?</t>
        </is>
      </c>
      <c r="E37" s="160" t="inlineStr">
        <is>
          <t>완료</t>
        </is>
      </c>
      <c r="F37" s="77" t="inlineStr">
        <is>
          <t>3부9화_Venerdì_e_come_ti_fa_sentire.docx</t>
        </is>
      </c>
      <c r="G37" s="77" t="n">
        <v>120</v>
      </c>
    </row>
    <row r="38">
      <c r="A38" s="77" t="n">
        <v>3</v>
      </c>
      <c r="B38" s="77" t="n">
        <v>10</v>
      </c>
      <c r="C38" s="77" t="inlineStr">
        <is>
          <t>Una notte senza letti</t>
        </is>
      </c>
      <c r="D38" s="77" t="inlineStr">
        <is>
          <t>병상 없는 밤</t>
        </is>
      </c>
      <c r="E38" s="160" t="inlineStr">
        <is>
          <t>완료</t>
        </is>
      </c>
      <c r="F38" s="77" t="inlineStr">
        <is>
          <t>3부10화_Una_notte_senza_letti.docx</t>
        </is>
      </c>
      <c r="G38" s="77" t="n">
        <v>120</v>
      </c>
    </row>
    <row r="39">
      <c r="A39" s="77" t="n">
        <v>3</v>
      </c>
      <c r="B39" s="77" t="n">
        <v>11</v>
      </c>
      <c r="C39" s="77" t="inlineStr">
        <is>
          <t>Le dimissioni della dottoressa</t>
        </is>
      </c>
      <c r="D39" s="77" t="inlineStr">
        <is>
          <t>의사의 사직</t>
        </is>
      </c>
      <c r="E39" s="160" t="inlineStr">
        <is>
          <t>완료</t>
        </is>
      </c>
      <c r="F39" s="77" t="inlineStr">
        <is>
          <t>3부11화_Le_dimissioni_della_dottoressa.docx</t>
        </is>
      </c>
      <c r="G39" s="77" t="n">
        <v>120</v>
      </c>
    </row>
    <row r="40">
      <c r="A40" s="77" t="n">
        <v>3</v>
      </c>
      <c r="B40" s="77" t="n">
        <v>12</v>
      </c>
      <c r="C40" s="77" t="inlineStr">
        <is>
          <t>Venerdì: una firma</t>
        </is>
      </c>
      <c r="D40" s="77" t="inlineStr">
        <is>
          <t>금요일: 한 사람의 서명</t>
        </is>
      </c>
      <c r="E40" s="160" t="inlineStr">
        <is>
          <t>완료</t>
        </is>
      </c>
      <c r="F40" s="77" t="inlineStr">
        <is>
          <t>3부12화_Venerdì_una_firma.docx</t>
        </is>
      </c>
      <c r="G40" s="77" t="n">
        <v>120</v>
      </c>
    </row>
    <row r="41">
      <c r="A41" s="77" t="n">
        <v>4</v>
      </c>
      <c r="B41" s="77" t="n">
        <v>1</v>
      </c>
      <c r="C41" s="77" t="inlineStr">
        <is>
          <t>Venerdì: ho firmato io</t>
        </is>
      </c>
      <c r="D41" s="77" t="inlineStr">
        <is>
          <t>금요일: 내가 서명했다</t>
        </is>
      </c>
      <c r="E41" s="160" t="inlineStr">
        <is>
          <t>완료</t>
        </is>
      </c>
      <c r="F41" s="77" t="inlineStr">
        <is>
          <t>4부1화_Venerdì_ho_firmato_io.docx</t>
        </is>
      </c>
      <c r="G41" s="77" t="n">
        <v>120</v>
      </c>
    </row>
    <row r="42">
      <c r="A42" s="77" t="n">
        <v>4</v>
      </c>
      <c r="B42" s="77" t="n">
        <v>2</v>
      </c>
      <c r="C42" s="77" t="inlineStr">
        <is>
          <t>Chiusura di bilancio</t>
        </is>
      </c>
      <c r="D42" s="77" t="inlineStr">
        <is>
          <t>결산 마감</t>
        </is>
      </c>
      <c r="E42" s="160" t="inlineStr">
        <is>
          <t>완료</t>
        </is>
      </c>
      <c r="F42" s="77" t="inlineStr">
        <is>
          <t>4부2화_Chiusura_di_bilancio.docx</t>
        </is>
      </c>
      <c r="G42" s="77" t="n">
        <v>120</v>
      </c>
    </row>
    <row r="43">
      <c r="A43" s="77" t="n">
        <v>4</v>
      </c>
      <c r="B43" s="77" t="n">
        <v>3</v>
      </c>
      <c r="C43" s="77" t="inlineStr">
        <is>
          <t>Il cliente che paga bene</t>
        </is>
      </c>
      <c r="D43" s="77" t="inlineStr">
        <is>
          <t>돈 잘 주는 고객</t>
        </is>
      </c>
      <c r="E43" s="160" t="inlineStr">
        <is>
          <t>완료</t>
        </is>
      </c>
      <c r="F43" s="77" t="inlineStr">
        <is>
          <t>4부3화_Il_cliente_che_paga_bene.docx</t>
        </is>
      </c>
      <c r="G43" s="77" t="n">
        <v>120</v>
      </c>
    </row>
    <row r="44">
      <c r="A44" s="77" t="n">
        <v>4</v>
      </c>
      <c r="B44" s="77" t="n">
        <v>4</v>
      </c>
      <c r="C44" s="77" t="inlineStr">
        <is>
          <t>Questo non torna</t>
        </is>
      </c>
      <c r="D44" s="77" t="inlineStr">
        <is>
          <t>이건 안 맞아</t>
        </is>
      </c>
      <c r="E44" s="160" t="inlineStr">
        <is>
          <t>완료</t>
        </is>
      </c>
      <c r="F44" s="77" t="inlineStr">
        <is>
          <t>4부4화_Questo_non_torna.docx</t>
        </is>
      </c>
      <c r="G44" s="77" t="n">
        <v>120</v>
      </c>
    </row>
    <row r="45">
      <c r="A45" s="77" t="n">
        <v>4</v>
      </c>
      <c r="B45" s="77" t="n">
        <v>5</v>
      </c>
      <c r="C45" s="77" t="inlineStr">
        <is>
          <t>Venerdì: il padre di Alessandro</t>
        </is>
      </c>
      <c r="D45" s="77" t="inlineStr">
        <is>
          <t>금요일: Alessandro의 아버지</t>
        </is>
      </c>
      <c r="E45" s="160" t="inlineStr">
        <is>
          <t>완료</t>
        </is>
      </c>
      <c r="F45" s="77" t="inlineStr">
        <is>
          <t>4부5화_Venerdì_il_padre_di_Alessandro.docx</t>
        </is>
      </c>
      <c r="G45" s="77" t="n">
        <v>120</v>
      </c>
    </row>
    <row r="46">
      <c r="A46" s="77" t="n">
        <v>4</v>
      </c>
      <c r="B46" s="77" t="n">
        <v>6</v>
      </c>
      <c r="C46" s="77" t="inlineStr">
        <is>
          <t>La riunione dei soci</t>
        </is>
      </c>
      <c r="D46" s="77" t="inlineStr">
        <is>
          <t>파트너 회의</t>
        </is>
      </c>
      <c r="E46" s="160" t="inlineStr">
        <is>
          <t>완료</t>
        </is>
      </c>
      <c r="F46" s="77" t="inlineStr">
        <is>
          <t>4부6화_La_riunione_dei_soci.docx</t>
        </is>
      </c>
      <c r="G46" s="77" t="n">
        <v>120</v>
      </c>
    </row>
    <row r="47">
      <c r="A47" s="77" t="n">
        <v>4</v>
      </c>
      <c r="B47" s="77" t="n">
        <v>7</v>
      </c>
      <c r="C47" s="77" t="inlineStr">
        <is>
          <t>Il comitato rischi</t>
        </is>
      </c>
      <c r="D47" s="77" t="inlineStr">
        <is>
          <t>리스크 위원회</t>
        </is>
      </c>
      <c r="E47" s="160" t="inlineStr">
        <is>
          <t>완료</t>
        </is>
      </c>
      <c r="F47" s="77" t="inlineStr">
        <is>
          <t>4부7화_Il_comitato_rischi.docx</t>
        </is>
      </c>
      <c r="G47" s="77" t="n">
        <v>120</v>
      </c>
    </row>
    <row r="48">
      <c r="A48" s="77" t="n">
        <v>4</v>
      </c>
      <c r="B48" s="77" t="n">
        <v>8</v>
      </c>
      <c r="C48" s="77" t="inlineStr">
        <is>
          <t>Un pranzo ai Parioli</t>
        </is>
      </c>
      <c r="D48" s="77" t="inlineStr">
        <is>
          <t>파리올리의 점심</t>
        </is>
      </c>
      <c r="E48" s="160" t="inlineStr">
        <is>
          <t>완료</t>
        </is>
      </c>
      <c r="F48" s="77" t="inlineStr">
        <is>
          <t>4부8화_Un_pranzo_ai_Parioli.docx</t>
        </is>
      </c>
      <c r="G48" s="77" t="n">
        <v>120</v>
      </c>
    </row>
    <row r="49">
      <c r="A49" s="77" t="n">
        <v>4</v>
      </c>
      <c r="B49" s="77" t="n">
        <v>9</v>
      </c>
      <c r="C49" s="77" t="inlineStr">
        <is>
          <t>Venerdì: e hai firmato?</t>
        </is>
      </c>
      <c r="D49" s="77" t="inlineStr">
        <is>
          <t>금요일: 서명했어요?</t>
        </is>
      </c>
      <c r="E49" s="160" t="inlineStr">
        <is>
          <t>완료</t>
        </is>
      </c>
      <c r="F49" s="77" t="inlineStr">
        <is>
          <t>4부9화_Venerdì_e_hai_firmato.docx</t>
        </is>
      </c>
      <c r="G49" s="77" t="n">
        <v>120</v>
      </c>
    </row>
    <row r="50">
      <c r="A50" s="77" t="n">
        <v>4</v>
      </c>
      <c r="B50" s="77" t="n">
        <v>10</v>
      </c>
      <c r="C50" s="77" t="inlineStr">
        <is>
          <t>La firma</t>
        </is>
      </c>
      <c r="D50" s="77" t="inlineStr">
        <is>
          <t>서명</t>
        </is>
      </c>
      <c r="E50" s="160" t="inlineStr">
        <is>
          <t>완료</t>
        </is>
      </c>
      <c r="F50" s="77" t="inlineStr">
        <is>
          <t>4부10화_La_firma.docx</t>
        </is>
      </c>
      <c r="G50" s="77" t="n">
        <v>120</v>
      </c>
    </row>
    <row r="51">
      <c r="A51" s="77" t="n">
        <v>4</v>
      </c>
      <c r="B51" s="77" t="n">
        <v>11</v>
      </c>
      <c r="C51" s="77" t="inlineStr">
        <is>
          <t>Dopo la firma</t>
        </is>
      </c>
      <c r="D51" s="77" t="inlineStr">
        <is>
          <t>서명 이후</t>
        </is>
      </c>
      <c r="E51" s="160" t="inlineStr">
        <is>
          <t>완료</t>
        </is>
      </c>
      <c r="F51" s="77" t="inlineStr">
        <is>
          <t>4부11화_Dopo_la_firma.docx</t>
        </is>
      </c>
      <c r="G51" s="77" t="n">
        <v>120</v>
      </c>
    </row>
    <row r="52">
      <c r="A52" s="77" t="n">
        <v>4</v>
      </c>
      <c r="B52" s="77" t="n">
        <v>12</v>
      </c>
      <c r="C52" s="77" t="inlineStr">
        <is>
          <t>Venerdì: la lista di Chiara</t>
        </is>
      </c>
      <c r="D52" s="77" t="inlineStr">
        <is>
          <t>금요일: Chiara의 명단</t>
        </is>
      </c>
      <c r="E52" s="160" t="inlineStr">
        <is>
          <t>완료</t>
        </is>
      </c>
      <c r="F52" s="77" t="inlineStr">
        <is>
          <t>4부12화_Venerdì_la_lista_di_Chiara.docx</t>
        </is>
      </c>
      <c r="G52" s="77" t="n">
        <v>120</v>
      </c>
    </row>
    <row r="53">
      <c r="A53" s="77" t="n">
        <v>5</v>
      </c>
      <c r="B53" s="77" t="n">
        <v>1</v>
      </c>
      <c r="C53" s="77" t="inlineStr">
        <is>
          <t>Venerdì: in una matrice</t>
        </is>
      </c>
      <c r="D53" s="77" t="inlineStr">
        <is>
          <t>금요일: 매트릭스로</t>
        </is>
      </c>
      <c r="E53" s="160" t="inlineStr">
        <is>
          <t>완료</t>
        </is>
      </c>
      <c r="F53" s="77" t="inlineStr">
        <is>
          <t>5부1화_Venerdì_in_una_matrice.docx</t>
        </is>
      </c>
      <c r="G53" s="77" t="n">
        <v>122</v>
      </c>
    </row>
    <row r="54">
      <c r="A54" s="77" t="n">
        <v>5</v>
      </c>
      <c r="B54" s="77" t="n">
        <v>2</v>
      </c>
      <c r="C54" s="77" t="inlineStr">
        <is>
          <t>Zenit, 32° piano</t>
        </is>
      </c>
      <c r="D54" s="77" t="inlineStr">
        <is>
          <t>제니트, 32층</t>
        </is>
      </c>
      <c r="E54" s="160" t="inlineStr">
        <is>
          <t>완료</t>
        </is>
      </c>
      <c r="F54" s="77" t="inlineStr">
        <is>
          <t>5부2화_Zenit_32°_piano.docx</t>
        </is>
      </c>
      <c r="G54" s="77" t="n">
        <v>121</v>
      </c>
    </row>
    <row r="55">
      <c r="A55" s="77" t="n">
        <v>5</v>
      </c>
      <c r="B55" s="77" t="n">
        <v>3</v>
      </c>
      <c r="C55" s="77" t="inlineStr">
        <is>
          <t>La bottega dei Ruggeri</t>
        </is>
      </c>
      <c r="D55" s="77" t="inlineStr">
        <is>
          <t>Ruggeri 가족의 공방</t>
        </is>
      </c>
      <c r="E55" s="160" t="inlineStr">
        <is>
          <t>완료</t>
        </is>
      </c>
      <c r="F55" s="77" t="inlineStr">
        <is>
          <t>5부3화_La_bottega_dei_Ruggeri.docx</t>
        </is>
      </c>
      <c r="G55" s="77" t="n">
        <v>122</v>
      </c>
    </row>
    <row r="56">
      <c r="A56" s="77" t="n">
        <v>5</v>
      </c>
      <c r="B56" s="77" t="n">
        <v>4</v>
      </c>
      <c r="C56" s="77" t="inlineStr">
        <is>
          <t>Progetto Icaro</t>
        </is>
      </c>
      <c r="D56" s="77" t="inlineStr">
        <is>
          <t>이카로 프로젝트</t>
        </is>
      </c>
      <c r="E56" s="160" t="inlineStr">
        <is>
          <t>완료</t>
        </is>
      </c>
      <c r="F56" s="77" t="inlineStr">
        <is>
          <t>5부4화_Progetto_Icaro.docx</t>
        </is>
      </c>
      <c r="G56" s="77" t="n">
        <v>120</v>
      </c>
    </row>
    <row r="57">
      <c r="A57" s="77" t="n">
        <v>5</v>
      </c>
      <c r="B57" s="77" t="n">
        <v>5</v>
      </c>
      <c r="C57" s="77" t="inlineStr">
        <is>
          <t>Venerdì: un Excel</t>
        </is>
      </c>
      <c r="D57" s="77" t="inlineStr">
        <is>
          <t>금요일: 엑셀 한 장</t>
        </is>
      </c>
      <c r="E57" s="160" t="inlineStr">
        <is>
          <t>완료</t>
        </is>
      </c>
      <c r="F57" s="77" t="inlineStr">
        <is>
          <t>5부5화_Venerdì_un_Excel.docx</t>
        </is>
      </c>
      <c r="G57" s="77" t="n">
        <v>120</v>
      </c>
    </row>
    <row r="58">
      <c r="A58" s="77" t="n">
        <v>5</v>
      </c>
      <c r="B58" s="77" t="n">
        <v>6</v>
      </c>
      <c r="C58" s="77" t="inlineStr">
        <is>
          <t>La cella C47</t>
        </is>
      </c>
      <c r="D58" s="77" t="inlineStr">
        <is>
          <t>C47 셀</t>
        </is>
      </c>
      <c r="E58" s="160" t="inlineStr">
        <is>
          <t>완료</t>
        </is>
      </c>
      <c r="F58" s="77" t="inlineStr">
        <is>
          <t>5부6화_La_cella_C47.docx</t>
        </is>
      </c>
      <c r="G58" s="77" t="n">
        <v>120</v>
      </c>
    </row>
    <row r="59">
      <c r="A59" s="77" t="n">
        <v>5</v>
      </c>
      <c r="B59" s="77" t="n">
        <v>7</v>
      </c>
      <c r="C59" s="77" t="inlineStr">
        <is>
          <t>Il tavolo della trattativa</t>
        </is>
      </c>
      <c r="D59" s="77" t="inlineStr">
        <is>
          <t>협상 테이블</t>
        </is>
      </c>
      <c r="E59" s="160" t="inlineStr">
        <is>
          <t>완료</t>
        </is>
      </c>
      <c r="F59" s="77" t="inlineStr">
        <is>
          <t>5부7화_Il_tavolo_della_trattativa.docx</t>
        </is>
      </c>
      <c r="G59" s="77" t="n">
        <v>114</v>
      </c>
    </row>
    <row r="60">
      <c r="A60" s="77" t="n">
        <v>5</v>
      </c>
      <c r="B60" s="77" t="n">
        <v>8</v>
      </c>
      <c r="C60" s="77" t="inlineStr">
        <is>
          <t>La mail sbagliata</t>
        </is>
      </c>
      <c r="D60" s="77" t="inlineStr">
        <is>
          <t>잘못 보낸 이메일</t>
        </is>
      </c>
      <c r="E60" s="160" t="inlineStr">
        <is>
          <t>완료</t>
        </is>
      </c>
      <c r="F60" s="77" t="inlineStr">
        <is>
          <t>5부8화_La_mail_sbagliata.docx</t>
        </is>
      </c>
      <c r="G60" s="77" t="n">
        <v>115</v>
      </c>
    </row>
    <row r="61">
      <c r="A61" s="77" t="n">
        <v>5</v>
      </c>
      <c r="B61" s="77" t="n">
        <v>9</v>
      </c>
      <c r="C61" s="77" t="inlineStr">
        <is>
          <t>Venerdì: quattrocentododici</t>
        </is>
      </c>
      <c r="D61" s="77" t="inlineStr">
        <is>
          <t>금요일: 412</t>
        </is>
      </c>
      <c r="E61" s="160" t="inlineStr">
        <is>
          <t>완료</t>
        </is>
      </c>
      <c r="F61" s="77" t="inlineStr">
        <is>
          <t>5부9화_Venerdì_quattrocentododici.docx</t>
        </is>
      </c>
      <c r="G61" s="77" t="n">
        <v>120</v>
      </c>
    </row>
    <row r="62">
      <c r="A62" s="77" t="n">
        <v>5</v>
      </c>
      <c r="B62" s="77" t="n">
        <v>10</v>
      </c>
      <c r="C62" s="77" t="inlineStr">
        <is>
          <t>Lo sciopero</t>
        </is>
      </c>
      <c r="D62" s="77" t="inlineStr">
        <is>
          <t>파업</t>
        </is>
      </c>
      <c r="E62" s="160" t="inlineStr">
        <is>
          <t>완료</t>
        </is>
      </c>
      <c r="F62" s="77" t="inlineStr">
        <is>
          <t>5부10화_Lo_sciopero.docx</t>
        </is>
      </c>
      <c r="G62" s="77" t="n">
        <v>120</v>
      </c>
    </row>
    <row r="63">
      <c r="A63" s="77" t="n">
        <v>5</v>
      </c>
      <c r="B63" s="77" t="n">
        <v>11</v>
      </c>
      <c r="C63" s="77" t="inlineStr">
        <is>
          <t>L'ultima riunione</t>
        </is>
      </c>
      <c r="D63" s="77" t="inlineStr">
        <is>
          <t>마지막 회의</t>
        </is>
      </c>
      <c r="E63" s="160" t="inlineStr">
        <is>
          <t>완료</t>
        </is>
      </c>
      <c r="F63" s="77" t="inlineStr">
        <is>
          <t>5부11화_Lultima_riunione.docx</t>
        </is>
      </c>
      <c r="G63" s="77" t="n">
        <v>120</v>
      </c>
    </row>
    <row r="64">
      <c r="A64" s="77" t="n">
        <v>5</v>
      </c>
      <c r="B64" s="77" t="n">
        <v>12</v>
      </c>
      <c r="C64" s="77" t="inlineStr">
        <is>
          <t>Venerdì: un martedì al Quarticciolo</t>
        </is>
      </c>
      <c r="D64" s="77" t="inlineStr">
        <is>
          <t>금요일: 콰르티촐로의 화요일</t>
        </is>
      </c>
      <c r="E64" s="160" t="inlineStr">
        <is>
          <t>완료</t>
        </is>
      </c>
      <c r="F64" s="77" t="inlineStr">
        <is>
          <t>5부12화_Venerdì_un_martedì_al_Quarticciolo.docx</t>
        </is>
      </c>
      <c r="G64" s="77" t="n">
        <v>120</v>
      </c>
    </row>
    <row r="65">
      <c r="A65" s="77" t="n">
        <v>6</v>
      </c>
      <c r="B65" s="77" t="n">
        <v>1</v>
      </c>
      <c r="C65" s="77" t="inlineStr">
        <is>
          <t>Un martedì al Quarticciolo</t>
        </is>
      </c>
      <c r="D65" s="77" t="inlineStr">
        <is>
          <t>콰르티촐로의 화요일</t>
        </is>
      </c>
      <c r="E65" s="160" t="inlineStr">
        <is>
          <t>완료</t>
        </is>
      </c>
      <c r="F65" s="77" t="inlineStr">
        <is>
          <t>6부1화_Un_martedì_al_Quarticciolo.docx</t>
        </is>
      </c>
      <c r="G65" s="77" t="n">
        <v>120</v>
      </c>
    </row>
    <row r="66">
      <c r="A66" s="77" t="n">
        <v>6</v>
      </c>
      <c r="B66" s="77" t="n">
        <v>2</v>
      </c>
      <c r="C66" s="77" t="inlineStr">
        <is>
          <t>Quattro sconosciuti</t>
        </is>
      </c>
      <c r="D66" s="77" t="inlineStr">
        <is>
          <t>네 명의 낯선 사람</t>
        </is>
      </c>
      <c r="E66" s="160" t="inlineStr">
        <is>
          <t>완료</t>
        </is>
      </c>
      <c r="F66" s="77" t="inlineStr">
        <is>
          <t>6부2화_Quattro_sconosciuti.docx</t>
        </is>
      </c>
      <c r="G66" s="77" t="n">
        <v>120</v>
      </c>
    </row>
    <row r="67">
      <c r="A67" s="77" t="n">
        <v>6</v>
      </c>
      <c r="B67" s="77" t="n">
        <v>3</v>
      </c>
      <c r="C67" s="77" t="inlineStr">
        <is>
          <t>Il lotto quattordici</t>
        </is>
      </c>
      <c r="D67" s="77" t="inlineStr">
        <is>
          <t>14번 동</t>
        </is>
      </c>
      <c r="E67" s="160" t="inlineStr">
        <is>
          <t>완료</t>
        </is>
      </c>
      <c r="F67" s="77" t="inlineStr">
        <is>
          <t>6부3화_Il_lotto_quattordici.docx</t>
        </is>
      </c>
      <c r="G67" s="77" t="n">
        <v>120</v>
      </c>
    </row>
    <row r="68">
      <c r="A68" s="77" t="n">
        <v>6</v>
      </c>
      <c r="B68" s="77" t="n">
        <v>4</v>
      </c>
      <c r="C68" s="77" t="inlineStr">
        <is>
          <t>La notte delle scale</t>
        </is>
      </c>
      <c r="D68" s="77" t="inlineStr">
        <is>
          <t>계단의 밤</t>
        </is>
      </c>
      <c r="E68" s="160" t="inlineStr">
        <is>
          <t>완료</t>
        </is>
      </c>
      <c r="F68" s="77" t="inlineStr">
        <is>
          <t>6부4화_La_notte_delle_scale.docx</t>
        </is>
      </c>
      <c r="G68" s="77" t="n">
        <v>120</v>
      </c>
    </row>
    <row r="69">
      <c r="A69" s="77" t="n">
        <v>6</v>
      </c>
      <c r="B69" s="77" t="n">
        <v>5</v>
      </c>
      <c r="C69" s="77" t="inlineStr">
        <is>
          <t>Le carte di Alessandro</t>
        </is>
      </c>
      <c r="D69" s="77" t="inlineStr">
        <is>
          <t>Alessandro의 서류</t>
        </is>
      </c>
      <c r="E69" s="160" t="inlineStr">
        <is>
          <t>완료</t>
        </is>
      </c>
      <c r="F69" s="77" t="inlineStr">
        <is>
          <t>6부5화_Le_carte_di_Alessandro.docx</t>
        </is>
      </c>
      <c r="G69" s="77" t="n">
        <v>120</v>
      </c>
    </row>
    <row r="70">
      <c r="A70" s="77" t="n">
        <v>6</v>
      </c>
      <c r="B70" s="77" t="n">
        <v>6</v>
      </c>
      <c r="C70" s="77" t="inlineStr">
        <is>
          <t>Uno stesso nome</t>
        </is>
      </c>
      <c r="D70" s="77" t="inlineStr">
        <is>
          <t>같은 이름</t>
        </is>
      </c>
      <c r="E70" s="160" t="inlineStr">
        <is>
          <t>완료</t>
        </is>
      </c>
      <c r="F70" s="77" t="inlineStr">
        <is>
          <t>6부6화_Uno_stesso_nome.docx</t>
        </is>
      </c>
      <c r="G70" s="77" t="n">
        <v>120</v>
      </c>
    </row>
    <row r="71">
      <c r="A71" s="77" t="n">
        <v>6</v>
      </c>
      <c r="B71" s="77" t="n">
        <v>7</v>
      </c>
      <c r="C71" s="77" t="inlineStr">
        <is>
          <t>Rimproveri</t>
        </is>
      </c>
      <c r="D71" s="77" t="inlineStr">
        <is>
          <t>서로에 대한 비난</t>
        </is>
      </c>
      <c r="E71" s="160" t="inlineStr">
        <is>
          <t>완료</t>
        </is>
      </c>
      <c r="F71" s="77" t="inlineStr">
        <is>
          <t>6부7화_Rimproveri.docx</t>
        </is>
      </c>
      <c r="G71" s="77" t="n">
        <v>120</v>
      </c>
    </row>
    <row r="72">
      <c r="A72" s="77" t="n">
        <v>6</v>
      </c>
      <c r="B72" s="77" t="n">
        <v>8</v>
      </c>
      <c r="C72" s="77" t="inlineStr">
        <is>
          <t>Ora zero</t>
        </is>
      </c>
      <c r="D72" s="77" t="inlineStr">
        <is>
          <t>영시</t>
        </is>
      </c>
      <c r="E72" s="160" t="inlineStr">
        <is>
          <t>완료</t>
        </is>
      </c>
      <c r="F72" s="77" t="inlineStr">
        <is>
          <t>6부8화_Ora_zero.docx</t>
        </is>
      </c>
      <c r="G72" s="77" t="n">
        <v>120</v>
      </c>
    </row>
    <row r="73">
      <c r="A73" s="77" t="n">
        <v>6</v>
      </c>
      <c r="B73" s="77" t="n">
        <v>9</v>
      </c>
      <c r="C73" s="77" t="inlineStr">
        <is>
          <t>La prima sospensione</t>
        </is>
      </c>
      <c r="D73" s="77" t="inlineStr">
        <is>
          <t>첫 정지</t>
        </is>
      </c>
      <c r="E73" s="160" t="inlineStr">
        <is>
          <t>완료</t>
        </is>
      </c>
      <c r="F73" s="77" t="inlineStr">
        <is>
          <t>6부9화_La_prima_sospensione.docx</t>
        </is>
      </c>
      <c r="G73" s="77" t="n">
        <v>120</v>
      </c>
    </row>
    <row r="74">
      <c r="A74" s="77" t="n">
        <v>6</v>
      </c>
      <c r="B74" s="77" t="n">
        <v>10</v>
      </c>
      <c r="C74" s="77" t="inlineStr">
        <is>
          <t>Un locale a Testaccio</t>
        </is>
      </c>
      <c r="D74" s="77" t="inlineStr">
        <is>
          <t>테스타초의 가게</t>
        </is>
      </c>
      <c r="E74" s="160" t="inlineStr">
        <is>
          <t>완료</t>
        </is>
      </c>
      <c r="F74" s="77" t="inlineStr">
        <is>
          <t>6부10화_Un_locale_a_Testaccio.docx</t>
        </is>
      </c>
      <c r="G74" s="77" t="n">
        <v>120</v>
      </c>
    </row>
    <row r="75">
      <c r="A75" s="77" t="n">
        <v>6</v>
      </c>
      <c r="B75" s="77" t="n">
        <v>11</v>
      </c>
      <c r="C75" s="77" t="inlineStr">
        <is>
          <t>Le regole del tavolo</t>
        </is>
      </c>
      <c r="D75" s="77" t="inlineStr">
        <is>
          <t>식탁의 규칙</t>
        </is>
      </c>
      <c r="E75" s="160" t="inlineStr">
        <is>
          <t>완료</t>
        </is>
      </c>
      <c r="F75" s="77" t="inlineStr">
        <is>
          <t>6부11화_Le_regole_del_tavolo.docx</t>
        </is>
      </c>
      <c r="G75" s="77" t="n">
        <v>120</v>
      </c>
    </row>
    <row r="76">
      <c r="A76" s="77" t="n">
        <v>6</v>
      </c>
      <c r="B76" s="77" t="n">
        <v>12</v>
      </c>
      <c r="C76" s="77" t="inlineStr">
        <is>
          <t>L'insegna</t>
        </is>
      </c>
      <c r="D76" s="77" t="inlineStr">
        <is>
          <t>간판</t>
        </is>
      </c>
      <c r="E76" s="160" t="inlineStr">
        <is>
          <t>완료</t>
        </is>
      </c>
      <c r="F76" s="77" t="inlineStr">
        <is>
          <t>6부12화_Linsegna.docx</t>
        </is>
      </c>
      <c r="G76" s="77" t="n">
        <v>120</v>
      </c>
    </row>
    <row r="77">
      <c r="A77" s="77" t="n">
        <v>7</v>
      </c>
      <c r="B77" s="77" t="n">
        <v>1</v>
      </c>
      <c r="C77" s="77" t="inlineStr">
        <is>
          <t>Un anno dopo</t>
        </is>
      </c>
      <c r="D77" s="77" t="inlineStr">
        <is>
          <t>1년 후</t>
        </is>
      </c>
      <c r="E77" s="160" t="inlineStr">
        <is>
          <t>완료</t>
        </is>
      </c>
      <c r="F77" s="77" t="inlineStr">
        <is>
          <t>7부1화_Un_anno_dopo.docx</t>
        </is>
      </c>
      <c r="G77" s="77" t="n">
        <v>123</v>
      </c>
    </row>
    <row r="78">
      <c r="A78" s="77" t="n">
        <v>7</v>
      </c>
      <c r="B78" s="77" t="n">
        <v>2</v>
      </c>
      <c r="C78" s="77" t="inlineStr">
        <is>
          <t>La fila sulle scale</t>
        </is>
      </c>
      <c r="D78" s="77" t="inlineStr">
        <is>
          <t>계단 위의 줄</t>
        </is>
      </c>
      <c r="E78" s="160" t="inlineStr">
        <is>
          <t>완료</t>
        </is>
      </c>
      <c r="F78" s="77" t="inlineStr">
        <is>
          <t>7부2화_La_fila_sulle_scale.docx</t>
        </is>
      </c>
      <c r="G78" s="77" t="n">
        <v>119</v>
      </c>
    </row>
    <row r="79">
      <c r="A79" s="77" t="n">
        <v>7</v>
      </c>
      <c r="B79" s="77" t="n">
        <v>3</v>
      </c>
      <c r="C79" s="77" t="inlineStr">
        <is>
          <t>Il tempo che ha punito la vittima</t>
        </is>
      </c>
      <c r="D79" s="77" t="inlineStr">
        <is>
          <t>피해자를 벌한 시간</t>
        </is>
      </c>
      <c r="E79" s="160" t="inlineStr">
        <is>
          <t>완료</t>
        </is>
      </c>
      <c r="F79" s="77" t="inlineStr">
        <is>
          <t>7부3화_Il_tempo_che_ha_punito_la_vittima.docx</t>
        </is>
      </c>
      <c r="G79" s="77" t="n">
        <v>118</v>
      </c>
    </row>
    <row r="80">
      <c r="A80" s="77" t="n">
        <v>7</v>
      </c>
      <c r="B80" s="77" t="n">
        <v>4</v>
      </c>
      <c r="C80" s="77" t="inlineStr">
        <is>
          <t>Senza documenti</t>
        </is>
      </c>
      <c r="D80" s="77" t="inlineStr">
        <is>
          <t>서류 없는 사람들</t>
        </is>
      </c>
      <c r="E80" s="160" t="inlineStr">
        <is>
          <t>완료</t>
        </is>
      </c>
      <c r="F80" s="77" t="inlineStr">
        <is>
          <t>7부4화_Senza_documenti.docx</t>
        </is>
      </c>
      <c r="G80" s="77" t="n">
        <v>117</v>
      </c>
    </row>
    <row r="81">
      <c r="A81" s="77" t="n">
        <v>7</v>
      </c>
      <c r="B81" s="77" t="n">
        <v>5</v>
      </c>
      <c r="C81" s="77" t="inlineStr">
        <is>
          <t>La segnalazione di Francesco</t>
        </is>
      </c>
      <c r="D81" s="77" t="inlineStr">
        <is>
          <t>Francesco의 제보</t>
        </is>
      </c>
      <c r="E81" s="160" t="inlineStr">
        <is>
          <t>완료</t>
        </is>
      </c>
      <c r="F81" s="77" t="inlineStr">
        <is>
          <t>7부5화_La_segnalazione_di_Francesco.docx</t>
        </is>
      </c>
      <c r="G81" s="77" t="n">
        <v>114</v>
      </c>
    </row>
    <row r="82">
      <c r="A82" s="77" t="n">
        <v>7</v>
      </c>
      <c r="B82" s="77" t="n">
        <v>6</v>
      </c>
      <c r="C82" s="77" t="inlineStr">
        <is>
          <t>Il fascicolo</t>
        </is>
      </c>
      <c r="D82" s="77" t="inlineStr">
        <is>
          <t>사건 파일</t>
        </is>
      </c>
      <c r="E82" s="160" t="inlineStr">
        <is>
          <t>완료</t>
        </is>
      </c>
      <c r="F82" s="77" t="inlineStr">
        <is>
          <t>7부6화_Il_fascicolo.docx</t>
        </is>
      </c>
      <c r="G82" s="77" t="n">
        <v>120</v>
      </c>
    </row>
    <row r="83">
      <c r="A83" s="77" t="n">
        <v>7</v>
      </c>
      <c r="B83" s="77" t="n">
        <v>7</v>
      </c>
      <c r="C83" s="77" t="inlineStr">
        <is>
          <t>Rappresaglie</t>
        </is>
      </c>
      <c r="D83" s="77" t="inlineStr">
        <is>
          <t>보복</t>
        </is>
      </c>
      <c r="E83" s="160" t="inlineStr">
        <is>
          <t>완료</t>
        </is>
      </c>
      <c r="F83" s="77" t="inlineStr">
        <is>
          <t>7부7화_Rappresaglie.docx</t>
        </is>
      </c>
      <c r="G83" s="77" t="n">
        <v>120</v>
      </c>
    </row>
    <row r="84">
      <c r="A84" s="77" t="n">
        <v>7</v>
      </c>
      <c r="B84" s="77" t="n">
        <v>8</v>
      </c>
      <c r="C84" s="77" t="inlineStr">
        <is>
          <t>Il microfono nella lampada</t>
        </is>
      </c>
      <c r="D84" s="77" t="inlineStr">
        <is>
          <t>전등 속 마이크</t>
        </is>
      </c>
      <c r="E84" s="160" t="inlineStr">
        <is>
          <t>완료</t>
        </is>
      </c>
      <c r="F84" s="77" t="inlineStr">
        <is>
          <t>7부8화_Il_microfono_nella_lampada.docx</t>
        </is>
      </c>
      <c r="G84" s="77" t="n">
        <v>120</v>
      </c>
    </row>
    <row r="85">
      <c r="A85" s="77" t="n">
        <v>7</v>
      </c>
      <c r="B85" s="77" t="n">
        <v>9</v>
      </c>
      <c r="C85" s="77" t="inlineStr">
        <is>
          <t>La guardia del quartiere</t>
        </is>
      </c>
      <c r="D85" s="77" t="inlineStr">
        <is>
          <t>동네의 보초</t>
        </is>
      </c>
      <c r="E85" s="160" t="inlineStr">
        <is>
          <t>완료</t>
        </is>
      </c>
      <c r="F85" s="77" t="inlineStr">
        <is>
          <t>7부9화_La_guardia_del_quartiere.docx</t>
        </is>
      </c>
      <c r="G85" s="77" t="n">
        <v>120</v>
      </c>
    </row>
    <row r="86">
      <c r="A86" s="77" t="n">
        <v>7</v>
      </c>
      <c r="B86" s="77" t="n">
        <v>10</v>
      </c>
      <c r="C86" s="77" t="inlineStr">
        <is>
          <t>Il decreto del GIP</t>
        </is>
      </c>
      <c r="D86" s="77" t="inlineStr">
        <is>
          <t>예비수사판사의 결정</t>
        </is>
      </c>
      <c r="E86" s="160" t="inlineStr">
        <is>
          <t>완료</t>
        </is>
      </c>
      <c r="F86" s="77" t="inlineStr">
        <is>
          <t>7부10화_Il_decreto_del_GIP.docx</t>
        </is>
      </c>
      <c r="G86" s="77" t="n">
        <v>120</v>
      </c>
    </row>
    <row r="87">
      <c r="A87" s="77" t="n">
        <v>7</v>
      </c>
      <c r="B87" s="77" t="n">
        <v>11</v>
      </c>
      <c r="C87" s="77" t="inlineStr">
        <is>
          <t>La legge che viene</t>
        </is>
      </c>
      <c r="D87" s="77" t="inlineStr">
        <is>
          <t>다가오는 법</t>
        </is>
      </c>
      <c r="E87" s="160" t="inlineStr">
        <is>
          <t>완료</t>
        </is>
      </c>
      <c r="F87" s="77" t="inlineStr">
        <is>
          <t>7부11화_La_legge_che_viene.docx</t>
        </is>
      </c>
      <c r="G87" s="77" t="n">
        <v>120</v>
      </c>
    </row>
    <row r="88">
      <c r="A88" s="77" t="n">
        <v>7</v>
      </c>
      <c r="B88" s="77" t="n">
        <v>12</v>
      </c>
      <c r="C88" s="77" t="inlineStr">
        <is>
          <t>Una sedia a San Giovanni</t>
        </is>
      </c>
      <c r="D88" s="77" t="inlineStr">
        <is>
          <t>산 조반니의 의자</t>
        </is>
      </c>
      <c r="E88" s="160" t="inlineStr">
        <is>
          <t>완료</t>
        </is>
      </c>
      <c r="F88" s="77" t="inlineStr">
        <is>
          <t>7부12화_Una_sedia_a_San_Giovanni.docx</t>
        </is>
      </c>
      <c r="G88" s="77" t="n">
        <v>120</v>
      </c>
    </row>
    <row r="89">
      <c r="A89" s="77" t="n">
        <v>8</v>
      </c>
      <c r="B89" s="77" t="n">
        <v>1</v>
      </c>
      <c r="C89" s="77" t="inlineStr">
        <is>
          <t>La piazza di San Giovanni</t>
        </is>
      </c>
      <c r="D89" s="77" t="inlineStr">
        <is>
          <t>산 조반니 광장의 집회</t>
        </is>
      </c>
      <c r="E89" s="160" t="inlineStr">
        <is>
          <t>완료</t>
        </is>
      </c>
      <c r="F89" s="77" t="inlineStr">
        <is>
          <t>8부1화_La_piazza_di_San_Giovanni.docx</t>
        </is>
      </c>
      <c r="G89" s="77" t="n">
        <v>120</v>
      </c>
    </row>
    <row r="90">
      <c r="A90" s="77" t="n">
        <v>8</v>
      </c>
      <c r="B90" s="77" t="n">
        <v>2</v>
      </c>
      <c r="C90" s="77" t="inlineStr">
        <is>
          <t>Dal caso alla legge</t>
        </is>
      </c>
      <c r="D90" s="77" t="inlineStr">
        <is>
          <t>사건에서 법으로</t>
        </is>
      </c>
      <c r="E90" s="160" t="inlineStr">
        <is>
          <t>완료</t>
        </is>
      </c>
      <c r="F90" s="77" t="inlineStr">
        <is>
          <t>8부2화_Dal_caso_alla_legge.docx</t>
        </is>
      </c>
      <c r="G90" s="77" t="n">
        <v>120</v>
      </c>
    </row>
    <row r="91">
      <c r="A91" s="77" t="n">
        <v>8</v>
      </c>
      <c r="B91" s="77" t="n">
        <v>3</v>
      </c>
      <c r="C91" s="77" t="inlineStr">
        <is>
          <t>Cinquecentomila firme</t>
        </is>
      </c>
      <c r="D91" s="77" t="inlineStr">
        <is>
          <t>50만 서명</t>
        </is>
      </c>
      <c r="E91" s="160" t="inlineStr">
        <is>
          <t>완료</t>
        </is>
      </c>
      <c r="F91" s="77" t="inlineStr">
        <is>
          <t>8부3화_Cinquecentomila_firme.docx</t>
        </is>
      </c>
      <c r="G91" s="77" t="n">
        <v>120</v>
      </c>
    </row>
    <row r="92">
      <c r="A92" s="77" t="n">
        <v>8</v>
      </c>
      <c r="B92" s="77" t="n">
        <v>4</v>
      </c>
      <c r="C92" s="77" t="inlineStr"/>
      <c r="D92" s="77" t="inlineStr"/>
      <c r="E92" s="161" t="inlineStr">
        <is>
          <t>미착수</t>
        </is>
      </c>
      <c r="F92" s="77" t="inlineStr"/>
    </row>
    <row r="93">
      <c r="A93" s="77" t="n">
        <v>8</v>
      </c>
      <c r="B93" s="77" t="n">
        <v>5</v>
      </c>
      <c r="C93" s="77" t="inlineStr"/>
      <c r="D93" s="77" t="inlineStr"/>
      <c r="E93" s="161" t="inlineStr">
        <is>
          <t>미착수</t>
        </is>
      </c>
      <c r="F93" s="77" t="inlineStr"/>
    </row>
    <row r="94">
      <c r="A94" s="77" t="n">
        <v>8</v>
      </c>
      <c r="B94" s="77" t="n">
        <v>6</v>
      </c>
      <c r="C94" s="77" t="inlineStr"/>
      <c r="D94" s="77" t="inlineStr"/>
      <c r="E94" s="161" t="inlineStr">
        <is>
          <t>미착수</t>
        </is>
      </c>
      <c r="F94" s="77" t="inlineStr"/>
    </row>
    <row r="95">
      <c r="A95" s="77" t="n">
        <v>8</v>
      </c>
      <c r="B95" s="77" t="n">
        <v>7</v>
      </c>
      <c r="C95" s="77" t="inlineStr"/>
      <c r="D95" s="77" t="inlineStr"/>
      <c r="E95" s="161" t="inlineStr">
        <is>
          <t>미착수</t>
        </is>
      </c>
      <c r="F95" s="77" t="inlineStr"/>
    </row>
    <row r="96">
      <c r="A96" s="77" t="n">
        <v>8</v>
      </c>
      <c r="B96" s="77" t="n">
        <v>8</v>
      </c>
      <c r="C96" s="77" t="inlineStr"/>
      <c r="D96" s="77" t="inlineStr"/>
      <c r="E96" s="161" t="inlineStr">
        <is>
          <t>미착수</t>
        </is>
      </c>
      <c r="F96" s="77" t="inlineStr"/>
    </row>
    <row r="97">
      <c r="A97" s="77" t="n">
        <v>8</v>
      </c>
      <c r="B97" s="77" t="n">
        <v>9</v>
      </c>
      <c r="C97" s="77" t="inlineStr"/>
      <c r="D97" s="77" t="inlineStr"/>
      <c r="E97" s="161" t="inlineStr">
        <is>
          <t>미착수</t>
        </is>
      </c>
      <c r="F97" s="77" t="inlineStr"/>
    </row>
    <row r="98">
      <c r="A98" s="77" t="n">
        <v>8</v>
      </c>
      <c r="B98" s="77" t="n">
        <v>10</v>
      </c>
      <c r="C98" s="77" t="inlineStr"/>
      <c r="D98" s="77" t="inlineStr"/>
      <c r="E98" s="161" t="inlineStr">
        <is>
          <t>미착수</t>
        </is>
      </c>
      <c r="F98" s="77" t="inlineStr"/>
    </row>
    <row r="99">
      <c r="A99" s="77" t="n">
        <v>8</v>
      </c>
      <c r="B99" s="77" t="n">
        <v>11</v>
      </c>
      <c r="C99" s="77" t="inlineStr"/>
      <c r="D99" s="77" t="inlineStr"/>
      <c r="E99" s="161" t="inlineStr">
        <is>
          <t>미착수</t>
        </is>
      </c>
      <c r="F99" s="77" t="inlineStr"/>
    </row>
    <row r="100">
      <c r="A100" s="77" t="n">
        <v>8</v>
      </c>
      <c r="B100" s="77" t="n">
        <v>12</v>
      </c>
      <c r="C100" s="77" t="inlineStr"/>
      <c r="D100" s="77" t="inlineStr"/>
      <c r="E100" s="161" t="inlineStr">
        <is>
          <t>미착수</t>
        </is>
      </c>
      <c r="F100" s="77" t="inlineStr"/>
    </row>
    <row r="101">
      <c r="A101" s="77" t="n">
        <v>9</v>
      </c>
      <c r="B101" s="77" t="n">
        <v>1</v>
      </c>
      <c r="C101" s="77" t="inlineStr"/>
      <c r="D101" s="77" t="inlineStr"/>
      <c r="E101" s="161" t="inlineStr">
        <is>
          <t>미착수</t>
        </is>
      </c>
      <c r="F101" s="77" t="inlineStr"/>
    </row>
    <row r="102">
      <c r="A102" s="77" t="n">
        <v>9</v>
      </c>
      <c r="B102" s="77" t="n">
        <v>2</v>
      </c>
      <c r="C102" s="77" t="inlineStr"/>
      <c r="D102" s="77" t="inlineStr"/>
      <c r="E102" s="161" t="inlineStr">
        <is>
          <t>미착수</t>
        </is>
      </c>
      <c r="F102" s="77" t="inlineStr"/>
    </row>
    <row r="103">
      <c r="A103" s="77" t="n">
        <v>9</v>
      </c>
      <c r="B103" s="77" t="n">
        <v>3</v>
      </c>
      <c r="C103" s="77" t="inlineStr"/>
      <c r="D103" s="77" t="inlineStr"/>
      <c r="E103" s="161" t="inlineStr">
        <is>
          <t>미착수</t>
        </is>
      </c>
      <c r="F103" s="77" t="inlineStr"/>
    </row>
    <row r="104">
      <c r="A104" s="77" t="n">
        <v>9</v>
      </c>
      <c r="B104" s="77" t="n">
        <v>4</v>
      </c>
      <c r="C104" s="77" t="inlineStr"/>
      <c r="D104" s="77" t="inlineStr"/>
      <c r="E104" s="161" t="inlineStr">
        <is>
          <t>미착수</t>
        </is>
      </c>
      <c r="F104" s="77" t="inlineStr"/>
    </row>
    <row r="105">
      <c r="A105" s="77" t="n">
        <v>9</v>
      </c>
      <c r="B105" s="77" t="n">
        <v>5</v>
      </c>
      <c r="C105" s="77" t="inlineStr"/>
      <c r="D105" s="77" t="inlineStr"/>
      <c r="E105" s="161" t="inlineStr">
        <is>
          <t>미착수</t>
        </is>
      </c>
      <c r="F105" s="77" t="inlineStr"/>
    </row>
    <row r="106">
      <c r="A106" s="77" t="n">
        <v>9</v>
      </c>
      <c r="B106" s="77" t="n">
        <v>6</v>
      </c>
      <c r="C106" s="77" t="inlineStr"/>
      <c r="D106" s="77" t="inlineStr"/>
      <c r="E106" s="161" t="inlineStr">
        <is>
          <t>미착수</t>
        </is>
      </c>
      <c r="F106" s="77" t="inlineStr"/>
    </row>
    <row r="107">
      <c r="A107" s="77" t="n">
        <v>9</v>
      </c>
      <c r="B107" s="77" t="n">
        <v>7</v>
      </c>
      <c r="C107" s="77" t="inlineStr"/>
      <c r="D107" s="77" t="inlineStr"/>
      <c r="E107" s="161" t="inlineStr">
        <is>
          <t>미착수</t>
        </is>
      </c>
      <c r="F107" s="77" t="inlineStr"/>
    </row>
    <row r="108">
      <c r="A108" s="77" t="n">
        <v>9</v>
      </c>
      <c r="B108" s="77" t="n">
        <v>8</v>
      </c>
      <c r="C108" s="77" t="inlineStr"/>
      <c r="D108" s="77" t="inlineStr"/>
      <c r="E108" s="161" t="inlineStr">
        <is>
          <t>미착수</t>
        </is>
      </c>
      <c r="F108" s="77" t="inlineStr"/>
    </row>
    <row r="109">
      <c r="A109" s="77" t="n">
        <v>9</v>
      </c>
      <c r="B109" s="77" t="n">
        <v>9</v>
      </c>
      <c r="C109" s="77" t="inlineStr"/>
      <c r="D109" s="77" t="inlineStr"/>
      <c r="E109" s="161" t="inlineStr">
        <is>
          <t>미착수</t>
        </is>
      </c>
      <c r="F109" s="77" t="inlineStr"/>
    </row>
    <row r="110">
      <c r="A110" s="77" t="n">
        <v>9</v>
      </c>
      <c r="B110" s="77" t="n">
        <v>10</v>
      </c>
      <c r="C110" s="77" t="inlineStr"/>
      <c r="D110" s="77" t="inlineStr"/>
      <c r="E110" s="161" t="inlineStr">
        <is>
          <t>미착수</t>
        </is>
      </c>
      <c r="F110" s="77" t="inlineStr"/>
    </row>
    <row r="111">
      <c r="A111" s="77" t="n">
        <v>9</v>
      </c>
      <c r="B111" s="77" t="n">
        <v>11</v>
      </c>
      <c r="C111" s="77" t="inlineStr"/>
      <c r="D111" s="77" t="inlineStr"/>
      <c r="E111" s="161" t="inlineStr">
        <is>
          <t>미착수</t>
        </is>
      </c>
      <c r="F111" s="77" t="inlineStr"/>
    </row>
    <row r="112">
      <c r="A112" s="77" t="n">
        <v>9</v>
      </c>
      <c r="B112" s="77" t="n">
        <v>12</v>
      </c>
      <c r="C112" s="77" t="inlineStr"/>
      <c r="D112" s="77" t="inlineStr"/>
      <c r="E112" s="161" t="inlineStr">
        <is>
          <t>미착수</t>
        </is>
      </c>
      <c r="F112" s="77" t="inlineStr"/>
    </row>
    <row r="113">
      <c r="A113" s="77" t="n">
        <v>10</v>
      </c>
      <c r="B113" s="77" t="n">
        <v>1</v>
      </c>
      <c r="C113" s="77" t="inlineStr"/>
      <c r="D113" s="77" t="inlineStr"/>
      <c r="E113" s="161" t="inlineStr">
        <is>
          <t>미착수</t>
        </is>
      </c>
      <c r="F113" s="77" t="inlineStr"/>
    </row>
    <row r="114">
      <c r="A114" s="77" t="n">
        <v>10</v>
      </c>
      <c r="B114" s="77" t="n">
        <v>2</v>
      </c>
      <c r="C114" s="77" t="inlineStr"/>
      <c r="D114" s="77" t="inlineStr"/>
      <c r="E114" s="161" t="inlineStr">
        <is>
          <t>미착수</t>
        </is>
      </c>
      <c r="F114" s="77" t="inlineStr"/>
    </row>
    <row r="115">
      <c r="A115" s="77" t="n">
        <v>10</v>
      </c>
      <c r="B115" s="77" t="n">
        <v>3</v>
      </c>
      <c r="C115" s="77" t="inlineStr"/>
      <c r="D115" s="77" t="inlineStr"/>
      <c r="E115" s="161" t="inlineStr">
        <is>
          <t>미착수</t>
        </is>
      </c>
      <c r="F115" s="77" t="inlineStr"/>
    </row>
    <row r="116">
      <c r="A116" s="77" t="n">
        <v>10</v>
      </c>
      <c r="B116" s="77" t="n">
        <v>4</v>
      </c>
      <c r="C116" s="77" t="inlineStr"/>
      <c r="D116" s="77" t="inlineStr"/>
      <c r="E116" s="161" t="inlineStr">
        <is>
          <t>미착수</t>
        </is>
      </c>
      <c r="F116" s="77" t="inlineStr"/>
    </row>
    <row r="117">
      <c r="A117" s="77" t="n">
        <v>10</v>
      </c>
      <c r="B117" s="77" t="n">
        <v>5</v>
      </c>
      <c r="C117" s="77" t="inlineStr"/>
      <c r="D117" s="77" t="inlineStr"/>
      <c r="E117" s="161" t="inlineStr">
        <is>
          <t>미착수</t>
        </is>
      </c>
      <c r="F117" s="77" t="inlineStr"/>
    </row>
    <row r="118">
      <c r="A118" s="77" t="n">
        <v>10</v>
      </c>
      <c r="B118" s="77" t="n">
        <v>6</v>
      </c>
      <c r="C118" s="77" t="inlineStr"/>
      <c r="D118" s="77" t="inlineStr"/>
      <c r="E118" s="161" t="inlineStr">
        <is>
          <t>미착수</t>
        </is>
      </c>
      <c r="F118" s="77" t="inlineStr"/>
    </row>
    <row r="119">
      <c r="A119" s="77" t="n">
        <v>10</v>
      </c>
      <c r="B119" s="77" t="n">
        <v>7</v>
      </c>
      <c r="C119" s="77" t="inlineStr"/>
      <c r="D119" s="77" t="inlineStr"/>
      <c r="E119" s="161" t="inlineStr">
        <is>
          <t>미착수</t>
        </is>
      </c>
      <c r="F119" s="77" t="inlineStr"/>
    </row>
    <row r="120">
      <c r="A120" s="77" t="n">
        <v>10</v>
      </c>
      <c r="B120" s="77" t="n">
        <v>8</v>
      </c>
      <c r="C120" s="77" t="inlineStr"/>
      <c r="D120" s="77" t="inlineStr"/>
      <c r="E120" s="161" t="inlineStr">
        <is>
          <t>미착수</t>
        </is>
      </c>
      <c r="F120" s="77" t="inlineStr"/>
    </row>
    <row r="121">
      <c r="A121" s="77" t="n">
        <v>10</v>
      </c>
      <c r="B121" s="77" t="n">
        <v>9</v>
      </c>
      <c r="C121" s="77" t="inlineStr"/>
      <c r="D121" s="77" t="inlineStr"/>
      <c r="E121" s="161" t="inlineStr">
        <is>
          <t>미착수</t>
        </is>
      </c>
      <c r="F121" s="77" t="inlineStr"/>
    </row>
    <row r="122">
      <c r="A122" s="77" t="n">
        <v>10</v>
      </c>
      <c r="B122" s="77" t="n">
        <v>10</v>
      </c>
      <c r="C122" s="77" t="inlineStr"/>
      <c r="D122" s="77" t="inlineStr"/>
      <c r="E122" s="161" t="inlineStr">
        <is>
          <t>미착수</t>
        </is>
      </c>
      <c r="F122" s="77" t="inlineStr"/>
    </row>
    <row r="123">
      <c r="A123" s="77" t="n">
        <v>10</v>
      </c>
      <c r="B123" s="77" t="n">
        <v>11</v>
      </c>
      <c r="C123" s="77" t="inlineStr"/>
      <c r="D123" s="77" t="inlineStr"/>
      <c r="E123" s="161" t="inlineStr">
        <is>
          <t>미착수</t>
        </is>
      </c>
      <c r="F123" s="77" t="inlineStr"/>
    </row>
    <row r="124">
      <c r="A124" s="77" t="n">
        <v>10</v>
      </c>
      <c r="B124" s="77" t="n">
        <v>12</v>
      </c>
      <c r="C124" s="77" t="inlineStr"/>
      <c r="D124" s="77" t="inlineStr"/>
      <c r="E124" s="161" t="inlineStr">
        <is>
          <t>미착수</t>
        </is>
      </c>
      <c r="F124" s="77" t="inlineStr"/>
    </row>
    <row r="125">
      <c r="A125" s="77" t="n">
        <v>11</v>
      </c>
      <c r="B125" s="77" t="n">
        <v>1</v>
      </c>
      <c r="C125" s="77" t="inlineStr"/>
      <c r="D125" s="77" t="inlineStr"/>
      <c r="E125" s="161" t="inlineStr">
        <is>
          <t>미착수</t>
        </is>
      </c>
      <c r="F125" s="77" t="inlineStr"/>
    </row>
    <row r="126">
      <c r="A126" s="77" t="n">
        <v>11</v>
      </c>
      <c r="B126" s="77" t="n">
        <v>2</v>
      </c>
      <c r="C126" s="77" t="inlineStr"/>
      <c r="D126" s="77" t="inlineStr"/>
      <c r="E126" s="161" t="inlineStr">
        <is>
          <t>미착수</t>
        </is>
      </c>
      <c r="F126" s="77" t="inlineStr"/>
    </row>
    <row r="127">
      <c r="A127" s="77" t="n">
        <v>11</v>
      </c>
      <c r="B127" s="77" t="n">
        <v>3</v>
      </c>
      <c r="C127" s="77" t="inlineStr"/>
      <c r="D127" s="77" t="inlineStr"/>
      <c r="E127" s="161" t="inlineStr">
        <is>
          <t>미착수</t>
        </is>
      </c>
      <c r="F127" s="77" t="inlineStr"/>
    </row>
    <row r="128">
      <c r="A128" s="77" t="n">
        <v>11</v>
      </c>
      <c r="B128" s="77" t="n">
        <v>4</v>
      </c>
      <c r="C128" s="77" t="inlineStr"/>
      <c r="D128" s="77" t="inlineStr"/>
      <c r="E128" s="161" t="inlineStr">
        <is>
          <t>미착수</t>
        </is>
      </c>
      <c r="F128" s="77" t="inlineStr"/>
    </row>
    <row r="129">
      <c r="A129" s="77" t="n">
        <v>11</v>
      </c>
      <c r="B129" s="77" t="n">
        <v>5</v>
      </c>
      <c r="C129" s="77" t="inlineStr"/>
      <c r="D129" s="77" t="inlineStr"/>
      <c r="E129" s="161" t="inlineStr">
        <is>
          <t>미착수</t>
        </is>
      </c>
      <c r="F129" s="77" t="inlineStr"/>
    </row>
    <row r="130">
      <c r="A130" s="77" t="n">
        <v>11</v>
      </c>
      <c r="B130" s="77" t="n">
        <v>6</v>
      </c>
      <c r="C130" s="77" t="inlineStr"/>
      <c r="D130" s="77" t="inlineStr"/>
      <c r="E130" s="161" t="inlineStr">
        <is>
          <t>미착수</t>
        </is>
      </c>
      <c r="F130" s="77" t="inlineStr"/>
    </row>
    <row r="131">
      <c r="A131" s="77" t="n">
        <v>11</v>
      </c>
      <c r="B131" s="77" t="n">
        <v>7</v>
      </c>
      <c r="C131" s="77" t="inlineStr"/>
      <c r="D131" s="77" t="inlineStr"/>
      <c r="E131" s="161" t="inlineStr">
        <is>
          <t>미착수</t>
        </is>
      </c>
      <c r="F131" s="77" t="inlineStr"/>
    </row>
    <row r="132">
      <c r="A132" s="77" t="n">
        <v>11</v>
      </c>
      <c r="B132" s="77" t="n">
        <v>8</v>
      </c>
      <c r="C132" s="77" t="inlineStr"/>
      <c r="D132" s="77" t="inlineStr"/>
      <c r="E132" s="161" t="inlineStr">
        <is>
          <t>미착수</t>
        </is>
      </c>
      <c r="F132" s="77" t="inlineStr"/>
    </row>
    <row r="133">
      <c r="A133" s="77" t="n">
        <v>11</v>
      </c>
      <c r="B133" s="77" t="n">
        <v>9</v>
      </c>
      <c r="C133" s="77" t="inlineStr"/>
      <c r="D133" s="77" t="inlineStr"/>
      <c r="E133" s="161" t="inlineStr">
        <is>
          <t>미착수</t>
        </is>
      </c>
      <c r="F133" s="77" t="inlineStr"/>
    </row>
    <row r="134">
      <c r="A134" s="77" t="n">
        <v>11</v>
      </c>
      <c r="B134" s="77" t="n">
        <v>10</v>
      </c>
      <c r="C134" s="77" t="inlineStr"/>
      <c r="D134" s="77" t="inlineStr"/>
      <c r="E134" s="161" t="inlineStr">
        <is>
          <t>미착수</t>
        </is>
      </c>
      <c r="F134" s="77" t="inlineStr"/>
    </row>
    <row r="135">
      <c r="A135" s="77" t="n">
        <v>11</v>
      </c>
      <c r="B135" s="77" t="n">
        <v>11</v>
      </c>
      <c r="C135" s="77" t="inlineStr"/>
      <c r="D135" s="77" t="inlineStr"/>
      <c r="E135" s="161" t="inlineStr">
        <is>
          <t>미착수</t>
        </is>
      </c>
      <c r="F135" s="77" t="inlineStr"/>
    </row>
    <row r="136">
      <c r="A136" s="77" t="n">
        <v>11</v>
      </c>
      <c r="B136" s="77" t="n">
        <v>12</v>
      </c>
      <c r="C136" s="77" t="inlineStr"/>
      <c r="D136" s="77" t="inlineStr"/>
      <c r="E136" s="161" t="inlineStr">
        <is>
          <t>미착수</t>
        </is>
      </c>
      <c r="F136" s="77" t="inlineStr"/>
    </row>
    <row r="137">
      <c r="A137" s="77" t="n">
        <v>12</v>
      </c>
      <c r="B137" s="77" t="n">
        <v>1</v>
      </c>
      <c r="C137" s="77" t="inlineStr"/>
      <c r="D137" s="77" t="inlineStr"/>
      <c r="E137" s="161" t="inlineStr">
        <is>
          <t>미착수</t>
        </is>
      </c>
      <c r="F137" s="77" t="inlineStr"/>
    </row>
    <row r="138">
      <c r="A138" s="77" t="n">
        <v>12</v>
      </c>
      <c r="B138" s="77" t="n">
        <v>2</v>
      </c>
      <c r="C138" s="77" t="inlineStr"/>
      <c r="D138" s="77" t="inlineStr"/>
      <c r="E138" s="161" t="inlineStr">
        <is>
          <t>미착수</t>
        </is>
      </c>
      <c r="F138" s="77" t="inlineStr"/>
    </row>
    <row r="139">
      <c r="A139" s="77" t="n">
        <v>12</v>
      </c>
      <c r="B139" s="77" t="n">
        <v>3</v>
      </c>
      <c r="C139" s="77" t="inlineStr"/>
      <c r="D139" s="77" t="inlineStr"/>
      <c r="E139" s="161" t="inlineStr">
        <is>
          <t>미착수</t>
        </is>
      </c>
      <c r="F139" s="77" t="inlineStr"/>
    </row>
    <row r="140">
      <c r="A140" s="77" t="n">
        <v>12</v>
      </c>
      <c r="B140" s="77" t="n">
        <v>4</v>
      </c>
      <c r="C140" s="77" t="inlineStr"/>
      <c r="D140" s="77" t="inlineStr"/>
      <c r="E140" s="161" t="inlineStr">
        <is>
          <t>미착수</t>
        </is>
      </c>
      <c r="F140" s="77" t="inlineStr"/>
    </row>
    <row r="141">
      <c r="A141" s="77" t="n">
        <v>12</v>
      </c>
      <c r="B141" s="77" t="n">
        <v>5</v>
      </c>
      <c r="C141" s="77" t="inlineStr"/>
      <c r="D141" s="77" t="inlineStr"/>
      <c r="E141" s="161" t="inlineStr">
        <is>
          <t>미착수</t>
        </is>
      </c>
      <c r="F141" s="77" t="inlineStr"/>
    </row>
    <row r="142">
      <c r="A142" s="77" t="n">
        <v>12</v>
      </c>
      <c r="B142" s="77" t="n">
        <v>6</v>
      </c>
      <c r="C142" s="77" t="inlineStr"/>
      <c r="D142" s="77" t="inlineStr"/>
      <c r="E142" s="161" t="inlineStr">
        <is>
          <t>미착수</t>
        </is>
      </c>
      <c r="F142" s="77" t="inlineStr"/>
    </row>
    <row r="143">
      <c r="A143" s="77" t="n">
        <v>12</v>
      </c>
      <c r="B143" s="77" t="n">
        <v>7</v>
      </c>
      <c r="C143" s="77" t="inlineStr"/>
      <c r="D143" s="77" t="inlineStr"/>
      <c r="E143" s="161" t="inlineStr">
        <is>
          <t>미착수</t>
        </is>
      </c>
      <c r="F143" s="77" t="inlineStr"/>
    </row>
    <row r="144">
      <c r="A144" s="77" t="n">
        <v>12</v>
      </c>
      <c r="B144" s="77" t="n">
        <v>8</v>
      </c>
      <c r="C144" s="77" t="inlineStr"/>
      <c r="D144" s="77" t="inlineStr"/>
      <c r="E144" s="161" t="inlineStr">
        <is>
          <t>미착수</t>
        </is>
      </c>
      <c r="F144" s="77" t="inlineStr"/>
    </row>
    <row r="145">
      <c r="A145" s="77" t="n">
        <v>12</v>
      </c>
      <c r="B145" s="77" t="n">
        <v>9</v>
      </c>
      <c r="C145" s="77" t="inlineStr"/>
      <c r="D145" s="77" t="inlineStr"/>
      <c r="E145" s="161" t="inlineStr">
        <is>
          <t>미착수</t>
        </is>
      </c>
      <c r="F145" s="77" t="inlineStr"/>
    </row>
    <row r="146">
      <c r="A146" s="77" t="n">
        <v>12</v>
      </c>
      <c r="B146" s="77" t="n">
        <v>10</v>
      </c>
      <c r="C146" s="77" t="inlineStr"/>
      <c r="D146" s="77" t="inlineStr"/>
      <c r="E146" s="161" t="inlineStr">
        <is>
          <t>미착수</t>
        </is>
      </c>
      <c r="F146" s="77" t="inlineStr"/>
    </row>
    <row r="147">
      <c r="A147" s="77" t="n">
        <v>12</v>
      </c>
      <c r="B147" s="77" t="n">
        <v>11</v>
      </c>
      <c r="C147" s="77" t="inlineStr"/>
      <c r="D147" s="77" t="inlineStr"/>
      <c r="E147" s="161" t="inlineStr">
        <is>
          <t>미착수</t>
        </is>
      </c>
      <c r="F147" s="77" t="inlineStr"/>
    </row>
    <row r="148">
      <c r="A148" s="77" t="n">
        <v>12</v>
      </c>
      <c r="B148" s="77" t="n">
        <v>12</v>
      </c>
      <c r="C148" s="77" t="inlineStr"/>
      <c r="D148" s="77" t="inlineStr"/>
      <c r="E148" s="161" t="inlineStr">
        <is>
          <t>미착수</t>
        </is>
      </c>
      <c r="F148" s="77" t="inlineStr"/>
    </row>
    <row r="149">
      <c r="A149" s="77" t="n">
        <v>13</v>
      </c>
      <c r="B149" s="77" t="n">
        <v>1</v>
      </c>
      <c r="C149" s="77" t="inlineStr"/>
      <c r="D149" s="77" t="inlineStr"/>
      <c r="E149" s="161" t="inlineStr">
        <is>
          <t>미착수</t>
        </is>
      </c>
      <c r="F149" s="77" t="inlineStr"/>
    </row>
    <row r="150">
      <c r="A150" s="77" t="n">
        <v>13</v>
      </c>
      <c r="B150" s="77" t="n">
        <v>2</v>
      </c>
      <c r="C150" s="77" t="inlineStr"/>
      <c r="D150" s="77" t="inlineStr"/>
      <c r="E150" s="161" t="inlineStr">
        <is>
          <t>미착수</t>
        </is>
      </c>
      <c r="F150" s="77" t="inlineStr"/>
    </row>
    <row r="151">
      <c r="A151" s="77" t="n">
        <v>13</v>
      </c>
      <c r="B151" s="77" t="n">
        <v>3</v>
      </c>
      <c r="C151" s="77" t="inlineStr"/>
      <c r="D151" s="77" t="inlineStr"/>
      <c r="E151" s="161" t="inlineStr">
        <is>
          <t>미착수</t>
        </is>
      </c>
      <c r="F151" s="77" t="inlineStr"/>
    </row>
    <row r="152">
      <c r="A152" s="77" t="n">
        <v>13</v>
      </c>
      <c r="B152" s="77" t="n">
        <v>4</v>
      </c>
      <c r="C152" s="77" t="inlineStr"/>
      <c r="D152" s="77" t="inlineStr"/>
      <c r="E152" s="161" t="inlineStr">
        <is>
          <t>미착수</t>
        </is>
      </c>
      <c r="F152" s="77" t="inlineStr"/>
    </row>
    <row r="153">
      <c r="A153" s="77" t="n">
        <v>13</v>
      </c>
      <c r="B153" s="77" t="n">
        <v>5</v>
      </c>
      <c r="C153" s="77" t="inlineStr"/>
      <c r="D153" s="77" t="inlineStr"/>
      <c r="E153" s="161" t="inlineStr">
        <is>
          <t>미착수</t>
        </is>
      </c>
      <c r="F153" s="77" t="inlineStr"/>
    </row>
    <row r="154">
      <c r="A154" s="77" t="n">
        <v>13</v>
      </c>
      <c r="B154" s="77" t="n">
        <v>6</v>
      </c>
      <c r="C154" s="77" t="inlineStr"/>
      <c r="D154" s="77" t="inlineStr"/>
      <c r="E154" s="161" t="inlineStr">
        <is>
          <t>미착수</t>
        </is>
      </c>
      <c r="F154" s="77" t="inlineStr"/>
    </row>
    <row r="155">
      <c r="A155" s="77" t="n">
        <v>13</v>
      </c>
      <c r="B155" s="77" t="n">
        <v>7</v>
      </c>
      <c r="C155" s="77" t="inlineStr"/>
      <c r="D155" s="77" t="inlineStr"/>
      <c r="E155" s="161" t="inlineStr">
        <is>
          <t>미착수</t>
        </is>
      </c>
      <c r="F155" s="77" t="inlineStr"/>
    </row>
    <row r="156">
      <c r="A156" s="77" t="n">
        <v>13</v>
      </c>
      <c r="B156" s="77" t="n">
        <v>8</v>
      </c>
      <c r="C156" s="77" t="inlineStr"/>
      <c r="D156" s="77" t="inlineStr"/>
      <c r="E156" s="161" t="inlineStr">
        <is>
          <t>미착수</t>
        </is>
      </c>
      <c r="F156" s="77" t="inlineStr"/>
    </row>
    <row r="157">
      <c r="A157" s="77" t="n">
        <v>13</v>
      </c>
      <c r="B157" s="77" t="n">
        <v>9</v>
      </c>
      <c r="C157" s="77" t="inlineStr"/>
      <c r="D157" s="77" t="inlineStr"/>
      <c r="E157" s="161" t="inlineStr">
        <is>
          <t>미착수</t>
        </is>
      </c>
      <c r="F157" s="77" t="inlineStr"/>
    </row>
    <row r="158">
      <c r="A158" s="77" t="n">
        <v>13</v>
      </c>
      <c r="B158" s="77" t="n">
        <v>10</v>
      </c>
      <c r="C158" s="77" t="inlineStr"/>
      <c r="D158" s="77" t="inlineStr"/>
      <c r="E158" s="161" t="inlineStr">
        <is>
          <t>미착수</t>
        </is>
      </c>
      <c r="F158" s="77" t="inlineStr"/>
    </row>
    <row r="159">
      <c r="A159" s="77" t="n">
        <v>13</v>
      </c>
      <c r="B159" s="77" t="n">
        <v>11</v>
      </c>
      <c r="C159" s="77" t="inlineStr"/>
      <c r="D159" s="77" t="inlineStr"/>
      <c r="E159" s="161" t="inlineStr">
        <is>
          <t>미착수</t>
        </is>
      </c>
      <c r="F159" s="77" t="inlineStr"/>
    </row>
    <row r="160">
      <c r="A160" s="77" t="n">
        <v>13</v>
      </c>
      <c r="B160" s="77" t="n">
        <v>12</v>
      </c>
      <c r="C160" s="77" t="inlineStr"/>
      <c r="D160" s="77" t="inlineStr"/>
      <c r="E160" s="161" t="inlineStr">
        <is>
          <t>미착수</t>
        </is>
      </c>
      <c r="F160" s="77" t="inlineStr"/>
    </row>
    <row r="162">
      <c r="A162" s="154" t="inlineStr">
        <is>
          <t>진행률</t>
        </is>
      </c>
      <c r="B162" s="77" t="inlineStr">
        <is>
          <t>87 / 156화 완료 (55.8%)</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3"/>
  <sheetViews>
    <sheetView workbookViewId="0">
      <pane ySplit="4" topLeftCell="A5" activePane="bottomLeft" state="frozen"/>
      <selection pane="bottomLeft" activeCell="A1" sqref="A1"/>
    </sheetView>
  </sheetViews>
  <sheetFormatPr baseColWidth="8" defaultRowHeight="15"/>
  <cols>
    <col width="14" customWidth="1" style="78" min="1" max="1"/>
    <col width="30" customWidth="1" style="78" min="2" max="2"/>
    <col width="70" customWidth="1" style="78" min="3" max="3"/>
    <col width="46" customWidth="1" style="78" min="4" max="4"/>
  </cols>
  <sheetData>
    <row r="1">
      <c r="A1" s="159" t="inlineStr">
        <is>
          <t>가상 인물 등록부 (이름 중복 방지용 캐릭터 설정 자료)</t>
        </is>
      </c>
    </row>
    <row r="2">
      <c r="A2" s="157" t="inlineStr">
        <is>
          <t>'변경이력_미결' 시트 미결사항 #15가 요구한 부록. 새 가상 인물을 만들 때는 이 목록과 겹치지 않는지 먼저 확인할 것.</t>
        </is>
      </c>
    </row>
    <row r="4">
      <c r="A4" s="156" t="inlineStr">
        <is>
          <t>이름</t>
        </is>
      </c>
      <c r="B4" s="156" t="inlineStr">
        <is>
          <t>최초 등장</t>
        </is>
      </c>
      <c r="C4" s="156" t="inlineStr">
        <is>
          <t>역할/설명</t>
        </is>
      </c>
      <c r="D4" s="156" t="inlineStr">
        <is>
          <t>비고</t>
        </is>
      </c>
    </row>
    <row r="5">
      <c r="A5" s="77" t="inlineStr">
        <is>
          <t>AMINA</t>
        </is>
      </c>
      <c r="B5" s="77" t="inlineStr">
        <is>
          <t>1부 7화 (La bambina con la febbre)</t>
        </is>
      </c>
      <c r="C5" s="162" t="inlineStr">
        <is>
          <t>(가상) 체류 서류가 없는 엄마</t>
        </is>
      </c>
      <c r="D5" s="77" t="inlineStr"/>
    </row>
    <row r="6">
      <c r="A6" s="77" t="inlineStr">
        <is>
          <t>ASSUNTA</t>
        </is>
      </c>
      <c r="B6" s="77" t="inlineStr">
        <is>
          <t>2부 7화 (L'assemblea degli inquilini)</t>
        </is>
      </c>
      <c r="C6" s="162" t="inlineStr">
        <is>
          <t>(가상) 78세 세입자, 이 건물에서 평생을 산 인물</t>
        </is>
      </c>
      <c r="D6" s="77" t="inlineStr"/>
    </row>
    <row r="7">
      <c r="A7" s="77" t="inlineStr">
        <is>
          <t>BASSI</t>
        </is>
      </c>
      <c r="B7" s="77" t="inlineStr">
        <is>
          <t>4부 3화 (Il cliente che paga bene)</t>
        </is>
      </c>
      <c r="C7" s="162" t="inlineStr">
        <is>
          <t>(가상) Conti Revisori 대표 파트너 / (가상) Conti Revisori 대표 파트너, Alessandro의 상사 / Conti Revisori 대표 파트너 (가상) / Conti Revisori 대표 파트너, Alessandro의 상사 (가상)</t>
        </is>
      </c>
      <c r="D7" s="77" t="inlineStr"/>
    </row>
    <row r="8">
      <c r="A8" s="77" t="inlineStr">
        <is>
          <t>CANCELLIERE</t>
        </is>
      </c>
      <c r="B8" s="77" t="inlineStr">
        <is>
          <t>1부 4화 (Il furgone che non arrivò)</t>
        </is>
      </c>
      <c r="C8" s="162" t="inlineStr">
        <is>
          <t>법원 서기 (가상)</t>
        </is>
      </c>
      <c r="D8" s="77" t="inlineStr"/>
    </row>
    <row r="9">
      <c r="A9" s="77" t="inlineStr">
        <is>
          <t>COLOMBO</t>
        </is>
      </c>
      <c r="B9" s="77" t="inlineStr">
        <is>
          <t>2부 2화 (Un lunedì in Prati)</t>
        </is>
      </c>
      <c r="C9" s="162" t="inlineStr">
        <is>
          <t>(가상) Marco의 상사, 로펌 대표 파트너 / 로펌 대표 파트너 (가상, 과거)</t>
        </is>
      </c>
      <c r="D9" s="77" t="inlineStr"/>
    </row>
    <row r="10">
      <c r="A10" s="77" t="inlineStr">
        <is>
          <t>DAVIDE</t>
        </is>
      </c>
      <c r="B10" s="77" t="inlineStr">
        <is>
          <t>1부 5화 (Lo stagista della fabbrica)</t>
        </is>
      </c>
      <c r="C10" s="162" t="inlineStr">
        <is>
          <t>공장 인턴 (가상, 22세)</t>
        </is>
      </c>
      <c r="D10" s="77" t="inlineStr"/>
    </row>
    <row r="11">
      <c r="A11" s="77" t="inlineStr">
        <is>
          <t>DIRETTORE</t>
        </is>
      </c>
      <c r="B11" s="77" t="inlineStr">
        <is>
          <t>3부 4화 (Un contratto che nessuno legge)</t>
        </is>
      </c>
      <c r="C11" s="162" t="inlineStr">
        <is>
          <t>San Camillo 병원장 (가상) / San Camillo 병원장 (가상, 과거)</t>
        </is>
      </c>
      <c r="D11" s="77" t="inlineStr"/>
    </row>
    <row r="12">
      <c r="A12" s="77" t="inlineStr">
        <is>
          <t>FATIMA</t>
        </is>
      </c>
      <c r="B12" s="77" t="inlineStr">
        <is>
          <t>1부 2화 (La clausola che non sale)</t>
        </is>
      </c>
      <c r="C12" s="162" t="inlineStr">
        <is>
          <t>(가상) 세입자 이웃 — 감사 인사를 전하러 가족과 함께 찾아온다 / 임차인, 소피아의 옛 이웃(가상)</t>
        </is>
      </c>
      <c r="D12" s="77" t="inlineStr"/>
    </row>
    <row r="13">
      <c r="A13" s="77" t="inlineStr">
        <is>
          <t>FEDERICA</t>
        </is>
      </c>
      <c r="B13" s="77" t="inlineStr">
        <is>
          <t>5부 6화 (La cella C47)</t>
        </is>
      </c>
      <c r="C13" s="162" t="inlineStr">
        <is>
          <t>(가상) 팀 동료 컨설턴트</t>
        </is>
      </c>
      <c r="D13" s="77" t="inlineStr">
        <is>
          <t>원래 Iolanda로 초고했다가 1부 Iolanda와 겹쳐 개명</t>
        </is>
      </c>
    </row>
    <row r="14">
      <c r="A14" s="77" t="inlineStr">
        <is>
          <t>GIUDICE</t>
        </is>
      </c>
      <c r="B14" s="77" t="inlineStr">
        <is>
          <t>2부 8화 (Il processo)</t>
        </is>
      </c>
      <c r="C14" s="162" t="inlineStr">
        <is>
          <t>(가상) 심리를 주재하는 판사</t>
        </is>
      </c>
      <c r="D14" s="77" t="inlineStr"/>
    </row>
    <row r="15">
      <c r="A15" s="77" t="inlineStr">
        <is>
          <t>IDA</t>
        </is>
      </c>
      <c r="B15" s="77" t="inlineStr">
        <is>
          <t>1부 3화 (L'avviso delle otto)</t>
        </is>
      </c>
      <c r="C15" s="162" t="inlineStr">
        <is>
          <t>테레사의 어머니, 거동이 불편한 고령자 (가상)</t>
        </is>
      </c>
      <c r="D15" s="77" t="inlineStr"/>
    </row>
    <row r="16">
      <c r="A16" s="77" t="inlineStr">
        <is>
          <t>IMPIEGATO</t>
        </is>
      </c>
      <c r="B16" s="77" t="inlineStr">
        <is>
          <t>1부 4화 (Il furgone che non arrivò)</t>
        </is>
      </c>
      <c r="C16" s="162" t="inlineStr">
        <is>
          <t>구청 직원 (가상)</t>
        </is>
      </c>
      <c r="D16" s="77" t="inlineStr"/>
    </row>
    <row r="17">
      <c r="A17" s="77" t="inlineStr">
        <is>
          <t>IOLANDA</t>
        </is>
      </c>
      <c r="B17" s="77" t="inlineStr">
        <is>
          <t>1부 9화 (La vedova del quinto piano)</t>
        </is>
      </c>
      <c r="C17" s="162" t="inlineStr">
        <is>
          <t>5층 이웃, 투자 사기 피해자(가상)</t>
        </is>
      </c>
      <c r="D17" s="77" t="inlineStr"/>
    </row>
    <row r="18">
      <c r="A18" s="77" t="inlineStr">
        <is>
          <t>KARIM</t>
        </is>
      </c>
      <c r="B18" s="77" t="inlineStr">
        <is>
          <t>1부 11화 (Una carta di anni fa)</t>
        </is>
      </c>
      <c r="C18" s="162" t="inlineStr">
        <is>
          <t>가상, Fatima의 남편, 의뢰인 / 파티마의 남편 (가상)</t>
        </is>
      </c>
      <c r="D18" s="77" t="inlineStr"/>
    </row>
    <row r="19">
      <c r="A19" s="77" t="inlineStr">
        <is>
          <t>LOREDANA</t>
        </is>
      </c>
      <c r="B19" s="77" t="inlineStr">
        <is>
          <t>3부 2화 (Turno di notte)</t>
        </is>
      </c>
      <c r="C19" s="162" t="inlineStr">
        <is>
          <t>Giulia와 손발을 맞추는 간호사 (가상) / 간호사, Giulia와 손발을 맞추는 동료 (가상)</t>
        </is>
      </c>
      <c r="D19" s="77" t="inlineStr"/>
    </row>
    <row r="20">
      <c r="A20" s="77" t="inlineStr">
        <is>
          <t>MARINA</t>
        </is>
      </c>
      <c r="B20" s="77" t="inlineStr">
        <is>
          <t>2부 11화 (La nipote di Assunta)</t>
        </is>
      </c>
      <c r="C20" s="162" t="inlineStr">
        <is>
          <t>Assunta의 손녀 (가상, 과거) / 세입자 총회를 안내하는 이웃 (가상)</t>
        </is>
      </c>
      <c r="D20" s="77" t="inlineStr"/>
    </row>
    <row r="21">
      <c r="A21" s="77" t="inlineStr">
        <is>
          <t>MARTINA</t>
        </is>
      </c>
      <c r="B21" s="77" t="inlineStr">
        <is>
          <t>4부 2화 (Chiusura di bilancio)</t>
        </is>
      </c>
      <c r="C21" s="162" t="inlineStr">
        <is>
          <t>(가상) Alessandro와 함께 일하는 후배 감사인 / (가상) 후배 감사인, 이번이 첫 결산 마감이다 / Alessandro와 함께 일하는 후배 감사인 (가상)</t>
        </is>
      </c>
      <c r="D21" s="77" t="inlineStr"/>
    </row>
    <row r="22">
      <c r="A22" s="77" t="inlineStr">
        <is>
          <t>MATTEO</t>
        </is>
      </c>
      <c r="B22" s="77" t="inlineStr">
        <is>
          <t>5부 4화 (Progetto Icaro)</t>
        </is>
      </c>
      <c r="C22" s="162" t="inlineStr">
        <is>
          <t>Chiara와 함께 일하는 동료 컨설턴트</t>
        </is>
      </c>
      <c r="D22" s="77" t="inlineStr">
        <is>
          <t>원래 Davide로 초고했다가 1부 Davide와 겹쳐 개명</t>
        </is>
      </c>
    </row>
    <row r="23">
      <c r="A23" s="77" t="inlineStr">
        <is>
          <t>MORETTI</t>
        </is>
      </c>
      <c r="B23" s="77" t="inlineStr">
        <is>
          <t>5부 2화 (Zenit, 32° piano)</t>
        </is>
      </c>
      <c r="C23" s="162" t="inlineStr">
        <is>
          <t>(가상) Zenit Consulting의 파트너, Chiara의 상사 / (가상) Zenit 파트너, Chiara의 상사 / (가상) Zenit의 파트너, Chiara의 상사 / 가상, Zenit Consulting 파트너, Chiara의 상사</t>
        </is>
      </c>
      <c r="D23" s="77" t="inlineStr">
        <is>
          <t>5부 2화에서는 Vergani로 잘못 쓰였다가 4/6/11화와 통일(Chiara의 Zenit 상사)</t>
        </is>
      </c>
    </row>
    <row r="24">
      <c r="A24" s="77" t="inlineStr">
        <is>
          <t>NOA</t>
        </is>
      </c>
      <c r="B24" s="77" t="inlineStr">
        <is>
          <t>1부 7화 (La bambina con la febbre)</t>
        </is>
      </c>
      <c r="C24" s="162" t="inlineStr">
        <is>
          <t>(가상) 열이 나는 아이, 4세</t>
        </is>
      </c>
      <c r="D24" s="77" t="inlineStr"/>
    </row>
    <row r="25">
      <c r="A25" s="77" t="inlineStr">
        <is>
          <t>RICCI</t>
        </is>
      </c>
      <c r="B25" s="77" t="inlineStr">
        <is>
          <t>4부 6화 (La riunione dei soci)</t>
        </is>
      </c>
      <c r="C25" s="162" t="inlineStr">
        <is>
          <t>(가상) 시니어 파트너</t>
        </is>
      </c>
      <c r="D25" s="77" t="inlineStr"/>
    </row>
    <row r="26">
      <c r="A26" s="77" t="inlineStr">
        <is>
          <t>RUGGERI</t>
        </is>
      </c>
      <c r="B26" s="77" t="inlineStr">
        <is>
          <t>5부 3화 (La bottega dei Ruggeri)</t>
        </is>
      </c>
      <c r="C26" s="162" t="inlineStr">
        <is>
          <t>(가상) 3대째 이어온 가족 공방의 사장</t>
        </is>
      </c>
      <c r="D26" s="77" t="inlineStr"/>
    </row>
    <row r="27">
      <c r="A27" s="77" t="inlineStr">
        <is>
          <t>SANTORO</t>
        </is>
      </c>
      <c r="B27" s="77" t="inlineStr">
        <is>
          <t>2부 3화 (Il cliente d'oro)</t>
        </is>
      </c>
      <c r="C27" s="162" t="inlineStr">
        <is>
          <t>(가상) Gruppo Meridiano 회장 — 2·4부에도 등장한 그 고객사 / (가상) 그루포 메리디아노 회장 / Gruppo Meridiano 회장 (가상) / Gruppo Meridiano 회장 (가상, 과거)</t>
        </is>
      </c>
      <c r="D27" s="77" t="inlineStr"/>
    </row>
    <row r="28">
      <c r="A28" s="77" t="inlineStr">
        <is>
          <t>SIRAGUSA</t>
        </is>
      </c>
      <c r="B28" s="77" t="inlineStr">
        <is>
          <t>4부 7화 (Il comitato rischi)</t>
        </is>
      </c>
      <c r="C28" s="162" t="inlineStr">
        <is>
          <t>시니어 파트너, 리스크 위원회 위원 (가상)</t>
        </is>
      </c>
      <c r="D28" s="77" t="inlineStr"/>
    </row>
    <row r="29">
      <c r="A29" s="77" t="inlineStr">
        <is>
          <t>TERESA</t>
        </is>
      </c>
      <c r="B29" s="77" t="inlineStr">
        <is>
          <t>1부 3화 (L'avviso delle otto)</t>
        </is>
      </c>
      <c r="C29" s="162" t="inlineStr">
        <is>
          <t>퇴거 위기의 세입자 (가상)</t>
        </is>
      </c>
      <c r="D29" s="77" t="inlineStr"/>
    </row>
    <row r="30">
      <c r="A30" s="77" t="inlineStr">
        <is>
          <t>UFFICIALE</t>
        </is>
      </c>
      <c r="B30" s="77" t="inlineStr">
        <is>
          <t>1부 4화 (Il furgone che non arrivò)</t>
        </is>
      </c>
      <c r="C30" s="162" t="inlineStr">
        <is>
          <t>집행관(ufficiale giudiziario) (가상)</t>
        </is>
      </c>
      <c r="D30" s="77" t="inlineStr"/>
    </row>
    <row r="31">
      <c r="A31" s="77" t="inlineStr">
        <is>
          <t>VALENTINI</t>
        </is>
      </c>
      <c r="B31" s="77" t="inlineStr">
        <is>
          <t>4부 6화 (La riunione dei soci)</t>
        </is>
      </c>
      <c r="C31" s="162" t="inlineStr">
        <is>
          <t>(가상) 시니어 파트너</t>
        </is>
      </c>
      <c r="D31" s="77" t="inlineStr"/>
    </row>
    <row r="32">
      <c r="A32" s="77" t="inlineStr">
        <is>
          <t>VALERIA</t>
        </is>
      </c>
      <c r="B32" s="77" t="inlineStr">
        <is>
          <t>7부 3화 (Il tempo che ha punito la vittima)</t>
        </is>
      </c>
      <c r="C32" s="162" t="inlineStr">
        <is>
          <t>의뢰인 (가상)</t>
        </is>
      </c>
      <c r="D32" s="77" t="inlineStr">
        <is>
          <t>원래 Iolanda로 초고했다가 1부 Iolanda와 겹쳐 개명 (7부 3화 민감 소재 상 특히 주의)</t>
        </is>
      </c>
    </row>
    <row r="33">
      <c r="A33" s="77" t="inlineStr">
        <is>
          <t>VALLI</t>
        </is>
      </c>
      <c r="B33" s="77" t="inlineStr">
        <is>
          <t>5부 7화 (Il tavolo della trattativa)</t>
        </is>
      </c>
      <c r="C33" s="162" t="inlineStr">
        <is>
          <t>가상, Gruppo Meridiano 측 담당 임원</t>
        </is>
      </c>
      <c r="D33" s="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2026-09-22T22:55:55Z</dcterms:created>
  <dcterms:modified xmlns:dcterms="http://purl.org/dc/terms/" xmlns:xsi="http://www.w3.org/2001/XMLSchema-instance" xsi:type="dcterms:W3CDTF">2026-09-25T07:50:39Z</dcterms:modified>
  <cp:revision>0</cp:revision>
</cp:coreProperties>
</file>