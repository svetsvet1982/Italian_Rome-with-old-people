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캐릭터" sheetId="2" state="visible" r:id="rId4"/>
    <sheet name="등장비중" sheetId="3" state="visible" r:id="rId5"/>
    <sheet name="턴_설계" sheetId="4" state="visible" r:id="rId6"/>
    <sheet name="13부_구성" sheetId="5" state="visible" r:id="rId7"/>
    <sheet name="아크_구성계획" sheetId="6" state="visible" r:id="rId8"/>
    <sheet name="화별목차_전체" sheetId="7" state="visible" r:id="rId9"/>
    <sheet name="복선_회수" sheetId="8" state="visible" r:id="rId10"/>
    <sheet name="현안_배치" sheetId="9" state="visible" r:id="rId11"/>
    <sheet name="현안_분포" sheetId="10" state="visible" r:id="rId12"/>
    <sheet name="정치제도" sheetId="11" state="visible" r:id="rId13"/>
    <sheet name="정치경로_의석" sheetId="12" state="visible" r:id="rId14"/>
    <sheet name="호칭규칙" sheetId="13" state="visible" r:id="rId15"/>
    <sheet name="Sofia_폭발과욕" sheetId="14" state="visible" r:id="rId16"/>
    <sheet name="Cesare_죽음" sheetId="15" state="visible" r:id="rId17"/>
    <sheet name="Gramsci_출처" sheetId="16" state="visible" r:id="rId18"/>
    <sheet name="대화문규칙" sheetId="17" state="visible" r:id="rId19"/>
    <sheet name="변경이력_미결" sheetId="18" state="visible" r:id="rId20"/>
  </sheets>
  <definedNames>
    <definedName function="false" hidden="true" localSheetId="6" name="_xlnm._FilterDatabase" vbProcedure="false">화별목차_전체!$A$4:$J$160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<sst xmlns="http://schemas.openxmlformats.org/spreadsheetml/2006/main" count="4192" uniqueCount="3040">
  <si>
    <r>
      <rPr>
        <b val="true"/>
        <sz val="14"/>
        <color rgb="FF1F3864"/>
        <rFont val="Arial"/>
        <family val="0"/>
        <charset val="1"/>
      </rPr>
      <t xml:space="preserve">Roma </t>
    </r>
    <r>
      <rPr>
        <b val="true"/>
        <sz val="14"/>
        <color rgb="FF1F3864"/>
        <rFont val="WenQuanYi Zen Hei"/>
        <family val="2"/>
      </rPr>
      <t xml:space="preserve">이탈리아어 낭독 교재 — 캐릭터 바이블 </t>
    </r>
    <r>
      <rPr>
        <b val="true"/>
        <sz val="14"/>
        <color rgb="FF1F3864"/>
        <rFont val="Arial"/>
        <family val="0"/>
        <charset val="1"/>
      </rPr>
      <t xml:space="preserve">(</t>
    </r>
    <r>
      <rPr>
        <b val="true"/>
        <sz val="14"/>
        <color rgb="FF1F3864"/>
        <rFont val="WenQuanYi Zen Hei"/>
        <family val="2"/>
      </rPr>
      <t xml:space="preserve">부활자 특별편</t>
    </r>
    <r>
      <rPr>
        <b val="true"/>
        <sz val="14"/>
        <color rgb="FF1F3864"/>
        <rFont val="Arial"/>
        <family val="0"/>
        <charset val="1"/>
      </rPr>
      <t xml:space="preserve">)</t>
    </r>
  </si>
  <si>
    <r>
      <rPr>
        <i val="true"/>
        <sz val="9"/>
        <color rgb="FF595959"/>
        <rFont val="Arial"/>
        <family val="0"/>
        <charset val="1"/>
      </rPr>
      <t xml:space="preserve">v1.0 · </t>
    </r>
    <r>
      <rPr>
        <i val="true"/>
        <sz val="9"/>
        <color rgb="FF595959"/>
        <rFont val="WenQuanYi Zen Hei"/>
        <family val="2"/>
      </rPr>
      <t xml:space="preserve">로마 배경 </t>
    </r>
    <r>
      <rPr>
        <i val="true"/>
        <sz val="9"/>
        <color rgb="FF595959"/>
        <rFont val="Arial"/>
        <family val="0"/>
        <charset val="1"/>
      </rPr>
      <t xml:space="preserve">13</t>
    </r>
    <r>
      <rPr>
        <i val="true"/>
        <sz val="9"/>
        <color rgb="FF595959"/>
        <rFont val="WenQuanYi Zen Hei"/>
        <family val="2"/>
      </rPr>
      <t xml:space="preserve">부작 옴니버스</t>
    </r>
    <r>
      <rPr>
        <i val="true"/>
        <sz val="9"/>
        <color rgb="FF595959"/>
        <rFont val="Arial"/>
        <family val="0"/>
        <charset val="1"/>
      </rPr>
      <t xml:space="preserve">(156</t>
    </r>
    <r>
      <rPr>
        <i val="true"/>
        <sz val="9"/>
        <color rgb="FF595959"/>
        <rFont val="WenQuanYi Zen Hei"/>
        <family val="2"/>
      </rPr>
      <t xml:space="preserve">화</t>
    </r>
    <r>
      <rPr>
        <i val="true"/>
        <sz val="9"/>
        <color rgb="FF595959"/>
        <rFont val="Arial"/>
        <family val="0"/>
        <charset val="1"/>
      </rPr>
      <t xml:space="preserve">) · </t>
    </r>
    <r>
      <rPr>
        <i val="true"/>
        <sz val="9"/>
        <color rgb="FF595959"/>
        <rFont val="WenQuanYi Zen Hei"/>
        <family val="2"/>
      </rPr>
      <t xml:space="preserve">부활 </t>
    </r>
    <r>
      <rPr>
        <i val="true"/>
        <sz val="9"/>
        <color rgb="FF595959"/>
        <rFont val="Arial"/>
        <family val="0"/>
        <charset val="1"/>
      </rPr>
      <t xml:space="preserve">7</t>
    </r>
    <r>
      <rPr>
        <i val="true"/>
        <sz val="9"/>
        <color rgb="FF595959"/>
        <rFont val="WenQuanYi Zen Hei"/>
        <family val="2"/>
      </rPr>
      <t xml:space="preserve">인 </t>
    </r>
    <r>
      <rPr>
        <i val="true"/>
        <sz val="9"/>
        <color rgb="FF595959"/>
        <rFont val="Arial"/>
        <family val="0"/>
        <charset val="1"/>
      </rPr>
      <t xml:space="preserve">= Cesare·Machiavelli·Garibaldi·Dante·Gramsci·Galileo·Montessori</t>
    </r>
  </si>
  <si>
    <t xml:space="preserve">기본 설정</t>
  </si>
  <si>
    <t xml:space="preserve">부 수</t>
  </si>
  <si>
    <r>
      <rPr>
        <sz val="10"/>
        <rFont val="Arial"/>
        <family val="0"/>
        <charset val="1"/>
      </rPr>
      <t xml:space="preserve">1 </t>
    </r>
    <r>
      <rPr>
        <sz val="10"/>
        <rFont val="WenQuanYi Zen Hei"/>
        <family val="2"/>
      </rPr>
      <t xml:space="preserve">사무소</t>
    </r>
    <r>
      <rPr>
        <sz val="10"/>
        <rFont val="Arial"/>
        <family val="0"/>
        <charset val="1"/>
      </rPr>
      <t xml:space="preserve">(Testaccio, </t>
    </r>
    <r>
      <rPr>
        <sz val="10"/>
        <rFont val="WenQuanYi Zen Hei"/>
        <family val="2"/>
      </rPr>
      <t xml:space="preserve">개소 </t>
    </r>
    <r>
      <rPr>
        <sz val="10"/>
        <rFont val="Arial"/>
        <family val="0"/>
        <charset val="1"/>
      </rPr>
      <t xml:space="preserve">1</t>
    </r>
    <r>
      <rPr>
        <sz val="10"/>
        <rFont val="WenQuanYi Zen Hei"/>
        <family val="2"/>
      </rPr>
      <t xml:space="preserve">개월 후</t>
    </r>
    <r>
      <rPr>
        <sz val="10"/>
        <rFont val="Arial"/>
        <family val="0"/>
        <charset val="1"/>
      </rPr>
      <t xml:space="preserve">, 6</t>
    </r>
    <r>
      <rPr>
        <sz val="10"/>
        <rFont val="WenQuanYi Zen Hei"/>
        <family val="2"/>
      </rPr>
      <t xml:space="preserve">사건</t>
    </r>
    <r>
      <rPr>
        <sz val="10"/>
        <rFont val="Arial"/>
        <family val="0"/>
        <charset val="1"/>
      </rPr>
      <t xml:space="preserve">×2</t>
    </r>
    <r>
      <rPr>
        <sz val="10"/>
        <rFont val="WenQuanYi Zen Hei"/>
        <family val="2"/>
      </rPr>
      <t xml:space="preserve">화</t>
    </r>
    <r>
      <rPr>
        <sz val="10"/>
        <rFont val="Arial"/>
        <family val="0"/>
        <charset val="1"/>
      </rPr>
      <t xml:space="preserve">) → 2~5 </t>
    </r>
    <r>
      <rPr>
        <sz val="10"/>
        <rFont val="WenQuanYi Zen Hei"/>
        <family val="2"/>
      </rPr>
      <t xml:space="preserve">각자의 과거 → </t>
    </r>
    <r>
      <rPr>
        <sz val="10"/>
        <rFont val="Arial"/>
        <family val="0"/>
        <charset val="1"/>
      </rPr>
      <t xml:space="preserve">6 </t>
    </r>
    <r>
      <rPr>
        <sz val="10"/>
        <rFont val="WenQuanYi Zen Hei"/>
        <family val="2"/>
      </rPr>
      <t xml:space="preserve">만남 → </t>
    </r>
    <r>
      <rPr>
        <sz val="10"/>
        <rFont val="Arial"/>
        <family val="0"/>
        <charset val="1"/>
      </rPr>
      <t xml:space="preserve">7 </t>
    </r>
    <r>
      <rPr>
        <sz val="10"/>
        <rFont val="WenQuanYi Zen Hei"/>
        <family val="2"/>
      </rPr>
      <t xml:space="preserve">전면전 → </t>
    </r>
    <r>
      <rPr>
        <sz val="10"/>
        <rFont val="Arial"/>
        <family val="0"/>
        <charset val="1"/>
      </rPr>
      <t xml:space="preserve">8 </t>
    </r>
    <r>
      <rPr>
        <sz val="10"/>
        <rFont val="WenQuanYi Zen Hei"/>
        <family val="2"/>
      </rPr>
      <t xml:space="preserve">창당 → </t>
    </r>
    <r>
      <rPr>
        <sz val="10"/>
        <rFont val="Arial"/>
        <family val="0"/>
        <charset val="1"/>
      </rPr>
      <t xml:space="preserve">9 </t>
    </r>
    <r>
      <rPr>
        <sz val="10"/>
        <rFont val="WenQuanYi Zen Hei"/>
        <family val="2"/>
      </rPr>
      <t xml:space="preserve">시의회</t>
    </r>
    <r>
      <rPr>
        <sz val="10"/>
        <rFont val="Arial"/>
        <family val="0"/>
        <charset val="1"/>
      </rPr>
      <t xml:space="preserve">·</t>
    </r>
    <r>
      <rPr>
        <sz val="10"/>
        <rFont val="WenQuanYi Zen Hei"/>
        <family val="2"/>
      </rPr>
      <t xml:space="preserve">주의회 → </t>
    </r>
    <r>
      <rPr>
        <sz val="10"/>
        <rFont val="Arial"/>
        <family val="0"/>
        <charset val="1"/>
      </rPr>
      <t xml:space="preserve">10 </t>
    </r>
    <r>
      <rPr>
        <sz val="10"/>
        <rFont val="WenQuanYi Zen Hei"/>
        <family val="2"/>
      </rPr>
      <t xml:space="preserve">총선</t>
    </r>
    <r>
      <rPr>
        <sz val="10"/>
        <rFont val="Arial"/>
        <family val="0"/>
        <charset val="1"/>
      </rPr>
      <t xml:space="preserve">·</t>
    </r>
    <r>
      <rPr>
        <sz val="10"/>
        <rFont val="WenQuanYi Zen Hei"/>
        <family val="2"/>
      </rPr>
      <t xml:space="preserve">총리 선출 → </t>
    </r>
    <r>
      <rPr>
        <sz val="10"/>
        <rFont val="Arial"/>
        <family val="0"/>
        <charset val="1"/>
      </rPr>
      <t xml:space="preserve">11 </t>
    </r>
    <r>
      <rPr>
        <sz val="10"/>
        <rFont val="WenQuanYi Zen Hei"/>
        <family val="2"/>
      </rPr>
      <t xml:space="preserve">국정 </t>
    </r>
    <r>
      <rPr>
        <sz val="10"/>
        <rFont val="Arial"/>
        <family val="0"/>
        <charset val="1"/>
      </rPr>
      <t xml:space="preserve">I(EU </t>
    </r>
    <r>
      <rPr>
        <sz val="10"/>
        <rFont val="WenQuanYi Zen Hei"/>
        <family val="2"/>
      </rPr>
      <t xml:space="preserve">협상</t>
    </r>
    <r>
      <rPr>
        <sz val="10"/>
        <rFont val="Arial"/>
        <family val="0"/>
        <charset val="1"/>
      </rPr>
      <t xml:space="preserve">·Cesare </t>
    </r>
    <r>
      <rPr>
        <sz val="10"/>
        <rFont val="WenQuanYi Zen Hei"/>
        <family val="2"/>
      </rPr>
      <t xml:space="preserve">사망</t>
    </r>
    <r>
      <rPr>
        <sz val="10"/>
        <rFont val="Arial"/>
        <family val="0"/>
        <charset val="1"/>
      </rPr>
      <t xml:space="preserve">) → 12 </t>
    </r>
    <r>
      <rPr>
        <sz val="10"/>
        <rFont val="WenQuanYi Zen Hei"/>
        <family val="2"/>
      </rPr>
      <t xml:space="preserve">국정 </t>
    </r>
    <r>
      <rPr>
        <sz val="10"/>
        <rFont val="Arial"/>
        <family val="0"/>
        <charset val="1"/>
      </rPr>
      <t xml:space="preserve">II(</t>
    </r>
    <r>
      <rPr>
        <sz val="10"/>
        <rFont val="WenQuanYi Zen Hei"/>
        <family val="2"/>
      </rPr>
      <t xml:space="preserve">장례</t>
    </r>
    <r>
      <rPr>
        <sz val="10"/>
        <rFont val="Arial"/>
        <family val="0"/>
        <charset val="1"/>
      </rPr>
      <t xml:space="preserve">·</t>
    </r>
    <r>
      <rPr>
        <sz val="10"/>
        <rFont val="WenQuanYi Zen Hei"/>
        <family val="2"/>
      </rPr>
      <t xml:space="preserve">유고 메모 승계</t>
    </r>
    <r>
      <rPr>
        <sz val="10"/>
        <rFont val="Arial"/>
        <family val="0"/>
        <charset val="1"/>
      </rPr>
      <t xml:space="preserve">) → 13 </t>
    </r>
    <r>
      <rPr>
        <sz val="10"/>
        <rFont val="WenQuanYi Zen Hei"/>
        <family val="2"/>
      </rPr>
      <t xml:space="preserve">귀환</t>
    </r>
    <r>
      <rPr>
        <sz val="10"/>
        <rFont val="Arial"/>
        <family val="0"/>
        <charset val="1"/>
      </rPr>
      <t xml:space="preserve">(</t>
    </r>
    <r>
      <rPr>
        <sz val="10"/>
        <rFont val="WenQuanYi Zen Hei"/>
        <family val="2"/>
      </rPr>
      <t xml:space="preserve">원형 구조</t>
    </r>
    <r>
      <rPr>
        <sz val="10"/>
        <rFont val="Arial"/>
        <family val="0"/>
        <charset val="1"/>
      </rPr>
      <t xml:space="preserve">)</t>
    </r>
  </si>
  <si>
    <t xml:space="preserve">부당 화 수</t>
  </si>
  <si>
    <t xml:space="preserve">각 부 12화</t>
  </si>
  <si>
    <t xml:space="preserve">총 화 수</t>
  </si>
  <si>
    <t xml:space="preserve">부 수 × 부당 화 수 (자동 계산)</t>
  </si>
  <si>
    <t xml:space="preserve">등장인물 수</t>
  </si>
  <si>
    <t xml:space="preserve">캐릭터 시트의 약칭 개수</t>
  </si>
  <si>
    <t xml:space="preserve">남성 인물 수</t>
  </si>
  <si>
    <t xml:space="preserve">부활 7인 중 6인이 남성인 역사 인물이라 남 10 : 여 5. 여성 화자(Giulia·Chiara·Rosa·Sofia·Montessori)의 대사 비중을 높게 유지해 음색 균형을 맞춘다.</t>
  </si>
  <si>
    <t xml:space="preserve">여성 인물 수</t>
  </si>
  <si>
    <r>
      <rPr>
        <b val="true"/>
        <sz val="10"/>
        <rFont val="Arial"/>
        <family val="0"/>
        <charset val="1"/>
      </rPr>
      <t xml:space="preserve">1</t>
    </r>
    <r>
      <rPr>
        <b val="true"/>
        <sz val="10"/>
        <rFont val="WenQuanYi Zen Hei"/>
        <family val="2"/>
      </rPr>
      <t xml:space="preserve">부→</t>
    </r>
    <r>
      <rPr>
        <b val="true"/>
        <sz val="10"/>
        <rFont val="Arial"/>
        <family val="0"/>
        <charset val="1"/>
      </rPr>
      <t xml:space="preserve">11</t>
    </r>
    <r>
      <rPr>
        <b val="true"/>
        <sz val="10"/>
        <rFont val="WenQuanYi Zen Hei"/>
        <family val="2"/>
      </rPr>
      <t xml:space="preserve">부 경과 연수 </t>
    </r>
    <r>
      <rPr>
        <b val="true"/>
        <sz val="10"/>
        <rFont val="Arial"/>
        <family val="0"/>
        <charset val="1"/>
      </rPr>
      <t xml:space="preserve">(</t>
    </r>
    <r>
      <rPr>
        <b val="true"/>
        <sz val="10"/>
        <rFont val="WenQuanYi Zen Hei"/>
        <family val="2"/>
      </rPr>
      <t xml:space="preserve">가정</t>
    </r>
    <r>
      <rPr>
        <b val="true"/>
        <sz val="10"/>
        <rFont val="Arial"/>
        <family val="0"/>
        <charset val="1"/>
      </rPr>
      <t xml:space="preserve">)</t>
    </r>
  </si>
  <si>
    <t xml:space="preserve">가정값: Cesare가 1부 55세(암살 당시 나이로 부활) → 11부 약 61세가 되도록 잡음. 확정 시 이 셀만 수정하면 캐릭터 시트의 나이가 자동 갱신. (캐릭터 시트 '나이(11부)' 열)</t>
  </si>
  <si>
    <t xml:space="preserve">배경·언어</t>
  </si>
  <si>
    <t xml:space="preserve">로마 (테스타초)</t>
  </si>
  <si>
    <t xml:space="preserve">표준 이탈리아어: 친한 사이 tu, 공식 석상은 Lei/공식 호칭. Rosa·Paolo의 로마 사투리(romanesco)는 양념 수준으로.</t>
  </si>
  <si>
    <t xml:space="preserve">형식</t>
  </si>
  <si>
    <t xml:space="preserve">전 화 100% 대화문, 화당 120턴</t>
  </si>
  <si>
    <t xml:space="preserve">그룹별 인원</t>
  </si>
  <si>
    <t xml:space="preserve">주력 4인</t>
  </si>
  <si>
    <r>
      <rPr>
        <sz val="10"/>
        <rFont val="Arial"/>
        <family val="0"/>
        <charset val="1"/>
      </rPr>
      <t xml:space="preserve">Marco(</t>
    </r>
    <r>
      <rPr>
        <sz val="10"/>
        <rFont val="WenQuanYi Zen Hei"/>
        <family val="2"/>
      </rPr>
      <t xml:space="preserve">변호사</t>
    </r>
    <r>
      <rPr>
        <sz val="10"/>
        <rFont val="Arial"/>
        <family val="0"/>
        <charset val="1"/>
      </rPr>
      <t xml:space="preserve">)·Giulia(</t>
    </r>
    <r>
      <rPr>
        <sz val="10"/>
        <rFont val="WenQuanYi Zen Hei"/>
        <family val="2"/>
      </rPr>
      <t xml:space="preserve">의사</t>
    </r>
    <r>
      <rPr>
        <sz val="10"/>
        <rFont val="Arial"/>
        <family val="0"/>
        <charset val="1"/>
      </rPr>
      <t xml:space="preserve">)·Alessandro(</t>
    </r>
    <r>
      <rPr>
        <sz val="10"/>
        <rFont val="WenQuanYi Zen Hei"/>
        <family val="2"/>
      </rPr>
      <t xml:space="preserve">회계사</t>
    </r>
    <r>
      <rPr>
        <sz val="10"/>
        <rFont val="Arial"/>
        <family val="0"/>
        <charset val="1"/>
      </rPr>
      <t xml:space="preserve">)·Chiara(</t>
    </r>
    <r>
      <rPr>
        <sz val="10"/>
        <rFont val="WenQuanYi Zen Hei"/>
        <family val="2"/>
      </rPr>
      <t xml:space="preserve">컨설턴트</t>
    </r>
    <r>
      <rPr>
        <sz val="10"/>
        <rFont val="Arial"/>
        <family val="0"/>
        <charset val="1"/>
      </rPr>
      <t xml:space="preserve">)</t>
    </r>
  </si>
  <si>
    <t xml:space="preserve">부활 7인</t>
  </si>
  <si>
    <r>
      <rPr>
        <sz val="10"/>
        <rFont val="Arial"/>
        <family val="0"/>
        <charset val="1"/>
      </rPr>
      <t xml:space="preserve">Cesare(</t>
    </r>
    <r>
      <rPr>
        <sz val="10"/>
        <rFont val="WenQuanYi Zen Hei"/>
        <family val="2"/>
      </rPr>
      <t xml:space="preserve">전 독재관</t>
    </r>
    <r>
      <rPr>
        <sz val="10"/>
        <rFont val="Arial"/>
        <family val="0"/>
        <charset val="1"/>
      </rPr>
      <t xml:space="preserve">)·Machiavelli(</t>
    </r>
    <r>
      <rPr>
        <sz val="10"/>
        <rFont val="WenQuanYi Zen Hei"/>
        <family val="2"/>
      </rPr>
      <t xml:space="preserve">정치사상가</t>
    </r>
    <r>
      <rPr>
        <sz val="10"/>
        <rFont val="Arial"/>
        <family val="0"/>
        <charset val="1"/>
      </rPr>
      <t xml:space="preserve">)·Garibaldi(</t>
    </r>
    <r>
      <rPr>
        <sz val="10"/>
        <rFont val="WenQuanYi Zen Hei"/>
        <family val="2"/>
      </rPr>
      <t xml:space="preserve">통일운동가</t>
    </r>
    <r>
      <rPr>
        <sz val="10"/>
        <rFont val="Arial"/>
        <family val="0"/>
        <charset val="1"/>
      </rPr>
      <t xml:space="preserve">)·Dante(</t>
    </r>
    <r>
      <rPr>
        <sz val="10"/>
        <rFont val="WenQuanYi Zen Hei"/>
        <family val="2"/>
      </rPr>
      <t xml:space="preserve">시인</t>
    </r>
    <r>
      <rPr>
        <sz val="10"/>
        <rFont val="Arial"/>
        <family val="0"/>
        <charset val="1"/>
      </rPr>
      <t xml:space="preserve">)·Gramsci(</t>
    </r>
    <r>
      <rPr>
        <sz val="10"/>
        <rFont val="WenQuanYi Zen Hei"/>
        <family val="2"/>
      </rPr>
      <t xml:space="preserve">사상가</t>
    </r>
    <r>
      <rPr>
        <sz val="10"/>
        <rFont val="Arial"/>
        <family val="0"/>
        <charset val="1"/>
      </rPr>
      <t xml:space="preserve">)·Galileo(</t>
    </r>
    <r>
      <rPr>
        <sz val="10"/>
        <rFont val="WenQuanYi Zen Hei"/>
        <family val="2"/>
      </rPr>
      <t xml:space="preserve">과학자</t>
    </r>
    <r>
      <rPr>
        <sz val="10"/>
        <rFont val="Arial"/>
        <family val="0"/>
        <charset val="1"/>
      </rPr>
      <t xml:space="preserve">)·Montessori(</t>
    </r>
    <r>
      <rPr>
        <sz val="10"/>
        <rFont val="WenQuanYi Zen Hei"/>
        <family val="2"/>
      </rPr>
      <t xml:space="preserve">교육학자</t>
    </r>
    <r>
      <rPr>
        <sz val="10"/>
        <rFont val="Arial"/>
        <family val="0"/>
        <charset val="1"/>
      </rPr>
      <t xml:space="preserve">) ※ </t>
    </r>
    <r>
      <rPr>
        <sz val="10"/>
        <rFont val="WenQuanYi Zen Hei"/>
        <family val="2"/>
      </rPr>
      <t xml:space="preserve">각자의 시대에 죽었다가 이유 없이 현재 로마에 되살아나 사무소에 합류</t>
    </r>
  </si>
  <si>
    <t xml:space="preserve">서민·청년</t>
  </si>
  <si>
    <r>
      <rPr>
        <sz val="10"/>
        <rFont val="Arial"/>
        <family val="0"/>
        <charset val="1"/>
      </rPr>
      <t xml:space="preserve">Rosa(</t>
    </r>
    <r>
      <rPr>
        <sz val="10"/>
        <rFont val="WenQuanYi Zen Hei"/>
        <family val="2"/>
      </rPr>
      <t xml:space="preserve">트라토리아 사장</t>
    </r>
    <r>
      <rPr>
        <sz val="10"/>
        <rFont val="Arial"/>
        <family val="0"/>
        <charset val="1"/>
      </rPr>
      <t xml:space="preserve">)·Paolo(</t>
    </r>
    <r>
      <rPr>
        <sz val="10"/>
        <rFont val="WenQuanYi Zen Hei"/>
        <family val="2"/>
      </rPr>
      <t xml:space="preserve">노조위원장</t>
    </r>
    <r>
      <rPr>
        <sz val="10"/>
        <rFont val="Arial"/>
        <family val="0"/>
        <charset val="1"/>
      </rPr>
      <t xml:space="preserve">)·Sofia M.(</t>
    </r>
    <r>
      <rPr>
        <sz val="10"/>
        <rFont val="WenQuanYi Zen Hei"/>
        <family val="2"/>
      </rPr>
      <t xml:space="preserve">인턴</t>
    </r>
    <r>
      <rPr>
        <sz val="10"/>
        <rFont val="Arial"/>
        <family val="0"/>
        <charset val="1"/>
      </rPr>
      <t xml:space="preserve">)</t>
    </r>
  </si>
  <si>
    <t xml:space="preserve">금융</t>
  </si>
  <si>
    <r>
      <rPr>
        <sz val="10"/>
        <rFont val="Arial"/>
        <family val="0"/>
        <charset val="1"/>
      </rPr>
      <t xml:space="preserve">Francesco(</t>
    </r>
    <r>
      <rPr>
        <sz val="10"/>
        <rFont val="WenQuanYi Zen Hei"/>
        <family val="2"/>
      </rPr>
      <t xml:space="preserve">전 은행 지점장</t>
    </r>
    <r>
      <rPr>
        <sz val="10"/>
        <rFont val="Arial"/>
        <family val="0"/>
        <charset val="1"/>
      </rPr>
      <t xml:space="preserve">)</t>
    </r>
  </si>
  <si>
    <t xml:space="preserve">시트 안내 (클릭하면 이동)</t>
  </si>
  <si>
    <t xml:space="preserve">캐릭터</t>
  </si>
  <si>
    <t xml:space="preserve">기준표</t>
  </si>
  <si>
    <r>
      <rPr>
        <sz val="10"/>
        <rFont val="Arial"/>
        <family val="0"/>
        <charset val="1"/>
      </rPr>
      <t xml:space="preserve">15</t>
    </r>
    <r>
      <rPr>
        <sz val="10"/>
        <rFont val="WenQuanYi Zen Hei"/>
        <family val="2"/>
      </rPr>
      <t xml:space="preserve">인의 이름</t>
    </r>
    <r>
      <rPr>
        <sz val="10"/>
        <rFont val="Arial"/>
        <family val="0"/>
        <charset val="1"/>
      </rPr>
      <t xml:space="preserve">·</t>
    </r>
    <r>
      <rPr>
        <sz val="10"/>
        <rFont val="WenQuanYi Zen Hei"/>
        <family val="2"/>
      </rPr>
      <t xml:space="preserve">나이</t>
    </r>
    <r>
      <rPr>
        <sz val="10"/>
        <rFont val="Arial"/>
        <family val="0"/>
        <charset val="1"/>
      </rPr>
      <t xml:space="preserve">·</t>
    </r>
    <r>
      <rPr>
        <sz val="10"/>
        <rFont val="WenQuanYi Zen Hei"/>
        <family val="2"/>
      </rPr>
      <t xml:space="preserve">결핍</t>
    </r>
    <r>
      <rPr>
        <sz val="10"/>
        <rFont val="Arial"/>
        <family val="0"/>
        <charset val="1"/>
      </rPr>
      <t xml:space="preserve">·</t>
    </r>
    <r>
      <rPr>
        <sz val="10"/>
        <rFont val="WenQuanYi Zen Hei"/>
        <family val="2"/>
      </rPr>
      <t xml:space="preserve">말투</t>
    </r>
    <r>
      <rPr>
        <sz val="10"/>
        <rFont val="Arial"/>
        <family val="0"/>
        <charset val="1"/>
      </rPr>
      <t xml:space="preserve">·</t>
    </r>
    <r>
      <rPr>
        <sz val="10"/>
        <rFont val="WenQuanYi Zen Hei"/>
        <family val="2"/>
      </rPr>
      <t xml:space="preserve">시그니처</t>
    </r>
    <r>
      <rPr>
        <sz val="10"/>
        <rFont val="Arial"/>
        <family val="0"/>
        <charset val="1"/>
      </rPr>
      <t xml:space="preserve">·</t>
    </r>
    <r>
      <rPr>
        <sz val="10"/>
        <rFont val="WenQuanYi Zen Hei"/>
        <family val="2"/>
      </rPr>
      <t xml:space="preserve">낭독 포인트</t>
    </r>
    <r>
      <rPr>
        <sz val="10"/>
        <rFont val="Arial"/>
        <family val="0"/>
        <charset val="1"/>
      </rPr>
      <t xml:space="preserve">·</t>
    </r>
    <r>
      <rPr>
        <sz val="10"/>
        <rFont val="WenQuanYi Zen Hei"/>
        <family val="2"/>
      </rPr>
      <t xml:space="preserve">대화문 장치</t>
    </r>
    <r>
      <rPr>
        <sz val="10"/>
        <rFont val="Arial"/>
        <family val="0"/>
        <charset val="1"/>
      </rPr>
      <t xml:space="preserve">·</t>
    </r>
    <r>
      <rPr>
        <sz val="10"/>
        <rFont val="WenQuanYi Zen Hei"/>
        <family val="2"/>
      </rPr>
      <t xml:space="preserve">직책</t>
    </r>
    <r>
      <rPr>
        <sz val="10"/>
        <rFont val="Arial"/>
        <family val="0"/>
        <charset val="1"/>
      </rPr>
      <t xml:space="preserve">·</t>
    </r>
    <r>
      <rPr>
        <sz val="10"/>
        <rFont val="WenQuanYi Zen Hei"/>
        <family val="2"/>
      </rPr>
      <t xml:space="preserve">현안 담당</t>
    </r>
  </si>
  <si>
    <t xml:space="preserve">등장비중</t>
  </si>
  <si>
    <r>
      <rPr>
        <sz val="10"/>
        <rFont val="Arial"/>
        <family val="0"/>
        <charset val="1"/>
      </rPr>
      <t xml:space="preserve">13</t>
    </r>
    <r>
      <rPr>
        <sz val="10"/>
        <rFont val="WenQuanYi Zen Hei"/>
        <family val="2"/>
      </rPr>
      <t xml:space="preserve">부 배분표</t>
    </r>
    <r>
      <rPr>
        <sz val="10"/>
        <rFont val="Arial"/>
        <family val="0"/>
        <charset val="1"/>
      </rPr>
      <t xml:space="preserve">, </t>
    </r>
    <r>
      <rPr>
        <sz val="10"/>
        <rFont val="WenQuanYi Zen Hei"/>
        <family val="2"/>
      </rPr>
      <t xml:space="preserve">합계</t>
    </r>
    <r>
      <rPr>
        <sz val="10"/>
        <rFont val="Arial"/>
        <family val="0"/>
        <charset val="1"/>
      </rPr>
      <t xml:space="preserve">·</t>
    </r>
    <r>
      <rPr>
        <sz val="10"/>
        <rFont val="WenQuanYi Zen Hei"/>
        <family val="2"/>
      </rPr>
      <t xml:space="preserve">비중</t>
    </r>
    <r>
      <rPr>
        <sz val="10"/>
        <rFont val="Arial"/>
        <family val="0"/>
        <charset val="1"/>
      </rPr>
      <t xml:space="preserve">·</t>
    </r>
    <r>
      <rPr>
        <sz val="10"/>
        <rFont val="WenQuanYi Zen Hei"/>
        <family val="2"/>
      </rPr>
      <t xml:space="preserve">등급</t>
    </r>
    <r>
      <rPr>
        <sz val="10"/>
        <rFont val="Arial"/>
        <family val="0"/>
        <charset val="1"/>
      </rPr>
      <t xml:space="preserve">(</t>
    </r>
    <r>
      <rPr>
        <sz val="10"/>
        <rFont val="WenQuanYi Zen Hei"/>
        <family val="2"/>
      </rPr>
      <t xml:space="preserve">수식</t>
    </r>
    <r>
      <rPr>
        <sz val="10"/>
        <rFont val="Arial"/>
        <family val="0"/>
        <charset val="1"/>
      </rPr>
      <t xml:space="preserve">), </t>
    </r>
    <r>
      <rPr>
        <sz val="10"/>
        <rFont val="WenQuanYi Zen Hei"/>
        <family val="2"/>
      </rPr>
      <t xml:space="preserve">조연 단독 중심 화 목표</t>
    </r>
  </si>
  <si>
    <t xml:space="preserve">턴_설계</t>
  </si>
  <si>
    <t xml:space="preserve">화당 120턴 설계: 13부 × 화자 점유율(턴 기준), 평균 단어/턴, 화당 단어·낭독 시간(수식), 화 유형별 턴 구성, 집필 규칙</t>
  </si>
  <si>
    <t xml:space="preserve">13부_구성</t>
  </si>
  <si>
    <t xml:space="preserve">구조</t>
  </si>
  <si>
    <r>
      <rPr>
        <sz val="10"/>
        <rFont val="Arial"/>
        <family val="0"/>
        <charset val="1"/>
      </rPr>
      <t xml:space="preserve">13</t>
    </r>
    <r>
      <rPr>
        <sz val="10"/>
        <rFont val="WenQuanYi Zen Hei"/>
        <family val="2"/>
      </rPr>
      <t xml:space="preserve">부 한눈에 보기</t>
    </r>
    <r>
      <rPr>
        <sz val="10"/>
        <rFont val="Arial"/>
        <family val="0"/>
        <charset val="1"/>
      </rPr>
      <t xml:space="preserve">: </t>
    </r>
    <r>
      <rPr>
        <sz val="10"/>
        <rFont val="WenQuanYi Zen Hei"/>
        <family val="2"/>
      </rPr>
      <t xml:space="preserve">배경</t>
    </r>
    <r>
      <rPr>
        <sz val="10"/>
        <rFont val="Arial"/>
        <family val="0"/>
        <charset val="1"/>
      </rPr>
      <t xml:space="preserve">·</t>
    </r>
    <r>
      <rPr>
        <sz val="10"/>
        <rFont val="WenQuanYi Zen Hei"/>
        <family val="2"/>
      </rPr>
      <t xml:space="preserve">핵심 내용</t>
    </r>
    <r>
      <rPr>
        <sz val="10"/>
        <rFont val="Arial"/>
        <family val="0"/>
        <charset val="1"/>
      </rPr>
      <t xml:space="preserve">·</t>
    </r>
    <r>
      <rPr>
        <sz val="10"/>
        <rFont val="WenQuanYi Zen Hei"/>
        <family val="2"/>
      </rPr>
      <t xml:space="preserve">난이도</t>
    </r>
    <r>
      <rPr>
        <sz val="10"/>
        <rFont val="Arial"/>
        <family val="0"/>
        <charset val="1"/>
      </rPr>
      <t xml:space="preserve">(CEFR)·</t>
    </r>
    <r>
      <rPr>
        <sz val="10"/>
        <rFont val="WenQuanYi Zen Hei"/>
        <family val="2"/>
      </rPr>
      <t xml:space="preserve">반영 제도</t>
    </r>
  </si>
  <si>
    <t xml:space="preserve">아크_구성계획</t>
  </si>
  <si>
    <t xml:space="preserve">구성 계획</t>
  </si>
  <si>
    <r>
      <rPr>
        <sz val="10"/>
        <rFont val="Arial"/>
        <family val="0"/>
        <charset val="1"/>
      </rPr>
      <t xml:space="preserve">1~13</t>
    </r>
    <r>
      <rPr>
        <sz val="10"/>
        <rFont val="WenQuanYi Zen Hei"/>
        <family val="2"/>
      </rPr>
      <t xml:space="preserve">부 아크별 구성 계획</t>
    </r>
    <r>
      <rPr>
        <sz val="10"/>
        <rFont val="Arial"/>
        <family val="0"/>
        <charset val="1"/>
      </rPr>
      <t xml:space="preserve">: </t>
    </r>
    <r>
      <rPr>
        <sz val="10"/>
        <rFont val="WenQuanYi Zen Hei"/>
        <family val="2"/>
      </rPr>
      <t xml:space="preserve">서사 기능</t>
    </r>
    <r>
      <rPr>
        <sz val="10"/>
        <rFont val="Arial"/>
        <family val="0"/>
        <charset val="1"/>
      </rPr>
      <t xml:space="preserve">·</t>
    </r>
    <r>
      <rPr>
        <sz val="10"/>
        <rFont val="WenQuanYi Zen Hei"/>
        <family val="2"/>
      </rPr>
      <t xml:space="preserve">로그라인</t>
    </r>
    <r>
      <rPr>
        <sz val="10"/>
        <rFont val="Arial"/>
        <family val="0"/>
        <charset val="1"/>
      </rPr>
      <t xml:space="preserve">·</t>
    </r>
    <r>
      <rPr>
        <sz val="10"/>
        <rFont val="WenQuanYi Zen Hei"/>
        <family val="2"/>
      </rPr>
      <t xml:space="preserve">비트</t>
    </r>
    <r>
      <rPr>
        <sz val="10"/>
        <rFont val="Arial"/>
        <family val="0"/>
        <charset val="1"/>
      </rPr>
      <t xml:space="preserve">·</t>
    </r>
    <r>
      <rPr>
        <sz val="10"/>
        <rFont val="WenQuanYi Zen Hei"/>
        <family val="2"/>
      </rPr>
      <t xml:space="preserve">인물 아크</t>
    </r>
    <r>
      <rPr>
        <sz val="10"/>
        <rFont val="Arial"/>
        <family val="0"/>
        <charset val="1"/>
      </rPr>
      <t xml:space="preserve">·</t>
    </r>
    <r>
      <rPr>
        <sz val="10"/>
        <rFont val="WenQuanYi Zen Hei"/>
        <family val="2"/>
      </rPr>
      <t xml:space="preserve">복선</t>
    </r>
    <r>
      <rPr>
        <sz val="10"/>
        <rFont val="Arial"/>
        <family val="0"/>
        <charset val="1"/>
      </rPr>
      <t xml:space="preserve">·</t>
    </r>
    <r>
      <rPr>
        <sz val="10"/>
        <rFont val="WenQuanYi Zen Hei"/>
        <family val="2"/>
      </rPr>
      <t xml:space="preserve">현안</t>
    </r>
    <r>
      <rPr>
        <sz val="10"/>
        <rFont val="Arial"/>
        <family val="0"/>
        <charset val="1"/>
      </rPr>
      <t xml:space="preserve">·</t>
    </r>
    <r>
      <rPr>
        <sz val="10"/>
        <rFont val="WenQuanYi Zen Hei"/>
        <family val="2"/>
      </rPr>
      <t xml:space="preserve">언어 설계</t>
    </r>
  </si>
  <si>
    <t xml:space="preserve">화별목차_전체</t>
  </si>
  <si>
    <t xml:space="preserve">목차</t>
  </si>
  <si>
    <r>
      <rPr>
        <sz val="10"/>
        <rFont val="Arial"/>
        <family val="0"/>
        <charset val="1"/>
      </rPr>
      <t xml:space="preserve">1~13</t>
    </r>
    <r>
      <rPr>
        <sz val="10"/>
        <rFont val="WenQuanYi Zen Hei"/>
        <family val="2"/>
      </rPr>
      <t xml:space="preserve">부 </t>
    </r>
    <r>
      <rPr>
        <sz val="10"/>
        <rFont val="Arial"/>
        <family val="0"/>
        <charset val="1"/>
      </rPr>
      <t xml:space="preserve">156</t>
    </r>
    <r>
      <rPr>
        <sz val="10"/>
        <rFont val="WenQuanYi Zen Hei"/>
        <family val="2"/>
      </rPr>
      <t xml:space="preserve">화의 서사 기능</t>
    </r>
    <r>
      <rPr>
        <sz val="10"/>
        <rFont val="Arial"/>
        <family val="0"/>
        <charset val="1"/>
      </rPr>
      <t xml:space="preserve">·</t>
    </r>
    <r>
      <rPr>
        <sz val="10"/>
        <rFont val="WenQuanYi Zen Hei"/>
        <family val="2"/>
      </rPr>
      <t xml:space="preserve">제목</t>
    </r>
    <r>
      <rPr>
        <sz val="10"/>
        <rFont val="Arial"/>
        <family val="0"/>
        <charset val="1"/>
      </rPr>
      <t xml:space="preserve">(</t>
    </r>
    <r>
      <rPr>
        <sz val="10"/>
        <rFont val="WenQuanYi Zen Hei"/>
        <family val="2"/>
      </rPr>
      <t xml:space="preserve">이탈리아어</t>
    </r>
    <r>
      <rPr>
        <sz val="10"/>
        <rFont val="Arial"/>
        <family val="0"/>
        <charset val="1"/>
      </rPr>
      <t xml:space="preserve">)·</t>
    </r>
    <r>
      <rPr>
        <sz val="10"/>
        <rFont val="WenQuanYi Zen Hei"/>
        <family val="2"/>
      </rPr>
      <t xml:space="preserve">핵심 사건</t>
    </r>
    <r>
      <rPr>
        <sz val="10"/>
        <rFont val="Arial"/>
        <family val="0"/>
        <charset val="1"/>
      </rPr>
      <t xml:space="preserve">·</t>
    </r>
    <r>
      <rPr>
        <sz val="10"/>
        <rFont val="WenQuanYi Zen Hei"/>
        <family val="2"/>
      </rPr>
      <t xml:space="preserve">반영 제도</t>
    </r>
    <r>
      <rPr>
        <sz val="10"/>
        <rFont val="Arial"/>
        <family val="0"/>
        <charset val="1"/>
      </rPr>
      <t xml:space="preserve">·</t>
    </r>
    <r>
      <rPr>
        <sz val="10"/>
        <rFont val="WenQuanYi Zen Hei"/>
        <family val="2"/>
      </rPr>
      <t xml:space="preserve">인물</t>
    </r>
    <r>
      <rPr>
        <sz val="10"/>
        <rFont val="Arial"/>
        <family val="0"/>
        <charset val="1"/>
      </rPr>
      <t xml:space="preserve">·</t>
    </r>
    <r>
      <rPr>
        <sz val="10"/>
        <rFont val="WenQuanYi Zen Hei"/>
        <family val="2"/>
      </rPr>
      <t xml:space="preserve">현안 </t>
    </r>
    <r>
      <rPr>
        <sz val="10"/>
        <rFont val="Arial"/>
        <family val="0"/>
        <charset val="1"/>
      </rPr>
      <t xml:space="preserve">(</t>
    </r>
    <r>
      <rPr>
        <sz val="10"/>
        <rFont val="WenQuanYi Zen Hei"/>
        <family val="2"/>
      </rPr>
      <t xml:space="preserve">필터 가능</t>
    </r>
    <r>
      <rPr>
        <sz val="10"/>
        <rFont val="Arial"/>
        <family val="0"/>
        <charset val="1"/>
      </rPr>
      <t xml:space="preserve">)</t>
    </r>
  </si>
  <si>
    <t xml:space="preserve">복선_회수</t>
  </si>
  <si>
    <t xml:space="preserve">복선 설치→회수 28건과 간격(부)을 수식으로 계산</t>
  </si>
  <si>
    <t xml:space="preserve">현안_배치</t>
  </si>
  <si>
    <t xml:space="preserve">현안</t>
  </si>
  <si>
    <t xml:space="preserve">이탈리아 현안 18개를 어느 화에 어떻게 녹일지 배치, 균형 유의, 현실 기준값(ISTAT 등)</t>
  </si>
  <si>
    <t xml:space="preserve">현안_분포</t>
  </si>
  <si>
    <t xml:space="preserve">부 × 현안 분포표: 전용 화(●)와 곁가지(○)를 수식으로 집계</t>
  </si>
  <si>
    <t xml:space="preserve">정치제도</t>
  </si>
  <si>
    <t xml:space="preserve">현실 제도</t>
  </si>
  <si>
    <t xml:space="preserve">정당·선거·양원·정부 구성·주(Regione)·사법·EU 제도 기준표 (확인 상태 표시)</t>
  </si>
  <si>
    <t xml:space="preserve">정치경로_의석</t>
  </si>
  <si>
    <t xml:space="preserve">창당→총리 경로와 가상 의석·표결 시뮬레이션(수식): 하원·상원 신임 투표, 불신임안</t>
  </si>
  <si>
    <t xml:space="preserve">호칭규칙</t>
  </si>
  <si>
    <t xml:space="preserve">규칙</t>
  </si>
  <si>
    <r>
      <rPr>
        <sz val="10"/>
        <rFont val="Arial"/>
        <family val="0"/>
        <charset val="1"/>
      </rPr>
      <t xml:space="preserve">tu / Lei / voi / Loro, </t>
    </r>
    <r>
      <rPr>
        <sz val="10"/>
        <rFont val="WenQuanYi Zen Hei"/>
        <family val="2"/>
      </rPr>
      <t xml:space="preserve">양원</t>
    </r>
    <r>
      <rPr>
        <sz val="10"/>
        <rFont val="Arial"/>
        <family val="0"/>
        <charset val="1"/>
      </rPr>
      <t xml:space="preserve">·</t>
    </r>
    <r>
      <rPr>
        <sz val="10"/>
        <rFont val="WenQuanYi Zen Hei"/>
        <family val="2"/>
      </rPr>
      <t xml:space="preserve">시의회 공식 호칭</t>
    </r>
    <r>
      <rPr>
        <sz val="10"/>
        <rFont val="Arial"/>
        <family val="0"/>
        <charset val="1"/>
      </rPr>
      <t xml:space="preserve">, </t>
    </r>
    <r>
      <rPr>
        <sz val="10"/>
        <rFont val="WenQuanYi Zen Hei"/>
        <family val="2"/>
      </rPr>
      <t xml:space="preserve">대통령</t>
    </r>
  </si>
  <si>
    <t xml:space="preserve">Sofia_폭발과욕</t>
  </si>
  <si>
    <t xml:space="preserve">폭발 2회 배치, 3단계 계단, 폭발 직후 반응(대사판), 욕 배정</t>
  </si>
  <si>
    <t xml:space="preserve">Cesare_죽음</t>
  </si>
  <si>
    <t xml:space="preserve">스토리</t>
  </si>
  <si>
    <t xml:space="preserve">심술 독재관 + 시한부 설정, 복선 타임라인 (11부 12화 두 번째 죽음, 13부 유언장)</t>
  </si>
  <si>
    <t xml:space="preserve">Gramsci_출처</t>
  </si>
  <si>
    <t xml:space="preserve">침묵 대신 '출처 안내' — 서가 4칸, 주제별 출처표, 카드 구술 템플릿</t>
  </si>
  <si>
    <t xml:space="preserve">대화문규칙</t>
  </si>
  <si>
    <t xml:space="preserve">전 화 100% 대화문 원칙, 지문 → 대사 대체표, 현안을 다루는 법, 문장 길이·분량 기준</t>
  </si>
  <si>
    <t xml:space="preserve">변경이력_미결</t>
  </si>
  <si>
    <t xml:space="preserve">관리</t>
  </si>
  <si>
    <t xml:space="preserve">변경 이력(스페인판→이탈리아판 대응표 포함)과 확정이 필요한 미결 사항</t>
  </si>
  <si>
    <t xml:space="preserve">범례</t>
  </si>
  <si>
    <t xml:space="preserve">파란 글씨</t>
  </si>
  <si>
    <t xml:space="preserve">직접 입력한 값 (수정 가능)</t>
  </si>
  <si>
    <t xml:space="preserve">노란 배경</t>
  </si>
  <si>
    <t xml:space="preserve">가정 · 확정이 필요한 값</t>
  </si>
  <si>
    <t xml:space="preserve">검정 글씨</t>
  </si>
  <si>
    <t xml:space="preserve">수식으로 계산되는 값 (직접 수정하지 말 것)</t>
  </si>
  <si>
    <t xml:space="preserve">주의: 성별·나이·기관명은 기획용 가상 설정입니다. 법령 번호·조항은 교재에 넣기 전에 Normattiva(normattiva.it)·Gazzetta Ufficiale의 현행 통합본으로 확인하세요.</t>
  </si>
  <si>
    <t xml:space="preserve">캐릭터 바이블 — 15인 (Roma 이탈리아어 낭독 교재 — 캐릭터 바이블 (부활자 특별편))</t>
  </si>
  <si>
    <t xml:space="preserve">No</t>
  </si>
  <si>
    <t xml:space="preserve">그룹</t>
  </si>
  <si>
    <t xml:space="preserve">이름</t>
  </si>
  <si>
    <t xml:space="preserve">약칭</t>
  </si>
  <si>
    <t xml:space="preserve">나이
(1부)</t>
  </si>
  <si>
    <t xml:space="preserve">나이
(11부)</t>
  </si>
  <si>
    <t xml:space="preserve">성별</t>
  </si>
  <si>
    <t xml:space="preserve">직업·신분</t>
  </si>
  <si>
    <t xml:space="preserve">전 소속 (가상)</t>
  </si>
  <si>
    <t xml:space="preserve">결핍 (Herida)</t>
  </si>
  <si>
    <t xml:space="preserve">말투</t>
  </si>
  <si>
    <t xml:space="preserve">시그니처 표현</t>
  </si>
  <si>
    <t xml:space="preserve">낭독 포인트</t>
  </si>
  <si>
    <t xml:space="preserve">대화문 장치 (지문 대체)</t>
  </si>
  <si>
    <t xml:space="preserve">정치 직책 (8~12부, 제안)</t>
  </si>
  <si>
    <r>
      <rPr>
        <b val="true"/>
        <sz val="10"/>
        <color rgb="FFFFFFFF"/>
        <rFont val="Arial"/>
        <family val="0"/>
        <charset val="1"/>
      </rPr>
      <t xml:space="preserve">1</t>
    </r>
    <r>
      <rPr>
        <b val="true"/>
        <sz val="10"/>
        <color rgb="FFFFFFFF"/>
        <rFont val="WenQuanYi Zen Hei"/>
        <family val="2"/>
      </rPr>
      <t xml:space="preserve">부 등장 방식</t>
    </r>
  </si>
  <si>
    <t xml:space="preserve">등장
화 수</t>
  </si>
  <si>
    <t xml:space="preserve">등급</t>
  </si>
  <si>
    <t xml:space="preserve">현안 담당
(ID)</t>
  </si>
  <si>
    <t xml:space="preserve">Marco Ferrari</t>
  </si>
  <si>
    <t xml:space="preserve">Marco</t>
  </si>
  <si>
    <t xml:space="preserve">남</t>
  </si>
  <si>
    <t xml:space="preserve">변호사 (기업·규제 전문)</t>
  </si>
  <si>
    <r>
      <rPr>
        <sz val="10"/>
        <rFont val="Arial"/>
        <family val="0"/>
        <charset val="1"/>
      </rPr>
      <t xml:space="preserve">Ferrari &amp; Colombo Studio Legale (</t>
    </r>
    <r>
      <rPr>
        <sz val="10"/>
        <rFont val="WenQuanYi Zen Hei"/>
        <family val="2"/>
      </rPr>
      <t xml:space="preserve">전 파트너 후보</t>
    </r>
    <r>
      <rPr>
        <sz val="10"/>
        <rFont val="Arial"/>
        <family val="0"/>
        <charset val="1"/>
      </rPr>
      <t xml:space="preserve">)</t>
    </r>
  </si>
  <si>
    <t xml:space="preserve">승소율은 높지만, 강제퇴거 소송에서 이긴 사건 하나가 계속 마음에 걸린다.</t>
  </si>
  <si>
    <t xml:space="preserve">문장이 완결되고 격식체. 초반엔 차갑게 조항을 인용, 후반엔 연설가로 성장.</t>
  </si>
  <si>
    <r>
      <rPr>
        <sz val="10"/>
        <rFont val="Arial"/>
        <family val="0"/>
        <charset val="1"/>
      </rPr>
      <t xml:space="preserve">Andiamo con ordine.\nCon tutto il rispetto, la legge non dice questo.\n(</t>
    </r>
    <r>
      <rPr>
        <sz val="10"/>
        <rFont val="WenQuanYi Zen Hei"/>
        <family val="2"/>
      </rPr>
      <t xml:space="preserve">후반</t>
    </r>
    <r>
      <rPr>
        <sz val="10"/>
        <rFont val="Arial"/>
        <family val="0"/>
        <charset val="1"/>
      </rPr>
      <t xml:space="preserve">) Non vi chiedo di credermi. Vi chiedo di leggere il testo.</t>
    </r>
  </si>
  <si>
    <t xml:space="preserve">또박또박, 중저음.</t>
  </si>
  <si>
    <t xml:space="preserve">법조문을 소리 내어 읽어 상황을 설명한다.</t>
  </si>
  <si>
    <t xml:space="preserve">당 대표(8부) → 하원의원·총리 후보(10부) → 총리</t>
  </si>
  <si>
    <t xml:space="preserve">본격</t>
  </si>
  <si>
    <t xml:space="preserve">P1·P3·E1·N4</t>
  </si>
  <si>
    <t xml:space="preserve">Giulia Romano</t>
  </si>
  <si>
    <t xml:space="preserve">Giulia</t>
  </si>
  <si>
    <t xml:space="preserve">여</t>
  </si>
  <si>
    <t xml:space="preserve">응급의학과 전문의</t>
  </si>
  <si>
    <r>
      <rPr>
        <sz val="10"/>
        <rFont val="Arial"/>
        <family val="0"/>
        <charset val="1"/>
      </rPr>
      <t xml:space="preserve">Ospedale San Camillo (</t>
    </r>
    <r>
      <rPr>
        <sz val="10"/>
        <rFont val="WenQuanYi Zen Hei"/>
        <family val="2"/>
      </rPr>
      <t xml:space="preserve">가상</t>
    </r>
    <r>
      <rPr>
        <sz val="10"/>
        <rFont val="Arial"/>
        <family val="0"/>
        <charset val="1"/>
      </rPr>
      <t xml:space="preserve">)</t>
    </r>
  </si>
  <si>
    <t xml:space="preserve">살리지 못한 환자의 이름을 전부 외우고 있다.</t>
  </si>
  <si>
    <t xml:space="preserve">짧고 명령형, 블랙유머.</t>
  </si>
  <si>
    <t xml:space="preserve">Questa non è una statistica, è una persona.\nPrima, respira.\nHo visto di peggio in un martedì qualsiasi.</t>
  </si>
  <si>
    <t xml:space="preserve">빠른 템포, 짧은 호흡.</t>
  </si>
  <si>
    <t xml:space="preserve">명령형으로 행동을 말하며 진행한다.</t>
  </si>
  <si>
    <t xml:space="preserve">주의회 의원(9부) → 보건부 장관</t>
  </si>
  <si>
    <t xml:space="preserve">S3·S4·S2·N8</t>
  </si>
  <si>
    <t xml:space="preserve">Alessandro Conti</t>
  </si>
  <si>
    <t xml:space="preserve">Alessandro</t>
  </si>
  <si>
    <t xml:space="preserve">공인회계사 (감사)</t>
  </si>
  <si>
    <r>
      <rPr>
        <sz val="10"/>
        <rFont val="Arial"/>
        <family val="0"/>
        <charset val="1"/>
      </rPr>
      <t xml:space="preserve">Conti Revisori (</t>
    </r>
    <r>
      <rPr>
        <sz val="10"/>
        <rFont val="WenQuanYi Zen Hei"/>
        <family val="2"/>
      </rPr>
      <t xml:space="preserve">전 시니어 파트너</t>
    </r>
    <r>
      <rPr>
        <sz val="10"/>
        <rFont val="Arial"/>
        <family val="0"/>
        <charset val="1"/>
      </rPr>
      <t xml:space="preserve">)</t>
    </r>
  </si>
  <si>
    <t xml:space="preserve">부정을 발견하고도 서명했던 기억.</t>
  </si>
  <si>
    <t xml:space="preserve">건조하고 정확, 비꼬는 유머.</t>
  </si>
  <si>
    <t xml:space="preserve">Fammi vedere le carte.\nQuesto non torna.\nMostrami i numeri e ti dirò chi sei.</t>
  </si>
  <si>
    <t xml:space="preserve">일정한 속도, 결론에서 톤을 낮춘다.</t>
  </si>
  <si>
    <t xml:space="preserve">숫자를 소리 내어 읽는다.</t>
  </si>
  <si>
    <t xml:space="preserve">시의원(9부) → 경제재정부 장관</t>
  </si>
  <si>
    <t xml:space="preserve">E3·E1·N2</t>
  </si>
  <si>
    <t xml:space="preserve">Chiara Bianchi</t>
  </si>
  <si>
    <t xml:space="preserve">Chiara</t>
  </si>
  <si>
    <t xml:space="preserve">전략 컨설턴트</t>
  </si>
  <si>
    <r>
      <rPr>
        <sz val="10"/>
        <rFont val="Arial"/>
        <family val="0"/>
        <charset val="1"/>
      </rPr>
      <t xml:space="preserve">Zenit Consulting (</t>
    </r>
    <r>
      <rPr>
        <sz val="10"/>
        <rFont val="WenQuanYi Zen Hei"/>
        <family val="2"/>
      </rPr>
      <t xml:space="preserve">전 소속</t>
    </r>
    <r>
      <rPr>
        <sz val="10"/>
        <rFont val="Arial"/>
        <family val="0"/>
        <charset val="1"/>
      </rPr>
      <t xml:space="preserve">)</t>
    </r>
  </si>
  <si>
    <t xml:space="preserve">구조조정 표 한 칸이 수백 명의 해고였음을 뒤늦게 안다.</t>
  </si>
  <si>
    <t xml:space="preserve">영어식 경영 용어가 섞인 빠른 말투, 후반 쉬운 말로 성장.</t>
  </si>
  <si>
    <r>
      <rPr>
        <sz val="10"/>
        <rFont val="Arial"/>
        <family val="0"/>
        <charset val="1"/>
      </rPr>
      <t xml:space="preserve">Mettiamolo in una matrice.\n(</t>
    </r>
    <r>
      <rPr>
        <sz val="10"/>
        <rFont val="WenQuanYi Zen Hei"/>
        <family val="2"/>
      </rPr>
      <t xml:space="preserve">후반</t>
    </r>
    <r>
      <rPr>
        <sz val="10"/>
        <rFont val="Arial"/>
        <family val="0"/>
        <charset val="1"/>
      </rPr>
      <t xml:space="preserve">) Ok, senza slide: cosa ti serve davvero?</t>
    </r>
  </si>
  <si>
    <t xml:space="preserve">초반 숨 가쁜 톤, 후반 솔직한 톤.</t>
  </si>
  <si>
    <t xml:space="preserve">프레젠테이션식 브리핑.</t>
  </si>
  <si>
    <t xml:space="preserve">캠프 참모(8~10부) → 총리실 실장</t>
  </si>
  <si>
    <t xml:space="preserve">P1·E2·S1</t>
  </si>
  <si>
    <t xml:space="preserve">Gaio Giulio Cesare</t>
  </si>
  <si>
    <t xml:space="preserve">Cesare</t>
  </si>
  <si>
    <t xml:space="preserve">부활한 정치가·장군 (기원전 100–44)</t>
  </si>
  <si>
    <t xml:space="preserve">로마 공화정 종신독재관</t>
  </si>
  <si>
    <t xml:space="preserve">자신이 암살당하던 순간의 배신을 잊지 못하며, 누구든 너무 가까이 다가오면 본능적으로 경계한다.</t>
  </si>
  <si>
    <t xml:space="preserve">위엄 있고 명령조, 3인칭으로 자기 자신을 지칭하는 버릇이 있다 (『갈리아 전기』식 문체).</t>
  </si>
  <si>
    <r>
      <rPr>
        <sz val="10"/>
        <rFont val="Arial"/>
        <family val="0"/>
        <charset val="1"/>
      </rPr>
      <t xml:space="preserve">Cesare è venuto, ha visto, ha vinto — questa riunione durerà di meno, spero.\n(</t>
    </r>
    <r>
      <rPr>
        <sz val="10"/>
        <rFont val="WenQuanYi Zen Hei"/>
        <family val="2"/>
      </rPr>
      <t xml:space="preserve">현대 용어 오해</t>
    </r>
    <r>
      <rPr>
        <sz val="10"/>
        <rFont val="Arial"/>
        <family val="0"/>
        <charset val="1"/>
      </rPr>
      <t xml:space="preserve">) Un „server“? Cesare capisce: un servo che non dorme mai. Molto romano.\n„Firewall“? Ai miei tempi si chiamava assedio.</t>
    </r>
  </si>
  <si>
    <t xml:space="preserve">느리고 육중한 리듬, 문장 끝에서 상대를 지그시 본다.</t>
  </si>
  <si>
    <r>
      <rPr>
        <sz val="10"/>
        <rFont val="Arial"/>
        <family val="0"/>
        <charset val="1"/>
      </rPr>
      <t xml:space="preserve">'</t>
    </r>
    <r>
      <rPr>
        <sz val="10"/>
        <rFont val="WenQuanYi Zen Hei"/>
        <family val="2"/>
      </rPr>
      <t xml:space="preserve">내가 갈리아에 있을 때는…</t>
    </r>
    <r>
      <rPr>
        <sz val="10"/>
        <rFont val="Arial"/>
        <family val="0"/>
        <charset val="1"/>
      </rPr>
      <t xml:space="preserve">' </t>
    </r>
    <r>
      <rPr>
        <sz val="10"/>
        <rFont val="WenQuanYi Zen Hei"/>
        <family val="2"/>
      </rPr>
      <t xml:space="preserve">식 회상으로 현재를 평가한다</t>
    </r>
    <r>
      <rPr>
        <sz val="10"/>
        <rFont val="Arial"/>
        <family val="0"/>
        <charset val="1"/>
      </rPr>
      <t xml:space="preserve">.</t>
    </r>
  </si>
  <si>
    <t xml:space="preserve">외교·안보 자문 (11부 12화, 브뤼셀 협상 직후 두 번째 죽음)</t>
  </si>
  <si>
    <t xml:space="preserve">준본격 (겨울 복선)</t>
  </si>
  <si>
    <t xml:space="preserve">N3·E3</t>
  </si>
  <si>
    <t xml:space="preserve">Niccolò Machiavelli</t>
  </si>
  <si>
    <t xml:space="preserve">Machiavelli</t>
  </si>
  <si>
    <t xml:space="preserve">부활한 정치사상가 (1469–1527)</t>
  </si>
  <si>
    <t xml:space="preserve">피렌체 공화국 서기관, 『군주론』 저자</t>
  </si>
  <si>
    <t xml:space="preserve">자신의 이름이 '마키아벨리즘'이라는 욕설로 남은 것에 대한 억울함을 냉소로 눌러 담는다.</t>
  </si>
  <si>
    <t xml:space="preserve">건조하고 분석적, 이상과 현실을 항상 구분해서 말한다.</t>
  </si>
  <si>
    <r>
      <rPr>
        <sz val="10"/>
        <rFont val="Arial"/>
        <family val="0"/>
        <charset val="1"/>
      </rPr>
      <t xml:space="preserve">(</t>
    </r>
    <r>
      <rPr>
        <sz val="10"/>
        <rFont val="WenQuanYi Zen Hei"/>
        <family val="2"/>
      </rPr>
      <t xml:space="preserve">고전 인용</t>
    </r>
    <r>
      <rPr>
        <sz val="10"/>
        <rFont val="Arial"/>
        <family val="0"/>
        <charset val="1"/>
      </rPr>
      <t xml:space="preserve">) È meglio essere temuti che amati, se non si può essere entrambe le cose.\n(</t>
    </r>
    <r>
      <rPr>
        <sz val="10"/>
        <rFont val="WenQuanYi Zen Hei"/>
        <family val="2"/>
      </rPr>
      <t xml:space="preserve">현대 용어 재해석</t>
    </r>
    <r>
      <rPr>
        <sz val="10"/>
        <rFont val="Arial"/>
        <family val="0"/>
        <charset val="1"/>
      </rPr>
      <t xml:space="preserve">) „Personal branding“? Un nome elegante per: il Principe che si vende da solo.</t>
    </r>
  </si>
  <si>
    <t xml:space="preserve">낮고 냉정한 톤.</t>
  </si>
  <si>
    <t xml:space="preserve">상황을 '이상 vs 현실' 두 갈래로 나눠 분석해 설명한다.</t>
  </si>
  <si>
    <t xml:space="preserve">정치 전략 자문</t>
  </si>
  <si>
    <t xml:space="preserve">카메오</t>
  </si>
  <si>
    <t xml:space="preserve">P1·P2</t>
  </si>
  <si>
    <t xml:space="preserve">Giuseppe Garibaldi</t>
  </si>
  <si>
    <t xml:space="preserve">Garibaldi</t>
  </si>
  <si>
    <t xml:space="preserve">부활한 통일운동가 (1807–1882)</t>
  </si>
  <si>
    <t xml:space="preserve">이탈리아 통일전쟁 의용군 지휘관</t>
  </si>
  <si>
    <t xml:space="preserve">통일시킨 나라가 다시 갈라지는 걸 보는 게 가장 두렵다 — 지역 갈등 이야기만 나오면 정색한다.</t>
  </si>
  <si>
    <t xml:space="preserve">열정적이고 직설, 행동가 화법. 회의보다 거리로 나가고 싶어 한다.</t>
  </si>
  <si>
    <r>
      <rPr>
        <sz val="10"/>
        <rFont val="Arial"/>
        <family val="0"/>
        <charset val="1"/>
      </rPr>
      <t xml:space="preserve">Obbedisco — ma solo quando ha senso.\n(</t>
    </r>
    <r>
      <rPr>
        <sz val="10"/>
        <rFont val="WenQuanYi Zen Hei"/>
        <family val="2"/>
      </rPr>
      <t xml:space="preserve">현대 용어 오해</t>
    </r>
    <r>
      <rPr>
        <sz val="10"/>
        <rFont val="Arial"/>
        <family val="0"/>
        <charset val="1"/>
      </rPr>
      <t xml:space="preserve">) „Trending“? Vuol dire che il popolo si muove. Verso dove, andiamo a vedere.</t>
    </r>
  </si>
  <si>
    <t xml:space="preserve">빠르고 격정적.</t>
  </si>
  <si>
    <t xml:space="preserve">집회 연설조로 대중의 분위기를 전달한다.</t>
  </si>
  <si>
    <t xml:space="preserve">정당 창당 전략가(8부) → 지역통합 담당 장관</t>
  </si>
  <si>
    <t xml:space="preserve">P2·S3·N1·N5</t>
  </si>
  <si>
    <t xml:space="preserve">Dante Alighieri</t>
  </si>
  <si>
    <t xml:space="preserve">Dante</t>
  </si>
  <si>
    <t xml:space="preserve">부활한 시인 (1265–1321)</t>
  </si>
  <si>
    <t xml:space="preserve">피렌체 추방자, 『신곡』 저자</t>
  </si>
  <si>
    <t xml:space="preserve">평생 고향에서 추방된 채 죽었다 — 지금도 '고향'이라는 말에 예민하게 반응한다.</t>
  </si>
  <si>
    <t xml:space="preserve">장엄하고 상징적인 문어체, 인물마다 지옥·연옥·천국의 어느 층에 어울리는지 비유한다(개그).</t>
  </si>
  <si>
    <r>
      <rPr>
        <sz val="10"/>
        <rFont val="Arial"/>
        <family val="0"/>
        <charset val="1"/>
      </rPr>
      <t xml:space="preserve">(</t>
    </r>
    <r>
      <rPr>
        <sz val="10"/>
        <rFont val="WenQuanYi Zen Hei"/>
        <family val="2"/>
      </rPr>
      <t xml:space="preserve">현대 용어 오해</t>
    </r>
    <r>
      <rPr>
        <sz val="10"/>
        <rFont val="Arial"/>
        <family val="0"/>
        <charset val="1"/>
      </rPr>
      <t xml:space="preserve">) Un „influencer“? Suona come un nuovo venditore di indulgenze — li ho già messi in un girone apposito.\n„Podcast“? Una predica senza chiesa.</t>
    </r>
  </si>
  <si>
    <t xml:space="preserve">느리고 낭송하듯.</t>
  </si>
  <si>
    <t xml:space="preserve">상대의 행동을 단테식 지옥/연옥 비유로 풍자해 설명한다.</t>
  </si>
  <si>
    <t xml:space="preserve">메시지·공보 자문</t>
  </si>
  <si>
    <t xml:space="preserve">N3·N6·N5</t>
  </si>
  <si>
    <t xml:space="preserve">Antonio Gramsci</t>
  </si>
  <si>
    <t xml:space="preserve">Gramsci</t>
  </si>
  <si>
    <t xml:space="preserve">부활한 사상가 (1891–1937)</t>
  </si>
  <si>
    <t xml:space="preserve">이탈리아 공산당 창립자, 파시스트 정권 옥사</t>
  </si>
  <si>
    <t xml:space="preserve">감옥에서 쓴 노트가 자신이 세상을 못 보고 죽은 채 유일하게 남긴 목소리였다는 걸 안다 — 말 한마디의 무게에 집착한다.</t>
  </si>
  <si>
    <t xml:space="preserve">낮고 신중, 권력의 문화적 지배(헤게모니) 개념으로 모든 걸 분석한다.</t>
  </si>
  <si>
    <r>
      <rPr>
        <sz val="10"/>
        <rFont val="Arial"/>
        <family val="0"/>
        <charset val="1"/>
      </rPr>
      <t xml:space="preserve">(</t>
    </r>
    <r>
      <rPr>
        <sz val="10"/>
        <rFont val="WenQuanYi Zen Hei"/>
        <family val="2"/>
      </rPr>
      <t xml:space="preserve">현대 용어 재해석</t>
    </r>
    <r>
      <rPr>
        <sz val="10"/>
        <rFont val="Arial"/>
        <family val="0"/>
        <charset val="1"/>
      </rPr>
      <t xml:space="preserve">) „Storytelling aziendale“? Un nome nuovo per l'egemonia culturale — io l'avevo già capito in cella.\nLa crisi consiste appunto nel fatto che il vecchio muore e il nuovo non può nascere.</t>
    </r>
  </si>
  <si>
    <t xml:space="preserve">느리고 낮은 톤, 침묵이 길다.</t>
  </si>
  <si>
    <t xml:space="preserve">현상을 '누가 문화적 헤게모니를 쥐고 있는가'로 재해석해 설명한다.</t>
  </si>
  <si>
    <t xml:space="preserve">출처·기록 담당(카드) → 사회·문화 정책 자문, 스파이웨어 조사 자문(12부)</t>
  </si>
  <si>
    <t xml:space="preserve">카메오 (고서점·아카이브 단골)</t>
  </si>
  <si>
    <t xml:space="preserve">P3·N7·N2</t>
  </si>
  <si>
    <t xml:space="preserve">Galileo Galilei</t>
  </si>
  <si>
    <t xml:space="preserve">Galileo</t>
  </si>
  <si>
    <t xml:space="preserve">부활한 과학자 (1564–1642)</t>
  </si>
  <si>
    <t xml:space="preserve">종교재판에 회부됐던 천문학자</t>
  </si>
  <si>
    <t xml:space="preserve">한때 자기 눈으로 본 진실을 부정해야 목숨을 부지할 수 있었던 기억 — 지금도 침묵을 강요받으면 몸이 굳는다.</t>
  </si>
  <si>
    <t xml:space="preserve">차분하고 실증적, '그래도 그것은 돈다(Eppur si muove)'는 태도로 조용히 밀어붙인다.</t>
  </si>
  <si>
    <r>
      <rPr>
        <sz val="10"/>
        <rFont val="Arial"/>
        <family val="0"/>
        <charset val="1"/>
      </rPr>
      <t xml:space="preserve">(</t>
    </r>
    <r>
      <rPr>
        <sz val="10"/>
        <rFont val="WenQuanYi Zen Hei"/>
        <family val="2"/>
      </rPr>
      <t xml:space="preserve">현대 용어 오해</t>
    </r>
    <r>
      <rPr>
        <sz val="10"/>
        <rFont val="Arial"/>
        <family val="0"/>
        <charset val="1"/>
      </rPr>
      <t xml:space="preserve">) „Wi-Fi“? Onde invisibili — finalmente qualcuno mi crede senza processo.\nEppur si muove — anche questa riunione, se insistiamo.</t>
    </r>
  </si>
  <si>
    <t xml:space="preserve">느리고 담담한 톤.</t>
  </si>
  <si>
    <t xml:space="preserve">관찰과 증거로 상황을 설명한다 — 의견이 아니라 데이터로 말한다.</t>
  </si>
  <si>
    <t xml:space="preserve">사무소 공론화·검증 담당 → 정부 대변인(11부~)</t>
  </si>
  <si>
    <t xml:space="preserve">P3·N7·N4</t>
  </si>
  <si>
    <t xml:space="preserve">Rosa Esposito</t>
  </si>
  <si>
    <t xml:space="preserve">Rosa</t>
  </si>
  <si>
    <t xml:space="preserve">트라토리아 사장 (Trattoria da Rosa, 30년 운영)</t>
  </si>
  <si>
    <r>
      <rPr>
        <sz val="10"/>
        <rFont val="Noto Sans CJK SC"/>
        <family val="2"/>
        <charset val="1"/>
      </rPr>
      <t xml:space="preserve">Trattoria da Rosa, Testaccio → </t>
    </r>
    <r>
      <rPr>
        <sz val="10"/>
        <rFont val="WenQuanYi Zen Hei"/>
        <family val="2"/>
      </rPr>
      <t xml:space="preserve">사무소 </t>
    </r>
    <r>
      <rPr>
        <sz val="10"/>
        <rFont val="Noto Sans CJK SC"/>
        <family val="2"/>
        <charset val="1"/>
      </rPr>
      <t xml:space="preserve">1</t>
    </r>
    <r>
      <rPr>
        <sz val="10"/>
        <rFont val="WenQuanYi Zen Hei"/>
        <family val="2"/>
      </rPr>
      <t xml:space="preserve">층으로 이전</t>
    </r>
  </si>
  <si>
    <t xml:space="preserve">임대료 폭등으로 가게를 잃었다.</t>
  </si>
  <si>
    <t xml:space="preserve">로마 토박이 구어체, 누구에게나 tu, 'amore/tesoro'.</t>
  </si>
  <si>
    <t xml:space="preserve">Sedetevi, che vi porto qualcosa.\nA stomaco vuoto non si pensa bene.\nOffre la casa.</t>
  </si>
  <si>
    <t xml:space="preserve">따뜻하고 넉넉한 톤.</t>
  </si>
  <si>
    <t xml:space="preserve">시간·장소·식사를 말로 알린다.</t>
  </si>
  <si>
    <t xml:space="preserve">소상공인 정책 자문 (비공식)</t>
  </si>
  <si>
    <t xml:space="preserve">E1·S2·E2</t>
  </si>
  <si>
    <t xml:space="preserve">Paolo Greco</t>
  </si>
  <si>
    <t xml:space="preserve">Paolo</t>
  </si>
  <si>
    <t xml:space="preserve">전 대중교통 노조위원장</t>
  </si>
  <si>
    <t xml:space="preserve">로마 대중교통 노조 (파업 책임으로 해고)</t>
  </si>
  <si>
    <t xml:space="preserve">파업 책임으로 해고되어 블랙리스트에 올랐지만 후회하지 않는다.</t>
  </si>
  <si>
    <t xml:space="preserve">거칠고 직설적, 구호형 문장.</t>
  </si>
  <si>
    <t xml:space="preserve">Qui non si arrende nessuno!\nQuesto si risolve in strada.\nNon mi rompere.</t>
  </si>
  <si>
    <t xml:space="preserve">큰 볼륨, 강한 억양.</t>
  </si>
  <si>
    <t xml:space="preserve">구호와 함성으로 현장 분위기를 전달한다.</t>
  </si>
  <si>
    <t xml:space="preserve">사회적 대화 자문</t>
  </si>
  <si>
    <t xml:space="preserve">S1·N6·P1</t>
  </si>
  <si>
    <t xml:space="preserve">Sofia Marino</t>
  </si>
  <si>
    <t xml:space="preserve">Sofia M.</t>
  </si>
  <si>
    <t xml:space="preserve">신입 인턴 (독자의 대리인)</t>
  </si>
  <si>
    <t xml:space="preserve">대기업 인턴 출신 (부당 해고)</t>
  </si>
  <si>
    <t xml:space="preserve">대기업 인턴에서 부당하게 쫓겨났고 월세가 밀려 있다.</t>
  </si>
  <si>
    <r>
      <rPr>
        <sz val="10"/>
        <rFont val="Arial"/>
        <family val="0"/>
        <charset val="1"/>
      </rPr>
      <t xml:space="preserve">Z</t>
    </r>
    <r>
      <rPr>
        <sz val="10"/>
        <rFont val="WenQuanYi Zen Hei"/>
        <family val="2"/>
      </rPr>
      <t xml:space="preserve">세대 구어체 </t>
    </r>
    <r>
      <rPr>
        <sz val="10"/>
        <rFont val="Arial"/>
        <family val="0"/>
        <charset val="1"/>
      </rPr>
      <t xml:space="preserve">(tipo, boh, spacca). </t>
    </r>
    <r>
      <rPr>
        <sz val="10"/>
        <rFont val="WenQuanYi Zen Hei"/>
        <family val="2"/>
      </rPr>
      <t xml:space="preserve">어른들에겐 </t>
    </r>
    <r>
      <rPr>
        <sz val="10"/>
        <rFont val="Arial"/>
        <family val="0"/>
        <charset val="1"/>
      </rPr>
      <t xml:space="preserve">Lei, </t>
    </r>
    <r>
      <rPr>
        <sz val="10"/>
        <rFont val="WenQuanYi Zen Hei"/>
        <family val="2"/>
      </rPr>
      <t xml:space="preserve">성장하며 </t>
    </r>
    <r>
      <rPr>
        <sz val="10"/>
        <rFont val="Arial"/>
        <family val="0"/>
        <charset val="1"/>
      </rPr>
      <t xml:space="preserve">tu</t>
    </r>
    <r>
      <rPr>
        <sz val="10"/>
        <rFont val="WenQuanYi Zen Hei"/>
        <family val="2"/>
      </rPr>
      <t xml:space="preserve">로 넘어간다</t>
    </r>
    <r>
      <rPr>
        <sz val="10"/>
        <rFont val="Arial"/>
        <family val="0"/>
        <charset val="1"/>
      </rPr>
      <t xml:space="preserve">.</t>
    </r>
  </si>
  <si>
    <r>
      <rPr>
        <sz val="10"/>
        <rFont val="Arial"/>
        <family val="0"/>
        <charset val="1"/>
      </rPr>
      <t xml:space="preserve">Scusi, cosa significa?\nMe lo spiega come se avessi cinque anni?\nBASTA! Non capisco niente! (</t>
    </r>
    <r>
      <rPr>
        <sz val="10"/>
        <rFont val="WenQuanYi Zen Hei"/>
        <family val="2"/>
      </rPr>
      <t xml:space="preserve">폭발 — </t>
    </r>
    <r>
      <rPr>
        <sz val="10"/>
        <rFont val="Arial"/>
        <family val="0"/>
        <charset val="1"/>
      </rPr>
      <t xml:space="preserve">1</t>
    </r>
    <r>
      <rPr>
        <sz val="10"/>
        <rFont val="WenQuanYi Zen Hei"/>
        <family val="2"/>
      </rPr>
      <t xml:space="preserve">부</t>
    </r>
    <r>
      <rPr>
        <sz val="10"/>
        <rFont val="Arial"/>
        <family val="0"/>
        <charset val="1"/>
      </rPr>
      <t xml:space="preserve">·9</t>
    </r>
    <r>
      <rPr>
        <sz val="10"/>
        <rFont val="WenQuanYi Zen Hei"/>
        <family val="2"/>
      </rPr>
      <t xml:space="preserve">부</t>
    </r>
    <r>
      <rPr>
        <sz val="10"/>
        <rFont val="Arial"/>
        <family val="0"/>
        <charset val="1"/>
      </rPr>
      <t xml:space="preserve">)</t>
    </r>
  </si>
  <si>
    <t xml:space="preserve">빠르고 밝은 톤.</t>
  </si>
  <si>
    <t xml:space="preserve">질문으로 용어와 배경을 끌어낸다.</t>
  </si>
  <si>
    <t xml:space="preserve">시의원 보좌(9부) → 청년정책 자문관</t>
  </si>
  <si>
    <t xml:space="preserve">S1·N8·S2</t>
  </si>
  <si>
    <t xml:space="preserve">Francesco Rizzo</t>
  </si>
  <si>
    <t xml:space="preserve">Francesco</t>
  </si>
  <si>
    <t xml:space="preserve">전 은행 지점장</t>
  </si>
  <si>
    <r>
      <rPr>
        <sz val="10"/>
        <rFont val="Arial"/>
        <family val="0"/>
        <charset val="1"/>
      </rPr>
      <t xml:space="preserve">Banca Adriatica (25</t>
    </r>
    <r>
      <rPr>
        <sz val="10"/>
        <rFont val="WenQuanYi Zen Hei"/>
        <family val="2"/>
      </rPr>
      <t xml:space="preserve">년 근속</t>
    </r>
    <r>
      <rPr>
        <sz val="10"/>
        <rFont val="Arial"/>
        <family val="0"/>
        <charset val="1"/>
      </rPr>
      <t xml:space="preserve">)</t>
    </r>
  </si>
  <si>
    <t xml:space="preserve">불법 대출 공모를 내부 고발하다 해고되었다.</t>
  </si>
  <si>
    <t xml:space="preserve">정중하고 조심스러운 은행원식 완곡어법.</t>
  </si>
  <si>
    <t xml:space="preserve">Segui il denaro.\nIl denaro lascia sempre una traccia.\nQuando dirigevo la filiale…</t>
  </si>
  <si>
    <t xml:space="preserve">차분하고 신중하게.</t>
  </si>
  <si>
    <t xml:space="preserve">돈의 경로를 «Da A a B…»식으로 그려준다.</t>
  </si>
  <si>
    <t xml:space="preserve">금융 개혁 자문</t>
  </si>
  <si>
    <t xml:space="preserve">카메오 (의뢰인)</t>
  </si>
  <si>
    <t xml:space="preserve">E3·N2·E1</t>
  </si>
  <si>
    <t xml:space="preserve">Maria Montessori</t>
  </si>
  <si>
    <t xml:space="preserve">Montessori</t>
  </si>
  <si>
    <t xml:space="preserve">부활한 교육학자·의사 (1870–1952)</t>
  </si>
  <si>
    <t xml:space="preserve">몬테소리 교육법 창시자, 이탈리아 최초 여성 의사 중 한 명</t>
  </si>
  <si>
    <t xml:space="preserve">자신의 교육법이 세계로 퍼졌지만 정작 자국 파시스트 정권에는 탄압받았던 기억이 있다.</t>
  </si>
  <si>
    <t xml:space="preserve">차분하고 관찰적, 아이 대하듯 사람을 존중하며 말하지만 할 말은 다 한다.</t>
  </si>
  <si>
    <r>
      <rPr>
        <sz val="11"/>
        <color theme="1"/>
        <rFont val="Calibri"/>
        <family val="2"/>
        <charset val="1"/>
      </rPr>
      <t xml:space="preserve">Aiutami a fare da solo.\n(</t>
    </r>
    <r>
      <rPr>
        <sz val="11"/>
        <color theme="1"/>
        <rFont val="WenQuanYi Zen Hei"/>
        <family val="2"/>
      </rPr>
      <t xml:space="preserve">현대 용어 오해</t>
    </r>
    <r>
      <rPr>
        <sz val="11"/>
        <color theme="1"/>
        <rFont val="Calibri"/>
        <family val="2"/>
        <charset val="1"/>
      </rPr>
      <t xml:space="preserve">) „App“? Uno strumento — ma lo strumento non deve mai sostituire la mano che impara.</t>
    </r>
  </si>
  <si>
    <t xml:space="preserve">부드럽고 낮은 톤.</t>
  </si>
  <si>
    <t xml:space="preserve">상대의 말을 관찰하듯 되짚어 정리해 준다.</t>
  </si>
  <si>
    <t xml:space="preserve">사무소 상담 담당 → 교육·청년 정신건강 정책 자문</t>
  </si>
  <si>
    <t xml:space="preserve">N8·N4·S2</t>
  </si>
  <si>
    <t xml:space="preserve">인물별 등장 비중 (부별 등장 화 수)</t>
  </si>
  <si>
    <t xml:space="preserve">등장 화 = 대사가 있는 화 수 (기획용 초안). 파란 숫자는 직접 입력값이며 수정하면 합계·비중·등급이 자동 갱신됩니다.</t>
  </si>
  <si>
    <t xml:space="preserve">인물 (약칭)</t>
  </si>
  <si>
    <r>
      <rPr>
        <b val="true"/>
        <sz val="10"/>
        <color rgb="FFFFFFFF"/>
        <rFont val="Arial"/>
        <family val="0"/>
        <charset val="1"/>
      </rPr>
      <t xml:space="preserve">1</t>
    </r>
    <r>
      <rPr>
        <b val="true"/>
        <sz val="10"/>
        <color rgb="FFFFFFFF"/>
        <rFont val="WenQuanYi Zen Hei"/>
        <family val="2"/>
      </rPr>
      <t xml:space="preserve">부
사무소</t>
    </r>
  </si>
  <si>
    <r>
      <rPr>
        <b val="true"/>
        <sz val="10"/>
        <color rgb="FFFFFFFF"/>
        <rFont val="Arial"/>
        <family val="0"/>
        <charset val="1"/>
      </rPr>
      <t xml:space="preserve">2</t>
    </r>
    <r>
      <rPr>
        <b val="true"/>
        <sz val="10"/>
        <color rgb="FFFFFFFF"/>
        <rFont val="WenQuanYi Zen Hei"/>
        <family val="2"/>
      </rPr>
      <t xml:space="preserve">부
</t>
    </r>
    <r>
      <rPr>
        <b val="true"/>
        <sz val="10"/>
        <color rgb="FFFFFFFF"/>
        <rFont val="Arial"/>
        <family val="0"/>
        <charset val="1"/>
      </rPr>
      <t xml:space="preserve">Marco</t>
    </r>
  </si>
  <si>
    <r>
      <rPr>
        <b val="true"/>
        <sz val="10"/>
        <color rgb="FFFFFFFF"/>
        <rFont val="Arial"/>
        <family val="0"/>
        <charset val="1"/>
      </rPr>
      <t xml:space="preserve">3</t>
    </r>
    <r>
      <rPr>
        <b val="true"/>
        <sz val="10"/>
        <color rgb="FFFFFFFF"/>
        <rFont val="WenQuanYi Zen Hei"/>
        <family val="2"/>
      </rPr>
      <t xml:space="preserve">부
</t>
    </r>
    <r>
      <rPr>
        <b val="true"/>
        <sz val="10"/>
        <color rgb="FFFFFFFF"/>
        <rFont val="Arial"/>
        <family val="0"/>
        <charset val="1"/>
      </rPr>
      <t xml:space="preserve">Giulia</t>
    </r>
  </si>
  <si>
    <r>
      <rPr>
        <b val="true"/>
        <sz val="10"/>
        <color rgb="FFFFFFFF"/>
        <rFont val="Arial"/>
        <family val="0"/>
        <charset val="1"/>
      </rPr>
      <t xml:space="preserve">4</t>
    </r>
    <r>
      <rPr>
        <b val="true"/>
        <sz val="10"/>
        <color rgb="FFFFFFFF"/>
        <rFont val="WenQuanYi Zen Hei"/>
        <family val="2"/>
      </rPr>
      <t xml:space="preserve">부
</t>
    </r>
    <r>
      <rPr>
        <b val="true"/>
        <sz val="10"/>
        <color rgb="FFFFFFFF"/>
        <rFont val="Arial"/>
        <family val="0"/>
        <charset val="1"/>
      </rPr>
      <t xml:space="preserve">Alessandro</t>
    </r>
  </si>
  <si>
    <r>
      <rPr>
        <b val="true"/>
        <sz val="10"/>
        <color rgb="FFFFFFFF"/>
        <rFont val="Arial"/>
        <family val="0"/>
        <charset val="1"/>
      </rPr>
      <t xml:space="preserve">5</t>
    </r>
    <r>
      <rPr>
        <b val="true"/>
        <sz val="10"/>
        <color rgb="FFFFFFFF"/>
        <rFont val="WenQuanYi Zen Hei"/>
        <family val="2"/>
      </rPr>
      <t xml:space="preserve">부
</t>
    </r>
    <r>
      <rPr>
        <b val="true"/>
        <sz val="10"/>
        <color rgb="FFFFFFFF"/>
        <rFont val="Arial"/>
        <family val="0"/>
        <charset val="1"/>
      </rPr>
      <t xml:space="preserve">Chiara</t>
    </r>
  </si>
  <si>
    <r>
      <rPr>
        <b val="true"/>
        <sz val="10"/>
        <color rgb="FFFFFFFF"/>
        <rFont val="Arial"/>
        <family val="0"/>
        <charset val="1"/>
      </rPr>
      <t xml:space="preserve">6</t>
    </r>
    <r>
      <rPr>
        <b val="true"/>
        <sz val="10"/>
        <color rgb="FFFFFFFF"/>
        <rFont val="WenQuanYi Zen Hei"/>
        <family val="2"/>
      </rPr>
      <t xml:space="preserve">부
만남</t>
    </r>
  </si>
  <si>
    <r>
      <rPr>
        <b val="true"/>
        <sz val="10"/>
        <color rgb="FFFFFFFF"/>
        <rFont val="Arial"/>
        <family val="0"/>
        <charset val="1"/>
      </rPr>
      <t xml:space="preserve">7</t>
    </r>
    <r>
      <rPr>
        <b val="true"/>
        <sz val="10"/>
        <color rgb="FFFFFFFF"/>
        <rFont val="WenQuanYi Zen Hei"/>
        <family val="2"/>
      </rPr>
      <t xml:space="preserve">부
전면전</t>
    </r>
  </si>
  <si>
    <r>
      <rPr>
        <b val="true"/>
        <sz val="10"/>
        <color rgb="FFFFFFFF"/>
        <rFont val="Arial"/>
        <family val="0"/>
        <charset val="1"/>
      </rPr>
      <t xml:space="preserve">8</t>
    </r>
    <r>
      <rPr>
        <b val="true"/>
        <sz val="10"/>
        <color rgb="FFFFFFFF"/>
        <rFont val="WenQuanYi Zen Hei"/>
        <family val="2"/>
      </rPr>
      <t xml:space="preserve">부
창당</t>
    </r>
  </si>
  <si>
    <r>
      <rPr>
        <b val="true"/>
        <sz val="10"/>
        <color rgb="FFFFFFFF"/>
        <rFont val="Arial"/>
        <family val="0"/>
        <charset val="1"/>
      </rPr>
      <t xml:space="preserve">9</t>
    </r>
    <r>
      <rPr>
        <b val="true"/>
        <sz val="10"/>
        <color rgb="FFFFFFFF"/>
        <rFont val="WenQuanYi Zen Hei"/>
        <family val="2"/>
      </rPr>
      <t xml:space="preserve">부
시</t>
    </r>
    <r>
      <rPr>
        <b val="true"/>
        <sz val="10"/>
        <color rgb="FFFFFFFF"/>
        <rFont val="Arial"/>
        <family val="0"/>
        <charset val="1"/>
      </rPr>
      <t xml:space="preserve">·</t>
    </r>
    <r>
      <rPr>
        <b val="true"/>
        <sz val="10"/>
        <color rgb="FFFFFFFF"/>
        <rFont val="WenQuanYi Zen Hei"/>
        <family val="2"/>
      </rPr>
      <t xml:space="preserve">주 의회</t>
    </r>
  </si>
  <si>
    <r>
      <rPr>
        <b val="true"/>
        <sz val="10"/>
        <color rgb="FFFFFFFF"/>
        <rFont val="Arial"/>
        <family val="0"/>
        <charset val="1"/>
      </rPr>
      <t xml:space="preserve">10</t>
    </r>
    <r>
      <rPr>
        <b val="true"/>
        <sz val="10"/>
        <color rgb="FFFFFFFF"/>
        <rFont val="WenQuanYi Zen Hei"/>
        <family val="2"/>
      </rPr>
      <t xml:space="preserve">부
총선</t>
    </r>
    <r>
      <rPr>
        <b val="true"/>
        <sz val="10"/>
        <color rgb="FFFFFFFF"/>
        <rFont val="Arial"/>
        <family val="0"/>
        <charset val="1"/>
      </rPr>
      <t xml:space="preserve">·</t>
    </r>
    <r>
      <rPr>
        <b val="true"/>
        <sz val="10"/>
        <color rgb="FFFFFFFF"/>
        <rFont val="WenQuanYi Zen Hei"/>
        <family val="2"/>
      </rPr>
      <t xml:space="preserve">총리</t>
    </r>
  </si>
  <si>
    <r>
      <rPr>
        <b val="true"/>
        <sz val="10"/>
        <color rgb="FFFFFFFF"/>
        <rFont val="Arial"/>
        <family val="0"/>
        <charset val="1"/>
      </rPr>
      <t xml:space="preserve">11</t>
    </r>
    <r>
      <rPr>
        <b val="true"/>
        <sz val="10"/>
        <color rgb="FFFFFFFF"/>
        <rFont val="WenQuanYi Zen Hei"/>
        <family val="2"/>
      </rPr>
      <t xml:space="preserve">부
국정 </t>
    </r>
    <r>
      <rPr>
        <b val="true"/>
        <sz val="10"/>
        <color rgb="FFFFFFFF"/>
        <rFont val="Arial"/>
        <family val="0"/>
        <charset val="1"/>
      </rPr>
      <t xml:space="preserve">I</t>
    </r>
  </si>
  <si>
    <r>
      <rPr>
        <b val="true"/>
        <sz val="10"/>
        <color rgb="FFFFFFFF"/>
        <rFont val="Arial"/>
        <family val="0"/>
        <charset val="1"/>
      </rPr>
      <t xml:space="preserve">12</t>
    </r>
    <r>
      <rPr>
        <b val="true"/>
        <sz val="10"/>
        <color rgb="FFFFFFFF"/>
        <rFont val="WenQuanYi Zen Hei"/>
        <family val="2"/>
      </rPr>
      <t xml:space="preserve">부
국정 </t>
    </r>
    <r>
      <rPr>
        <b val="true"/>
        <sz val="10"/>
        <color rgb="FFFFFFFF"/>
        <rFont val="Arial"/>
        <family val="0"/>
        <charset val="1"/>
      </rPr>
      <t xml:space="preserve">II</t>
    </r>
  </si>
  <si>
    <r>
      <rPr>
        <b val="true"/>
        <sz val="10"/>
        <color rgb="FFFFFFFF"/>
        <rFont val="Arial"/>
        <family val="0"/>
        <charset val="1"/>
      </rPr>
      <t xml:space="preserve">13</t>
    </r>
    <r>
      <rPr>
        <b val="true"/>
        <sz val="10"/>
        <color rgb="FFFFFFFF"/>
        <rFont val="WenQuanYi Zen Hei"/>
        <family val="2"/>
      </rPr>
      <t xml:space="preserve">부
귀환</t>
    </r>
  </si>
  <si>
    <t xml:space="preserve">합계</t>
  </si>
  <si>
    <t xml:space="preserve">비중</t>
  </si>
  <si>
    <t xml:space="preserve">검증
(≤부당 화 수)</t>
  </si>
  <si>
    <t xml:space="preserve">단독 중심 화
목표 (조연)</t>
  </si>
  <si>
    <t xml:space="preserve">—</t>
  </si>
  <si>
    <t xml:space="preserve">부별 연인원 (합계)</t>
  </si>
  <si>
    <t xml:space="preserve">주연</t>
  </si>
  <si>
    <t xml:space="preserve">준주연</t>
  </si>
  <si>
    <t xml:space="preserve">핵심 조연</t>
  </si>
  <si>
    <t xml:space="preserve">조연</t>
  </si>
  <si>
    <t xml:space="preserve">그 미만</t>
  </si>
  <si>
    <t xml:space="preserve">배분 원칙</t>
  </si>
  <si>
    <r>
      <rPr>
        <sz val="10"/>
        <rFont val="Arial"/>
        <family val="0"/>
        <charset val="1"/>
      </rPr>
      <t xml:space="preserve">1. 1</t>
    </r>
    <r>
      <rPr>
        <sz val="10"/>
        <rFont val="WenQuanYi Zen Hei"/>
        <family val="2"/>
      </rPr>
      <t xml:space="preserve">부는 개소 </t>
    </r>
    <r>
      <rPr>
        <sz val="10"/>
        <rFont val="Arial"/>
        <family val="0"/>
        <charset val="1"/>
      </rPr>
      <t xml:space="preserve">1</t>
    </r>
    <r>
      <rPr>
        <sz val="10"/>
        <rFont val="WenQuanYi Zen Hei"/>
        <family val="2"/>
      </rPr>
      <t xml:space="preserve">개월 후 시점</t>
    </r>
    <r>
      <rPr>
        <sz val="10"/>
        <rFont val="Arial"/>
        <family val="0"/>
        <charset val="1"/>
      </rPr>
      <t xml:space="preserve">: Sofia·Rosa</t>
    </r>
    <r>
      <rPr>
        <sz val="10"/>
        <rFont val="WenQuanYi Zen Hei"/>
        <family val="2"/>
      </rPr>
      <t xml:space="preserve">가 전 화에</t>
    </r>
    <r>
      <rPr>
        <sz val="10"/>
        <rFont val="Arial"/>
        <family val="0"/>
        <charset val="1"/>
      </rPr>
      <t xml:space="preserve">, </t>
    </r>
    <r>
      <rPr>
        <sz val="10"/>
        <rFont val="WenQuanYi Zen Hei"/>
        <family val="2"/>
      </rPr>
      <t xml:space="preserve">주력 </t>
    </r>
    <r>
      <rPr>
        <sz val="10"/>
        <rFont val="Arial"/>
        <family val="0"/>
        <charset val="1"/>
      </rPr>
      <t xml:space="preserve">4</t>
    </r>
    <r>
      <rPr>
        <sz val="10"/>
        <rFont val="WenQuanYi Zen Hei"/>
        <family val="2"/>
      </rPr>
      <t xml:space="preserve">인은 사건별로 교대 등장</t>
    </r>
    <r>
      <rPr>
        <sz val="10"/>
        <rFont val="Arial"/>
        <family val="0"/>
        <charset val="1"/>
      </rPr>
      <t xml:space="preserve">(</t>
    </r>
    <r>
      <rPr>
        <sz val="10"/>
        <rFont val="WenQuanYi Zen Hei"/>
        <family val="2"/>
      </rPr>
      <t xml:space="preserve">전원 겹치지 않음</t>
    </r>
    <r>
      <rPr>
        <sz val="10"/>
        <rFont val="Arial"/>
        <family val="0"/>
        <charset val="1"/>
      </rPr>
      <t xml:space="preserve">). Cesare 4</t>
    </r>
    <r>
      <rPr>
        <sz val="10"/>
        <rFont val="WenQuanYi Zen Hei"/>
        <family val="2"/>
      </rPr>
      <t xml:space="preserve">화</t>
    </r>
    <r>
      <rPr>
        <sz val="10"/>
        <rFont val="Arial"/>
        <family val="0"/>
        <charset val="1"/>
      </rPr>
      <t xml:space="preserve">, Machiavelli 3</t>
    </r>
    <r>
      <rPr>
        <sz val="10"/>
        <rFont val="WenQuanYi Zen Hei"/>
        <family val="2"/>
      </rPr>
      <t xml:space="preserve">화로 자주 얼굴을 비추고 </t>
    </r>
    <r>
      <rPr>
        <sz val="10"/>
        <rFont val="Arial"/>
        <family val="0"/>
        <charset val="1"/>
      </rPr>
      <t xml:space="preserve">'</t>
    </r>
    <r>
      <rPr>
        <sz val="10"/>
        <rFont val="WenQuanYi Zen Hei"/>
        <family val="2"/>
      </rPr>
      <t xml:space="preserve">이번 겨울이 마지막</t>
    </r>
    <r>
      <rPr>
        <sz val="10"/>
        <rFont val="Arial"/>
        <family val="0"/>
        <charset val="1"/>
      </rPr>
      <t xml:space="preserve">' </t>
    </r>
    <r>
      <rPr>
        <sz val="10"/>
        <rFont val="WenQuanYi Zen Hei"/>
        <family val="2"/>
      </rPr>
      <t xml:space="preserve">복선을 </t>
    </r>
    <r>
      <rPr>
        <sz val="10"/>
        <rFont val="Arial"/>
        <family val="0"/>
        <charset val="1"/>
      </rPr>
      <t xml:space="preserve">1</t>
    </r>
    <r>
      <rPr>
        <sz val="10"/>
        <rFont val="WenQuanYi Zen Hei"/>
        <family val="2"/>
      </rPr>
      <t xml:space="preserve">화부터 깐다</t>
    </r>
    <r>
      <rPr>
        <sz val="10"/>
        <rFont val="Arial"/>
        <family val="0"/>
        <charset val="1"/>
      </rPr>
      <t xml:space="preserve">. </t>
    </r>
    <r>
      <rPr>
        <sz val="10"/>
        <rFont val="WenQuanYi Zen Hei"/>
        <family val="2"/>
      </rPr>
      <t xml:space="preserve">나머지는 사건마다 다른 조합으로 카메오</t>
    </r>
    <r>
      <rPr>
        <sz val="10"/>
        <rFont val="Arial"/>
        <family val="0"/>
        <charset val="1"/>
      </rPr>
      <t xml:space="preserve">.</t>
    </r>
  </si>
  <si>
    <r>
      <rPr>
        <sz val="10"/>
        <rFont val="Arial"/>
        <family val="0"/>
        <charset val="1"/>
      </rPr>
      <t xml:space="preserve">2. 2~5</t>
    </r>
    <r>
      <rPr>
        <sz val="10"/>
        <rFont val="WenQuanYi Zen Hei"/>
        <family val="2"/>
      </rPr>
      <t xml:space="preserve">부</t>
    </r>
    <r>
      <rPr>
        <sz val="10"/>
        <rFont val="Arial"/>
        <family val="0"/>
        <charset val="1"/>
      </rPr>
      <t xml:space="preserve">: </t>
    </r>
    <r>
      <rPr>
        <sz val="10"/>
        <rFont val="WenQuanYi Zen Hei"/>
        <family val="2"/>
      </rPr>
      <t xml:space="preserve">각 주인공이 자기 부 </t>
    </r>
    <r>
      <rPr>
        <sz val="10"/>
        <rFont val="Arial"/>
        <family val="0"/>
        <charset val="1"/>
      </rPr>
      <t xml:space="preserve">12</t>
    </r>
    <r>
      <rPr>
        <sz val="10"/>
        <rFont val="WenQuanYi Zen Hei"/>
        <family val="2"/>
      </rPr>
      <t xml:space="preserve">화 전부에 나오고</t>
    </r>
    <r>
      <rPr>
        <sz val="10"/>
        <rFont val="Arial"/>
        <family val="0"/>
        <charset val="1"/>
      </rPr>
      <t xml:space="preserve">, </t>
    </r>
    <r>
      <rPr>
        <sz val="10"/>
        <rFont val="WenQuanYi Zen Hei"/>
        <family val="2"/>
      </rPr>
      <t xml:space="preserve">다른 주력 </t>
    </r>
    <r>
      <rPr>
        <sz val="10"/>
        <rFont val="Arial"/>
        <family val="0"/>
        <charset val="1"/>
      </rPr>
      <t xml:space="preserve">3</t>
    </r>
    <r>
      <rPr>
        <sz val="10"/>
        <rFont val="WenQuanYi Zen Hei"/>
        <family val="2"/>
      </rPr>
      <t xml:space="preserve">인은 </t>
    </r>
    <r>
      <rPr>
        <sz val="10"/>
        <rFont val="Arial"/>
        <family val="0"/>
        <charset val="1"/>
      </rPr>
      <t xml:space="preserve">3</t>
    </r>
    <r>
      <rPr>
        <sz val="10"/>
        <rFont val="WenQuanYi Zen Hei"/>
        <family val="2"/>
      </rPr>
      <t xml:space="preserve">화씩 스쳐 지나가며 </t>
    </r>
    <r>
      <rPr>
        <sz val="10"/>
        <rFont val="Arial"/>
        <family val="0"/>
        <charset val="1"/>
      </rPr>
      <t xml:space="preserve">6</t>
    </r>
    <r>
      <rPr>
        <sz val="10"/>
        <rFont val="WenQuanYi Zen Hei"/>
        <family val="2"/>
      </rPr>
      <t xml:space="preserve">부 만남을 예고</t>
    </r>
    <r>
      <rPr>
        <sz val="10"/>
        <rFont val="Arial"/>
        <family val="0"/>
        <charset val="1"/>
      </rPr>
      <t xml:space="preserve">. Sofia</t>
    </r>
    <r>
      <rPr>
        <sz val="10"/>
        <rFont val="WenQuanYi Zen Hei"/>
        <family val="2"/>
      </rPr>
      <t xml:space="preserve">는 </t>
    </r>
    <r>
      <rPr>
        <sz val="10"/>
        <rFont val="Arial"/>
        <family val="0"/>
        <charset val="1"/>
      </rPr>
      <t xml:space="preserve">4</t>
    </r>
    <r>
      <rPr>
        <sz val="10"/>
        <rFont val="WenQuanYi Zen Hei"/>
        <family val="2"/>
      </rPr>
      <t xml:space="preserve">화씩 </t>
    </r>
    <r>
      <rPr>
        <sz val="10"/>
        <rFont val="Arial"/>
        <family val="0"/>
        <charset val="1"/>
      </rPr>
      <t xml:space="preserve">'</t>
    </r>
    <r>
      <rPr>
        <sz val="10"/>
        <rFont val="WenQuanYi Zen Hei"/>
        <family val="2"/>
      </rPr>
      <t xml:space="preserve">사무소에서 이야기를 듣는 프레임</t>
    </r>
    <r>
      <rPr>
        <sz val="10"/>
        <rFont val="Arial"/>
        <family val="0"/>
        <charset val="1"/>
      </rPr>
      <t xml:space="preserve">'</t>
    </r>
    <r>
      <rPr>
        <sz val="10"/>
        <rFont val="WenQuanYi Zen Hei"/>
        <family val="2"/>
      </rPr>
      <t xml:space="preserve">으로 등장해 회상을 잇는다</t>
    </r>
    <r>
      <rPr>
        <sz val="10"/>
        <rFont val="Arial"/>
        <family val="0"/>
        <charset val="1"/>
      </rPr>
      <t xml:space="preserve">.</t>
    </r>
  </si>
  <si>
    <r>
      <rPr>
        <sz val="10"/>
        <rFont val="Arial"/>
        <family val="0"/>
        <charset val="1"/>
      </rPr>
      <t xml:space="preserve">3. </t>
    </r>
    <r>
      <rPr>
        <sz val="10"/>
        <rFont val="WenQuanYi Zen Hei"/>
        <family val="2"/>
      </rPr>
      <t xml:space="preserve">부활자</t>
    </r>
    <r>
      <rPr>
        <sz val="10"/>
        <rFont val="Arial"/>
        <family val="0"/>
        <charset val="1"/>
      </rPr>
      <t xml:space="preserve">·</t>
    </r>
    <r>
      <rPr>
        <sz val="10"/>
        <rFont val="WenQuanYi Zen Hei"/>
        <family val="2"/>
      </rPr>
      <t xml:space="preserve">조연은 과거와 겹치는 곳에만 배치</t>
    </r>
    <r>
      <rPr>
        <sz val="10"/>
        <rFont val="Arial"/>
        <family val="0"/>
        <charset val="1"/>
      </rPr>
      <t xml:space="preserve">: Paolo-5</t>
    </r>
    <r>
      <rPr>
        <sz val="10"/>
        <rFont val="WenQuanYi Zen Hei"/>
        <family val="2"/>
      </rPr>
      <t xml:space="preserve">부</t>
    </r>
    <r>
      <rPr>
        <sz val="10"/>
        <rFont val="Arial"/>
        <family val="0"/>
        <charset val="1"/>
      </rPr>
      <t xml:space="preserve">(Chiara</t>
    </r>
    <r>
      <rPr>
        <sz val="10"/>
        <rFont val="WenQuanYi Zen Hei"/>
        <family val="2"/>
      </rPr>
      <t xml:space="preserve">의 구조조정 현장</t>
    </r>
    <r>
      <rPr>
        <sz val="10"/>
        <rFont val="Arial"/>
        <family val="0"/>
        <charset val="1"/>
      </rPr>
      <t xml:space="preserve">), Francesco·Galileo-4</t>
    </r>
    <r>
      <rPr>
        <sz val="10"/>
        <rFont val="WenQuanYi Zen Hei"/>
        <family val="2"/>
      </rPr>
      <t xml:space="preserve">부</t>
    </r>
    <r>
      <rPr>
        <sz val="10"/>
        <rFont val="Arial"/>
        <family val="0"/>
        <charset val="1"/>
      </rPr>
      <t xml:space="preserve">(Alessandro</t>
    </r>
    <r>
      <rPr>
        <sz val="10"/>
        <rFont val="WenQuanYi Zen Hei"/>
        <family val="2"/>
      </rPr>
      <t xml:space="preserve">의 감사 사건</t>
    </r>
    <r>
      <rPr>
        <sz val="10"/>
        <rFont val="Arial"/>
        <family val="0"/>
        <charset val="1"/>
      </rPr>
      <t xml:space="preserve">), Montessori-3</t>
    </r>
    <r>
      <rPr>
        <sz val="10"/>
        <rFont val="WenQuanYi Zen Hei"/>
        <family val="2"/>
      </rPr>
      <t xml:space="preserve">부</t>
    </r>
    <r>
      <rPr>
        <sz val="10"/>
        <rFont val="Arial"/>
        <family val="0"/>
        <charset val="1"/>
      </rPr>
      <t xml:space="preserve">·5</t>
    </r>
    <r>
      <rPr>
        <sz val="10"/>
        <rFont val="WenQuanYi Zen Hei"/>
        <family val="2"/>
      </rPr>
      <t xml:space="preserve">부</t>
    </r>
    <r>
      <rPr>
        <sz val="10"/>
        <rFont val="Arial"/>
        <family val="0"/>
        <charset val="1"/>
      </rPr>
      <t xml:space="preserve">(</t>
    </r>
    <r>
      <rPr>
        <sz val="10"/>
        <rFont val="WenQuanYi Zen Hei"/>
        <family val="2"/>
      </rPr>
      <t xml:space="preserve">되받기</t>
    </r>
    <r>
      <rPr>
        <sz val="10"/>
        <rFont val="Arial"/>
        <family val="0"/>
        <charset val="1"/>
      </rPr>
      <t xml:space="preserve">·</t>
    </r>
    <r>
      <rPr>
        <sz val="10"/>
        <rFont val="WenQuanYi Zen Hei"/>
        <family val="2"/>
      </rPr>
      <t xml:space="preserve">번아웃 상담</t>
    </r>
    <r>
      <rPr>
        <sz val="10"/>
        <rFont val="Arial"/>
        <family val="0"/>
        <charset val="1"/>
      </rPr>
      <t xml:space="preserve">), Garibaldi-4</t>
    </r>
    <r>
      <rPr>
        <sz val="10"/>
        <rFont val="WenQuanYi Zen Hei"/>
        <family val="2"/>
      </rPr>
      <t xml:space="preserve">부</t>
    </r>
    <r>
      <rPr>
        <sz val="10"/>
        <rFont val="Arial"/>
        <family val="0"/>
        <charset val="1"/>
      </rPr>
      <t xml:space="preserve">(</t>
    </r>
    <r>
      <rPr>
        <sz val="10"/>
        <rFont val="WenQuanYi Zen Hei"/>
        <family val="2"/>
      </rPr>
      <t xml:space="preserve">지역 회계 회상 카메오</t>
    </r>
    <r>
      <rPr>
        <sz val="10"/>
        <rFont val="Arial"/>
        <family val="0"/>
        <charset val="1"/>
      </rPr>
      <t xml:space="preserve">).</t>
    </r>
  </si>
  <si>
    <r>
      <rPr>
        <sz val="10"/>
        <rFont val="Arial"/>
        <family val="0"/>
        <charset val="1"/>
      </rPr>
      <t xml:space="preserve">4. </t>
    </r>
    <r>
      <rPr>
        <sz val="10"/>
        <rFont val="WenQuanYi Zen Hei"/>
        <family val="2"/>
      </rPr>
      <t xml:space="preserve">부활자</t>
    </r>
    <r>
      <rPr>
        <sz val="10"/>
        <rFont val="Arial"/>
        <family val="0"/>
        <charset val="1"/>
      </rPr>
      <t xml:space="preserve">·</t>
    </r>
    <r>
      <rPr>
        <sz val="10"/>
        <rFont val="WenQuanYi Zen Hei"/>
        <family val="2"/>
      </rPr>
      <t xml:space="preserve">조연 본격 비중은 </t>
    </r>
    <r>
      <rPr>
        <sz val="10"/>
        <rFont val="Arial"/>
        <family val="0"/>
        <charset val="1"/>
      </rPr>
      <t xml:space="preserve">7~10</t>
    </r>
    <r>
      <rPr>
        <sz val="10"/>
        <rFont val="WenQuanYi Zen Hei"/>
        <family val="2"/>
      </rPr>
      <t xml:space="preserve">부에서 최고치</t>
    </r>
    <r>
      <rPr>
        <sz val="10"/>
        <rFont val="Arial"/>
        <family val="0"/>
        <charset val="1"/>
      </rPr>
      <t xml:space="preserve">: 7</t>
    </r>
    <r>
      <rPr>
        <sz val="10"/>
        <rFont val="WenQuanYi Zen Hei"/>
        <family val="2"/>
      </rPr>
      <t xml:space="preserve">부 </t>
    </r>
    <r>
      <rPr>
        <sz val="10"/>
        <rFont val="Arial"/>
        <family val="0"/>
        <charset val="1"/>
      </rPr>
      <t xml:space="preserve">Galileo·Paolo·Garibaldi(</t>
    </r>
    <r>
      <rPr>
        <sz val="10"/>
        <rFont val="WenQuanYi Zen Hei"/>
        <family val="2"/>
      </rPr>
      <t xml:space="preserve">공론화</t>
    </r>
    <r>
      <rPr>
        <sz val="10"/>
        <rFont val="Arial"/>
        <family val="0"/>
        <charset val="1"/>
      </rPr>
      <t xml:space="preserve">·</t>
    </r>
    <r>
      <rPr>
        <sz val="10"/>
        <rFont val="WenQuanYi Zen Hei"/>
        <family val="2"/>
      </rPr>
      <t xml:space="preserve">현장 조직</t>
    </r>
    <r>
      <rPr>
        <sz val="10"/>
        <rFont val="Arial"/>
        <family val="0"/>
        <charset val="1"/>
      </rPr>
      <t xml:space="preserve">), 8</t>
    </r>
    <r>
      <rPr>
        <sz val="10"/>
        <rFont val="WenQuanYi Zen Hei"/>
        <family val="2"/>
      </rPr>
      <t xml:space="preserve">부 </t>
    </r>
    <r>
      <rPr>
        <sz val="10"/>
        <rFont val="Arial"/>
        <family val="0"/>
        <charset val="1"/>
      </rPr>
      <t xml:space="preserve">Dante·Machiavelli·Gramsci(</t>
    </r>
    <r>
      <rPr>
        <sz val="10"/>
        <rFont val="WenQuanYi Zen Hei"/>
        <family val="2"/>
      </rPr>
      <t xml:space="preserve">선언문</t>
    </r>
    <r>
      <rPr>
        <sz val="10"/>
        <rFont val="Arial"/>
        <family val="0"/>
        <charset val="1"/>
      </rPr>
      <t xml:space="preserve">·</t>
    </r>
    <r>
      <rPr>
        <sz val="10"/>
        <rFont val="WenQuanYi Zen Hei"/>
        <family val="2"/>
      </rPr>
      <t xml:space="preserve">전략</t>
    </r>
    <r>
      <rPr>
        <sz val="10"/>
        <rFont val="Arial"/>
        <family val="0"/>
        <charset val="1"/>
      </rPr>
      <t xml:space="preserve">·</t>
    </r>
    <r>
      <rPr>
        <sz val="10"/>
        <rFont val="WenQuanYi Zen Hei"/>
        <family val="2"/>
      </rPr>
      <t xml:space="preserve">출처</t>
    </r>
    <r>
      <rPr>
        <sz val="10"/>
        <rFont val="Arial"/>
        <family val="0"/>
        <charset val="1"/>
      </rPr>
      <t xml:space="preserve">), 10</t>
    </r>
    <r>
      <rPr>
        <sz val="10"/>
        <rFont val="WenQuanYi Zen Hei"/>
        <family val="2"/>
      </rPr>
      <t xml:space="preserve">부 </t>
    </r>
    <r>
      <rPr>
        <sz val="10"/>
        <rFont val="Arial"/>
        <family val="0"/>
        <charset val="1"/>
      </rPr>
      <t xml:space="preserve">Dante·Galileo·Gramsci(</t>
    </r>
    <r>
      <rPr>
        <sz val="10"/>
        <rFont val="WenQuanYi Zen Hei"/>
        <family val="2"/>
      </rPr>
      <t xml:space="preserve">취임 연설</t>
    </r>
    <r>
      <rPr>
        <sz val="10"/>
        <rFont val="Arial"/>
        <family val="0"/>
        <charset val="1"/>
      </rPr>
      <t xml:space="preserve">·</t>
    </r>
    <r>
      <rPr>
        <sz val="10"/>
        <rFont val="WenQuanYi Zen Hei"/>
        <family val="2"/>
      </rPr>
      <t xml:space="preserve">대변인</t>
    </r>
    <r>
      <rPr>
        <sz val="10"/>
        <rFont val="Arial"/>
        <family val="0"/>
        <charset val="1"/>
      </rPr>
      <t xml:space="preserve">·</t>
    </r>
    <r>
      <rPr>
        <sz val="10"/>
        <rFont val="WenQuanYi Zen Hei"/>
        <family val="2"/>
      </rPr>
      <t xml:space="preserve">정보 감독</t>
    </r>
    <r>
      <rPr>
        <sz val="10"/>
        <rFont val="Arial"/>
        <family val="0"/>
        <charset val="1"/>
      </rPr>
      <t xml:space="preserve">).</t>
    </r>
  </si>
  <si>
    <r>
      <rPr>
        <sz val="10"/>
        <rFont val="Arial"/>
        <family val="0"/>
        <charset val="1"/>
      </rPr>
      <t xml:space="preserve">5. 11</t>
    </r>
    <r>
      <rPr>
        <sz val="10"/>
        <rFont val="WenQuanYi Zen Hei"/>
        <family val="2"/>
      </rPr>
      <t xml:space="preserve">부</t>
    </r>
    <r>
      <rPr>
        <sz val="10"/>
        <rFont val="Arial"/>
        <family val="0"/>
        <charset val="1"/>
      </rPr>
      <t xml:space="preserve">(</t>
    </r>
    <r>
      <rPr>
        <sz val="10"/>
        <rFont val="WenQuanYi Zen Hei"/>
        <family val="2"/>
      </rPr>
      <t xml:space="preserve">국정 </t>
    </r>
    <r>
      <rPr>
        <sz val="10"/>
        <rFont val="Arial"/>
        <family val="0"/>
        <charset val="1"/>
      </rPr>
      <t xml:space="preserve">I)</t>
    </r>
    <r>
      <rPr>
        <sz val="10"/>
        <rFont val="WenQuanYi Zen Hei"/>
        <family val="2"/>
      </rPr>
      <t xml:space="preserve">는 </t>
    </r>
    <r>
      <rPr>
        <sz val="10"/>
        <rFont val="Arial"/>
        <family val="0"/>
        <charset val="1"/>
      </rPr>
      <t xml:space="preserve">Cesare</t>
    </r>
    <r>
      <rPr>
        <sz val="10"/>
        <rFont val="WenQuanYi Zen Hei"/>
        <family val="2"/>
      </rPr>
      <t xml:space="preserve">가 </t>
    </r>
    <r>
      <rPr>
        <sz val="10"/>
        <rFont val="Arial"/>
        <family val="0"/>
        <charset val="1"/>
      </rPr>
      <t xml:space="preserve">9~12</t>
    </r>
    <r>
      <rPr>
        <sz val="10"/>
        <rFont val="WenQuanYi Zen Hei"/>
        <family val="2"/>
      </rPr>
      <t xml:space="preserve">화에서 브뤼셀 직접 협상을 이끌며 최고치</t>
    </r>
    <r>
      <rPr>
        <sz val="10"/>
        <rFont val="Arial"/>
        <family val="0"/>
        <charset val="1"/>
      </rPr>
      <t xml:space="preserve">(9</t>
    </r>
    <r>
      <rPr>
        <sz val="10"/>
        <rFont val="WenQuanYi Zen Hei"/>
        <family val="2"/>
      </rPr>
      <t xml:space="preserve">화</t>
    </r>
    <r>
      <rPr>
        <sz val="10"/>
        <rFont val="Arial"/>
        <family val="0"/>
        <charset val="1"/>
      </rPr>
      <t xml:space="preserve">)</t>
    </r>
    <r>
      <rPr>
        <sz val="10"/>
        <rFont val="WenQuanYi Zen Hei"/>
        <family val="2"/>
      </rPr>
      <t xml:space="preserve">를 찍고 </t>
    </r>
    <r>
      <rPr>
        <sz val="10"/>
        <rFont val="Arial"/>
        <family val="0"/>
        <charset val="1"/>
      </rPr>
      <t xml:space="preserve">12</t>
    </r>
    <r>
      <rPr>
        <sz val="10"/>
        <rFont val="WenQuanYi Zen Hei"/>
        <family val="2"/>
      </rPr>
      <t xml:space="preserve">화에서 사망한다</t>
    </r>
    <r>
      <rPr>
        <sz val="10"/>
        <rFont val="Arial"/>
        <family val="0"/>
        <charset val="1"/>
      </rPr>
      <t xml:space="preserve">. Francesco</t>
    </r>
    <r>
      <rPr>
        <sz val="10"/>
        <rFont val="WenQuanYi Zen Hei"/>
        <family val="2"/>
      </rPr>
      <t xml:space="preserve">는 앞선 주거</t>
    </r>
    <r>
      <rPr>
        <sz val="10"/>
        <rFont val="Arial"/>
        <family val="0"/>
        <charset val="1"/>
      </rPr>
      <t xml:space="preserve">·</t>
    </r>
    <r>
      <rPr>
        <sz val="10"/>
        <rFont val="WenQuanYi Zen Hei"/>
        <family val="2"/>
      </rPr>
      <t xml:space="preserve">금융 국내 현안 화에서 정점</t>
    </r>
    <r>
      <rPr>
        <sz val="10"/>
        <rFont val="Arial"/>
        <family val="0"/>
        <charset val="1"/>
      </rPr>
      <t xml:space="preserve">.</t>
    </r>
  </si>
  <si>
    <r>
      <rPr>
        <sz val="10"/>
        <rFont val="Arial"/>
        <family val="0"/>
        <charset val="1"/>
      </rPr>
      <t xml:space="preserve">6. 12</t>
    </r>
    <r>
      <rPr>
        <sz val="10"/>
        <rFont val="WenQuanYi Zen Hei"/>
        <family val="2"/>
      </rPr>
      <t xml:space="preserve">부</t>
    </r>
    <r>
      <rPr>
        <sz val="10"/>
        <rFont val="Arial"/>
        <family val="0"/>
        <charset val="1"/>
      </rPr>
      <t xml:space="preserve">(</t>
    </r>
    <r>
      <rPr>
        <sz val="10"/>
        <rFont val="WenQuanYi Zen Hei"/>
        <family val="2"/>
      </rPr>
      <t xml:space="preserve">국정 </t>
    </r>
    <r>
      <rPr>
        <sz val="10"/>
        <rFont val="Arial"/>
        <family val="0"/>
        <charset val="1"/>
      </rPr>
      <t xml:space="preserve">II)</t>
    </r>
    <r>
      <rPr>
        <sz val="10"/>
        <rFont val="WenQuanYi Zen Hei"/>
        <family val="2"/>
      </rPr>
      <t xml:space="preserve">는 </t>
    </r>
    <r>
      <rPr>
        <sz val="10"/>
        <rFont val="Arial"/>
        <family val="0"/>
        <charset val="1"/>
      </rPr>
      <t xml:space="preserve">Cesare </t>
    </r>
    <r>
      <rPr>
        <sz val="10"/>
        <rFont val="WenQuanYi Zen Hei"/>
        <family val="2"/>
      </rPr>
      <t xml:space="preserve">사후</t>
    </r>
    <r>
      <rPr>
        <sz val="10"/>
        <rFont val="Arial"/>
        <family val="0"/>
        <charset val="1"/>
      </rPr>
      <t xml:space="preserve">(0</t>
    </r>
    <r>
      <rPr>
        <sz val="10"/>
        <rFont val="WenQuanYi Zen Hei"/>
        <family val="2"/>
      </rPr>
      <t xml:space="preserve">화</t>
    </r>
    <r>
      <rPr>
        <sz val="10"/>
        <rFont val="Arial"/>
        <family val="0"/>
        <charset val="1"/>
      </rPr>
      <t xml:space="preserve">): 1</t>
    </r>
    <r>
      <rPr>
        <sz val="10"/>
        <rFont val="WenQuanYi Zen Hei"/>
        <family val="2"/>
      </rPr>
      <t xml:space="preserve">화 장례식에 </t>
    </r>
    <r>
      <rPr>
        <sz val="10"/>
        <rFont val="Arial"/>
        <family val="0"/>
        <charset val="1"/>
      </rPr>
      <t xml:space="preserve">Garibaldi·Gramsci·Machiavelli</t>
    </r>
    <r>
      <rPr>
        <sz val="10"/>
        <rFont val="WenQuanYi Zen Hei"/>
        <family val="2"/>
      </rPr>
      <t xml:space="preserve">가 몰리고</t>
    </r>
    <r>
      <rPr>
        <sz val="10"/>
        <rFont val="Arial"/>
        <family val="0"/>
        <charset val="1"/>
      </rPr>
      <t xml:space="preserve">, Alessandro·Dante</t>
    </r>
    <r>
      <rPr>
        <sz val="10"/>
        <rFont val="WenQuanYi Zen Hei"/>
        <family val="2"/>
      </rPr>
      <t xml:space="preserve">가 유작 메모를 이어받는 </t>
    </r>
    <r>
      <rPr>
        <sz val="10"/>
        <rFont val="Arial"/>
        <family val="0"/>
        <charset val="1"/>
      </rPr>
      <t xml:space="preserve">2·3</t>
    </r>
    <r>
      <rPr>
        <sz val="10"/>
        <rFont val="WenQuanYi Zen Hei"/>
        <family val="2"/>
      </rPr>
      <t xml:space="preserve">화에서 비중이 오른다</t>
    </r>
    <r>
      <rPr>
        <sz val="10"/>
        <rFont val="Arial"/>
        <family val="0"/>
        <charset val="1"/>
      </rPr>
      <t xml:space="preserve">.</t>
    </r>
  </si>
  <si>
    <r>
      <rPr>
        <sz val="10"/>
        <rFont val="Arial"/>
        <family val="0"/>
        <charset val="1"/>
      </rPr>
      <t xml:space="preserve">7. 13</t>
    </r>
    <r>
      <rPr>
        <sz val="10"/>
        <rFont val="WenQuanYi Zen Hei"/>
        <family val="2"/>
      </rPr>
      <t xml:space="preserve">부</t>
    </r>
    <r>
      <rPr>
        <sz val="10"/>
        <rFont val="Arial"/>
        <family val="0"/>
        <charset val="1"/>
      </rPr>
      <t xml:space="preserve">(</t>
    </r>
    <r>
      <rPr>
        <sz val="10"/>
        <rFont val="WenQuanYi Zen Hei"/>
        <family val="2"/>
      </rPr>
      <t xml:space="preserve">귀환</t>
    </r>
    <r>
      <rPr>
        <sz val="10"/>
        <rFont val="Arial"/>
        <family val="0"/>
        <charset val="1"/>
      </rPr>
      <t xml:space="preserve">)</t>
    </r>
    <r>
      <rPr>
        <sz val="10"/>
        <rFont val="WenQuanYi Zen Hei"/>
        <family val="2"/>
      </rPr>
      <t xml:space="preserve">는 원형 구조</t>
    </r>
    <r>
      <rPr>
        <sz val="10"/>
        <rFont val="Arial"/>
        <family val="0"/>
        <charset val="1"/>
      </rPr>
      <t xml:space="preserve">: Sofia 12</t>
    </r>
    <r>
      <rPr>
        <sz val="10"/>
        <rFont val="WenQuanYi Zen Hei"/>
        <family val="2"/>
      </rPr>
      <t xml:space="preserve">화 전부</t>
    </r>
    <r>
      <rPr>
        <sz val="10"/>
        <rFont val="Arial"/>
        <family val="0"/>
        <charset val="1"/>
      </rPr>
      <t xml:space="preserve">, Rosa 10</t>
    </r>
    <r>
      <rPr>
        <sz val="10"/>
        <rFont val="WenQuanYi Zen Hei"/>
        <family val="2"/>
      </rPr>
      <t xml:space="preserve">화</t>
    </r>
    <r>
      <rPr>
        <sz val="10"/>
        <rFont val="Arial"/>
        <family val="0"/>
        <charset val="1"/>
      </rPr>
      <t xml:space="preserve">. Cesare</t>
    </r>
    <r>
      <rPr>
        <sz val="10"/>
        <rFont val="WenQuanYi Zen Hei"/>
        <family val="2"/>
      </rPr>
      <t xml:space="preserve">는 유언장</t>
    </r>
    <r>
      <rPr>
        <sz val="10"/>
        <rFont val="Arial"/>
        <family val="0"/>
        <charset val="1"/>
      </rPr>
      <t xml:space="preserve">·</t>
    </r>
    <r>
      <rPr>
        <sz val="10"/>
        <rFont val="WenQuanYi Zen Hei"/>
        <family val="2"/>
      </rPr>
      <t xml:space="preserve">회상으로 </t>
    </r>
    <r>
      <rPr>
        <sz val="10"/>
        <rFont val="Arial"/>
        <family val="0"/>
        <charset val="1"/>
      </rPr>
      <t xml:space="preserve">3</t>
    </r>
    <r>
      <rPr>
        <sz val="10"/>
        <rFont val="WenQuanYi Zen Hei"/>
        <family val="2"/>
      </rPr>
      <t xml:space="preserve">화</t>
    </r>
    <r>
      <rPr>
        <sz val="10"/>
        <rFont val="Arial"/>
        <family val="0"/>
        <charset val="1"/>
      </rPr>
      <t xml:space="preserve">, </t>
    </r>
    <r>
      <rPr>
        <sz val="10"/>
        <rFont val="WenQuanYi Zen Hei"/>
        <family val="2"/>
      </rPr>
      <t xml:space="preserve">주력 </t>
    </r>
    <r>
      <rPr>
        <sz val="10"/>
        <rFont val="Arial"/>
        <family val="0"/>
        <charset val="1"/>
      </rPr>
      <t xml:space="preserve">4</t>
    </r>
    <r>
      <rPr>
        <sz val="10"/>
        <rFont val="WenQuanYi Zen Hei"/>
        <family val="2"/>
      </rPr>
      <t xml:space="preserve">인은 사무소의 손님으로 </t>
    </r>
    <r>
      <rPr>
        <sz val="10"/>
        <rFont val="Arial"/>
        <family val="0"/>
        <charset val="1"/>
      </rPr>
      <t xml:space="preserve">9~10</t>
    </r>
    <r>
      <rPr>
        <sz val="10"/>
        <rFont val="WenQuanYi Zen Hei"/>
        <family val="2"/>
      </rPr>
      <t xml:space="preserve">화 등장</t>
    </r>
    <r>
      <rPr>
        <sz val="10"/>
        <rFont val="Arial"/>
        <family val="0"/>
        <charset val="1"/>
      </rPr>
      <t xml:space="preserve">.</t>
    </r>
  </si>
  <si>
    <r>
      <rPr>
        <sz val="10"/>
        <rFont val="Arial"/>
        <family val="0"/>
        <charset val="1"/>
      </rPr>
      <t xml:space="preserve">8. Cesare</t>
    </r>
    <r>
      <rPr>
        <sz val="10"/>
        <rFont val="WenQuanYi Zen Hei"/>
        <family val="2"/>
      </rPr>
      <t xml:space="preserve">는 </t>
    </r>
    <r>
      <rPr>
        <sz val="10"/>
        <rFont val="Arial"/>
        <family val="0"/>
        <charset val="1"/>
      </rPr>
      <t xml:space="preserve">11</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t>
    </r>
    <r>
      <rPr>
        <sz val="10"/>
        <rFont val="WenQuanYi Zen Hei"/>
        <family val="2"/>
      </rPr>
      <t xml:space="preserve">브뤼셀 승리 직후</t>
    </r>
    <r>
      <rPr>
        <sz val="10"/>
        <rFont val="Arial"/>
        <family val="0"/>
        <charset val="1"/>
      </rPr>
      <t xml:space="preserve">)</t>
    </r>
    <r>
      <rPr>
        <sz val="10"/>
        <rFont val="WenQuanYi Zen Hei"/>
        <family val="2"/>
      </rPr>
      <t xml:space="preserve">에서 두 번째 죽음을 맞는다</t>
    </r>
    <r>
      <rPr>
        <sz val="10"/>
        <rFont val="Arial"/>
        <family val="0"/>
        <charset val="1"/>
      </rPr>
      <t xml:space="preserve">. 12</t>
    </r>
    <r>
      <rPr>
        <sz val="10"/>
        <rFont val="WenQuanYi Zen Hei"/>
        <family val="2"/>
      </rPr>
      <t xml:space="preserve">부 </t>
    </r>
    <r>
      <rPr>
        <sz val="10"/>
        <rFont val="Arial"/>
        <family val="0"/>
        <charset val="1"/>
      </rPr>
      <t xml:space="preserve">1</t>
    </r>
    <r>
      <rPr>
        <sz val="10"/>
        <rFont val="WenQuanYi Zen Hei"/>
        <family val="2"/>
      </rPr>
      <t xml:space="preserve">화 장례식</t>
    </r>
    <r>
      <rPr>
        <sz val="10"/>
        <rFont val="Arial"/>
        <family val="0"/>
        <charset val="1"/>
      </rPr>
      <t xml:space="preserve">, 2·3</t>
    </r>
    <r>
      <rPr>
        <sz val="10"/>
        <rFont val="WenQuanYi Zen Hei"/>
        <family val="2"/>
      </rPr>
      <t xml:space="preserve">화 유작 메모 승계</t>
    </r>
    <r>
      <rPr>
        <sz val="10"/>
        <rFont val="Arial"/>
        <family val="0"/>
        <charset val="1"/>
      </rPr>
      <t xml:space="preserve">, 13</t>
    </r>
    <r>
      <rPr>
        <sz val="10"/>
        <rFont val="WenQuanYi Zen Hei"/>
        <family val="2"/>
      </rPr>
      <t xml:space="preserve">부 </t>
    </r>
    <r>
      <rPr>
        <sz val="10"/>
        <rFont val="Arial"/>
        <family val="0"/>
        <charset val="1"/>
      </rPr>
      <t xml:space="preserve">2</t>
    </r>
    <r>
      <rPr>
        <sz val="10"/>
        <rFont val="WenQuanYi Zen Hei"/>
        <family val="2"/>
      </rPr>
      <t xml:space="preserve">화 유언장까지 이어진다</t>
    </r>
    <r>
      <rPr>
        <sz val="10"/>
        <rFont val="Arial"/>
        <family val="0"/>
        <charset val="1"/>
      </rPr>
      <t xml:space="preserve">.</t>
    </r>
  </si>
  <si>
    <r>
      <rPr>
        <sz val="10"/>
        <rFont val="Arial"/>
        <family val="0"/>
        <charset val="1"/>
      </rPr>
      <t xml:space="preserve">9. </t>
    </r>
    <r>
      <rPr>
        <sz val="10"/>
        <rFont val="WenQuanYi Zen Hei"/>
        <family val="2"/>
      </rPr>
      <t xml:space="preserve">등장 화 수와 대사량은 다르다</t>
    </r>
    <r>
      <rPr>
        <sz val="10"/>
        <rFont val="Arial"/>
        <family val="0"/>
        <charset val="1"/>
      </rPr>
      <t xml:space="preserve">: Sofia</t>
    </r>
    <r>
      <rPr>
        <sz val="10"/>
        <rFont val="WenQuanYi Zen Hei"/>
        <family val="2"/>
      </rPr>
      <t xml:space="preserve">는 약 </t>
    </r>
    <r>
      <rPr>
        <sz val="10"/>
        <rFont val="Arial"/>
        <family val="0"/>
        <charset val="1"/>
      </rPr>
      <t xml:space="preserve">67%</t>
    </r>
    <r>
      <rPr>
        <sz val="10"/>
        <rFont val="WenQuanYi Zen Hei"/>
        <family val="2"/>
      </rPr>
      <t xml:space="preserve">지만 문장이 짧아 대사량은 </t>
    </r>
    <r>
      <rPr>
        <sz val="10"/>
        <rFont val="Arial"/>
        <family val="0"/>
        <charset val="1"/>
      </rPr>
      <t xml:space="preserve">Marco</t>
    </r>
    <r>
      <rPr>
        <sz val="10"/>
        <rFont val="WenQuanYi Zen Hei"/>
        <family val="2"/>
      </rPr>
      <t xml:space="preserve">의 절반 이하가 되게 하고</t>
    </r>
    <r>
      <rPr>
        <sz val="10"/>
        <rFont val="Arial"/>
        <family val="0"/>
        <charset val="1"/>
      </rPr>
      <t xml:space="preserve">, Cesare·Dante</t>
    </r>
    <r>
      <rPr>
        <sz val="10"/>
        <rFont val="WenQuanYi Zen Hei"/>
        <family val="2"/>
      </rPr>
      <t xml:space="preserve">는 화당 대사가 길어도 된다</t>
    </r>
    <r>
      <rPr>
        <sz val="10"/>
        <rFont val="Arial"/>
        <family val="0"/>
        <charset val="1"/>
      </rPr>
      <t xml:space="preserve">.</t>
    </r>
  </si>
  <si>
    <r>
      <rPr>
        <sz val="10"/>
        <rFont val="Arial"/>
        <family val="0"/>
        <charset val="1"/>
      </rPr>
      <t xml:space="preserve">10. </t>
    </r>
    <r>
      <rPr>
        <sz val="10"/>
        <rFont val="WenQuanYi Zen Hei"/>
        <family val="2"/>
      </rPr>
      <t xml:space="preserve">조연 </t>
    </r>
    <r>
      <rPr>
        <sz val="10"/>
        <rFont val="Arial"/>
        <family val="0"/>
        <charset val="1"/>
      </rPr>
      <t xml:space="preserve">11</t>
    </r>
    <r>
      <rPr>
        <sz val="10"/>
        <rFont val="WenQuanYi Zen Hei"/>
        <family val="2"/>
      </rPr>
      <t xml:space="preserve">인은 화 전체의 중심이 되는 에피소드를 각자 </t>
    </r>
    <r>
      <rPr>
        <sz val="10"/>
        <rFont val="Arial"/>
        <family val="0"/>
        <charset val="1"/>
      </rPr>
      <t xml:space="preserve">2</t>
    </r>
    <r>
      <rPr>
        <sz val="10"/>
        <rFont val="WenQuanYi Zen Hei"/>
        <family val="2"/>
      </rPr>
      <t xml:space="preserve">개 이상 배정</t>
    </r>
    <r>
      <rPr>
        <sz val="10"/>
        <rFont val="Arial"/>
        <family val="0"/>
        <charset val="1"/>
      </rPr>
      <t xml:space="preserve">(S</t>
    </r>
    <r>
      <rPr>
        <sz val="10"/>
        <rFont val="WenQuanYi Zen Hei"/>
        <family val="2"/>
      </rPr>
      <t xml:space="preserve">열 목표</t>
    </r>
    <r>
      <rPr>
        <sz val="10"/>
        <rFont val="Arial"/>
        <family val="0"/>
        <charset val="1"/>
      </rPr>
      <t xml:space="preserve">). </t>
    </r>
    <r>
      <rPr>
        <sz val="10"/>
        <rFont val="WenQuanYi Zen Hei"/>
        <family val="2"/>
      </rPr>
      <t xml:space="preserve">자기 이야기가 한 번도 없으면 얇은 인물이 된다</t>
    </r>
    <r>
      <rPr>
        <sz val="10"/>
        <rFont val="Arial"/>
        <family val="0"/>
        <charset val="1"/>
      </rPr>
      <t xml:space="preserve">.</t>
    </r>
  </si>
  <si>
    <r>
      <rPr>
        <sz val="10"/>
        <rFont val="Arial"/>
        <family val="0"/>
        <charset val="1"/>
      </rPr>
      <t xml:space="preserve">11. Montessori·Galileo</t>
    </r>
    <r>
      <rPr>
        <sz val="10"/>
        <rFont val="WenQuanYi Zen Hei"/>
        <family val="2"/>
      </rPr>
      <t xml:space="preserve">가 가장 얇다</t>
    </r>
    <r>
      <rPr>
        <sz val="10"/>
        <rFont val="Arial"/>
        <family val="0"/>
        <charset val="1"/>
      </rPr>
      <t xml:space="preserve">: 3·5</t>
    </r>
    <r>
      <rPr>
        <sz val="10"/>
        <rFont val="WenQuanYi Zen Hei"/>
        <family val="2"/>
      </rPr>
      <t xml:space="preserve">부 상담 장면을 늘리거나</t>
    </r>
    <r>
      <rPr>
        <sz val="10"/>
        <rFont val="Arial"/>
        <family val="0"/>
        <charset val="1"/>
      </rPr>
      <t xml:space="preserve">, 12</t>
    </r>
    <r>
      <rPr>
        <sz val="10"/>
        <rFont val="WenQuanYi Zen Hei"/>
        <family val="2"/>
      </rPr>
      <t xml:space="preserve">부 </t>
    </r>
    <r>
      <rPr>
        <sz val="10"/>
        <rFont val="Arial"/>
        <family val="0"/>
        <charset val="1"/>
      </rPr>
      <t xml:space="preserve">Cesare </t>
    </r>
    <r>
      <rPr>
        <sz val="10"/>
        <rFont val="WenQuanYi Zen Hei"/>
        <family val="2"/>
      </rPr>
      <t xml:space="preserve">애도 상담</t>
    </r>
    <r>
      <rPr>
        <sz val="10"/>
        <rFont val="Arial"/>
        <family val="0"/>
        <charset val="1"/>
      </rPr>
      <t xml:space="preserve">(Montessori)·</t>
    </r>
    <r>
      <rPr>
        <sz val="10"/>
        <rFont val="WenQuanYi Zen Hei"/>
        <family val="2"/>
      </rPr>
      <t xml:space="preserve">스파이웨어 검증</t>
    </r>
    <r>
      <rPr>
        <sz val="10"/>
        <rFont val="Arial"/>
        <family val="0"/>
        <charset val="1"/>
      </rPr>
      <t xml:space="preserve">(Galileo)</t>
    </r>
    <r>
      <rPr>
        <sz val="10"/>
        <rFont val="WenQuanYi Zen Hei"/>
        <family val="2"/>
      </rPr>
      <t xml:space="preserve">을 맡겨 서사를 넓히는 안을 검토</t>
    </r>
    <r>
      <rPr>
        <sz val="10"/>
        <rFont val="Arial"/>
        <family val="0"/>
        <charset val="1"/>
      </rPr>
      <t xml:space="preserve">.</t>
    </r>
  </si>
  <si>
    <t xml:space="preserve">대화량 설계: 화당 120턴</t>
  </si>
  <si>
    <t xml:space="preserve">한 화 = 대화 120턴, 전체 156화 = 18,720턴. 점유율·평균 단어/턴·배율·낭독 속도는 가정값(파란 숫자)이며 수정하면 아래 표가 자동 갱신됩니다.</t>
  </si>
  <si>
    <r>
      <rPr>
        <b val="true"/>
        <sz val="10"/>
        <rFont val="Arial"/>
        <family val="0"/>
        <charset val="1"/>
      </rPr>
      <t xml:space="preserve">1. </t>
    </r>
    <r>
      <rPr>
        <b val="true"/>
        <sz val="10"/>
        <rFont val="WenQuanYi Zen Hei"/>
        <family val="2"/>
      </rPr>
      <t xml:space="preserve">기본 설정</t>
    </r>
  </si>
  <si>
    <t xml:space="preserve">화당 대화 턴</t>
  </si>
  <si>
    <t xml:space="preserve">낭독 속도 (단어/분, 가정)</t>
  </si>
  <si>
    <t xml:space="preserve">총 대화 턴</t>
  </si>
  <si>
    <t xml:space="preserve">턴 정의</t>
  </si>
  <si>
    <t xml:space="preserve">화자 표기 한 줄 = 1턴 (화자가 바뀌면 새 턴). 연설·조항·기사 낭독처럼 긴 발화도 1턴으로 센다.</t>
  </si>
  <si>
    <r>
      <rPr>
        <b val="true"/>
        <sz val="10"/>
        <rFont val="Arial"/>
        <family val="0"/>
        <charset val="1"/>
      </rPr>
      <t xml:space="preserve">2. </t>
    </r>
    <r>
      <rPr>
        <b val="true"/>
        <sz val="10"/>
        <rFont val="WenQuanYi Zen Hei"/>
        <family val="2"/>
      </rPr>
      <t xml:space="preserve">부별 화자 점유율 </t>
    </r>
    <r>
      <rPr>
        <b val="true"/>
        <sz val="10"/>
        <rFont val="Arial"/>
        <family val="0"/>
        <charset val="1"/>
      </rPr>
      <t xml:space="preserve">(</t>
    </r>
    <r>
      <rPr>
        <b val="true"/>
        <sz val="10"/>
        <rFont val="WenQuanYi Zen Hei"/>
        <family val="2"/>
      </rPr>
      <t xml:space="preserve">턴 기준</t>
    </r>
    <r>
      <rPr>
        <b val="true"/>
        <sz val="10"/>
        <rFont val="Arial"/>
        <family val="0"/>
        <charset val="1"/>
      </rPr>
      <t xml:space="preserve">, </t>
    </r>
    <r>
      <rPr>
        <b val="true"/>
        <sz val="10"/>
        <rFont val="WenQuanYi Zen Hei"/>
        <family val="2"/>
      </rPr>
      <t xml:space="preserve">각 부의 합 </t>
    </r>
    <r>
      <rPr>
        <b val="true"/>
        <sz val="10"/>
        <rFont val="Arial"/>
        <family val="0"/>
        <charset val="1"/>
      </rPr>
      <t xml:space="preserve">= 100%)</t>
    </r>
  </si>
  <si>
    <t xml:space="preserve">인물</t>
  </si>
  <si>
    <t xml:space="preserve">평균
단어/턴</t>
  </si>
  <si>
    <r>
      <rPr>
        <b val="true"/>
        <sz val="10"/>
        <color rgb="FFFFFFFF"/>
        <rFont val="Arial"/>
        <family val="0"/>
        <charset val="1"/>
      </rPr>
      <t xml:space="preserve">1</t>
    </r>
    <r>
      <rPr>
        <b val="true"/>
        <sz val="10"/>
        <color rgb="FFFFFFFF"/>
        <rFont val="WenQuanYi Zen Hei"/>
        <family val="2"/>
      </rPr>
      <t xml:space="preserve">부</t>
    </r>
  </si>
  <si>
    <r>
      <rPr>
        <b val="true"/>
        <sz val="10"/>
        <color rgb="FFFFFFFF"/>
        <rFont val="Arial"/>
        <family val="0"/>
        <charset val="1"/>
      </rPr>
      <t xml:space="preserve">2</t>
    </r>
    <r>
      <rPr>
        <b val="true"/>
        <sz val="10"/>
        <color rgb="FFFFFFFF"/>
        <rFont val="WenQuanYi Zen Hei"/>
        <family val="2"/>
      </rPr>
      <t xml:space="preserve">부</t>
    </r>
  </si>
  <si>
    <r>
      <rPr>
        <b val="true"/>
        <sz val="10"/>
        <color rgb="FFFFFFFF"/>
        <rFont val="Arial"/>
        <family val="0"/>
        <charset val="1"/>
      </rPr>
      <t xml:space="preserve">3</t>
    </r>
    <r>
      <rPr>
        <b val="true"/>
        <sz val="10"/>
        <color rgb="FFFFFFFF"/>
        <rFont val="WenQuanYi Zen Hei"/>
        <family val="2"/>
      </rPr>
      <t xml:space="preserve">부</t>
    </r>
  </si>
  <si>
    <r>
      <rPr>
        <b val="true"/>
        <sz val="10"/>
        <color rgb="FFFFFFFF"/>
        <rFont val="Arial"/>
        <family val="0"/>
        <charset val="1"/>
      </rPr>
      <t xml:space="preserve">4</t>
    </r>
    <r>
      <rPr>
        <b val="true"/>
        <sz val="10"/>
        <color rgb="FFFFFFFF"/>
        <rFont val="WenQuanYi Zen Hei"/>
        <family val="2"/>
      </rPr>
      <t xml:space="preserve">부</t>
    </r>
  </si>
  <si>
    <r>
      <rPr>
        <b val="true"/>
        <sz val="10"/>
        <color rgb="FFFFFFFF"/>
        <rFont val="Arial"/>
        <family val="0"/>
        <charset val="1"/>
      </rPr>
      <t xml:space="preserve">5</t>
    </r>
    <r>
      <rPr>
        <b val="true"/>
        <sz val="10"/>
        <color rgb="FFFFFFFF"/>
        <rFont val="WenQuanYi Zen Hei"/>
        <family val="2"/>
      </rPr>
      <t xml:space="preserve">부</t>
    </r>
  </si>
  <si>
    <r>
      <rPr>
        <b val="true"/>
        <sz val="10"/>
        <color rgb="FFFFFFFF"/>
        <rFont val="Arial"/>
        <family val="0"/>
        <charset val="1"/>
      </rPr>
      <t xml:space="preserve">6</t>
    </r>
    <r>
      <rPr>
        <b val="true"/>
        <sz val="10"/>
        <color rgb="FFFFFFFF"/>
        <rFont val="WenQuanYi Zen Hei"/>
        <family val="2"/>
      </rPr>
      <t xml:space="preserve">부</t>
    </r>
  </si>
  <si>
    <r>
      <rPr>
        <b val="true"/>
        <sz val="10"/>
        <color rgb="FFFFFFFF"/>
        <rFont val="Arial"/>
        <family val="0"/>
        <charset val="1"/>
      </rPr>
      <t xml:space="preserve">7</t>
    </r>
    <r>
      <rPr>
        <b val="true"/>
        <sz val="10"/>
        <color rgb="FFFFFFFF"/>
        <rFont val="WenQuanYi Zen Hei"/>
        <family val="2"/>
      </rPr>
      <t xml:space="preserve">부</t>
    </r>
  </si>
  <si>
    <r>
      <rPr>
        <b val="true"/>
        <sz val="10"/>
        <color rgb="FFFFFFFF"/>
        <rFont val="Arial"/>
        <family val="0"/>
        <charset val="1"/>
      </rPr>
      <t xml:space="preserve">8</t>
    </r>
    <r>
      <rPr>
        <b val="true"/>
        <sz val="10"/>
        <color rgb="FFFFFFFF"/>
        <rFont val="WenQuanYi Zen Hei"/>
        <family val="2"/>
      </rPr>
      <t xml:space="preserve">부</t>
    </r>
  </si>
  <si>
    <r>
      <rPr>
        <b val="true"/>
        <sz val="10"/>
        <color rgb="FFFFFFFF"/>
        <rFont val="Arial"/>
        <family val="0"/>
        <charset val="1"/>
      </rPr>
      <t xml:space="preserve">9</t>
    </r>
    <r>
      <rPr>
        <b val="true"/>
        <sz val="10"/>
        <color rgb="FFFFFFFF"/>
        <rFont val="WenQuanYi Zen Hei"/>
        <family val="2"/>
      </rPr>
      <t xml:space="preserve">부</t>
    </r>
  </si>
  <si>
    <r>
      <rPr>
        <b val="true"/>
        <sz val="10"/>
        <color rgb="FFFFFFFF"/>
        <rFont val="Arial"/>
        <family val="0"/>
        <charset val="1"/>
      </rPr>
      <t xml:space="preserve">10</t>
    </r>
    <r>
      <rPr>
        <b val="true"/>
        <sz val="10"/>
        <color rgb="FFFFFFFF"/>
        <rFont val="WenQuanYi Zen Hei"/>
        <family val="2"/>
      </rPr>
      <t xml:space="preserve">부</t>
    </r>
  </si>
  <si>
    <r>
      <rPr>
        <b val="true"/>
        <sz val="10"/>
        <color rgb="FFFFFFFF"/>
        <rFont val="Arial"/>
        <family val="0"/>
        <charset val="1"/>
      </rPr>
      <t xml:space="preserve">11</t>
    </r>
    <r>
      <rPr>
        <b val="true"/>
        <sz val="10"/>
        <color rgb="FFFFFFFF"/>
        <rFont val="WenQuanYi Zen Hei"/>
        <family val="2"/>
      </rPr>
      <t xml:space="preserve">부</t>
    </r>
  </si>
  <si>
    <r>
      <rPr>
        <b val="true"/>
        <sz val="10"/>
        <color rgb="FFFFFFFF"/>
        <rFont val="Arial"/>
        <family val="0"/>
        <charset val="1"/>
      </rPr>
      <t xml:space="preserve">12</t>
    </r>
    <r>
      <rPr>
        <b val="true"/>
        <sz val="10"/>
        <color rgb="FFFFFFFF"/>
        <rFont val="WenQuanYi Zen Hei"/>
        <family val="2"/>
      </rPr>
      <t xml:space="preserve">부</t>
    </r>
  </si>
  <si>
    <r>
      <rPr>
        <b val="true"/>
        <sz val="10"/>
        <color rgb="FFFFFFFF"/>
        <rFont val="Arial"/>
        <family val="0"/>
        <charset val="1"/>
      </rPr>
      <t xml:space="preserve">13</t>
    </r>
    <r>
      <rPr>
        <b val="true"/>
        <sz val="10"/>
        <color rgb="FFFFFFFF"/>
        <rFont val="WenQuanYi Zen Hei"/>
        <family val="2"/>
      </rPr>
      <t xml:space="preserve">부</t>
    </r>
  </si>
  <si>
    <t xml:space="preserve">엑스트라(가상)</t>
  </si>
  <si>
    <t xml:space="preserve">검증</t>
  </si>
  <si>
    <r>
      <rPr>
        <b val="true"/>
        <sz val="10"/>
        <rFont val="Arial"/>
        <family val="0"/>
        <charset val="1"/>
      </rPr>
      <t xml:space="preserve">3. </t>
    </r>
    <r>
      <rPr>
        <b val="true"/>
        <sz val="10"/>
        <rFont val="WenQuanYi Zen Hei"/>
        <family val="2"/>
      </rPr>
      <t xml:space="preserve">부별 턴</t>
    </r>
    <r>
      <rPr>
        <b val="true"/>
        <sz val="10"/>
        <rFont val="Arial"/>
        <family val="0"/>
        <charset val="1"/>
      </rPr>
      <t xml:space="preserve">·</t>
    </r>
    <r>
      <rPr>
        <b val="true"/>
        <sz val="10"/>
        <rFont val="WenQuanYi Zen Hei"/>
        <family val="2"/>
      </rPr>
      <t xml:space="preserve">단어</t>
    </r>
    <r>
      <rPr>
        <b val="true"/>
        <sz val="10"/>
        <rFont val="Arial"/>
        <family val="0"/>
        <charset val="1"/>
      </rPr>
      <t xml:space="preserve">·</t>
    </r>
    <r>
      <rPr>
        <b val="true"/>
        <sz val="10"/>
        <rFont val="WenQuanYi Zen Hei"/>
        <family val="2"/>
      </rPr>
      <t xml:space="preserve">낭독 시간 </t>
    </r>
    <r>
      <rPr>
        <b val="true"/>
        <sz val="10"/>
        <rFont val="Arial"/>
        <family val="0"/>
        <charset val="1"/>
      </rPr>
      <t xml:space="preserve">(</t>
    </r>
    <r>
      <rPr>
        <b val="true"/>
        <sz val="10"/>
        <rFont val="WenQuanYi Zen Hei"/>
        <family val="2"/>
      </rPr>
      <t xml:space="preserve">수식</t>
    </r>
    <r>
      <rPr>
        <b val="true"/>
        <sz val="10"/>
        <rFont val="Arial"/>
        <family val="0"/>
        <charset val="1"/>
      </rPr>
      <t xml:space="preserve">)</t>
    </r>
  </si>
  <si>
    <t xml:space="preserve">부</t>
  </si>
  <si>
    <t xml:space="preserve">난이도
배율</t>
  </si>
  <si>
    <t xml:space="preserve">화당 턴</t>
  </si>
  <si>
    <t xml:space="preserve">부 총 턴</t>
  </si>
  <si>
    <t xml:space="preserve">화당
단어</t>
  </si>
  <si>
    <t xml:space="preserve">부 총
단어</t>
  </si>
  <si>
    <t xml:space="preserve">화당 낭독
(분)</t>
  </si>
  <si>
    <t xml:space="preserve">부 총 낭독
(시간)</t>
  </si>
  <si>
    <r>
      <rPr>
        <b val="true"/>
        <sz val="10"/>
        <rFont val="Arial"/>
        <family val="0"/>
        <charset val="1"/>
      </rPr>
      <t xml:space="preserve">1</t>
    </r>
    <r>
      <rPr>
        <b val="true"/>
        <sz val="10"/>
        <rFont val="WenQuanYi Zen Hei"/>
        <family val="2"/>
      </rPr>
      <t xml:space="preserve">부</t>
    </r>
  </si>
  <si>
    <r>
      <rPr>
        <b val="true"/>
        <sz val="10"/>
        <rFont val="Arial"/>
        <family val="0"/>
        <charset val="1"/>
      </rPr>
      <t xml:space="preserve">2</t>
    </r>
    <r>
      <rPr>
        <b val="true"/>
        <sz val="10"/>
        <rFont val="WenQuanYi Zen Hei"/>
        <family val="2"/>
      </rPr>
      <t xml:space="preserve">부</t>
    </r>
  </si>
  <si>
    <r>
      <rPr>
        <b val="true"/>
        <sz val="10"/>
        <rFont val="Arial"/>
        <family val="0"/>
        <charset val="1"/>
      </rPr>
      <t xml:space="preserve">3</t>
    </r>
    <r>
      <rPr>
        <b val="true"/>
        <sz val="10"/>
        <rFont val="WenQuanYi Zen Hei"/>
        <family val="2"/>
      </rPr>
      <t xml:space="preserve">부</t>
    </r>
  </si>
  <si>
    <r>
      <rPr>
        <b val="true"/>
        <sz val="10"/>
        <rFont val="Arial"/>
        <family val="0"/>
        <charset val="1"/>
      </rPr>
      <t xml:space="preserve">4</t>
    </r>
    <r>
      <rPr>
        <b val="true"/>
        <sz val="10"/>
        <rFont val="WenQuanYi Zen Hei"/>
        <family val="2"/>
      </rPr>
      <t xml:space="preserve">부</t>
    </r>
  </si>
  <si>
    <r>
      <rPr>
        <b val="true"/>
        <sz val="10"/>
        <rFont val="Arial"/>
        <family val="0"/>
        <charset val="1"/>
      </rPr>
      <t xml:space="preserve">5</t>
    </r>
    <r>
      <rPr>
        <b val="true"/>
        <sz val="10"/>
        <rFont val="WenQuanYi Zen Hei"/>
        <family val="2"/>
      </rPr>
      <t xml:space="preserve">부</t>
    </r>
  </si>
  <si>
    <r>
      <rPr>
        <b val="true"/>
        <sz val="10"/>
        <rFont val="Arial"/>
        <family val="0"/>
        <charset val="1"/>
      </rPr>
      <t xml:space="preserve">6</t>
    </r>
    <r>
      <rPr>
        <b val="true"/>
        <sz val="10"/>
        <rFont val="WenQuanYi Zen Hei"/>
        <family val="2"/>
      </rPr>
      <t xml:space="preserve">부</t>
    </r>
  </si>
  <si>
    <r>
      <rPr>
        <b val="true"/>
        <sz val="10"/>
        <rFont val="Arial"/>
        <family val="0"/>
        <charset val="1"/>
      </rPr>
      <t xml:space="preserve">7</t>
    </r>
    <r>
      <rPr>
        <b val="true"/>
        <sz val="10"/>
        <rFont val="WenQuanYi Zen Hei"/>
        <family val="2"/>
      </rPr>
      <t xml:space="preserve">부</t>
    </r>
  </si>
  <si>
    <r>
      <rPr>
        <b val="true"/>
        <sz val="10"/>
        <rFont val="Arial"/>
        <family val="0"/>
        <charset val="1"/>
      </rPr>
      <t xml:space="preserve">8</t>
    </r>
    <r>
      <rPr>
        <b val="true"/>
        <sz val="10"/>
        <rFont val="WenQuanYi Zen Hei"/>
        <family val="2"/>
      </rPr>
      <t xml:space="preserve">부</t>
    </r>
  </si>
  <si>
    <r>
      <rPr>
        <b val="true"/>
        <sz val="10"/>
        <rFont val="Arial"/>
        <family val="0"/>
        <charset val="1"/>
      </rPr>
      <t xml:space="preserve">9</t>
    </r>
    <r>
      <rPr>
        <b val="true"/>
        <sz val="10"/>
        <rFont val="WenQuanYi Zen Hei"/>
        <family val="2"/>
      </rPr>
      <t xml:space="preserve">부</t>
    </r>
  </si>
  <si>
    <r>
      <rPr>
        <b val="true"/>
        <sz val="10"/>
        <rFont val="Arial"/>
        <family val="0"/>
        <charset val="1"/>
      </rPr>
      <t xml:space="preserve">10</t>
    </r>
    <r>
      <rPr>
        <b val="true"/>
        <sz val="10"/>
        <rFont val="WenQuanYi Zen Hei"/>
        <family val="2"/>
      </rPr>
      <t xml:space="preserve">부</t>
    </r>
  </si>
  <si>
    <r>
      <rPr>
        <b val="true"/>
        <sz val="10"/>
        <rFont val="Arial"/>
        <family val="0"/>
        <charset val="1"/>
      </rPr>
      <t xml:space="preserve">11</t>
    </r>
    <r>
      <rPr>
        <b val="true"/>
        <sz val="10"/>
        <rFont val="WenQuanYi Zen Hei"/>
        <family val="2"/>
      </rPr>
      <t xml:space="preserve">부</t>
    </r>
  </si>
  <si>
    <r>
      <rPr>
        <b val="true"/>
        <sz val="10"/>
        <rFont val="Arial"/>
        <family val="0"/>
        <charset val="1"/>
      </rPr>
      <t xml:space="preserve">12</t>
    </r>
    <r>
      <rPr>
        <b val="true"/>
        <sz val="10"/>
        <rFont val="WenQuanYi Zen Hei"/>
        <family val="2"/>
      </rPr>
      <t xml:space="preserve">부</t>
    </r>
  </si>
  <si>
    <r>
      <rPr>
        <b val="true"/>
        <sz val="10"/>
        <rFont val="Arial"/>
        <family val="0"/>
        <charset val="1"/>
      </rPr>
      <t xml:space="preserve">13</t>
    </r>
    <r>
      <rPr>
        <b val="true"/>
        <sz val="10"/>
        <rFont val="WenQuanYi Zen Hei"/>
        <family val="2"/>
      </rPr>
      <t xml:space="preserve">부</t>
    </r>
  </si>
  <si>
    <t xml:space="preserve">전체</t>
  </si>
  <si>
    <t xml:space="preserve">※ 난이도 배율: 1·13부(B1~B2)는 짧게 0.8, 10~12부(C1~C2)는 길게 1.2. 화당 단어는 '평균 단어/턴 × 120턴', 낭독 시간은 낭독 속도로 환산한 추정치.</t>
  </si>
  <si>
    <r>
      <rPr>
        <b val="true"/>
        <sz val="10"/>
        <rFont val="Arial"/>
        <family val="0"/>
        <charset val="1"/>
      </rPr>
      <t xml:space="preserve">4. </t>
    </r>
    <r>
      <rPr>
        <b val="true"/>
        <sz val="10"/>
        <rFont val="WenQuanYi Zen Hei"/>
        <family val="2"/>
      </rPr>
      <t xml:space="preserve">화 유형별 턴 구성 </t>
    </r>
    <r>
      <rPr>
        <b val="true"/>
        <sz val="10"/>
        <rFont val="Arial"/>
        <family val="0"/>
        <charset val="1"/>
      </rPr>
      <t xml:space="preserve">(</t>
    </r>
    <r>
      <rPr>
        <b val="true"/>
        <sz val="10"/>
        <rFont val="WenQuanYi Zen Hei"/>
        <family val="2"/>
      </rPr>
      <t xml:space="preserve">합계 </t>
    </r>
    <r>
      <rPr>
        <b val="true"/>
        <sz val="10"/>
        <rFont val="Arial"/>
        <family val="0"/>
        <charset val="1"/>
      </rPr>
      <t xml:space="preserve">= </t>
    </r>
    <r>
      <rPr>
        <b val="true"/>
        <sz val="10"/>
        <rFont val="WenQuanYi Zen Hei"/>
        <family val="2"/>
      </rPr>
      <t xml:space="preserve">화당 </t>
    </r>
    <r>
      <rPr>
        <b val="true"/>
        <sz val="10"/>
        <rFont val="Arial"/>
        <family val="0"/>
        <charset val="1"/>
      </rPr>
      <t xml:space="preserve">120</t>
    </r>
    <r>
      <rPr>
        <b val="true"/>
        <sz val="10"/>
        <rFont val="WenQuanYi Zen Hei"/>
        <family val="2"/>
      </rPr>
      <t xml:space="preserve">턴</t>
    </r>
    <r>
      <rPr>
        <b val="true"/>
        <sz val="10"/>
        <rFont val="Arial"/>
        <family val="0"/>
        <charset val="1"/>
      </rPr>
      <t xml:space="preserve">)</t>
    </r>
  </si>
  <si>
    <t xml:space="preserve">화 유형</t>
  </si>
  <si>
    <t xml:space="preserve">도입</t>
  </si>
  <si>
    <t xml:space="preserve">장면 1</t>
  </si>
  <si>
    <t xml:space="preserve">장면 2</t>
  </si>
  <si>
    <t xml:space="preserve">절정·전환</t>
  </si>
  <si>
    <t xml:space="preserve">마무리</t>
  </si>
  <si>
    <t xml:space="preserve">적용</t>
  </si>
  <si>
    <t xml:space="preserve">일반 화</t>
  </si>
  <si>
    <t xml:space="preserve">발단·전개·위기 화 대부분</t>
  </si>
  <si>
    <t xml:space="preserve">프레임 화</t>
  </si>
  <si>
    <r>
      <rPr>
        <sz val="10"/>
        <rFont val="Noto Sans CJK SC"/>
        <family val="2"/>
        <charset val="1"/>
      </rPr>
      <t xml:space="preserve">2~5</t>
    </r>
    <r>
      <rPr>
        <sz val="10"/>
        <rFont val="WenQuanYi Zen Hei"/>
        <family val="2"/>
      </rPr>
      <t xml:space="preserve">부 </t>
    </r>
    <r>
      <rPr>
        <sz val="10"/>
        <rFont val="Noto Sans CJK SC"/>
        <family val="2"/>
        <charset val="1"/>
      </rPr>
      <t xml:space="preserve">1·5·9·12</t>
    </r>
    <r>
      <rPr>
        <sz val="10"/>
        <rFont val="WenQuanYi Zen Hei"/>
        <family val="2"/>
      </rPr>
      <t xml:space="preserve">화</t>
    </r>
    <r>
      <rPr>
        <sz val="10"/>
        <rFont val="Noto Sans CJK SC"/>
        <family val="2"/>
        <charset val="1"/>
      </rPr>
      <t xml:space="preserve">: </t>
    </r>
    <r>
      <rPr>
        <sz val="10"/>
        <rFont val="WenQuanYi Zen Hei"/>
        <family val="2"/>
      </rPr>
      <t xml:space="preserve">금요일 프레임</t>
    </r>
    <r>
      <rPr>
        <sz val="10"/>
        <rFont val="Noto Sans CJK SC"/>
        <family val="2"/>
        <charset val="1"/>
      </rPr>
      <t xml:space="preserve">(</t>
    </r>
    <r>
      <rPr>
        <sz val="10"/>
        <rFont val="WenQuanYi Zen Hei"/>
        <family val="2"/>
      </rPr>
      <t xml:space="preserve">도입</t>
    </r>
    <r>
      <rPr>
        <sz val="10"/>
        <rFont val="Noto Sans CJK SC"/>
        <family val="2"/>
        <charset val="1"/>
      </rPr>
      <t xml:space="preserve">·</t>
    </r>
    <r>
      <rPr>
        <sz val="10"/>
        <rFont val="WenQuanYi Zen Hei"/>
        <family val="2"/>
      </rPr>
      <t xml:space="preserve">마무리</t>
    </r>
    <r>
      <rPr>
        <sz val="10"/>
        <rFont val="Noto Sans CJK SC"/>
        <family val="2"/>
        <charset val="1"/>
      </rPr>
      <t xml:space="preserve">)</t>
    </r>
    <r>
      <rPr>
        <sz val="10"/>
        <rFont val="WenQuanYi Zen Hei"/>
        <family val="2"/>
      </rPr>
      <t xml:space="preserve">과 과거 장면</t>
    </r>
  </si>
  <si>
    <t xml:space="preserve">폭발·감정 정점 화</t>
  </si>
  <si>
    <r>
      <rPr>
        <sz val="10"/>
        <rFont val="Noto Sans CJK SC"/>
        <family val="2"/>
        <charset val="1"/>
      </rPr>
      <t xml:space="preserve">1</t>
    </r>
    <r>
      <rPr>
        <sz val="10"/>
        <rFont val="WenQuanYi Zen Hei"/>
        <family val="2"/>
      </rPr>
      <t xml:space="preserve">부 </t>
    </r>
    <r>
      <rPr>
        <sz val="10"/>
        <rFont val="Noto Sans CJK SC"/>
        <family val="2"/>
        <charset val="1"/>
      </rPr>
      <t xml:space="preserve">6</t>
    </r>
    <r>
      <rPr>
        <sz val="10"/>
        <rFont val="WenQuanYi Zen Hei"/>
        <family val="2"/>
      </rPr>
      <t xml:space="preserve">화</t>
    </r>
    <r>
      <rPr>
        <sz val="10"/>
        <rFont val="Noto Sans CJK SC"/>
        <family val="2"/>
        <charset val="1"/>
      </rPr>
      <t xml:space="preserve">, 9</t>
    </r>
    <r>
      <rPr>
        <sz val="10"/>
        <rFont val="WenQuanYi Zen Hei"/>
        <family val="2"/>
      </rPr>
      <t xml:space="preserve">부 </t>
    </r>
    <r>
      <rPr>
        <sz val="10"/>
        <rFont val="Noto Sans CJK SC"/>
        <family val="2"/>
        <charset val="1"/>
      </rPr>
      <t xml:space="preserve">6</t>
    </r>
    <r>
      <rPr>
        <sz val="10"/>
        <rFont val="WenQuanYi Zen Hei"/>
        <family val="2"/>
      </rPr>
      <t xml:space="preserve">화 등 인물의 감정이 터지는 화</t>
    </r>
  </si>
  <si>
    <t xml:space="preserve">표결·절차 화</t>
  </si>
  <si>
    <r>
      <rPr>
        <sz val="10"/>
        <rFont val="Noto Sans CJK SC"/>
        <family val="2"/>
        <charset val="1"/>
      </rPr>
      <t xml:space="preserve">10</t>
    </r>
    <r>
      <rPr>
        <sz val="10"/>
        <rFont val="WenQuanYi Zen Hei"/>
        <family val="2"/>
      </rPr>
      <t xml:space="preserve">부 </t>
    </r>
    <r>
      <rPr>
        <sz val="10"/>
        <rFont val="Noto Sans CJK SC"/>
        <family val="2"/>
        <charset val="1"/>
      </rPr>
      <t xml:space="preserve">7·12</t>
    </r>
    <r>
      <rPr>
        <sz val="10"/>
        <rFont val="WenQuanYi Zen Hei"/>
        <family val="2"/>
      </rPr>
      <t xml:space="preserve">화 신임 투표</t>
    </r>
    <r>
      <rPr>
        <sz val="10"/>
        <rFont val="Noto Sans CJK SC"/>
        <family val="2"/>
        <charset val="1"/>
      </rPr>
      <t xml:space="preserve">, 12</t>
    </r>
    <r>
      <rPr>
        <sz val="10"/>
        <rFont val="WenQuanYi Zen Hei"/>
        <family val="2"/>
      </rPr>
      <t xml:space="preserve">부 </t>
    </r>
    <r>
      <rPr>
        <sz val="10"/>
        <rFont val="Noto Sans CJK SC"/>
        <family val="2"/>
        <charset val="1"/>
      </rPr>
      <t xml:space="preserve">7</t>
    </r>
    <r>
      <rPr>
        <sz val="10"/>
        <rFont val="WenQuanYi Zen Hei"/>
        <family val="2"/>
      </rPr>
      <t xml:space="preserve">화 불신임안 </t>
    </r>
    <r>
      <rPr>
        <sz val="10"/>
        <rFont val="Noto Sans CJK SC"/>
        <family val="2"/>
        <charset val="1"/>
      </rPr>
      <t xml:space="preserve">(</t>
    </r>
    <r>
      <rPr>
        <sz val="10"/>
        <rFont val="WenQuanYi Zen Hei"/>
        <family val="2"/>
      </rPr>
      <t xml:space="preserve">양원 의장의 결과 낭독 포함</t>
    </r>
    <r>
      <rPr>
        <sz val="10"/>
        <rFont val="Noto Sans CJK SC"/>
        <family val="2"/>
        <charset val="1"/>
      </rPr>
      <t xml:space="preserve">)</t>
    </r>
  </si>
  <si>
    <t xml:space="preserve">재난·추도 화</t>
  </si>
  <si>
    <r>
      <rPr>
        <sz val="10"/>
        <rFont val="Noto Sans CJK SC"/>
        <family val="2"/>
        <charset val="1"/>
      </rPr>
      <t xml:space="preserve">11</t>
    </r>
    <r>
      <rPr>
        <sz val="10"/>
        <rFont val="WenQuanYi Zen Hei"/>
        <family val="2"/>
      </rPr>
      <t xml:space="preserve">부 </t>
    </r>
    <r>
      <rPr>
        <sz val="10"/>
        <rFont val="Noto Sans CJK SC"/>
        <family val="2"/>
        <charset val="1"/>
      </rPr>
      <t xml:space="preserve">12</t>
    </r>
    <r>
      <rPr>
        <sz val="10"/>
        <rFont val="WenQuanYi Zen Hei"/>
        <family val="2"/>
      </rPr>
      <t xml:space="preserve">화</t>
    </r>
    <r>
      <rPr>
        <sz val="10"/>
        <rFont val="Noto Sans CJK SC"/>
        <family val="2"/>
        <charset val="1"/>
      </rPr>
      <t xml:space="preserve">(Cesare</t>
    </r>
    <r>
      <rPr>
        <sz val="10"/>
        <rFont val="WenQuanYi Zen Hei"/>
        <family val="2"/>
      </rPr>
      <t xml:space="preserve">의 죽음</t>
    </r>
    <r>
      <rPr>
        <sz val="10"/>
        <rFont val="Noto Sans CJK SC"/>
        <family val="2"/>
        <charset val="1"/>
      </rPr>
      <t xml:space="preserve">), 12</t>
    </r>
    <r>
      <rPr>
        <sz val="10"/>
        <rFont val="WenQuanYi Zen Hei"/>
        <family val="2"/>
      </rPr>
      <t xml:space="preserve">부 </t>
    </r>
    <r>
      <rPr>
        <sz val="10"/>
        <rFont val="Noto Sans CJK SC"/>
        <family val="2"/>
        <charset val="1"/>
      </rPr>
      <t xml:space="preserve">1</t>
    </r>
    <r>
      <rPr>
        <sz val="10"/>
        <rFont val="WenQuanYi Zen Hei"/>
        <family val="2"/>
      </rPr>
      <t xml:space="preserve">화</t>
    </r>
    <r>
      <rPr>
        <sz val="10"/>
        <rFont val="Noto Sans CJK SC"/>
        <family val="2"/>
        <charset val="1"/>
      </rPr>
      <t xml:space="preserve">(</t>
    </r>
    <r>
      <rPr>
        <sz val="10"/>
        <rFont val="WenQuanYi Zen Hei"/>
        <family val="2"/>
      </rPr>
      <t xml:space="preserve">장례식</t>
    </r>
    <r>
      <rPr>
        <sz val="10"/>
        <rFont val="Noto Sans CJK SC"/>
        <family val="2"/>
        <charset val="1"/>
      </rPr>
      <t xml:space="preserve">), 12</t>
    </r>
    <r>
      <rPr>
        <sz val="10"/>
        <rFont val="WenQuanYi Zen Hei"/>
        <family val="2"/>
      </rPr>
      <t xml:space="preserve">부 </t>
    </r>
    <r>
      <rPr>
        <sz val="10"/>
        <rFont val="Noto Sans CJK SC"/>
        <family val="2"/>
        <charset val="1"/>
      </rPr>
      <t xml:space="preserve">8</t>
    </r>
    <r>
      <rPr>
        <sz val="10"/>
        <rFont val="WenQuanYi Zen Hei"/>
        <family val="2"/>
      </rPr>
      <t xml:space="preserve">화</t>
    </r>
    <r>
      <rPr>
        <sz val="10"/>
        <rFont val="Noto Sans CJK SC"/>
        <family val="2"/>
        <charset val="1"/>
      </rPr>
      <t xml:space="preserve">(</t>
    </r>
    <r>
      <rPr>
        <sz val="10"/>
        <rFont val="WenQuanYi Zen Hei"/>
        <family val="2"/>
      </rPr>
      <t xml:space="preserve">홍수</t>
    </r>
    <r>
      <rPr>
        <sz val="10"/>
        <rFont val="Noto Sans CJK SC"/>
        <family val="2"/>
        <charset val="1"/>
      </rPr>
      <t xml:space="preserve">)</t>
    </r>
  </si>
  <si>
    <t xml:space="preserve">원형·회고 화</t>
  </si>
  <si>
    <r>
      <rPr>
        <sz val="10"/>
        <rFont val="Noto Sans CJK SC"/>
        <family val="2"/>
        <charset val="1"/>
      </rPr>
      <t xml:space="preserve">13</t>
    </r>
    <r>
      <rPr>
        <sz val="10"/>
        <rFont val="WenQuanYi Zen Hei"/>
        <family val="2"/>
      </rPr>
      <t xml:space="preserve">부 </t>
    </r>
    <r>
      <rPr>
        <sz val="10"/>
        <rFont val="Noto Sans CJK SC"/>
        <family val="2"/>
        <charset val="1"/>
      </rPr>
      <t xml:space="preserve">1·11·12</t>
    </r>
    <r>
      <rPr>
        <sz val="10"/>
        <rFont val="WenQuanYi Zen Hei"/>
        <family val="2"/>
      </rPr>
      <t xml:space="preserve">화</t>
    </r>
    <r>
      <rPr>
        <sz val="10"/>
        <rFont val="Noto Sans CJK SC"/>
        <family val="2"/>
        <charset val="1"/>
      </rPr>
      <t xml:space="preserve">: 1</t>
    </r>
    <r>
      <rPr>
        <sz val="10"/>
        <rFont val="WenQuanYi Zen Hei"/>
        <family val="2"/>
      </rPr>
      <t xml:space="preserve">부 대사를 되풀이하고 마무리를 길게</t>
    </r>
  </si>
  <si>
    <r>
      <rPr>
        <b val="true"/>
        <sz val="10"/>
        <rFont val="Arial"/>
        <family val="0"/>
        <charset val="1"/>
      </rPr>
      <t xml:space="preserve">5. </t>
    </r>
    <r>
      <rPr>
        <b val="true"/>
        <sz val="10"/>
        <rFont val="WenQuanYi Zen Hei"/>
        <family val="2"/>
      </rPr>
      <t xml:space="preserve">집필 규칙</t>
    </r>
  </si>
  <si>
    <r>
      <rPr>
        <sz val="10"/>
        <rFont val="Arial"/>
        <family val="0"/>
        <charset val="1"/>
      </rPr>
      <t xml:space="preserve">1. 1</t>
    </r>
    <r>
      <rPr>
        <sz val="10"/>
        <rFont val="WenQuanYi Zen Hei"/>
        <family val="2"/>
      </rPr>
      <t xml:space="preserve">부는 한 턴 </t>
    </r>
    <r>
      <rPr>
        <sz val="10"/>
        <rFont val="Arial"/>
        <family val="0"/>
        <charset val="1"/>
      </rPr>
      <t xml:space="preserve">15</t>
    </r>
    <r>
      <rPr>
        <sz val="10"/>
        <rFont val="WenQuanYi Zen Hei"/>
        <family val="2"/>
      </rPr>
      <t xml:space="preserve">단어 이내를 지킨다</t>
    </r>
    <r>
      <rPr>
        <sz val="10"/>
        <rFont val="Arial"/>
        <family val="0"/>
        <charset val="1"/>
      </rPr>
      <t xml:space="preserve">. </t>
    </r>
    <r>
      <rPr>
        <sz val="10"/>
        <rFont val="WenQuanYi Zen Hei"/>
        <family val="2"/>
      </rPr>
      <t xml:space="preserve">연설</t>
    </r>
    <r>
      <rPr>
        <sz val="10"/>
        <rFont val="Arial"/>
        <family val="0"/>
        <charset val="1"/>
      </rPr>
      <t xml:space="preserve">·</t>
    </r>
    <r>
      <rPr>
        <sz val="10"/>
        <rFont val="WenQuanYi Zen Hei"/>
        <family val="2"/>
      </rPr>
      <t xml:space="preserve">조항</t>
    </r>
    <r>
      <rPr>
        <sz val="10"/>
        <rFont val="Arial"/>
        <family val="0"/>
        <charset val="1"/>
      </rPr>
      <t xml:space="preserve">·</t>
    </r>
    <r>
      <rPr>
        <sz val="10"/>
        <rFont val="WenQuanYi Zen Hei"/>
        <family val="2"/>
      </rPr>
      <t xml:space="preserve">기사</t>
    </r>
    <r>
      <rPr>
        <sz val="10"/>
        <rFont val="Arial"/>
        <family val="0"/>
        <charset val="1"/>
      </rPr>
      <t xml:space="preserve">·</t>
    </r>
    <r>
      <rPr>
        <sz val="10"/>
        <rFont val="WenQuanYi Zen Hei"/>
        <family val="2"/>
      </rPr>
      <t xml:space="preserve">카드처럼 긴 낭독은 예외로 두되 </t>
    </r>
    <r>
      <rPr>
        <sz val="10"/>
        <rFont val="Arial"/>
        <family val="0"/>
        <charset val="1"/>
      </rPr>
      <t xml:space="preserve">1</t>
    </r>
    <r>
      <rPr>
        <sz val="10"/>
        <rFont val="WenQuanYi Zen Hei"/>
        <family val="2"/>
      </rPr>
      <t xml:space="preserve">턴으로 세고</t>
    </r>
    <r>
      <rPr>
        <sz val="10"/>
        <rFont val="Arial"/>
        <family val="0"/>
        <charset val="1"/>
      </rPr>
      <t xml:space="preserve">, </t>
    </r>
    <r>
      <rPr>
        <sz val="10"/>
        <rFont val="WenQuanYi Zen Hei"/>
        <family val="2"/>
      </rPr>
      <t xml:space="preserve">화당 최대 </t>
    </r>
    <r>
      <rPr>
        <sz val="10"/>
        <rFont val="Arial"/>
        <family val="0"/>
        <charset val="1"/>
      </rPr>
      <t xml:space="preserve">3</t>
    </r>
    <r>
      <rPr>
        <sz val="10"/>
        <rFont val="WenQuanYi Zen Hei"/>
        <family val="2"/>
      </rPr>
      <t xml:space="preserve">개까지만 쓴다</t>
    </r>
    <r>
      <rPr>
        <sz val="10"/>
        <rFont val="Arial"/>
        <family val="0"/>
        <charset val="1"/>
      </rPr>
      <t xml:space="preserve">.</t>
    </r>
  </si>
  <si>
    <r>
      <rPr>
        <sz val="10"/>
        <rFont val="Arial"/>
        <family val="0"/>
        <charset val="1"/>
      </rPr>
      <t xml:space="preserve">2. </t>
    </r>
    <r>
      <rPr>
        <sz val="10"/>
        <rFont val="WenQuanYi Zen Hei"/>
        <family val="2"/>
      </rPr>
      <t xml:space="preserve">지문이 없으므로 장소</t>
    </r>
    <r>
      <rPr>
        <sz val="10"/>
        <rFont val="Arial"/>
        <family val="0"/>
        <charset val="1"/>
      </rPr>
      <t xml:space="preserve">·</t>
    </r>
    <r>
      <rPr>
        <sz val="10"/>
        <rFont val="WenQuanYi Zen Hei"/>
        <family val="2"/>
      </rPr>
      <t xml:space="preserve">시간</t>
    </r>
    <r>
      <rPr>
        <sz val="10"/>
        <rFont val="Arial"/>
        <family val="0"/>
        <charset val="1"/>
      </rPr>
      <t xml:space="preserve">·</t>
    </r>
    <r>
      <rPr>
        <sz val="10"/>
        <rFont val="WenQuanYi Zen Hei"/>
        <family val="2"/>
      </rPr>
      <t xml:space="preserve">행동을 알리는 턴이 화당 </t>
    </r>
    <r>
      <rPr>
        <sz val="10"/>
        <rFont val="Arial"/>
        <family val="0"/>
        <charset val="1"/>
      </rPr>
      <t xml:space="preserve">5~10</t>
    </r>
    <r>
      <rPr>
        <sz val="10"/>
        <rFont val="WenQuanYi Zen Hei"/>
        <family val="2"/>
      </rPr>
      <t xml:space="preserve">턴 필요하다 </t>
    </r>
    <r>
      <rPr>
        <sz val="10"/>
        <rFont val="Arial"/>
        <family val="0"/>
        <charset val="1"/>
      </rPr>
      <t xml:space="preserve">(Rosa</t>
    </r>
    <r>
      <rPr>
        <sz val="10"/>
        <rFont val="WenQuanYi Zen Hei"/>
        <family val="2"/>
      </rPr>
      <t xml:space="preserve">의 시간 안내</t>
    </r>
    <r>
      <rPr>
        <sz val="10"/>
        <rFont val="Arial"/>
        <family val="0"/>
        <charset val="1"/>
      </rPr>
      <t xml:space="preserve">, Garibaldi</t>
    </r>
    <r>
      <rPr>
        <sz val="10"/>
        <rFont val="WenQuanYi Zen Hei"/>
        <family val="2"/>
      </rPr>
      <t xml:space="preserve">의 보고</t>
    </r>
    <r>
      <rPr>
        <sz val="10"/>
        <rFont val="Arial"/>
        <family val="0"/>
        <charset val="1"/>
      </rPr>
      <t xml:space="preserve">, </t>
    </r>
    <r>
      <rPr>
        <sz val="10"/>
        <rFont val="WenQuanYi Zen Hei"/>
        <family val="2"/>
      </rPr>
      <t xml:space="preserve">양원 의장의 결과 낭독 등</t>
    </r>
    <r>
      <rPr>
        <sz val="10"/>
        <rFont val="Arial"/>
        <family val="0"/>
        <charset val="1"/>
      </rPr>
      <t xml:space="preserve">).</t>
    </r>
  </si>
  <si>
    <r>
      <rPr>
        <sz val="10"/>
        <rFont val="Arial"/>
        <family val="0"/>
        <charset val="1"/>
      </rPr>
      <t xml:space="preserve">3. Sofia</t>
    </r>
    <r>
      <rPr>
        <sz val="10"/>
        <rFont val="WenQuanYi Zen Hei"/>
        <family val="2"/>
      </rPr>
      <t xml:space="preserve">의 질문 → 쉬운 재설명 짝은 화당 </t>
    </r>
    <r>
      <rPr>
        <sz val="10"/>
        <rFont val="Arial"/>
        <family val="0"/>
        <charset val="1"/>
      </rPr>
      <t xml:space="preserve">3~6</t>
    </r>
    <r>
      <rPr>
        <sz val="10"/>
        <rFont val="WenQuanYi Zen Hei"/>
        <family val="2"/>
      </rPr>
      <t xml:space="preserve">쌍</t>
    </r>
    <r>
      <rPr>
        <sz val="10"/>
        <rFont val="Arial"/>
        <family val="0"/>
        <charset val="1"/>
      </rPr>
      <t xml:space="preserve">(6~12</t>
    </r>
    <r>
      <rPr>
        <sz val="10"/>
        <rFont val="WenQuanYi Zen Hei"/>
        <family val="2"/>
      </rPr>
      <t xml:space="preserve">턴</t>
    </r>
    <r>
      <rPr>
        <sz val="10"/>
        <rFont val="Arial"/>
        <family val="0"/>
        <charset val="1"/>
      </rPr>
      <t xml:space="preserve">)</t>
    </r>
    <r>
      <rPr>
        <sz val="10"/>
        <rFont val="WenQuanYi Zen Hei"/>
        <family val="2"/>
      </rPr>
      <t xml:space="preserve">을 기본으로 한다</t>
    </r>
    <r>
      <rPr>
        <sz val="10"/>
        <rFont val="Arial"/>
        <family val="0"/>
        <charset val="1"/>
      </rPr>
      <t xml:space="preserve">. </t>
    </r>
    <r>
      <rPr>
        <sz val="10"/>
        <rFont val="WenQuanYi Zen Hei"/>
        <family val="2"/>
      </rPr>
      <t xml:space="preserve">어려운 용어를 도입할 때 반드시 사용한다</t>
    </r>
    <r>
      <rPr>
        <sz val="10"/>
        <rFont val="Arial"/>
        <family val="0"/>
        <charset val="1"/>
      </rPr>
      <t xml:space="preserve">.</t>
    </r>
  </si>
  <si>
    <r>
      <rPr>
        <sz val="10"/>
        <rFont val="Arial"/>
        <family val="0"/>
        <charset val="1"/>
      </rPr>
      <t xml:space="preserve">4. </t>
    </r>
    <r>
      <rPr>
        <sz val="10"/>
        <rFont val="WenQuanYi Zen Hei"/>
        <family val="2"/>
      </rPr>
      <t xml:space="preserve">시그니처 표현은 화자당 </t>
    </r>
    <r>
      <rPr>
        <sz val="10"/>
        <rFont val="Arial"/>
        <family val="0"/>
        <charset val="1"/>
      </rPr>
      <t xml:space="preserve">1~2</t>
    </r>
    <r>
      <rPr>
        <sz val="10"/>
        <rFont val="WenQuanYi Zen Hei"/>
        <family val="2"/>
      </rPr>
      <t xml:space="preserve">회</t>
    </r>
    <r>
      <rPr>
        <sz val="10"/>
        <rFont val="Arial"/>
        <family val="0"/>
        <charset val="1"/>
      </rPr>
      <t xml:space="preserve">. 120</t>
    </r>
    <r>
      <rPr>
        <sz val="10"/>
        <rFont val="WenQuanYi Zen Hei"/>
        <family val="2"/>
      </rPr>
      <t xml:space="preserve">턴 안에서 같은 시그니처가 반복되지 않게 배분한다</t>
    </r>
    <r>
      <rPr>
        <sz val="10"/>
        <rFont val="Arial"/>
        <family val="0"/>
        <charset val="1"/>
      </rPr>
      <t xml:space="preserve">.</t>
    </r>
  </si>
  <si>
    <r>
      <rPr>
        <sz val="10"/>
        <rFont val="Arial"/>
        <family val="0"/>
        <charset val="1"/>
      </rPr>
      <t xml:space="preserve">5. </t>
    </r>
    <r>
      <rPr>
        <sz val="10"/>
        <rFont val="WenQuanYi Zen Hei"/>
        <family val="2"/>
      </rPr>
      <t xml:space="preserve">화자 점유율은 턴 수 기준이다</t>
    </r>
    <r>
      <rPr>
        <sz val="10"/>
        <rFont val="Arial"/>
        <family val="0"/>
        <charset val="1"/>
      </rPr>
      <t xml:space="preserve">. Sofia</t>
    </r>
    <r>
      <rPr>
        <sz val="10"/>
        <rFont val="WenQuanYi Zen Hei"/>
        <family val="2"/>
      </rPr>
      <t xml:space="preserve">처럼 턴은 많지만 짧게 말하는 인물은 평균 단어</t>
    </r>
    <r>
      <rPr>
        <sz val="10"/>
        <rFont val="Arial"/>
        <family val="0"/>
        <charset val="1"/>
      </rPr>
      <t xml:space="preserve">/</t>
    </r>
    <r>
      <rPr>
        <sz val="10"/>
        <rFont val="WenQuanYi Zen Hei"/>
        <family val="2"/>
      </rPr>
      <t xml:space="preserve">턴을 낮게 잡았다</t>
    </r>
    <r>
      <rPr>
        <sz val="10"/>
        <rFont val="Arial"/>
        <family val="0"/>
        <charset val="1"/>
      </rPr>
      <t xml:space="preserve">. Machiavelli</t>
    </r>
    <r>
      <rPr>
        <sz val="10"/>
        <rFont val="WenQuanYi Zen Hei"/>
        <family val="2"/>
      </rPr>
      <t xml:space="preserve">는 스페인판에 없던 인물이라 엑스트라 몫에서 점유율을 떼어 배정했다</t>
    </r>
    <r>
      <rPr>
        <sz val="10"/>
        <rFont val="Arial"/>
        <family val="0"/>
        <charset val="1"/>
      </rPr>
      <t xml:space="preserve">.</t>
    </r>
  </si>
  <si>
    <r>
      <rPr>
        <sz val="10"/>
        <rFont val="Arial"/>
        <family val="0"/>
        <charset val="1"/>
      </rPr>
      <t xml:space="preserve">6. </t>
    </r>
    <r>
      <rPr>
        <sz val="10"/>
        <rFont val="WenQuanYi Zen Hei"/>
        <family val="2"/>
      </rPr>
      <t xml:space="preserve">표의 파란 숫자는 가정값이다</t>
    </r>
    <r>
      <rPr>
        <sz val="10"/>
        <rFont val="Arial"/>
        <family val="0"/>
        <charset val="1"/>
      </rPr>
      <t xml:space="preserve">. 1</t>
    </r>
    <r>
      <rPr>
        <sz val="10"/>
        <rFont val="WenQuanYi Zen Hei"/>
        <family val="2"/>
      </rPr>
      <t xml:space="preserve">부 </t>
    </r>
    <r>
      <rPr>
        <sz val="10"/>
        <rFont val="Arial"/>
        <family val="0"/>
        <charset val="1"/>
      </rPr>
      <t xml:space="preserve">1~3</t>
    </r>
    <r>
      <rPr>
        <sz val="10"/>
        <rFont val="WenQuanYi Zen Hei"/>
        <family val="2"/>
      </rPr>
      <t xml:space="preserve">화 대본을 쓴 뒤 실제 턴</t>
    </r>
    <r>
      <rPr>
        <sz val="10"/>
        <rFont val="Arial"/>
        <family val="0"/>
        <charset val="1"/>
      </rPr>
      <t xml:space="preserve">·</t>
    </r>
    <r>
      <rPr>
        <sz val="10"/>
        <rFont val="WenQuanYi Zen Hei"/>
        <family val="2"/>
      </rPr>
      <t xml:space="preserve">단어 수를 재서 점유율과 평균 단어</t>
    </r>
    <r>
      <rPr>
        <sz val="10"/>
        <rFont val="Arial"/>
        <family val="0"/>
        <charset val="1"/>
      </rPr>
      <t xml:space="preserve">/</t>
    </r>
    <r>
      <rPr>
        <sz val="10"/>
        <rFont val="WenQuanYi Zen Hei"/>
        <family val="2"/>
      </rPr>
      <t xml:space="preserve">턴을 교정한다</t>
    </r>
    <r>
      <rPr>
        <sz val="10"/>
        <rFont val="Arial"/>
        <family val="0"/>
        <charset val="1"/>
      </rPr>
      <t xml:space="preserve">.</t>
    </r>
  </si>
  <si>
    <r>
      <rPr>
        <b val="true"/>
        <sz val="14"/>
        <color rgb="FF1F3864"/>
        <rFont val="Arial"/>
        <family val="0"/>
        <charset val="1"/>
      </rPr>
      <t xml:space="preserve">13</t>
    </r>
    <r>
      <rPr>
        <b val="true"/>
        <sz val="14"/>
        <color rgb="FF1F3864"/>
        <rFont val="WenQuanYi Zen Hei"/>
        <family val="2"/>
      </rPr>
      <t xml:space="preserve">부 구성 </t>
    </r>
    <r>
      <rPr>
        <b val="true"/>
        <sz val="14"/>
        <color rgb="FF1F3864"/>
        <rFont val="Arial"/>
        <family val="0"/>
        <charset val="1"/>
      </rPr>
      <t xml:space="preserve">(13</t>
    </r>
    <r>
      <rPr>
        <b val="true"/>
        <sz val="14"/>
        <color rgb="FF1F3864"/>
        <rFont val="WenQuanYi Zen Hei"/>
        <family val="2"/>
      </rPr>
      <t xml:space="preserve">부 </t>
    </r>
    <r>
      <rPr>
        <b val="true"/>
        <sz val="14"/>
        <color rgb="FF1F3864"/>
        <rFont val="Arial"/>
        <family val="0"/>
        <charset val="1"/>
      </rPr>
      <t xml:space="preserve">× 12</t>
    </r>
    <r>
      <rPr>
        <b val="true"/>
        <sz val="14"/>
        <color rgb="FF1F3864"/>
        <rFont val="WenQuanYi Zen Hei"/>
        <family val="2"/>
      </rPr>
      <t xml:space="preserve">화 </t>
    </r>
    <r>
      <rPr>
        <b val="true"/>
        <sz val="14"/>
        <color rgb="FF1F3864"/>
        <rFont val="Arial"/>
        <family val="0"/>
        <charset val="1"/>
      </rPr>
      <t xml:space="preserve">= 156</t>
    </r>
    <r>
      <rPr>
        <b val="true"/>
        <sz val="14"/>
        <color rgb="FF1F3864"/>
        <rFont val="WenQuanYi Zen Hei"/>
        <family val="2"/>
      </rPr>
      <t xml:space="preserve">화</t>
    </r>
    <r>
      <rPr>
        <b val="true"/>
        <sz val="14"/>
        <color rgb="FF1F3864"/>
        <rFont val="Arial"/>
        <family val="0"/>
        <charset val="1"/>
      </rPr>
      <t xml:space="preserve">)</t>
    </r>
  </si>
  <si>
    <t xml:space="preserve">정치 파트(8~12부)는 이탈리아의 현실 정치 제도에 맞춰 재설계했습니다. 화별 목차는 '화별목차_전체', 제도 근거는 '정치제도' 시트.</t>
  </si>
  <si>
    <t xml:space="preserve">제목 (IT)</t>
  </si>
  <si>
    <t xml:space="preserve">한국어</t>
  </si>
  <si>
    <t xml:space="preserve">배경</t>
  </si>
  <si>
    <t xml:space="preserve">핵심 내용</t>
  </si>
  <si>
    <t xml:space="preserve">난이도
(CEFR)</t>
  </si>
  <si>
    <t xml:space="preserve">반영 제도·전문 영역</t>
  </si>
  <si>
    <t xml:space="preserve">시점</t>
  </si>
  <si>
    <t xml:space="preserve">Lo Studio di Testaccio</t>
  </si>
  <si>
    <t xml:space="preserve">테스타초 사무소</t>
  </si>
  <si>
    <r>
      <rPr>
        <sz val="10"/>
        <rFont val="Arial"/>
        <family val="0"/>
        <charset val="1"/>
      </rPr>
      <t xml:space="preserve">Testaccio</t>
    </r>
    <r>
      <rPr>
        <sz val="10"/>
        <rFont val="WenQuanYi Zen Hei"/>
        <family val="2"/>
      </rPr>
      <t xml:space="preserve">의 작은 사무실 </t>
    </r>
    <r>
      <rPr>
        <sz val="10"/>
        <rFont val="Arial"/>
        <family val="0"/>
        <charset val="1"/>
      </rPr>
      <t xml:space="preserve">(1</t>
    </r>
    <r>
      <rPr>
        <sz val="10"/>
        <rFont val="WenQuanYi Zen Hei"/>
        <family val="2"/>
      </rPr>
      <t xml:space="preserve">층은 </t>
    </r>
    <r>
      <rPr>
        <sz val="10"/>
        <rFont val="Arial"/>
        <family val="0"/>
        <charset val="1"/>
      </rPr>
      <t xml:space="preserve">Rosa</t>
    </r>
    <r>
      <rPr>
        <sz val="10"/>
        <rFont val="WenQuanYi Zen Hei"/>
        <family val="2"/>
      </rPr>
      <t xml:space="preserve">의 트라토리아</t>
    </r>
    <r>
      <rPr>
        <sz val="10"/>
        <rFont val="Arial"/>
        <family val="0"/>
        <charset val="1"/>
      </rPr>
      <t xml:space="preserve">), </t>
    </r>
    <r>
      <rPr>
        <sz val="10"/>
        <rFont val="WenQuanYi Zen Hei"/>
        <family val="2"/>
      </rPr>
      <t xml:space="preserve">개소 </t>
    </r>
    <r>
      <rPr>
        <sz val="10"/>
        <rFont val="Arial"/>
        <family val="0"/>
        <charset val="1"/>
      </rPr>
      <t xml:space="preserve">1</t>
    </r>
    <r>
      <rPr>
        <sz val="10"/>
        <rFont val="WenQuanYi Zen Hei"/>
        <family val="2"/>
      </rPr>
      <t xml:space="preserve">개월 후</t>
    </r>
  </si>
  <si>
    <t xml:space="preserve">이미 한 달째 좌충우돌 중인 팀이 이웃들의 사건 6개를 2화씩(도입→해결) 풀어 간다. 자기소개 대신 '이 사람들이 어쩌다 이렇게 됐지?' 하는 궁금증(In medias res)으로 시작.</t>
  </si>
  <si>
    <t xml:space="preserve">B1</t>
  </si>
  <si>
    <t xml:space="preserve">생활 법률·노동·의료·금융 기초 어휘, 반복되는 말다툼, Sofia 1차 폭발(6화)</t>
  </si>
  <si>
    <t xml:space="preserve">현재(개소 후 1개월)</t>
  </si>
  <si>
    <t xml:space="preserve">L'Avvocato</t>
  </si>
  <si>
    <t xml:space="preserve">변호사</t>
  </si>
  <si>
    <r>
      <rPr>
        <sz val="10"/>
        <rFont val="Arial"/>
        <family val="0"/>
        <charset val="1"/>
      </rPr>
      <t xml:space="preserve">Prati(Piazza Cavour </t>
    </r>
    <r>
      <rPr>
        <sz val="10"/>
        <rFont val="WenQuanYi Zen Hei"/>
        <family val="2"/>
      </rPr>
      <t xml:space="preserve">법원가</t>
    </r>
    <r>
      <rPr>
        <sz val="10"/>
        <rFont val="Arial"/>
        <family val="0"/>
        <charset val="1"/>
      </rPr>
      <t xml:space="preserve">)</t>
    </r>
    <r>
      <rPr>
        <sz val="10"/>
        <rFont val="WenQuanYi Zen Hei"/>
        <family val="2"/>
      </rPr>
      <t xml:space="preserve">의 대형 로펌</t>
    </r>
  </si>
  <si>
    <t xml:space="preserve">승소율 100%의 이면: 갱신 거절로 비운 건물이 Marco의 결핍이 된다.</t>
  </si>
  <si>
    <t xml:space="preserve">B2~C1</t>
  </si>
  <si>
    <t xml:space="preserve">임대차(legge 431/1998), 소송, 퇴거 확인 절차(convalida di sfratto)</t>
  </si>
  <si>
    <t xml:space="preserve">과거</t>
  </si>
  <si>
    <t xml:space="preserve">La Dottoressa</t>
  </si>
  <si>
    <t xml:space="preserve">의사</t>
  </si>
  <si>
    <r>
      <rPr>
        <sz val="10"/>
        <rFont val="Arial"/>
        <family val="0"/>
        <charset val="1"/>
      </rPr>
      <t xml:space="preserve">San Camillo </t>
    </r>
    <r>
      <rPr>
        <sz val="10"/>
        <rFont val="WenQuanYi Zen Hei"/>
        <family val="2"/>
      </rPr>
      <t xml:space="preserve">응급실 </t>
    </r>
    <r>
      <rPr>
        <sz val="10"/>
        <rFont val="Arial"/>
        <family val="0"/>
        <charset val="1"/>
      </rPr>
      <t xml:space="preserve">(</t>
    </r>
    <r>
      <rPr>
        <sz val="10"/>
        <rFont val="WenQuanYi Zen Hei"/>
        <family val="2"/>
      </rPr>
      <t xml:space="preserve">가상 설정</t>
    </r>
    <r>
      <rPr>
        <sz val="10"/>
        <rFont val="Arial"/>
        <family val="0"/>
        <charset val="1"/>
      </rPr>
      <t xml:space="preserve">)</t>
    </r>
  </si>
  <si>
    <t xml:space="preserve">예산 삭감과 외주 압박 속에서 치료받지 못하는 환자들. Giulia의 이름 목록.</t>
  </si>
  <si>
    <t xml:space="preserve">의학·보건행정, 주 보건서비스(SSR Lazio·ASL), 병원 외주(esternalizzazione)</t>
  </si>
  <si>
    <t xml:space="preserve">Il Revisore</t>
  </si>
  <si>
    <t xml:space="preserve">회계사</t>
  </si>
  <si>
    <t xml:space="preserve">Conti Revisori</t>
  </si>
  <si>
    <t xml:space="preserve">역외 탈세·자금세탁 정황을 발견하지만 조직의 묵인 압박. 서명하지 않겠다는 다짐의 기원.</t>
  </si>
  <si>
    <t xml:space="preserve">법정 감사(d.lgs. 39/2010), 자금세탁방지(d.lgs. 231/2007)</t>
  </si>
  <si>
    <t xml:space="preserve">La Consulente</t>
  </si>
  <si>
    <t xml:space="preserve">컨설턴트</t>
  </si>
  <si>
    <r>
      <rPr>
        <sz val="10"/>
        <rFont val="Arial"/>
        <family val="0"/>
        <charset val="1"/>
      </rPr>
      <t xml:space="preserve">Zenit Consulting (EUR </t>
    </r>
    <r>
      <rPr>
        <sz val="10"/>
        <rFont val="WenQuanYi Zen Hei"/>
        <family val="2"/>
      </rPr>
      <t xml:space="preserve">오피스 타워 </t>
    </r>
    <r>
      <rPr>
        <sz val="10"/>
        <rFont val="Arial"/>
        <family val="0"/>
        <charset val="1"/>
      </rPr>
      <t xml:space="preserve">32</t>
    </r>
    <r>
      <rPr>
        <sz val="10"/>
        <rFont val="WenQuanYi Zen Hei"/>
        <family val="2"/>
      </rPr>
      <t xml:space="preserve">층</t>
    </r>
    <r>
      <rPr>
        <sz val="10"/>
        <rFont val="Arial"/>
        <family val="0"/>
        <charset val="1"/>
      </rPr>
      <t xml:space="preserve">)</t>
    </r>
  </si>
  <si>
    <t xml:space="preserve">구조조정 엑셀 한 칸이 수백 명의 실직이었음을 깨닫는다. Paolo와의 첫 접점.</t>
  </si>
  <si>
    <t xml:space="preserve">경영 전략, 집단해고(legge 223/1991), 노동법</t>
  </si>
  <si>
    <t xml:space="preserve">L'Incontro</t>
  </si>
  <si>
    <t xml:space="preserve">운명적 만남</t>
  </si>
  <si>
    <r>
      <rPr>
        <sz val="10"/>
        <rFont val="Arial"/>
        <family val="0"/>
        <charset val="1"/>
      </rPr>
      <t xml:space="preserve">Quarticciolo</t>
    </r>
    <r>
      <rPr>
        <sz val="10"/>
        <rFont val="WenQuanYi Zen Hei"/>
        <family val="2"/>
      </rPr>
      <t xml:space="preserve">의 서민 주거 단지</t>
    </r>
    <r>
      <rPr>
        <sz val="10"/>
        <rFont val="Arial"/>
        <family val="0"/>
        <charset val="1"/>
      </rPr>
      <t xml:space="preserve">, </t>
    </r>
    <r>
      <rPr>
        <sz val="10"/>
        <rFont val="WenQuanYi Zen Hei"/>
        <family val="2"/>
      </rPr>
      <t xml:space="preserve">작은 바</t>
    </r>
  </si>
  <si>
    <t xml:space="preserve">강제 퇴거와 의료 방치가 한 건으로 얽힌 사건에서 네 사람이 만나 사무소를 차리기로 한다.</t>
  </si>
  <si>
    <t xml:space="preserve">B2</t>
  </si>
  <si>
    <t xml:space="preserve">협상·설득 구어체</t>
  </si>
  <si>
    <t xml:space="preserve">현재로 수렴</t>
  </si>
  <si>
    <t xml:space="preserve">La Rete della Resistenza</t>
  </si>
  <si>
    <t xml:space="preserve">사무소 2탄: 전면전</t>
  </si>
  <si>
    <t xml:space="preserve">법원(Piazzale Clodio), Campidoglio 앞, 로마 전역</t>
  </si>
  <si>
    <t xml:space="preserve">부당 해고·의료 사고·탈세 대기업 상대 집단 대응. 내부 제보자를 보호하고 검찰에 고발한다.</t>
  </si>
  <si>
    <t xml:space="preserve">검찰 고발(esposto-denuncia), 민사 당사자(parte civile), ANAC, 내부고발자 보호(d.lgs. 24/2023)</t>
  </si>
  <si>
    <t xml:space="preserve">과거→현재</t>
  </si>
  <si>
    <t xml:space="preserve">Il Risveglio Civico</t>
  </si>
  <si>
    <t xml:space="preserve">정치적 각성과 창당</t>
  </si>
  <si>
    <r>
      <rPr>
        <sz val="10"/>
        <rFont val="Arial"/>
        <family val="0"/>
        <charset val="1"/>
      </rPr>
      <t xml:space="preserve">Piazza San Giovanni, </t>
    </r>
    <r>
      <rPr>
        <sz val="10"/>
        <rFont val="WenQuanYi Zen Hei"/>
        <family val="2"/>
      </rPr>
      <t xml:space="preserve">시민 집회</t>
    </r>
  </si>
  <si>
    <t xml:space="preserve">폐지 국민투표가 정족수에 막히자 스스로 정당 «Casa Comune»를 창당해 첫 로마 시의회·라치오 주의회 선거에 나선다.</t>
  </si>
  <si>
    <t xml:space="preserve">집회 사전 통지, 폐지 국민투표(헌법 제75조), 정당 등록부(d.l. 149/2013), 정당 재정, 선거운동 규칙</t>
  </si>
  <si>
    <t xml:space="preserve">정치</t>
  </si>
  <si>
    <t xml:space="preserve">In Campidoglio e alla Pisana</t>
  </si>
  <si>
    <t xml:space="preserve">시의회와 주의회</t>
  </si>
  <si>
    <r>
      <rPr>
        <sz val="10"/>
        <rFont val="Arial"/>
        <family val="0"/>
        <charset val="1"/>
      </rPr>
      <t xml:space="preserve">Campidoglio(Assemblea Capitolina), </t>
    </r>
    <r>
      <rPr>
        <sz val="10"/>
        <rFont val="WenQuanYi Zen Hei"/>
        <family val="2"/>
      </rPr>
      <t xml:space="preserve">라치오 주의회</t>
    </r>
    <r>
      <rPr>
        <sz val="10"/>
        <rFont val="Arial"/>
        <family val="0"/>
        <charset val="1"/>
      </rPr>
      <t xml:space="preserve">(Via della Pisana)</t>
    </r>
  </si>
  <si>
    <r>
      <rPr>
        <sz val="10"/>
        <rFont val="Arial"/>
        <family val="0"/>
        <charset val="1"/>
      </rPr>
      <t xml:space="preserve">Alessandro</t>
    </r>
    <r>
      <rPr>
        <sz val="10"/>
        <rFont val="WenQuanYi Zen Hei"/>
        <family val="2"/>
      </rPr>
      <t xml:space="preserve">는 시의회에서 예산을</t>
    </r>
    <r>
      <rPr>
        <sz val="10"/>
        <rFont val="Arial"/>
        <family val="0"/>
        <charset val="1"/>
      </rPr>
      <t xml:space="preserve">, Giulia</t>
    </r>
    <r>
      <rPr>
        <sz val="10"/>
        <rFont val="WenQuanYi Zen Hei"/>
        <family val="2"/>
      </rPr>
      <t xml:space="preserve">는 주의회에서 보건을 파고든다</t>
    </r>
    <r>
      <rPr>
        <sz val="10"/>
        <rFont val="Arial"/>
        <family val="0"/>
        <charset val="1"/>
      </rPr>
      <t xml:space="preserve">. </t>
    </r>
    <r>
      <rPr>
        <sz val="10"/>
        <rFont val="WenQuanYi Zen Hei"/>
        <family val="2"/>
      </rPr>
      <t xml:space="preserve">스캔들 폭로와 </t>
    </r>
    <r>
      <rPr>
        <sz val="10"/>
        <rFont val="Arial"/>
        <family val="0"/>
        <charset val="1"/>
      </rPr>
      <t xml:space="preserve">Sofia</t>
    </r>
    <r>
      <rPr>
        <sz val="10"/>
        <rFont val="WenQuanYi Zen Hei"/>
        <family val="2"/>
      </rPr>
      <t xml:space="preserve">의 </t>
    </r>
    <r>
      <rPr>
        <sz val="10"/>
        <rFont val="Arial"/>
        <family val="0"/>
        <charset val="1"/>
      </rPr>
      <t xml:space="preserve">2</t>
    </r>
    <r>
      <rPr>
        <sz val="10"/>
        <rFont val="WenQuanYi Zen Hei"/>
        <family val="2"/>
      </rPr>
      <t xml:space="preserve">차 폭발</t>
    </r>
    <r>
      <rPr>
        <sz val="10"/>
        <rFont val="Arial"/>
        <family val="0"/>
        <charset val="1"/>
      </rPr>
      <t xml:space="preserve">.</t>
    </r>
  </si>
  <si>
    <t xml:space="preserve">C1</t>
  </si>
  <si>
    <t xml:space="preserve">시의회 운영(TUEL), 시 예산, 공공계약(d.lgs. 36/2023), 주 권한(보건·도시계획), 검찰 고발</t>
  </si>
  <si>
    <t xml:space="preserve">Verso Palazzo Chigi</t>
  </si>
  <si>
    <t xml:space="preserve">총선에서 총리 취임까지</t>
  </si>
  <si>
    <t xml:space="preserve">Montecitorio, Palazzo Madama, Quirinale, Palazzo Chigi</t>
  </si>
  <si>
    <t xml:space="preserve">해산·총선·개원·대통령 협의·첫 정부의 신임 부결·탐색 위임·재선거·상원 1표 차 신임.</t>
  </si>
  <si>
    <t xml:space="preserve">C1~C2</t>
  </si>
  <si>
    <t xml:space="preserve">선거 절차(legge 165/2017), 개원, 조각 위임(헌법 제92조), 신임(제94조), 해산(제88조), Quirinale 선서</t>
  </si>
  <si>
    <t xml:space="preserve">La Grande Battaglia Sociale I</t>
  </si>
  <si>
    <t xml:space="preserve">사회 현안 전투 I</t>
  </si>
  <si>
    <r>
      <rPr>
        <sz val="10"/>
        <rFont val="Arial"/>
        <family val="0"/>
        <charset val="1"/>
      </rPr>
      <t xml:space="preserve">Palazzo Chigi, Consiglio dei Ministri, </t>
    </r>
    <r>
      <rPr>
        <sz val="10"/>
        <rFont val="WenQuanYi Zen Hei"/>
        <family val="2"/>
      </rPr>
      <t xml:space="preserve">브뤼셀</t>
    </r>
  </si>
  <si>
    <t xml:space="preserve">연립 정부로 주거·보건·이민·청년·물가 국내 현안을 돌파한 뒤, Cesare가 직접 브뤼셀 협상(NATO 방위비·EU 재정규칙)에 나서 승리하고 귀국 직후 두 번째 죽음을 맞는다.</t>
  </si>
  <si>
    <r>
      <rPr>
        <sz val="10"/>
        <rFont val="Arial"/>
        <family val="0"/>
        <charset val="1"/>
      </rPr>
      <t xml:space="preserve">Consiglio dei Ministri, </t>
    </r>
    <r>
      <rPr>
        <sz val="10"/>
        <rFont val="WenQuanYi Zen Hei"/>
        <family val="2"/>
      </rPr>
      <t xml:space="preserve">국가–주 협의회</t>
    </r>
    <r>
      <rPr>
        <sz val="10"/>
        <rFont val="Arial"/>
        <family val="0"/>
        <charset val="1"/>
      </rPr>
      <t xml:space="preserve">, NATO </t>
    </r>
    <r>
      <rPr>
        <sz val="10"/>
        <rFont val="WenQuanYi Zen Hei"/>
        <family val="2"/>
      </rPr>
      <t xml:space="preserve">방위비 목표</t>
    </r>
    <r>
      <rPr>
        <sz val="10"/>
        <rFont val="Arial"/>
        <family val="0"/>
        <charset val="1"/>
      </rPr>
      <t xml:space="preserve">(2025 </t>
    </r>
    <r>
      <rPr>
        <sz val="10"/>
        <rFont val="WenQuanYi Zen Hei"/>
        <family val="2"/>
      </rPr>
      <t xml:space="preserve">헤이그 합의</t>
    </r>
    <r>
      <rPr>
        <sz val="10"/>
        <rFont val="Arial"/>
        <family val="0"/>
        <charset val="1"/>
      </rPr>
      <t xml:space="preserve">), EU </t>
    </r>
    <r>
      <rPr>
        <sz val="10"/>
        <rFont val="WenQuanYi Zen Hei"/>
        <family val="2"/>
      </rPr>
      <t xml:space="preserve">과도한 재정적자 절차</t>
    </r>
  </si>
  <si>
    <t xml:space="preserve">La Grande Battaglia Sociale II</t>
  </si>
  <si>
    <t xml:space="preserve">사회 현안 전투 II</t>
  </si>
  <si>
    <r>
      <rPr>
        <sz val="10"/>
        <rFont val="Arial"/>
        <family val="0"/>
        <charset val="1"/>
      </rPr>
      <t xml:space="preserve">Palazzo Chigi, </t>
    </r>
    <r>
      <rPr>
        <sz val="10"/>
        <rFont val="WenQuanYi Zen Hei"/>
        <family val="2"/>
      </rPr>
      <t xml:space="preserve">브뤼셀</t>
    </r>
    <r>
      <rPr>
        <sz val="10"/>
        <rFont val="Arial"/>
        <family val="0"/>
        <charset val="1"/>
      </rPr>
      <t xml:space="preserve">, </t>
    </r>
    <r>
      <rPr>
        <sz val="10"/>
        <rFont val="WenQuanYi Zen Hei"/>
        <family val="2"/>
      </rPr>
      <t xml:space="preserve">홍수 현장</t>
    </r>
  </si>
  <si>
    <t xml:space="preserve">장례식으로 열고 Cesare의 유작 메모로 브뤼셀 후속 협상을 마무리한다. 플랫폼 노동·스파이웨어·청년 정신건강 등 새 현안과 불신임안 방어, 홍수 재난, 예산안까지.</t>
  </si>
  <si>
    <t xml:space="preserve">메모 승계, decreto-legge vs 법률, 헌법재판소, 불신임안, 민방위(d.lgs. 1/2018), 예산</t>
  </si>
  <si>
    <t xml:space="preserve">Ritorno a Testaccio</t>
  </si>
  <si>
    <t xml:space="preserve">귀환</t>
  </si>
  <si>
    <t xml:space="preserve">Testaccio, Trattoria da Rosa</t>
  </si>
  <si>
    <r>
      <rPr>
        <sz val="10"/>
        <rFont val="Arial"/>
        <family val="0"/>
        <charset val="1"/>
      </rPr>
      <t xml:space="preserve">1</t>
    </r>
    <r>
      <rPr>
        <sz val="10"/>
        <rFont val="WenQuanYi Zen Hei"/>
        <family val="2"/>
      </rPr>
      <t xml:space="preserve">부 </t>
    </r>
    <r>
      <rPr>
        <sz val="10"/>
        <rFont val="Arial"/>
        <family val="0"/>
        <charset val="1"/>
      </rPr>
      <t xml:space="preserve">1</t>
    </r>
    <r>
      <rPr>
        <sz val="10"/>
        <rFont val="WenQuanYi Zen Hei"/>
        <family val="2"/>
      </rPr>
      <t xml:space="preserve">화와 같은 대사로 시작해 원을 닫는다</t>
    </r>
    <r>
      <rPr>
        <sz val="10"/>
        <rFont val="Arial"/>
        <family val="0"/>
        <charset val="1"/>
      </rPr>
      <t xml:space="preserve">. Cesare</t>
    </r>
    <r>
      <rPr>
        <sz val="10"/>
        <rFont val="WenQuanYi Zen Hei"/>
        <family val="2"/>
      </rPr>
      <t xml:space="preserve">의 유언장</t>
    </r>
    <r>
      <rPr>
        <sz val="10"/>
        <rFont val="Arial"/>
        <family val="0"/>
        <charset val="1"/>
      </rPr>
      <t xml:space="preserve">, </t>
    </r>
    <r>
      <rPr>
        <sz val="10"/>
        <rFont val="WenQuanYi Zen Hei"/>
        <family val="2"/>
      </rPr>
      <t xml:space="preserve">새 인턴</t>
    </r>
    <r>
      <rPr>
        <sz val="10"/>
        <rFont val="Arial"/>
        <family val="0"/>
        <charset val="1"/>
      </rPr>
      <t xml:space="preserve">, </t>
    </r>
    <r>
      <rPr>
        <sz val="10"/>
        <rFont val="WenQuanYi Zen Hei"/>
        <family val="2"/>
      </rPr>
      <t xml:space="preserve">이제 설명하는 쪽이 된 </t>
    </r>
    <r>
      <rPr>
        <sz val="10"/>
        <rFont val="Arial"/>
        <family val="0"/>
        <charset val="1"/>
      </rPr>
      <t xml:space="preserve">Sofia.</t>
    </r>
  </si>
  <si>
    <t xml:space="preserve">B1~B2</t>
  </si>
  <si>
    <t xml:space="preserve">유언(notaio, esecutore testamentario), 정부 구성원 이해충돌 제한, 재단 전환, 원형 구조</t>
  </si>
  <si>
    <t xml:space="preserve">흐름: 현재(1) → 과거(2~5) → 교차(6) → 전면전(7) → 정치(8 창당 → 9 시·주 의회 → 10 총선·총리) → 국정(11~12) → 귀환(13, 원형 구조). 난이도는 B1 → C1/C2 → B1~B2로 올라갔다 내려와 마무리가 부드럽고, 13부에서 1부 장면을 다시 읽으면 낭독 실력의 성장을 스스로 확인할 수 있다.</t>
  </si>
  <si>
    <t xml:space="preserve">아크별 구성 계획 (1~13부)</t>
  </si>
  <si>
    <t xml:space="preserve">각 부(아크)의 서사 기능, 변화, 비트(발단→결말), 인물 아크, 복선, 현안·제도, 언어 설계를 한 블록으로 정리. 화별 세부는 '화별목차_전체', 복선 추적은 '복선_회수'.</t>
  </si>
  <si>
    <r>
      <rPr>
        <b val="true"/>
        <sz val="10"/>
        <color rgb="FFFFFFFF"/>
        <rFont val="Arial"/>
        <family val="0"/>
        <charset val="1"/>
      </rPr>
      <t xml:space="preserve">Lo Studio di Testaccio — </t>
    </r>
    <r>
      <rPr>
        <b val="true"/>
        <sz val="10"/>
        <color rgb="FFFFFFFF"/>
        <rFont val="WenQuanYi Zen Hei"/>
        <family val="2"/>
      </rPr>
      <t xml:space="preserve">테스타초 사무소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B1   |   </t>
    </r>
    <r>
      <rPr>
        <b val="true"/>
        <sz val="10"/>
        <color rgb="FFFFFFFF"/>
        <rFont val="WenQuanYi Zen Hei"/>
        <family val="2"/>
      </rPr>
      <t xml:space="preserve">사무소 개소 </t>
    </r>
    <r>
      <rPr>
        <b val="true"/>
        <sz val="10"/>
        <color rgb="FFFFFFFF"/>
        <rFont val="Arial"/>
        <family val="0"/>
        <charset val="1"/>
      </rPr>
      <t xml:space="preserve">1</t>
    </r>
    <r>
      <rPr>
        <b val="true"/>
        <sz val="10"/>
        <color rgb="FFFFFFFF"/>
        <rFont val="WenQuanYi Zen Hei"/>
        <family val="2"/>
      </rPr>
      <t xml:space="preserve">개월 후</t>
    </r>
    <r>
      <rPr>
        <b val="true"/>
        <sz val="10"/>
        <color rgb="FFFFFFFF"/>
        <rFont val="Arial"/>
        <family val="0"/>
        <charset val="1"/>
      </rPr>
      <t xml:space="preserve">(6</t>
    </r>
    <r>
      <rPr>
        <b val="true"/>
        <sz val="10"/>
        <color rgb="FFFFFFFF"/>
        <rFont val="WenQuanYi Zen Hei"/>
        <family val="2"/>
      </rPr>
      <t xml:space="preserve">부 </t>
    </r>
    <r>
      <rPr>
        <b val="true"/>
        <sz val="10"/>
        <color rgb="FFFFFFFF"/>
        <rFont val="Arial"/>
        <family val="0"/>
        <charset val="1"/>
      </rPr>
      <t xml:space="preserve">12</t>
    </r>
    <r>
      <rPr>
        <b val="true"/>
        <sz val="10"/>
        <color rgb="FFFFFFFF"/>
        <rFont val="WenQuanYi Zen Hei"/>
        <family val="2"/>
      </rPr>
      <t xml:space="preserve">화로부터 약 </t>
    </r>
    <r>
      <rPr>
        <b val="true"/>
        <sz val="10"/>
        <color rgb="FFFFFFFF"/>
        <rFont val="Arial"/>
        <family val="0"/>
        <charset val="1"/>
      </rPr>
      <t xml:space="preserve">4</t>
    </r>
    <r>
      <rPr>
        <b val="true"/>
        <sz val="10"/>
        <color rgb="FFFFFFFF"/>
        <rFont val="WenQuanYi Zen Hei"/>
        <family val="2"/>
      </rPr>
      <t xml:space="preserve">주</t>
    </r>
    <r>
      <rPr>
        <b val="true"/>
        <sz val="10"/>
        <color rgb="FFFFFFFF"/>
        <rFont val="Arial"/>
        <family val="0"/>
        <charset val="1"/>
      </rPr>
      <t xml:space="preserve">). Testaccio </t>
    </r>
    <r>
      <rPr>
        <b val="true"/>
        <sz val="10"/>
        <color rgb="FFFFFFFF"/>
        <rFont val="WenQuanYi Zen Hei"/>
        <family val="2"/>
      </rPr>
      <t xml:space="preserve">사무소와 </t>
    </r>
    <r>
      <rPr>
        <b val="true"/>
        <sz val="10"/>
        <color rgb="FFFFFFFF"/>
        <rFont val="Arial"/>
        <family val="0"/>
        <charset val="1"/>
      </rPr>
      <t xml:space="preserve">1</t>
    </r>
    <r>
      <rPr>
        <b val="true"/>
        <sz val="10"/>
        <color rgb="FFFFFFFF"/>
        <rFont val="WenQuanYi Zen Hei"/>
        <family val="2"/>
      </rPr>
      <t xml:space="preserve">층 </t>
    </r>
    <r>
      <rPr>
        <b val="true"/>
        <sz val="10"/>
        <color rgb="FFFFFFFF"/>
        <rFont val="Arial"/>
        <family val="0"/>
        <charset val="1"/>
      </rPr>
      <t xml:space="preserve">Rosa</t>
    </r>
    <r>
      <rPr>
        <b val="true"/>
        <sz val="10"/>
        <color rgb="FFFFFFFF"/>
        <rFont val="WenQuanYi Zen Hei"/>
        <family val="2"/>
      </rPr>
      <t xml:space="preserve">의 트라토리아</t>
    </r>
    <r>
      <rPr>
        <b val="true"/>
        <sz val="10"/>
        <color rgb="FFFFFFFF"/>
        <rFont val="Arial"/>
        <family val="0"/>
        <charset val="1"/>
      </rPr>
      <t xml:space="preserve">.</t>
    </r>
  </si>
  <si>
    <t xml:space="preserve">서사 기능</t>
  </si>
  <si>
    <t xml:space="preserve">독자 진입 장치. 이미 굴러가는(그러나 여전히 좌충우돌하는) 사무소를 보여 주어 '이 사람들이 어쩌다 이렇게 됐지?' 하는 궁금증을 만든다. 자기소개 대신 여섯 사건을 통해 인물의 습관과 리듬을 익히게 한다. 부활한 역사 인물들이 아무렇지 않게 섞여 있는 일상이 첫 웃음 포인트.</t>
  </si>
  <si>
    <t xml:space="preserve">로그라인</t>
  </si>
  <si>
    <t xml:space="preserve">개소 한 달째, 여전히 순서 하나 못 정하고 매번 다투는 네 전문가와 팀이 그래도 이웃들의 사건 여섯 개를 하나씩 해결해 나가지만, 마지막 사건의 서류에서 Marco의 옛 로펌 이름이 튀어나온다.</t>
  </si>
  <si>
    <t xml:space="preserve">변화 (시작 → 끝)</t>
  </si>
  <si>
    <r>
      <rPr>
        <sz val="10"/>
        <rFont val="Arial"/>
        <family val="0"/>
        <charset val="1"/>
      </rPr>
      <t xml:space="preserve">'</t>
    </r>
    <r>
      <rPr>
        <sz val="10"/>
        <rFont val="WenQuanYi Zen Hei"/>
        <family val="2"/>
      </rPr>
      <t xml:space="preserve">한 달이나 됐는데 아직도 이 모양</t>
    </r>
    <r>
      <rPr>
        <sz val="10"/>
        <rFont val="Arial"/>
        <family val="0"/>
        <charset val="1"/>
      </rPr>
      <t xml:space="preserve">' → </t>
    </r>
    <r>
      <rPr>
        <sz val="10"/>
        <rFont val="WenQuanYi Zen Hei"/>
        <family val="2"/>
      </rPr>
      <t xml:space="preserve">그래도 매번 어떻게든 해결하는 팀이라는 신뢰</t>
    </r>
    <r>
      <rPr>
        <sz val="10"/>
        <rFont val="Arial"/>
        <family val="0"/>
        <charset val="1"/>
      </rPr>
      <t xml:space="preserve">. </t>
    </r>
    <r>
      <rPr>
        <sz val="10"/>
        <rFont val="WenQuanYi Zen Hei"/>
        <family val="2"/>
      </rPr>
      <t xml:space="preserve">그러나 각자의 과거는 여전히 미해결이고</t>
    </r>
    <r>
      <rPr>
        <sz val="10"/>
        <rFont val="Arial"/>
        <family val="0"/>
        <charset val="1"/>
      </rPr>
      <t xml:space="preserve">, </t>
    </r>
    <r>
      <rPr>
        <sz val="10"/>
        <rFont val="WenQuanYi Zen Hei"/>
        <family val="2"/>
      </rPr>
      <t xml:space="preserve">옛 로펌 이름이 도착한다</t>
    </r>
    <r>
      <rPr>
        <sz val="10"/>
        <rFont val="Arial"/>
        <family val="0"/>
        <charset val="1"/>
      </rPr>
      <t xml:space="preserve">.</t>
    </r>
  </si>
  <si>
    <t xml:space="preserve">핵심 갈등</t>
  </si>
  <si>
    <t xml:space="preserve">전문가의 말투 vs 이웃의 삶 / 여전히 못 정한 방법 / 각자 숨기는 과거</t>
  </si>
  <si>
    <t xml:space="preserve">비트 1</t>
  </si>
  <si>
    <t xml:space="preserve">사건1 임대료 인상, 1~2화(Fatima): 도입에서 여전히 자리 못 잡은 한 달 차 팀의 말다툼을 보여 주고, 해결에서 Gramsci의 카드 #1(legge 431/1998)로 부당 인상을 막는다.</t>
  </si>
  <si>
    <t xml:space="preserve">비트 2</t>
  </si>
  <si>
    <t xml:space="preserve">사건2 퇴거 집행, 3~4화: 밤 여덟 시 급보 → 아침 집행 연기. Garibaldi·Paolo 첫 카메오, 넷의 역할 분담(서류·건강·숫자·동선)이 처음으로 손발이 맞는다.</t>
  </si>
  <si>
    <t xml:space="preserve">비트 3</t>
  </si>
  <si>
    <t xml:space="preserve">사건3 임금 체불·위장 인턴, 5~6화: Chiara의 컨설팅 용어가 청년 노동자를 지치게 하고, 협상 중 Sofia가 1차 폭발한다. 폭발 후 쉬운 말로 다시 협상해 해결.</t>
  </si>
  <si>
    <t xml:space="preserve">비트 4</t>
  </si>
  <si>
    <t xml:space="preserve">사건4 의료 접근, 7~8화: 체류 서류 없는 가족의 아이가 진료를 못 받는다. Montessori·Dante 카메오, Cesare의 가짜 무릎이 진짜 아픈 아이 앞에서 조용해지는 대비. STP 코드로 해결.</t>
  </si>
  <si>
    <t xml:space="preserve">비트 5</t>
  </si>
  <si>
    <t xml:space="preserve">사건5 금융 사기, 9~10화: 저축을 잃은 이웃을 두고 Alessandro가 장부를, 낯선 Francesco가 계좌 흐름을 추적한다. Galileo 카메오. Francesco는 설명 없이 사라지고 Alessandro는 은행 이름에 말없이 굳는다.</t>
  </si>
  <si>
    <t xml:space="preserve">비트 6</t>
  </si>
  <si>
    <t xml:space="preserve">사건6 오래된 서류·훅, 11~12화: 수십 년 전 퇴거 서류의 절차 오류를 바로잡다가 서명란에서 Marco의 옛 로펌 이름을 발견한다. Marco가 얼어붙고 금요일 이야기(2부)가 예고된다.</t>
  </si>
  <si>
    <t xml:space="preserve">인물 아크</t>
  </si>
  <si>
    <r>
      <rPr>
        <sz val="10"/>
        <rFont val="Arial"/>
        <family val="0"/>
        <charset val="1"/>
      </rPr>
      <t xml:space="preserve">Sofia=</t>
    </r>
    <r>
      <rPr>
        <sz val="10"/>
        <rFont val="WenQuanYi Zen Hei"/>
        <family val="2"/>
      </rPr>
      <t xml:space="preserve">독자의 대리인</t>
    </r>
    <r>
      <rPr>
        <sz val="10"/>
        <rFont val="Arial"/>
        <family val="0"/>
        <charset val="1"/>
      </rPr>
      <t xml:space="preserve">(</t>
    </r>
    <r>
      <rPr>
        <sz val="10"/>
        <rFont val="WenQuanYi Zen Hei"/>
        <family val="2"/>
      </rPr>
      <t xml:space="preserve">질문</t>
    </r>
    <r>
      <rPr>
        <sz val="10"/>
        <rFont val="Arial"/>
        <family val="0"/>
        <charset val="1"/>
      </rPr>
      <t xml:space="preserve">), </t>
    </r>
    <r>
      <rPr>
        <sz val="10"/>
        <rFont val="WenQuanYi Zen Hei"/>
        <family val="2"/>
      </rPr>
      <t xml:space="preserve">한 달이 지나도 </t>
    </r>
    <r>
      <rPr>
        <sz val="10"/>
        <rFont val="Arial"/>
        <family val="0"/>
        <charset val="1"/>
      </rPr>
      <t xml:space="preserve">Marco</t>
    </r>
    <r>
      <rPr>
        <sz val="10"/>
        <rFont val="WenQuanYi Zen Hei"/>
        <family val="2"/>
      </rPr>
      <t xml:space="preserve">에게 </t>
    </r>
    <r>
      <rPr>
        <sz val="10"/>
        <rFont val="Arial"/>
        <family val="0"/>
        <charset val="1"/>
      </rPr>
      <t xml:space="preserve">Lei </t>
    </r>
    <r>
      <rPr>
        <sz val="10"/>
        <rFont val="WenQuanYi Zen Hei"/>
        <family val="2"/>
      </rPr>
      <t xml:space="preserve">유지</t>
    </r>
    <r>
      <rPr>
        <sz val="10"/>
        <rFont val="Arial"/>
        <family val="0"/>
        <charset val="1"/>
      </rPr>
      <t xml:space="preserve">. Cesare=</t>
    </r>
    <r>
      <rPr>
        <sz val="10"/>
        <rFont val="WenQuanYi Zen Hei"/>
        <family val="2"/>
      </rPr>
      <t xml:space="preserve">심술과 복선</t>
    </r>
    <r>
      <rPr>
        <sz val="10"/>
        <rFont val="Arial"/>
        <family val="0"/>
        <charset val="1"/>
      </rPr>
      <t xml:space="preserve">(</t>
    </r>
    <r>
      <rPr>
        <sz val="10"/>
        <rFont val="WenQuanYi Zen Hei"/>
        <family val="2"/>
      </rPr>
      <t xml:space="preserve">매년 하는 소리라는 게 드러남</t>
    </r>
    <r>
      <rPr>
        <sz val="10"/>
        <rFont val="Arial"/>
        <family val="0"/>
        <charset val="1"/>
      </rPr>
      <t xml:space="preserve">). Rosa=</t>
    </r>
    <r>
      <rPr>
        <sz val="10"/>
        <rFont val="WenQuanYi Zen Hei"/>
        <family val="2"/>
      </rPr>
      <t xml:space="preserve">정서적 중심</t>
    </r>
    <r>
      <rPr>
        <sz val="10"/>
        <rFont val="Arial"/>
        <family val="0"/>
        <charset val="1"/>
      </rPr>
      <t xml:space="preserve">. </t>
    </r>
    <r>
      <rPr>
        <sz val="10"/>
        <rFont val="WenQuanYi Zen Hei"/>
        <family val="2"/>
      </rPr>
      <t xml:space="preserve">카메오는 사건별로 분산</t>
    </r>
    <r>
      <rPr>
        <sz val="10"/>
        <rFont val="Arial"/>
        <family val="0"/>
        <charset val="1"/>
      </rPr>
      <t xml:space="preserve">: Gramsci(1·2·6</t>
    </r>
    <r>
      <rPr>
        <sz val="10"/>
        <rFont val="WenQuanYi Zen Hei"/>
        <family val="2"/>
      </rPr>
      <t xml:space="preserve">화</t>
    </r>
    <r>
      <rPr>
        <sz val="10"/>
        <rFont val="Arial"/>
        <family val="0"/>
        <charset val="1"/>
      </rPr>
      <t xml:space="preserve">), Machiavelli(1·5·12</t>
    </r>
    <r>
      <rPr>
        <sz val="10"/>
        <rFont val="WenQuanYi Zen Hei"/>
        <family val="2"/>
      </rPr>
      <t xml:space="preserve">화</t>
    </r>
    <r>
      <rPr>
        <sz val="10"/>
        <rFont val="Arial"/>
        <family val="0"/>
        <charset val="1"/>
      </rPr>
      <t xml:space="preserve">), Garibaldi·Paolo(3·4</t>
    </r>
    <r>
      <rPr>
        <sz val="10"/>
        <rFont val="WenQuanYi Zen Hei"/>
        <family val="2"/>
      </rPr>
      <t xml:space="preserve">화</t>
    </r>
    <r>
      <rPr>
        <sz val="10"/>
        <rFont val="Arial"/>
        <family val="0"/>
        <charset val="1"/>
      </rPr>
      <t xml:space="preserve">), Montessori·Dante(7</t>
    </r>
    <r>
      <rPr>
        <sz val="10"/>
        <rFont val="WenQuanYi Zen Hei"/>
        <family val="2"/>
      </rPr>
      <t xml:space="preserve">화</t>
    </r>
    <r>
      <rPr>
        <sz val="10"/>
        <rFont val="Arial"/>
        <family val="0"/>
        <charset val="1"/>
      </rPr>
      <t xml:space="preserve">), Francesco·Galileo(9·10·11</t>
    </r>
    <r>
      <rPr>
        <sz val="10"/>
        <rFont val="WenQuanYi Zen Hei"/>
        <family val="2"/>
      </rPr>
      <t xml:space="preserve">화</t>
    </r>
    <r>
      <rPr>
        <sz val="10"/>
        <rFont val="Arial"/>
        <family val="0"/>
        <charset val="1"/>
      </rPr>
      <t xml:space="preserve">). </t>
    </r>
    <r>
      <rPr>
        <sz val="10"/>
        <rFont val="WenQuanYi Zen Hei"/>
        <family val="2"/>
      </rPr>
      <t xml:space="preserve">폭발 화</t>
    </r>
    <r>
      <rPr>
        <sz val="10"/>
        <rFont val="Arial"/>
        <family val="0"/>
        <charset val="1"/>
      </rPr>
      <t xml:space="preserve">(6</t>
    </r>
    <r>
      <rPr>
        <sz val="10"/>
        <rFont val="WenQuanYi Zen Hei"/>
        <family val="2"/>
      </rPr>
      <t xml:space="preserve">화</t>
    </r>
    <r>
      <rPr>
        <sz val="10"/>
        <rFont val="Arial"/>
        <family val="0"/>
        <charset val="1"/>
      </rPr>
      <t xml:space="preserve">)</t>
    </r>
    <r>
      <rPr>
        <sz val="10"/>
        <rFont val="WenQuanYi Zen Hei"/>
        <family val="2"/>
      </rPr>
      <t xml:space="preserve">에는 </t>
    </r>
    <r>
      <rPr>
        <sz val="10"/>
        <rFont val="Arial"/>
        <family val="0"/>
        <charset val="1"/>
      </rPr>
      <t xml:space="preserve">Garibaldi·Rosa·Gramsci</t>
    </r>
    <r>
      <rPr>
        <sz val="10"/>
        <rFont val="WenQuanYi Zen Hei"/>
        <family val="2"/>
      </rPr>
      <t xml:space="preserve">의 고정 반응만 남기고 </t>
    </r>
    <r>
      <rPr>
        <sz val="10"/>
        <rFont val="Arial"/>
        <family val="0"/>
        <charset val="1"/>
      </rPr>
      <t xml:space="preserve">Paolo</t>
    </r>
    <r>
      <rPr>
        <sz val="10"/>
        <rFont val="WenQuanYi Zen Hei"/>
        <family val="2"/>
      </rPr>
      <t xml:space="preserve">의 욕은 </t>
    </r>
    <r>
      <rPr>
        <sz val="10"/>
        <rFont val="Arial"/>
        <family val="0"/>
        <charset val="1"/>
      </rPr>
      <t xml:space="preserve">9</t>
    </r>
    <r>
      <rPr>
        <sz val="10"/>
        <rFont val="WenQuanYi Zen Hei"/>
        <family val="2"/>
      </rPr>
      <t xml:space="preserve">부 </t>
    </r>
    <r>
      <rPr>
        <sz val="10"/>
        <rFont val="Arial"/>
        <family val="0"/>
        <charset val="1"/>
      </rPr>
      <t xml:space="preserve">2</t>
    </r>
    <r>
      <rPr>
        <sz val="10"/>
        <rFont val="WenQuanYi Zen Hei"/>
        <family val="2"/>
      </rPr>
      <t xml:space="preserve">차 폭발로 이관해 과밀을 해소</t>
    </r>
    <r>
      <rPr>
        <sz val="10"/>
        <rFont val="Arial"/>
        <family val="0"/>
        <charset val="1"/>
      </rPr>
      <t xml:space="preserve">.</t>
    </r>
  </si>
  <si>
    <t xml:space="preserve">복선·회수</t>
  </si>
  <si>
    <r>
      <rPr>
        <sz val="10"/>
        <rFont val="Arial"/>
        <family val="0"/>
        <charset val="1"/>
      </rPr>
      <t xml:space="preserve">Cesare</t>
    </r>
    <r>
      <rPr>
        <sz val="10"/>
        <rFont val="WenQuanYi Zen Hei"/>
        <family val="2"/>
      </rPr>
      <t xml:space="preserve">의 마지막 겨울</t>
    </r>
    <r>
      <rPr>
        <sz val="10"/>
        <rFont val="Arial"/>
        <family val="0"/>
        <charset val="1"/>
      </rPr>
      <t xml:space="preserve">·</t>
    </r>
    <r>
      <rPr>
        <sz val="10"/>
        <rFont val="WenQuanYi Zen Hei"/>
        <family val="2"/>
      </rPr>
      <t xml:space="preserve">우산</t>
    </r>
    <r>
      <rPr>
        <sz val="10"/>
        <rFont val="Arial"/>
        <family val="0"/>
        <charset val="1"/>
      </rPr>
      <t xml:space="preserve">(1</t>
    </r>
    <r>
      <rPr>
        <sz val="10"/>
        <rFont val="WenQuanYi Zen Hei"/>
        <family val="2"/>
      </rPr>
      <t xml:space="preserve">화 → </t>
    </r>
    <r>
      <rPr>
        <sz val="10"/>
        <rFont val="Arial"/>
        <family val="0"/>
        <charset val="1"/>
      </rPr>
      <t xml:space="preserve">11</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 13</t>
    </r>
    <r>
      <rPr>
        <sz val="10"/>
        <rFont val="WenQuanYi Zen Hei"/>
        <family val="2"/>
      </rPr>
      <t xml:space="preserve">부 </t>
    </r>
    <r>
      <rPr>
        <sz val="10"/>
        <rFont val="Arial"/>
        <family val="0"/>
        <charset val="1"/>
      </rPr>
      <t xml:space="preserve">2</t>
    </r>
    <r>
      <rPr>
        <sz val="10"/>
        <rFont val="WenQuanYi Zen Hei"/>
        <family val="2"/>
      </rPr>
      <t xml:space="preserve">화</t>
    </r>
    <r>
      <rPr>
        <sz val="10"/>
        <rFont val="Arial"/>
        <family val="0"/>
        <charset val="1"/>
      </rPr>
      <t xml:space="preserve">) / Gramsci </t>
    </r>
    <r>
      <rPr>
        <sz val="10"/>
        <rFont val="WenQuanYi Zen Hei"/>
        <family val="2"/>
      </rPr>
      <t xml:space="preserve">카드 </t>
    </r>
    <r>
      <rPr>
        <sz val="10"/>
        <rFont val="Arial"/>
        <family val="0"/>
        <charset val="1"/>
      </rPr>
      <t xml:space="preserve">#1(2</t>
    </r>
    <r>
      <rPr>
        <sz val="10"/>
        <rFont val="WenQuanYi Zen Hei"/>
        <family val="2"/>
      </rPr>
      <t xml:space="preserve">화 → </t>
    </r>
    <r>
      <rPr>
        <sz val="10"/>
        <rFont val="Arial"/>
        <family val="0"/>
        <charset val="1"/>
      </rPr>
      <t xml:space="preserve">13</t>
    </r>
    <r>
      <rPr>
        <sz val="10"/>
        <rFont val="WenQuanYi Zen Hei"/>
        <family val="2"/>
      </rPr>
      <t xml:space="preserve">부 </t>
    </r>
    <r>
      <rPr>
        <sz val="10"/>
        <rFont val="Arial"/>
        <family val="0"/>
        <charset val="1"/>
      </rPr>
      <t xml:space="preserve">10</t>
    </r>
    <r>
      <rPr>
        <sz val="10"/>
        <rFont val="WenQuanYi Zen Hei"/>
        <family val="2"/>
      </rPr>
      <t xml:space="preserve">화</t>
    </r>
    <r>
      <rPr>
        <sz val="10"/>
        <rFont val="Arial"/>
        <family val="0"/>
        <charset val="1"/>
      </rPr>
      <t xml:space="preserve">) / Sofia 1</t>
    </r>
    <r>
      <rPr>
        <sz val="10"/>
        <rFont val="WenQuanYi Zen Hei"/>
        <family val="2"/>
      </rPr>
      <t xml:space="preserve">차 폭발</t>
    </r>
    <r>
      <rPr>
        <sz val="10"/>
        <rFont val="Arial"/>
        <family val="0"/>
        <charset val="1"/>
      </rPr>
      <t xml:space="preserve">(6</t>
    </r>
    <r>
      <rPr>
        <sz val="10"/>
        <rFont val="WenQuanYi Zen Hei"/>
        <family val="2"/>
      </rPr>
      <t xml:space="preserve">화 → </t>
    </r>
    <r>
      <rPr>
        <sz val="10"/>
        <rFont val="Arial"/>
        <family val="0"/>
        <charset val="1"/>
      </rPr>
      <t xml:space="preserve">9</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 / Garibaldi «Nulla da segnalare»(4</t>
    </r>
    <r>
      <rPr>
        <sz val="10"/>
        <rFont val="WenQuanYi Zen Hei"/>
        <family val="2"/>
      </rPr>
      <t xml:space="preserve">화 → </t>
    </r>
    <r>
      <rPr>
        <sz val="10"/>
        <rFont val="Arial"/>
        <family val="0"/>
        <charset val="1"/>
      </rPr>
      <t xml:space="preserve">12</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 / Francesco </t>
    </r>
    <r>
      <rPr>
        <sz val="10"/>
        <rFont val="WenQuanYi Zen Hei"/>
        <family val="2"/>
      </rPr>
      <t xml:space="preserve">첫 등장</t>
    </r>
    <r>
      <rPr>
        <sz val="10"/>
        <rFont val="Arial"/>
        <family val="0"/>
        <charset val="1"/>
      </rPr>
      <t xml:space="preserve">(9</t>
    </r>
    <r>
      <rPr>
        <sz val="10"/>
        <rFont val="WenQuanYi Zen Hei"/>
        <family val="2"/>
      </rPr>
      <t xml:space="preserve">화 → </t>
    </r>
    <r>
      <rPr>
        <sz val="10"/>
        <rFont val="Arial"/>
        <family val="0"/>
        <charset val="1"/>
      </rPr>
      <t xml:space="preserve">9</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 / Cesare</t>
    </r>
    <r>
      <rPr>
        <sz val="10"/>
        <rFont val="WenQuanYi Zen Hei"/>
        <family val="2"/>
      </rPr>
      <t xml:space="preserve">의 </t>
    </r>
    <r>
      <rPr>
        <sz val="10"/>
        <rFont val="Arial"/>
        <family val="0"/>
        <charset val="1"/>
      </rPr>
      <t xml:space="preserve">«Niente male»(7</t>
    </r>
    <r>
      <rPr>
        <sz val="10"/>
        <rFont val="WenQuanYi Zen Hei"/>
        <family val="2"/>
      </rPr>
      <t xml:space="preserve">화</t>
    </r>
    <r>
      <rPr>
        <sz val="10"/>
        <rFont val="Arial"/>
        <family val="0"/>
        <charset val="1"/>
      </rPr>
      <t xml:space="preserve">, Dante</t>
    </r>
    <r>
      <rPr>
        <sz val="10"/>
        <rFont val="WenQuanYi Zen Hei"/>
        <family val="2"/>
      </rPr>
      <t xml:space="preserve">에게 → </t>
    </r>
    <r>
      <rPr>
        <sz val="10"/>
        <rFont val="Arial"/>
        <family val="0"/>
        <charset val="1"/>
      </rPr>
      <t xml:space="preserve">11</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 Sofia</t>
    </r>
    <r>
      <rPr>
        <sz val="10"/>
        <rFont val="WenQuanYi Zen Hei"/>
        <family val="2"/>
      </rPr>
      <t xml:space="preserve">에게</t>
    </r>
    <r>
      <rPr>
        <sz val="10"/>
        <rFont val="Arial"/>
        <family val="0"/>
        <charset val="1"/>
      </rPr>
      <t xml:space="preserve">) / </t>
    </r>
    <r>
      <rPr>
        <sz val="10"/>
        <rFont val="WenQuanYi Zen Hei"/>
        <family val="2"/>
      </rPr>
      <t xml:space="preserve">옛 로펌 이름</t>
    </r>
    <r>
      <rPr>
        <sz val="10"/>
        <rFont val="Arial"/>
        <family val="0"/>
        <charset val="1"/>
      </rPr>
      <t xml:space="preserve">(12</t>
    </r>
    <r>
      <rPr>
        <sz val="10"/>
        <rFont val="WenQuanYi Zen Hei"/>
        <family val="2"/>
      </rPr>
      <t xml:space="preserve">화 → </t>
    </r>
    <r>
      <rPr>
        <sz val="10"/>
        <rFont val="Arial"/>
        <family val="0"/>
        <charset val="1"/>
      </rPr>
      <t xml:space="preserve">2</t>
    </r>
    <r>
      <rPr>
        <sz val="10"/>
        <rFont val="WenQuanYi Zen Hei"/>
        <family val="2"/>
      </rPr>
      <t xml:space="preserve">부 전체</t>
    </r>
    <r>
      <rPr>
        <sz val="10"/>
        <rFont val="Arial"/>
        <family val="0"/>
        <charset val="1"/>
      </rPr>
      <t xml:space="preserve">)</t>
    </r>
  </si>
  <si>
    <t xml:space="preserve">현안 (ID)</t>
  </si>
  <si>
    <t xml:space="preserve">E1●● S1●● S2● E3●</t>
  </si>
  <si>
    <t xml:space="preserve">제도·전문 영역</t>
  </si>
  <si>
    <t xml:space="preserve">주거 임대차(legge 431/1998), 퇴거 집행과 집행 연기·비귀책 체납 기금, 위장 인턴·임금 체불, 서류 없는 외국인의 의료 접근(STP 코드), 금융 사기·계좌 추적, 오래된 절차 정정, 공개 출처 찾기(Normattiva·Gazzetta Ufficiale·Treccani)</t>
  </si>
  <si>
    <t xml:space="preserve">언어 설계</t>
  </si>
  <si>
    <r>
      <rPr>
        <sz val="10"/>
        <rFont val="Arial"/>
        <family val="0"/>
        <charset val="1"/>
      </rPr>
      <t xml:space="preserve">B1. </t>
    </r>
    <r>
      <rPr>
        <sz val="10"/>
        <rFont val="WenQuanYi Zen Hei"/>
        <family val="2"/>
      </rPr>
      <t xml:space="preserve">한 줄 </t>
    </r>
    <r>
      <rPr>
        <sz val="10"/>
        <rFont val="Arial"/>
        <family val="0"/>
        <charset val="1"/>
      </rPr>
      <t xml:space="preserve">15</t>
    </r>
    <r>
      <rPr>
        <sz val="10"/>
        <rFont val="WenQuanYi Zen Hei"/>
        <family val="2"/>
      </rPr>
      <t xml:space="preserve">단어 이내</t>
    </r>
    <r>
      <rPr>
        <sz val="10"/>
        <rFont val="Arial"/>
        <family val="0"/>
        <charset val="1"/>
      </rPr>
      <t xml:space="preserve">, </t>
    </r>
    <r>
      <rPr>
        <sz val="10"/>
        <rFont val="WenQuanYi Zen Hei"/>
        <family val="2"/>
      </rPr>
      <t xml:space="preserve">현재</t>
    </r>
    <r>
      <rPr>
        <sz val="10"/>
        <rFont val="Arial"/>
        <family val="0"/>
        <charset val="1"/>
      </rPr>
      <t xml:space="preserve">·</t>
    </r>
    <r>
      <rPr>
        <sz val="10"/>
        <rFont val="WenQuanYi Zen Hei"/>
        <family val="2"/>
      </rPr>
      <t xml:space="preserve">명령형</t>
    </r>
    <r>
      <rPr>
        <sz val="10"/>
        <rFont val="Arial"/>
        <family val="0"/>
        <charset val="1"/>
      </rPr>
      <t xml:space="preserve">·</t>
    </r>
    <r>
      <rPr>
        <sz val="10"/>
        <rFont val="WenQuanYi Zen Hei"/>
        <family val="2"/>
      </rPr>
      <t xml:space="preserve">근과거</t>
    </r>
    <r>
      <rPr>
        <sz val="10"/>
        <rFont val="Arial"/>
        <family val="0"/>
        <charset val="1"/>
      </rPr>
      <t xml:space="preserve">(passato prossimo). tu·voi </t>
    </r>
    <r>
      <rPr>
        <sz val="10"/>
        <rFont val="WenQuanYi Zen Hei"/>
        <family val="2"/>
      </rPr>
      <t xml:space="preserve">중심</t>
    </r>
    <r>
      <rPr>
        <sz val="10"/>
        <rFont val="Arial"/>
        <family val="0"/>
        <charset val="1"/>
      </rPr>
      <t xml:space="preserve">. </t>
    </r>
    <r>
      <rPr>
        <sz val="10"/>
        <rFont val="WenQuanYi Zen Hei"/>
        <family val="2"/>
      </rPr>
      <t xml:space="preserve">낭독</t>
    </r>
    <r>
      <rPr>
        <sz val="10"/>
        <rFont val="Arial"/>
        <family val="0"/>
        <charset val="1"/>
      </rPr>
      <t xml:space="preserve">: </t>
    </r>
    <r>
      <rPr>
        <sz val="10"/>
        <rFont val="WenQuanYi Zen Hei"/>
        <family val="2"/>
      </rPr>
      <t xml:space="preserve">빠른 티키타카로 입 풀기</t>
    </r>
    <r>
      <rPr>
        <sz val="10"/>
        <rFont val="Arial"/>
        <family val="0"/>
        <charset val="1"/>
      </rPr>
      <t xml:space="preserve">. Marco·Cesare</t>
    </r>
    <r>
      <rPr>
        <sz val="10"/>
        <rFont val="WenQuanYi Zen Hei"/>
        <family val="2"/>
      </rPr>
      <t xml:space="preserve">의 격식체는 한두 줄 맛보기</t>
    </r>
    <r>
      <rPr>
        <sz val="10"/>
        <rFont val="Arial"/>
        <family val="0"/>
        <charset val="1"/>
      </rPr>
      <t xml:space="preserve">. </t>
    </r>
    <r>
      <rPr>
        <sz val="10"/>
        <rFont val="WenQuanYi Zen Hei"/>
        <family val="2"/>
      </rPr>
      <t xml:space="preserve">매 사건 </t>
    </r>
    <r>
      <rPr>
        <sz val="10"/>
        <rFont val="Arial"/>
        <family val="0"/>
        <charset val="1"/>
      </rPr>
      <t xml:space="preserve">2</t>
    </r>
    <r>
      <rPr>
        <sz val="10"/>
        <rFont val="WenQuanYi Zen Hei"/>
        <family val="2"/>
      </rPr>
      <t xml:space="preserve">화</t>
    </r>
    <r>
      <rPr>
        <sz val="10"/>
        <rFont val="Arial"/>
        <family val="0"/>
        <charset val="1"/>
      </rPr>
      <t xml:space="preserve">(</t>
    </r>
    <r>
      <rPr>
        <sz val="10"/>
        <rFont val="WenQuanYi Zen Hei"/>
        <family val="2"/>
      </rPr>
      <t xml:space="preserve">도입→해결</t>
    </r>
    <r>
      <rPr>
        <sz val="10"/>
        <rFont val="Arial"/>
        <family val="0"/>
        <charset val="1"/>
      </rPr>
      <t xml:space="preserve">) </t>
    </r>
    <r>
      <rPr>
        <sz val="10"/>
        <rFont val="WenQuanYi Zen Hei"/>
        <family val="2"/>
      </rPr>
      <t xml:space="preserve">리듬을 반복해 구조를 익히게 한다</t>
    </r>
    <r>
      <rPr>
        <sz val="10"/>
        <rFont val="Arial"/>
        <family val="0"/>
        <charset val="1"/>
      </rPr>
      <t xml:space="preserve">. Rosa</t>
    </r>
    <r>
      <rPr>
        <sz val="10"/>
        <rFont val="WenQuanYi Zen Hei"/>
        <family val="2"/>
      </rPr>
      <t xml:space="preserve">의 로마 사투리</t>
    </r>
    <r>
      <rPr>
        <sz val="10"/>
        <rFont val="Arial"/>
        <family val="0"/>
        <charset val="1"/>
      </rPr>
      <t xml:space="preserve">(romanesco)</t>
    </r>
    <r>
      <rPr>
        <sz val="10"/>
        <rFont val="WenQuanYi Zen Hei"/>
        <family val="2"/>
      </rPr>
      <t xml:space="preserve">는 한 화에 한두 마디만</t>
    </r>
    <r>
      <rPr>
        <sz val="10"/>
        <rFont val="Arial"/>
        <family val="0"/>
        <charset val="1"/>
      </rPr>
      <t xml:space="preserve">.</t>
    </r>
  </si>
  <si>
    <t xml:space="preserve">대화량 (화당 120턴)</t>
  </si>
  <si>
    <r>
      <rPr>
        <b val="true"/>
        <sz val="10"/>
        <rFont val="Arial"/>
        <family val="0"/>
        <charset val="1"/>
      </rPr>
      <t xml:space="preserve">Sofia </t>
    </r>
    <r>
      <rPr>
        <b val="true"/>
        <sz val="10"/>
        <rFont val="WenQuanYi Zen Hei"/>
        <family val="2"/>
      </rPr>
      <t xml:space="preserve">질문</t>
    </r>
    <r>
      <rPr>
        <b val="true"/>
        <sz val="10"/>
        <rFont val="Arial"/>
        <family val="0"/>
        <charset val="1"/>
      </rPr>
      <t xml:space="preserve">·Gramsci </t>
    </r>
    <r>
      <rPr>
        <b val="true"/>
        <sz val="10"/>
        <rFont val="WenQuanYi Zen Hei"/>
        <family val="2"/>
      </rPr>
      <t xml:space="preserve">카드</t>
    </r>
  </si>
  <si>
    <r>
      <rPr>
        <sz val="10"/>
        <rFont val="Arial"/>
        <family val="0"/>
        <charset val="1"/>
      </rPr>
      <t xml:space="preserve">Sofia: </t>
    </r>
    <r>
      <rPr>
        <sz val="10"/>
        <rFont val="WenQuanYi Zen Hei"/>
        <family val="2"/>
      </rPr>
      <t xml:space="preserve">임대</t>
    </r>
    <r>
      <rPr>
        <sz val="10"/>
        <rFont val="Arial"/>
        <family val="0"/>
        <charset val="1"/>
      </rPr>
      <t xml:space="preserve">·</t>
    </r>
    <r>
      <rPr>
        <sz val="10"/>
        <rFont val="WenQuanYi Zen Hei"/>
        <family val="2"/>
      </rPr>
      <t xml:space="preserve">노동</t>
    </r>
    <r>
      <rPr>
        <sz val="10"/>
        <rFont val="Arial"/>
        <family val="0"/>
        <charset val="1"/>
      </rPr>
      <t xml:space="preserve">·</t>
    </r>
    <r>
      <rPr>
        <sz val="10"/>
        <rFont val="WenQuanYi Zen Hei"/>
        <family val="2"/>
      </rPr>
      <t xml:space="preserve">의료</t>
    </r>
    <r>
      <rPr>
        <sz val="10"/>
        <rFont val="Arial"/>
        <family val="0"/>
        <charset val="1"/>
      </rPr>
      <t xml:space="preserve">·</t>
    </r>
    <r>
      <rPr>
        <sz val="10"/>
        <rFont val="WenQuanYi Zen Hei"/>
        <family val="2"/>
      </rPr>
      <t xml:space="preserve">금융 기초 용어</t>
    </r>
    <r>
      <rPr>
        <sz val="10"/>
        <rFont val="Arial"/>
        <family val="0"/>
        <charset val="1"/>
      </rPr>
      <t xml:space="preserve">(deposito cauzionale, contratto a termine, tirocinio, codice STP, conto corrente). </t>
    </r>
    <r>
      <rPr>
        <sz val="10"/>
        <rFont val="WenQuanYi Zen Hei"/>
        <family val="2"/>
      </rPr>
      <t xml:space="preserve">카드</t>
    </r>
    <r>
      <rPr>
        <sz val="10"/>
        <rFont val="Arial"/>
        <family val="0"/>
        <charset val="1"/>
      </rPr>
      <t xml:space="preserve">: legge 431/1998, </t>
    </r>
    <r>
      <rPr>
        <sz val="10"/>
        <rFont val="WenQuanYi Zen Hei"/>
        <family val="2"/>
      </rPr>
      <t xml:space="preserve">사전</t>
    </r>
    <r>
      <rPr>
        <sz val="10"/>
        <rFont val="Arial"/>
        <family val="0"/>
        <charset val="1"/>
      </rPr>
      <t xml:space="preserve">(Treccani·Accademia della Crusca).</t>
    </r>
  </si>
  <si>
    <t xml:space="preserve">다음 부 연결</t>
  </si>
  <si>
    <r>
      <rPr>
        <sz val="10"/>
        <rFont val="Arial"/>
        <family val="0"/>
        <charset val="1"/>
      </rPr>
      <t xml:space="preserve">2</t>
    </r>
    <r>
      <rPr>
        <sz val="10"/>
        <rFont val="WenQuanYi Zen Hei"/>
        <family val="2"/>
      </rPr>
      <t xml:space="preserve">부</t>
    </r>
    <r>
      <rPr>
        <sz val="10"/>
        <rFont val="Arial"/>
        <family val="0"/>
        <charset val="1"/>
      </rPr>
      <t xml:space="preserve">: </t>
    </r>
    <r>
      <rPr>
        <sz val="10"/>
        <rFont val="WenQuanYi Zen Hei"/>
        <family val="2"/>
      </rPr>
      <t xml:space="preserve">금요일마다 한 명씩 과거를 이야기하는 규칙 — 첫 번째는 </t>
    </r>
    <r>
      <rPr>
        <sz val="10"/>
        <rFont val="Arial"/>
        <family val="0"/>
        <charset val="1"/>
      </rPr>
      <t xml:space="preserve">Marco.</t>
    </r>
  </si>
  <si>
    <r>
      <rPr>
        <b val="true"/>
        <sz val="10"/>
        <color rgb="FFFFFFFF"/>
        <rFont val="Arial"/>
        <family val="0"/>
        <charset val="1"/>
      </rPr>
      <t xml:space="preserve">L'Avvocato — </t>
    </r>
    <r>
      <rPr>
        <b val="true"/>
        <sz val="10"/>
        <color rgb="FFFFFFFF"/>
        <rFont val="WenQuanYi Zen Hei"/>
        <family val="2"/>
      </rPr>
      <t xml:space="preserve">변호사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B2~C1   |   </t>
    </r>
    <r>
      <rPr>
        <b val="true"/>
        <sz val="10"/>
        <color rgb="FFFFFFFF"/>
        <rFont val="WenQuanYi Zen Hei"/>
        <family val="2"/>
      </rPr>
      <t xml:space="preserve">프레임</t>
    </r>
    <r>
      <rPr>
        <b val="true"/>
        <sz val="10"/>
        <color rgb="FFFFFFFF"/>
        <rFont val="Arial"/>
        <family val="0"/>
        <charset val="1"/>
      </rPr>
      <t xml:space="preserve">: 1</t>
    </r>
    <r>
      <rPr>
        <b val="true"/>
        <sz val="10"/>
        <color rgb="FFFFFFFF"/>
        <rFont val="WenQuanYi Zen Hei"/>
        <family val="2"/>
      </rPr>
      <t xml:space="preserve">부와 같은 첫 겨울의 금요일 밤</t>
    </r>
    <r>
      <rPr>
        <b val="true"/>
        <sz val="10"/>
        <color rgb="FFFFFFFF"/>
        <rFont val="Arial"/>
        <family val="0"/>
        <charset val="1"/>
      </rPr>
      <t xml:space="preserve">. </t>
    </r>
    <r>
      <rPr>
        <b val="true"/>
        <sz val="10"/>
        <color rgb="FFFFFFFF"/>
        <rFont val="WenQuanYi Zen Hei"/>
        <family val="2"/>
      </rPr>
      <t xml:space="preserve">과거</t>
    </r>
    <r>
      <rPr>
        <b val="true"/>
        <sz val="10"/>
        <color rgb="FFFFFFFF"/>
        <rFont val="Arial"/>
        <family val="0"/>
        <charset val="1"/>
      </rPr>
      <t xml:space="preserve">: </t>
    </r>
    <r>
      <rPr>
        <b val="true"/>
        <sz val="10"/>
        <color rgb="FFFFFFFF"/>
        <rFont val="WenQuanYi Zen Hei"/>
        <family val="2"/>
      </rPr>
      <t xml:space="preserve">약 </t>
    </r>
    <r>
      <rPr>
        <b val="true"/>
        <sz val="10"/>
        <color rgb="FFFFFFFF"/>
        <rFont val="Arial"/>
        <family val="0"/>
        <charset val="1"/>
      </rPr>
      <t xml:space="preserve">5</t>
    </r>
    <r>
      <rPr>
        <b val="true"/>
        <sz val="10"/>
        <color rgb="FFFFFFFF"/>
        <rFont val="WenQuanYi Zen Hei"/>
        <family val="2"/>
      </rPr>
      <t xml:space="preserve">년 전</t>
    </r>
    <r>
      <rPr>
        <b val="true"/>
        <sz val="10"/>
        <color rgb="FFFFFFFF"/>
        <rFont val="Arial"/>
        <family val="0"/>
        <charset val="1"/>
      </rPr>
      <t xml:space="preserve">, Prati(Piazza Cavour </t>
    </r>
    <r>
      <rPr>
        <b val="true"/>
        <sz val="10"/>
        <color rgb="FFFFFFFF"/>
        <rFont val="WenQuanYi Zen Hei"/>
        <family val="2"/>
      </rPr>
      <t xml:space="preserve">법원가</t>
    </r>
    <r>
      <rPr>
        <b val="true"/>
        <sz val="10"/>
        <color rgb="FFFFFFFF"/>
        <rFont val="Arial"/>
        <family val="0"/>
        <charset val="1"/>
      </rPr>
      <t xml:space="preserve">)</t>
    </r>
    <r>
      <rPr>
        <b val="true"/>
        <sz val="10"/>
        <color rgb="FFFFFFFF"/>
        <rFont val="WenQuanYi Zen Hei"/>
        <family val="2"/>
      </rPr>
      <t xml:space="preserve">의 대형 로펌</t>
    </r>
    <r>
      <rPr>
        <b val="true"/>
        <sz val="10"/>
        <color rgb="FFFFFFFF"/>
        <rFont val="Arial"/>
        <family val="0"/>
        <charset val="1"/>
      </rPr>
      <t xml:space="preserve">.</t>
    </r>
  </si>
  <si>
    <t xml:space="preserve">첫 과거 회상. 공동 악역 Gruppo Meridiano를 도입하고 '법을 잘 쓰는 것과 옳은 것은 다르다'는 이 이야기의 첫 질문을 던진다. 프레임(Rosa의 식탁)과 과거를 오가는 구조 실험.</t>
  </si>
  <si>
    <t xml:space="preserve">승소율 100%의 파트너 후보가 대형 고객의 주택 포트폴리오를 비우는 갱신 거절 전략을 설계해 재판에서 이기고, 그 승리가 한 노인의 죽음이 되었음을 알게 된다.</t>
  </si>
  <si>
    <t xml:space="preserve">자랑스러운 승자 → 자기 승리에 사직서를 낸 사람.</t>
  </si>
  <si>
    <t xml:space="preserve">잘 쓰는 법 vs 옳은 것 / 파트너 승진 vs 양심</t>
  </si>
  <si>
    <t xml:space="preserve">발단(1~3화): 금요일 프레임, 프라티의 월요일(편의점의 Dante), VIP 고객 Santoro.</t>
  </si>
  <si>
    <t xml:space="preserve">전개(4~5화): 실사에서 Testaccio 건물 발견 / 프레임에서 그곳이 Rosa의 거리였음이 드러남.</t>
  </si>
  <si>
    <t xml:space="preserve">미드포인트(6화): 조항 설계 — Marco가 스스로 함정을 만든다.</t>
  </si>
  <si>
    <t xml:space="preserve">위기(7~9화): 세입자 총회(Assunta), 재판 승소, 프레임에서 Marco의 말이 막힘.</t>
  </si>
  <si>
    <t xml:space="preserve">절정(10~11화): 파리올리 축하 만찬 중 부고, 손녀 Marina의 방문.</t>
  </si>
  <si>
    <t xml:space="preserve">결말·훅(12화): 사직과 응급실 — Giulia가 Marco를 진료한다.</t>
  </si>
  <si>
    <r>
      <rPr>
        <sz val="10"/>
        <rFont val="Arial"/>
        <family val="0"/>
        <charset val="1"/>
      </rPr>
      <t xml:space="preserve">Marco: </t>
    </r>
    <r>
      <rPr>
        <sz val="10"/>
        <rFont val="WenQuanYi Zen Hei"/>
        <family val="2"/>
      </rPr>
      <t xml:space="preserve">완결된 문장</t>
    </r>
    <r>
      <rPr>
        <sz val="10"/>
        <rFont val="Arial"/>
        <family val="0"/>
        <charset val="1"/>
      </rPr>
      <t xml:space="preserve">·</t>
    </r>
    <r>
      <rPr>
        <sz val="10"/>
        <rFont val="WenQuanYi Zen Hei"/>
        <family val="2"/>
      </rPr>
      <t xml:space="preserve">조항 인용</t>
    </r>
    <r>
      <rPr>
        <sz val="10"/>
        <rFont val="Arial"/>
        <family val="0"/>
        <charset val="1"/>
      </rPr>
      <t xml:space="preserve">(</t>
    </r>
    <r>
      <rPr>
        <sz val="10"/>
        <rFont val="WenQuanYi Zen Hei"/>
        <family val="2"/>
      </rPr>
      <t xml:space="preserve">초반의 차가움</t>
    </r>
    <r>
      <rPr>
        <sz val="10"/>
        <rFont val="Arial"/>
        <family val="0"/>
        <charset val="1"/>
      </rPr>
      <t xml:space="preserve">). </t>
    </r>
    <r>
      <rPr>
        <sz val="10"/>
        <rFont val="WenQuanYi Zen Hei"/>
        <family val="2"/>
      </rPr>
      <t xml:space="preserve">교차 카메오</t>
    </r>
    <r>
      <rPr>
        <sz val="10"/>
        <rFont val="Arial"/>
        <family val="0"/>
        <charset val="1"/>
      </rPr>
      <t xml:space="preserve">: Chiara(</t>
    </r>
    <r>
      <rPr>
        <sz val="10"/>
        <rFont val="WenQuanYi Zen Hei"/>
        <family val="2"/>
      </rPr>
      <t xml:space="preserve">고객 컨설턴트</t>
    </r>
    <r>
      <rPr>
        <sz val="10"/>
        <rFont val="Arial"/>
        <family val="0"/>
        <charset val="1"/>
      </rPr>
      <t xml:space="preserve">), Alessandro(</t>
    </r>
    <r>
      <rPr>
        <sz val="10"/>
        <rFont val="WenQuanYi Zen Hei"/>
        <family val="2"/>
      </rPr>
      <t xml:space="preserve">감사인</t>
    </r>
    <r>
      <rPr>
        <sz val="10"/>
        <rFont val="Arial"/>
        <family val="0"/>
        <charset val="1"/>
      </rPr>
      <t xml:space="preserve">), Giulia(</t>
    </r>
    <r>
      <rPr>
        <sz val="10"/>
        <rFont val="WenQuanYi Zen Hei"/>
        <family val="2"/>
      </rPr>
      <t xml:space="preserve">응급의</t>
    </r>
    <r>
      <rPr>
        <sz val="10"/>
        <rFont val="Arial"/>
        <family val="0"/>
        <charset val="1"/>
      </rPr>
      <t xml:space="preserve">), Francesco·Gramsci·Paolo·Dante·Galileo. </t>
    </r>
    <r>
      <rPr>
        <sz val="10"/>
        <rFont val="WenQuanYi Zen Hei"/>
        <family val="2"/>
      </rPr>
      <t xml:space="preserve">가상 인물</t>
    </r>
    <r>
      <rPr>
        <sz val="10"/>
        <rFont val="Arial"/>
        <family val="0"/>
        <charset val="1"/>
      </rPr>
      <t xml:space="preserve">: Colombo(</t>
    </r>
    <r>
      <rPr>
        <sz val="10"/>
        <rFont val="WenQuanYi Zen Hei"/>
        <family val="2"/>
      </rPr>
      <t xml:space="preserve">상사</t>
    </r>
    <r>
      <rPr>
        <sz val="10"/>
        <rFont val="Arial"/>
        <family val="0"/>
        <charset val="1"/>
      </rPr>
      <t xml:space="preserve">), Santoro(</t>
    </r>
    <r>
      <rPr>
        <sz val="10"/>
        <rFont val="WenQuanYi Zen Hei"/>
        <family val="2"/>
      </rPr>
      <t xml:space="preserve">회장</t>
    </r>
    <r>
      <rPr>
        <sz val="10"/>
        <rFont val="Arial"/>
        <family val="0"/>
        <charset val="1"/>
      </rPr>
      <t xml:space="preserve">), Assunta(78</t>
    </r>
    <r>
      <rPr>
        <sz val="10"/>
        <rFont val="WenQuanYi Zen Hei"/>
        <family val="2"/>
      </rPr>
      <t xml:space="preserve">세</t>
    </r>
    <r>
      <rPr>
        <sz val="10"/>
        <rFont val="Arial"/>
        <family val="0"/>
        <charset val="1"/>
      </rPr>
      <t xml:space="preserve">), Marina(</t>
    </r>
    <r>
      <rPr>
        <sz val="10"/>
        <rFont val="WenQuanYi Zen Hei"/>
        <family val="2"/>
      </rPr>
      <t xml:space="preserve">손녀</t>
    </r>
    <r>
      <rPr>
        <sz val="10"/>
        <rFont val="Arial"/>
        <family val="0"/>
        <charset val="1"/>
      </rPr>
      <t xml:space="preserve">).</t>
    </r>
  </si>
  <si>
    <r>
      <rPr>
        <sz val="10"/>
        <rFont val="Arial"/>
        <family val="0"/>
        <charset val="1"/>
      </rPr>
      <t xml:space="preserve">«</t>
    </r>
    <r>
      <rPr>
        <sz val="10"/>
        <rFont val="WenQuanYi Zen Hei"/>
        <family val="2"/>
      </rPr>
      <t xml:space="preserve">갱신 거절</t>
    </r>
    <r>
      <rPr>
        <sz val="10"/>
        <rFont val="Arial"/>
        <family val="0"/>
        <charset val="1"/>
      </rPr>
      <t xml:space="preserve">(diniego di rinnovo)» </t>
    </r>
    <r>
      <rPr>
        <sz val="10"/>
        <rFont val="WenQuanYi Zen Hei"/>
        <family val="2"/>
      </rPr>
      <t xml:space="preserve">조항 → </t>
    </r>
    <r>
      <rPr>
        <sz val="10"/>
        <rFont val="Arial"/>
        <family val="0"/>
        <charset val="1"/>
      </rPr>
      <t xml:space="preserve">6</t>
    </r>
    <r>
      <rPr>
        <sz val="10"/>
        <rFont val="WenQuanYi Zen Hei"/>
        <family val="2"/>
      </rPr>
      <t xml:space="preserve">부 </t>
    </r>
    <r>
      <rPr>
        <sz val="10"/>
        <rFont val="Arial"/>
        <family val="0"/>
        <charset val="1"/>
      </rPr>
      <t xml:space="preserve">6</t>
    </r>
    <r>
      <rPr>
        <sz val="10"/>
        <rFont val="WenQuanYi Zen Hei"/>
        <family val="2"/>
      </rPr>
      <t xml:space="preserve">화 폭로</t>
    </r>
    <r>
      <rPr>
        <sz val="10"/>
        <rFont val="Arial"/>
        <family val="0"/>
        <charset val="1"/>
      </rPr>
      <t xml:space="preserve">, 11</t>
    </r>
    <r>
      <rPr>
        <sz val="10"/>
        <rFont val="WenQuanYi Zen Hei"/>
        <family val="2"/>
      </rPr>
      <t xml:space="preserve">부 </t>
    </r>
    <r>
      <rPr>
        <sz val="10"/>
        <rFont val="Arial"/>
        <family val="0"/>
        <charset val="1"/>
      </rPr>
      <t xml:space="preserve">3</t>
    </r>
    <r>
      <rPr>
        <sz val="10"/>
        <rFont val="WenQuanYi Zen Hei"/>
        <family val="2"/>
      </rPr>
      <t xml:space="preserve">화 주거법 개정으로 봉쇄 </t>
    </r>
    <r>
      <rPr>
        <sz val="10"/>
        <rFont val="Arial"/>
        <family val="0"/>
        <charset val="1"/>
      </rPr>
      <t xml:space="preserve">/ «Questo non torna»(Alessandro) → 4</t>
    </r>
    <r>
      <rPr>
        <sz val="10"/>
        <rFont val="WenQuanYi Zen Hei"/>
        <family val="2"/>
      </rPr>
      <t xml:space="preserve">부 </t>
    </r>
    <r>
      <rPr>
        <sz val="10"/>
        <rFont val="Arial"/>
        <family val="0"/>
        <charset val="1"/>
      </rPr>
      <t xml:space="preserve">/ Rosa</t>
    </r>
    <r>
      <rPr>
        <sz val="10"/>
        <rFont val="WenQuanYi Zen Hei"/>
        <family val="2"/>
      </rPr>
      <t xml:space="preserve">의 건물 → </t>
    </r>
    <r>
      <rPr>
        <sz val="10"/>
        <rFont val="Arial"/>
        <family val="0"/>
        <charset val="1"/>
      </rPr>
      <t xml:space="preserve">8</t>
    </r>
    <r>
      <rPr>
        <sz val="10"/>
        <rFont val="WenQuanYi Zen Hei"/>
        <family val="2"/>
      </rPr>
      <t xml:space="preserve">부 창당 동기</t>
    </r>
  </si>
  <si>
    <t xml:space="preserve">E1● P3○</t>
  </si>
  <si>
    <t xml:space="preserve">첫 만기 갱신 거절과 리모델링 사유(legge 431/1998 제3조), 실사(due diligence), 부동산 등기(Conservatoria)·토지대장(Catasto), 소송(citazione, udienza, sentenza, spese), 로펌 구조(socio)</t>
  </si>
  <si>
    <r>
      <rPr>
        <sz val="10"/>
        <rFont val="Arial"/>
        <family val="0"/>
        <charset val="1"/>
      </rPr>
      <t xml:space="preserve">B2~C1. </t>
    </r>
    <r>
      <rPr>
        <sz val="10"/>
        <rFont val="WenQuanYi Zen Hei"/>
        <family val="2"/>
      </rPr>
      <t xml:space="preserve">접속법 현재</t>
    </r>
    <r>
      <rPr>
        <sz val="10"/>
        <rFont val="Arial"/>
        <family val="0"/>
        <charset val="1"/>
      </rPr>
      <t xml:space="preserve">·</t>
    </r>
    <r>
      <rPr>
        <sz val="10"/>
        <rFont val="WenQuanYi Zen Hei"/>
        <family val="2"/>
      </rPr>
      <t xml:space="preserve">과거</t>
    </r>
    <r>
      <rPr>
        <sz val="10"/>
        <rFont val="Arial"/>
        <family val="0"/>
        <charset val="1"/>
      </rPr>
      <t xml:space="preserve">(congiuntivo), </t>
    </r>
    <r>
      <rPr>
        <sz val="10"/>
        <rFont val="WenQuanYi Zen Hei"/>
        <family val="2"/>
      </rPr>
      <t xml:space="preserve">수동태</t>
    </r>
    <r>
      <rPr>
        <sz val="10"/>
        <rFont val="Arial"/>
        <family val="0"/>
        <charset val="1"/>
      </rPr>
      <t xml:space="preserve">, </t>
    </r>
    <r>
      <rPr>
        <sz val="10"/>
        <rFont val="WenQuanYi Zen Hei"/>
        <family val="2"/>
      </rPr>
      <t xml:space="preserve">법률 문어체</t>
    </r>
    <r>
      <rPr>
        <sz val="10"/>
        <rFont val="Arial"/>
        <family val="0"/>
        <charset val="1"/>
      </rPr>
      <t xml:space="preserve">. </t>
    </r>
    <r>
      <rPr>
        <sz val="10"/>
        <rFont val="WenQuanYi Zen Hei"/>
        <family val="2"/>
      </rPr>
      <t xml:space="preserve">과거 장면은 격식 문어</t>
    </r>
    <r>
      <rPr>
        <sz val="10"/>
        <rFont val="Arial"/>
        <family val="0"/>
        <charset val="1"/>
      </rPr>
      <t xml:space="preserve">, </t>
    </r>
    <r>
      <rPr>
        <sz val="10"/>
        <rFont val="WenQuanYi Zen Hei"/>
        <family val="2"/>
      </rPr>
      <t xml:space="preserve">프레임 장면은 </t>
    </r>
    <r>
      <rPr>
        <sz val="10"/>
        <rFont val="Arial"/>
        <family val="0"/>
        <charset val="1"/>
      </rPr>
      <t xml:space="preserve">B1</t>
    </r>
    <r>
      <rPr>
        <sz val="10"/>
        <rFont val="WenQuanYi Zen Hei"/>
        <family val="2"/>
      </rPr>
      <t xml:space="preserve">로 두어 톤을 대비</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또박또박</t>
    </r>
    <r>
      <rPr>
        <sz val="10"/>
        <rFont val="Arial"/>
        <family val="0"/>
        <charset val="1"/>
      </rPr>
      <t xml:space="preserve">, </t>
    </r>
    <r>
      <rPr>
        <sz val="10"/>
        <rFont val="WenQuanYi Zen Hei"/>
        <family val="2"/>
      </rPr>
      <t xml:space="preserve">중저음</t>
    </r>
    <r>
      <rPr>
        <sz val="10"/>
        <rFont val="Arial"/>
        <family val="0"/>
        <charset val="1"/>
      </rPr>
      <t xml:space="preserve">.</t>
    </r>
  </si>
  <si>
    <r>
      <rPr>
        <sz val="10"/>
        <rFont val="Arial"/>
        <family val="0"/>
        <charset val="1"/>
      </rPr>
      <t xml:space="preserve">Sofia: citazione·sentenza·clausola </t>
    </r>
    <r>
      <rPr>
        <sz val="10"/>
        <rFont val="WenQuanYi Zen Hei"/>
        <family val="2"/>
      </rPr>
      <t xml:space="preserve">등 법률 용어</t>
    </r>
    <r>
      <rPr>
        <sz val="10"/>
        <rFont val="Arial"/>
        <family val="0"/>
        <charset val="1"/>
      </rPr>
      <t xml:space="preserve">. </t>
    </r>
    <r>
      <rPr>
        <sz val="10"/>
        <rFont val="WenQuanYi Zen Hei"/>
        <family val="2"/>
      </rPr>
      <t xml:space="preserve">카드</t>
    </r>
    <r>
      <rPr>
        <sz val="10"/>
        <rFont val="Arial"/>
        <family val="0"/>
        <charset val="1"/>
      </rPr>
      <t xml:space="preserve">: Conservatoria dei Registri Immobiliari, legge 431/1998, </t>
    </r>
    <r>
      <rPr>
        <sz val="10"/>
        <rFont val="WenQuanYi Zen Hei"/>
        <family val="2"/>
      </rPr>
      <t xml:space="preserve">민사소송법의 퇴거 확인 절차</t>
    </r>
    <r>
      <rPr>
        <sz val="10"/>
        <rFont val="Arial"/>
        <family val="0"/>
        <charset val="1"/>
      </rPr>
      <t xml:space="preserve">(convalida di sfratto).</t>
    </r>
  </si>
  <si>
    <r>
      <rPr>
        <sz val="10"/>
        <rFont val="Arial"/>
        <family val="0"/>
        <charset val="1"/>
      </rPr>
      <t xml:space="preserve">3</t>
    </r>
    <r>
      <rPr>
        <sz val="10"/>
        <rFont val="WenQuanYi Zen Hei"/>
        <family val="2"/>
      </rPr>
      <t xml:space="preserve">부</t>
    </r>
    <r>
      <rPr>
        <sz val="10"/>
        <rFont val="Arial"/>
        <family val="0"/>
        <charset val="1"/>
      </rPr>
      <t xml:space="preserve">: </t>
    </r>
    <r>
      <rPr>
        <sz val="10"/>
        <rFont val="WenQuanYi Zen Hei"/>
        <family val="2"/>
      </rPr>
      <t xml:space="preserve">응급실에서 쓰러진 </t>
    </r>
    <r>
      <rPr>
        <sz val="10"/>
        <rFont val="Arial"/>
        <family val="0"/>
        <charset val="1"/>
      </rPr>
      <t xml:space="preserve">Marco — </t>
    </r>
    <r>
      <rPr>
        <sz val="10"/>
        <rFont val="WenQuanYi Zen Hei"/>
        <family val="2"/>
      </rPr>
      <t xml:space="preserve">다음 금요일은 </t>
    </r>
    <r>
      <rPr>
        <sz val="10"/>
        <rFont val="Arial"/>
        <family val="0"/>
        <charset val="1"/>
      </rPr>
      <t xml:space="preserve">Giulia</t>
    </r>
    <r>
      <rPr>
        <sz val="10"/>
        <rFont val="WenQuanYi Zen Hei"/>
        <family val="2"/>
      </rPr>
      <t xml:space="preserve">의 이야기</t>
    </r>
    <r>
      <rPr>
        <sz val="10"/>
        <rFont val="Arial"/>
        <family val="0"/>
        <charset val="1"/>
      </rPr>
      <t xml:space="preserve">.</t>
    </r>
  </si>
  <si>
    <r>
      <rPr>
        <b val="true"/>
        <sz val="10"/>
        <color rgb="FFFFFFFF"/>
        <rFont val="Arial"/>
        <family val="0"/>
        <charset val="1"/>
      </rPr>
      <t xml:space="preserve">La Dottoressa — </t>
    </r>
    <r>
      <rPr>
        <b val="true"/>
        <sz val="10"/>
        <color rgb="FFFFFFFF"/>
        <rFont val="WenQuanYi Zen Hei"/>
        <family val="2"/>
      </rPr>
      <t xml:space="preserve">의사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B2~C1   |   </t>
    </r>
    <r>
      <rPr>
        <b val="true"/>
        <sz val="10"/>
        <color rgb="FFFFFFFF"/>
        <rFont val="WenQuanYi Zen Hei"/>
        <family val="2"/>
      </rPr>
      <t xml:space="preserve">프레임</t>
    </r>
    <r>
      <rPr>
        <b val="true"/>
        <sz val="10"/>
        <color rgb="FFFFFFFF"/>
        <rFont val="Arial"/>
        <family val="0"/>
        <charset val="1"/>
      </rPr>
      <t xml:space="preserve">: </t>
    </r>
    <r>
      <rPr>
        <b val="true"/>
        <sz val="10"/>
        <color rgb="FFFFFFFF"/>
        <rFont val="WenQuanYi Zen Hei"/>
        <family val="2"/>
      </rPr>
      <t xml:space="preserve">금요일 밤</t>
    </r>
    <r>
      <rPr>
        <b val="true"/>
        <sz val="10"/>
        <color rgb="FFFFFFFF"/>
        <rFont val="Arial"/>
        <family val="0"/>
        <charset val="1"/>
      </rPr>
      <t xml:space="preserve">. </t>
    </r>
    <r>
      <rPr>
        <b val="true"/>
        <sz val="10"/>
        <color rgb="FFFFFFFF"/>
        <rFont val="WenQuanYi Zen Hei"/>
        <family val="2"/>
      </rPr>
      <t xml:space="preserve">과거</t>
    </r>
    <r>
      <rPr>
        <b val="true"/>
        <sz val="10"/>
        <color rgb="FFFFFFFF"/>
        <rFont val="Arial"/>
        <family val="0"/>
        <charset val="1"/>
      </rPr>
      <t xml:space="preserve">: </t>
    </r>
    <r>
      <rPr>
        <b val="true"/>
        <sz val="10"/>
        <color rgb="FFFFFFFF"/>
        <rFont val="WenQuanYi Zen Hei"/>
        <family val="2"/>
      </rPr>
      <t xml:space="preserve">약 </t>
    </r>
    <r>
      <rPr>
        <b val="true"/>
        <sz val="10"/>
        <color rgb="FFFFFFFF"/>
        <rFont val="Arial"/>
        <family val="0"/>
        <charset val="1"/>
      </rPr>
      <t xml:space="preserve">4</t>
    </r>
    <r>
      <rPr>
        <b val="true"/>
        <sz val="10"/>
        <color rgb="FFFFFFFF"/>
        <rFont val="WenQuanYi Zen Hei"/>
        <family val="2"/>
      </rPr>
      <t xml:space="preserve">년 전</t>
    </r>
    <r>
      <rPr>
        <b val="true"/>
        <sz val="10"/>
        <color rgb="FFFFFFFF"/>
        <rFont val="Arial"/>
        <family val="0"/>
        <charset val="1"/>
      </rPr>
      <t xml:space="preserve">, San Camillo </t>
    </r>
    <r>
      <rPr>
        <b val="true"/>
        <sz val="10"/>
        <color rgb="FFFFFFFF"/>
        <rFont val="WenQuanYi Zen Hei"/>
        <family val="2"/>
      </rPr>
      <t xml:space="preserve">응급실</t>
    </r>
    <r>
      <rPr>
        <b val="true"/>
        <sz val="10"/>
        <color rgb="FFFFFFFF"/>
        <rFont val="Arial"/>
        <family val="0"/>
        <charset val="1"/>
      </rPr>
      <t xml:space="preserve">(</t>
    </r>
    <r>
      <rPr>
        <b val="true"/>
        <sz val="10"/>
        <color rgb="FFFFFFFF"/>
        <rFont val="WenQuanYi Zen Hei"/>
        <family val="2"/>
      </rPr>
      <t xml:space="preserve">가상 설정</t>
    </r>
    <r>
      <rPr>
        <b val="true"/>
        <sz val="10"/>
        <color rgb="FFFFFFFF"/>
        <rFont val="Arial"/>
        <family val="0"/>
        <charset val="1"/>
      </rPr>
      <t xml:space="preserve">).</t>
    </r>
  </si>
  <si>
    <t xml:space="preserve">인간의 생명과 공공 보건이라는 정서적 무게. Gruppo Meridiano의 두 번째 얼굴(병원 외주)을 보여 주고, 폭염·고령 환자·서류 없는 환자 등 현안을 응급실에서 체감하게 한다.</t>
  </si>
  <si>
    <t xml:space="preserve">응급의가 예산 삭감과 병원 외주 속에서 환자를 잃기 시작하고, 이름을 적어 두다가 내부 보고를 올리지만 징계로 돌아온다.</t>
  </si>
  <si>
    <t xml:space="preserve">시스템을 믿는 의사 → 이름 명단만 든 사직자.</t>
  </si>
  <si>
    <t xml:space="preserve">의료 윤리 vs 관리 효율 / 침묵하는 동료들</t>
  </si>
  <si>
    <t xml:space="preserve">발단(1~3화): 금요일 프레임, 야간 근무(Marco 진료), 폭염 환자 폭증.</t>
  </si>
  <si>
    <t xml:space="preserve">전개(4~5화): 병원 외주 발표(컨설턴트 Chiara 등장), 프레임에서 수첩 명단과 Cesare의 부은 발목(«Sono i calzari.»).</t>
  </si>
  <si>
    <t xml:space="preserve">미드포인트(6화): '명단의 첫 번째' — 서류 없는 환자가 병상 지연으로 숨진다.</t>
  </si>
  <si>
    <t xml:space="preserve">위기(7~9화): 원장의 통계, 징계 절차, 프레임에서 Montessori의 되받기.</t>
  </si>
  <si>
    <t xml:space="preserve">절정(10~11화): 병상 없는 밤, 사직.</t>
  </si>
  <si>
    <t xml:space="preserve">결말·훅(12화): 계약 감사보고서에 서명한 사람이 있다 — Alessandro의 차례.</t>
  </si>
  <si>
    <r>
      <rPr>
        <sz val="10"/>
        <rFont val="Arial"/>
        <family val="0"/>
        <charset val="1"/>
      </rPr>
      <t xml:space="preserve">Giulia: </t>
    </r>
    <r>
      <rPr>
        <sz val="10"/>
        <rFont val="WenQuanYi Zen Hei"/>
        <family val="2"/>
      </rPr>
      <t xml:space="preserve">짧은 문장</t>
    </r>
    <r>
      <rPr>
        <sz val="10"/>
        <rFont val="Arial"/>
        <family val="0"/>
        <charset val="1"/>
      </rPr>
      <t xml:space="preserve">·</t>
    </r>
    <r>
      <rPr>
        <sz val="10"/>
        <rFont val="WenQuanYi Zen Hei"/>
        <family val="2"/>
      </rPr>
      <t xml:space="preserve">명령형</t>
    </r>
    <r>
      <rPr>
        <sz val="10"/>
        <rFont val="Arial"/>
        <family val="0"/>
        <charset val="1"/>
      </rPr>
      <t xml:space="preserve">·</t>
    </r>
    <r>
      <rPr>
        <sz val="10"/>
        <rFont val="WenQuanYi Zen Hei"/>
        <family val="2"/>
      </rPr>
      <t xml:space="preserve">블랙유머</t>
    </r>
    <r>
      <rPr>
        <sz val="10"/>
        <rFont val="Arial"/>
        <family val="0"/>
        <charset val="1"/>
      </rPr>
      <t xml:space="preserve">. </t>
    </r>
    <r>
      <rPr>
        <sz val="10"/>
        <rFont val="WenQuanYi Zen Hei"/>
        <family val="2"/>
      </rPr>
      <t xml:space="preserve">가상 인물</t>
    </r>
    <r>
      <rPr>
        <sz val="10"/>
        <rFont val="Arial"/>
        <family val="0"/>
        <charset val="1"/>
      </rPr>
      <t xml:space="preserve">: Loredana(</t>
    </r>
    <r>
      <rPr>
        <sz val="10"/>
        <rFont val="WenQuanYi Zen Hei"/>
        <family val="2"/>
      </rPr>
      <t xml:space="preserve">간호사</t>
    </r>
    <r>
      <rPr>
        <sz val="10"/>
        <rFont val="Arial"/>
        <family val="0"/>
        <charset val="1"/>
      </rPr>
      <t xml:space="preserve">), </t>
    </r>
    <r>
      <rPr>
        <sz val="10"/>
        <rFont val="WenQuanYi Zen Hei"/>
        <family val="2"/>
      </rPr>
      <t xml:space="preserve">원장</t>
    </r>
    <r>
      <rPr>
        <sz val="10"/>
        <rFont val="Arial"/>
        <family val="0"/>
        <charset val="1"/>
      </rPr>
      <t xml:space="preserve">. </t>
    </r>
    <r>
      <rPr>
        <sz val="10"/>
        <rFont val="WenQuanYi Zen Hei"/>
        <family val="2"/>
      </rPr>
      <t xml:space="preserve">교차 카메오</t>
    </r>
    <r>
      <rPr>
        <sz val="10"/>
        <rFont val="Arial"/>
        <family val="0"/>
        <charset val="1"/>
      </rPr>
      <t xml:space="preserve">: Marco(</t>
    </r>
    <r>
      <rPr>
        <sz val="10"/>
        <rFont val="WenQuanYi Zen Hei"/>
        <family val="2"/>
      </rPr>
      <t xml:space="preserve">환자</t>
    </r>
    <r>
      <rPr>
        <sz val="10"/>
        <rFont val="Arial"/>
        <family val="0"/>
        <charset val="1"/>
      </rPr>
      <t xml:space="preserve">), Chiara(</t>
    </r>
    <r>
      <rPr>
        <sz val="10"/>
        <rFont val="WenQuanYi Zen Hei"/>
        <family val="2"/>
      </rPr>
      <t xml:space="preserve">효율 발표</t>
    </r>
    <r>
      <rPr>
        <sz val="10"/>
        <rFont val="Arial"/>
        <family val="0"/>
        <charset val="1"/>
      </rPr>
      <t xml:space="preserve">), Alessandro(</t>
    </r>
    <r>
      <rPr>
        <sz val="10"/>
        <rFont val="WenQuanYi Zen Hei"/>
        <family val="2"/>
      </rPr>
      <t xml:space="preserve">외주 업체 자문</t>
    </r>
    <r>
      <rPr>
        <sz val="10"/>
        <rFont val="Arial"/>
        <family val="0"/>
        <charset val="1"/>
      </rPr>
      <t xml:space="preserve">), Galileo(</t>
    </r>
    <r>
      <rPr>
        <sz val="10"/>
        <rFont val="WenQuanYi Zen Hei"/>
        <family val="2"/>
      </rPr>
      <t xml:space="preserve">취재</t>
    </r>
    <r>
      <rPr>
        <sz val="10"/>
        <rFont val="Arial"/>
        <family val="0"/>
        <charset val="1"/>
      </rPr>
      <t xml:space="preserve">).</t>
    </r>
  </si>
  <si>
    <r>
      <rPr>
        <sz val="10"/>
        <rFont val="Arial"/>
        <family val="0"/>
        <charset val="1"/>
      </rPr>
      <t xml:space="preserve">Cesare</t>
    </r>
    <r>
      <rPr>
        <sz val="10"/>
        <rFont val="WenQuanYi Zen Hei"/>
        <family val="2"/>
      </rPr>
      <t xml:space="preserve">의 부은 발목</t>
    </r>
    <r>
      <rPr>
        <sz val="10"/>
        <rFont val="Arial"/>
        <family val="0"/>
        <charset val="1"/>
      </rPr>
      <t xml:space="preserve">·</t>
    </r>
    <r>
      <rPr>
        <sz val="10"/>
        <rFont val="WenQuanYi Zen Hei"/>
        <family val="2"/>
      </rPr>
      <t xml:space="preserve">숨참</t>
    </r>
    <r>
      <rPr>
        <sz val="10"/>
        <rFont val="Arial"/>
        <family val="0"/>
        <charset val="1"/>
      </rPr>
      <t xml:space="preserve">(→11</t>
    </r>
    <r>
      <rPr>
        <sz val="10"/>
        <rFont val="WenQuanYi Zen Hei"/>
        <family val="2"/>
      </rPr>
      <t xml:space="preserve">부 </t>
    </r>
    <r>
      <rPr>
        <sz val="10"/>
        <rFont val="Arial"/>
        <family val="0"/>
        <charset val="1"/>
      </rPr>
      <t xml:space="preserve">4~6</t>
    </r>
    <r>
      <rPr>
        <sz val="10"/>
        <rFont val="WenQuanYi Zen Hei"/>
        <family val="2"/>
      </rPr>
      <t xml:space="preserve">화 심부전 암시</t>
    </r>
    <r>
      <rPr>
        <sz val="10"/>
        <rFont val="Arial"/>
        <family val="0"/>
        <charset val="1"/>
      </rPr>
      <t xml:space="preserve">) / Giulia</t>
    </r>
    <r>
      <rPr>
        <sz val="10"/>
        <rFont val="WenQuanYi Zen Hei"/>
        <family val="2"/>
      </rPr>
      <t xml:space="preserve">의 이름 명단</t>
    </r>
    <r>
      <rPr>
        <sz val="10"/>
        <rFont val="Arial"/>
        <family val="0"/>
        <charset val="1"/>
      </rPr>
      <t xml:space="preserve">(→12</t>
    </r>
    <r>
      <rPr>
        <sz val="10"/>
        <rFont val="WenQuanYi Zen Hei"/>
        <family val="2"/>
      </rPr>
      <t xml:space="preserve">부 </t>
    </r>
    <r>
      <rPr>
        <sz val="10"/>
        <rFont val="Arial"/>
        <family val="0"/>
        <charset val="1"/>
      </rPr>
      <t xml:space="preserve">9</t>
    </r>
    <r>
      <rPr>
        <sz val="10"/>
        <rFont val="WenQuanYi Zen Hei"/>
        <family val="2"/>
      </rPr>
      <t xml:space="preserve">화</t>
    </r>
    <r>
      <rPr>
        <sz val="10"/>
        <rFont val="Arial"/>
        <family val="0"/>
        <charset val="1"/>
      </rPr>
      <t xml:space="preserve">, 13</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 / </t>
    </r>
    <r>
      <rPr>
        <sz val="10"/>
        <rFont val="WenQuanYi Zen Hei"/>
        <family val="2"/>
      </rPr>
      <t xml:space="preserve">외주 계약</t>
    </r>
    <r>
      <rPr>
        <sz val="10"/>
        <rFont val="Arial"/>
        <family val="0"/>
        <charset val="1"/>
      </rPr>
      <t xml:space="preserve">(→9</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 11</t>
    </r>
    <r>
      <rPr>
        <sz val="10"/>
        <rFont val="WenQuanYi Zen Hei"/>
        <family val="2"/>
      </rPr>
      <t xml:space="preserve">부 </t>
    </r>
    <r>
      <rPr>
        <sz val="10"/>
        <rFont val="Arial"/>
        <family val="0"/>
        <charset val="1"/>
      </rPr>
      <t xml:space="preserve">4</t>
    </r>
    <r>
      <rPr>
        <sz val="10"/>
        <rFont val="WenQuanYi Zen Hei"/>
        <family val="2"/>
      </rPr>
      <t xml:space="preserve">화</t>
    </r>
    <r>
      <rPr>
        <sz val="10"/>
        <rFont val="Arial"/>
        <family val="0"/>
        <charset val="1"/>
      </rPr>
      <t xml:space="preserve">)</t>
    </r>
  </si>
  <si>
    <t xml:space="preserve">S4● S3○ S2○ P3○</t>
  </si>
  <si>
    <t xml:space="preserve">병원 외주(esternalizzazione)·민간 위탁, 주 보건서비스(SSR Lazio)·ASL, 응급 분류(triage, 긴급도 코드 1~5), 서류 없는 환자의 필수 진료(STP 코드), 징계 절차</t>
  </si>
  <si>
    <r>
      <rPr>
        <sz val="10"/>
        <rFont val="Arial"/>
        <family val="0"/>
        <charset val="1"/>
      </rPr>
      <t xml:space="preserve">B2~C1. </t>
    </r>
    <r>
      <rPr>
        <sz val="10"/>
        <rFont val="WenQuanYi Zen Hei"/>
        <family val="2"/>
      </rPr>
      <t xml:space="preserve">의학 어휘</t>
    </r>
    <r>
      <rPr>
        <sz val="10"/>
        <rFont val="Arial"/>
        <family val="0"/>
        <charset val="1"/>
      </rPr>
      <t xml:space="preserve">, </t>
    </r>
    <r>
      <rPr>
        <sz val="10"/>
        <rFont val="WenQuanYi Zen Hei"/>
        <family val="2"/>
      </rPr>
      <t xml:space="preserve">짧은 명령형</t>
    </r>
    <r>
      <rPr>
        <sz val="10"/>
        <rFont val="Arial"/>
        <family val="0"/>
        <charset val="1"/>
      </rPr>
      <t xml:space="preserve">, </t>
    </r>
    <r>
      <rPr>
        <sz val="10"/>
        <rFont val="WenQuanYi Zen Hei"/>
        <family val="2"/>
      </rPr>
      <t xml:space="preserve">긴박한 호흡</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빠른 템포와 짧은 호흡</t>
    </r>
    <r>
      <rPr>
        <sz val="10"/>
        <rFont val="Arial"/>
        <family val="0"/>
        <charset val="1"/>
      </rPr>
      <t xml:space="preserve">.</t>
    </r>
  </si>
  <si>
    <r>
      <rPr>
        <sz val="10"/>
        <rFont val="Arial"/>
        <family val="0"/>
        <charset val="1"/>
      </rPr>
      <t xml:space="preserve">Sofia: triage·parametri vitali·sepsi </t>
    </r>
    <r>
      <rPr>
        <sz val="10"/>
        <rFont val="WenQuanYi Zen Hei"/>
        <family val="2"/>
      </rPr>
      <t xml:space="preserve">등 의학 용어</t>
    </r>
    <r>
      <rPr>
        <sz val="10"/>
        <rFont val="Arial"/>
        <family val="0"/>
        <charset val="1"/>
      </rPr>
      <t xml:space="preserve">. </t>
    </r>
    <r>
      <rPr>
        <sz val="10"/>
        <rFont val="WenQuanYi Zen Hei"/>
        <family val="2"/>
      </rPr>
      <t xml:space="preserve">카드</t>
    </r>
    <r>
      <rPr>
        <sz val="10"/>
        <rFont val="Arial"/>
        <family val="0"/>
        <charset val="1"/>
      </rPr>
      <t xml:space="preserve">: legge 833/1978(</t>
    </r>
    <r>
      <rPr>
        <sz val="10"/>
        <rFont val="WenQuanYi Zen Hei"/>
        <family val="2"/>
      </rPr>
      <t xml:space="preserve">국가 보건서비스 설립</t>
    </r>
    <r>
      <rPr>
        <sz val="10"/>
        <rFont val="Arial"/>
        <family val="0"/>
        <charset val="1"/>
      </rPr>
      <t xml:space="preserve">), legge 219/2017(</t>
    </r>
    <r>
      <rPr>
        <sz val="10"/>
        <rFont val="WenQuanYi Zen Hei"/>
        <family val="2"/>
      </rPr>
      <t xml:space="preserve">동의</t>
    </r>
    <r>
      <rPr>
        <sz val="10"/>
        <rFont val="Arial"/>
        <family val="0"/>
        <charset val="1"/>
      </rPr>
      <t xml:space="preserve">·</t>
    </r>
    <r>
      <rPr>
        <sz val="10"/>
        <rFont val="WenQuanYi Zen Hei"/>
        <family val="2"/>
      </rPr>
      <t xml:space="preserve">사전의료지시</t>
    </r>
    <r>
      <rPr>
        <sz val="10"/>
        <rFont val="Arial"/>
        <family val="0"/>
        <charset val="1"/>
      </rPr>
      <t xml:space="preserve">), d.lgs. 286/1998 </t>
    </r>
    <r>
      <rPr>
        <sz val="10"/>
        <rFont val="WenQuanYi Zen Hei"/>
        <family val="2"/>
      </rPr>
      <t xml:space="preserve">제</t>
    </r>
    <r>
      <rPr>
        <sz val="10"/>
        <rFont val="Arial"/>
        <family val="0"/>
        <charset val="1"/>
      </rPr>
      <t xml:space="preserve">35</t>
    </r>
    <r>
      <rPr>
        <sz val="10"/>
        <rFont val="WenQuanYi Zen Hei"/>
        <family val="2"/>
      </rPr>
      <t xml:space="preserve">조</t>
    </r>
    <r>
      <rPr>
        <sz val="10"/>
        <rFont val="Arial"/>
        <family val="0"/>
        <charset val="1"/>
      </rPr>
      <t xml:space="preserve">.</t>
    </r>
  </si>
  <si>
    <r>
      <rPr>
        <sz val="10"/>
        <rFont val="Arial"/>
        <family val="0"/>
        <charset val="1"/>
      </rPr>
      <t xml:space="preserve">4</t>
    </r>
    <r>
      <rPr>
        <sz val="10"/>
        <rFont val="WenQuanYi Zen Hei"/>
        <family val="2"/>
      </rPr>
      <t xml:space="preserve">부</t>
    </r>
    <r>
      <rPr>
        <sz val="10"/>
        <rFont val="Arial"/>
        <family val="0"/>
        <charset val="1"/>
      </rPr>
      <t xml:space="preserve">: Alessandro — «Tocca a me.» </t>
    </r>
    <r>
      <rPr>
        <sz val="10"/>
        <rFont val="WenQuanYi Zen Hei"/>
        <family val="2"/>
      </rPr>
      <t xml:space="preserve">그 서명의 주인</t>
    </r>
    <r>
      <rPr>
        <sz val="10"/>
        <rFont val="Arial"/>
        <family val="0"/>
        <charset val="1"/>
      </rPr>
      <t xml:space="preserve">.</t>
    </r>
  </si>
  <si>
    <r>
      <rPr>
        <b val="true"/>
        <sz val="10"/>
        <color rgb="FFFFFFFF"/>
        <rFont val="Arial"/>
        <family val="0"/>
        <charset val="1"/>
      </rPr>
      <t xml:space="preserve">Il Revisore — </t>
    </r>
    <r>
      <rPr>
        <b val="true"/>
        <sz val="10"/>
        <color rgb="FFFFFFFF"/>
        <rFont val="WenQuanYi Zen Hei"/>
        <family val="2"/>
      </rPr>
      <t xml:space="preserve">회계사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B2~C1   |   </t>
    </r>
    <r>
      <rPr>
        <b val="true"/>
        <sz val="10"/>
        <color rgb="FFFFFFFF"/>
        <rFont val="WenQuanYi Zen Hei"/>
        <family val="2"/>
      </rPr>
      <t xml:space="preserve">프레임</t>
    </r>
    <r>
      <rPr>
        <b val="true"/>
        <sz val="10"/>
        <color rgb="FFFFFFFF"/>
        <rFont val="Arial"/>
        <family val="0"/>
        <charset val="1"/>
      </rPr>
      <t xml:space="preserve">: </t>
    </r>
    <r>
      <rPr>
        <b val="true"/>
        <sz val="10"/>
        <color rgb="FFFFFFFF"/>
        <rFont val="WenQuanYi Zen Hei"/>
        <family val="2"/>
      </rPr>
      <t xml:space="preserve">금요일 밤</t>
    </r>
    <r>
      <rPr>
        <b val="true"/>
        <sz val="10"/>
        <color rgb="FFFFFFFF"/>
        <rFont val="Arial"/>
        <family val="0"/>
        <charset val="1"/>
      </rPr>
      <t xml:space="preserve">. </t>
    </r>
    <r>
      <rPr>
        <b val="true"/>
        <sz val="10"/>
        <color rgb="FFFFFFFF"/>
        <rFont val="WenQuanYi Zen Hei"/>
        <family val="2"/>
      </rPr>
      <t xml:space="preserve">과거</t>
    </r>
    <r>
      <rPr>
        <b val="true"/>
        <sz val="10"/>
        <color rgb="FFFFFFFF"/>
        <rFont val="Arial"/>
        <family val="0"/>
        <charset val="1"/>
      </rPr>
      <t xml:space="preserve">: </t>
    </r>
    <r>
      <rPr>
        <b val="true"/>
        <sz val="10"/>
        <color rgb="FFFFFFFF"/>
        <rFont val="WenQuanYi Zen Hei"/>
        <family val="2"/>
      </rPr>
      <t xml:space="preserve">약 </t>
    </r>
    <r>
      <rPr>
        <b val="true"/>
        <sz val="10"/>
        <color rgb="FFFFFFFF"/>
        <rFont val="Arial"/>
        <family val="0"/>
        <charset val="1"/>
      </rPr>
      <t xml:space="preserve">3</t>
    </r>
    <r>
      <rPr>
        <b val="true"/>
        <sz val="10"/>
        <color rgb="FFFFFFFF"/>
        <rFont val="WenQuanYi Zen Hei"/>
        <family val="2"/>
      </rPr>
      <t xml:space="preserve">년 전</t>
    </r>
    <r>
      <rPr>
        <b val="true"/>
        <sz val="10"/>
        <color rgb="FFFFFFFF"/>
        <rFont val="Arial"/>
        <family val="0"/>
        <charset val="1"/>
      </rPr>
      <t xml:space="preserve">, Conti Revisori.</t>
    </r>
  </si>
  <si>
    <t xml:space="preserve">돈의 흐름과 '서명의 책임'. 부패의 공모가 일상 업무의 얼굴로 온다는 것을 보여 주고, 이후 아크의 결정적 증거(USB)를 만든다.</t>
  </si>
  <si>
    <t xml:space="preserve">시니어 파트너가 최대 고객의 이상 거래를 발견하지만, 압박과 승진 앞에서 결국 '깨끗한' 의견서에 서명하고 그 서명이 다른 사람의 죽음과 해고에 쓰인다.</t>
  </si>
  <si>
    <t xml:space="preserve">정확함을 자랑하던 감사인 → '서명한 사람'. 다시는 서명하지 않겠다는 다짐.</t>
  </si>
  <si>
    <t xml:space="preserve">감사인의 독립성 vs 수임료 / 정확함 vs 생존</t>
  </si>
  <si>
    <t xml:space="preserve">발단(1~3화): '내가 서명했다' 프레임, 결산 마감, 돈 잘 주는 고객.</t>
  </si>
  <si>
    <t xml:space="preserve">전개(4~5화): '이건 안 맞아' — 특수관계자 대출 발견 / 프레임에서 아버지 이야기.</t>
  </si>
  <si>
    <t xml:space="preserve">미드포인트(6화): 파트너 회의 — 한정 의견 주장, 리스크 위원회로 에스컬레이션.</t>
  </si>
  <si>
    <t xml:space="preserve">위기(7~9화): 위원회의 '증거 불충분', 파리올리의 점심(위협), 프레임 '서명했어요?'.</t>
  </si>
  <si>
    <t xml:space="preserve">절정(10~11화): 서명, 그리고 서명 이후 — 계약 확정과 구조조정 통보, 사직.</t>
  </si>
  <si>
    <t xml:space="preserve">결말·훅(12화): 프레임에서 Chiara — «La lista la facevo io.»</t>
  </si>
  <si>
    <r>
      <rPr>
        <sz val="10"/>
        <rFont val="Arial"/>
        <family val="0"/>
        <charset val="1"/>
      </rPr>
      <t xml:space="preserve">Alessandro: </t>
    </r>
    <r>
      <rPr>
        <sz val="10"/>
        <rFont val="WenQuanYi Zen Hei"/>
        <family val="2"/>
      </rPr>
      <t xml:space="preserve">건조</t>
    </r>
    <r>
      <rPr>
        <sz val="10"/>
        <rFont val="Arial"/>
        <family val="0"/>
        <charset val="1"/>
      </rPr>
      <t xml:space="preserve">·</t>
    </r>
    <r>
      <rPr>
        <sz val="10"/>
        <rFont val="WenQuanYi Zen Hei"/>
        <family val="2"/>
      </rPr>
      <t xml:space="preserve">정확</t>
    </r>
    <r>
      <rPr>
        <sz val="10"/>
        <rFont val="Arial"/>
        <family val="0"/>
        <charset val="1"/>
      </rPr>
      <t xml:space="preserve">, </t>
    </r>
    <r>
      <rPr>
        <sz val="10"/>
        <rFont val="WenQuanYi Zen Hei"/>
        <family val="2"/>
      </rPr>
      <t xml:space="preserve">숫자 낭독</t>
    </r>
    <r>
      <rPr>
        <sz val="10"/>
        <rFont val="Arial"/>
        <family val="0"/>
        <charset val="1"/>
      </rPr>
      <t xml:space="preserve">. </t>
    </r>
    <r>
      <rPr>
        <sz val="10"/>
        <rFont val="WenQuanYi Zen Hei"/>
        <family val="2"/>
      </rPr>
      <t xml:space="preserve">가상 인물</t>
    </r>
    <r>
      <rPr>
        <sz val="10"/>
        <rFont val="Arial"/>
        <family val="0"/>
        <charset val="1"/>
      </rPr>
      <t xml:space="preserve">: Bassi(</t>
    </r>
    <r>
      <rPr>
        <sz val="10"/>
        <rFont val="WenQuanYi Zen Hei"/>
        <family val="2"/>
      </rPr>
      <t xml:space="preserve">대표 파트너</t>
    </r>
    <r>
      <rPr>
        <sz val="10"/>
        <rFont val="Arial"/>
        <family val="0"/>
        <charset val="1"/>
      </rPr>
      <t xml:space="preserve">). </t>
    </r>
    <r>
      <rPr>
        <sz val="10"/>
        <rFont val="WenQuanYi Zen Hei"/>
        <family val="2"/>
      </rPr>
      <t xml:space="preserve">교차 카메오</t>
    </r>
    <r>
      <rPr>
        <sz val="10"/>
        <rFont val="Arial"/>
        <family val="0"/>
        <charset val="1"/>
      </rPr>
      <t xml:space="preserve">: Francesco(</t>
    </r>
    <r>
      <rPr>
        <sz val="10"/>
        <rFont val="WenQuanYi Zen Hei"/>
        <family val="2"/>
      </rPr>
      <t xml:space="preserve">자료 제공</t>
    </r>
    <r>
      <rPr>
        <sz val="10"/>
        <rFont val="Arial"/>
        <family val="0"/>
        <charset val="1"/>
      </rPr>
      <t xml:space="preserve">), Santoro(</t>
    </r>
    <r>
      <rPr>
        <sz val="10"/>
        <rFont val="WenQuanYi Zen Hei"/>
        <family val="2"/>
      </rPr>
      <t xml:space="preserve">회유</t>
    </r>
    <r>
      <rPr>
        <sz val="10"/>
        <rFont val="Arial"/>
        <family val="0"/>
        <charset val="1"/>
      </rPr>
      <t xml:space="preserve">), Galileo(</t>
    </r>
    <r>
      <rPr>
        <sz val="10"/>
        <rFont val="WenQuanYi Zen Hei"/>
        <family val="2"/>
      </rPr>
      <t xml:space="preserve">전화</t>
    </r>
    <r>
      <rPr>
        <sz val="10"/>
        <rFont val="Arial"/>
        <family val="0"/>
        <charset val="1"/>
      </rPr>
      <t xml:space="preserve">), Chiara(</t>
    </r>
    <r>
      <rPr>
        <sz val="10"/>
        <rFont val="WenQuanYi Zen Hei"/>
        <family val="2"/>
      </rPr>
      <t xml:space="preserve">구조조정 통보</t>
    </r>
    <r>
      <rPr>
        <sz val="10"/>
        <rFont val="Arial"/>
        <family val="0"/>
        <charset val="1"/>
      </rPr>
      <t xml:space="preserve">).</t>
    </r>
  </si>
  <si>
    <t xml:space="preserve">복사본 USB(→6부 5화, 7부 5~6화) / «Io firmo solo ciò che ho verificato.»(→11부 10화) / Francesco 첫 접점(→7부 5화)</t>
  </si>
  <si>
    <r>
      <rPr>
        <sz val="10"/>
        <rFont val="Arial"/>
        <family val="0"/>
        <charset val="1"/>
      </rPr>
      <t xml:space="preserve">—(</t>
    </r>
    <r>
      <rPr>
        <sz val="10"/>
        <rFont val="WenQuanYi Zen Hei"/>
        <family val="2"/>
      </rPr>
      <t xml:space="preserve">정치 현안 없음</t>
    </r>
    <r>
      <rPr>
        <sz val="10"/>
        <rFont val="Arial"/>
        <family val="0"/>
        <charset val="1"/>
      </rPr>
      <t xml:space="preserve">, </t>
    </r>
    <r>
      <rPr>
        <sz val="10"/>
        <rFont val="WenQuanYi Zen Hei"/>
        <family val="2"/>
      </rPr>
      <t xml:space="preserve">감사</t>
    </r>
    <r>
      <rPr>
        <sz val="10"/>
        <rFont val="Arial"/>
        <family val="0"/>
        <charset val="1"/>
      </rPr>
      <t xml:space="preserve">·</t>
    </r>
    <r>
      <rPr>
        <sz val="10"/>
        <rFont val="WenQuanYi Zen Hei"/>
        <family val="2"/>
      </rPr>
      <t xml:space="preserve">자금 세탁 중심</t>
    </r>
    <r>
      <rPr>
        <sz val="10"/>
        <rFont val="Arial"/>
        <family val="0"/>
        <charset val="1"/>
      </rPr>
      <t xml:space="preserve">)</t>
    </r>
  </si>
  <si>
    <t xml:space="preserve">법정 감사(d.lgs. 39/2010: 독립성·감사인 순환), 자금세탁방지(d.lgs. 231/2007), 특수관계자 거래, 의견 종류(senza rilievi / con rilievi / negativo / impossibilità di esprimere un giudizio)</t>
  </si>
  <si>
    <r>
      <rPr>
        <sz val="10"/>
        <rFont val="Arial"/>
        <family val="0"/>
        <charset val="1"/>
      </rPr>
      <t xml:space="preserve">B2~C1. </t>
    </r>
    <r>
      <rPr>
        <sz val="10"/>
        <rFont val="WenQuanYi Zen Hei"/>
        <family val="2"/>
      </rPr>
      <t xml:space="preserve">숫자 낭독</t>
    </r>
    <r>
      <rPr>
        <sz val="10"/>
        <rFont val="Arial"/>
        <family val="0"/>
        <charset val="1"/>
      </rPr>
      <t xml:space="preserve">, </t>
    </r>
    <r>
      <rPr>
        <sz val="10"/>
        <rFont val="WenQuanYi Zen Hei"/>
        <family val="2"/>
      </rPr>
      <t xml:space="preserve">수동태</t>
    </r>
    <r>
      <rPr>
        <sz val="10"/>
        <rFont val="Arial"/>
        <family val="0"/>
        <charset val="1"/>
      </rPr>
      <t xml:space="preserve">·</t>
    </r>
    <r>
      <rPr>
        <sz val="10"/>
        <rFont val="WenQuanYi Zen Hei"/>
        <family val="2"/>
      </rPr>
      <t xml:space="preserve">조건법</t>
    </r>
    <r>
      <rPr>
        <sz val="10"/>
        <rFont val="Arial"/>
        <family val="0"/>
        <charset val="1"/>
      </rPr>
      <t xml:space="preserve">, </t>
    </r>
    <r>
      <rPr>
        <sz val="10"/>
        <rFont val="WenQuanYi Zen Hei"/>
        <family val="2"/>
      </rPr>
      <t xml:space="preserve">감사 보고서체</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일정한 속도</t>
    </r>
    <r>
      <rPr>
        <sz val="10"/>
        <rFont val="Arial"/>
        <family val="0"/>
        <charset val="1"/>
      </rPr>
      <t xml:space="preserve">, </t>
    </r>
    <r>
      <rPr>
        <sz val="10"/>
        <rFont val="WenQuanYi Zen Hei"/>
        <family val="2"/>
      </rPr>
      <t xml:space="preserve">결론 문장에서 톤 낮춤</t>
    </r>
    <r>
      <rPr>
        <sz val="10"/>
        <rFont val="Arial"/>
        <family val="0"/>
        <charset val="1"/>
      </rPr>
      <t xml:space="preserve">.</t>
    </r>
  </si>
  <si>
    <r>
      <rPr>
        <sz val="10"/>
        <rFont val="Arial"/>
        <family val="0"/>
        <charset val="1"/>
      </rPr>
      <t xml:space="preserve">Sofia: stato patrimoniale·conto economico·significatività </t>
    </r>
    <r>
      <rPr>
        <sz val="10"/>
        <rFont val="WenQuanYi Zen Hei"/>
        <family val="2"/>
      </rPr>
      <t xml:space="preserve">등 회계 용어</t>
    </r>
    <r>
      <rPr>
        <sz val="10"/>
        <rFont val="Arial"/>
        <family val="0"/>
        <charset val="1"/>
      </rPr>
      <t xml:space="preserve">. </t>
    </r>
    <r>
      <rPr>
        <sz val="10"/>
        <rFont val="WenQuanYi Zen Hei"/>
        <family val="2"/>
      </rPr>
      <t xml:space="preserve">카드</t>
    </r>
    <r>
      <rPr>
        <sz val="10"/>
        <rFont val="Arial"/>
        <family val="0"/>
        <charset val="1"/>
      </rPr>
      <t xml:space="preserve">: d.lgs. 39/2010, </t>
    </r>
    <r>
      <rPr>
        <sz val="10"/>
        <rFont val="WenQuanYi Zen Hei"/>
        <family val="2"/>
      </rPr>
      <t xml:space="preserve">법정 감사인 등록부</t>
    </r>
    <r>
      <rPr>
        <sz val="10"/>
        <rFont val="Arial"/>
        <family val="0"/>
        <charset val="1"/>
      </rPr>
      <t xml:space="preserve">(Registro dei revisori legali), </t>
    </r>
    <r>
      <rPr>
        <sz val="10"/>
        <rFont val="WenQuanYi Zen Hei"/>
        <family val="2"/>
      </rPr>
      <t xml:space="preserve">기업 등록부</t>
    </r>
    <r>
      <rPr>
        <sz val="10"/>
        <rFont val="Arial"/>
        <family val="0"/>
        <charset val="1"/>
      </rPr>
      <t xml:space="preserve">(Registro delle imprese).</t>
    </r>
  </si>
  <si>
    <r>
      <rPr>
        <sz val="10"/>
        <rFont val="Arial"/>
        <family val="0"/>
        <charset val="1"/>
      </rPr>
      <t xml:space="preserve">5</t>
    </r>
    <r>
      <rPr>
        <sz val="10"/>
        <rFont val="WenQuanYi Zen Hei"/>
        <family val="2"/>
      </rPr>
      <t xml:space="preserve">부</t>
    </r>
    <r>
      <rPr>
        <sz val="10"/>
        <rFont val="Arial"/>
        <family val="0"/>
        <charset val="1"/>
      </rPr>
      <t xml:space="preserve">: Chiara — </t>
    </r>
    <r>
      <rPr>
        <sz val="10"/>
        <rFont val="WenQuanYi Zen Hei"/>
        <family val="2"/>
      </rPr>
      <t xml:space="preserve">그 의견서 이후 시작된 구조조정 명단의 주인</t>
    </r>
    <r>
      <rPr>
        <sz val="10"/>
        <rFont val="Arial"/>
        <family val="0"/>
        <charset val="1"/>
      </rPr>
      <t xml:space="preserve">.</t>
    </r>
  </si>
  <si>
    <r>
      <rPr>
        <b val="true"/>
        <sz val="10"/>
        <color rgb="FFFFFFFF"/>
        <rFont val="Arial"/>
        <family val="0"/>
        <charset val="1"/>
      </rPr>
      <t xml:space="preserve">La Consulente — </t>
    </r>
    <r>
      <rPr>
        <b val="true"/>
        <sz val="10"/>
        <color rgb="FFFFFFFF"/>
        <rFont val="WenQuanYi Zen Hei"/>
        <family val="2"/>
      </rPr>
      <t xml:space="preserve">컨설턴트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B2~C1   |   </t>
    </r>
    <r>
      <rPr>
        <b val="true"/>
        <sz val="10"/>
        <color rgb="FFFFFFFF"/>
        <rFont val="WenQuanYi Zen Hei"/>
        <family val="2"/>
      </rPr>
      <t xml:space="preserve">프레임</t>
    </r>
    <r>
      <rPr>
        <b val="true"/>
        <sz val="10"/>
        <color rgb="FFFFFFFF"/>
        <rFont val="Arial"/>
        <family val="0"/>
        <charset val="1"/>
      </rPr>
      <t xml:space="preserve">: </t>
    </r>
    <r>
      <rPr>
        <b val="true"/>
        <sz val="10"/>
        <color rgb="FFFFFFFF"/>
        <rFont val="WenQuanYi Zen Hei"/>
        <family val="2"/>
      </rPr>
      <t xml:space="preserve">금요일 밤</t>
    </r>
    <r>
      <rPr>
        <b val="true"/>
        <sz val="10"/>
        <color rgb="FFFFFFFF"/>
        <rFont val="Arial"/>
        <family val="0"/>
        <charset val="1"/>
      </rPr>
      <t xml:space="preserve">. </t>
    </r>
    <r>
      <rPr>
        <b val="true"/>
        <sz val="10"/>
        <color rgb="FFFFFFFF"/>
        <rFont val="WenQuanYi Zen Hei"/>
        <family val="2"/>
      </rPr>
      <t xml:space="preserve">과거</t>
    </r>
    <r>
      <rPr>
        <b val="true"/>
        <sz val="10"/>
        <color rgb="FFFFFFFF"/>
        <rFont val="Arial"/>
        <family val="0"/>
        <charset val="1"/>
      </rPr>
      <t xml:space="preserve">: </t>
    </r>
    <r>
      <rPr>
        <b val="true"/>
        <sz val="10"/>
        <color rgb="FFFFFFFF"/>
        <rFont val="WenQuanYi Zen Hei"/>
        <family val="2"/>
      </rPr>
      <t xml:space="preserve">약 </t>
    </r>
    <r>
      <rPr>
        <b val="true"/>
        <sz val="10"/>
        <color rgb="FFFFFFFF"/>
        <rFont val="Arial"/>
        <family val="0"/>
        <charset val="1"/>
      </rPr>
      <t xml:space="preserve">2</t>
    </r>
    <r>
      <rPr>
        <b val="true"/>
        <sz val="10"/>
        <color rgb="FFFFFFFF"/>
        <rFont val="WenQuanYi Zen Hei"/>
        <family val="2"/>
      </rPr>
      <t xml:space="preserve">년 전</t>
    </r>
    <r>
      <rPr>
        <b val="true"/>
        <sz val="10"/>
        <color rgb="FFFFFFFF"/>
        <rFont val="Arial"/>
        <family val="0"/>
        <charset val="1"/>
      </rPr>
      <t xml:space="preserve">, EUR </t>
    </r>
    <r>
      <rPr>
        <b val="true"/>
        <sz val="10"/>
        <color rgb="FFFFFFFF"/>
        <rFont val="WenQuanYi Zen Hei"/>
        <family val="2"/>
      </rPr>
      <t xml:space="preserve">오피스 타워 </t>
    </r>
    <r>
      <rPr>
        <b val="true"/>
        <sz val="10"/>
        <color rgb="FFFFFFFF"/>
        <rFont val="Arial"/>
        <family val="0"/>
        <charset val="1"/>
      </rPr>
      <t xml:space="preserve">32</t>
    </r>
    <r>
      <rPr>
        <b val="true"/>
        <sz val="10"/>
        <color rgb="FFFFFFFF"/>
        <rFont val="WenQuanYi Zen Hei"/>
        <family val="2"/>
      </rPr>
      <t xml:space="preserve">층의 </t>
    </r>
    <r>
      <rPr>
        <b val="true"/>
        <sz val="10"/>
        <color rgb="FFFFFFFF"/>
        <rFont val="Arial"/>
        <family val="0"/>
        <charset val="1"/>
      </rPr>
      <t xml:space="preserve">Zenit Consulting.</t>
    </r>
  </si>
  <si>
    <t xml:space="preserve">효율의 이름으로 사람이 숫자가 되는 순간. 노동(Paolo), 청년 고용(S1), 영세·가족 기업 구조(E2)를 도입하고 Chiara의 말투 변화를 예고한다.</t>
  </si>
  <si>
    <t xml:space="preserve">전략 컨설턴트가 영세 기업을 살리려던 낙관에서 출발해, 대형 고객 구조조정 모델의 셀 하나가 412명의 해고임을 알게 된다.</t>
  </si>
  <si>
    <r>
      <rPr>
        <sz val="10"/>
        <rFont val="Arial"/>
        <family val="0"/>
        <charset val="1"/>
      </rPr>
      <t xml:space="preserve">'</t>
    </r>
    <r>
      <rPr>
        <sz val="10"/>
        <rFont val="WenQuanYi Zen Hei"/>
        <family val="2"/>
      </rPr>
      <t xml:space="preserve">스케일</t>
    </r>
    <r>
      <rPr>
        <sz val="10"/>
        <rFont val="Arial"/>
        <family val="0"/>
        <charset val="1"/>
      </rPr>
      <t xml:space="preserve">'</t>
    </r>
    <r>
      <rPr>
        <sz val="10"/>
        <rFont val="WenQuanYi Zen Hei"/>
        <family val="2"/>
      </rPr>
      <t xml:space="preserve">을 믿던 사람 → 사람을 숫자로 본 죄책감을 인정하는 사람</t>
    </r>
    <r>
      <rPr>
        <sz val="10"/>
        <rFont val="Arial"/>
        <family val="0"/>
        <charset val="1"/>
      </rPr>
      <t xml:space="preserve">(</t>
    </r>
    <r>
      <rPr>
        <sz val="10"/>
        <rFont val="WenQuanYi Zen Hei"/>
        <family val="2"/>
      </rPr>
      <t xml:space="preserve">프레젠테이션 톤에서 솔직한 톤으로 가는 시작</t>
    </r>
    <r>
      <rPr>
        <sz val="10"/>
        <rFont val="Arial"/>
        <family val="0"/>
        <charset val="1"/>
      </rPr>
      <t xml:space="preserve">).</t>
    </r>
  </si>
  <si>
    <t xml:space="preserve">효율 vs 사람 / 조직 충성 vs 양심</t>
  </si>
  <si>
    <t xml:space="preserve">발단(1~3화): 매트릭스 프레임, Zenit 32층, Ruggeri 공방(영세 기업의 실패).</t>
  </si>
  <si>
    <t xml:space="preserve">전개(4~5화): 이카로 프로젝트 킥오프 / 프레임 '엑셀 한 장'.</t>
  </si>
  <si>
    <t xml:space="preserve">미드포인트(6화): C47 셀 — 412개 일자리, 스푸만테.</t>
  </si>
  <si>
    <t xml:space="preserve">위기(7~9화): 협상 테이블에서 Paolo와 대면, 잘못 보낸 이메일과 Montessori 상담, 프레임 '412'.</t>
  </si>
  <si>
    <t xml:space="preserve">절정(10~11화): 파업과 Paolo의 해고, 마지막 회의에서 사직.</t>
  </si>
  <si>
    <t xml:space="preserve">결말·훅(12화): 프레임 — 네 명이 같은 강당에 모인 콰르티촐로의 화요일 예고.</t>
  </si>
  <si>
    <r>
      <rPr>
        <sz val="10"/>
        <rFont val="Arial"/>
        <family val="0"/>
        <charset val="1"/>
      </rPr>
      <t xml:space="preserve">Chiara: </t>
    </r>
    <r>
      <rPr>
        <sz val="10"/>
        <rFont val="WenQuanYi Zen Hei"/>
        <family val="2"/>
      </rPr>
      <t xml:space="preserve">영어식 경영 용어가 섞인 빠른 말투</t>
    </r>
    <r>
      <rPr>
        <sz val="10"/>
        <rFont val="Arial"/>
        <family val="0"/>
        <charset val="1"/>
      </rPr>
      <t xml:space="preserve">(itanglese). </t>
    </r>
    <r>
      <rPr>
        <sz val="10"/>
        <rFont val="WenQuanYi Zen Hei"/>
        <family val="2"/>
      </rPr>
      <t xml:space="preserve">가상 인물</t>
    </r>
    <r>
      <rPr>
        <sz val="10"/>
        <rFont val="Arial"/>
        <family val="0"/>
        <charset val="1"/>
      </rPr>
      <t xml:space="preserve">: Ruggeri(</t>
    </r>
    <r>
      <rPr>
        <sz val="10"/>
        <rFont val="WenQuanYi Zen Hei"/>
        <family val="2"/>
      </rPr>
      <t xml:space="preserve">공방 주인</t>
    </r>
    <r>
      <rPr>
        <sz val="10"/>
        <rFont val="Arial"/>
        <family val="0"/>
        <charset val="1"/>
      </rPr>
      <t xml:space="preserve">), Zenit </t>
    </r>
    <r>
      <rPr>
        <sz val="10"/>
        <rFont val="WenQuanYi Zen Hei"/>
        <family val="2"/>
      </rPr>
      <t xml:space="preserve">파트너</t>
    </r>
    <r>
      <rPr>
        <sz val="10"/>
        <rFont val="Arial"/>
        <family val="0"/>
        <charset val="1"/>
      </rPr>
      <t xml:space="preserve">. </t>
    </r>
    <r>
      <rPr>
        <sz val="10"/>
        <rFont val="WenQuanYi Zen Hei"/>
        <family val="2"/>
      </rPr>
      <t xml:space="preserve">교차 카메오</t>
    </r>
    <r>
      <rPr>
        <sz val="10"/>
        <rFont val="Arial"/>
        <family val="0"/>
        <charset val="1"/>
      </rPr>
      <t xml:space="preserve">: Paolo(</t>
    </r>
    <r>
      <rPr>
        <sz val="10"/>
        <rFont val="WenQuanYi Zen Hei"/>
        <family val="2"/>
      </rPr>
      <t xml:space="preserve">협상 상대</t>
    </r>
    <r>
      <rPr>
        <sz val="10"/>
        <rFont val="Arial"/>
        <family val="0"/>
        <charset val="1"/>
      </rPr>
      <t xml:space="preserve">), Montessori(</t>
    </r>
    <r>
      <rPr>
        <sz val="10"/>
        <rFont val="WenQuanYi Zen Hei"/>
        <family val="2"/>
      </rPr>
      <t xml:space="preserve">상담</t>
    </r>
    <r>
      <rPr>
        <sz val="10"/>
        <rFont val="Arial"/>
        <family val="0"/>
        <charset val="1"/>
      </rPr>
      <t xml:space="preserve">), Alessandro(</t>
    </r>
    <r>
      <rPr>
        <sz val="10"/>
        <rFont val="WenQuanYi Zen Hei"/>
        <family val="2"/>
      </rPr>
      <t xml:space="preserve">프레임</t>
    </r>
    <r>
      <rPr>
        <sz val="10"/>
        <rFont val="Arial"/>
        <family val="0"/>
        <charset val="1"/>
      </rPr>
      <t xml:space="preserve">).</t>
    </r>
  </si>
  <si>
    <r>
      <rPr>
        <sz val="10"/>
        <rFont val="Arial"/>
        <family val="0"/>
        <charset val="1"/>
      </rPr>
      <t xml:space="preserve">C47 </t>
    </r>
    <r>
      <rPr>
        <sz val="10"/>
        <rFont val="WenQuanYi Zen Hei"/>
        <family val="2"/>
      </rPr>
      <t xml:space="preserve">셀</t>
    </r>
    <r>
      <rPr>
        <sz val="10"/>
        <rFont val="Arial"/>
        <family val="0"/>
        <charset val="1"/>
      </rPr>
      <t xml:space="preserve">(→11</t>
    </r>
    <r>
      <rPr>
        <sz val="10"/>
        <rFont val="WenQuanYi Zen Hei"/>
        <family val="2"/>
      </rPr>
      <t xml:space="preserve">부 </t>
    </r>
    <r>
      <rPr>
        <sz val="10"/>
        <rFont val="Arial"/>
        <family val="0"/>
        <charset val="1"/>
      </rPr>
      <t xml:space="preserve">9</t>
    </r>
    <r>
      <rPr>
        <sz val="10"/>
        <rFont val="WenQuanYi Zen Hei"/>
        <family val="2"/>
      </rPr>
      <t xml:space="preserve">화 </t>
    </r>
    <r>
      <rPr>
        <sz val="10"/>
        <rFont val="Arial"/>
        <family val="0"/>
        <charset val="1"/>
      </rPr>
      <t xml:space="preserve">'</t>
    </r>
    <r>
      <rPr>
        <sz val="10"/>
        <rFont val="WenQuanYi Zen Hei"/>
        <family val="2"/>
      </rPr>
      <t xml:space="preserve">해고 없는 통합</t>
    </r>
    <r>
      <rPr>
        <sz val="10"/>
        <rFont val="Arial"/>
        <family val="0"/>
        <charset val="1"/>
      </rPr>
      <t xml:space="preserve">') / Paolo–Chiara </t>
    </r>
    <r>
      <rPr>
        <sz val="10"/>
        <rFont val="WenQuanYi Zen Hei"/>
        <family val="2"/>
      </rPr>
      <t xml:space="preserve">갈등</t>
    </r>
    <r>
      <rPr>
        <sz val="10"/>
        <rFont val="Arial"/>
        <family val="0"/>
        <charset val="1"/>
      </rPr>
      <t xml:space="preserve">(→8</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 9</t>
    </r>
    <r>
      <rPr>
        <sz val="10"/>
        <rFont val="WenQuanYi Zen Hei"/>
        <family val="2"/>
      </rPr>
      <t xml:space="preserve">부 </t>
    </r>
    <r>
      <rPr>
        <sz val="10"/>
        <rFont val="Arial"/>
        <family val="0"/>
        <charset val="1"/>
      </rPr>
      <t xml:space="preserve">5</t>
    </r>
    <r>
      <rPr>
        <sz val="10"/>
        <rFont val="WenQuanYi Zen Hei"/>
        <family val="2"/>
      </rPr>
      <t xml:space="preserve">화</t>
    </r>
    <r>
      <rPr>
        <sz val="10"/>
        <rFont val="Arial"/>
        <family val="0"/>
        <charset val="1"/>
      </rPr>
      <t xml:space="preserve">, 10</t>
    </r>
    <r>
      <rPr>
        <sz val="10"/>
        <rFont val="WenQuanYi Zen Hei"/>
        <family val="2"/>
      </rPr>
      <t xml:space="preserve">부 </t>
    </r>
    <r>
      <rPr>
        <sz val="10"/>
        <rFont val="Arial"/>
        <family val="0"/>
        <charset val="1"/>
      </rPr>
      <t xml:space="preserve">8</t>
    </r>
    <r>
      <rPr>
        <sz val="10"/>
        <rFont val="WenQuanYi Zen Hei"/>
        <family val="2"/>
      </rPr>
      <t xml:space="preserve">화 화해</t>
    </r>
    <r>
      <rPr>
        <sz val="10"/>
        <rFont val="Arial"/>
        <family val="0"/>
        <charset val="1"/>
      </rPr>
      <t xml:space="preserve">) / «Ok, senza slide»(→6</t>
    </r>
    <r>
      <rPr>
        <sz val="10"/>
        <rFont val="WenQuanYi Zen Hei"/>
        <family val="2"/>
      </rPr>
      <t xml:space="preserve">부</t>
    </r>
    <r>
      <rPr>
        <sz val="10"/>
        <rFont val="Arial"/>
        <family val="0"/>
        <charset val="1"/>
      </rPr>
      <t xml:space="preserve">, 13</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t>
    </r>
  </si>
  <si>
    <t xml:space="preserve">E2● S1○</t>
  </si>
  <si>
    <t xml:space="preserve">집단해고(legge 223/1991: 노조 협의 45일 + 행정 단계 30일), 노조 대표(RSU), 파업권(헌법 제40조), 영세·가족 기업 구조</t>
  </si>
  <si>
    <r>
      <rPr>
        <sz val="10"/>
        <rFont val="Arial"/>
        <family val="0"/>
        <charset val="1"/>
      </rPr>
      <t xml:space="preserve">B2~C1. </t>
    </r>
    <r>
      <rPr>
        <sz val="10"/>
        <rFont val="WenQuanYi Zen Hei"/>
        <family val="2"/>
      </rPr>
      <t xml:space="preserve">경영 외래어</t>
    </r>
    <r>
      <rPr>
        <sz val="10"/>
        <rFont val="Arial"/>
        <family val="0"/>
        <charset val="1"/>
      </rPr>
      <t xml:space="preserve">(allineare, scalabile, KPI), </t>
    </r>
    <r>
      <rPr>
        <sz val="10"/>
        <rFont val="WenQuanYi Zen Hei"/>
        <family val="2"/>
      </rPr>
      <t xml:space="preserve">프레젠테이션 톤</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숨 가쁜 톤에서 느린 솔직한 톤으로</t>
    </r>
    <r>
      <rPr>
        <sz val="10"/>
        <rFont val="Arial"/>
        <family val="0"/>
        <charset val="1"/>
      </rPr>
      <t xml:space="preserve">.</t>
    </r>
  </si>
  <si>
    <r>
      <rPr>
        <sz val="10"/>
        <rFont val="Arial"/>
        <family val="0"/>
        <charset val="1"/>
      </rPr>
      <t xml:space="preserve">Sofia: stakeholder·scalare·sinergia·KPI </t>
    </r>
    <r>
      <rPr>
        <sz val="10"/>
        <rFont val="WenQuanYi Zen Hei"/>
        <family val="2"/>
      </rPr>
      <t xml:space="preserve">등 경영 용어</t>
    </r>
    <r>
      <rPr>
        <sz val="10"/>
        <rFont val="Arial"/>
        <family val="0"/>
        <charset val="1"/>
      </rPr>
      <t xml:space="preserve">. </t>
    </r>
    <r>
      <rPr>
        <sz val="10"/>
        <rFont val="WenQuanYi Zen Hei"/>
        <family val="2"/>
      </rPr>
      <t xml:space="preserve">카드</t>
    </r>
    <r>
      <rPr>
        <sz val="10"/>
        <rFont val="Arial"/>
        <family val="0"/>
        <charset val="1"/>
      </rPr>
      <t xml:space="preserve">: legge 223/1991, </t>
    </r>
    <r>
      <rPr>
        <sz val="10"/>
        <rFont val="WenQuanYi Zen Hei"/>
        <family val="2"/>
      </rPr>
      <t xml:space="preserve">노동자 헌장</t>
    </r>
    <r>
      <rPr>
        <sz val="10"/>
        <rFont val="Arial"/>
        <family val="0"/>
        <charset val="1"/>
      </rPr>
      <t xml:space="preserve">(Statuto dei lavoratori, legge 300/1970).</t>
    </r>
  </si>
  <si>
    <r>
      <rPr>
        <sz val="10"/>
        <rFont val="Arial"/>
        <family val="0"/>
        <charset val="1"/>
      </rPr>
      <t xml:space="preserve">6</t>
    </r>
    <r>
      <rPr>
        <sz val="10"/>
        <rFont val="WenQuanYi Zen Hei"/>
        <family val="2"/>
      </rPr>
      <t xml:space="preserve">부</t>
    </r>
    <r>
      <rPr>
        <sz val="10"/>
        <rFont val="Arial"/>
        <family val="0"/>
        <charset val="1"/>
      </rPr>
      <t xml:space="preserve">: </t>
    </r>
    <r>
      <rPr>
        <sz val="10"/>
        <rFont val="WenQuanYi Zen Hei"/>
        <family val="2"/>
      </rPr>
      <t xml:space="preserve">콰르티촐로 — 네 사람이 같은 총회에</t>
    </r>
    <r>
      <rPr>
        <sz val="10"/>
        <rFont val="Arial"/>
        <family val="0"/>
        <charset val="1"/>
      </rPr>
      <t xml:space="preserve">.</t>
    </r>
  </si>
  <si>
    <r>
      <rPr>
        <b val="true"/>
        <sz val="10"/>
        <color rgb="FFFFFFFF"/>
        <rFont val="Arial"/>
        <family val="0"/>
        <charset val="1"/>
      </rPr>
      <t xml:space="preserve">L'Incontro — </t>
    </r>
    <r>
      <rPr>
        <b val="true"/>
        <sz val="10"/>
        <color rgb="FFFFFFFF"/>
        <rFont val="WenQuanYi Zen Hei"/>
        <family val="2"/>
      </rPr>
      <t xml:space="preserve">운명적 만남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B2   |   </t>
    </r>
    <r>
      <rPr>
        <b val="true"/>
        <sz val="10"/>
        <color rgb="FFFFFFFF"/>
        <rFont val="WenQuanYi Zen Hei"/>
        <family val="2"/>
      </rPr>
      <t xml:space="preserve">약 </t>
    </r>
    <r>
      <rPr>
        <b val="true"/>
        <sz val="10"/>
        <color rgb="FFFFFFFF"/>
        <rFont val="Arial"/>
        <family val="0"/>
        <charset val="1"/>
      </rPr>
      <t xml:space="preserve">1</t>
    </r>
    <r>
      <rPr>
        <b val="true"/>
        <sz val="10"/>
        <color rgb="FFFFFFFF"/>
        <rFont val="WenQuanYi Zen Hei"/>
        <family val="2"/>
      </rPr>
      <t xml:space="preserve">년 전</t>
    </r>
    <r>
      <rPr>
        <b val="true"/>
        <sz val="10"/>
        <color rgb="FFFFFFFF"/>
        <rFont val="Arial"/>
        <family val="0"/>
        <charset val="1"/>
      </rPr>
      <t xml:space="preserve">(1</t>
    </r>
    <r>
      <rPr>
        <b val="true"/>
        <sz val="10"/>
        <color rgb="FFFFFFFF"/>
        <rFont val="WenQuanYi Zen Hei"/>
        <family val="2"/>
      </rPr>
      <t xml:space="preserve">부보다 앞</t>
    </r>
    <r>
      <rPr>
        <b val="true"/>
        <sz val="10"/>
        <color rgb="FFFFFFFF"/>
        <rFont val="Arial"/>
        <family val="0"/>
        <charset val="1"/>
      </rPr>
      <t xml:space="preserve">). Quarticciolo '14</t>
    </r>
    <r>
      <rPr>
        <b val="true"/>
        <sz val="10"/>
        <color rgb="FFFFFFFF"/>
        <rFont val="WenQuanYi Zen Hei"/>
        <family val="2"/>
      </rPr>
      <t xml:space="preserve">번 동</t>
    </r>
    <r>
      <rPr>
        <b val="true"/>
        <sz val="10"/>
        <color rgb="FFFFFFFF"/>
        <rFont val="Arial"/>
        <family val="0"/>
        <charset val="1"/>
      </rPr>
      <t xml:space="preserve">(lotto 14)' → Testaccio </t>
    </r>
    <r>
      <rPr>
        <b val="true"/>
        <sz val="10"/>
        <color rgb="FFFFFFFF"/>
        <rFont val="WenQuanYi Zen Hei"/>
        <family val="2"/>
      </rPr>
      <t xml:space="preserve">사무소 개소</t>
    </r>
    <r>
      <rPr>
        <b val="true"/>
        <sz val="10"/>
        <color rgb="FFFFFFFF"/>
        <rFont val="Arial"/>
        <family val="0"/>
        <charset val="1"/>
      </rPr>
      <t xml:space="preserve">.</t>
    </r>
  </si>
  <si>
    <t xml:space="preserve">퍼즐 완성. 네 개의 과거가 하나의 이름(Gruppo Meridiano)으로 수렴하고 팀이 결성된다. 1부의 '왜?'에 대한 대답이자 시간의 고리를 닫는 아크.</t>
  </si>
  <si>
    <t xml:space="preserve">각자 무너진 네 사람이 같은 건물을 지키려고 모였다가 자기들이 서로 다른 얼굴의 같은 회사를 도왔음을 알게 되고, 서로를 비난한 끝에 처음으로 함께 이긴다.</t>
  </si>
  <si>
    <t xml:space="preserve">혼자 무너진 네 사람 → 서로의 죄를 아는 팀.</t>
  </si>
  <si>
    <t xml:space="preserve">서로에 대한 책임(공모) vs 함께 속죄</t>
  </si>
  <si>
    <t xml:space="preserve">발단(1~3화): 콰르티촐로의 화요일, 낯선 넷, 14번 동.</t>
  </si>
  <si>
    <t xml:space="preserve">전개(4~5화): 계단의 밤(첫 속내), Alessandro의 서류.</t>
  </si>
  <si>
    <t xml:space="preserve">미드포인트(6화): '같은 이름' — 네 개의 과거가 Meridiano 하나로 이어진다.</t>
  </si>
  <si>
    <t xml:space="preserve">위기(7~9화): 서로에 대한 비난, 퇴거 아침 영시의 협업, 첫 정지 승리.</t>
  </si>
  <si>
    <t xml:space="preserve">절정(10~11화): 테스타초의 가게, 식탁의 규칙(금요일 이야기 전통).</t>
  </si>
  <si>
    <t xml:space="preserve">결말·훅(12화): 간판이 걸리고 «Domani, alle cinque.» → 1부 1화로.</t>
  </si>
  <si>
    <t xml:space="preserve">합류 순서: Sofia·Marina(1) → Paolo·Garibaldi(3) → Rosa·Cesare(4) → Machiavelli(5) → Gramsci·Galileo(8) → Dante·Montessori(9) → Francesco(10). Sofia는 이 건물의 세입자로 인턴이 된다. 부활자들이 '어디서 왔는지'는 끝내 설명하지 않는다.</t>
  </si>
  <si>
    <t xml:space="preserve">첫 회의 대사(→1부 1화) / 금요일 이야기 규칙(→2~5부 프레임) / Santoro의 이름(→7부, 9부)</t>
  </si>
  <si>
    <t xml:space="preserve">E1● S2● S1○</t>
  </si>
  <si>
    <t xml:space="preserve">퇴거 집행과 집행 정지, 공공주택 매각분(dismissioni)의 민간 소유, 소유 구조(부동산 투자펀드·SIIQ), 소규모 임대인과 협약 임대료(canone concordato)</t>
  </si>
  <si>
    <r>
      <rPr>
        <sz val="10"/>
        <rFont val="Arial"/>
        <family val="0"/>
        <charset val="1"/>
      </rPr>
      <t xml:space="preserve">B2. </t>
    </r>
    <r>
      <rPr>
        <sz val="10"/>
        <rFont val="WenQuanYi Zen Hei"/>
        <family val="2"/>
      </rPr>
      <t xml:space="preserve">감정 폭발</t>
    </r>
    <r>
      <rPr>
        <sz val="10"/>
        <rFont val="Arial"/>
        <family val="0"/>
        <charset val="1"/>
      </rPr>
      <t xml:space="preserve">·</t>
    </r>
    <r>
      <rPr>
        <sz val="10"/>
        <rFont val="WenQuanYi Zen Hei"/>
        <family val="2"/>
      </rPr>
      <t xml:space="preserve">설득 구어체</t>
    </r>
    <r>
      <rPr>
        <sz val="10"/>
        <rFont val="Arial"/>
        <family val="0"/>
        <charset val="1"/>
      </rPr>
      <t xml:space="preserve">, </t>
    </r>
    <r>
      <rPr>
        <sz val="10"/>
        <rFont val="WenQuanYi Zen Hei"/>
        <family val="2"/>
      </rPr>
      <t xml:space="preserve">다툼과 화해</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소리 높임과 회복의 대비</t>
    </r>
    <r>
      <rPr>
        <sz val="10"/>
        <rFont val="Arial"/>
        <family val="0"/>
        <charset val="1"/>
      </rPr>
      <t xml:space="preserve">. Lei → tu </t>
    </r>
    <r>
      <rPr>
        <sz val="10"/>
        <rFont val="WenQuanYi Zen Hei"/>
        <family val="2"/>
      </rPr>
      <t xml:space="preserve">전환의 시작</t>
    </r>
    <r>
      <rPr>
        <sz val="10"/>
        <rFont val="Arial"/>
        <family val="0"/>
        <charset val="1"/>
      </rPr>
      <t xml:space="preserve">.</t>
    </r>
  </si>
  <si>
    <r>
      <rPr>
        <sz val="10"/>
        <rFont val="Arial"/>
        <family val="0"/>
        <charset val="1"/>
      </rPr>
      <t xml:space="preserve">Sofia: «Cos'è un fondo avvoltoio?» </t>
    </r>
    <r>
      <rPr>
        <sz val="10"/>
        <rFont val="WenQuanYi Zen Hei"/>
        <family val="2"/>
      </rPr>
      <t xml:space="preserve">등 소유 구조 용어</t>
    </r>
    <r>
      <rPr>
        <sz val="10"/>
        <rFont val="Arial"/>
        <family val="0"/>
        <charset val="1"/>
      </rPr>
      <t xml:space="preserve">. </t>
    </r>
    <r>
      <rPr>
        <sz val="10"/>
        <rFont val="WenQuanYi Zen Hei"/>
        <family val="2"/>
      </rPr>
      <t xml:space="preserve">카드</t>
    </r>
    <r>
      <rPr>
        <sz val="10"/>
        <rFont val="Arial"/>
        <family val="0"/>
        <charset val="1"/>
      </rPr>
      <t xml:space="preserve">: </t>
    </r>
    <r>
      <rPr>
        <sz val="10"/>
        <rFont val="WenQuanYi Zen Hei"/>
        <family val="2"/>
      </rPr>
      <t xml:space="preserve">기업 등록부</t>
    </r>
    <r>
      <rPr>
        <sz val="10"/>
        <rFont val="Arial"/>
        <family val="0"/>
        <charset val="1"/>
      </rPr>
      <t xml:space="preserve">(Registro delle imprese), </t>
    </r>
    <r>
      <rPr>
        <sz val="10"/>
        <rFont val="WenQuanYi Zen Hei"/>
        <family val="2"/>
      </rPr>
      <t xml:space="preserve">퇴거 집행 연기 규정</t>
    </r>
    <r>
      <rPr>
        <sz val="10"/>
        <rFont val="Arial"/>
        <family val="0"/>
        <charset val="1"/>
      </rPr>
      <t xml:space="preserve">.</t>
    </r>
  </si>
  <si>
    <r>
      <rPr>
        <sz val="10"/>
        <rFont val="Arial"/>
        <family val="0"/>
        <charset val="1"/>
      </rPr>
      <t xml:space="preserve">1</t>
    </r>
    <r>
      <rPr>
        <sz val="10"/>
        <rFont val="WenQuanYi Zen Hei"/>
        <family val="2"/>
      </rPr>
      <t xml:space="preserve">부 </t>
    </r>
    <r>
      <rPr>
        <sz val="10"/>
        <rFont val="Arial"/>
        <family val="0"/>
        <charset val="1"/>
      </rPr>
      <t xml:space="preserve">1</t>
    </r>
    <r>
      <rPr>
        <sz val="10"/>
        <rFont val="WenQuanYi Zen Hei"/>
        <family val="2"/>
      </rPr>
      <t xml:space="preserve">화 — 원이 닫힌다</t>
    </r>
    <r>
      <rPr>
        <sz val="10"/>
        <rFont val="Arial"/>
        <family val="0"/>
        <charset val="1"/>
      </rPr>
      <t xml:space="preserve">. </t>
    </r>
    <r>
      <rPr>
        <sz val="10"/>
        <rFont val="WenQuanYi Zen Hei"/>
        <family val="2"/>
      </rPr>
      <t xml:space="preserve">그리고 </t>
    </r>
    <r>
      <rPr>
        <sz val="10"/>
        <rFont val="Arial"/>
        <family val="0"/>
        <charset val="1"/>
      </rPr>
      <t xml:space="preserve">7</t>
    </r>
    <r>
      <rPr>
        <sz val="10"/>
        <rFont val="WenQuanYi Zen Hei"/>
        <family val="2"/>
      </rPr>
      <t xml:space="preserve">부로</t>
    </r>
    <r>
      <rPr>
        <sz val="10"/>
        <rFont val="Arial"/>
        <family val="0"/>
        <charset val="1"/>
      </rPr>
      <t xml:space="preserve">.</t>
    </r>
  </si>
  <si>
    <r>
      <rPr>
        <b val="true"/>
        <sz val="10"/>
        <color rgb="FFFFFFFF"/>
        <rFont val="Arial"/>
        <family val="0"/>
        <charset val="1"/>
      </rPr>
      <t xml:space="preserve">La Rete della Resistenza — </t>
    </r>
    <r>
      <rPr>
        <b val="true"/>
        <sz val="10"/>
        <color rgb="FFFFFFFF"/>
        <rFont val="WenQuanYi Zen Hei"/>
        <family val="2"/>
      </rPr>
      <t xml:space="preserve">전면전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B2~C1   |   </t>
    </r>
    <r>
      <rPr>
        <b val="true"/>
        <sz val="10"/>
        <color rgb="FFFFFFFF"/>
        <rFont val="WenQuanYi Zen Hei"/>
        <family val="2"/>
      </rPr>
      <t xml:space="preserve">사무소 개소 </t>
    </r>
    <r>
      <rPr>
        <b val="true"/>
        <sz val="10"/>
        <color rgb="FFFFFFFF"/>
        <rFont val="Arial"/>
        <family val="0"/>
        <charset val="1"/>
      </rPr>
      <t xml:space="preserve">1</t>
    </r>
    <r>
      <rPr>
        <b val="true"/>
        <sz val="10"/>
        <color rgb="FFFFFFFF"/>
        <rFont val="WenQuanYi Zen Hei"/>
        <family val="2"/>
      </rPr>
      <t xml:space="preserve">년 후</t>
    </r>
    <r>
      <rPr>
        <b val="true"/>
        <sz val="10"/>
        <color rgb="FFFFFFFF"/>
        <rFont val="Arial"/>
        <family val="0"/>
        <charset val="1"/>
      </rPr>
      <t xml:space="preserve">. </t>
    </r>
    <r>
      <rPr>
        <b val="true"/>
        <sz val="10"/>
        <color rgb="FFFFFFFF"/>
        <rFont val="WenQuanYi Zen Hei"/>
        <family val="2"/>
      </rPr>
      <t xml:space="preserve">법원</t>
    </r>
    <r>
      <rPr>
        <b val="true"/>
        <sz val="10"/>
        <color rgb="FFFFFFFF"/>
        <rFont val="Arial"/>
        <family val="0"/>
        <charset val="1"/>
      </rPr>
      <t xml:space="preserve">(Piazzale Clodio), Campidoglio </t>
    </r>
    <r>
      <rPr>
        <b val="true"/>
        <sz val="10"/>
        <color rgb="FFFFFFFF"/>
        <rFont val="WenQuanYi Zen Hei"/>
        <family val="2"/>
      </rPr>
      <t xml:space="preserve">앞</t>
    </r>
    <r>
      <rPr>
        <b val="true"/>
        <sz val="10"/>
        <color rgb="FFFFFFFF"/>
        <rFont val="Arial"/>
        <family val="0"/>
        <charset val="1"/>
      </rPr>
      <t xml:space="preserve">, </t>
    </r>
    <r>
      <rPr>
        <b val="true"/>
        <sz val="10"/>
        <color rgb="FFFFFFFF"/>
        <rFont val="WenQuanYi Zen Hei"/>
        <family val="2"/>
      </rPr>
      <t xml:space="preserve">로마 전역</t>
    </r>
    <r>
      <rPr>
        <b val="true"/>
        <sz val="10"/>
        <color rgb="FFFFFFFF"/>
        <rFont val="Arial"/>
        <family val="0"/>
        <charset val="1"/>
      </rPr>
      <t xml:space="preserve">.</t>
    </r>
  </si>
  <si>
    <t xml:space="preserve">전문 능력이 결합되어 첫 결정적 승리를 얻지만, 판결이 법 앞에서 무력할 수 있음을 배운다. 정치의 필요성을 낳는 아크.</t>
  </si>
  <si>
    <t xml:space="preserve">사무소가 고발·내부고발·보도를 결합해 Gruppo Meridiano를 상대로 전면전을 벌이고 수사를 이끌어 내지만, 그 승리를 뒤집을 법이 준비되고 있음을 알게 된다.</t>
  </si>
  <si>
    <t xml:space="preserve">사건을 푸는 사무소 → 법을 바꿔야 한다는 결론.</t>
  </si>
  <si>
    <t xml:space="preserve">합법 vs 효율(도청기) / 승리의 지속 가능성</t>
  </si>
  <si>
    <t xml:space="preserve">발단(1~3화): 1년 후, 계단 위의 줄, 피해자를 벌한 시간(N4).</t>
  </si>
  <si>
    <t xml:space="preserve">전개(4~5화): 서류 없는 사람들(S2), Francesco의 제보.</t>
  </si>
  <si>
    <t xml:space="preserve">미드포인트(6화): 사건 파일 — 검찰 고발장(esposto) 제출.</t>
  </si>
  <si>
    <t xml:space="preserve">위기(7~9화): 보복, 전등 속 마이크(사용할 수 없는 증거 논쟁), 동네의 보초.</t>
  </si>
  <si>
    <t xml:space="preserve">절정(10~11화): GIP 결정과 피의자 통지 / 다가오는 법(공직자 범죄 축소·도청 제한 법안).</t>
  </si>
  <si>
    <t xml:space="preserve">결말·훅(12화): 산 조반니의 의자 — «Dobbiamo cambiare la legge.»</t>
  </si>
  <si>
    <r>
      <rPr>
        <sz val="10"/>
        <rFont val="Arial"/>
        <family val="0"/>
        <charset val="1"/>
      </rPr>
      <t xml:space="preserve">La Vecchia Guardia(Cesare·Garibaldi·Gramsci·Machiavelli) </t>
    </r>
    <r>
      <rPr>
        <sz val="10"/>
        <rFont val="WenQuanYi Zen Hei"/>
        <family val="2"/>
      </rPr>
      <t xml:space="preserve">전원 본격 합류</t>
    </r>
    <r>
      <rPr>
        <sz val="10"/>
        <rFont val="Arial"/>
        <family val="0"/>
        <charset val="1"/>
      </rPr>
      <t xml:space="preserve">. </t>
    </r>
    <r>
      <rPr>
        <sz val="10"/>
        <rFont val="WenQuanYi Zen Hei"/>
        <family val="2"/>
      </rPr>
      <t xml:space="preserve">가상 인물</t>
    </r>
    <r>
      <rPr>
        <sz val="10"/>
        <rFont val="Arial"/>
        <family val="0"/>
        <charset val="1"/>
      </rPr>
      <t xml:space="preserve">: Santoro(</t>
    </r>
    <r>
      <rPr>
        <sz val="10"/>
        <rFont val="WenQuanYi Zen Hei"/>
        <family val="2"/>
      </rPr>
      <t xml:space="preserve">회장</t>
    </r>
    <r>
      <rPr>
        <sz val="10"/>
        <rFont val="Arial"/>
        <family val="0"/>
        <charset val="1"/>
      </rPr>
      <t xml:space="preserve">), GM </t>
    </r>
    <r>
      <rPr>
        <sz val="10"/>
        <rFont val="WenQuanYi Zen Hei"/>
        <family val="2"/>
      </rPr>
      <t xml:space="preserve">임원 </t>
    </r>
    <r>
      <rPr>
        <sz val="10"/>
        <rFont val="Arial"/>
        <family val="0"/>
        <charset val="1"/>
      </rPr>
      <t xml:space="preserve">3</t>
    </r>
    <r>
      <rPr>
        <sz val="10"/>
        <rFont val="WenQuanYi Zen Hei"/>
        <family val="2"/>
      </rPr>
      <t xml:space="preserve">인</t>
    </r>
    <r>
      <rPr>
        <sz val="10"/>
        <rFont val="Arial"/>
        <family val="0"/>
        <charset val="1"/>
      </rPr>
      <t xml:space="preserve">, </t>
    </r>
    <r>
      <rPr>
        <sz val="10"/>
        <rFont val="WenQuanYi Zen Hei"/>
        <family val="2"/>
      </rPr>
      <t xml:space="preserve">예비수사판사</t>
    </r>
    <r>
      <rPr>
        <sz val="10"/>
        <rFont val="Arial"/>
        <family val="0"/>
        <charset val="1"/>
      </rPr>
      <t xml:space="preserve">. Gramsci</t>
    </r>
    <r>
      <rPr>
        <sz val="10"/>
        <rFont val="WenQuanYi Zen Hei"/>
        <family val="2"/>
      </rPr>
      <t xml:space="preserve">와 </t>
    </r>
    <r>
      <rPr>
        <sz val="10"/>
        <rFont val="Arial"/>
        <family val="0"/>
        <charset val="1"/>
      </rPr>
      <t xml:space="preserve">Marco</t>
    </r>
    <r>
      <rPr>
        <sz val="10"/>
        <rFont val="WenQuanYi Zen Hei"/>
        <family val="2"/>
      </rPr>
      <t xml:space="preserve">의 합법성 갈등이 핵심</t>
    </r>
    <r>
      <rPr>
        <sz val="10"/>
        <rFont val="Arial"/>
        <family val="0"/>
        <charset val="1"/>
      </rPr>
      <t xml:space="preserve">.</t>
    </r>
  </si>
  <si>
    <r>
      <rPr>
        <sz val="10"/>
        <rFont val="Arial"/>
        <family val="0"/>
        <charset val="1"/>
      </rPr>
      <t xml:space="preserve">USB·Francesco </t>
    </r>
    <r>
      <rPr>
        <sz val="10"/>
        <rFont val="WenQuanYi Zen Hei"/>
        <family val="2"/>
      </rPr>
      <t xml:space="preserve">자료</t>
    </r>
    <r>
      <rPr>
        <sz val="10"/>
        <rFont val="Arial"/>
        <family val="0"/>
        <charset val="1"/>
      </rPr>
      <t xml:space="preserve">(→9</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 / </t>
    </r>
    <r>
      <rPr>
        <sz val="10"/>
        <rFont val="WenQuanYi Zen Hei"/>
        <family val="2"/>
      </rPr>
      <t xml:space="preserve">도청기 논쟁</t>
    </r>
    <r>
      <rPr>
        <sz val="10"/>
        <rFont val="Arial"/>
        <family val="0"/>
        <charset val="1"/>
      </rPr>
      <t xml:space="preserve">(→11</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 12</t>
    </r>
    <r>
      <rPr>
        <sz val="10"/>
        <rFont val="WenQuanYi Zen Hei"/>
        <family val="2"/>
      </rPr>
      <t xml:space="preserve">부 </t>
    </r>
    <r>
      <rPr>
        <sz val="10"/>
        <rFont val="Arial"/>
        <family val="0"/>
        <charset val="1"/>
      </rPr>
      <t xml:space="preserve">5</t>
    </r>
    <r>
      <rPr>
        <sz val="10"/>
        <rFont val="WenQuanYi Zen Hei"/>
        <family val="2"/>
      </rPr>
      <t xml:space="preserve">화</t>
    </r>
    <r>
      <rPr>
        <sz val="10"/>
        <rFont val="Arial"/>
        <family val="0"/>
        <charset val="1"/>
      </rPr>
      <t xml:space="preserve">) / </t>
    </r>
    <r>
      <rPr>
        <sz val="10"/>
        <rFont val="WenQuanYi Zen Hei"/>
        <family val="2"/>
      </rPr>
      <t xml:space="preserve">공직자 범죄 축소 법안</t>
    </r>
    <r>
      <rPr>
        <sz val="10"/>
        <rFont val="Arial"/>
        <family val="0"/>
        <charset val="1"/>
      </rPr>
      <t xml:space="preserve">(→8</t>
    </r>
    <r>
      <rPr>
        <sz val="10"/>
        <rFont val="WenQuanYi Zen Hei"/>
        <family val="2"/>
      </rPr>
      <t xml:space="preserve">부 동기</t>
    </r>
    <r>
      <rPr>
        <sz val="10"/>
        <rFont val="Arial"/>
        <family val="0"/>
        <charset val="1"/>
      </rPr>
      <t xml:space="preserve">·</t>
    </r>
    <r>
      <rPr>
        <sz val="10"/>
        <rFont val="WenQuanYi Zen Hei"/>
        <family val="2"/>
      </rPr>
      <t xml:space="preserve">국민투표</t>
    </r>
    <r>
      <rPr>
        <sz val="10"/>
        <rFont val="Arial"/>
        <family val="0"/>
        <charset val="1"/>
      </rPr>
      <t xml:space="preserve">)</t>
    </r>
  </si>
  <si>
    <t xml:space="preserve">N4● S2● P3●</t>
  </si>
  <si>
    <t xml:space="preserve">검찰 고발(esposto-denuncia), 민사 당사자 참여(parte civile), 로마 검찰·예비수사판사(GIP), 부패방지청(ANAC), 내부고발자 보호(d.lgs. 24/2023), 사용할 수 없는 증거(형사소송법 제191조), 명예훼손(형법 제595조), 범죄 폐지의 소급(형법 제2조 2항)</t>
  </si>
  <si>
    <r>
      <rPr>
        <sz val="10"/>
        <rFont val="Arial"/>
        <family val="0"/>
        <charset val="1"/>
      </rPr>
      <t xml:space="preserve">B2~C1. </t>
    </r>
    <r>
      <rPr>
        <sz val="10"/>
        <rFont val="WenQuanYi Zen Hei"/>
        <family val="2"/>
      </rPr>
      <t xml:space="preserve">고발장</t>
    </r>
    <r>
      <rPr>
        <sz val="10"/>
        <rFont val="Arial"/>
        <family val="0"/>
        <charset val="1"/>
      </rPr>
      <t xml:space="preserve">·</t>
    </r>
    <r>
      <rPr>
        <sz val="10"/>
        <rFont val="WenQuanYi Zen Hei"/>
        <family val="2"/>
      </rPr>
      <t xml:space="preserve">성명서</t>
    </r>
    <r>
      <rPr>
        <sz val="10"/>
        <rFont val="Arial"/>
        <family val="0"/>
        <charset val="1"/>
      </rPr>
      <t xml:space="preserve">·</t>
    </r>
    <r>
      <rPr>
        <sz val="10"/>
        <rFont val="WenQuanYi Zen Hei"/>
        <family val="2"/>
      </rPr>
      <t xml:space="preserve">인터뷰 어휘</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긴박한 대화와 기자회견 톤</t>
    </r>
    <r>
      <rPr>
        <sz val="10"/>
        <rFont val="Arial"/>
        <family val="0"/>
        <charset val="1"/>
      </rPr>
      <t xml:space="preserve">.</t>
    </r>
  </si>
  <si>
    <r>
      <rPr>
        <sz val="10"/>
        <rFont val="Arial"/>
        <family val="0"/>
        <charset val="1"/>
      </rPr>
      <t xml:space="preserve">Sofia: denuncia·querela·avviso di garanzia </t>
    </r>
    <r>
      <rPr>
        <sz val="10"/>
        <rFont val="WenQuanYi Zen Hei"/>
        <family val="2"/>
      </rPr>
      <t xml:space="preserve">등</t>
    </r>
    <r>
      <rPr>
        <sz val="10"/>
        <rFont val="Arial"/>
        <family val="0"/>
        <charset val="1"/>
      </rPr>
      <t xml:space="preserve">. </t>
    </r>
    <r>
      <rPr>
        <sz val="10"/>
        <rFont val="WenQuanYi Zen Hei"/>
        <family val="2"/>
      </rPr>
      <t xml:space="preserve">카드</t>
    </r>
    <r>
      <rPr>
        <sz val="10"/>
        <rFont val="Arial"/>
        <family val="0"/>
        <charset val="1"/>
      </rPr>
      <t xml:space="preserve">: d.lgs. 24/2023, </t>
    </r>
    <r>
      <rPr>
        <sz val="10"/>
        <rFont val="WenQuanYi Zen Hei"/>
        <family val="2"/>
      </rPr>
      <t xml:space="preserve">형사소송법 제</t>
    </r>
    <r>
      <rPr>
        <sz val="10"/>
        <rFont val="Arial"/>
        <family val="0"/>
        <charset val="1"/>
      </rPr>
      <t xml:space="preserve">191</t>
    </r>
    <r>
      <rPr>
        <sz val="10"/>
        <rFont val="WenQuanYi Zen Hei"/>
        <family val="2"/>
      </rPr>
      <t xml:space="preserve">조</t>
    </r>
    <r>
      <rPr>
        <sz val="10"/>
        <rFont val="Arial"/>
        <family val="0"/>
        <charset val="1"/>
      </rPr>
      <t xml:space="preserve">, </t>
    </r>
    <r>
      <rPr>
        <sz val="10"/>
        <rFont val="WenQuanYi Zen Hei"/>
        <family val="2"/>
      </rPr>
      <t xml:space="preserve">형법 제</t>
    </r>
    <r>
      <rPr>
        <sz val="10"/>
        <rFont val="Arial"/>
        <family val="0"/>
        <charset val="1"/>
      </rPr>
      <t xml:space="preserve">2</t>
    </r>
    <r>
      <rPr>
        <sz val="10"/>
        <rFont val="WenQuanYi Zen Hei"/>
        <family val="2"/>
      </rPr>
      <t xml:space="preserve">조</t>
    </r>
    <r>
      <rPr>
        <sz val="10"/>
        <rFont val="Arial"/>
        <family val="0"/>
        <charset val="1"/>
      </rPr>
      <t xml:space="preserve">.</t>
    </r>
  </si>
  <si>
    <r>
      <rPr>
        <sz val="10"/>
        <rFont val="Arial"/>
        <family val="0"/>
        <charset val="1"/>
      </rPr>
      <t xml:space="preserve">8</t>
    </r>
    <r>
      <rPr>
        <sz val="10"/>
        <rFont val="WenQuanYi Zen Hei"/>
        <family val="2"/>
      </rPr>
      <t xml:space="preserve">부</t>
    </r>
    <r>
      <rPr>
        <sz val="10"/>
        <rFont val="Arial"/>
        <family val="0"/>
        <charset val="1"/>
      </rPr>
      <t xml:space="preserve">: Piazza San Giovanni — </t>
    </r>
    <r>
      <rPr>
        <sz val="10"/>
        <rFont val="WenQuanYi Zen Hei"/>
        <family val="2"/>
      </rPr>
      <t xml:space="preserve">광장으로</t>
    </r>
    <r>
      <rPr>
        <sz val="10"/>
        <rFont val="Arial"/>
        <family val="0"/>
        <charset val="1"/>
      </rPr>
      <t xml:space="preserve">.</t>
    </r>
  </si>
  <si>
    <r>
      <rPr>
        <b val="true"/>
        <sz val="10"/>
        <color rgb="FFFFFFFF"/>
        <rFont val="Arial"/>
        <family val="0"/>
        <charset val="1"/>
      </rPr>
      <t xml:space="preserve">Il Risveglio Civico — </t>
    </r>
    <r>
      <rPr>
        <b val="true"/>
        <sz val="10"/>
        <color rgb="FFFFFFFF"/>
        <rFont val="WenQuanYi Zen Hei"/>
        <family val="2"/>
      </rPr>
      <t xml:space="preserve">정치적 각성과 창당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B2~C1   |   </t>
    </r>
    <r>
      <rPr>
        <b val="true"/>
        <sz val="10"/>
        <color rgb="FFFFFFFF"/>
        <rFont val="WenQuanYi Zen Hei"/>
        <family val="2"/>
      </rPr>
      <t xml:space="preserve">사무소 개소 약 </t>
    </r>
    <r>
      <rPr>
        <b val="true"/>
        <sz val="10"/>
        <color rgb="FFFFFFFF"/>
        <rFont val="Arial"/>
        <family val="0"/>
        <charset val="1"/>
      </rPr>
      <t xml:space="preserve">2</t>
    </r>
    <r>
      <rPr>
        <b val="true"/>
        <sz val="10"/>
        <color rgb="FFFFFFFF"/>
        <rFont val="WenQuanYi Zen Hei"/>
        <family val="2"/>
      </rPr>
      <t xml:space="preserve">년 후</t>
    </r>
    <r>
      <rPr>
        <b val="true"/>
        <sz val="10"/>
        <color rgb="FFFFFFFF"/>
        <rFont val="Arial"/>
        <family val="0"/>
        <charset val="1"/>
      </rPr>
      <t xml:space="preserve">. Piazza San Giovanni → </t>
    </r>
    <r>
      <rPr>
        <b val="true"/>
        <sz val="10"/>
        <color rgb="FFFFFFFF"/>
        <rFont val="WenQuanYi Zen Hei"/>
        <family val="2"/>
      </rPr>
      <t xml:space="preserve">골목길 캠페인 → 로마 시의회</t>
    </r>
    <r>
      <rPr>
        <b val="true"/>
        <sz val="10"/>
        <color rgb="FFFFFFFF"/>
        <rFont val="Arial"/>
        <family val="0"/>
        <charset val="1"/>
      </rPr>
      <t xml:space="preserve">·</t>
    </r>
    <r>
      <rPr>
        <b val="true"/>
        <sz val="10"/>
        <color rgb="FFFFFFFF"/>
        <rFont val="WenQuanYi Zen Hei"/>
        <family val="2"/>
      </rPr>
      <t xml:space="preserve">라치오 주의회 선거</t>
    </r>
    <r>
      <rPr>
        <b val="true"/>
        <sz val="10"/>
        <color rgb="FFFFFFFF"/>
        <rFont val="Arial"/>
        <family val="0"/>
        <charset val="1"/>
      </rPr>
      <t xml:space="preserve">.</t>
    </r>
  </si>
  <si>
    <t xml:space="preserve">장르 전환점. 사건을 푸는 사무소에서 법을 바꾸는 정당으로. 집회 신고·폐지 국민투표·정당 설립·선거 절차를 낭독 어휘로 소개한다.</t>
  </si>
  <si>
    <t xml:space="preserve">법정에서 이겨도 법이 그대로면 소용없다는 걸 안 사무소가 광장으로 나가 폐지 국민투표에 도전하지만 정족수에 막히고, 스스로 정당 «Casa Comune»를 만든다.</t>
  </si>
  <si>
    <t xml:space="preserve">사건 해결자 → 후보. 사무소가 정당이 된다.</t>
  </si>
  <si>
    <t xml:space="preserve">원칙(Paolo) vs 현실(Chiara·Machiavelli) / 순수함 vs 이기는 것</t>
  </si>
  <si>
    <t xml:space="preserve">발단(1~3화): 산 조반니 집회, 사건에서 법으로, 50만 서명.</t>
  </si>
  <si>
    <t xml:space="preserve">전환점(4화): 국민투표 정족수 미달로 무효.</t>
  </si>
  <si>
    <t xml:space="preserve">미드포인트(5화): 정당의 탄생 — 설립 문서 서명, 이름 «Casa Comune».</t>
  </si>
  <si>
    <t xml:space="preserve">위기(6~9화): 정관(내부 민주주의), 깨끗한 돈, 후보 명부, 골목길 캠페인.</t>
  </si>
  <si>
    <t xml:space="preserve">절정(10~11화): 언론의 공격과 정정 청구, 선거 침묵.</t>
  </si>
  <si>
    <t xml:space="preserve">결말·훅(12화): 개표의 밤 — 시의회 48석 중 5석·주의회 진출(가상). 시장 후보 Alessandro는 3위.</t>
  </si>
  <si>
    <r>
      <rPr>
        <sz val="10"/>
        <rFont val="Arial"/>
        <family val="0"/>
        <charset val="1"/>
      </rPr>
      <t xml:space="preserve">Dante: </t>
    </r>
    <r>
      <rPr>
        <sz val="10"/>
        <rFont val="WenQuanYi Zen Hei"/>
        <family val="2"/>
      </rPr>
      <t xml:space="preserve">첫 문장 → 정당 이름</t>
    </r>
    <r>
      <rPr>
        <sz val="10"/>
        <rFont val="Arial"/>
        <family val="0"/>
        <charset val="1"/>
      </rPr>
      <t xml:space="preserve">·</t>
    </r>
    <r>
      <rPr>
        <sz val="10"/>
        <rFont val="WenQuanYi Zen Hei"/>
        <family val="2"/>
      </rPr>
      <t xml:space="preserve">연설문</t>
    </r>
    <r>
      <rPr>
        <sz val="10"/>
        <rFont val="Arial"/>
        <family val="0"/>
        <charset val="1"/>
      </rPr>
      <t xml:space="preserve">. Paolo vs Chiara</t>
    </r>
    <r>
      <rPr>
        <sz val="10"/>
        <rFont val="WenQuanYi Zen Hei"/>
        <family val="2"/>
      </rPr>
      <t xml:space="preserve">의 원칙 논쟁</t>
    </r>
    <r>
      <rPr>
        <sz val="10"/>
        <rFont val="Arial"/>
        <family val="0"/>
        <charset val="1"/>
      </rPr>
      <t xml:space="preserve">, </t>
    </r>
    <r>
      <rPr>
        <sz val="10"/>
        <rFont val="WenQuanYi Zen Hei"/>
        <family val="2"/>
      </rPr>
      <t xml:space="preserve">그 사이에서 표를 세는 </t>
    </r>
    <r>
      <rPr>
        <sz val="10"/>
        <rFont val="Arial"/>
        <family val="0"/>
        <charset val="1"/>
      </rPr>
      <t xml:space="preserve">Machiavelli. Alessandro=</t>
    </r>
    <r>
      <rPr>
        <sz val="10"/>
        <rFont val="WenQuanYi Zen Hei"/>
        <family val="2"/>
      </rPr>
      <t xml:space="preserve">로마 시장 후보</t>
    </r>
    <r>
      <rPr>
        <sz val="10"/>
        <rFont val="Arial"/>
        <family val="0"/>
        <charset val="1"/>
      </rPr>
      <t xml:space="preserve">, Giulia=</t>
    </r>
    <r>
      <rPr>
        <sz val="10"/>
        <rFont val="WenQuanYi Zen Hei"/>
        <family val="2"/>
      </rPr>
      <t xml:space="preserve">라치오 주의회 후보</t>
    </r>
    <r>
      <rPr>
        <sz val="10"/>
        <rFont val="Arial"/>
        <family val="0"/>
        <charset val="1"/>
      </rPr>
      <t xml:space="preserve">. Sofia: </t>
    </r>
    <r>
      <rPr>
        <sz val="10"/>
        <rFont val="WenQuanYi Zen Hei"/>
        <family val="2"/>
      </rPr>
      <t xml:space="preserve">첫 명부 실무</t>
    </r>
    <r>
      <rPr>
        <sz val="10"/>
        <rFont val="Arial"/>
        <family val="0"/>
        <charset val="1"/>
      </rPr>
      <t xml:space="preserve">.</t>
    </r>
  </si>
  <si>
    <r>
      <rPr>
        <sz val="10"/>
        <rFont val="Arial"/>
        <family val="0"/>
        <charset val="1"/>
      </rPr>
      <t xml:space="preserve">Paolo–Chiara </t>
    </r>
    <r>
      <rPr>
        <sz val="10"/>
        <rFont val="WenQuanYi Zen Hei"/>
        <family val="2"/>
      </rPr>
      <t xml:space="preserve">화해</t>
    </r>
    <r>
      <rPr>
        <sz val="10"/>
        <rFont val="Arial"/>
        <family val="0"/>
        <charset val="1"/>
      </rPr>
      <t xml:space="preserve">(→10</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 / </t>
    </r>
    <r>
      <rPr>
        <sz val="10"/>
        <rFont val="WenQuanYi Zen Hei"/>
        <family val="2"/>
      </rPr>
      <t xml:space="preserve">정당 이름의 유래</t>
    </r>
    <r>
      <rPr>
        <sz val="10"/>
        <rFont val="Arial"/>
        <family val="0"/>
        <charset val="1"/>
      </rPr>
      <t xml:space="preserve">(Rosa</t>
    </r>
    <r>
      <rPr>
        <sz val="10"/>
        <rFont val="WenQuanYi Zen Hei"/>
        <family val="2"/>
      </rPr>
      <t xml:space="preserve">의 식탁</t>
    </r>
    <r>
      <rPr>
        <sz val="10"/>
        <rFont val="Arial"/>
        <family val="0"/>
        <charset val="1"/>
      </rPr>
      <t xml:space="preserve">)(→13</t>
    </r>
    <r>
      <rPr>
        <sz val="10"/>
        <rFont val="WenQuanYi Zen Hei"/>
        <family val="2"/>
      </rPr>
      <t xml:space="preserve">부 마지막</t>
    </r>
    <r>
      <rPr>
        <sz val="10"/>
        <rFont val="Arial"/>
        <family val="0"/>
        <charset val="1"/>
      </rPr>
      <t xml:space="preserve">) / </t>
    </r>
    <r>
      <rPr>
        <sz val="10"/>
        <rFont val="WenQuanYi Zen Hei"/>
        <family val="2"/>
      </rPr>
      <t xml:space="preserve">정정권</t>
    </r>
    <r>
      <rPr>
        <sz val="10"/>
        <rFont val="Arial"/>
        <family val="0"/>
        <charset val="1"/>
      </rPr>
      <t xml:space="preserve">·</t>
    </r>
    <r>
      <rPr>
        <sz val="10"/>
        <rFont val="WenQuanYi Zen Hei"/>
        <family val="2"/>
      </rPr>
      <t xml:space="preserve">언론 갈등</t>
    </r>
    <r>
      <rPr>
        <sz val="10"/>
        <rFont val="Arial"/>
        <family val="0"/>
        <charset val="1"/>
      </rPr>
      <t xml:space="preserve">(→9</t>
    </r>
    <r>
      <rPr>
        <sz val="10"/>
        <rFont val="WenQuanYi Zen Hei"/>
        <family val="2"/>
      </rPr>
      <t xml:space="preserve">부 </t>
    </r>
    <r>
      <rPr>
        <sz val="10"/>
        <rFont val="Arial"/>
        <family val="0"/>
        <charset val="1"/>
      </rPr>
      <t xml:space="preserve">10</t>
    </r>
    <r>
      <rPr>
        <sz val="10"/>
        <rFont val="WenQuanYi Zen Hei"/>
        <family val="2"/>
      </rPr>
      <t xml:space="preserve">화</t>
    </r>
    <r>
      <rPr>
        <sz val="10"/>
        <rFont val="Arial"/>
        <family val="0"/>
        <charset val="1"/>
      </rPr>
      <t xml:space="preserve">)</t>
    </r>
  </si>
  <si>
    <t xml:space="preserve">P1○ E1○ E2○ S1○ S2○ N4○</t>
  </si>
  <si>
    <t xml:space="preserve">집회 사전 통지(헌법 제17조·TULPS 제18조), 폐지 국민투표(헌법 제75조, legge 352/1970), 정당 설립과 국가 정당 등록부(헌법 제49조, d.l. 149/2013), 정치 후원 공개(legge 3/2019), 지방선거(TUEL), 방송 균등 노출(legge 28/2000), 정정권(legge 47/1948)</t>
  </si>
  <si>
    <r>
      <rPr>
        <sz val="10"/>
        <rFont val="Arial"/>
        <family val="0"/>
        <charset val="1"/>
      </rPr>
      <t xml:space="preserve">B2~C1. </t>
    </r>
    <r>
      <rPr>
        <sz val="10"/>
        <rFont val="WenQuanYi Zen Hei"/>
        <family val="2"/>
      </rPr>
      <t xml:space="preserve">연설</t>
    </r>
    <r>
      <rPr>
        <sz val="10"/>
        <rFont val="Arial"/>
        <family val="0"/>
        <charset val="1"/>
      </rPr>
      <t xml:space="preserve">(discorso)·</t>
    </r>
    <r>
      <rPr>
        <sz val="10"/>
        <rFont val="WenQuanYi Zen Hei"/>
        <family val="2"/>
      </rPr>
      <t xml:space="preserve">구호</t>
    </r>
    <r>
      <rPr>
        <sz val="10"/>
        <rFont val="Arial"/>
        <family val="0"/>
        <charset val="1"/>
      </rPr>
      <t xml:space="preserve">·</t>
    </r>
    <r>
      <rPr>
        <sz val="10"/>
        <rFont val="WenQuanYi Zen Hei"/>
        <family val="2"/>
      </rPr>
      <t xml:space="preserve">선언문</t>
    </r>
    <r>
      <rPr>
        <sz val="10"/>
        <rFont val="Arial"/>
        <family val="0"/>
        <charset val="1"/>
      </rPr>
      <t xml:space="preserve">, </t>
    </r>
    <r>
      <rPr>
        <sz val="10"/>
        <rFont val="WenQuanYi Zen Hei"/>
        <family val="2"/>
      </rPr>
      <t xml:space="preserve">접속법</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광장 연설의 볼륨과 호흡</t>
    </r>
    <r>
      <rPr>
        <sz val="10"/>
        <rFont val="Arial"/>
        <family val="0"/>
        <charset val="1"/>
      </rPr>
      <t xml:space="preserve">.</t>
    </r>
  </si>
  <si>
    <r>
      <rPr>
        <sz val="10"/>
        <rFont val="Arial"/>
        <family val="0"/>
        <charset val="1"/>
      </rPr>
      <t xml:space="preserve">Sofia: firme·quorum·seggio·ballottaggio </t>
    </r>
    <r>
      <rPr>
        <sz val="10"/>
        <rFont val="WenQuanYi Zen Hei"/>
        <family val="2"/>
      </rPr>
      <t xml:space="preserve">등 선거 용어</t>
    </r>
    <r>
      <rPr>
        <sz val="10"/>
        <rFont val="Arial"/>
        <family val="0"/>
        <charset val="1"/>
      </rPr>
      <t xml:space="preserve">. </t>
    </r>
    <r>
      <rPr>
        <sz val="10"/>
        <rFont val="WenQuanYi Zen Hei"/>
        <family val="2"/>
      </rPr>
      <t xml:space="preserve">카드</t>
    </r>
    <r>
      <rPr>
        <sz val="10"/>
        <rFont val="Arial"/>
        <family val="0"/>
        <charset val="1"/>
      </rPr>
      <t xml:space="preserve">: </t>
    </r>
    <r>
      <rPr>
        <sz val="10"/>
        <rFont val="WenQuanYi Zen Hei"/>
        <family val="2"/>
      </rPr>
      <t xml:space="preserve">헌법 제</t>
    </r>
    <r>
      <rPr>
        <sz val="10"/>
        <rFont val="Arial"/>
        <family val="0"/>
        <charset val="1"/>
      </rPr>
      <t xml:space="preserve">75</t>
    </r>
    <r>
      <rPr>
        <sz val="10"/>
        <rFont val="WenQuanYi Zen Hei"/>
        <family val="2"/>
      </rPr>
      <t xml:space="preserve">조</t>
    </r>
    <r>
      <rPr>
        <sz val="10"/>
        <rFont val="Arial"/>
        <family val="0"/>
        <charset val="1"/>
      </rPr>
      <t xml:space="preserve">, d.l. 149/2013, </t>
    </r>
    <r>
      <rPr>
        <sz val="10"/>
        <rFont val="WenQuanYi Zen Hei"/>
        <family val="2"/>
      </rPr>
      <t xml:space="preserve">지방자치 통합법</t>
    </r>
    <r>
      <rPr>
        <sz val="10"/>
        <rFont val="Arial"/>
        <family val="0"/>
        <charset val="1"/>
      </rPr>
      <t xml:space="preserve">(TUEL).</t>
    </r>
  </si>
  <si>
    <r>
      <rPr>
        <sz val="10"/>
        <rFont val="Arial"/>
        <family val="0"/>
        <charset val="1"/>
      </rPr>
      <t xml:space="preserve">9</t>
    </r>
    <r>
      <rPr>
        <sz val="10"/>
        <rFont val="WenQuanYi Zen Hei"/>
        <family val="2"/>
      </rPr>
      <t xml:space="preserve">부</t>
    </r>
    <r>
      <rPr>
        <sz val="10"/>
        <rFont val="Arial"/>
        <family val="0"/>
        <charset val="1"/>
      </rPr>
      <t xml:space="preserve">: </t>
    </r>
    <r>
      <rPr>
        <sz val="10"/>
        <rFont val="WenQuanYi Zen Hei"/>
        <family val="2"/>
      </rPr>
      <t xml:space="preserve">시의회와 주의회 — 소수 야당의 싸움</t>
    </r>
    <r>
      <rPr>
        <sz val="10"/>
        <rFont val="Arial"/>
        <family val="0"/>
        <charset val="1"/>
      </rPr>
      <t xml:space="preserve">.</t>
    </r>
  </si>
  <si>
    <r>
      <rPr>
        <b val="true"/>
        <sz val="10"/>
        <color rgb="FFFFFFFF"/>
        <rFont val="Arial"/>
        <family val="0"/>
        <charset val="1"/>
      </rPr>
      <t xml:space="preserve">In Campidoglio e alla Pisana — </t>
    </r>
    <r>
      <rPr>
        <b val="true"/>
        <sz val="10"/>
        <color rgb="FFFFFFFF"/>
        <rFont val="WenQuanYi Zen Hei"/>
        <family val="2"/>
      </rPr>
      <t xml:space="preserve">시의회와 주의회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C1   |   </t>
    </r>
    <r>
      <rPr>
        <b val="true"/>
        <sz val="10"/>
        <color rgb="FFFFFFFF"/>
        <rFont val="WenQuanYi Zen Hei"/>
        <family val="2"/>
      </rPr>
      <t xml:space="preserve">지방</t>
    </r>
    <r>
      <rPr>
        <b val="true"/>
        <sz val="10"/>
        <color rgb="FFFFFFFF"/>
        <rFont val="Arial"/>
        <family val="0"/>
        <charset val="1"/>
      </rPr>
      <t xml:space="preserve">·</t>
    </r>
    <r>
      <rPr>
        <b val="true"/>
        <sz val="10"/>
        <color rgb="FFFFFFFF"/>
        <rFont val="WenQuanYi Zen Hei"/>
        <family val="2"/>
      </rPr>
      <t xml:space="preserve">주 선거 직후 </t>
    </r>
    <r>
      <rPr>
        <b val="true"/>
        <sz val="10"/>
        <color rgb="FFFFFFFF"/>
        <rFont val="Arial"/>
        <family val="0"/>
        <charset val="1"/>
      </rPr>
      <t xml:space="preserve">~ </t>
    </r>
    <r>
      <rPr>
        <b val="true"/>
        <sz val="10"/>
        <color rgb="FFFFFFFF"/>
        <rFont val="WenQuanYi Zen Hei"/>
        <family val="2"/>
      </rPr>
      <t xml:space="preserve">임기 중반</t>
    </r>
    <r>
      <rPr>
        <b val="true"/>
        <sz val="10"/>
        <color rgb="FFFFFFFF"/>
        <rFont val="Arial"/>
        <family val="0"/>
        <charset val="1"/>
      </rPr>
      <t xml:space="preserve">. Campidoglio(Assemblea Capitolina), </t>
    </r>
    <r>
      <rPr>
        <b val="true"/>
        <sz val="10"/>
        <color rgb="FFFFFFFF"/>
        <rFont val="WenQuanYi Zen Hei"/>
        <family val="2"/>
      </rPr>
      <t xml:space="preserve">라치오 주의회</t>
    </r>
    <r>
      <rPr>
        <b val="true"/>
        <sz val="10"/>
        <color rgb="FFFFFFFF"/>
        <rFont val="Arial"/>
        <family val="0"/>
        <charset val="1"/>
      </rPr>
      <t xml:space="preserve">(Via della Pisana), </t>
    </r>
    <r>
      <rPr>
        <b val="true"/>
        <sz val="10"/>
        <color rgb="FFFFFFFF"/>
        <rFont val="WenQuanYi Zen Hei"/>
        <family val="2"/>
      </rPr>
      <t xml:space="preserve">당사</t>
    </r>
    <r>
      <rPr>
        <b val="true"/>
        <sz val="10"/>
        <color rgb="FFFFFFFF"/>
        <rFont val="Arial"/>
        <family val="0"/>
        <charset val="1"/>
      </rPr>
      <t xml:space="preserve">.</t>
    </r>
  </si>
  <si>
    <t xml:space="preserve">제도 안의 싸움. 소수 야당으로 예산·계약·병원 외주를 파헤치며 권력의 내부를 배운다. Sofia의 2차 폭발(이번엔 옳다).</t>
  </si>
  <si>
    <t xml:space="preserve">시의원 Alessandro와 주의원 Giulia가 예산과 계약을 파헤쳐 Gruppo Meridiano로 이어지는 스캔들을 폭로하고 고발로 잇지만, 정치는 사법을 기다려 주지 않는다.</t>
  </si>
  <si>
    <t xml:space="preserve">구경꾼 → 견제자. 순진함 → 제도의 요령.</t>
  </si>
  <si>
    <t xml:space="preserve">동맹의 대가 vs 원칙 / 폭로의 합법성</t>
  </si>
  <si>
    <t xml:space="preserve">발단(1~3화): 결선투표와 시의회 개원, 첫 본회의, 도시 예산 감사.</t>
  </si>
  <si>
    <t xml:space="preserve">전개(4~5화): 계약 돋보기(PNRR·시 산하 기업), 불편한 동맹.</t>
  </si>
  <si>
    <t xml:space="preserve">미드포인트(6화): 예산의 덫 — 임대료 보조 삭감 조항, Sofia 2차 폭발(Paolo의 욕 포함).</t>
  </si>
  <si>
    <t xml:space="preserve">위기(7~9화): 주의회 보건(내륙 마을 진료소), 스캔들 폭로, 고발장(사법 지연).</t>
  </si>
  <si>
    <t xml:space="preserve">절정(10~11화): 권력의 반격, 당내 경선 — 의리의 시험.</t>
  </si>
  <si>
    <t xml:space="preserve">결말·훅(12화): 정부의 신임 투표 부결 → 해산과 조기 총선, 서명 수집 시작.</t>
  </si>
  <si>
    <r>
      <rPr>
        <sz val="10"/>
        <rFont val="Arial"/>
        <family val="0"/>
        <charset val="1"/>
      </rPr>
      <t xml:space="preserve">Alessandro·Giulia</t>
    </r>
    <r>
      <rPr>
        <sz val="10"/>
        <rFont val="WenQuanYi Zen Hei"/>
        <family val="2"/>
      </rPr>
      <t xml:space="preserve">는 각자 의회 무대</t>
    </r>
    <r>
      <rPr>
        <sz val="10"/>
        <rFont val="Arial"/>
        <family val="0"/>
        <charset val="1"/>
      </rPr>
      <t xml:space="preserve">. Sofia: </t>
    </r>
    <r>
      <rPr>
        <sz val="10"/>
        <rFont val="WenQuanYi Zen Hei"/>
        <family val="2"/>
      </rPr>
      <t xml:space="preserve">시의원 보좌</t>
    </r>
    <r>
      <rPr>
        <sz val="10"/>
        <rFont val="Arial"/>
        <family val="0"/>
        <charset val="1"/>
      </rPr>
      <t xml:space="preserve">. Gramsci·Galileo·Francesco: </t>
    </r>
    <r>
      <rPr>
        <sz val="10"/>
        <rFont val="WenQuanYi Zen Hei"/>
        <family val="2"/>
      </rPr>
      <t xml:space="preserve">스캔들 증거와 보도</t>
    </r>
    <r>
      <rPr>
        <sz val="10"/>
        <rFont val="Arial"/>
        <family val="0"/>
        <charset val="1"/>
      </rPr>
      <t xml:space="preserve">. Paolo·Chiara: </t>
    </r>
    <r>
      <rPr>
        <sz val="10"/>
        <rFont val="WenQuanYi Zen Hei"/>
        <family val="2"/>
      </rPr>
      <t xml:space="preserve">동맹 갈등</t>
    </r>
    <r>
      <rPr>
        <sz val="10"/>
        <rFont val="Arial"/>
        <family val="0"/>
        <charset val="1"/>
      </rPr>
      <t xml:space="preserve">. Machiavelli: </t>
    </r>
    <r>
      <rPr>
        <sz val="10"/>
        <rFont val="WenQuanYi Zen Hei"/>
        <family val="2"/>
      </rPr>
      <t xml:space="preserve">표 계산</t>
    </r>
    <r>
      <rPr>
        <sz val="10"/>
        <rFont val="Arial"/>
        <family val="0"/>
        <charset val="1"/>
      </rPr>
      <t xml:space="preserve">.</t>
    </r>
  </si>
  <si>
    <r>
      <rPr>
        <sz val="10"/>
        <rFont val="Arial"/>
        <family val="0"/>
        <charset val="1"/>
      </rPr>
      <t xml:space="preserve">Sofia 2</t>
    </r>
    <r>
      <rPr>
        <sz val="10"/>
        <rFont val="WenQuanYi Zen Hei"/>
        <family val="2"/>
      </rPr>
      <t xml:space="preserve">차 폭발</t>
    </r>
    <r>
      <rPr>
        <sz val="10"/>
        <rFont val="Arial"/>
        <family val="0"/>
        <charset val="1"/>
      </rPr>
      <t xml:space="preserve">(1</t>
    </r>
    <r>
      <rPr>
        <sz val="10"/>
        <rFont val="WenQuanYi Zen Hei"/>
        <family val="2"/>
      </rPr>
      <t xml:space="preserve">부 </t>
    </r>
    <r>
      <rPr>
        <sz val="10"/>
        <rFont val="Arial"/>
        <family val="0"/>
        <charset val="1"/>
      </rPr>
      <t xml:space="preserve">1</t>
    </r>
    <r>
      <rPr>
        <sz val="10"/>
        <rFont val="WenQuanYi Zen Hei"/>
        <family val="2"/>
      </rPr>
      <t xml:space="preserve">차의 회수</t>
    </r>
    <r>
      <rPr>
        <sz val="10"/>
        <rFont val="Arial"/>
        <family val="0"/>
        <charset val="1"/>
      </rPr>
      <t xml:space="preserve">) / Meridiano </t>
    </r>
    <r>
      <rPr>
        <sz val="10"/>
        <rFont val="WenQuanYi Zen Hei"/>
        <family val="2"/>
      </rPr>
      <t xml:space="preserve">스캔들</t>
    </r>
    <r>
      <rPr>
        <sz val="10"/>
        <rFont val="Arial"/>
        <family val="0"/>
        <charset val="1"/>
      </rPr>
      <t xml:space="preserve">(→11</t>
    </r>
    <r>
      <rPr>
        <sz val="10"/>
        <rFont val="WenQuanYi Zen Hei"/>
        <family val="2"/>
      </rPr>
      <t xml:space="preserve">부 </t>
    </r>
    <r>
      <rPr>
        <sz val="10"/>
        <rFont val="Arial"/>
        <family val="0"/>
        <charset val="1"/>
      </rPr>
      <t xml:space="preserve">2</t>
    </r>
    <r>
      <rPr>
        <sz val="10"/>
        <rFont val="WenQuanYi Zen Hei"/>
        <family val="2"/>
      </rPr>
      <t xml:space="preserve">화</t>
    </r>
    <r>
      <rPr>
        <sz val="10"/>
        <rFont val="Arial"/>
        <family val="0"/>
        <charset val="1"/>
      </rPr>
      <t xml:space="preserve">, 12</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t>
    </r>
  </si>
  <si>
    <t xml:space="preserve">P1● P3● E1● N2● S3●</t>
  </si>
  <si>
    <t xml:space="preserve">시장 직선·결선과 시의회(TUEL), 시 예산·결산, 공공계약법(d.lgs. 36/2023), 국가–주 권한(헌법 제117조: 보건·도시계획), 검찰 고발·감사원, d.lgs. 24/2023</t>
  </si>
  <si>
    <r>
      <rPr>
        <sz val="10"/>
        <rFont val="Arial"/>
        <family val="0"/>
        <charset val="1"/>
      </rPr>
      <t xml:space="preserve">C1. </t>
    </r>
    <r>
      <rPr>
        <sz val="10"/>
        <rFont val="WenQuanYi Zen Hei"/>
        <family val="2"/>
      </rPr>
      <t xml:space="preserve">회의 어휘</t>
    </r>
    <r>
      <rPr>
        <sz val="10"/>
        <rFont val="Arial"/>
        <family val="0"/>
        <charset val="1"/>
      </rPr>
      <t xml:space="preserve">, </t>
    </r>
    <r>
      <rPr>
        <sz val="10"/>
        <rFont val="WenQuanYi Zen Hei"/>
        <family val="2"/>
      </rPr>
      <t xml:space="preserve">표결</t>
    </r>
    <r>
      <rPr>
        <sz val="10"/>
        <rFont val="Arial"/>
        <family val="0"/>
        <charset val="1"/>
      </rPr>
      <t xml:space="preserve">·</t>
    </r>
    <r>
      <rPr>
        <sz val="10"/>
        <rFont val="WenQuanYi Zen Hei"/>
        <family val="2"/>
      </rPr>
      <t xml:space="preserve">동의안</t>
    </r>
    <r>
      <rPr>
        <sz val="10"/>
        <rFont val="Arial"/>
        <family val="0"/>
        <charset val="1"/>
      </rPr>
      <t xml:space="preserve">, </t>
    </r>
    <r>
      <rPr>
        <sz val="10"/>
        <rFont val="WenQuanYi Zen Hei"/>
        <family val="2"/>
      </rPr>
      <t xml:space="preserve">질의</t>
    </r>
    <r>
      <rPr>
        <sz val="10"/>
        <rFont val="Arial"/>
        <family val="0"/>
        <charset val="1"/>
      </rPr>
      <t xml:space="preserve">·</t>
    </r>
    <r>
      <rPr>
        <sz val="10"/>
        <rFont val="WenQuanYi Zen Hei"/>
        <family val="2"/>
      </rPr>
      <t xml:space="preserve">답변</t>
    </r>
    <r>
      <rPr>
        <sz val="10"/>
        <rFont val="Arial"/>
        <family val="0"/>
        <charset val="1"/>
      </rPr>
      <t xml:space="preserve">, «Signor Sindaco»·«Presidente»·«consigliera» </t>
    </r>
    <r>
      <rPr>
        <sz val="10"/>
        <rFont val="WenQuanYi Zen Hei"/>
        <family val="2"/>
      </rPr>
      <t xml:space="preserve">호칭</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정확하고 절제된 회의체</t>
    </r>
    <r>
      <rPr>
        <sz val="10"/>
        <rFont val="Arial"/>
        <family val="0"/>
        <charset val="1"/>
      </rPr>
      <t xml:space="preserve">.</t>
    </r>
  </si>
  <si>
    <r>
      <rPr>
        <sz val="10"/>
        <rFont val="Arial"/>
        <family val="0"/>
        <charset val="1"/>
      </rPr>
      <t xml:space="preserve">Sofia: capitolato·gara d'appalto·emendamento </t>
    </r>
    <r>
      <rPr>
        <sz val="10"/>
        <rFont val="WenQuanYi Zen Hei"/>
        <family val="2"/>
      </rPr>
      <t xml:space="preserve">등</t>
    </r>
    <r>
      <rPr>
        <sz val="10"/>
        <rFont val="Arial"/>
        <family val="0"/>
        <charset val="1"/>
      </rPr>
      <t xml:space="preserve">. </t>
    </r>
    <r>
      <rPr>
        <sz val="10"/>
        <rFont val="WenQuanYi Zen Hei"/>
        <family val="2"/>
      </rPr>
      <t xml:space="preserve">카드</t>
    </r>
    <r>
      <rPr>
        <sz val="10"/>
        <rFont val="Arial"/>
        <family val="0"/>
        <charset val="1"/>
      </rPr>
      <t xml:space="preserve">: d.lgs. 36/2023, TUEL(d.lgs. 267/2000), </t>
    </r>
    <r>
      <rPr>
        <sz val="10"/>
        <rFont val="WenQuanYi Zen Hei"/>
        <family val="2"/>
      </rPr>
      <t xml:space="preserve">시의회 회의 규칙</t>
    </r>
    <r>
      <rPr>
        <sz val="10"/>
        <rFont val="Arial"/>
        <family val="0"/>
        <charset val="1"/>
      </rPr>
      <t xml:space="preserve">.</t>
    </r>
  </si>
  <si>
    <r>
      <rPr>
        <sz val="10"/>
        <rFont val="Arial"/>
        <family val="0"/>
        <charset val="1"/>
      </rPr>
      <t xml:space="preserve">10</t>
    </r>
    <r>
      <rPr>
        <sz val="10"/>
        <rFont val="WenQuanYi Zen Hei"/>
        <family val="2"/>
      </rPr>
      <t xml:space="preserve">부</t>
    </r>
    <r>
      <rPr>
        <sz val="10"/>
        <rFont val="Arial"/>
        <family val="0"/>
        <charset val="1"/>
      </rPr>
      <t xml:space="preserve">: </t>
    </r>
    <r>
      <rPr>
        <sz val="10"/>
        <rFont val="WenQuanYi Zen Hei"/>
        <family val="2"/>
      </rPr>
      <t xml:space="preserve">국정 도전 — 해산과 총선</t>
    </r>
    <r>
      <rPr>
        <sz val="10"/>
        <rFont val="Arial"/>
        <family val="0"/>
        <charset val="1"/>
      </rPr>
      <t xml:space="preserve">.</t>
    </r>
  </si>
  <si>
    <r>
      <rPr>
        <b val="true"/>
        <sz val="10"/>
        <color rgb="FFFFFFFF"/>
        <rFont val="Arial"/>
        <family val="0"/>
        <charset val="1"/>
      </rPr>
      <t xml:space="preserve">Verso Palazzo Chigi — </t>
    </r>
    <r>
      <rPr>
        <b val="true"/>
        <sz val="10"/>
        <color rgb="FFFFFFFF"/>
        <rFont val="WenQuanYi Zen Hei"/>
        <family val="2"/>
      </rPr>
      <t xml:space="preserve">총선에서 총리 취임까지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C1~C2   |   9</t>
    </r>
    <r>
      <rPr>
        <b val="true"/>
        <sz val="10"/>
        <color rgb="FFFFFFFF"/>
        <rFont val="WenQuanYi Zen Hei"/>
        <family val="2"/>
      </rPr>
      <t xml:space="preserve">부 이후 </t>
    </r>
    <r>
      <rPr>
        <b val="true"/>
        <sz val="10"/>
        <color rgb="FFFFFFFF"/>
        <rFont val="Arial"/>
        <family val="0"/>
        <charset val="1"/>
      </rPr>
      <t xml:space="preserve">1~2</t>
    </r>
    <r>
      <rPr>
        <b val="true"/>
        <sz val="10"/>
        <color rgb="FFFFFFFF"/>
        <rFont val="WenQuanYi Zen Hei"/>
        <family val="2"/>
      </rPr>
      <t xml:space="preserve">년</t>
    </r>
    <r>
      <rPr>
        <b val="true"/>
        <sz val="10"/>
        <color rgb="FFFFFFFF"/>
        <rFont val="Arial"/>
        <family val="0"/>
        <charset val="1"/>
      </rPr>
      <t xml:space="preserve">. Montecitorio, Palazzo Madama, Quirinale, Palazzo Chigi.</t>
    </r>
  </si>
  <si>
    <t xml:space="preserve">긴장의 정점. 현실의 이탈리아 정부 구성 절차(대통령 협의, 조각 위임, 선서, 양원 신임, 해산과 재선거)를 드라마로 옮긴다. Marco가 연설가가 되는 순간.</t>
  </si>
  <si>
    <t xml:space="preserve">조기 총선에서 3위로 들어간 Casa Comune가 두 번의 선거와 두 번의 신임 투표를 거쳐, 상원 1표 차로 총리를 배출한다.</t>
  </si>
  <si>
    <t xml:space="preserve">제3당 → 정부의 주인.</t>
  </si>
  <si>
    <t xml:space="preserve">원칙 vs 협상(차등 자치·사법 개혁) / 피로</t>
  </si>
  <si>
    <t xml:space="preserve">발단(1~3화): 해산 명령과 서명, 전국 유세(사르데냐 내륙·가뭄·풍력), TV 토론.</t>
  </si>
  <si>
    <t xml:space="preserve">전환점(4화): 1차 총선 — 3위. 전개(5~6화): 개원·교섭단체, 대통령 협의.</t>
  </si>
  <si>
    <t xml:space="preserve">미드포인트(7화): UCN 정부가 하원 신임 투표에서 부결.</t>
  </si>
  <si>
    <t xml:space="preserve">위기(8~9화): 탐색 위임의 교착, 재해산과 재선거 캠페인.</t>
  </si>
  <si>
    <t xml:space="preserve">전환점·절정(10~11화): 재선거 결과 1당(과반 아님), 지역정당과의 연정 협상.</t>
  </si>
  <si>
    <t xml:space="preserve">결말·훅(12화): Quirinale 선서 → 하원 신임 → 상원 102 대 101, 1표 차 신임.</t>
  </si>
  <si>
    <r>
      <rPr>
        <sz val="10"/>
        <rFont val="Arial"/>
        <family val="0"/>
        <charset val="1"/>
      </rPr>
      <t xml:space="preserve">Marco: </t>
    </r>
    <r>
      <rPr>
        <sz val="10"/>
        <rFont val="WenQuanYi Zen Hei"/>
        <family val="2"/>
      </rPr>
      <t xml:space="preserve">후반 연설가로 성장</t>
    </r>
    <r>
      <rPr>
        <sz val="10"/>
        <rFont val="Arial"/>
        <family val="0"/>
        <charset val="1"/>
      </rPr>
      <t xml:space="preserve">(</t>
    </r>
    <r>
      <rPr>
        <sz val="10"/>
        <rFont val="WenQuanYi Zen Hei"/>
        <family val="2"/>
      </rPr>
      <t xml:space="preserve">따뜻한 문장</t>
    </r>
    <r>
      <rPr>
        <sz val="10"/>
        <rFont val="Arial"/>
        <family val="0"/>
        <charset val="1"/>
      </rPr>
      <t xml:space="preserve">). Dante: </t>
    </r>
    <r>
      <rPr>
        <sz val="10"/>
        <rFont val="WenQuanYi Zen Hei"/>
        <family val="2"/>
      </rPr>
      <t xml:space="preserve">연설문</t>
    </r>
    <r>
      <rPr>
        <sz val="10"/>
        <rFont val="Arial"/>
        <family val="0"/>
        <charset val="1"/>
      </rPr>
      <t xml:space="preserve">. Chiara·Machiavelli: </t>
    </r>
    <r>
      <rPr>
        <sz val="10"/>
        <rFont val="WenQuanYi Zen Hei"/>
        <family val="2"/>
      </rPr>
      <t xml:space="preserve">협상</t>
    </r>
    <r>
      <rPr>
        <sz val="10"/>
        <rFont val="Arial"/>
        <family val="0"/>
        <charset val="1"/>
      </rPr>
      <t xml:space="preserve">. Garibaldi: </t>
    </r>
    <r>
      <rPr>
        <sz val="10"/>
        <rFont val="WenQuanYi Zen Hei"/>
        <family val="2"/>
      </rPr>
      <t xml:space="preserve">캠프 총괄</t>
    </r>
    <r>
      <rPr>
        <sz val="10"/>
        <rFont val="Arial"/>
        <family val="0"/>
        <charset val="1"/>
      </rPr>
      <t xml:space="preserve">, </t>
    </r>
    <r>
      <rPr>
        <sz val="10"/>
        <rFont val="WenQuanYi Zen Hei"/>
        <family val="2"/>
      </rPr>
      <t xml:space="preserve">차등 자치 앞에서 정색</t>
    </r>
    <r>
      <rPr>
        <sz val="10"/>
        <rFont val="Arial"/>
        <family val="0"/>
        <charset val="1"/>
      </rPr>
      <t xml:space="preserve">. </t>
    </r>
    <r>
      <rPr>
        <sz val="10"/>
        <rFont val="WenQuanYi Zen Hei"/>
        <family val="2"/>
      </rPr>
      <t xml:space="preserve">가상 인물</t>
    </r>
    <r>
      <rPr>
        <sz val="10"/>
        <rFont val="Arial"/>
        <family val="0"/>
        <charset val="1"/>
      </rPr>
      <t xml:space="preserve">: </t>
    </r>
    <r>
      <rPr>
        <sz val="10"/>
        <rFont val="WenQuanYi Zen Hei"/>
        <family val="2"/>
      </rPr>
      <t xml:space="preserve">하원의장</t>
    </r>
    <r>
      <rPr>
        <sz val="10"/>
        <rFont val="Arial"/>
        <family val="0"/>
        <charset val="1"/>
      </rPr>
      <t xml:space="preserve">·</t>
    </r>
    <r>
      <rPr>
        <sz val="10"/>
        <rFont val="WenQuanYi Zen Hei"/>
        <family val="2"/>
      </rPr>
      <t xml:space="preserve">상원의장</t>
    </r>
    <r>
      <rPr>
        <sz val="10"/>
        <rFont val="Arial"/>
        <family val="0"/>
        <charset val="1"/>
      </rPr>
      <t xml:space="preserve">(</t>
    </r>
    <r>
      <rPr>
        <sz val="10"/>
        <rFont val="WenQuanYi Zen Hei"/>
        <family val="2"/>
      </rPr>
      <t xml:space="preserve">표결 결과 낭독</t>
    </r>
    <r>
      <rPr>
        <sz val="10"/>
        <rFont val="Arial"/>
        <family val="0"/>
        <charset val="1"/>
      </rPr>
      <t xml:space="preserve">). </t>
    </r>
    <r>
      <rPr>
        <sz val="10"/>
        <rFont val="WenQuanYi Zen Hei"/>
        <family val="2"/>
      </rPr>
      <t xml:space="preserve">대통령은 직접 대사 없음</t>
    </r>
    <r>
      <rPr>
        <sz val="10"/>
        <rFont val="Arial"/>
        <family val="0"/>
        <charset val="1"/>
      </rPr>
      <t xml:space="preserve">.</t>
    </r>
  </si>
  <si>
    <r>
      <rPr>
        <sz val="10"/>
        <rFont val="Arial"/>
        <family val="0"/>
        <charset val="1"/>
      </rPr>
      <t xml:space="preserve">TB</t>
    </r>
    <r>
      <rPr>
        <sz val="10"/>
        <rFont val="WenQuanYi Zen Hei"/>
        <family val="2"/>
      </rPr>
      <t xml:space="preserve">의 조건부 기권</t>
    </r>
    <r>
      <rPr>
        <sz val="10"/>
        <rFont val="Arial"/>
        <family val="0"/>
        <charset val="1"/>
      </rPr>
      <t xml:space="preserve">(→12</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 / Cesare</t>
    </r>
    <r>
      <rPr>
        <sz val="10"/>
        <rFont val="WenQuanYi Zen Hei"/>
        <family val="2"/>
      </rPr>
      <t xml:space="preserve">의 해설</t>
    </r>
    <r>
      <rPr>
        <sz val="10"/>
        <rFont val="Arial"/>
        <family val="0"/>
        <charset val="1"/>
      </rPr>
      <t xml:space="preserve">(→11</t>
    </r>
    <r>
      <rPr>
        <sz val="10"/>
        <rFont val="WenQuanYi Zen Hei"/>
        <family val="2"/>
      </rPr>
      <t xml:space="preserve">부 </t>
    </r>
    <r>
      <rPr>
        <sz val="10"/>
        <rFont val="Arial"/>
        <family val="0"/>
        <charset val="1"/>
      </rPr>
      <t xml:space="preserve">12</t>
    </r>
    <r>
      <rPr>
        <sz val="10"/>
        <rFont val="WenQuanYi Zen Hei"/>
        <family val="2"/>
      </rPr>
      <t xml:space="preserve">화 죽음</t>
    </r>
    <r>
      <rPr>
        <sz val="10"/>
        <rFont val="Arial"/>
        <family val="0"/>
        <charset val="1"/>
      </rPr>
      <t xml:space="preserve">) / </t>
    </r>
    <r>
      <rPr>
        <sz val="10"/>
        <rFont val="WenQuanYi Zen Hei"/>
        <family val="2"/>
      </rPr>
      <t xml:space="preserve">상원의 </t>
    </r>
    <r>
      <rPr>
        <sz val="10"/>
        <rFont val="Arial"/>
        <family val="0"/>
        <charset val="1"/>
      </rPr>
      <t xml:space="preserve">1</t>
    </r>
    <r>
      <rPr>
        <sz val="10"/>
        <rFont val="WenQuanYi Zen Hei"/>
        <family val="2"/>
      </rPr>
      <t xml:space="preserve">표</t>
    </r>
    <r>
      <rPr>
        <sz val="10"/>
        <rFont val="Arial"/>
        <family val="0"/>
        <charset val="1"/>
      </rPr>
      <t xml:space="preserve">(→13</t>
    </r>
    <r>
      <rPr>
        <sz val="10"/>
        <rFont val="WenQuanYi Zen Hei"/>
        <family val="2"/>
      </rPr>
      <t xml:space="preserve">부 원형</t>
    </r>
    <r>
      <rPr>
        <sz val="10"/>
        <rFont val="Arial"/>
        <family val="0"/>
        <charset val="1"/>
      </rPr>
      <t xml:space="preserve">)</t>
    </r>
  </si>
  <si>
    <t xml:space="preserve">P1● P2● N5● (○ S3·S4·S1·S2·N3·N4·P3)</t>
  </si>
  <si>
    <t xml:space="preserve">해산(헌법 제88조)·70일 이내 선거(제61조), 선거법(legge 165/2017), 명부 제출 서명, 개원·교섭단체, 대통령 협의와 조각 위임(제92조), 선서(제93조), 양원 신임(제94조), 차등 자치(legge 86/2024)</t>
  </si>
  <si>
    <r>
      <rPr>
        <sz val="10"/>
        <rFont val="Arial"/>
        <family val="0"/>
        <charset val="1"/>
      </rPr>
      <t xml:space="preserve">C1~C2. </t>
    </r>
    <r>
      <rPr>
        <sz val="10"/>
        <rFont val="WenQuanYi Zen Hei"/>
        <family val="2"/>
      </rPr>
      <t xml:space="preserve">토론</t>
    </r>
    <r>
      <rPr>
        <sz val="10"/>
        <rFont val="Arial"/>
        <family val="0"/>
        <charset val="1"/>
      </rPr>
      <t xml:space="preserve">·</t>
    </r>
    <r>
      <rPr>
        <sz val="10"/>
        <rFont val="WenQuanYi Zen Hei"/>
        <family val="2"/>
      </rPr>
      <t xml:space="preserve">연설 수사</t>
    </r>
    <r>
      <rPr>
        <sz val="10"/>
        <rFont val="Arial"/>
        <family val="0"/>
        <charset val="1"/>
      </rPr>
      <t xml:space="preserve">, </t>
    </r>
    <r>
      <rPr>
        <sz val="10"/>
        <rFont val="WenQuanYi Zen Hei"/>
        <family val="2"/>
      </rPr>
      <t xml:space="preserve">접속법</t>
    </r>
    <r>
      <rPr>
        <sz val="10"/>
        <rFont val="Arial"/>
        <family val="0"/>
        <charset val="1"/>
      </rPr>
      <t xml:space="preserve">·</t>
    </r>
    <r>
      <rPr>
        <sz val="10"/>
        <rFont val="WenQuanYi Zen Hei"/>
        <family val="2"/>
      </rPr>
      <t xml:space="preserve">조건법 완곡</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장엄한 호흡</t>
    </r>
    <r>
      <rPr>
        <sz val="10"/>
        <rFont val="Arial"/>
        <family val="0"/>
        <charset val="1"/>
      </rPr>
      <t xml:space="preserve">, </t>
    </r>
    <r>
      <rPr>
        <sz val="10"/>
        <rFont val="WenQuanYi Zen Hei"/>
        <family val="2"/>
      </rPr>
      <t xml:space="preserve">표결 결과 낭독의 또박또박함</t>
    </r>
    <r>
      <rPr>
        <sz val="10"/>
        <rFont val="Arial"/>
        <family val="0"/>
        <charset val="1"/>
      </rPr>
      <t xml:space="preserve">.</t>
    </r>
  </si>
  <si>
    <r>
      <rPr>
        <sz val="10"/>
        <rFont val="Arial"/>
        <family val="0"/>
        <charset val="1"/>
      </rPr>
      <t xml:space="preserve">Sofia: seggio·maggioranza assoluta·fiducia </t>
    </r>
    <r>
      <rPr>
        <sz val="10"/>
        <rFont val="WenQuanYi Zen Hei"/>
        <family val="2"/>
      </rPr>
      <t xml:space="preserve">등</t>
    </r>
    <r>
      <rPr>
        <sz val="10"/>
        <rFont val="Arial"/>
        <family val="0"/>
        <charset val="1"/>
      </rPr>
      <t xml:space="preserve">. </t>
    </r>
    <r>
      <rPr>
        <sz val="10"/>
        <rFont val="WenQuanYi Zen Hei"/>
        <family val="2"/>
      </rPr>
      <t xml:space="preserve">카드</t>
    </r>
    <r>
      <rPr>
        <sz val="10"/>
        <rFont val="Arial"/>
        <family val="0"/>
        <charset val="1"/>
      </rPr>
      <t xml:space="preserve">: </t>
    </r>
    <r>
      <rPr>
        <sz val="10"/>
        <rFont val="WenQuanYi Zen Hei"/>
        <family val="2"/>
      </rPr>
      <t xml:space="preserve">헌법 제</t>
    </r>
    <r>
      <rPr>
        <sz val="10"/>
        <rFont val="Arial"/>
        <family val="0"/>
        <charset val="1"/>
      </rPr>
      <t xml:space="preserve">88·92·94</t>
    </r>
    <r>
      <rPr>
        <sz val="10"/>
        <rFont val="WenQuanYi Zen Hei"/>
        <family val="2"/>
      </rPr>
      <t xml:space="preserve">조</t>
    </r>
    <r>
      <rPr>
        <sz val="10"/>
        <rFont val="Arial"/>
        <family val="0"/>
        <charset val="1"/>
      </rPr>
      <t xml:space="preserve">, </t>
    </r>
    <r>
      <rPr>
        <sz val="10"/>
        <rFont val="WenQuanYi Zen Hei"/>
        <family val="2"/>
      </rPr>
      <t xml:space="preserve">하원</t>
    </r>
    <r>
      <rPr>
        <sz val="10"/>
        <rFont val="Arial"/>
        <family val="0"/>
        <charset val="1"/>
      </rPr>
      <t xml:space="preserve">·</t>
    </r>
    <r>
      <rPr>
        <sz val="10"/>
        <rFont val="WenQuanYi Zen Hei"/>
        <family val="2"/>
      </rPr>
      <t xml:space="preserve">상원 속기록</t>
    </r>
    <r>
      <rPr>
        <sz val="10"/>
        <rFont val="Arial"/>
        <family val="0"/>
        <charset val="1"/>
      </rPr>
      <t xml:space="preserve">(resoconti stenografici).</t>
    </r>
  </si>
  <si>
    <r>
      <rPr>
        <sz val="10"/>
        <rFont val="Arial"/>
        <family val="0"/>
        <charset val="1"/>
      </rPr>
      <t xml:space="preserve">11</t>
    </r>
    <r>
      <rPr>
        <sz val="10"/>
        <rFont val="WenQuanYi Zen Hei"/>
        <family val="2"/>
      </rPr>
      <t xml:space="preserve">부</t>
    </r>
    <r>
      <rPr>
        <sz val="10"/>
        <rFont val="Arial"/>
        <family val="0"/>
        <charset val="1"/>
      </rPr>
      <t xml:space="preserve">: </t>
    </r>
    <r>
      <rPr>
        <sz val="10"/>
        <rFont val="WenQuanYi Zen Hei"/>
        <family val="2"/>
      </rPr>
      <t xml:space="preserve">소수 연립 정부의 국정</t>
    </r>
    <r>
      <rPr>
        <sz val="10"/>
        <rFont val="Arial"/>
        <family val="0"/>
        <charset val="1"/>
      </rPr>
      <t xml:space="preserve">.</t>
    </r>
  </si>
  <si>
    <r>
      <rPr>
        <b val="true"/>
        <sz val="10"/>
        <color rgb="FFFFFFFF"/>
        <rFont val="Arial"/>
        <family val="0"/>
        <charset val="1"/>
      </rPr>
      <t xml:space="preserve">La Grande Battaglia Sociale I — </t>
    </r>
    <r>
      <rPr>
        <b val="true"/>
        <sz val="10"/>
        <color rgb="FFFFFFFF"/>
        <rFont val="WenQuanYi Zen Hei"/>
        <family val="2"/>
      </rPr>
      <t xml:space="preserve">사회 현안 전투 </t>
    </r>
    <r>
      <rPr>
        <b val="true"/>
        <sz val="10"/>
        <color rgb="FFFFFFFF"/>
        <rFont val="Arial"/>
        <family val="0"/>
        <charset val="1"/>
      </rPr>
      <t xml:space="preserve">I   |   </t>
    </r>
    <r>
      <rPr>
        <b val="true"/>
        <sz val="10"/>
        <color rgb="FFFFFFFF"/>
        <rFont val="WenQuanYi Zen Hei"/>
        <family val="2"/>
      </rPr>
      <t xml:space="preserve">난이도 </t>
    </r>
    <r>
      <rPr>
        <b val="true"/>
        <sz val="10"/>
        <color rgb="FFFFFFFF"/>
        <rFont val="Arial"/>
        <family val="0"/>
        <charset val="1"/>
      </rPr>
      <t xml:space="preserve">C1~C2   |   </t>
    </r>
    <r>
      <rPr>
        <b val="true"/>
        <sz val="10"/>
        <color rgb="FFFFFFFF"/>
        <rFont val="WenQuanYi Zen Hei"/>
        <family val="2"/>
      </rPr>
      <t xml:space="preserve">취임 후 첫 해</t>
    </r>
    <r>
      <rPr>
        <b val="true"/>
        <sz val="10"/>
        <color rgb="FFFFFFFF"/>
        <rFont val="Arial"/>
        <family val="0"/>
        <charset val="1"/>
      </rPr>
      <t xml:space="preserve">(</t>
    </r>
    <r>
      <rPr>
        <b val="true"/>
        <sz val="10"/>
        <color rgb="FFFFFFFF"/>
        <rFont val="WenQuanYi Zen Hei"/>
        <family val="2"/>
      </rPr>
      <t xml:space="preserve">가상</t>
    </r>
    <r>
      <rPr>
        <b val="true"/>
        <sz val="10"/>
        <color rgb="FFFFFFFF"/>
        <rFont val="Arial"/>
        <family val="0"/>
        <charset val="1"/>
      </rPr>
      <t xml:space="preserve">). Palazzo Chigi, Consiglio dei Ministri, </t>
    </r>
    <r>
      <rPr>
        <b val="true"/>
        <sz val="10"/>
        <color rgb="FFFFFFFF"/>
        <rFont val="WenQuanYi Zen Hei"/>
        <family val="2"/>
      </rPr>
      <t xml:space="preserve">브뤼셀</t>
    </r>
    <r>
      <rPr>
        <b val="true"/>
        <sz val="10"/>
        <color rgb="FFFFFFFF"/>
        <rFont val="Arial"/>
        <family val="0"/>
        <charset val="1"/>
      </rPr>
      <t xml:space="preserve">.</t>
    </r>
  </si>
  <si>
    <t xml:space="preserve">이야기의 시험대이자 Cesare의 마지막 임무. 총리가 되어도 권한은 국가와 주(Regione)로 나뉘어 있다는 현실을 국내에서 배운 뒤, 부활한 독재관이 2천 년 만에 다시 협상 테이블에 앉아 브뤼셀에서 승리하고 그 직후 숨을 거둔다.</t>
  </si>
  <si>
    <t xml:space="preserve">연립 정부가 주거·보건·이민·청년의 벽을 넘고, Cesare가 자원해 NATO 방위비와 EU 재정규칙을 직접 협상해 이긴 뒤 귀국 직후 쓰러진다.</t>
  </si>
  <si>
    <t xml:space="preserve">선거의 사람들 → 통치하는 사람들. 그리고 은퇴한 독재관 → 현역 협상가로 마지막으로 돌아간 사람.</t>
  </si>
  <si>
    <t xml:space="preserve">하고 싶은 것 vs 할 수 있는 것(권한) / 늙은 몸 vs 마지막 임무를 향한 의지</t>
  </si>
  <si>
    <t xml:space="preserve">발단(1~2화): 첫 국무회의, 보이지 않는 집주인들 — 주거 현안.</t>
  </si>
  <si>
    <t xml:space="preserve">전개(3~5화): 주거법(자기 조항 봉쇄), 응급실 마비(주 권한), 이민 분담.</t>
  </si>
  <si>
    <t xml:space="preserve">위기(6화): 청년 고용·최저임금 협상 — 아직 죽지 않지만 계단에서 숨이 가쁘다.</t>
  </si>
  <si>
    <t xml:space="preserve">위기(7~8화): 가격 카르텔·도청 논쟁(Cesare가 중재), 횡재세.</t>
  </si>
  <si>
    <t xml:space="preserve">전환점(9화): Cesare가 브뤼셀行을 자원한다 — 금박 이름을 새긴 사업가 출신과 정보기관 출신의 이웃국 병합자, 두 지도자를 특징으로만 회상하며 이름은 끝내 말하지 않는다.</t>
  </si>
  <si>
    <t xml:space="preserve">절정(10~11화): 직접 협상 — 상대의 거짓말을 반박하고 타결. 귀국길의 피로.</t>
  </si>
  <si>
    <t xml:space="preserve">비트 7</t>
  </si>
  <si>
    <t xml:space="preserve">결말(12화): 귀국 직후 사망. «Niente male.» — 승리 직후라 더 무겁다.</t>
  </si>
  <si>
    <r>
      <rPr>
        <sz val="10"/>
        <rFont val="Arial"/>
        <family val="0"/>
        <charset val="1"/>
      </rPr>
      <t xml:space="preserve">Marco=</t>
    </r>
    <r>
      <rPr>
        <sz val="10"/>
        <rFont val="WenQuanYi Zen Hei"/>
        <family val="2"/>
      </rPr>
      <t xml:space="preserve">총리</t>
    </r>
    <r>
      <rPr>
        <sz val="10"/>
        <rFont val="Arial"/>
        <family val="0"/>
        <charset val="1"/>
      </rPr>
      <t xml:space="preserve">, Alessandro=</t>
    </r>
    <r>
      <rPr>
        <sz val="10"/>
        <rFont val="WenQuanYi Zen Hei"/>
        <family val="2"/>
      </rPr>
      <t xml:space="preserve">경제재정부 장관</t>
    </r>
    <r>
      <rPr>
        <sz val="10"/>
        <rFont val="Arial"/>
        <family val="0"/>
        <charset val="1"/>
      </rPr>
      <t xml:space="preserve">(</t>
    </r>
    <r>
      <rPr>
        <sz val="10"/>
        <rFont val="WenQuanYi Zen Hei"/>
        <family val="2"/>
      </rPr>
      <t xml:space="preserve">브뤼셀 동행</t>
    </r>
    <r>
      <rPr>
        <sz val="10"/>
        <rFont val="Arial"/>
        <family val="0"/>
        <charset val="1"/>
      </rPr>
      <t xml:space="preserve">), Giulia=</t>
    </r>
    <r>
      <rPr>
        <sz val="10"/>
        <rFont val="WenQuanYi Zen Hei"/>
        <family val="2"/>
      </rPr>
      <t xml:space="preserve">보건부 장관</t>
    </r>
    <r>
      <rPr>
        <sz val="10"/>
        <rFont val="Arial"/>
        <family val="0"/>
        <charset val="1"/>
      </rPr>
      <t xml:space="preserve">, Chiara=</t>
    </r>
    <r>
      <rPr>
        <sz val="10"/>
        <rFont val="WenQuanYi Zen Hei"/>
        <family val="2"/>
      </rPr>
      <t xml:space="preserve">총리실 실장</t>
    </r>
    <r>
      <rPr>
        <sz val="10"/>
        <rFont val="Arial"/>
        <family val="0"/>
        <charset val="1"/>
      </rPr>
      <t xml:space="preserve">, Garibaldi=</t>
    </r>
    <r>
      <rPr>
        <sz val="10"/>
        <rFont val="WenQuanYi Zen Hei"/>
        <family val="2"/>
      </rPr>
      <t xml:space="preserve">지역통합 담당 장관</t>
    </r>
    <r>
      <rPr>
        <sz val="10"/>
        <rFont val="Arial"/>
        <family val="0"/>
        <charset val="1"/>
      </rPr>
      <t xml:space="preserve">(</t>
    </r>
    <r>
      <rPr>
        <sz val="10"/>
        <rFont val="WenQuanYi Zen Hei"/>
        <family val="2"/>
      </rPr>
      <t xml:space="preserve">대표단 로지스틱스</t>
    </r>
    <r>
      <rPr>
        <sz val="10"/>
        <rFont val="Arial"/>
        <family val="0"/>
        <charset val="1"/>
      </rPr>
      <t xml:space="preserve">), Dante=</t>
    </r>
    <r>
      <rPr>
        <sz val="10"/>
        <rFont val="WenQuanYi Zen Hei"/>
        <family val="2"/>
      </rPr>
      <t xml:space="preserve">연설</t>
    </r>
    <r>
      <rPr>
        <sz val="10"/>
        <rFont val="Arial"/>
        <family val="0"/>
        <charset val="1"/>
      </rPr>
      <t xml:space="preserve">·</t>
    </r>
    <r>
      <rPr>
        <sz val="10"/>
        <rFont val="WenQuanYi Zen Hei"/>
        <family val="2"/>
      </rPr>
      <t xml:space="preserve">브리핑 문구</t>
    </r>
    <r>
      <rPr>
        <sz val="10"/>
        <rFont val="Arial"/>
        <family val="0"/>
        <charset val="1"/>
      </rPr>
      <t xml:space="preserve">, Machiavelli=</t>
    </r>
    <r>
      <rPr>
        <sz val="10"/>
        <rFont val="WenQuanYi Zen Hei"/>
        <family val="2"/>
      </rPr>
      <t xml:space="preserve">정치 전략</t>
    </r>
    <r>
      <rPr>
        <sz val="10"/>
        <rFont val="Arial"/>
        <family val="0"/>
        <charset val="1"/>
      </rPr>
      <t xml:space="preserve">, Sofia: </t>
    </r>
    <r>
      <rPr>
        <sz val="10"/>
        <rFont val="WenQuanYi Zen Hei"/>
        <family val="2"/>
      </rPr>
      <t xml:space="preserve">마지막 순간을 함께한다</t>
    </r>
    <r>
      <rPr>
        <sz val="10"/>
        <rFont val="Arial"/>
        <family val="0"/>
        <charset val="1"/>
      </rPr>
      <t xml:space="preserve">.</t>
    </r>
  </si>
  <si>
    <r>
      <rPr>
        <sz val="10"/>
        <rFont val="Arial"/>
        <family val="0"/>
        <charset val="1"/>
      </rPr>
      <t xml:space="preserve">Marco</t>
    </r>
    <r>
      <rPr>
        <sz val="10"/>
        <rFont val="WenQuanYi Zen Hei"/>
        <family val="2"/>
      </rPr>
      <t xml:space="preserve">의 옛 조항 봉쇄</t>
    </r>
    <r>
      <rPr>
        <sz val="10"/>
        <rFont val="Arial"/>
        <family val="0"/>
        <charset val="1"/>
      </rPr>
      <t xml:space="preserve">(2</t>
    </r>
    <r>
      <rPr>
        <sz val="10"/>
        <rFont val="WenQuanYi Zen Hei"/>
        <family val="2"/>
      </rPr>
      <t xml:space="preserve">부 </t>
    </r>
    <r>
      <rPr>
        <sz val="10"/>
        <rFont val="Arial"/>
        <family val="0"/>
        <charset val="1"/>
      </rPr>
      <t xml:space="preserve">6</t>
    </r>
    <r>
      <rPr>
        <sz val="10"/>
        <rFont val="WenQuanYi Zen Hei"/>
        <family val="2"/>
      </rPr>
      <t xml:space="preserve">화 회수</t>
    </r>
    <r>
      <rPr>
        <sz val="10"/>
        <rFont val="Arial"/>
        <family val="0"/>
        <charset val="1"/>
      </rPr>
      <t xml:space="preserve">) / Cesare </t>
    </r>
    <r>
      <rPr>
        <sz val="10"/>
        <rFont val="WenQuanYi Zen Hei"/>
        <family val="2"/>
      </rPr>
      <t xml:space="preserve">죽음</t>
    </r>
    <r>
      <rPr>
        <sz val="10"/>
        <rFont val="Arial"/>
        <family val="0"/>
        <charset val="1"/>
      </rPr>
      <t xml:space="preserve">·</t>
    </r>
    <r>
      <rPr>
        <sz val="10"/>
        <rFont val="WenQuanYi Zen Hei"/>
        <family val="2"/>
      </rPr>
      <t xml:space="preserve">우산</t>
    </r>
    <r>
      <rPr>
        <sz val="10"/>
        <rFont val="Arial"/>
        <family val="0"/>
        <charset val="1"/>
      </rPr>
      <t xml:space="preserve">(→12</t>
    </r>
    <r>
      <rPr>
        <sz val="10"/>
        <rFont val="WenQuanYi Zen Hei"/>
        <family val="2"/>
      </rPr>
      <t xml:space="preserve">부 </t>
    </r>
    <r>
      <rPr>
        <sz val="10"/>
        <rFont val="Arial"/>
        <family val="0"/>
        <charset val="1"/>
      </rPr>
      <t xml:space="preserve">1</t>
    </r>
    <r>
      <rPr>
        <sz val="10"/>
        <rFont val="WenQuanYi Zen Hei"/>
        <family val="2"/>
      </rPr>
      <t xml:space="preserve">화</t>
    </r>
    <r>
      <rPr>
        <sz val="10"/>
        <rFont val="Arial"/>
        <family val="0"/>
        <charset val="1"/>
      </rPr>
      <t xml:space="preserve">, 13</t>
    </r>
    <r>
      <rPr>
        <sz val="10"/>
        <rFont val="WenQuanYi Zen Hei"/>
        <family val="2"/>
      </rPr>
      <t xml:space="preserve">부 </t>
    </r>
    <r>
      <rPr>
        <sz val="10"/>
        <rFont val="Arial"/>
        <family val="0"/>
        <charset val="1"/>
      </rPr>
      <t xml:space="preserve">2</t>
    </r>
    <r>
      <rPr>
        <sz val="10"/>
        <rFont val="WenQuanYi Zen Hei"/>
        <family val="2"/>
      </rPr>
      <t xml:space="preserve">화</t>
    </r>
    <r>
      <rPr>
        <sz val="10"/>
        <rFont val="Arial"/>
        <family val="0"/>
        <charset val="1"/>
      </rPr>
      <t xml:space="preserve">) / </t>
    </r>
    <r>
      <rPr>
        <sz val="10"/>
        <rFont val="WenQuanYi Zen Hei"/>
        <family val="2"/>
      </rPr>
      <t xml:space="preserve">도청 논쟁</t>
    </r>
    <r>
      <rPr>
        <sz val="10"/>
        <rFont val="Arial"/>
        <family val="0"/>
        <charset val="1"/>
      </rPr>
      <t xml:space="preserve">(7</t>
    </r>
    <r>
      <rPr>
        <sz val="10"/>
        <rFont val="WenQuanYi Zen Hei"/>
        <family val="2"/>
      </rPr>
      <t xml:space="preserve">부 </t>
    </r>
    <r>
      <rPr>
        <sz val="10"/>
        <rFont val="Arial"/>
        <family val="0"/>
        <charset val="1"/>
      </rPr>
      <t xml:space="preserve">8</t>
    </r>
    <r>
      <rPr>
        <sz val="10"/>
        <rFont val="WenQuanYi Zen Hei"/>
        <family val="2"/>
      </rPr>
      <t xml:space="preserve">화 회수</t>
    </r>
    <r>
      <rPr>
        <sz val="10"/>
        <rFont val="Arial"/>
        <family val="0"/>
        <charset val="1"/>
      </rPr>
      <t xml:space="preserve">) / Cesare</t>
    </r>
    <r>
      <rPr>
        <sz val="10"/>
        <rFont val="WenQuanYi Zen Hei"/>
        <family val="2"/>
      </rPr>
      <t xml:space="preserve">가 브뤼셀로 자원</t>
    </r>
    <r>
      <rPr>
        <sz val="10"/>
        <rFont val="Arial"/>
        <family val="0"/>
        <charset val="1"/>
      </rPr>
      <t xml:space="preserve">(→12</t>
    </r>
    <r>
      <rPr>
        <sz val="10"/>
        <rFont val="WenQuanYi Zen Hei"/>
        <family val="2"/>
      </rPr>
      <t xml:space="preserve">부 </t>
    </r>
    <r>
      <rPr>
        <sz val="10"/>
        <rFont val="Arial"/>
        <family val="0"/>
        <charset val="1"/>
      </rPr>
      <t xml:space="preserve">2~3</t>
    </r>
    <r>
      <rPr>
        <sz val="10"/>
        <rFont val="WenQuanYi Zen Hei"/>
        <family val="2"/>
      </rPr>
      <t xml:space="preserve">화 메모 승계</t>
    </r>
    <r>
      <rPr>
        <sz val="10"/>
        <rFont val="Arial"/>
        <family val="0"/>
        <charset val="1"/>
      </rPr>
      <t xml:space="preserve">)</t>
    </r>
  </si>
  <si>
    <t xml:space="preserve">E1● E3● S1● S2● N3●</t>
  </si>
  <si>
    <t xml:space="preserve">국무회의(legge 400/1988), 국가–주 협의회(Conferenza Stato-Regioni), NATO 방위비 목표(2025 헤이그 합의·5%·2035), EU 재정규칙과 과도한 재정적자 절차(TFUE 제126조, 이탈리아는 2024년부터 대상)</t>
  </si>
  <si>
    <r>
      <rPr>
        <sz val="10"/>
        <rFont val="Arial"/>
        <family val="0"/>
        <charset val="1"/>
      </rPr>
      <t xml:space="preserve">C1~C2. </t>
    </r>
    <r>
      <rPr>
        <sz val="10"/>
        <rFont val="WenQuanYi Zen Hei"/>
        <family val="2"/>
      </rPr>
      <t xml:space="preserve">국정 문서</t>
    </r>
    <r>
      <rPr>
        <sz val="10"/>
        <rFont val="Arial"/>
        <family val="0"/>
        <charset val="1"/>
      </rPr>
      <t xml:space="preserve">·</t>
    </r>
    <r>
      <rPr>
        <sz val="10"/>
        <rFont val="WenQuanYi Zen Hei"/>
        <family val="2"/>
      </rPr>
      <t xml:space="preserve">외교 협상 어휘</t>
    </r>
    <r>
      <rPr>
        <sz val="10"/>
        <rFont val="Arial"/>
        <family val="0"/>
        <charset val="1"/>
      </rPr>
      <t xml:space="preserve">, </t>
    </r>
    <r>
      <rPr>
        <sz val="10"/>
        <rFont val="WenQuanYi Zen Hei"/>
        <family val="2"/>
      </rPr>
      <t xml:space="preserve">조문 낭독</t>
    </r>
    <r>
      <rPr>
        <sz val="10"/>
        <rFont val="Arial"/>
        <family val="0"/>
        <charset val="1"/>
      </rPr>
      <t xml:space="preserve">, </t>
    </r>
    <r>
      <rPr>
        <sz val="10"/>
        <rFont val="WenQuanYi Zen Hei"/>
        <family val="2"/>
      </rPr>
      <t xml:space="preserve">완곡어법</t>
    </r>
    <r>
      <rPr>
        <sz val="10"/>
        <rFont val="Arial"/>
        <family val="0"/>
        <charset val="1"/>
      </rPr>
      <t xml:space="preserve">(Cesare</t>
    </r>
    <r>
      <rPr>
        <sz val="10"/>
        <rFont val="WenQuanYi Zen Hei"/>
        <family val="2"/>
      </rPr>
      <t xml:space="preserve">의 </t>
    </r>
    <r>
      <rPr>
        <sz val="10"/>
        <rFont val="Arial"/>
        <family val="0"/>
        <charset val="1"/>
      </rPr>
      <t xml:space="preserve">3</t>
    </r>
    <r>
      <rPr>
        <sz val="10"/>
        <rFont val="WenQuanYi Zen Hei"/>
        <family val="2"/>
      </rPr>
      <t xml:space="preserve">인칭 화법과 라틴어 한 줄</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노련한 협상가의 절제된 반박과 임종 장면의 낮은 목소리</t>
    </r>
    <r>
      <rPr>
        <sz val="10"/>
        <rFont val="Arial"/>
        <family val="0"/>
        <charset val="1"/>
      </rPr>
      <t xml:space="preserve">.</t>
    </r>
  </si>
  <si>
    <r>
      <rPr>
        <sz val="10"/>
        <rFont val="Arial"/>
        <family val="0"/>
        <charset val="1"/>
      </rPr>
      <t xml:space="preserve">Sofia: decreto-legge·conflitto di attribuzione·ricorso in via principale </t>
    </r>
    <r>
      <rPr>
        <sz val="10"/>
        <rFont val="WenQuanYi Zen Hei"/>
        <family val="2"/>
      </rPr>
      <t xml:space="preserve">등</t>
    </r>
    <r>
      <rPr>
        <sz val="10"/>
        <rFont val="Arial"/>
        <family val="0"/>
        <charset val="1"/>
      </rPr>
      <t xml:space="preserve">. </t>
    </r>
    <r>
      <rPr>
        <sz val="10"/>
        <rFont val="WenQuanYi Zen Hei"/>
        <family val="2"/>
      </rPr>
      <t xml:space="preserve">카드</t>
    </r>
    <r>
      <rPr>
        <sz val="10"/>
        <rFont val="Arial"/>
        <family val="0"/>
        <charset val="1"/>
      </rPr>
      <t xml:space="preserve">: </t>
    </r>
    <r>
      <rPr>
        <sz val="10"/>
        <rFont val="WenQuanYi Zen Hei"/>
        <family val="2"/>
      </rPr>
      <t xml:space="preserve">헌법 제</t>
    </r>
    <r>
      <rPr>
        <sz val="10"/>
        <rFont val="Arial"/>
        <family val="0"/>
        <charset val="1"/>
      </rPr>
      <t xml:space="preserve">117·77</t>
    </r>
    <r>
      <rPr>
        <sz val="10"/>
        <rFont val="WenQuanYi Zen Hei"/>
        <family val="2"/>
      </rPr>
      <t xml:space="preserve">조</t>
    </r>
    <r>
      <rPr>
        <sz val="10"/>
        <rFont val="Arial"/>
        <family val="0"/>
        <charset val="1"/>
      </rPr>
      <t xml:space="preserve">, NATO </t>
    </r>
    <r>
      <rPr>
        <sz val="10"/>
        <rFont val="WenQuanYi Zen Hei"/>
        <family val="2"/>
      </rPr>
      <t xml:space="preserve">방위비 목표 문서</t>
    </r>
    <r>
      <rPr>
        <sz val="10"/>
        <rFont val="Arial"/>
        <family val="0"/>
        <charset val="1"/>
      </rPr>
      <t xml:space="preserve">, EU </t>
    </r>
    <r>
      <rPr>
        <sz val="10"/>
        <rFont val="WenQuanYi Zen Hei"/>
        <family val="2"/>
      </rPr>
      <t xml:space="preserve">기능조약 제</t>
    </r>
    <r>
      <rPr>
        <sz val="10"/>
        <rFont val="Arial"/>
        <family val="0"/>
        <charset val="1"/>
      </rPr>
      <t xml:space="preserve">126</t>
    </r>
    <r>
      <rPr>
        <sz val="10"/>
        <rFont val="WenQuanYi Zen Hei"/>
        <family val="2"/>
      </rPr>
      <t xml:space="preserve">조</t>
    </r>
    <r>
      <rPr>
        <sz val="10"/>
        <rFont val="Arial"/>
        <family val="0"/>
        <charset val="1"/>
      </rPr>
      <t xml:space="preserve">.</t>
    </r>
  </si>
  <si>
    <r>
      <rPr>
        <sz val="10"/>
        <rFont val="Arial"/>
        <family val="0"/>
        <charset val="1"/>
      </rPr>
      <t xml:space="preserve">12</t>
    </r>
    <r>
      <rPr>
        <sz val="10"/>
        <rFont val="WenQuanYi Zen Hei"/>
        <family val="2"/>
      </rPr>
      <t xml:space="preserve">부</t>
    </r>
    <r>
      <rPr>
        <sz val="10"/>
        <rFont val="Arial"/>
        <family val="0"/>
        <charset val="1"/>
      </rPr>
      <t xml:space="preserve">: </t>
    </r>
    <r>
      <rPr>
        <sz val="10"/>
        <rFont val="WenQuanYi Zen Hei"/>
        <family val="2"/>
      </rPr>
      <t xml:space="preserve">장례식으로 시작해 그의 메모로 협상을 잇는다</t>
    </r>
    <r>
      <rPr>
        <sz val="10"/>
        <rFont val="Arial"/>
        <family val="0"/>
        <charset val="1"/>
      </rPr>
      <t xml:space="preserve">.</t>
    </r>
  </si>
  <si>
    <r>
      <rPr>
        <b val="true"/>
        <sz val="10"/>
        <color rgb="FFFFFFFF"/>
        <rFont val="Arial"/>
        <family val="0"/>
        <charset val="1"/>
      </rPr>
      <t xml:space="preserve">La Grande Battaglia Sociale II — </t>
    </r>
    <r>
      <rPr>
        <b val="true"/>
        <sz val="10"/>
        <color rgb="FFFFFFFF"/>
        <rFont val="WenQuanYi Zen Hei"/>
        <family val="2"/>
      </rPr>
      <t xml:space="preserve">사회 현안 전투 </t>
    </r>
    <r>
      <rPr>
        <b val="true"/>
        <sz val="10"/>
        <color rgb="FFFFFFFF"/>
        <rFont val="Arial"/>
        <family val="0"/>
        <charset val="1"/>
      </rPr>
      <t xml:space="preserve">II   |   </t>
    </r>
    <r>
      <rPr>
        <b val="true"/>
        <sz val="10"/>
        <color rgb="FFFFFFFF"/>
        <rFont val="WenQuanYi Zen Hei"/>
        <family val="2"/>
      </rPr>
      <t xml:space="preserve">난이도 </t>
    </r>
    <r>
      <rPr>
        <b val="true"/>
        <sz val="10"/>
        <color rgb="FFFFFFFF"/>
        <rFont val="Arial"/>
        <family val="0"/>
        <charset val="1"/>
      </rPr>
      <t xml:space="preserve">C1~C2   |   Cesare </t>
    </r>
    <r>
      <rPr>
        <b val="true"/>
        <sz val="10"/>
        <color rgb="FFFFFFFF"/>
        <rFont val="WenQuanYi Zen Hei"/>
        <family val="2"/>
      </rPr>
      <t xml:space="preserve">사후</t>
    </r>
    <r>
      <rPr>
        <b val="true"/>
        <sz val="10"/>
        <color rgb="FFFFFFFF"/>
        <rFont val="Arial"/>
        <family val="0"/>
        <charset val="1"/>
      </rPr>
      <t xml:space="preserve">. Palazzo Chigi, </t>
    </r>
    <r>
      <rPr>
        <b val="true"/>
        <sz val="10"/>
        <color rgb="FFFFFFFF"/>
        <rFont val="WenQuanYi Zen Hei"/>
        <family val="2"/>
      </rPr>
      <t xml:space="preserve">브뤼셀</t>
    </r>
    <r>
      <rPr>
        <b val="true"/>
        <sz val="10"/>
        <color rgb="FFFFFFFF"/>
        <rFont val="Arial"/>
        <family val="0"/>
        <charset val="1"/>
      </rPr>
      <t xml:space="preserve">, </t>
    </r>
    <r>
      <rPr>
        <b val="true"/>
        <sz val="10"/>
        <color rgb="FFFFFFFF"/>
        <rFont val="WenQuanYi Zen Hei"/>
        <family val="2"/>
      </rPr>
      <t xml:space="preserve">홍수 현장</t>
    </r>
    <r>
      <rPr>
        <b val="true"/>
        <sz val="10"/>
        <color rgb="FFFFFFFF"/>
        <rFont val="Arial"/>
        <family val="0"/>
        <charset val="1"/>
      </rPr>
      <t xml:space="preserve">.</t>
    </r>
  </si>
  <si>
    <t xml:space="preserve">상실 이후의 국정. 죽은 사람의 메모로 산 사람들이 협상을 잇는 법, 그리고 새로운 현안(플랫폼 노동·스파이웨어·청년 정신건강)을 통과하는 팀의 성장.</t>
  </si>
  <si>
    <t xml:space="preserve">장례식을 치른 팀이 Cesare의 메모로 브뤼셀 후속 협상을 마무리하고, 플랫폼 노동·스파이웨어 스캔들·청년 정신건강을 거쳐 불신임안과 홍수까지 버텨낸다.</t>
  </si>
  <si>
    <t xml:space="preserve">한 사람의 노련함에 기대던 팀 → 그의 방식을 자기 것으로 만든 팀.</t>
  </si>
  <si>
    <t xml:space="preserve">애도 vs 계속 가는 것 / 새 현안들의 무게</t>
  </si>
  <si>
    <t xml:space="preserve">발단(1화): 장례식 — Sofia가 처음으로 tu를 쓴다.</t>
  </si>
  <si>
    <t xml:space="preserve">전개(2~3화): 유작 메모 발견, 그 메모로 잇는 2차 브뤼셀 협상.</t>
  </si>
  <si>
    <t xml:space="preserve">전개(4~6화): 플랫폼 노동(라이더), 스파이웨어 스캔들, 청년 정신건강.</t>
  </si>
  <si>
    <t xml:space="preserve">위기(7~8화): 불신임안 방어, 홍수 재난.</t>
  </si>
  <si>
    <t xml:space="preserve">절정(9화): 거리에서 나타난 성과들.</t>
  </si>
  <si>
    <t xml:space="preserve">위기·결말(10~12화): 올드 가드의 빈자리, 국방비 예산 반영 논쟁, 예산안 제출 준비.</t>
  </si>
  <si>
    <r>
      <rPr>
        <sz val="10"/>
        <rFont val="Arial"/>
        <family val="0"/>
        <charset val="1"/>
      </rPr>
      <t xml:space="preserve">Alessandro·Dante=Cesare</t>
    </r>
    <r>
      <rPr>
        <sz val="10"/>
        <rFont val="WenQuanYi Zen Hei"/>
        <family val="2"/>
      </rPr>
      <t xml:space="preserve">의 메모를 잇는 두 사람</t>
    </r>
    <r>
      <rPr>
        <sz val="10"/>
        <rFont val="Arial"/>
        <family val="0"/>
        <charset val="1"/>
      </rPr>
      <t xml:space="preserve">. Gramsci=</t>
    </r>
    <r>
      <rPr>
        <sz val="10"/>
        <rFont val="WenQuanYi Zen Hei"/>
        <family val="2"/>
      </rPr>
      <t xml:space="preserve">감시당해 본 사람의 감각으로 스파이웨어 추적</t>
    </r>
    <r>
      <rPr>
        <sz val="10"/>
        <rFont val="Arial"/>
        <family val="0"/>
        <charset val="1"/>
      </rPr>
      <t xml:space="preserve">. Montessori·Sofia=</t>
    </r>
    <r>
      <rPr>
        <sz val="10"/>
        <rFont val="WenQuanYi Zen Hei"/>
        <family val="2"/>
      </rPr>
      <t xml:space="preserve">청년 정신건강</t>
    </r>
    <r>
      <rPr>
        <sz val="10"/>
        <rFont val="Arial"/>
        <family val="0"/>
        <charset val="1"/>
      </rPr>
      <t xml:space="preserve">. Garibaldi·Gramsci·Machiavelli=</t>
    </r>
    <r>
      <rPr>
        <sz val="10"/>
        <rFont val="WenQuanYi Zen Hei"/>
        <family val="2"/>
      </rPr>
      <t xml:space="preserve">빈자리를 마주함</t>
    </r>
    <r>
      <rPr>
        <sz val="10"/>
        <rFont val="Arial"/>
        <family val="0"/>
        <charset val="1"/>
      </rPr>
      <t xml:space="preserve">.</t>
    </r>
  </si>
  <si>
    <r>
      <rPr>
        <sz val="10"/>
        <rFont val="Arial"/>
        <family val="0"/>
        <charset val="1"/>
      </rPr>
      <t xml:space="preserve">Cesare</t>
    </r>
    <r>
      <rPr>
        <sz val="10"/>
        <rFont val="WenQuanYi Zen Hei"/>
        <family val="2"/>
      </rPr>
      <t xml:space="preserve">의 유작 메모</t>
    </r>
    <r>
      <rPr>
        <sz val="10"/>
        <rFont val="Arial"/>
        <family val="0"/>
        <charset val="1"/>
      </rPr>
      <t xml:space="preserve">(11</t>
    </r>
    <r>
      <rPr>
        <sz val="10"/>
        <rFont val="WenQuanYi Zen Hei"/>
        <family val="2"/>
      </rPr>
      <t xml:space="preserve">부 </t>
    </r>
    <r>
      <rPr>
        <sz val="10"/>
        <rFont val="Arial"/>
        <family val="0"/>
        <charset val="1"/>
      </rPr>
      <t xml:space="preserve">11</t>
    </r>
    <r>
      <rPr>
        <sz val="10"/>
        <rFont val="WenQuanYi Zen Hei"/>
        <family val="2"/>
      </rPr>
      <t xml:space="preserve">화 회수 시작</t>
    </r>
    <r>
      <rPr>
        <sz val="10"/>
        <rFont val="Arial"/>
        <family val="0"/>
        <charset val="1"/>
      </rPr>
      <t xml:space="preserve">) / Sofia</t>
    </r>
    <r>
      <rPr>
        <sz val="10"/>
        <rFont val="WenQuanYi Zen Hei"/>
        <family val="2"/>
      </rPr>
      <t xml:space="preserve">의 </t>
    </r>
    <r>
      <rPr>
        <sz val="10"/>
        <rFont val="Arial"/>
        <family val="0"/>
        <charset val="1"/>
      </rPr>
      <t xml:space="preserve">Lei→tu(1</t>
    </r>
    <r>
      <rPr>
        <sz val="10"/>
        <rFont val="WenQuanYi Zen Hei"/>
        <family val="2"/>
      </rPr>
      <t xml:space="preserve">화에서 전환</t>
    </r>
    <r>
      <rPr>
        <sz val="10"/>
        <rFont val="Arial"/>
        <family val="0"/>
        <charset val="1"/>
      </rPr>
      <t xml:space="preserve">) / 7</t>
    </r>
    <r>
      <rPr>
        <sz val="10"/>
        <rFont val="WenQuanYi Zen Hei"/>
        <family val="2"/>
      </rPr>
      <t xml:space="preserve">부 도청 논쟁이 국가적 스캔들로 확장</t>
    </r>
  </si>
  <si>
    <t xml:space="preserve">N3● E3● N6● N7● N8● P1● P2● P3● N1● S4●</t>
  </si>
  <si>
    <t xml:space="preserve">유작 메모 승계, 정보기관 체계와 의회 통제(legge 124/2007·COPASIR), 플랫폼 노동(d.lgs. 81/2015·EU 지침 2024/2831), 불신임안(헌법 제94조), 민방위(d.lgs. 1/2018), 예산(헌법 제81조, legge 196/2009)</t>
  </si>
  <si>
    <r>
      <rPr>
        <sz val="10"/>
        <rFont val="Arial"/>
        <family val="0"/>
        <charset val="1"/>
      </rPr>
      <t xml:space="preserve">C1~C2. </t>
    </r>
    <r>
      <rPr>
        <sz val="10"/>
        <rFont val="WenQuanYi Zen Hei"/>
        <family val="2"/>
      </rPr>
      <t xml:space="preserve">추도사</t>
    </r>
    <r>
      <rPr>
        <sz val="10"/>
        <rFont val="Arial"/>
        <family val="0"/>
        <charset val="1"/>
      </rPr>
      <t xml:space="preserve">, </t>
    </r>
    <r>
      <rPr>
        <sz val="10"/>
        <rFont val="WenQuanYi Zen Hei"/>
        <family val="2"/>
      </rPr>
      <t xml:space="preserve">인용</t>
    </r>
    <r>
      <rPr>
        <sz val="10"/>
        <rFont val="Arial"/>
        <family val="0"/>
        <charset val="1"/>
      </rPr>
      <t xml:space="preserve">(Cesare</t>
    </r>
    <r>
      <rPr>
        <sz val="10"/>
        <rFont val="WenQuanYi Zen Hei"/>
        <family val="2"/>
      </rPr>
      <t xml:space="preserve">의 문장을 빌려 쓰는 대사</t>
    </r>
    <r>
      <rPr>
        <sz val="10"/>
        <rFont val="Arial"/>
        <family val="0"/>
        <charset val="1"/>
      </rPr>
      <t xml:space="preserve">), </t>
    </r>
    <r>
      <rPr>
        <sz val="10"/>
        <rFont val="WenQuanYi Zen Hei"/>
        <family val="2"/>
      </rPr>
      <t xml:space="preserve">국정 어휘</t>
    </r>
    <r>
      <rPr>
        <sz val="10"/>
        <rFont val="Arial"/>
        <family val="0"/>
        <charset val="1"/>
      </rPr>
      <t xml:space="preserve">. </t>
    </r>
    <r>
      <rPr>
        <sz val="10"/>
        <rFont val="WenQuanYi Zen Hei"/>
        <family val="2"/>
      </rPr>
      <t xml:space="preserve">발성</t>
    </r>
    <r>
      <rPr>
        <sz val="10"/>
        <rFont val="Arial"/>
        <family val="0"/>
        <charset val="1"/>
      </rPr>
      <t xml:space="preserve">: 1</t>
    </r>
    <r>
      <rPr>
        <sz val="10"/>
        <rFont val="WenQuanYi Zen Hei"/>
        <family val="2"/>
      </rPr>
      <t xml:space="preserve">화의 낮고 절제된 애도 톤에서 점차 회복</t>
    </r>
    <r>
      <rPr>
        <sz val="10"/>
        <rFont val="Arial"/>
        <family val="0"/>
        <charset val="1"/>
      </rPr>
      <t xml:space="preserve">.</t>
    </r>
  </si>
  <si>
    <r>
      <rPr>
        <sz val="10"/>
        <rFont val="Arial"/>
        <family val="0"/>
        <charset val="1"/>
      </rPr>
      <t xml:space="preserve">Sofia: intercettazioni·spyware·salute mentale </t>
    </r>
    <r>
      <rPr>
        <sz val="10"/>
        <rFont val="WenQuanYi Zen Hei"/>
        <family val="2"/>
      </rPr>
      <t xml:space="preserve">등</t>
    </r>
    <r>
      <rPr>
        <sz val="10"/>
        <rFont val="Arial"/>
        <family val="0"/>
        <charset val="1"/>
      </rPr>
      <t xml:space="preserve">. </t>
    </r>
    <r>
      <rPr>
        <sz val="10"/>
        <rFont val="WenQuanYi Zen Hei"/>
        <family val="2"/>
      </rPr>
      <t xml:space="preserve">카드</t>
    </r>
    <r>
      <rPr>
        <sz val="10"/>
        <rFont val="Arial"/>
        <family val="0"/>
        <charset val="1"/>
      </rPr>
      <t xml:space="preserve">: legge 124/2007, d.lgs. 81/2015 </t>
    </r>
    <r>
      <rPr>
        <sz val="10"/>
        <rFont val="WenQuanYi Zen Hei"/>
        <family val="2"/>
      </rPr>
      <t xml:space="preserve">제</t>
    </r>
    <r>
      <rPr>
        <sz val="10"/>
        <rFont val="Arial"/>
        <family val="0"/>
        <charset val="1"/>
      </rPr>
      <t xml:space="preserve">47-bis</t>
    </r>
    <r>
      <rPr>
        <sz val="10"/>
        <rFont val="WenQuanYi Zen Hei"/>
        <family val="2"/>
      </rPr>
      <t xml:space="preserve">조</t>
    </r>
    <r>
      <rPr>
        <sz val="10"/>
        <rFont val="Arial"/>
        <family val="0"/>
        <charset val="1"/>
      </rPr>
      <t xml:space="preserve">, d.lgs. 1/2018.</t>
    </r>
  </si>
  <si>
    <r>
      <rPr>
        <sz val="10"/>
        <rFont val="Arial"/>
        <family val="0"/>
        <charset val="1"/>
      </rPr>
      <t xml:space="preserve">13</t>
    </r>
    <r>
      <rPr>
        <sz val="10"/>
        <rFont val="WenQuanYi Zen Hei"/>
        <family val="2"/>
      </rPr>
      <t xml:space="preserve">부</t>
    </r>
    <r>
      <rPr>
        <sz val="10"/>
        <rFont val="Arial"/>
        <family val="0"/>
        <charset val="1"/>
      </rPr>
      <t xml:space="preserve">: 1</t>
    </r>
    <r>
      <rPr>
        <sz val="10"/>
        <rFont val="WenQuanYi Zen Hei"/>
        <family val="2"/>
      </rPr>
      <t xml:space="preserve">부의 식탁으로 돌아간다</t>
    </r>
    <r>
      <rPr>
        <sz val="10"/>
        <rFont val="Arial"/>
        <family val="0"/>
        <charset val="1"/>
      </rPr>
      <t xml:space="preserve">.</t>
    </r>
  </si>
  <si>
    <r>
      <rPr>
        <b val="true"/>
        <sz val="10"/>
        <color rgb="FFFFFFFF"/>
        <rFont val="Arial"/>
        <family val="0"/>
        <charset val="1"/>
      </rPr>
      <t xml:space="preserve">Ritorno a Testaccio — </t>
    </r>
    <r>
      <rPr>
        <b val="true"/>
        <sz val="10"/>
        <color rgb="FFFFFFFF"/>
        <rFont val="WenQuanYi Zen Hei"/>
        <family val="2"/>
      </rPr>
      <t xml:space="preserve">귀환   </t>
    </r>
    <r>
      <rPr>
        <b val="true"/>
        <sz val="10"/>
        <color rgb="FFFFFFFF"/>
        <rFont val="Arial"/>
        <family val="0"/>
        <charset val="1"/>
      </rPr>
      <t xml:space="preserve">|   </t>
    </r>
    <r>
      <rPr>
        <b val="true"/>
        <sz val="10"/>
        <color rgb="FFFFFFFF"/>
        <rFont val="WenQuanYi Zen Hei"/>
        <family val="2"/>
      </rPr>
      <t xml:space="preserve">난이도 </t>
    </r>
    <r>
      <rPr>
        <b val="true"/>
        <sz val="10"/>
        <color rgb="FFFFFFFF"/>
        <rFont val="Arial"/>
        <family val="0"/>
        <charset val="1"/>
      </rPr>
      <t xml:space="preserve">B1~B2   |   </t>
    </r>
    <r>
      <rPr>
        <b val="true"/>
        <sz val="10"/>
        <color rgb="FFFFFFFF"/>
        <rFont val="WenQuanYi Zen Hei"/>
        <family val="2"/>
      </rPr>
      <t xml:space="preserve">임기 후반</t>
    </r>
    <r>
      <rPr>
        <b val="true"/>
        <sz val="10"/>
        <color rgb="FFFFFFFF"/>
        <rFont val="Arial"/>
        <family val="0"/>
        <charset val="1"/>
      </rPr>
      <t xml:space="preserve">. Testaccio </t>
    </r>
    <r>
      <rPr>
        <b val="true"/>
        <sz val="10"/>
        <color rgb="FFFFFFFF"/>
        <rFont val="WenQuanYi Zen Hei"/>
        <family val="2"/>
      </rPr>
      <t xml:space="preserve">사무소와 </t>
    </r>
    <r>
      <rPr>
        <b val="true"/>
        <sz val="10"/>
        <color rgb="FFFFFFFF"/>
        <rFont val="Arial"/>
        <family val="0"/>
        <charset val="1"/>
      </rPr>
      <t xml:space="preserve">Trattoria da Rosa. </t>
    </r>
    <r>
      <rPr>
        <b val="true"/>
        <sz val="10"/>
        <color rgb="FFFFFFFF"/>
        <rFont val="WenQuanYi Zen Hei"/>
        <family val="2"/>
      </rPr>
      <t xml:space="preserve">마지막에 다시 </t>
    </r>
    <r>
      <rPr>
        <b val="true"/>
        <sz val="10"/>
        <color rgb="FFFFFFFF"/>
        <rFont val="Arial"/>
        <family val="0"/>
        <charset val="1"/>
      </rPr>
      <t xml:space="preserve">'</t>
    </r>
    <r>
      <rPr>
        <b val="true"/>
        <sz val="10"/>
        <color rgb="FFFFFFFF"/>
        <rFont val="WenQuanYi Zen Hei"/>
        <family val="2"/>
      </rPr>
      <t xml:space="preserve">다섯 시</t>
    </r>
    <r>
      <rPr>
        <b val="true"/>
        <sz val="10"/>
        <color rgb="FFFFFFFF"/>
        <rFont val="Arial"/>
        <family val="0"/>
        <charset val="1"/>
      </rPr>
      <t xml:space="preserve">'.</t>
    </r>
  </si>
  <si>
    <t xml:space="preserve">원형 닫기와 성장의 확인. 낭독자가 1부 장면을 다시 읽으며 실력의 성장을 체감한다. Sofia가 질문받는 쪽으로 이동한다.</t>
  </si>
  <si>
    <t xml:space="preserve">장관들이 손님으로 돌아온 테스타초에서 Cesare의 우산이 Sofia에게 도착하고, 새 인턴이 던진 질문에 Sofia가 답한다.</t>
  </si>
  <si>
    <t xml:space="preserve">총리와 장관들 → 다시 식탁 앞의 사람들. Sofia: 묻는 사람 → 설명하는 사람.</t>
  </si>
  <si>
    <t xml:space="preserve">애도 vs 계속 가는 것 / 겸직 제한으로 사무소를 놓아야 함</t>
  </si>
  <si>
    <t xml:space="preserve">발단(1~3화): 다섯 시, 우산(유언장), 빈 의자.</t>
  </si>
  <si>
    <t xml:space="preserve">전개(4~5화): 사무소의 재단 전환, 새 인턴 Luca.</t>
  </si>
  <si>
    <t xml:space="preserve">미드포인트(6화): Sofia가 어려운 말을 쉬운 말로 설명한다.</t>
  </si>
  <si>
    <t xml:space="preserve">전개(7~8화): 임기 보고서(현안 결산), 시민들의 편지.</t>
  </si>
  <si>
    <t xml:space="preserve">위기(9화): 올드 가드와 빈 의자.</t>
  </si>
  <si>
    <t xml:space="preserve">절정·결말(10~12화): 빠진 카드(Gramsci가 처음 결론을 말함), 다시 다섯 시, «Sedetevi, che vi porto qualcosa.»</t>
  </si>
  <si>
    <r>
      <rPr>
        <sz val="10"/>
        <rFont val="Arial"/>
        <family val="0"/>
        <charset val="1"/>
      </rPr>
      <t xml:space="preserve">Sofia 12</t>
    </r>
    <r>
      <rPr>
        <sz val="10"/>
        <rFont val="WenQuanYi Zen Hei"/>
        <family val="2"/>
      </rPr>
      <t xml:space="preserve">화 전부</t>
    </r>
    <r>
      <rPr>
        <sz val="10"/>
        <rFont val="Arial"/>
        <family val="0"/>
        <charset val="1"/>
      </rPr>
      <t xml:space="preserve">, Rosa 10</t>
    </r>
    <r>
      <rPr>
        <sz val="10"/>
        <rFont val="WenQuanYi Zen Hei"/>
        <family val="2"/>
      </rPr>
      <t xml:space="preserve">화</t>
    </r>
    <r>
      <rPr>
        <sz val="10"/>
        <rFont val="Arial"/>
        <family val="0"/>
        <charset val="1"/>
      </rPr>
      <t xml:space="preserve">. Cesare</t>
    </r>
    <r>
      <rPr>
        <sz val="10"/>
        <rFont val="WenQuanYi Zen Hei"/>
        <family val="2"/>
      </rPr>
      <t xml:space="preserve">는 유언장</t>
    </r>
    <r>
      <rPr>
        <sz val="10"/>
        <rFont val="Arial"/>
        <family val="0"/>
        <charset val="1"/>
      </rPr>
      <t xml:space="preserve">·</t>
    </r>
    <r>
      <rPr>
        <sz val="10"/>
        <rFont val="WenQuanYi Zen Hei"/>
        <family val="2"/>
      </rPr>
      <t xml:space="preserve">회상 </t>
    </r>
    <r>
      <rPr>
        <sz val="10"/>
        <rFont val="Arial"/>
        <family val="0"/>
        <charset val="1"/>
      </rPr>
      <t xml:space="preserve">3</t>
    </r>
    <r>
      <rPr>
        <sz val="10"/>
        <rFont val="WenQuanYi Zen Hei"/>
        <family val="2"/>
      </rPr>
      <t xml:space="preserve">화</t>
    </r>
    <r>
      <rPr>
        <sz val="10"/>
        <rFont val="Arial"/>
        <family val="0"/>
        <charset val="1"/>
      </rPr>
      <t xml:space="preserve">. </t>
    </r>
    <r>
      <rPr>
        <sz val="10"/>
        <rFont val="WenQuanYi Zen Hei"/>
        <family val="2"/>
      </rPr>
      <t xml:space="preserve">신규 엑스트라</t>
    </r>
    <r>
      <rPr>
        <sz val="10"/>
        <rFont val="Arial"/>
        <family val="0"/>
        <charset val="1"/>
      </rPr>
      <t xml:space="preserve">: Luca(</t>
    </r>
    <r>
      <rPr>
        <sz val="10"/>
        <rFont val="WenQuanYi Zen Hei"/>
        <family val="2"/>
      </rPr>
      <t xml:space="preserve">새 인턴</t>
    </r>
    <r>
      <rPr>
        <sz val="10"/>
        <rFont val="Arial"/>
        <family val="0"/>
        <charset val="1"/>
      </rPr>
      <t xml:space="preserve">), </t>
    </r>
    <r>
      <rPr>
        <sz val="10"/>
        <rFont val="WenQuanYi Zen Hei"/>
        <family val="2"/>
      </rPr>
      <t xml:space="preserve">공증인</t>
    </r>
    <r>
      <rPr>
        <sz val="10"/>
        <rFont val="Arial"/>
        <family val="0"/>
        <charset val="1"/>
      </rPr>
      <t xml:space="preserve">.</t>
    </r>
  </si>
  <si>
    <r>
      <rPr>
        <sz val="10"/>
        <rFont val="Arial"/>
        <family val="0"/>
        <charset val="1"/>
      </rPr>
      <t xml:space="preserve">(</t>
    </r>
    <r>
      <rPr>
        <sz val="10"/>
        <rFont val="WenQuanYi Zen Hei"/>
        <family val="2"/>
      </rPr>
      <t xml:space="preserve">회수 아크</t>
    </r>
    <r>
      <rPr>
        <sz val="10"/>
        <rFont val="Arial"/>
        <family val="0"/>
        <charset val="1"/>
      </rPr>
      <t xml:space="preserve">) 1</t>
    </r>
    <r>
      <rPr>
        <sz val="10"/>
        <rFont val="WenQuanYi Zen Hei"/>
        <family val="2"/>
      </rPr>
      <t xml:space="preserve">부 첫 대사</t>
    </r>
    <r>
      <rPr>
        <sz val="10"/>
        <rFont val="Arial"/>
        <family val="0"/>
        <charset val="1"/>
      </rPr>
      <t xml:space="preserve">·</t>
    </r>
    <r>
      <rPr>
        <sz val="10"/>
        <rFont val="WenQuanYi Zen Hei"/>
        <family val="2"/>
      </rPr>
      <t xml:space="preserve">우산</t>
    </r>
    <r>
      <rPr>
        <sz val="10"/>
        <rFont val="Arial"/>
        <family val="0"/>
        <charset val="1"/>
      </rPr>
      <t xml:space="preserve">·Gramsci </t>
    </r>
    <r>
      <rPr>
        <sz val="10"/>
        <rFont val="WenQuanYi Zen Hei"/>
        <family val="2"/>
      </rPr>
      <t xml:space="preserve">카드</t>
    </r>
    <r>
      <rPr>
        <sz val="10"/>
        <rFont val="Arial"/>
        <family val="0"/>
        <charset val="1"/>
      </rPr>
      <t xml:space="preserve">·Sofia</t>
    </r>
    <r>
      <rPr>
        <sz val="10"/>
        <rFont val="WenQuanYi Zen Hei"/>
        <family val="2"/>
      </rPr>
      <t xml:space="preserve">의 질문 — </t>
    </r>
    <r>
      <rPr>
        <sz val="10"/>
        <rFont val="Arial"/>
        <family val="0"/>
        <charset val="1"/>
      </rPr>
      <t xml:space="preserve">'</t>
    </r>
    <r>
      <rPr>
        <sz val="10"/>
        <rFont val="WenQuanYi Zen Hei"/>
        <family val="2"/>
      </rPr>
      <t xml:space="preserve">복선</t>
    </r>
    <r>
      <rPr>
        <sz val="10"/>
        <rFont val="Arial"/>
        <family val="0"/>
        <charset val="1"/>
      </rPr>
      <t xml:space="preserve">_</t>
    </r>
    <r>
      <rPr>
        <sz val="10"/>
        <rFont val="WenQuanYi Zen Hei"/>
        <family val="2"/>
      </rPr>
      <t xml:space="preserve">회수</t>
    </r>
    <r>
      <rPr>
        <sz val="10"/>
        <rFont val="Arial"/>
        <family val="0"/>
        <charset val="1"/>
      </rPr>
      <t xml:space="preserve">' </t>
    </r>
    <r>
      <rPr>
        <sz val="10"/>
        <rFont val="WenQuanYi Zen Hei"/>
        <family val="2"/>
      </rPr>
      <t xml:space="preserve">시트 참고</t>
    </r>
  </si>
  <si>
    <r>
      <rPr>
        <sz val="10"/>
        <rFont val="Arial"/>
        <family val="0"/>
        <charset val="1"/>
      </rPr>
      <t xml:space="preserve">S1● (7</t>
    </r>
    <r>
      <rPr>
        <sz val="10"/>
        <rFont val="WenQuanYi Zen Hei"/>
        <family val="2"/>
      </rPr>
      <t xml:space="preserve">화 결산에서 </t>
    </r>
    <r>
      <rPr>
        <sz val="10"/>
        <rFont val="Arial"/>
        <family val="0"/>
        <charset val="1"/>
      </rPr>
      <t xml:space="preserve">E3·S3·N5·N3 </t>
    </r>
    <r>
      <rPr>
        <sz val="10"/>
        <rFont val="WenQuanYi Zen Hei"/>
        <family val="2"/>
      </rPr>
      <t xml:space="preserve">등</t>
    </r>
    <r>
      <rPr>
        <sz val="10"/>
        <rFont val="Arial"/>
        <family val="0"/>
        <charset val="1"/>
      </rPr>
      <t xml:space="preserve">)</t>
    </r>
  </si>
  <si>
    <t xml:space="preserve">정부 구성원의 이해충돌(legge 215/2004), 유언(notaio, esecutore testamentario, Registro generale dei testamenti), 재단 설립(민법 제14조 이하, 제3섹터법 d.lgs. 117/2017)</t>
  </si>
  <si>
    <r>
      <rPr>
        <sz val="10"/>
        <rFont val="Arial"/>
        <family val="0"/>
        <charset val="1"/>
      </rPr>
      <t xml:space="preserve">B1~B2. 1</t>
    </r>
    <r>
      <rPr>
        <sz val="10"/>
        <rFont val="WenQuanYi Zen Hei"/>
        <family val="2"/>
      </rPr>
      <t xml:space="preserve">부와 같은 문장을 다시 읽어 비교</t>
    </r>
    <r>
      <rPr>
        <sz val="10"/>
        <rFont val="Arial"/>
        <family val="0"/>
        <charset val="1"/>
      </rPr>
      <t xml:space="preserve">. </t>
    </r>
    <r>
      <rPr>
        <sz val="10"/>
        <rFont val="WenQuanYi Zen Hei"/>
        <family val="2"/>
      </rPr>
      <t xml:space="preserve">발성</t>
    </r>
    <r>
      <rPr>
        <sz val="10"/>
        <rFont val="Arial"/>
        <family val="0"/>
        <charset val="1"/>
      </rPr>
      <t xml:space="preserve">: </t>
    </r>
    <r>
      <rPr>
        <sz val="10"/>
        <rFont val="WenQuanYi Zen Hei"/>
        <family val="2"/>
      </rPr>
      <t xml:space="preserve">따뜻하고 여유로운 톤</t>
    </r>
    <r>
      <rPr>
        <sz val="10"/>
        <rFont val="Arial"/>
        <family val="0"/>
        <charset val="1"/>
      </rPr>
      <t xml:space="preserve">. Sofia</t>
    </r>
    <r>
      <rPr>
        <sz val="10"/>
        <rFont val="WenQuanYi Zen Hei"/>
        <family val="2"/>
      </rPr>
      <t xml:space="preserve">의 설명은 쉬운 말</t>
    </r>
    <r>
      <rPr>
        <sz val="10"/>
        <rFont val="Arial"/>
        <family val="0"/>
        <charset val="1"/>
      </rPr>
      <t xml:space="preserve">.</t>
    </r>
  </si>
  <si>
    <r>
      <rPr>
        <sz val="10"/>
        <rFont val="Arial"/>
        <family val="0"/>
        <charset val="1"/>
      </rPr>
      <t xml:space="preserve">Sofia</t>
    </r>
    <r>
      <rPr>
        <sz val="10"/>
        <rFont val="WenQuanYi Zen Hei"/>
        <family val="2"/>
      </rPr>
      <t xml:space="preserve">가 새 인턴의 질문에 답한다</t>
    </r>
    <r>
      <rPr>
        <sz val="10"/>
        <rFont val="Arial"/>
        <family val="0"/>
        <charset val="1"/>
      </rPr>
      <t xml:space="preserve">. </t>
    </r>
    <r>
      <rPr>
        <sz val="10"/>
        <rFont val="WenQuanYi Zen Hei"/>
        <family val="2"/>
      </rPr>
      <t xml:space="preserve">카드</t>
    </r>
    <r>
      <rPr>
        <sz val="10"/>
        <rFont val="Arial"/>
        <family val="0"/>
        <charset val="1"/>
      </rPr>
      <t xml:space="preserve">: Gramsci</t>
    </r>
    <r>
      <rPr>
        <sz val="10"/>
        <rFont val="WenQuanYi Zen Hei"/>
        <family val="2"/>
      </rPr>
      <t xml:space="preserve">가 처음으로 결론을 직접 말한다</t>
    </r>
    <r>
      <rPr>
        <sz val="10"/>
        <rFont val="Arial"/>
        <family val="0"/>
        <charset val="1"/>
      </rPr>
      <t xml:space="preserve">.</t>
    </r>
  </si>
  <si>
    <t xml:space="preserve">끝 — 원.</t>
  </si>
  <si>
    <t xml:space="preserve">전체 화별 목차 (1~13부, 156화)</t>
  </si>
  <si>
    <t xml:space="preserve">현실 제도와 현안(ID는 '현안_배치' 시트)을 반영한 초안. 의석 수·결과는 가상 수치. 모든 화는 지문 없이 대화문으로만 진행한다.</t>
  </si>
  <si>
    <t xml:space="preserve">화</t>
  </si>
  <si>
    <t xml:space="preserve">핵심 사건</t>
  </si>
  <si>
    <t xml:space="preserve">주요 인물</t>
  </si>
  <si>
    <t xml:space="preserve">반영 현안
(ID)</t>
  </si>
  <si>
    <t xml:space="preserve">턴 수</t>
  </si>
  <si>
    <t xml:space="preserve">사건1 도입</t>
  </si>
  <si>
    <t xml:space="preserve">Un'altra lettera</t>
  </si>
  <si>
    <t xml:space="preserve">또 다른 편지</t>
  </si>
  <si>
    <t xml:space="preserve">사무소 개소 1개월 후. 다섯 시, 여전히 방법을 못 정한 채 매일 다투는 팀. Fatima가 두 번째로 찾아와 새 임대료 인상 통지서와 퇴거 경고장을 보인다. Sofia는 여전히 Marco에게 Lei를 쓴다. Gramsci가 지나가며 «날짜를 세어 보라»는 힌트만 던지고, Machiavelli는 «이 집의 진짜 주인이 누구인가»만 묻는다. 계약서가 없어 다음 날로 미뤄진다.</t>
  </si>
  <si>
    <t xml:space="preserve">생활 법률 구어체, 반복되는 말다툼 (B1)</t>
  </si>
  <si>
    <t xml:space="preserve">Rosa, Marco, Giulia, Alessandro, Chiara, Sofia, Cesare, Fatima, Gramsci, Machiavelli</t>
  </si>
  <si>
    <t xml:space="preserve">E1</t>
  </si>
  <si>
    <t xml:space="preserve">사건1 해결</t>
  </si>
  <si>
    <t xml:space="preserve">La clausola che non sale</t>
  </si>
  <si>
    <t xml:space="preserve">오르지 않는 조항</t>
  </si>
  <si>
    <r>
      <rPr>
        <sz val="10"/>
        <rFont val="Arial"/>
        <family val="0"/>
        <charset val="1"/>
      </rPr>
      <t xml:space="preserve">[</t>
    </r>
    <r>
      <rPr>
        <sz val="10"/>
        <rFont val="WenQuanYi Zen Hei"/>
        <family val="2"/>
      </rPr>
      <t xml:space="preserve">사건</t>
    </r>
    <r>
      <rPr>
        <sz val="10"/>
        <rFont val="Arial"/>
        <family val="0"/>
        <charset val="1"/>
      </rPr>
      <t xml:space="preserve">1 </t>
    </r>
    <r>
      <rPr>
        <sz val="10"/>
        <rFont val="WenQuanYi Zen Hei"/>
        <family val="2"/>
      </rPr>
      <t xml:space="preserve">해결</t>
    </r>
    <r>
      <rPr>
        <sz val="10"/>
        <rFont val="Arial"/>
        <family val="0"/>
        <charset val="1"/>
      </rPr>
      <t xml:space="preserve">] Fatima</t>
    </r>
    <r>
      <rPr>
        <sz val="10"/>
        <rFont val="WenQuanYi Zen Hei"/>
        <family val="2"/>
      </rPr>
      <t xml:space="preserve">와 </t>
    </r>
    <r>
      <rPr>
        <sz val="10"/>
        <rFont val="Arial"/>
        <family val="0"/>
        <charset val="1"/>
      </rPr>
      <t xml:space="preserve">Sofia</t>
    </r>
    <r>
      <rPr>
        <sz val="10"/>
        <rFont val="WenQuanYi Zen Hei"/>
        <family val="2"/>
      </rPr>
      <t xml:space="preserve">가 계약서를 가져온다</t>
    </r>
    <r>
      <rPr>
        <sz val="10"/>
        <rFont val="Arial"/>
        <family val="0"/>
        <charset val="1"/>
      </rPr>
      <t xml:space="preserve">. Gramsci</t>
    </r>
    <r>
      <rPr>
        <sz val="10"/>
        <rFont val="WenQuanYi Zen Hei"/>
        <family val="2"/>
      </rPr>
      <t xml:space="preserve">의 카드 </t>
    </r>
    <r>
      <rPr>
        <sz val="10"/>
        <rFont val="Arial"/>
        <family val="0"/>
        <charset val="1"/>
      </rPr>
      <t xml:space="preserve">#1(legge 431/1998)</t>
    </r>
    <r>
      <rPr>
        <sz val="10"/>
        <rFont val="WenQuanYi Zen Hei"/>
        <family val="2"/>
      </rPr>
      <t xml:space="preserve">로 계약에 정한 </t>
    </r>
    <r>
      <rPr>
        <sz val="10"/>
        <rFont val="Arial"/>
        <family val="0"/>
        <charset val="1"/>
      </rPr>
      <t xml:space="preserve">ISTAT </t>
    </r>
    <r>
      <rPr>
        <sz val="10"/>
        <rFont val="WenQuanYi Zen Hei"/>
        <family val="2"/>
      </rPr>
      <t xml:space="preserve">물가 연동 한도를 넘는 인상이 부당함을 확인하고</t>
    </r>
    <r>
      <rPr>
        <sz val="10"/>
        <rFont val="Arial"/>
        <family val="0"/>
        <charset val="1"/>
      </rPr>
      <t xml:space="preserve">, </t>
    </r>
    <r>
      <rPr>
        <sz val="10"/>
        <rFont val="WenQuanYi Zen Hei"/>
        <family val="2"/>
      </rPr>
      <t xml:space="preserve">기한 안에 등기우편</t>
    </r>
    <r>
      <rPr>
        <sz val="10"/>
        <rFont val="Arial"/>
        <family val="0"/>
        <charset val="1"/>
      </rPr>
      <t xml:space="preserve">(raccomandata) </t>
    </r>
    <r>
      <rPr>
        <sz val="10"/>
        <rFont val="WenQuanYi Zen Hei"/>
        <family val="2"/>
      </rPr>
      <t xml:space="preserve">답장을 쓴다</t>
    </r>
    <r>
      <rPr>
        <sz val="10"/>
        <rFont val="Arial"/>
        <family val="0"/>
        <charset val="1"/>
      </rPr>
      <t xml:space="preserve">. </t>
    </r>
    <r>
      <rPr>
        <sz val="10"/>
        <rFont val="WenQuanYi Zen Hei"/>
        <family val="2"/>
      </rPr>
      <t xml:space="preserve">사무소의 첫 번째 규칙</t>
    </r>
    <r>
      <rPr>
        <sz val="10"/>
        <rFont val="Arial"/>
        <family val="0"/>
        <charset val="1"/>
      </rPr>
      <t xml:space="preserve">(</t>
    </r>
    <r>
      <rPr>
        <sz val="10"/>
        <rFont val="WenQuanYi Zen Hei"/>
        <family val="2"/>
      </rPr>
      <t xml:space="preserve">가난한 이웃에겐 돈을 받지 않는다</t>
    </r>
    <r>
      <rPr>
        <sz val="10"/>
        <rFont val="Arial"/>
        <family val="0"/>
        <charset val="1"/>
      </rPr>
      <t xml:space="preserve">)</t>
    </r>
    <r>
      <rPr>
        <sz val="10"/>
        <rFont val="WenQuanYi Zen Hei"/>
        <family val="2"/>
      </rPr>
      <t xml:space="preserve">이 확인된다</t>
    </r>
    <r>
      <rPr>
        <sz val="10"/>
        <rFont val="Arial"/>
        <family val="0"/>
        <charset val="1"/>
      </rPr>
      <t xml:space="preserve">.</t>
    </r>
  </si>
  <si>
    <t xml:space="preserve">주거 임대차(legge 431/1998), ISTAT 물가 연동 조정(aggiornamento ISTAT), 기한·답변</t>
  </si>
  <si>
    <t xml:space="preserve">Marco, Alessandro, Chiara, Fatima, Gramsci, Sofia, Rosa</t>
  </si>
  <si>
    <t xml:space="preserve">사건2 도입</t>
  </si>
  <si>
    <t xml:space="preserve">L'avviso delle otto</t>
  </si>
  <si>
    <t xml:space="preserve">여덟 시의 통지</t>
  </si>
  <si>
    <r>
      <rPr>
        <sz val="10"/>
        <rFont val="Arial"/>
        <family val="0"/>
        <charset val="1"/>
      </rPr>
      <t xml:space="preserve">[</t>
    </r>
    <r>
      <rPr>
        <sz val="10"/>
        <rFont val="WenQuanYi Zen Hei"/>
        <family val="2"/>
      </rPr>
      <t xml:space="preserve">사건</t>
    </r>
    <r>
      <rPr>
        <sz val="10"/>
        <rFont val="Arial"/>
        <family val="0"/>
        <charset val="1"/>
      </rPr>
      <t xml:space="preserve">2 </t>
    </r>
    <r>
      <rPr>
        <sz val="10"/>
        <rFont val="WenQuanYi Zen Hei"/>
        <family val="2"/>
      </rPr>
      <t xml:space="preserve">도입</t>
    </r>
    <r>
      <rPr>
        <sz val="10"/>
        <rFont val="Arial"/>
        <family val="0"/>
        <charset val="1"/>
      </rPr>
      <t xml:space="preserve">] </t>
    </r>
    <r>
      <rPr>
        <sz val="10"/>
        <rFont val="WenQuanYi Zen Hei"/>
        <family val="2"/>
      </rPr>
      <t xml:space="preserve">밤 여덟 시</t>
    </r>
    <r>
      <rPr>
        <sz val="10"/>
        <rFont val="Arial"/>
        <family val="0"/>
        <charset val="1"/>
      </rPr>
      <t xml:space="preserve">, </t>
    </r>
    <r>
      <rPr>
        <sz val="10"/>
        <rFont val="WenQuanYi Zen Hei"/>
        <family val="2"/>
      </rPr>
      <t xml:space="preserve">퇴거 집행</t>
    </r>
    <r>
      <rPr>
        <sz val="10"/>
        <rFont val="Arial"/>
        <family val="0"/>
        <charset val="1"/>
      </rPr>
      <t xml:space="preserve">(sfratto)</t>
    </r>
    <r>
      <rPr>
        <sz val="10"/>
        <rFont val="WenQuanYi Zen Hei"/>
        <family val="2"/>
      </rPr>
      <t xml:space="preserve">이 다음 날 아침으로 잡혔다는 급보가 온다</t>
    </r>
    <r>
      <rPr>
        <sz val="10"/>
        <rFont val="Arial"/>
        <family val="0"/>
        <charset val="1"/>
      </rPr>
      <t xml:space="preserve">. Garibaldi</t>
    </r>
    <r>
      <rPr>
        <sz val="10"/>
        <rFont val="WenQuanYi Zen Hei"/>
        <family val="2"/>
      </rPr>
      <t xml:space="preserve">가 주민을 </t>
    </r>
    <r>
      <rPr>
        <sz val="10"/>
        <rFont val="Arial"/>
        <family val="0"/>
        <charset val="1"/>
      </rPr>
      <t xml:space="preserve">'</t>
    </r>
    <r>
      <rPr>
        <sz val="10"/>
        <rFont val="WenQuanYi Zen Hei"/>
        <family val="2"/>
      </rPr>
      <t xml:space="preserve">의용대</t>
    </r>
    <r>
      <rPr>
        <sz val="10"/>
        <rFont val="Arial"/>
        <family val="0"/>
        <charset val="1"/>
      </rPr>
      <t xml:space="preserve">'</t>
    </r>
    <r>
      <rPr>
        <sz val="10"/>
        <rFont val="WenQuanYi Zen Hei"/>
        <family val="2"/>
      </rPr>
      <t xml:space="preserve">처럼 조직하고 </t>
    </r>
    <r>
      <rPr>
        <sz val="10"/>
        <rFont val="Arial"/>
        <family val="0"/>
        <charset val="1"/>
      </rPr>
      <t xml:space="preserve">Paolo</t>
    </r>
    <r>
      <rPr>
        <sz val="10"/>
        <rFont val="WenQuanYi Zen Hei"/>
        <family val="2"/>
      </rPr>
      <t xml:space="preserve">가 이웃들을 모은다</t>
    </r>
    <r>
      <rPr>
        <sz val="10"/>
        <rFont val="Arial"/>
        <family val="0"/>
        <charset val="1"/>
      </rPr>
      <t xml:space="preserve">. </t>
    </r>
    <r>
      <rPr>
        <sz val="10"/>
        <rFont val="WenQuanYi Zen Hei"/>
        <family val="2"/>
      </rPr>
      <t xml:space="preserve">네 사람이 각자 서류</t>
    </r>
    <r>
      <rPr>
        <sz val="10"/>
        <rFont val="Arial"/>
        <family val="0"/>
        <charset val="1"/>
      </rPr>
      <t xml:space="preserve">·</t>
    </r>
    <r>
      <rPr>
        <sz val="10"/>
        <rFont val="WenQuanYi Zen Hei"/>
        <family val="2"/>
      </rPr>
      <t xml:space="preserve">건강</t>
    </r>
    <r>
      <rPr>
        <sz val="10"/>
        <rFont val="Arial"/>
        <family val="0"/>
        <charset val="1"/>
      </rPr>
      <t xml:space="preserve">·</t>
    </r>
    <r>
      <rPr>
        <sz val="10"/>
        <rFont val="WenQuanYi Zen Hei"/>
        <family val="2"/>
      </rPr>
      <t xml:space="preserve">숫자</t>
    </r>
    <r>
      <rPr>
        <sz val="10"/>
        <rFont val="Arial"/>
        <family val="0"/>
        <charset val="1"/>
      </rPr>
      <t xml:space="preserve">·</t>
    </r>
    <r>
      <rPr>
        <sz val="10"/>
        <rFont val="WenQuanYi Zen Hei"/>
        <family val="2"/>
      </rPr>
      <t xml:space="preserve">동선을 맡아 밤새 준비하지만 승산은 불투명하다</t>
    </r>
    <r>
      <rPr>
        <sz val="10"/>
        <rFont val="Arial"/>
        <family val="0"/>
        <charset val="1"/>
      </rPr>
      <t xml:space="preserve">.</t>
    </r>
  </si>
  <si>
    <t xml:space="preserve">퇴거 집행 예고(preavviso di rilascio), 긴급 동원, 이웃 조직</t>
  </si>
  <si>
    <t xml:space="preserve">Marco, Giulia, Alessandro, Chiara, Garibaldi, Paolo, Sofia, Rosa</t>
  </si>
  <si>
    <t xml:space="preserve">사건2 해결</t>
  </si>
  <si>
    <t xml:space="preserve">Il furgone che non arrivò</t>
  </si>
  <si>
    <t xml:space="preserve">오지 않은 트럭</t>
  </si>
  <si>
    <r>
      <rPr>
        <sz val="10"/>
        <rFont val="Arial"/>
        <family val="0"/>
        <charset val="1"/>
      </rPr>
      <t xml:space="preserve">[</t>
    </r>
    <r>
      <rPr>
        <sz val="10"/>
        <rFont val="WenQuanYi Zen Hei"/>
        <family val="2"/>
      </rPr>
      <t xml:space="preserve">사건</t>
    </r>
    <r>
      <rPr>
        <sz val="10"/>
        <rFont val="Arial"/>
        <family val="0"/>
        <charset val="1"/>
      </rPr>
      <t xml:space="preserve">2 </t>
    </r>
    <r>
      <rPr>
        <sz val="10"/>
        <rFont val="WenQuanYi Zen Hei"/>
        <family val="2"/>
      </rPr>
      <t xml:space="preserve">해결</t>
    </r>
    <r>
      <rPr>
        <sz val="10"/>
        <rFont val="Arial"/>
        <family val="0"/>
        <charset val="1"/>
      </rPr>
      <t xml:space="preserve">] </t>
    </r>
    <r>
      <rPr>
        <sz val="10"/>
        <rFont val="WenQuanYi Zen Hei"/>
        <family val="2"/>
      </rPr>
      <t xml:space="preserve">집행 당일 아침</t>
    </r>
    <r>
      <rPr>
        <sz val="10"/>
        <rFont val="Arial"/>
        <family val="0"/>
        <charset val="1"/>
      </rPr>
      <t xml:space="preserve">. Marco</t>
    </r>
    <r>
      <rPr>
        <sz val="10"/>
        <rFont val="WenQuanYi Zen Hei"/>
        <family val="2"/>
      </rPr>
      <t xml:space="preserve">의 집행 연기 신청</t>
    </r>
    <r>
      <rPr>
        <sz val="10"/>
        <rFont val="Arial"/>
        <family val="0"/>
        <charset val="1"/>
      </rPr>
      <t xml:space="preserve">, Giulia</t>
    </r>
    <r>
      <rPr>
        <sz val="10"/>
        <rFont val="WenQuanYi Zen Hei"/>
        <family val="2"/>
      </rPr>
      <t xml:space="preserve">의 취약계층 진단서</t>
    </r>
    <r>
      <rPr>
        <sz val="10"/>
        <rFont val="Arial"/>
        <family val="0"/>
        <charset val="1"/>
      </rPr>
      <t xml:space="preserve">, Alessandro</t>
    </r>
    <r>
      <rPr>
        <sz val="10"/>
        <rFont val="WenQuanYi Zen Hei"/>
        <family val="2"/>
      </rPr>
      <t xml:space="preserve">의 체납액 계산과 비귀책 체납 기금 신청</t>
    </r>
    <r>
      <rPr>
        <sz val="10"/>
        <rFont val="Arial"/>
        <family val="0"/>
        <charset val="1"/>
      </rPr>
      <t xml:space="preserve">, Chiara</t>
    </r>
    <r>
      <rPr>
        <sz val="10"/>
        <rFont val="WenQuanYi Zen Hei"/>
        <family val="2"/>
      </rPr>
      <t xml:space="preserve">의 동선 배치가 맞물려 집행관이 집행을 연기한다</t>
    </r>
    <r>
      <rPr>
        <sz val="10"/>
        <rFont val="Arial"/>
        <family val="0"/>
        <charset val="1"/>
      </rPr>
      <t xml:space="preserve">. Garibaldi</t>
    </r>
    <r>
      <rPr>
        <sz val="10"/>
        <rFont val="WenQuanYi Zen Hei"/>
        <family val="2"/>
      </rPr>
      <t xml:space="preserve">의 </t>
    </r>
    <r>
      <rPr>
        <sz val="10"/>
        <rFont val="Arial"/>
        <family val="0"/>
        <charset val="1"/>
      </rPr>
      <t xml:space="preserve">«Nulla da segnalare» </t>
    </r>
    <r>
      <rPr>
        <sz val="10"/>
        <rFont val="WenQuanYi Zen Hei"/>
        <family val="2"/>
      </rPr>
      <t xml:space="preserve">보고로 마무리된다</t>
    </r>
    <r>
      <rPr>
        <sz val="10"/>
        <rFont val="Arial"/>
        <family val="0"/>
        <charset val="1"/>
      </rPr>
      <t xml:space="preserve">.</t>
    </r>
  </si>
  <si>
    <t xml:space="preserve">집행 연기(rinvio dell'esecuzione), 비귀책 체납 기금(Fondo morosità incolpevole), 집행관(ufficiale giudiziario) 대응</t>
  </si>
  <si>
    <t xml:space="preserve">사건3 도입</t>
  </si>
  <si>
    <t xml:space="preserve">Lo stagista della fabbrica</t>
  </si>
  <si>
    <t xml:space="preserve">공장의 인턴</t>
  </si>
  <si>
    <r>
      <rPr>
        <sz val="10"/>
        <rFont val="Arial"/>
        <family val="0"/>
        <charset val="1"/>
      </rPr>
      <t xml:space="preserve">[</t>
    </r>
    <r>
      <rPr>
        <sz val="10"/>
        <rFont val="WenQuanYi Zen Hei"/>
        <family val="2"/>
      </rPr>
      <t xml:space="preserve">사건</t>
    </r>
    <r>
      <rPr>
        <sz val="10"/>
        <rFont val="Arial"/>
        <family val="0"/>
        <charset val="1"/>
      </rPr>
      <t xml:space="preserve">3 </t>
    </r>
    <r>
      <rPr>
        <sz val="10"/>
        <rFont val="WenQuanYi Zen Hei"/>
        <family val="2"/>
      </rPr>
      <t xml:space="preserve">도입</t>
    </r>
    <r>
      <rPr>
        <sz val="10"/>
        <rFont val="Arial"/>
        <family val="0"/>
        <charset val="1"/>
      </rPr>
      <t xml:space="preserve">] </t>
    </r>
    <r>
      <rPr>
        <sz val="10"/>
        <rFont val="WenQuanYi Zen Hei"/>
        <family val="2"/>
      </rPr>
      <t xml:space="preserve">임금 체불과 무급 초과근무에 지친 청년 노동자 </t>
    </r>
    <r>
      <rPr>
        <sz val="10"/>
        <rFont val="Arial"/>
        <family val="0"/>
        <charset val="1"/>
      </rPr>
      <t xml:space="preserve">Davide(</t>
    </r>
    <r>
      <rPr>
        <sz val="10"/>
        <rFont val="WenQuanYi Zen Hei"/>
        <family val="2"/>
      </rPr>
      <t xml:space="preserve">가상</t>
    </r>
    <r>
      <rPr>
        <sz val="10"/>
        <rFont val="Arial"/>
        <family val="0"/>
        <charset val="1"/>
      </rPr>
      <t xml:space="preserve">)</t>
    </r>
    <r>
      <rPr>
        <sz val="10"/>
        <rFont val="WenQuanYi Zen Hei"/>
        <family val="2"/>
      </rPr>
      <t xml:space="preserve">가 찾아온다</t>
    </r>
    <r>
      <rPr>
        <sz val="10"/>
        <rFont val="Arial"/>
        <family val="0"/>
        <charset val="1"/>
      </rPr>
      <t xml:space="preserve">. </t>
    </r>
    <r>
      <rPr>
        <sz val="10"/>
        <rFont val="WenQuanYi Zen Hei"/>
        <family val="2"/>
      </rPr>
      <t xml:space="preserve">서류상 </t>
    </r>
    <r>
      <rPr>
        <sz val="10"/>
        <rFont val="Arial"/>
        <family val="0"/>
        <charset val="1"/>
      </rPr>
      <t xml:space="preserve">'</t>
    </r>
    <r>
      <rPr>
        <sz val="10"/>
        <rFont val="WenQuanYi Zen Hei"/>
        <family val="2"/>
      </rPr>
      <t xml:space="preserve">인턴</t>
    </r>
    <r>
      <rPr>
        <sz val="10"/>
        <rFont val="Arial"/>
        <family val="0"/>
        <charset val="1"/>
      </rPr>
      <t xml:space="preserve">(tirocinio)'</t>
    </r>
    <r>
      <rPr>
        <sz val="10"/>
        <rFont val="WenQuanYi Zen Hei"/>
        <family val="2"/>
      </rPr>
      <t xml:space="preserve">이지만 실제로는 정규직 일을 한다</t>
    </r>
    <r>
      <rPr>
        <sz val="10"/>
        <rFont val="Arial"/>
        <family val="0"/>
        <charset val="1"/>
      </rPr>
      <t xml:space="preserve">. Chiara</t>
    </r>
    <r>
      <rPr>
        <sz val="10"/>
        <rFont val="WenQuanYi Zen Hei"/>
        <family val="2"/>
      </rPr>
      <t xml:space="preserve">가 컨설팅 용어로 상황을 분석하려 하고 </t>
    </r>
    <r>
      <rPr>
        <sz val="10"/>
        <rFont val="Arial"/>
        <family val="0"/>
        <charset val="1"/>
      </rPr>
      <t xml:space="preserve">Sofia</t>
    </r>
    <r>
      <rPr>
        <sz val="10"/>
        <rFont val="WenQuanYi Zen Hei"/>
        <family val="2"/>
      </rPr>
      <t xml:space="preserve">가 통역하듯 애쓰지만 </t>
    </r>
    <r>
      <rPr>
        <sz val="10"/>
        <rFont val="Arial"/>
        <family val="0"/>
        <charset val="1"/>
      </rPr>
      <t xml:space="preserve">Davide</t>
    </r>
    <r>
      <rPr>
        <sz val="10"/>
        <rFont val="WenQuanYi Zen Hei"/>
        <family val="2"/>
      </rPr>
      <t xml:space="preserve">는 점점 지쳐 간다</t>
    </r>
    <r>
      <rPr>
        <sz val="10"/>
        <rFont val="Arial"/>
        <family val="0"/>
        <charset val="1"/>
      </rPr>
      <t xml:space="preserve">.</t>
    </r>
  </si>
  <si>
    <t xml:space="preserve">위장 인턴(tirocinio), 기간제 계약, 초과근무, 경영 용어의 벽</t>
  </si>
  <si>
    <r>
      <rPr>
        <sz val="10"/>
        <rFont val="Arial"/>
        <family val="0"/>
        <charset val="1"/>
      </rPr>
      <t xml:space="preserve">Chiara, Sofia, Alessandro, Rosa, Machiavelli, Davide(</t>
    </r>
    <r>
      <rPr>
        <sz val="10"/>
        <rFont val="WenQuanYi Zen Hei"/>
        <family val="2"/>
      </rPr>
      <t xml:space="preserve">가상</t>
    </r>
    <r>
      <rPr>
        <sz val="10"/>
        <rFont val="Arial"/>
        <family val="0"/>
        <charset val="1"/>
      </rPr>
      <t xml:space="preserve">)</t>
    </r>
  </si>
  <si>
    <t xml:space="preserve">S1</t>
  </si>
  <si>
    <t xml:space="preserve">사건3 해결(폭발)</t>
  </si>
  <si>
    <t xml:space="preserve">Basta!</t>
  </si>
  <si>
    <t xml:space="preserve">그만!</t>
  </si>
  <si>
    <r>
      <rPr>
        <sz val="10"/>
        <rFont val="Arial"/>
        <family val="0"/>
        <charset val="1"/>
      </rPr>
      <t xml:space="preserve">[</t>
    </r>
    <r>
      <rPr>
        <sz val="10"/>
        <rFont val="WenQuanYi Zen Hei"/>
        <family val="2"/>
      </rPr>
      <t xml:space="preserve">사건</t>
    </r>
    <r>
      <rPr>
        <sz val="10"/>
        <rFont val="Arial"/>
        <family val="0"/>
        <charset val="1"/>
      </rPr>
      <t xml:space="preserve">3 </t>
    </r>
    <r>
      <rPr>
        <sz val="10"/>
        <rFont val="WenQuanYi Zen Hei"/>
        <family val="2"/>
      </rPr>
      <t xml:space="preserve">해결</t>
    </r>
    <r>
      <rPr>
        <sz val="10"/>
        <rFont val="Arial"/>
        <family val="0"/>
        <charset val="1"/>
      </rPr>
      <t xml:space="preserve">] </t>
    </r>
    <r>
      <rPr>
        <sz val="10"/>
        <rFont val="WenQuanYi Zen Hei"/>
        <family val="2"/>
      </rPr>
      <t xml:space="preserve">협상 자리에서 </t>
    </r>
    <r>
      <rPr>
        <sz val="10"/>
        <rFont val="Arial"/>
        <family val="0"/>
        <charset val="1"/>
      </rPr>
      <t xml:space="preserve">Chiara</t>
    </r>
    <r>
      <rPr>
        <sz val="10"/>
        <rFont val="WenQuanYi Zen Hei"/>
        <family val="2"/>
      </rPr>
      <t xml:space="preserve">의 용어가 한 시간째 이어지자 </t>
    </r>
    <r>
      <rPr>
        <sz val="10"/>
        <rFont val="Arial"/>
        <family val="0"/>
        <charset val="1"/>
      </rPr>
      <t xml:space="preserve">Sofia</t>
    </r>
    <r>
      <rPr>
        <sz val="10"/>
        <rFont val="WenQuanYi Zen Hei"/>
        <family val="2"/>
      </rPr>
      <t xml:space="preserve">가 폭발한다</t>
    </r>
    <r>
      <rPr>
        <sz val="10"/>
        <rFont val="Arial"/>
        <family val="0"/>
        <charset val="1"/>
      </rPr>
      <t xml:space="preserve">(1</t>
    </r>
    <r>
      <rPr>
        <sz val="10"/>
        <rFont val="WenQuanYi Zen Hei"/>
        <family val="2"/>
      </rPr>
      <t xml:space="preserve">차 폭발</t>
    </r>
    <r>
      <rPr>
        <sz val="10"/>
        <rFont val="Arial"/>
        <family val="0"/>
        <charset val="1"/>
      </rPr>
      <t xml:space="preserve">). Giulia·Garibaldi·Rosa·Gramsci</t>
    </r>
    <r>
      <rPr>
        <sz val="10"/>
        <rFont val="WenQuanYi Zen Hei"/>
        <family val="2"/>
      </rPr>
      <t xml:space="preserve">의 고정 반응</t>
    </r>
    <r>
      <rPr>
        <sz val="10"/>
        <rFont val="Arial"/>
        <family val="0"/>
        <charset val="1"/>
      </rPr>
      <t xml:space="preserve">, Cesare</t>
    </r>
    <r>
      <rPr>
        <sz val="10"/>
        <rFont val="WenQuanYi Zen Hei"/>
        <family val="2"/>
      </rPr>
      <t xml:space="preserve">의 </t>
    </r>
    <r>
      <rPr>
        <sz val="10"/>
        <rFont val="Arial"/>
        <family val="0"/>
        <charset val="1"/>
      </rPr>
      <t xml:space="preserve">«Stolta… Domanda.», Alessandro</t>
    </r>
    <r>
      <rPr>
        <sz val="10"/>
        <rFont val="WenQuanYi Zen Hei"/>
        <family val="2"/>
      </rPr>
      <t xml:space="preserve">의 </t>
    </r>
    <r>
      <rPr>
        <sz val="10"/>
        <rFont val="Arial"/>
        <family val="0"/>
        <charset val="1"/>
      </rPr>
      <t xml:space="preserve">«Traduco io.» </t>
    </r>
    <r>
      <rPr>
        <sz val="10"/>
        <rFont val="WenQuanYi Zen Hei"/>
        <family val="2"/>
      </rPr>
      <t xml:space="preserve">이후 쉬운 말로 다시 협상해 밀린 임금 지급과 정식 계약 전환에 합의한다</t>
    </r>
    <r>
      <rPr>
        <sz val="10"/>
        <rFont val="Arial"/>
        <family val="0"/>
        <charset val="1"/>
      </rPr>
      <t xml:space="preserve">.</t>
    </r>
  </si>
  <si>
    <t xml:space="preserve">감정 표현, 전문 용어 → 쉬운 말, 임금 체불 합의(conciliazione)</t>
  </si>
  <si>
    <r>
      <rPr>
        <sz val="10"/>
        <rFont val="Arial"/>
        <family val="0"/>
        <charset val="1"/>
      </rPr>
      <t xml:space="preserve">Sofia, Chiara, Alessandro, Giulia, Cesare, Garibaldi, Rosa, Gramsci, Davide(</t>
    </r>
    <r>
      <rPr>
        <sz val="10"/>
        <rFont val="WenQuanYi Zen Hei"/>
        <family val="2"/>
      </rPr>
      <t xml:space="preserve">가상</t>
    </r>
    <r>
      <rPr>
        <sz val="10"/>
        <rFont val="Arial"/>
        <family val="0"/>
        <charset val="1"/>
      </rPr>
      <t xml:space="preserve">)</t>
    </r>
  </si>
  <si>
    <t xml:space="preserve">사건4 도입</t>
  </si>
  <si>
    <t xml:space="preserve">La bambina con la febbre</t>
  </si>
  <si>
    <t xml:space="preserve">열이 나는 아이</t>
  </si>
  <si>
    <r>
      <rPr>
        <sz val="10"/>
        <rFont val="Arial"/>
        <family val="0"/>
        <charset val="1"/>
      </rPr>
      <t xml:space="preserve">[</t>
    </r>
    <r>
      <rPr>
        <sz val="10"/>
        <rFont val="WenQuanYi Zen Hei"/>
        <family val="2"/>
      </rPr>
      <t xml:space="preserve">사건</t>
    </r>
    <r>
      <rPr>
        <sz val="10"/>
        <rFont val="Arial"/>
        <family val="0"/>
        <charset val="1"/>
      </rPr>
      <t xml:space="preserve">4 </t>
    </r>
    <r>
      <rPr>
        <sz val="10"/>
        <rFont val="WenQuanYi Zen Hei"/>
        <family val="2"/>
      </rPr>
      <t xml:space="preserve">도입</t>
    </r>
    <r>
      <rPr>
        <sz val="10"/>
        <rFont val="Arial"/>
        <family val="0"/>
        <charset val="1"/>
      </rPr>
      <t xml:space="preserve">] </t>
    </r>
    <r>
      <rPr>
        <sz val="10"/>
        <rFont val="WenQuanYi Zen Hei"/>
        <family val="2"/>
      </rPr>
      <t xml:space="preserve">체류 서류가 없어 소아과 주치의</t>
    </r>
    <r>
      <rPr>
        <sz val="10"/>
        <rFont val="Arial"/>
        <family val="0"/>
        <charset val="1"/>
      </rPr>
      <t xml:space="preserve">(pediatra)</t>
    </r>
    <r>
      <rPr>
        <sz val="10"/>
        <rFont val="WenQuanYi Zen Hei"/>
        <family val="2"/>
      </rPr>
      <t xml:space="preserve">를 배정받지 못하는 가족이 찾아온다</t>
    </r>
    <r>
      <rPr>
        <sz val="10"/>
        <rFont val="Arial"/>
        <family val="0"/>
        <charset val="1"/>
      </rPr>
      <t xml:space="preserve">. Giulia</t>
    </r>
    <r>
      <rPr>
        <sz val="10"/>
        <rFont val="WenQuanYi Zen Hei"/>
        <family val="2"/>
      </rPr>
      <t xml:space="preserve">가 나서고 </t>
    </r>
    <r>
      <rPr>
        <sz val="10"/>
        <rFont val="Arial"/>
        <family val="0"/>
        <charset val="1"/>
      </rPr>
      <t xml:space="preserve">Montessori</t>
    </r>
    <r>
      <rPr>
        <sz val="10"/>
        <rFont val="WenQuanYi Zen Hei"/>
        <family val="2"/>
      </rPr>
      <t xml:space="preserve">가 들러 </t>
    </r>
    <r>
      <rPr>
        <sz val="10"/>
        <rFont val="Arial"/>
        <family val="0"/>
        <charset val="1"/>
      </rPr>
      <t xml:space="preserve">«E questo come ti fa sentire?»</t>
    </r>
    <r>
      <rPr>
        <sz val="10"/>
        <rFont val="WenQuanYi Zen Hei"/>
        <family val="2"/>
      </rPr>
      <t xml:space="preserve">를 처음 선보인다</t>
    </r>
    <r>
      <rPr>
        <sz val="10"/>
        <rFont val="Arial"/>
        <family val="0"/>
        <charset val="1"/>
      </rPr>
      <t xml:space="preserve">. </t>
    </r>
    <r>
      <rPr>
        <sz val="10"/>
        <rFont val="WenQuanYi Zen Hei"/>
        <family val="2"/>
      </rPr>
      <t xml:space="preserve">마침 들른 </t>
    </r>
    <r>
      <rPr>
        <sz val="10"/>
        <rFont val="Arial"/>
        <family val="0"/>
        <charset val="1"/>
      </rPr>
      <t xml:space="preserve">Dante</t>
    </r>
    <r>
      <rPr>
        <sz val="10"/>
        <rFont val="WenQuanYi Zen Hei"/>
        <family val="2"/>
      </rPr>
      <t xml:space="preserve">는 </t>
    </r>
    <r>
      <rPr>
        <sz val="10"/>
        <rFont val="Arial"/>
        <family val="0"/>
        <charset val="1"/>
      </rPr>
      <t xml:space="preserve">Cesare</t>
    </r>
    <r>
      <rPr>
        <sz val="10"/>
        <rFont val="WenQuanYi Zen Hei"/>
        <family val="2"/>
      </rPr>
      <t xml:space="preserve">에게 원고를 놀림받다 </t>
    </r>
    <r>
      <rPr>
        <sz val="10"/>
        <rFont val="Arial"/>
        <family val="0"/>
        <charset val="1"/>
      </rPr>
      <t xml:space="preserve">«Niente male.»</t>
    </r>
    <r>
      <rPr>
        <sz val="10"/>
        <rFont val="WenQuanYi Zen Hei"/>
        <family val="2"/>
      </rPr>
      <t xml:space="preserve">라는 최고의 칭찬을 듣는다</t>
    </r>
    <r>
      <rPr>
        <sz val="10"/>
        <rFont val="Arial"/>
        <family val="0"/>
        <charset val="1"/>
      </rPr>
      <t xml:space="preserve">. </t>
    </r>
    <r>
      <rPr>
        <sz val="10"/>
        <rFont val="WenQuanYi Zen Hei"/>
        <family val="2"/>
      </rPr>
      <t xml:space="preserve">정작 진짜 아픈 아이 앞에서 </t>
    </r>
    <r>
      <rPr>
        <sz val="10"/>
        <rFont val="Arial"/>
        <family val="0"/>
        <charset val="1"/>
      </rPr>
      <t xml:space="preserve">Cesare</t>
    </r>
    <r>
      <rPr>
        <sz val="10"/>
        <rFont val="WenQuanYi Zen Hei"/>
        <family val="2"/>
      </rPr>
      <t xml:space="preserve">는 자기 무릎 타령을 멈춘다</t>
    </r>
    <r>
      <rPr>
        <sz val="10"/>
        <rFont val="Arial"/>
        <family val="0"/>
        <charset val="1"/>
      </rPr>
      <t xml:space="preserve">.</t>
    </r>
  </si>
  <si>
    <t xml:space="preserve">서류 없는 가족의 의료 접근, 증상 표현</t>
  </si>
  <si>
    <r>
      <rPr>
        <sz val="10"/>
        <rFont val="Arial"/>
        <family val="0"/>
        <charset val="1"/>
      </rPr>
      <t xml:space="preserve">Giulia, Montessori, Cesare, Dante, Sofia, Rosa, </t>
    </r>
    <r>
      <rPr>
        <sz val="10"/>
        <rFont val="WenQuanYi Zen Hei"/>
        <family val="2"/>
      </rPr>
      <t xml:space="preserve">가족</t>
    </r>
    <r>
      <rPr>
        <sz val="10"/>
        <rFont val="Arial"/>
        <family val="0"/>
        <charset val="1"/>
      </rPr>
      <t xml:space="preserve">(</t>
    </r>
    <r>
      <rPr>
        <sz val="10"/>
        <rFont val="WenQuanYi Zen Hei"/>
        <family val="2"/>
      </rPr>
      <t xml:space="preserve">가상</t>
    </r>
    <r>
      <rPr>
        <sz val="10"/>
        <rFont val="Arial"/>
        <family val="0"/>
        <charset val="1"/>
      </rPr>
      <t xml:space="preserve">: Amina·Noa)</t>
    </r>
  </si>
  <si>
    <t xml:space="preserve">S2</t>
  </si>
  <si>
    <t xml:space="preserve">사건4 해결</t>
  </si>
  <si>
    <t xml:space="preserve">Un codice per tutti</t>
  </si>
  <si>
    <t xml:space="preserve">모두를 위한 코드</t>
  </si>
  <si>
    <r>
      <rPr>
        <sz val="10"/>
        <rFont val="Arial"/>
        <family val="0"/>
        <charset val="1"/>
      </rPr>
      <t xml:space="preserve">[</t>
    </r>
    <r>
      <rPr>
        <sz val="10"/>
        <rFont val="WenQuanYi Zen Hei"/>
        <family val="2"/>
      </rPr>
      <t xml:space="preserve">사건</t>
    </r>
    <r>
      <rPr>
        <sz val="10"/>
        <rFont val="Arial"/>
        <family val="0"/>
        <charset val="1"/>
      </rPr>
      <t xml:space="preserve">4 </t>
    </r>
    <r>
      <rPr>
        <sz val="10"/>
        <rFont val="WenQuanYi Zen Hei"/>
        <family val="2"/>
      </rPr>
      <t xml:space="preserve">해결</t>
    </r>
    <r>
      <rPr>
        <sz val="10"/>
        <rFont val="Arial"/>
        <family val="0"/>
        <charset val="1"/>
      </rPr>
      <t xml:space="preserve">] Marco</t>
    </r>
    <r>
      <rPr>
        <sz val="10"/>
        <rFont val="WenQuanYi Zen Hei"/>
        <family val="2"/>
      </rPr>
      <t xml:space="preserve">와 </t>
    </r>
    <r>
      <rPr>
        <sz val="10"/>
        <rFont val="Arial"/>
        <family val="0"/>
        <charset val="1"/>
      </rPr>
      <t xml:space="preserve">Giulia</t>
    </r>
    <r>
      <rPr>
        <sz val="10"/>
        <rFont val="WenQuanYi Zen Hei"/>
        <family val="2"/>
      </rPr>
      <t xml:space="preserve">가 </t>
    </r>
    <r>
      <rPr>
        <sz val="10"/>
        <rFont val="Arial"/>
        <family val="0"/>
        <charset val="1"/>
      </rPr>
      <t xml:space="preserve">STP </t>
    </r>
    <r>
      <rPr>
        <sz val="10"/>
        <rFont val="WenQuanYi Zen Hei"/>
        <family val="2"/>
      </rPr>
      <t xml:space="preserve">코드</t>
    </r>
    <r>
      <rPr>
        <sz val="10"/>
        <rFont val="Arial"/>
        <family val="0"/>
        <charset val="1"/>
      </rPr>
      <t xml:space="preserve">(</t>
    </r>
    <r>
      <rPr>
        <sz val="10"/>
        <rFont val="WenQuanYi Zen Hei"/>
        <family val="2"/>
      </rPr>
      <t xml:space="preserve">체류 서류 없는 외국인의 긴급</t>
    </r>
    <r>
      <rPr>
        <sz val="10"/>
        <rFont val="Arial"/>
        <family val="0"/>
        <charset val="1"/>
      </rPr>
      <t xml:space="preserve">·</t>
    </r>
    <r>
      <rPr>
        <sz val="10"/>
        <rFont val="WenQuanYi Zen Hei"/>
        <family val="2"/>
      </rPr>
      <t xml:space="preserve">필수 진료 코드</t>
    </r>
    <r>
      <rPr>
        <sz val="10"/>
        <rFont val="Arial"/>
        <family val="0"/>
        <charset val="1"/>
      </rPr>
      <t xml:space="preserve">)</t>
    </r>
    <r>
      <rPr>
        <sz val="10"/>
        <rFont val="WenQuanYi Zen Hei"/>
        <family val="2"/>
      </rPr>
      <t xml:space="preserve">와 미성년자 소아과 등록 경로를 찾아내 아이가 진료를 받는다</t>
    </r>
    <r>
      <rPr>
        <sz val="10"/>
        <rFont val="Arial"/>
        <family val="0"/>
        <charset val="1"/>
      </rPr>
      <t xml:space="preserve">. Cesare</t>
    </r>
    <r>
      <rPr>
        <sz val="10"/>
        <rFont val="WenQuanYi Zen Hei"/>
        <family val="2"/>
      </rPr>
      <t xml:space="preserve">가 평소와 달리 조용히 커피를 마신다</t>
    </r>
    <r>
      <rPr>
        <sz val="10"/>
        <rFont val="Arial"/>
        <family val="0"/>
        <charset val="1"/>
      </rPr>
      <t xml:space="preserve">.</t>
    </r>
  </si>
  <si>
    <r>
      <rPr>
        <sz val="10"/>
        <rFont val="Noto Sans CJK SC"/>
        <family val="2"/>
        <charset val="1"/>
      </rPr>
      <t xml:space="preserve">STP </t>
    </r>
    <r>
      <rPr>
        <sz val="10"/>
        <rFont val="WenQuanYi Zen Hei"/>
        <family val="2"/>
      </rPr>
      <t xml:space="preserve">코드</t>
    </r>
    <r>
      <rPr>
        <sz val="10"/>
        <rFont val="Noto Sans CJK SC"/>
        <family val="2"/>
        <charset val="1"/>
      </rPr>
      <t xml:space="preserve">(d.lgs. 286/1998 </t>
    </r>
    <r>
      <rPr>
        <sz val="10"/>
        <rFont val="WenQuanYi Zen Hei"/>
        <family val="2"/>
      </rPr>
      <t xml:space="preserve">제</t>
    </r>
    <r>
      <rPr>
        <sz val="10"/>
        <rFont val="Noto Sans CJK SC"/>
        <family val="2"/>
        <charset val="1"/>
      </rPr>
      <t xml:space="preserve">35</t>
    </r>
    <r>
      <rPr>
        <sz val="10"/>
        <rFont val="WenQuanYi Zen Hei"/>
        <family val="2"/>
      </rPr>
      <t xml:space="preserve">조</t>
    </r>
    <r>
      <rPr>
        <sz val="10"/>
        <rFont val="Noto Sans CJK SC"/>
        <family val="2"/>
        <charset val="1"/>
      </rPr>
      <t xml:space="preserve">), </t>
    </r>
    <r>
      <rPr>
        <sz val="10"/>
        <rFont val="WenQuanYi Zen Hei"/>
        <family val="2"/>
      </rPr>
      <t xml:space="preserve">미성년자 소아과 등록</t>
    </r>
    <r>
      <rPr>
        <sz val="10"/>
        <rFont val="Noto Sans CJK SC"/>
        <family val="2"/>
        <charset val="1"/>
      </rPr>
      <t xml:space="preserve">, </t>
    </r>
    <r>
      <rPr>
        <sz val="10"/>
        <rFont val="WenQuanYi Zen Hei"/>
        <family val="2"/>
      </rPr>
      <t xml:space="preserve">진료 의뢰서</t>
    </r>
    <r>
      <rPr>
        <sz val="10"/>
        <rFont val="Noto Sans CJK SC"/>
        <family val="2"/>
        <charset val="1"/>
      </rPr>
      <t xml:space="preserve">(impegnativa)</t>
    </r>
  </si>
  <si>
    <r>
      <rPr>
        <sz val="10"/>
        <rFont val="Arial"/>
        <family val="0"/>
        <charset val="1"/>
      </rPr>
      <t xml:space="preserve">Giulia, Marco, Sofia, Rosa, </t>
    </r>
    <r>
      <rPr>
        <sz val="10"/>
        <rFont val="WenQuanYi Zen Hei"/>
        <family val="2"/>
      </rPr>
      <t xml:space="preserve">가족</t>
    </r>
    <r>
      <rPr>
        <sz val="10"/>
        <rFont val="Arial"/>
        <family val="0"/>
        <charset val="1"/>
      </rPr>
      <t xml:space="preserve">(</t>
    </r>
    <r>
      <rPr>
        <sz val="10"/>
        <rFont val="WenQuanYi Zen Hei"/>
        <family val="2"/>
      </rPr>
      <t xml:space="preserve">가상</t>
    </r>
    <r>
      <rPr>
        <sz val="10"/>
        <rFont val="Arial"/>
        <family val="0"/>
        <charset val="1"/>
      </rPr>
      <t xml:space="preserve">)</t>
    </r>
  </si>
  <si>
    <t xml:space="preserve">사건5 도입</t>
  </si>
  <si>
    <t xml:space="preserve">La vedova del quinto piano</t>
  </si>
  <si>
    <r>
      <rPr>
        <sz val="10"/>
        <rFont val="Arial"/>
        <family val="0"/>
        <charset val="1"/>
      </rPr>
      <t xml:space="preserve">5</t>
    </r>
    <r>
      <rPr>
        <sz val="10"/>
        <rFont val="WenQuanYi Zen Hei"/>
        <family val="2"/>
      </rPr>
      <t xml:space="preserve">층의 미망인</t>
    </r>
  </si>
  <si>
    <r>
      <rPr>
        <sz val="10"/>
        <rFont val="Arial"/>
        <family val="0"/>
        <charset val="1"/>
      </rPr>
      <t xml:space="preserve">[</t>
    </r>
    <r>
      <rPr>
        <sz val="10"/>
        <rFont val="WenQuanYi Zen Hei"/>
        <family val="2"/>
      </rPr>
      <t xml:space="preserve">사건</t>
    </r>
    <r>
      <rPr>
        <sz val="10"/>
        <rFont val="Arial"/>
        <family val="0"/>
        <charset val="1"/>
      </rPr>
      <t xml:space="preserve">5 </t>
    </r>
    <r>
      <rPr>
        <sz val="10"/>
        <rFont val="WenQuanYi Zen Hei"/>
        <family val="2"/>
      </rPr>
      <t xml:space="preserve">도입</t>
    </r>
    <r>
      <rPr>
        <sz val="10"/>
        <rFont val="Arial"/>
        <family val="0"/>
        <charset val="1"/>
      </rPr>
      <t xml:space="preserve">] </t>
    </r>
    <r>
      <rPr>
        <sz val="10"/>
        <rFont val="WenQuanYi Zen Hei"/>
        <family val="2"/>
      </rPr>
      <t xml:space="preserve">가짜 투자에 저축을 잃은 노년의 이웃 </t>
    </r>
    <r>
      <rPr>
        <sz val="10"/>
        <rFont val="Arial"/>
        <family val="0"/>
        <charset val="1"/>
      </rPr>
      <t xml:space="preserve">Iolanda(</t>
    </r>
    <r>
      <rPr>
        <sz val="10"/>
        <rFont val="WenQuanYi Zen Hei"/>
        <family val="2"/>
      </rPr>
      <t xml:space="preserve">가상</t>
    </r>
    <r>
      <rPr>
        <sz val="10"/>
        <rFont val="Arial"/>
        <family val="0"/>
        <charset val="1"/>
      </rPr>
      <t xml:space="preserve">)</t>
    </r>
    <r>
      <rPr>
        <sz val="10"/>
        <rFont val="WenQuanYi Zen Hei"/>
        <family val="2"/>
      </rPr>
      <t xml:space="preserve">가 찾아온다</t>
    </r>
    <r>
      <rPr>
        <sz val="10"/>
        <rFont val="Arial"/>
        <family val="0"/>
        <charset val="1"/>
      </rPr>
      <t xml:space="preserve">. Alessandro</t>
    </r>
    <r>
      <rPr>
        <sz val="10"/>
        <rFont val="WenQuanYi Zen Hei"/>
        <family val="2"/>
      </rPr>
      <t xml:space="preserve">가 장부를 살피는 동안</t>
    </r>
    <r>
      <rPr>
        <sz val="10"/>
        <rFont val="Arial"/>
        <family val="0"/>
        <charset val="1"/>
      </rPr>
      <t xml:space="preserve">, </t>
    </r>
    <r>
      <rPr>
        <sz val="10"/>
        <rFont val="WenQuanYi Zen Hei"/>
        <family val="2"/>
      </rPr>
      <t xml:space="preserve">양복 입은 낯선 남자 </t>
    </r>
    <r>
      <rPr>
        <sz val="10"/>
        <rFont val="Arial"/>
        <family val="0"/>
        <charset val="1"/>
      </rPr>
      <t xml:space="preserve">Francesco</t>
    </r>
    <r>
      <rPr>
        <sz val="10"/>
        <rFont val="WenQuanYi Zen Hei"/>
        <family val="2"/>
      </rPr>
      <t xml:space="preserve">가 나타나 은행 쪽 흐름을 봐 주겠다고 하면서도 자기 이야기는 하지 않는다</t>
    </r>
    <r>
      <rPr>
        <sz val="10"/>
        <rFont val="Arial"/>
        <family val="0"/>
        <charset val="1"/>
      </rPr>
      <t xml:space="preserve">. Galileo</t>
    </r>
    <r>
      <rPr>
        <sz val="10"/>
        <rFont val="WenQuanYi Zen Hei"/>
        <family val="2"/>
      </rPr>
      <t xml:space="preserve">가 </t>
    </r>
    <r>
      <rPr>
        <sz val="10"/>
        <rFont val="Arial"/>
        <family val="0"/>
        <charset val="1"/>
      </rPr>
      <t xml:space="preserve">'</t>
    </r>
    <r>
      <rPr>
        <sz val="10"/>
        <rFont val="WenQuanYi Zen Hei"/>
        <family val="2"/>
      </rPr>
      <t xml:space="preserve">관찰 대상</t>
    </r>
    <r>
      <rPr>
        <sz val="10"/>
        <rFont val="Arial"/>
        <family val="0"/>
        <charset val="1"/>
      </rPr>
      <t xml:space="preserve">'</t>
    </r>
    <r>
      <rPr>
        <sz val="10"/>
        <rFont val="WenQuanYi Zen Hei"/>
        <family val="2"/>
      </rPr>
      <t xml:space="preserve">이라며 기웃거린다</t>
    </r>
    <r>
      <rPr>
        <sz val="10"/>
        <rFont val="Arial"/>
        <family val="0"/>
        <charset val="1"/>
      </rPr>
      <t xml:space="preserve">.</t>
    </r>
  </si>
  <si>
    <t xml:space="preserve">저축·투자 사기, 은행 계좌 기초 어휘</t>
  </si>
  <si>
    <r>
      <rPr>
        <sz val="10"/>
        <rFont val="Arial"/>
        <family val="0"/>
        <charset val="1"/>
      </rPr>
      <t xml:space="preserve">Alessandro, Francesco, Galileo, Sofia, Rosa, Iolanda(</t>
    </r>
    <r>
      <rPr>
        <sz val="10"/>
        <rFont val="WenQuanYi Zen Hei"/>
        <family val="2"/>
      </rPr>
      <t xml:space="preserve">가상</t>
    </r>
    <r>
      <rPr>
        <sz val="10"/>
        <rFont val="Arial"/>
        <family val="0"/>
        <charset val="1"/>
      </rPr>
      <t xml:space="preserve">)</t>
    </r>
  </si>
  <si>
    <t xml:space="preserve">E3</t>
  </si>
  <si>
    <t xml:space="preserve">사건5 해결</t>
  </si>
  <si>
    <t xml:space="preserve">Segui il denaro</t>
  </si>
  <si>
    <t xml:space="preserve">돈을 따라가라</t>
  </si>
  <si>
    <r>
      <rPr>
        <sz val="10"/>
        <rFont val="Arial"/>
        <family val="0"/>
        <charset val="1"/>
      </rPr>
      <t xml:space="preserve">[</t>
    </r>
    <r>
      <rPr>
        <sz val="10"/>
        <rFont val="WenQuanYi Zen Hei"/>
        <family val="2"/>
      </rPr>
      <t xml:space="preserve">사건</t>
    </r>
    <r>
      <rPr>
        <sz val="10"/>
        <rFont val="Arial"/>
        <family val="0"/>
        <charset val="1"/>
      </rPr>
      <t xml:space="preserve">5 </t>
    </r>
    <r>
      <rPr>
        <sz val="10"/>
        <rFont val="WenQuanYi Zen Hei"/>
        <family val="2"/>
      </rPr>
      <t xml:space="preserve">해결</t>
    </r>
    <r>
      <rPr>
        <sz val="10"/>
        <rFont val="Arial"/>
        <family val="0"/>
        <charset val="1"/>
      </rPr>
      <t xml:space="preserve">] Francesco</t>
    </r>
    <r>
      <rPr>
        <sz val="10"/>
        <rFont val="WenQuanYi Zen Hei"/>
        <family val="2"/>
      </rPr>
      <t xml:space="preserve">의 계좌 흐름 추적과 </t>
    </r>
    <r>
      <rPr>
        <sz val="10"/>
        <rFont val="Arial"/>
        <family val="0"/>
        <charset val="1"/>
      </rPr>
      <t xml:space="preserve">Alessandro</t>
    </r>
    <r>
      <rPr>
        <sz val="10"/>
        <rFont val="WenQuanYi Zen Hei"/>
        <family val="2"/>
      </rPr>
      <t xml:space="preserve">의 장부 대조로 사기 계좌를 찾아 돈 일부를 되찾는다</t>
    </r>
    <r>
      <rPr>
        <sz val="10"/>
        <rFont val="Arial"/>
        <family val="0"/>
        <charset val="1"/>
      </rPr>
      <t xml:space="preserve">. Francesco</t>
    </r>
    <r>
      <rPr>
        <sz val="10"/>
        <rFont val="WenQuanYi Zen Hei"/>
        <family val="2"/>
      </rPr>
      <t xml:space="preserve">는 설명 없이 떠나고</t>
    </r>
    <r>
      <rPr>
        <sz val="10"/>
        <rFont val="Arial"/>
        <family val="0"/>
        <charset val="1"/>
      </rPr>
      <t xml:space="preserve">, Alessandro</t>
    </r>
    <r>
      <rPr>
        <sz val="10"/>
        <rFont val="WenQuanYi Zen Hei"/>
        <family val="2"/>
      </rPr>
      <t xml:space="preserve">는 </t>
    </r>
    <r>
      <rPr>
        <sz val="10"/>
        <rFont val="Arial"/>
        <family val="0"/>
        <charset val="1"/>
      </rPr>
      <t xml:space="preserve">«Banca Adriatica»</t>
    </r>
    <r>
      <rPr>
        <sz val="10"/>
        <rFont val="WenQuanYi Zen Hei"/>
        <family val="2"/>
      </rPr>
      <t xml:space="preserve">라는 이름에 말없이 굳는다</t>
    </r>
    <r>
      <rPr>
        <sz val="10"/>
        <rFont val="Arial"/>
        <family val="0"/>
        <charset val="1"/>
      </rPr>
      <t xml:space="preserve">.</t>
    </r>
  </si>
  <si>
    <t xml:space="preserve">자금 흐름 추적, 계좌·송금(bonifico) 어휘</t>
  </si>
  <si>
    <r>
      <rPr>
        <sz val="10"/>
        <rFont val="Arial"/>
        <family val="0"/>
        <charset val="1"/>
      </rPr>
      <t xml:space="preserve">Alessandro, Francesco, Sofia, Rosa, Iolanda(</t>
    </r>
    <r>
      <rPr>
        <sz val="10"/>
        <rFont val="WenQuanYi Zen Hei"/>
        <family val="2"/>
      </rPr>
      <t xml:space="preserve">가상</t>
    </r>
    <r>
      <rPr>
        <sz val="10"/>
        <rFont val="Arial"/>
        <family val="0"/>
        <charset val="1"/>
      </rPr>
      <t xml:space="preserve">)</t>
    </r>
  </si>
  <si>
    <t xml:space="preserve">사건6 도입</t>
  </si>
  <si>
    <t xml:space="preserve">Una carta di anni fa</t>
  </si>
  <si>
    <t xml:space="preserve">수년 전 서류</t>
  </si>
  <si>
    <r>
      <rPr>
        <sz val="10"/>
        <rFont val="Arial"/>
        <family val="0"/>
        <charset val="1"/>
      </rPr>
      <t xml:space="preserve">[</t>
    </r>
    <r>
      <rPr>
        <sz val="10"/>
        <rFont val="WenQuanYi Zen Hei"/>
        <family val="2"/>
      </rPr>
      <t xml:space="preserve">사건</t>
    </r>
    <r>
      <rPr>
        <sz val="10"/>
        <rFont val="Arial"/>
        <family val="0"/>
        <charset val="1"/>
      </rPr>
      <t xml:space="preserve">6 </t>
    </r>
    <r>
      <rPr>
        <sz val="10"/>
        <rFont val="WenQuanYi Zen Hei"/>
        <family val="2"/>
      </rPr>
      <t xml:space="preserve">도입</t>
    </r>
    <r>
      <rPr>
        <sz val="10"/>
        <rFont val="Arial"/>
        <family val="0"/>
        <charset val="1"/>
      </rPr>
      <t xml:space="preserve">] Fatima</t>
    </r>
    <r>
      <rPr>
        <sz val="10"/>
        <rFont val="WenQuanYi Zen Hei"/>
        <family val="2"/>
      </rPr>
      <t xml:space="preserve">의 남편 </t>
    </r>
    <r>
      <rPr>
        <sz val="10"/>
        <rFont val="Arial"/>
        <family val="0"/>
        <charset val="1"/>
      </rPr>
      <t xml:space="preserve">Karim(</t>
    </r>
    <r>
      <rPr>
        <sz val="10"/>
        <rFont val="WenQuanYi Zen Hei"/>
        <family val="2"/>
      </rPr>
      <t xml:space="preserve">가상</t>
    </r>
    <r>
      <rPr>
        <sz val="10"/>
        <rFont val="Arial"/>
        <family val="0"/>
        <charset val="1"/>
      </rPr>
      <t xml:space="preserve">)</t>
    </r>
    <r>
      <rPr>
        <sz val="10"/>
        <rFont val="WenQuanYi Zen Hei"/>
        <family val="2"/>
      </rPr>
      <t xml:space="preserve">이 수십 년 전 다른 건물에서 받은 낡은 퇴거 서류를 들고 온다</t>
    </r>
    <r>
      <rPr>
        <sz val="10"/>
        <rFont val="Arial"/>
        <family val="0"/>
        <charset val="1"/>
      </rPr>
      <t xml:space="preserve">. </t>
    </r>
    <r>
      <rPr>
        <sz val="10"/>
        <rFont val="WenQuanYi Zen Hei"/>
        <family val="2"/>
      </rPr>
      <t xml:space="preserve">당장 급한 사안은 아니지만 오래된 절차 오류가 보인다</t>
    </r>
    <r>
      <rPr>
        <sz val="10"/>
        <rFont val="Arial"/>
        <family val="0"/>
        <charset val="1"/>
      </rPr>
      <t xml:space="preserve">. Galileo</t>
    </r>
    <r>
      <rPr>
        <sz val="10"/>
        <rFont val="WenQuanYi Zen Hei"/>
        <family val="2"/>
      </rPr>
      <t xml:space="preserve">가 </t>
    </r>
    <r>
      <rPr>
        <sz val="10"/>
        <rFont val="Arial"/>
        <family val="0"/>
        <charset val="1"/>
      </rPr>
      <t xml:space="preserve">«</t>
    </r>
    <r>
      <rPr>
        <sz val="10"/>
        <rFont val="WenQuanYi Zen Hei"/>
        <family val="2"/>
      </rPr>
      <t xml:space="preserve">증거가 두 개면 기사가 된다</t>
    </r>
    <r>
      <rPr>
        <sz val="10"/>
        <rFont val="Arial"/>
        <family val="0"/>
        <charset val="1"/>
      </rPr>
      <t xml:space="preserve">»</t>
    </r>
    <r>
      <rPr>
        <sz val="10"/>
        <rFont val="WenQuanYi Zen Hei"/>
        <family val="2"/>
      </rPr>
      <t xml:space="preserve">며 흥미를 보인다</t>
    </r>
    <r>
      <rPr>
        <sz val="10"/>
        <rFont val="Arial"/>
        <family val="0"/>
        <charset val="1"/>
      </rPr>
      <t xml:space="preserve">.</t>
    </r>
  </si>
  <si>
    <t xml:space="preserve">오래된 서류 판독, 절차 하자</t>
  </si>
  <si>
    <r>
      <rPr>
        <sz val="10"/>
        <rFont val="Arial"/>
        <family val="0"/>
        <charset val="1"/>
      </rPr>
      <t xml:space="preserve">Marco, Galileo, Sofia, Rosa, Karim(</t>
    </r>
    <r>
      <rPr>
        <sz val="10"/>
        <rFont val="WenQuanYi Zen Hei"/>
        <family val="2"/>
      </rPr>
      <t xml:space="preserve">가상</t>
    </r>
    <r>
      <rPr>
        <sz val="10"/>
        <rFont val="Arial"/>
        <family val="0"/>
        <charset val="1"/>
      </rPr>
      <t xml:space="preserve">)</t>
    </r>
  </si>
  <si>
    <t xml:space="preserve">사건6 해결(훅)</t>
  </si>
  <si>
    <t xml:space="preserve">La firma</t>
  </si>
  <si>
    <t xml:space="preserve">서명</t>
  </si>
  <si>
    <r>
      <rPr>
        <sz val="10"/>
        <rFont val="Arial"/>
        <family val="0"/>
        <charset val="1"/>
      </rPr>
      <t xml:space="preserve">[</t>
    </r>
    <r>
      <rPr>
        <sz val="10"/>
        <rFont val="WenQuanYi Zen Hei"/>
        <family val="2"/>
      </rPr>
      <t xml:space="preserve">사건</t>
    </r>
    <r>
      <rPr>
        <sz val="10"/>
        <rFont val="Arial"/>
        <family val="0"/>
        <charset val="1"/>
      </rPr>
      <t xml:space="preserve">6 </t>
    </r>
    <r>
      <rPr>
        <sz val="10"/>
        <rFont val="WenQuanYi Zen Hei"/>
        <family val="2"/>
      </rPr>
      <t xml:space="preserve">해결</t>
    </r>
    <r>
      <rPr>
        <sz val="10"/>
        <rFont val="Arial"/>
        <family val="0"/>
        <charset val="1"/>
      </rPr>
      <t xml:space="preserve">·</t>
    </r>
    <r>
      <rPr>
        <sz val="10"/>
        <rFont val="WenQuanYi Zen Hei"/>
        <family val="2"/>
      </rPr>
      <t xml:space="preserve">훅</t>
    </r>
    <r>
      <rPr>
        <sz val="10"/>
        <rFont val="Arial"/>
        <family val="0"/>
        <charset val="1"/>
      </rPr>
      <t xml:space="preserve">] </t>
    </r>
    <r>
      <rPr>
        <sz val="10"/>
        <rFont val="WenQuanYi Zen Hei"/>
        <family val="2"/>
      </rPr>
      <t xml:space="preserve">절차 오류를 바로잡아 오래된 기록을 정정하지만</t>
    </r>
    <r>
      <rPr>
        <sz val="10"/>
        <rFont val="Arial"/>
        <family val="0"/>
        <charset val="1"/>
      </rPr>
      <t xml:space="preserve">, </t>
    </r>
    <r>
      <rPr>
        <sz val="10"/>
        <rFont val="WenQuanYi Zen Hei"/>
        <family val="2"/>
      </rPr>
      <t xml:space="preserve">진짜 충격은 서류 맨 아래</t>
    </r>
    <r>
      <rPr>
        <sz val="10"/>
        <rFont val="Arial"/>
        <family val="0"/>
        <charset val="1"/>
      </rPr>
      <t xml:space="preserve">: Marco</t>
    </r>
    <r>
      <rPr>
        <sz val="10"/>
        <rFont val="WenQuanYi Zen Hei"/>
        <family val="2"/>
      </rPr>
      <t xml:space="preserve">의 옛 로펌 </t>
    </r>
    <r>
      <rPr>
        <sz val="10"/>
        <rFont val="Arial"/>
        <family val="0"/>
        <charset val="1"/>
      </rPr>
      <t xml:space="preserve">«Ferrari &amp; Colombo»</t>
    </r>
    <r>
      <rPr>
        <sz val="10"/>
        <rFont val="WenQuanYi Zen Hei"/>
        <family val="2"/>
      </rPr>
      <t xml:space="preserve">의 서명이다</t>
    </r>
    <r>
      <rPr>
        <sz val="10"/>
        <rFont val="Arial"/>
        <family val="0"/>
        <charset val="1"/>
      </rPr>
      <t xml:space="preserve">. Marco</t>
    </r>
    <r>
      <rPr>
        <sz val="10"/>
        <rFont val="WenQuanYi Zen Hei"/>
        <family val="2"/>
      </rPr>
      <t xml:space="preserve">가 얼어붙고 </t>
    </r>
    <r>
      <rPr>
        <sz val="10"/>
        <rFont val="Arial"/>
        <family val="0"/>
        <charset val="1"/>
      </rPr>
      <t xml:space="preserve">Rosa</t>
    </r>
    <r>
      <rPr>
        <sz val="10"/>
        <rFont val="WenQuanYi Zen Hei"/>
        <family val="2"/>
      </rPr>
      <t xml:space="preserve">가 </t>
    </r>
    <r>
      <rPr>
        <sz val="10"/>
        <rFont val="Arial"/>
        <family val="0"/>
        <charset val="1"/>
      </rPr>
      <t xml:space="preserve">«Sedetevi, che vi porto qualcosa.»</t>
    </r>
    <r>
      <rPr>
        <sz val="10"/>
        <rFont val="WenQuanYi Zen Hei"/>
        <family val="2"/>
      </rPr>
      <t xml:space="preserve">로 분위기를 잇는다</t>
    </r>
    <r>
      <rPr>
        <sz val="10"/>
        <rFont val="Arial"/>
        <family val="0"/>
        <charset val="1"/>
      </rPr>
      <t xml:space="preserve">. </t>
    </r>
    <r>
      <rPr>
        <sz val="10"/>
        <rFont val="WenQuanYi Zen Hei"/>
        <family val="2"/>
      </rPr>
      <t xml:space="preserve">금요일에는 </t>
    </r>
    <r>
      <rPr>
        <sz val="10"/>
        <rFont val="Arial"/>
        <family val="0"/>
        <charset val="1"/>
      </rPr>
      <t xml:space="preserve">Marco</t>
    </r>
    <r>
      <rPr>
        <sz val="10"/>
        <rFont val="WenQuanYi Zen Hei"/>
        <family val="2"/>
      </rPr>
      <t xml:space="preserve">의 이야기가 시작된다</t>
    </r>
    <r>
      <rPr>
        <sz val="10"/>
        <rFont val="Arial"/>
        <family val="0"/>
        <charset val="1"/>
      </rPr>
      <t xml:space="preserve">.</t>
    </r>
  </si>
  <si>
    <t xml:space="preserve">서명·기록 정정, 이름 확인</t>
  </si>
  <si>
    <r>
      <rPr>
        <sz val="10"/>
        <rFont val="Arial"/>
        <family val="0"/>
        <charset val="1"/>
      </rPr>
      <t xml:space="preserve">Marco, Rosa, Sofia, Cesare, Machiavelli, Karim(</t>
    </r>
    <r>
      <rPr>
        <sz val="10"/>
        <rFont val="WenQuanYi Zen Hei"/>
        <family val="2"/>
      </rPr>
      <t xml:space="preserve">가상</t>
    </r>
    <r>
      <rPr>
        <sz val="10"/>
        <rFont val="Arial"/>
        <family val="0"/>
        <charset val="1"/>
      </rPr>
      <t xml:space="preserve">)</t>
    </r>
  </si>
  <si>
    <t xml:space="preserve">발단</t>
  </si>
  <si>
    <t xml:space="preserve">Venerdì di storie</t>
  </si>
  <si>
    <t xml:space="preserve">금요일의 이야기</t>
  </si>
  <si>
    <r>
      <rPr>
        <sz val="10"/>
        <rFont val="Arial"/>
        <family val="0"/>
        <charset val="1"/>
      </rPr>
      <t xml:space="preserve">(</t>
    </r>
    <r>
      <rPr>
        <sz val="10"/>
        <rFont val="WenQuanYi Zen Hei"/>
        <family val="2"/>
      </rPr>
      <t xml:space="preserve">프레임</t>
    </r>
    <r>
      <rPr>
        <sz val="10"/>
        <rFont val="Arial"/>
        <family val="0"/>
        <charset val="1"/>
      </rPr>
      <t xml:space="preserve">) Rosa</t>
    </r>
    <r>
      <rPr>
        <sz val="10"/>
        <rFont val="WenQuanYi Zen Hei"/>
        <family val="2"/>
      </rPr>
      <t xml:space="preserve">의 식탁에서 금요일마다 한 사람이 과거를 이야기하는 규칙이 시작된다</t>
    </r>
    <r>
      <rPr>
        <sz val="10"/>
        <rFont val="Arial"/>
        <family val="0"/>
        <charset val="1"/>
      </rPr>
      <t xml:space="preserve">. Sofia</t>
    </r>
    <r>
      <rPr>
        <sz val="10"/>
        <rFont val="WenQuanYi Zen Hei"/>
        <family val="2"/>
      </rPr>
      <t xml:space="preserve">가 </t>
    </r>
    <r>
      <rPr>
        <sz val="10"/>
        <rFont val="Arial"/>
        <family val="0"/>
        <charset val="1"/>
      </rPr>
      <t xml:space="preserve">Marco</t>
    </r>
    <r>
      <rPr>
        <sz val="10"/>
        <rFont val="WenQuanYi Zen Hei"/>
        <family val="2"/>
      </rPr>
      <t xml:space="preserve">에게 왜 로펌을 그만뒀느냐고 묻고 </t>
    </r>
    <r>
      <rPr>
        <sz val="10"/>
        <rFont val="Arial"/>
        <family val="0"/>
        <charset val="1"/>
      </rPr>
      <t xml:space="preserve">Marco</t>
    </r>
    <r>
      <rPr>
        <sz val="10"/>
        <rFont val="WenQuanYi Zen Hei"/>
        <family val="2"/>
      </rPr>
      <t xml:space="preserve">는 </t>
    </r>
    <r>
      <rPr>
        <sz val="10"/>
        <rFont val="Arial"/>
        <family val="0"/>
        <charset val="1"/>
      </rPr>
      <t xml:space="preserve">«Andiamo con ordine.»</t>
    </r>
    <r>
      <rPr>
        <sz val="10"/>
        <rFont val="WenQuanYi Zen Hei"/>
        <family val="2"/>
      </rPr>
      <t xml:space="preserve">로 시작한다</t>
    </r>
    <r>
      <rPr>
        <sz val="10"/>
        <rFont val="Arial"/>
        <family val="0"/>
        <charset val="1"/>
      </rPr>
      <t xml:space="preserve">.</t>
    </r>
  </si>
  <si>
    <t xml:space="preserve">격식체(Lei)와 tu의 대비, 과거 이야기 도입</t>
  </si>
  <si>
    <t xml:space="preserve">Sofia, Marco, Rosa, Cesare</t>
  </si>
  <si>
    <t xml:space="preserve">Un lunedì in Prati</t>
  </si>
  <si>
    <t xml:space="preserve">프라티의 월요일</t>
  </si>
  <si>
    <r>
      <rPr>
        <sz val="10"/>
        <rFont val="Arial"/>
        <family val="0"/>
        <charset val="1"/>
      </rPr>
      <t xml:space="preserve">(</t>
    </r>
    <r>
      <rPr>
        <sz val="10"/>
        <rFont val="WenQuanYi Zen Hei"/>
        <family val="2"/>
      </rPr>
      <t xml:space="preserve">과거</t>
    </r>
    <r>
      <rPr>
        <sz val="10"/>
        <rFont val="Arial"/>
        <family val="0"/>
        <charset val="1"/>
      </rPr>
      <t xml:space="preserve">) </t>
    </r>
    <r>
      <rPr>
        <sz val="10"/>
        <rFont val="WenQuanYi Zen Hei"/>
        <family val="2"/>
      </rPr>
      <t xml:space="preserve">승소율 </t>
    </r>
    <r>
      <rPr>
        <sz val="10"/>
        <rFont val="Arial"/>
        <family val="0"/>
        <charset val="1"/>
      </rPr>
      <t xml:space="preserve">100%</t>
    </r>
    <r>
      <rPr>
        <sz val="10"/>
        <rFont val="WenQuanYi Zen Hei"/>
        <family val="2"/>
      </rPr>
      <t xml:space="preserve">의 파트너 후보 </t>
    </r>
    <r>
      <rPr>
        <sz val="10"/>
        <rFont val="Arial"/>
        <family val="0"/>
        <charset val="1"/>
      </rPr>
      <t xml:space="preserve">Marco</t>
    </r>
    <r>
      <rPr>
        <sz val="10"/>
        <rFont val="WenQuanYi Zen Hei"/>
        <family val="2"/>
      </rPr>
      <t xml:space="preserve">의 하루</t>
    </r>
    <r>
      <rPr>
        <sz val="10"/>
        <rFont val="Arial"/>
        <family val="0"/>
        <charset val="1"/>
      </rPr>
      <t xml:space="preserve">. </t>
    </r>
    <r>
      <rPr>
        <sz val="10"/>
        <rFont val="WenQuanYi Zen Hei"/>
        <family val="2"/>
      </rPr>
      <t xml:space="preserve">새벽 편의점에서 계산대에 선 채 『신곡』을 중얼거리는 야간 점원 </t>
    </r>
    <r>
      <rPr>
        <sz val="10"/>
        <rFont val="Arial"/>
        <family val="0"/>
        <charset val="1"/>
      </rPr>
      <t xml:space="preserve">Dante</t>
    </r>
    <r>
      <rPr>
        <sz val="10"/>
        <rFont val="WenQuanYi Zen Hei"/>
        <family val="2"/>
      </rPr>
      <t xml:space="preserve">와 마주친다</t>
    </r>
    <r>
      <rPr>
        <sz val="10"/>
        <rFont val="Arial"/>
        <family val="0"/>
        <charset val="1"/>
      </rPr>
      <t xml:space="preserve">. </t>
    </r>
    <r>
      <rPr>
        <sz val="10"/>
        <rFont val="WenQuanYi Zen Hei"/>
        <family val="2"/>
      </rPr>
      <t xml:space="preserve">상사 </t>
    </r>
    <r>
      <rPr>
        <sz val="10"/>
        <rFont val="Arial"/>
        <family val="0"/>
        <charset val="1"/>
      </rPr>
      <t xml:space="preserve">Colombo(</t>
    </r>
    <r>
      <rPr>
        <sz val="10"/>
        <rFont val="WenQuanYi Zen Hei"/>
        <family val="2"/>
      </rPr>
      <t xml:space="preserve">가상</t>
    </r>
    <r>
      <rPr>
        <sz val="10"/>
        <rFont val="Arial"/>
        <family val="0"/>
        <charset val="1"/>
      </rPr>
      <t xml:space="preserve">)</t>
    </r>
    <r>
      <rPr>
        <sz val="10"/>
        <rFont val="WenQuanYi Zen Hei"/>
        <family val="2"/>
      </rPr>
      <t xml:space="preserve">가 파트너 승진을 암시한다</t>
    </r>
    <r>
      <rPr>
        <sz val="10"/>
        <rFont val="Arial"/>
        <family val="0"/>
        <charset val="1"/>
      </rPr>
      <t xml:space="preserve">.</t>
    </r>
  </si>
  <si>
    <t xml:space="preserve">로펌 어휘: socio, parcella, portafoglio clienti</t>
  </si>
  <si>
    <r>
      <rPr>
        <sz val="10"/>
        <rFont val="Arial"/>
        <family val="0"/>
        <charset val="1"/>
      </rPr>
      <t xml:space="preserve">Marco, Dante, Colombo(</t>
    </r>
    <r>
      <rPr>
        <sz val="10"/>
        <rFont val="WenQuanYi Zen Hei"/>
        <family val="2"/>
      </rPr>
      <t xml:space="preserve">가상</t>
    </r>
    <r>
      <rPr>
        <sz val="10"/>
        <rFont val="Arial"/>
        <family val="0"/>
        <charset val="1"/>
      </rPr>
      <t xml:space="preserve">)</t>
    </r>
  </si>
  <si>
    <t xml:space="preserve">Il cliente d'oro</t>
  </si>
  <si>
    <r>
      <rPr>
        <sz val="10"/>
        <rFont val="Arial"/>
        <family val="0"/>
        <charset val="1"/>
      </rPr>
      <t xml:space="preserve">VIP </t>
    </r>
    <r>
      <rPr>
        <sz val="10"/>
        <rFont val="WenQuanYi Zen Hei"/>
        <family val="2"/>
      </rPr>
      <t xml:space="preserve">고객</t>
    </r>
  </si>
  <si>
    <t xml:space="preserve">대형 고객 Gruppo Meridiano의 회장 Santoro(가상)를 소개받는다. 회의석에는 고객 측 컨설턴트 Chiara와 매각 은행 지점장 Francesco가 있다.</t>
  </si>
  <si>
    <t xml:space="preserve">인수합병 어휘: acquisizione, portafoglio, clausola</t>
  </si>
  <si>
    <r>
      <rPr>
        <sz val="10"/>
        <rFont val="Arial"/>
        <family val="0"/>
        <charset val="1"/>
      </rPr>
      <t xml:space="preserve">Marco, Chiara, Francesco, Santoro(</t>
    </r>
    <r>
      <rPr>
        <sz val="10"/>
        <rFont val="WenQuanYi Zen Hei"/>
        <family val="2"/>
      </rPr>
      <t xml:space="preserve">가상</t>
    </r>
    <r>
      <rPr>
        <sz val="10"/>
        <rFont val="Arial"/>
        <family val="0"/>
        <charset val="1"/>
      </rPr>
      <t xml:space="preserve">)</t>
    </r>
  </si>
  <si>
    <t xml:space="preserve">전개</t>
  </si>
  <si>
    <t xml:space="preserve">Il portafoglio di Testaccio</t>
  </si>
  <si>
    <t xml:space="preserve">테스타초 자산 포트폴리오</t>
  </si>
  <si>
    <t xml:space="preserve">실사(due diligence). 포트폴리오에 Testaccio 건물 12채가 들어 있다. 감사인 Alessandro가 «Questo non torna»를 흘리고, Piazza Borghese 고서 노점에서 등기 자료를 찾던 Marco에게 Gramsci가 «Cercalo tu.»</t>
  </si>
  <si>
    <t xml:space="preserve">실사, 부동산 등기(Conservatoria dei Registri Immobiliari)·토지대장(Catasto), 임차인 명부</t>
  </si>
  <si>
    <t xml:space="preserve">Marco, Alessandro, Gramsci</t>
  </si>
  <si>
    <t xml:space="preserve">Venerdì: la via di Rosa</t>
  </si>
  <si>
    <t xml:space="preserve">금요일: Rosa의 거리</t>
  </si>
  <si>
    <r>
      <rPr>
        <sz val="10"/>
        <rFont val="Arial"/>
        <family val="0"/>
        <charset val="1"/>
      </rPr>
      <t xml:space="preserve">(</t>
    </r>
    <r>
      <rPr>
        <sz val="10"/>
        <rFont val="WenQuanYi Zen Hei"/>
        <family val="2"/>
      </rPr>
      <t xml:space="preserve">프레임</t>
    </r>
    <r>
      <rPr>
        <sz val="10"/>
        <rFont val="Arial"/>
        <family val="0"/>
        <charset val="1"/>
      </rPr>
      <t xml:space="preserve">) </t>
    </r>
    <r>
      <rPr>
        <sz val="10"/>
        <rFont val="WenQuanYi Zen Hei"/>
        <family val="2"/>
      </rPr>
      <t xml:space="preserve">그 포트폴리오에 </t>
    </r>
    <r>
      <rPr>
        <sz val="10"/>
        <rFont val="Arial"/>
        <family val="0"/>
        <charset val="1"/>
      </rPr>
      <t xml:space="preserve">Rosa</t>
    </r>
    <r>
      <rPr>
        <sz val="10"/>
        <rFont val="WenQuanYi Zen Hei"/>
        <family val="2"/>
      </rPr>
      <t xml:space="preserve">의 트라토리아가 있던 건물이 들어 있었음이 밝혀진다</t>
    </r>
    <r>
      <rPr>
        <sz val="10"/>
        <rFont val="Arial"/>
        <family val="0"/>
        <charset val="1"/>
      </rPr>
      <t xml:space="preserve">. Sofia</t>
    </r>
    <r>
      <rPr>
        <sz val="10"/>
        <rFont val="WenQuanYi Zen Hei"/>
        <family val="2"/>
      </rPr>
      <t xml:space="preserve">는 놀라 </t>
    </r>
    <r>
      <rPr>
        <sz val="10"/>
        <rFont val="Arial"/>
        <family val="0"/>
        <charset val="1"/>
      </rPr>
      <t xml:space="preserve">Lei</t>
    </r>
    <r>
      <rPr>
        <sz val="10"/>
        <rFont val="WenQuanYi Zen Hei"/>
        <family val="2"/>
      </rPr>
      <t xml:space="preserve">를 놓치고 </t>
    </r>
    <r>
      <rPr>
        <sz val="10"/>
        <rFont val="Arial"/>
        <family val="0"/>
        <charset val="1"/>
      </rPr>
      <t xml:space="preserve">Marco</t>
    </r>
    <r>
      <rPr>
        <sz val="10"/>
        <rFont val="WenQuanYi Zen Hei"/>
        <family val="2"/>
      </rPr>
      <t xml:space="preserve">는 잠시 침묵한다</t>
    </r>
    <r>
      <rPr>
        <sz val="10"/>
        <rFont val="Arial"/>
        <family val="0"/>
        <charset val="1"/>
      </rPr>
      <t xml:space="preserve">.</t>
    </r>
  </si>
  <si>
    <t xml:space="preserve">감정 표현, 놀람</t>
  </si>
  <si>
    <t xml:space="preserve">Rosa, Marco, Sofia</t>
  </si>
  <si>
    <t xml:space="preserve">미드포인트</t>
  </si>
  <si>
    <t xml:space="preserve">La clausola</t>
  </si>
  <si>
    <t xml:space="preserve">조항</t>
  </si>
  <si>
    <t xml:space="preserve">임차인을 비우는 가장 '깨끗한' 방법으로 Marco가 «첫 만기 때 리모델링을 이유로 갱신을 거절하는(diniego di rinnovo per ristrutturazione)» 조항 전략을 설계한다. Chiara의 재무 모델이 이를 뒷받침한다.</t>
  </si>
  <si>
    <t xml:space="preserve">갱신 거절 사유(legge 431/1998 제3조), 리모델링 사유, 통지 요건(만기 6개월 전)</t>
  </si>
  <si>
    <r>
      <rPr>
        <sz val="10"/>
        <rFont val="Arial"/>
        <family val="0"/>
        <charset val="1"/>
      </rPr>
      <t xml:space="preserve">Marco, Chiara, Colombo(</t>
    </r>
    <r>
      <rPr>
        <sz val="10"/>
        <rFont val="WenQuanYi Zen Hei"/>
        <family val="2"/>
      </rPr>
      <t xml:space="preserve">가상</t>
    </r>
    <r>
      <rPr>
        <sz val="10"/>
        <rFont val="Arial"/>
        <family val="0"/>
        <charset val="1"/>
      </rPr>
      <t xml:space="preserve">)</t>
    </r>
  </si>
  <si>
    <t xml:space="preserve">위기</t>
  </si>
  <si>
    <t xml:space="preserve">L'assemblea degli inquilini</t>
  </si>
  <si>
    <t xml:space="preserve">세입자 총회</t>
  </si>
  <si>
    <t xml:space="preserve">세입자들이 총회를 연다. 노조 출신 Paolo가 이끌고, 응급실 의사 Giulia가 공황을 일으킨 노인을 돌본다. Marco는 78세 Assunta(가상)를 만난다.</t>
  </si>
  <si>
    <t xml:space="preserve">총회·발언·동의, 항의 표현</t>
  </si>
  <si>
    <r>
      <rPr>
        <sz val="10"/>
        <rFont val="Arial"/>
        <family val="0"/>
        <charset val="1"/>
      </rPr>
      <t xml:space="preserve">Marco, Paolo, Giulia, Assunta(</t>
    </r>
    <r>
      <rPr>
        <sz val="10"/>
        <rFont val="WenQuanYi Zen Hei"/>
        <family val="2"/>
      </rPr>
      <t xml:space="preserve">가상</t>
    </r>
    <r>
      <rPr>
        <sz val="10"/>
        <rFont val="Arial"/>
        <family val="0"/>
        <charset val="1"/>
      </rPr>
      <t xml:space="preserve">)</t>
    </r>
  </si>
  <si>
    <t xml:space="preserve">Il processo</t>
  </si>
  <si>
    <t xml:space="preserve">재판</t>
  </si>
  <si>
    <t xml:space="preserve">심리(udienza)와 판결. Marco가 승소한다. 방청석의 Galileo가 «È orgoglioso?»라고 묻는다. 감사인 Alessandro는 고객의 장부를 보고 고개를 젓는다.</t>
  </si>
  <si>
    <t xml:space="preserve">소송: citazione, udienza, sentenza, spese processuali</t>
  </si>
  <si>
    <r>
      <rPr>
        <sz val="10"/>
        <rFont val="Arial"/>
        <family val="0"/>
        <charset val="1"/>
      </rPr>
      <t xml:space="preserve">Marco, Galileo, Alessandro, </t>
    </r>
    <r>
      <rPr>
        <sz val="10"/>
        <rFont val="WenQuanYi Zen Hei"/>
        <family val="2"/>
      </rPr>
      <t xml:space="preserve">판사</t>
    </r>
    <r>
      <rPr>
        <sz val="10"/>
        <rFont val="Arial"/>
        <family val="0"/>
        <charset val="1"/>
      </rPr>
      <t xml:space="preserve">(</t>
    </r>
    <r>
      <rPr>
        <sz val="10"/>
        <rFont val="WenQuanYi Zen Hei"/>
        <family val="2"/>
      </rPr>
      <t xml:space="preserve">가상</t>
    </r>
    <r>
      <rPr>
        <sz val="10"/>
        <rFont val="Arial"/>
        <family val="0"/>
        <charset val="1"/>
      </rPr>
      <t xml:space="preserve">)</t>
    </r>
  </si>
  <si>
    <t xml:space="preserve">E1·P3</t>
  </si>
  <si>
    <t xml:space="preserve">Venerdì: continua</t>
  </si>
  <si>
    <t xml:space="preserve">금요일: 계속해</t>
  </si>
  <si>
    <r>
      <rPr>
        <sz val="10"/>
        <rFont val="Arial"/>
        <family val="0"/>
        <charset val="1"/>
      </rPr>
      <t xml:space="preserve">(</t>
    </r>
    <r>
      <rPr>
        <sz val="10"/>
        <rFont val="WenQuanYi Zen Hei"/>
        <family val="2"/>
      </rPr>
      <t xml:space="preserve">프레임</t>
    </r>
    <r>
      <rPr>
        <sz val="10"/>
        <rFont val="Arial"/>
        <family val="0"/>
        <charset val="1"/>
      </rPr>
      <t xml:space="preserve">) Marco</t>
    </r>
    <r>
      <rPr>
        <sz val="10"/>
        <rFont val="WenQuanYi Zen Hei"/>
        <family val="2"/>
      </rPr>
      <t xml:space="preserve">가 말을 잇지 못하자 </t>
    </r>
    <r>
      <rPr>
        <sz val="10"/>
        <rFont val="Arial"/>
        <family val="0"/>
        <charset val="1"/>
      </rPr>
      <t xml:space="preserve">Cesare</t>
    </r>
    <r>
      <rPr>
        <sz val="10"/>
        <rFont val="WenQuanYi Zen Hei"/>
        <family val="2"/>
      </rPr>
      <t xml:space="preserve">가 </t>
    </r>
    <r>
      <rPr>
        <sz val="10"/>
        <rFont val="Arial"/>
        <family val="0"/>
        <charset val="1"/>
      </rPr>
      <t xml:space="preserve">«Quando Cesare era in Gallia…»</t>
    </r>
    <r>
      <rPr>
        <sz val="10"/>
        <rFont val="WenQuanYi Zen Hei"/>
        <family val="2"/>
      </rPr>
      <t xml:space="preserve">로 시간을 벌어 주고 </t>
    </r>
    <r>
      <rPr>
        <sz val="10"/>
        <rFont val="Arial"/>
        <family val="0"/>
        <charset val="1"/>
      </rPr>
      <t xml:space="preserve">Rosa</t>
    </r>
    <r>
      <rPr>
        <sz val="10"/>
        <rFont val="WenQuanYi Zen Hei"/>
        <family val="2"/>
      </rPr>
      <t xml:space="preserve">가 </t>
    </r>
    <r>
      <rPr>
        <sz val="10"/>
        <rFont val="Arial"/>
        <family val="0"/>
        <charset val="1"/>
      </rPr>
      <t xml:space="preserve">«Continua.»</t>
    </r>
    <r>
      <rPr>
        <sz val="10"/>
        <rFont val="WenQuanYi Zen Hei"/>
        <family val="2"/>
      </rPr>
      <t xml:space="preserve">라고 한다</t>
    </r>
    <r>
      <rPr>
        <sz val="10"/>
        <rFont val="Arial"/>
        <family val="0"/>
        <charset val="1"/>
      </rPr>
      <t xml:space="preserve">. Sofia</t>
    </r>
    <r>
      <rPr>
        <sz val="10"/>
        <rFont val="WenQuanYi Zen Hei"/>
        <family val="2"/>
      </rPr>
      <t xml:space="preserve">는 </t>
    </r>
    <r>
      <rPr>
        <sz val="10"/>
        <rFont val="Arial"/>
        <family val="0"/>
        <charset val="1"/>
      </rPr>
      <t xml:space="preserve">«E lei?»</t>
    </r>
    <r>
      <rPr>
        <sz val="10"/>
        <rFont val="WenQuanYi Zen Hei"/>
        <family val="2"/>
      </rPr>
      <t xml:space="preserve">라고 묻는다</t>
    </r>
    <r>
      <rPr>
        <sz val="10"/>
        <rFont val="Arial"/>
        <family val="0"/>
        <charset val="1"/>
      </rPr>
      <t xml:space="preserve">. Machiavelli</t>
    </r>
    <r>
      <rPr>
        <sz val="10"/>
        <rFont val="WenQuanYi Zen Hei"/>
        <family val="2"/>
      </rPr>
      <t xml:space="preserve">는 말없이 메모한다</t>
    </r>
    <r>
      <rPr>
        <sz val="10"/>
        <rFont val="Arial"/>
        <family val="0"/>
        <charset val="1"/>
      </rPr>
      <t xml:space="preserve">.</t>
    </r>
  </si>
  <si>
    <t xml:space="preserve">위로·재촉 표현</t>
  </si>
  <si>
    <t xml:space="preserve">Marco, Cesare, Rosa, Sofia, Machiavelli</t>
  </si>
  <si>
    <t xml:space="preserve">절정</t>
  </si>
  <si>
    <t xml:space="preserve">Una cena ai Parioli</t>
  </si>
  <si>
    <t xml:space="preserve">파리올리의 저녁</t>
  </si>
  <si>
    <t xml:space="preserve">승소 축하 만찬. 파트너들이 건배하는 동안 Santoro가 다음 포트폴리오를 건넨다. Marco의 휴대전화가 울린다.</t>
  </si>
  <si>
    <t xml:space="preserve">고급 식당 표현, 건배·축하(brindisi)</t>
  </si>
  <si>
    <r>
      <rPr>
        <sz val="10"/>
        <rFont val="Arial"/>
        <family val="0"/>
        <charset val="1"/>
      </rPr>
      <t xml:space="preserve">Marco, Colombo(</t>
    </r>
    <r>
      <rPr>
        <sz val="10"/>
        <rFont val="WenQuanYi Zen Hei"/>
        <family val="2"/>
      </rPr>
      <t xml:space="preserve">가상</t>
    </r>
    <r>
      <rPr>
        <sz val="10"/>
        <rFont val="Arial"/>
        <family val="0"/>
        <charset val="1"/>
      </rPr>
      <t xml:space="preserve">), Santoro(</t>
    </r>
    <r>
      <rPr>
        <sz val="10"/>
        <rFont val="WenQuanYi Zen Hei"/>
        <family val="2"/>
      </rPr>
      <t xml:space="preserve">가상</t>
    </r>
    <r>
      <rPr>
        <sz val="10"/>
        <rFont val="Arial"/>
        <family val="0"/>
        <charset val="1"/>
      </rPr>
      <t xml:space="preserve">), Alessandro</t>
    </r>
  </si>
  <si>
    <t xml:space="preserve">La nipote di Assunta</t>
  </si>
  <si>
    <r>
      <rPr>
        <sz val="10"/>
        <rFont val="Arial"/>
        <family val="0"/>
        <charset val="1"/>
      </rPr>
      <t xml:space="preserve">Assunta</t>
    </r>
    <r>
      <rPr>
        <sz val="10"/>
        <rFont val="WenQuanYi Zen Hei"/>
        <family val="2"/>
      </rPr>
      <t xml:space="preserve">의 손녀</t>
    </r>
  </si>
  <si>
    <r>
      <rPr>
        <sz val="10"/>
        <rFont val="Arial"/>
        <family val="0"/>
        <charset val="1"/>
      </rPr>
      <t xml:space="preserve">Assunta</t>
    </r>
    <r>
      <rPr>
        <sz val="10"/>
        <rFont val="WenQuanYi Zen Hei"/>
        <family val="2"/>
      </rPr>
      <t xml:space="preserve">가 퇴거 석 달 뒤 세상을 떠났다는 소식</t>
    </r>
    <r>
      <rPr>
        <sz val="10"/>
        <rFont val="Arial"/>
        <family val="0"/>
        <charset val="1"/>
      </rPr>
      <t xml:space="preserve">. </t>
    </r>
    <r>
      <rPr>
        <sz val="10"/>
        <rFont val="WenQuanYi Zen Hei"/>
        <family val="2"/>
      </rPr>
      <t xml:space="preserve">손녀 </t>
    </r>
    <r>
      <rPr>
        <sz val="10"/>
        <rFont val="Arial"/>
        <family val="0"/>
        <charset val="1"/>
      </rPr>
      <t xml:space="preserve">Marina(</t>
    </r>
    <r>
      <rPr>
        <sz val="10"/>
        <rFont val="WenQuanYi Zen Hei"/>
        <family val="2"/>
      </rPr>
      <t xml:space="preserve">가상</t>
    </r>
    <r>
      <rPr>
        <sz val="10"/>
        <rFont val="Arial"/>
        <family val="0"/>
        <charset val="1"/>
      </rPr>
      <t xml:space="preserve">)</t>
    </r>
    <r>
      <rPr>
        <sz val="10"/>
        <rFont val="WenQuanYi Zen Hei"/>
        <family val="2"/>
      </rPr>
      <t xml:space="preserve">가 사무실로 찾아와 조용히 묻는다</t>
    </r>
    <r>
      <rPr>
        <sz val="10"/>
        <rFont val="Arial"/>
        <family val="0"/>
        <charset val="1"/>
      </rPr>
      <t xml:space="preserve">: «Ha vinto Lei?»</t>
    </r>
  </si>
  <si>
    <t xml:space="preserve">조의·항의, 문서 vs 사람</t>
  </si>
  <si>
    <r>
      <rPr>
        <sz val="10"/>
        <rFont val="Arial"/>
        <family val="0"/>
        <charset val="1"/>
      </rPr>
      <t xml:space="preserve">Marco, Marina(</t>
    </r>
    <r>
      <rPr>
        <sz val="10"/>
        <rFont val="WenQuanYi Zen Hei"/>
        <family val="2"/>
      </rPr>
      <t xml:space="preserve">가상</t>
    </r>
    <r>
      <rPr>
        <sz val="10"/>
        <rFont val="Arial"/>
        <family val="0"/>
        <charset val="1"/>
      </rPr>
      <t xml:space="preserve">)</t>
    </r>
  </si>
  <si>
    <t xml:space="preserve">결말·훅</t>
  </si>
  <si>
    <t xml:space="preserve">Venerdì: le dimissioni</t>
  </si>
  <si>
    <t xml:space="preserve">금요일: 사직</t>
  </si>
  <si>
    <r>
      <rPr>
        <sz val="10"/>
        <rFont val="Arial"/>
        <family val="0"/>
        <charset val="1"/>
      </rPr>
      <t xml:space="preserve">(</t>
    </r>
    <r>
      <rPr>
        <sz val="10"/>
        <rFont val="WenQuanYi Zen Hei"/>
        <family val="2"/>
      </rPr>
      <t xml:space="preserve">프레임</t>
    </r>
    <r>
      <rPr>
        <sz val="10"/>
        <rFont val="Arial"/>
        <family val="0"/>
        <charset val="1"/>
      </rPr>
      <t xml:space="preserve">+</t>
    </r>
    <r>
      <rPr>
        <sz val="10"/>
        <rFont val="WenQuanYi Zen Hei"/>
        <family val="2"/>
      </rPr>
      <t xml:space="preserve">과거</t>
    </r>
    <r>
      <rPr>
        <sz val="10"/>
        <rFont val="Arial"/>
        <family val="0"/>
        <charset val="1"/>
      </rPr>
      <t xml:space="preserve">) Marco</t>
    </r>
    <r>
      <rPr>
        <sz val="10"/>
        <rFont val="WenQuanYi Zen Hei"/>
        <family val="2"/>
      </rPr>
      <t xml:space="preserve">가 다음 포트폴리오 서명을 거부하고 사직서를 낸다</t>
    </r>
    <r>
      <rPr>
        <sz val="10"/>
        <rFont val="Arial"/>
        <family val="0"/>
        <charset val="1"/>
      </rPr>
      <t xml:space="preserve">. </t>
    </r>
    <r>
      <rPr>
        <sz val="10"/>
        <rFont val="WenQuanYi Zen Hei"/>
        <family val="2"/>
      </rPr>
      <t xml:space="preserve">짐 상자를 든 채 응급실 대기실에서 쓰러지고 </t>
    </r>
    <r>
      <rPr>
        <sz val="10"/>
        <rFont val="Arial"/>
        <family val="0"/>
        <charset val="1"/>
      </rPr>
      <t xml:space="preserve">Giulia</t>
    </r>
    <r>
      <rPr>
        <sz val="10"/>
        <rFont val="WenQuanYi Zen Hei"/>
        <family val="2"/>
      </rPr>
      <t xml:space="preserve">가 그를 진료한다</t>
    </r>
    <r>
      <rPr>
        <sz val="10"/>
        <rFont val="Arial"/>
        <family val="0"/>
        <charset val="1"/>
      </rPr>
      <t xml:space="preserve">. Sofia</t>
    </r>
    <r>
      <rPr>
        <sz val="10"/>
        <rFont val="WenQuanYi Zen Hei"/>
        <family val="2"/>
      </rPr>
      <t xml:space="preserve">는 여전히 </t>
    </r>
    <r>
      <rPr>
        <sz val="10"/>
        <rFont val="Arial"/>
        <family val="0"/>
        <charset val="1"/>
      </rPr>
      <t xml:space="preserve">Lei</t>
    </r>
    <r>
      <rPr>
        <sz val="10"/>
        <rFont val="WenQuanYi Zen Hei"/>
        <family val="2"/>
      </rPr>
      <t xml:space="preserve">를 쓴다</t>
    </r>
    <r>
      <rPr>
        <sz val="10"/>
        <rFont val="Arial"/>
        <family val="0"/>
        <charset val="1"/>
      </rPr>
      <t xml:space="preserve">.</t>
    </r>
  </si>
  <si>
    <t xml:space="preserve">사직·거절 표현, 접속법(congiuntivo)</t>
  </si>
  <si>
    <t xml:space="preserve">Marco, Giulia, Sofia, Rosa</t>
  </si>
  <si>
    <t xml:space="preserve">Venerdì: i nomi</t>
  </si>
  <si>
    <t xml:space="preserve">금요일: 이름들</t>
  </si>
  <si>
    <r>
      <rPr>
        <sz val="10"/>
        <rFont val="Arial"/>
        <family val="0"/>
        <charset val="1"/>
      </rPr>
      <t xml:space="preserve">(</t>
    </r>
    <r>
      <rPr>
        <sz val="10"/>
        <rFont val="WenQuanYi Zen Hei"/>
        <family val="2"/>
      </rPr>
      <t xml:space="preserve">프레임</t>
    </r>
    <r>
      <rPr>
        <sz val="10"/>
        <rFont val="Arial"/>
        <family val="0"/>
        <charset val="1"/>
      </rPr>
      <t xml:space="preserve">) Giulia</t>
    </r>
    <r>
      <rPr>
        <sz val="10"/>
        <rFont val="WenQuanYi Zen Hei"/>
        <family val="2"/>
      </rPr>
      <t xml:space="preserve">가 </t>
    </r>
    <r>
      <rPr>
        <sz val="10"/>
        <rFont val="Arial"/>
        <family val="0"/>
        <charset val="1"/>
      </rPr>
      <t xml:space="preserve">«Questa non è una statistica, è una persona.»</t>
    </r>
    <r>
      <rPr>
        <sz val="10"/>
        <rFont val="WenQuanYi Zen Hei"/>
        <family val="2"/>
      </rPr>
      <t xml:space="preserve">라며 이야기를 시작한다</t>
    </r>
    <r>
      <rPr>
        <sz val="10"/>
        <rFont val="Arial"/>
        <family val="0"/>
        <charset val="1"/>
      </rPr>
      <t xml:space="preserve">. Cesare</t>
    </r>
    <r>
      <rPr>
        <sz val="10"/>
        <rFont val="WenQuanYi Zen Hei"/>
        <family val="2"/>
      </rPr>
      <t xml:space="preserve">가 계단을 오르내리다 숨을 고르는 것을 </t>
    </r>
    <r>
      <rPr>
        <sz val="10"/>
        <rFont val="Arial"/>
        <family val="0"/>
        <charset val="1"/>
      </rPr>
      <t xml:space="preserve">Giulia</t>
    </r>
    <r>
      <rPr>
        <sz val="10"/>
        <rFont val="WenQuanYi Zen Hei"/>
        <family val="2"/>
      </rPr>
      <t xml:space="preserve">가 흘끗 본다</t>
    </r>
    <r>
      <rPr>
        <sz val="10"/>
        <rFont val="Arial"/>
        <family val="0"/>
        <charset val="1"/>
      </rPr>
      <t xml:space="preserve">.</t>
    </r>
  </si>
  <si>
    <t xml:space="preserve">의학 어휘 도입</t>
  </si>
  <si>
    <t xml:space="preserve">Giulia, Sofia, Cesare, Rosa</t>
  </si>
  <si>
    <t xml:space="preserve">Turno di notte</t>
  </si>
  <si>
    <t xml:space="preserve">야간 근무</t>
  </si>
  <si>
    <r>
      <rPr>
        <sz val="10"/>
        <rFont val="Arial"/>
        <family val="0"/>
        <charset val="1"/>
      </rPr>
      <t xml:space="preserve">(</t>
    </r>
    <r>
      <rPr>
        <sz val="10"/>
        <rFont val="WenQuanYi Zen Hei"/>
        <family val="2"/>
      </rPr>
      <t xml:space="preserve">과거</t>
    </r>
    <r>
      <rPr>
        <sz val="10"/>
        <rFont val="Arial"/>
        <family val="0"/>
        <charset val="1"/>
      </rPr>
      <t xml:space="preserve">) San Camillo </t>
    </r>
    <r>
      <rPr>
        <sz val="10"/>
        <rFont val="WenQuanYi Zen Hei"/>
        <family val="2"/>
      </rPr>
      <t xml:space="preserve">응급실</t>
    </r>
    <r>
      <rPr>
        <sz val="10"/>
        <rFont val="Arial"/>
        <family val="0"/>
        <charset val="1"/>
      </rPr>
      <t xml:space="preserve">(</t>
    </r>
    <r>
      <rPr>
        <sz val="10"/>
        <rFont val="WenQuanYi Zen Hei"/>
        <family val="2"/>
      </rPr>
      <t xml:space="preserve">가상 설정</t>
    </r>
    <r>
      <rPr>
        <sz val="10"/>
        <rFont val="Arial"/>
        <family val="0"/>
        <charset val="1"/>
      </rPr>
      <t xml:space="preserve">)</t>
    </r>
    <r>
      <rPr>
        <sz val="10"/>
        <rFont val="WenQuanYi Zen Hei"/>
        <family val="2"/>
      </rPr>
      <t xml:space="preserve">의 야간 근무</t>
    </r>
    <r>
      <rPr>
        <sz val="10"/>
        <rFont val="Arial"/>
        <family val="0"/>
        <charset val="1"/>
      </rPr>
      <t xml:space="preserve">. </t>
    </r>
    <r>
      <rPr>
        <sz val="10"/>
        <rFont val="WenQuanYi Zen Hei"/>
        <family val="2"/>
      </rPr>
      <t xml:space="preserve">분류</t>
    </r>
    <r>
      <rPr>
        <sz val="10"/>
        <rFont val="Arial"/>
        <family val="0"/>
        <charset val="1"/>
      </rPr>
      <t xml:space="preserve">(triage), </t>
    </r>
    <r>
      <rPr>
        <sz val="10"/>
        <rFont val="WenQuanYi Zen Hei"/>
        <family val="2"/>
      </rPr>
      <t xml:space="preserve">병상</t>
    </r>
    <r>
      <rPr>
        <sz val="10"/>
        <rFont val="Arial"/>
        <family val="0"/>
        <charset val="1"/>
      </rPr>
      <t xml:space="preserve">, </t>
    </r>
    <r>
      <rPr>
        <sz val="10"/>
        <rFont val="WenQuanYi Zen Hei"/>
        <family val="2"/>
      </rPr>
      <t xml:space="preserve">간호사 </t>
    </r>
    <r>
      <rPr>
        <sz val="10"/>
        <rFont val="Arial"/>
        <family val="0"/>
        <charset val="1"/>
      </rPr>
      <t xml:space="preserve">Loredana(</t>
    </r>
    <r>
      <rPr>
        <sz val="10"/>
        <rFont val="WenQuanYi Zen Hei"/>
        <family val="2"/>
      </rPr>
      <t xml:space="preserve">가상</t>
    </r>
    <r>
      <rPr>
        <sz val="10"/>
        <rFont val="Arial"/>
        <family val="0"/>
        <charset val="1"/>
      </rPr>
      <t xml:space="preserve">)</t>
    </r>
    <r>
      <rPr>
        <sz val="10"/>
        <rFont val="WenQuanYi Zen Hei"/>
        <family val="2"/>
      </rPr>
      <t xml:space="preserve">와의 호흡</t>
    </r>
    <r>
      <rPr>
        <sz val="10"/>
        <rFont val="Arial"/>
        <family val="0"/>
        <charset val="1"/>
      </rPr>
      <t xml:space="preserve">. </t>
    </r>
    <r>
      <rPr>
        <sz val="10"/>
        <rFont val="WenQuanYi Zen Hei"/>
        <family val="2"/>
      </rPr>
      <t xml:space="preserve">가슴 통증으로 실려 온 </t>
    </r>
    <r>
      <rPr>
        <sz val="10"/>
        <rFont val="Arial"/>
        <family val="0"/>
        <charset val="1"/>
      </rPr>
      <t xml:space="preserve">Marco</t>
    </r>
    <r>
      <rPr>
        <sz val="10"/>
        <rFont val="WenQuanYi Zen Hei"/>
        <family val="2"/>
      </rPr>
      <t xml:space="preserve">를 진료한다</t>
    </r>
    <r>
      <rPr>
        <sz val="10"/>
        <rFont val="Arial"/>
        <family val="0"/>
        <charset val="1"/>
      </rPr>
      <t xml:space="preserve">.</t>
    </r>
  </si>
  <si>
    <r>
      <rPr>
        <sz val="10"/>
        <rFont val="Arial"/>
        <family val="0"/>
        <charset val="1"/>
      </rPr>
      <t xml:space="preserve">triage(</t>
    </r>
    <r>
      <rPr>
        <sz val="10"/>
        <rFont val="WenQuanYi Zen Hei"/>
        <family val="2"/>
      </rPr>
      <t xml:space="preserve">긴급도 코드 </t>
    </r>
    <r>
      <rPr>
        <sz val="10"/>
        <rFont val="Arial"/>
        <family val="0"/>
        <charset val="1"/>
      </rPr>
      <t xml:space="preserve">1~5), parametri vitali, barella, box</t>
    </r>
  </si>
  <si>
    <r>
      <rPr>
        <sz val="10"/>
        <rFont val="Arial"/>
        <family val="0"/>
        <charset val="1"/>
      </rPr>
      <t xml:space="preserve">Giulia, Loredana(</t>
    </r>
    <r>
      <rPr>
        <sz val="10"/>
        <rFont val="WenQuanYi Zen Hei"/>
        <family val="2"/>
      </rPr>
      <t xml:space="preserve">가상</t>
    </r>
    <r>
      <rPr>
        <sz val="10"/>
        <rFont val="Arial"/>
        <family val="0"/>
        <charset val="1"/>
      </rPr>
      <t xml:space="preserve">), Marco</t>
    </r>
  </si>
  <si>
    <t xml:space="preserve">L'ondata di calore</t>
  </si>
  <si>
    <t xml:space="preserve">폭염</t>
  </si>
  <si>
    <t xml:space="preserve">폭염 경보(bollino rosso)에 고령 환자가 몰려 응급실이 넘친다. 산소·수액·얼음. Giulia는 밤새 환자 이름을 외운다.</t>
  </si>
  <si>
    <t xml:space="preserve">열사병(colpo di calore), 탈수, 고령 환자</t>
  </si>
  <si>
    <r>
      <rPr>
        <sz val="10"/>
        <rFont val="Arial"/>
        <family val="0"/>
        <charset val="1"/>
      </rPr>
      <t xml:space="preserve">Giulia, Loredana(</t>
    </r>
    <r>
      <rPr>
        <sz val="10"/>
        <rFont val="WenQuanYi Zen Hei"/>
        <family val="2"/>
      </rPr>
      <t xml:space="preserve">가상</t>
    </r>
    <r>
      <rPr>
        <sz val="10"/>
        <rFont val="Arial"/>
        <family val="0"/>
        <charset val="1"/>
      </rPr>
      <t xml:space="preserve">)</t>
    </r>
  </si>
  <si>
    <t xml:space="preserve">S4·S3</t>
  </si>
  <si>
    <t xml:space="preserve">Un contratto che nessuno legge</t>
  </si>
  <si>
    <t xml:space="preserve">읽히지 않는 계약</t>
  </si>
  <si>
    <t xml:space="preserve">병원이 검사·병상 관리를 Meridiano Salute에 외주한다고 발표한다. 원장 회의에서 컨설턴트 Chiara가 '효율' 발표를 한다.</t>
  </si>
  <si>
    <t xml:space="preserve">외주(esternalizzazione)·민간 위탁, 예산, 입찰(gara d'appalto)</t>
  </si>
  <si>
    <r>
      <rPr>
        <sz val="10"/>
        <rFont val="Arial"/>
        <family val="0"/>
        <charset val="1"/>
      </rPr>
      <t xml:space="preserve">Giulia, </t>
    </r>
    <r>
      <rPr>
        <sz val="10"/>
        <rFont val="WenQuanYi Zen Hei"/>
        <family val="2"/>
      </rPr>
      <t xml:space="preserve">원장</t>
    </r>
    <r>
      <rPr>
        <sz val="10"/>
        <rFont val="Arial"/>
        <family val="0"/>
        <charset val="1"/>
      </rPr>
      <t xml:space="preserve">(</t>
    </r>
    <r>
      <rPr>
        <sz val="10"/>
        <rFont val="WenQuanYi Zen Hei"/>
        <family val="2"/>
      </rPr>
      <t xml:space="preserve">가상</t>
    </r>
    <r>
      <rPr>
        <sz val="10"/>
        <rFont val="Arial"/>
        <family val="0"/>
        <charset val="1"/>
      </rPr>
      <t xml:space="preserve">), Chiara</t>
    </r>
  </si>
  <si>
    <t xml:space="preserve">S3</t>
  </si>
  <si>
    <t xml:space="preserve">Venerdì: la lista</t>
  </si>
  <si>
    <t xml:space="preserve">금요일: 명단</t>
  </si>
  <si>
    <r>
      <rPr>
        <sz val="10"/>
        <rFont val="Arial"/>
        <family val="0"/>
        <charset val="1"/>
      </rPr>
      <t xml:space="preserve">(</t>
    </r>
    <r>
      <rPr>
        <sz val="10"/>
        <rFont val="WenQuanYi Zen Hei"/>
        <family val="2"/>
      </rPr>
      <t xml:space="preserve">프레임</t>
    </r>
    <r>
      <rPr>
        <sz val="10"/>
        <rFont val="Arial"/>
        <family val="0"/>
        <charset val="1"/>
      </rPr>
      <t xml:space="preserve">) Sofia</t>
    </r>
    <r>
      <rPr>
        <sz val="10"/>
        <rFont val="WenQuanYi Zen Hei"/>
        <family val="2"/>
      </rPr>
      <t xml:space="preserve">가 </t>
    </r>
    <r>
      <rPr>
        <sz val="10"/>
        <rFont val="Arial"/>
        <family val="0"/>
        <charset val="1"/>
      </rPr>
      <t xml:space="preserve">Giulia</t>
    </r>
    <r>
      <rPr>
        <sz val="10"/>
        <rFont val="WenQuanYi Zen Hei"/>
        <family val="2"/>
      </rPr>
      <t xml:space="preserve">의 수첩 명단을 본다</t>
    </r>
    <r>
      <rPr>
        <sz val="10"/>
        <rFont val="Arial"/>
        <family val="0"/>
        <charset val="1"/>
      </rPr>
      <t xml:space="preserve">. Giulia</t>
    </r>
    <r>
      <rPr>
        <sz val="10"/>
        <rFont val="WenQuanYi Zen Hei"/>
        <family val="2"/>
      </rPr>
      <t xml:space="preserve">는 </t>
    </r>
    <r>
      <rPr>
        <sz val="10"/>
        <rFont val="Arial"/>
        <family val="0"/>
        <charset val="1"/>
      </rPr>
      <t xml:space="preserve">«Ho visto di peggio in un martedì qualsiasi.»</t>
    </r>
    <r>
      <rPr>
        <sz val="10"/>
        <rFont val="WenQuanYi Zen Hei"/>
        <family val="2"/>
      </rPr>
      <t xml:space="preserve">로 넘긴다</t>
    </r>
    <r>
      <rPr>
        <sz val="10"/>
        <rFont val="Arial"/>
        <family val="0"/>
        <charset val="1"/>
      </rPr>
      <t xml:space="preserve">. Cesare</t>
    </r>
    <r>
      <rPr>
        <sz val="10"/>
        <rFont val="WenQuanYi Zen Hei"/>
        <family val="2"/>
      </rPr>
      <t xml:space="preserve">는 발목이 부었냐는 물음에 </t>
    </r>
    <r>
      <rPr>
        <sz val="10"/>
        <rFont val="Arial"/>
        <family val="0"/>
        <charset val="1"/>
      </rPr>
      <t xml:space="preserve">«Sono i calzari.»</t>
    </r>
  </si>
  <si>
    <t xml:space="preserve">명단·숫자 읽기</t>
  </si>
  <si>
    <t xml:space="preserve">Giulia, Sofia, Cesare</t>
  </si>
  <si>
    <t xml:space="preserve">La prima della lista</t>
  </si>
  <si>
    <t xml:space="preserve">명단의 첫 번째</t>
  </si>
  <si>
    <t xml:space="preserve">체류 서류 없는 20대 여성이 패혈증으로 실려 오지만 병상 배정이 아홉 시간 지연되어 숨진다. 외주 병상관리가 '비용 검토' 중이었다. Giulia가 수첩에 첫 이름을 쓴다.</t>
  </si>
  <si>
    <t xml:space="preserve">패혈증(sepsi), 병상 관리(bed management), 서류 없는 환자의 접근권(STP 코드)</t>
  </si>
  <si>
    <r>
      <rPr>
        <sz val="10"/>
        <rFont val="Arial"/>
        <family val="0"/>
        <charset val="1"/>
      </rPr>
      <t xml:space="preserve">Giulia, Loredana(</t>
    </r>
    <r>
      <rPr>
        <sz val="10"/>
        <rFont val="WenQuanYi Zen Hei"/>
        <family val="2"/>
      </rPr>
      <t xml:space="preserve">가상</t>
    </r>
    <r>
      <rPr>
        <sz val="10"/>
        <rFont val="Arial"/>
        <family val="0"/>
        <charset val="1"/>
      </rPr>
      <t xml:space="preserve">), </t>
    </r>
    <r>
      <rPr>
        <sz val="10"/>
        <rFont val="WenQuanYi Zen Hei"/>
        <family val="2"/>
      </rPr>
      <t xml:space="preserve">원장</t>
    </r>
    <r>
      <rPr>
        <sz val="10"/>
        <rFont val="Arial"/>
        <family val="0"/>
        <charset val="1"/>
      </rPr>
      <t xml:space="preserve">(</t>
    </r>
    <r>
      <rPr>
        <sz val="10"/>
        <rFont val="WenQuanYi Zen Hei"/>
        <family val="2"/>
      </rPr>
      <t xml:space="preserve">가상</t>
    </r>
    <r>
      <rPr>
        <sz val="10"/>
        <rFont val="Arial"/>
        <family val="0"/>
        <charset val="1"/>
      </rPr>
      <t xml:space="preserve">)</t>
    </r>
  </si>
  <si>
    <t xml:space="preserve">S2·S3</t>
  </si>
  <si>
    <t xml:space="preserve">I numeri del direttore</t>
  </si>
  <si>
    <t xml:space="preserve">원장의 숫자</t>
  </si>
  <si>
    <t xml:space="preserve">원장(direttore generale)이 '대기 시간 개선' 통계를 발표한다. 외주 업체의 재무를 자문하는 Alessandro가 배석한다. Giulia가 내부 사망 사례 보고서를 제출한다.</t>
  </si>
  <si>
    <t xml:space="preserve">통계 읽기, 보고서 어휘</t>
  </si>
  <si>
    <r>
      <rPr>
        <sz val="10"/>
        <rFont val="Arial"/>
        <family val="0"/>
        <charset val="1"/>
      </rPr>
      <t xml:space="preserve">Giulia, </t>
    </r>
    <r>
      <rPr>
        <sz val="10"/>
        <rFont val="WenQuanYi Zen Hei"/>
        <family val="2"/>
      </rPr>
      <t xml:space="preserve">원장</t>
    </r>
    <r>
      <rPr>
        <sz val="10"/>
        <rFont val="Arial"/>
        <family val="0"/>
        <charset val="1"/>
      </rPr>
      <t xml:space="preserve">(</t>
    </r>
    <r>
      <rPr>
        <sz val="10"/>
        <rFont val="WenQuanYi Zen Hei"/>
        <family val="2"/>
      </rPr>
      <t xml:space="preserve">가상</t>
    </r>
    <r>
      <rPr>
        <sz val="10"/>
        <rFont val="Arial"/>
        <family val="0"/>
        <charset val="1"/>
      </rPr>
      <t xml:space="preserve">), Alessandro</t>
    </r>
  </si>
  <si>
    <t xml:space="preserve">P3</t>
  </si>
  <si>
    <t xml:space="preserve">Il procedimento</t>
  </si>
  <si>
    <t xml:space="preserve">징계 절차</t>
  </si>
  <si>
    <t xml:space="preserve">보고서 유출 의혹으로 징계 절차가 시작된다. 취재하는 Galileo에게 Giulia가 «Questo non esce da qui.»라고 못 박는다.</t>
  </si>
  <si>
    <t xml:space="preserve">징계(procedimento disciplinare), 비밀유지</t>
  </si>
  <si>
    <r>
      <rPr>
        <sz val="10"/>
        <rFont val="Arial"/>
        <family val="0"/>
        <charset val="1"/>
      </rPr>
      <t xml:space="preserve">Giulia, Galileo, </t>
    </r>
    <r>
      <rPr>
        <sz val="10"/>
        <rFont val="WenQuanYi Zen Hei"/>
        <family val="2"/>
      </rPr>
      <t xml:space="preserve">원장</t>
    </r>
    <r>
      <rPr>
        <sz val="10"/>
        <rFont val="Arial"/>
        <family val="0"/>
        <charset val="1"/>
      </rPr>
      <t xml:space="preserve">(</t>
    </r>
    <r>
      <rPr>
        <sz val="10"/>
        <rFont val="WenQuanYi Zen Hei"/>
        <family val="2"/>
      </rPr>
      <t xml:space="preserve">가상</t>
    </r>
    <r>
      <rPr>
        <sz val="10"/>
        <rFont val="Arial"/>
        <family val="0"/>
        <charset val="1"/>
      </rPr>
      <t xml:space="preserve">)</t>
    </r>
  </si>
  <si>
    <t xml:space="preserve">Venerdì: e come ti fa sentire?</t>
  </si>
  <si>
    <t xml:space="preserve">금요일: 기분이 어때요?</t>
  </si>
  <si>
    <r>
      <rPr>
        <sz val="10"/>
        <rFont val="Arial"/>
        <family val="0"/>
        <charset val="1"/>
      </rPr>
      <t xml:space="preserve">(</t>
    </r>
    <r>
      <rPr>
        <sz val="10"/>
        <rFont val="WenQuanYi Zen Hei"/>
        <family val="2"/>
      </rPr>
      <t xml:space="preserve">프레임</t>
    </r>
    <r>
      <rPr>
        <sz val="10"/>
        <rFont val="Arial"/>
        <family val="0"/>
        <charset val="1"/>
      </rPr>
      <t xml:space="preserve">) Montessori</t>
    </r>
    <r>
      <rPr>
        <sz val="10"/>
        <rFont val="WenQuanYi Zen Hei"/>
        <family val="2"/>
      </rPr>
      <t xml:space="preserve">가 </t>
    </r>
    <r>
      <rPr>
        <sz val="10"/>
        <rFont val="Arial"/>
        <family val="0"/>
        <charset val="1"/>
      </rPr>
      <t xml:space="preserve">Giulia</t>
    </r>
    <r>
      <rPr>
        <sz val="10"/>
        <rFont val="WenQuanYi Zen Hei"/>
        <family val="2"/>
      </rPr>
      <t xml:space="preserve">에게 감정을 되묻는다</t>
    </r>
    <r>
      <rPr>
        <sz val="10"/>
        <rFont val="Arial"/>
        <family val="0"/>
        <charset val="1"/>
      </rPr>
      <t xml:space="preserve">. Giulia</t>
    </r>
    <r>
      <rPr>
        <sz val="10"/>
        <rFont val="WenQuanYi Zen Hei"/>
        <family val="2"/>
      </rPr>
      <t xml:space="preserve">는 </t>
    </r>
    <r>
      <rPr>
        <sz val="10"/>
        <rFont val="Arial"/>
        <family val="0"/>
        <charset val="1"/>
      </rPr>
      <t xml:space="preserve">«Prima, respira.»</t>
    </r>
    <r>
      <rPr>
        <sz val="10"/>
        <rFont val="WenQuanYi Zen Hei"/>
        <family val="2"/>
      </rPr>
      <t xml:space="preserve">로 받아친다</t>
    </r>
    <r>
      <rPr>
        <sz val="10"/>
        <rFont val="Arial"/>
        <family val="0"/>
        <charset val="1"/>
      </rPr>
      <t xml:space="preserve">. Sofia</t>
    </r>
    <r>
      <rPr>
        <sz val="10"/>
        <rFont val="WenQuanYi Zen Hei"/>
        <family val="2"/>
      </rPr>
      <t xml:space="preserve">가 </t>
    </r>
    <r>
      <rPr>
        <sz val="10"/>
        <rFont val="Arial"/>
        <family val="0"/>
        <charset val="1"/>
      </rPr>
      <t xml:space="preserve">Montessori</t>
    </r>
    <r>
      <rPr>
        <sz val="10"/>
        <rFont val="WenQuanYi Zen Hei"/>
        <family val="2"/>
      </rPr>
      <t xml:space="preserve">의 화법을 흉내 낸다</t>
    </r>
    <r>
      <rPr>
        <sz val="10"/>
        <rFont val="Arial"/>
        <family val="0"/>
        <charset val="1"/>
      </rPr>
      <t xml:space="preserve">.</t>
    </r>
  </si>
  <si>
    <t xml:space="preserve">감정 표현, 되받기 화법</t>
  </si>
  <si>
    <t xml:space="preserve">Giulia, Montessori, Sofia</t>
  </si>
  <si>
    <t xml:space="preserve">Una notte senza letti</t>
  </si>
  <si>
    <t xml:space="preserve">병상 없는 밤</t>
  </si>
  <si>
    <t xml:space="preserve">버스 사고와 폭염이 겹친 밤. 병상이 없어 복도까지 환자가 찬다. Giulia가 즉흥으로 일곱 명을 살리고 한 명을 잃는다.</t>
  </si>
  <si>
    <t xml:space="preserve">대량 환자(maxi-emergenza), 우선순위, 명령형(imperativo)</t>
  </si>
  <si>
    <t xml:space="preserve">S4</t>
  </si>
  <si>
    <t xml:space="preserve">Le dimissioni della dottoressa</t>
  </si>
  <si>
    <t xml:space="preserve">의사의 사직</t>
  </si>
  <si>
    <t xml:space="preserve">징계 통보와 마지막 근무. 수첩을 덮고 사직서를 낸다. Loredana가 «Dottoressa, non se ne vada.»</t>
  </si>
  <si>
    <t xml:space="preserve">사직서, 작별</t>
  </si>
  <si>
    <t xml:space="preserve">Venerdì: una firma</t>
  </si>
  <si>
    <t xml:space="preserve">금요일: 한 사람의 서명</t>
  </si>
  <si>
    <r>
      <rPr>
        <sz val="10"/>
        <rFont val="Arial"/>
        <family val="0"/>
        <charset val="1"/>
      </rPr>
      <t xml:space="preserve">(</t>
    </r>
    <r>
      <rPr>
        <sz val="10"/>
        <rFont val="WenQuanYi Zen Hei"/>
        <family val="2"/>
      </rPr>
      <t xml:space="preserve">프레임</t>
    </r>
    <r>
      <rPr>
        <sz val="10"/>
        <rFont val="Arial"/>
        <family val="0"/>
        <charset val="1"/>
      </rPr>
      <t xml:space="preserve">) Giulia</t>
    </r>
    <r>
      <rPr>
        <sz val="10"/>
        <rFont val="WenQuanYi Zen Hei"/>
        <family val="2"/>
      </rPr>
      <t xml:space="preserve">가 </t>
    </r>
    <r>
      <rPr>
        <sz val="10"/>
        <rFont val="Arial"/>
        <family val="0"/>
        <charset val="1"/>
      </rPr>
      <t xml:space="preserve">«La relazione di revisione sul contratto aveva una firma.»</t>
    </r>
    <r>
      <rPr>
        <sz val="10"/>
        <rFont val="WenQuanYi Zen Hei"/>
        <family val="2"/>
      </rPr>
      <t xml:space="preserve">라고 말한다</t>
    </r>
    <r>
      <rPr>
        <sz val="10"/>
        <rFont val="Arial"/>
        <family val="0"/>
        <charset val="1"/>
      </rPr>
      <t xml:space="preserve">. Alessandro</t>
    </r>
    <r>
      <rPr>
        <sz val="10"/>
        <rFont val="WenQuanYi Zen Hei"/>
        <family val="2"/>
      </rPr>
      <t xml:space="preserve">가 조용히 </t>
    </r>
    <r>
      <rPr>
        <sz val="10"/>
        <rFont val="Arial"/>
        <family val="0"/>
        <charset val="1"/>
      </rPr>
      <t xml:space="preserve">«Tocca a me.»</t>
    </r>
  </si>
  <si>
    <t xml:space="preserve">서명·책임 표현</t>
  </si>
  <si>
    <t xml:space="preserve">Giulia, Alessandro, Sofia, Cesare</t>
  </si>
  <si>
    <t xml:space="preserve">Venerdì: ho firmato io</t>
  </si>
  <si>
    <t xml:space="preserve">금요일: 내가 서명했다</t>
  </si>
  <si>
    <r>
      <rPr>
        <sz val="10"/>
        <rFont val="Arial"/>
        <family val="0"/>
        <charset val="1"/>
      </rPr>
      <t xml:space="preserve">(</t>
    </r>
    <r>
      <rPr>
        <sz val="10"/>
        <rFont val="WenQuanYi Zen Hei"/>
        <family val="2"/>
      </rPr>
      <t xml:space="preserve">프레임</t>
    </r>
    <r>
      <rPr>
        <sz val="10"/>
        <rFont val="Arial"/>
        <family val="0"/>
        <charset val="1"/>
      </rPr>
      <t xml:space="preserve">) Alessandro</t>
    </r>
    <r>
      <rPr>
        <sz val="10"/>
        <rFont val="WenQuanYi Zen Hei"/>
        <family val="2"/>
      </rPr>
      <t xml:space="preserve">가 </t>
    </r>
    <r>
      <rPr>
        <sz val="10"/>
        <rFont val="Arial"/>
        <family val="0"/>
        <charset val="1"/>
      </rPr>
      <t xml:space="preserve">«Fammi vedere le carte.»</t>
    </r>
    <r>
      <rPr>
        <sz val="10"/>
        <rFont val="WenQuanYi Zen Hei"/>
        <family val="2"/>
      </rPr>
      <t xml:space="preserve">를 습관처럼 하다가 </t>
    </r>
    <r>
      <rPr>
        <sz val="10"/>
        <rFont val="Arial"/>
        <family val="0"/>
        <charset val="1"/>
      </rPr>
      <t xml:space="preserve">«Ho firmato io.»</t>
    </r>
    <r>
      <rPr>
        <sz val="10"/>
        <rFont val="WenQuanYi Zen Hei"/>
        <family val="2"/>
      </rPr>
      <t xml:space="preserve">라고 시작한다</t>
    </r>
    <r>
      <rPr>
        <sz val="10"/>
        <rFont val="Arial"/>
        <family val="0"/>
        <charset val="1"/>
      </rPr>
      <t xml:space="preserve">. Sofia</t>
    </r>
    <r>
      <rPr>
        <sz val="10"/>
        <rFont val="WenQuanYi Zen Hei"/>
        <family val="2"/>
      </rPr>
      <t xml:space="preserve">가 숫자를 못 읽어 질문한다</t>
    </r>
    <r>
      <rPr>
        <sz val="10"/>
        <rFont val="Arial"/>
        <family val="0"/>
        <charset val="1"/>
      </rPr>
      <t xml:space="preserve">.</t>
    </r>
  </si>
  <si>
    <t xml:space="preserve">회계 어휘 도입</t>
  </si>
  <si>
    <t xml:space="preserve">Alessandro, Sofia, Giulia, Cesare</t>
  </si>
  <si>
    <t xml:space="preserve">Chiusura di bilancio</t>
  </si>
  <si>
    <t xml:space="preserve">결산 마감</t>
  </si>
  <si>
    <r>
      <rPr>
        <sz val="10"/>
        <rFont val="Arial"/>
        <family val="0"/>
        <charset val="1"/>
      </rPr>
      <t xml:space="preserve">(</t>
    </r>
    <r>
      <rPr>
        <sz val="10"/>
        <rFont val="WenQuanYi Zen Hei"/>
        <family val="2"/>
      </rPr>
      <t xml:space="preserve">과거</t>
    </r>
    <r>
      <rPr>
        <sz val="10"/>
        <rFont val="Arial"/>
        <family val="0"/>
        <charset val="1"/>
      </rPr>
      <t xml:space="preserve">) Conti Revisori</t>
    </r>
    <r>
      <rPr>
        <sz val="10"/>
        <rFont val="WenQuanYi Zen Hei"/>
        <family val="2"/>
      </rPr>
      <t xml:space="preserve">의 결산 감사 마감 주간</t>
    </r>
    <r>
      <rPr>
        <sz val="10"/>
        <rFont val="Arial"/>
        <family val="0"/>
        <charset val="1"/>
      </rPr>
      <t xml:space="preserve">. </t>
    </r>
    <r>
      <rPr>
        <sz val="10"/>
        <rFont val="WenQuanYi Zen Hei"/>
        <family val="2"/>
      </rPr>
      <t xml:space="preserve">표본추출</t>
    </r>
    <r>
      <rPr>
        <sz val="10"/>
        <rFont val="Arial"/>
        <family val="0"/>
        <charset val="1"/>
      </rPr>
      <t xml:space="preserve">(campionamento)</t>
    </r>
    <r>
      <rPr>
        <sz val="10"/>
        <rFont val="WenQuanYi Zen Hei"/>
        <family val="2"/>
      </rPr>
      <t xml:space="preserve">과 중요성</t>
    </r>
    <r>
      <rPr>
        <sz val="10"/>
        <rFont val="Arial"/>
        <family val="0"/>
        <charset val="1"/>
      </rPr>
      <t xml:space="preserve">(significatività). Alessandro</t>
    </r>
    <r>
      <rPr>
        <sz val="10"/>
        <rFont val="WenQuanYi Zen Hei"/>
        <family val="2"/>
      </rPr>
      <t xml:space="preserve">의 정확성과 냉소</t>
    </r>
    <r>
      <rPr>
        <sz val="10"/>
        <rFont val="Arial"/>
        <family val="0"/>
        <charset val="1"/>
      </rPr>
      <t xml:space="preserve">.</t>
    </r>
  </si>
  <si>
    <t xml:space="preserve">감사 절차 어휘</t>
  </si>
  <si>
    <r>
      <rPr>
        <sz val="10"/>
        <rFont val="Arial"/>
        <family val="0"/>
        <charset val="1"/>
      </rPr>
      <t xml:space="preserve">Alessandro, Bassi(</t>
    </r>
    <r>
      <rPr>
        <sz val="10"/>
        <rFont val="WenQuanYi Zen Hei"/>
        <family val="2"/>
      </rPr>
      <t xml:space="preserve">가상</t>
    </r>
    <r>
      <rPr>
        <sz val="10"/>
        <rFont val="Arial"/>
        <family val="0"/>
        <charset val="1"/>
      </rPr>
      <t xml:space="preserve">), </t>
    </r>
    <r>
      <rPr>
        <sz val="10"/>
        <rFont val="WenQuanYi Zen Hei"/>
        <family val="2"/>
      </rPr>
      <t xml:space="preserve">후배 감사인</t>
    </r>
    <r>
      <rPr>
        <sz val="10"/>
        <rFont val="Arial"/>
        <family val="0"/>
        <charset val="1"/>
      </rPr>
      <t xml:space="preserve">(</t>
    </r>
    <r>
      <rPr>
        <sz val="10"/>
        <rFont val="WenQuanYi Zen Hei"/>
        <family val="2"/>
      </rPr>
      <t xml:space="preserve">가상</t>
    </r>
    <r>
      <rPr>
        <sz val="10"/>
        <rFont val="Arial"/>
        <family val="0"/>
        <charset val="1"/>
      </rPr>
      <t xml:space="preserve">)</t>
    </r>
  </si>
  <si>
    <t xml:space="preserve">Il cliente che paga bene</t>
  </si>
  <si>
    <t xml:space="preserve">돈 잘 주는 고객</t>
  </si>
  <si>
    <r>
      <rPr>
        <sz val="10"/>
        <rFont val="Arial"/>
        <family val="0"/>
        <charset val="1"/>
      </rPr>
      <t xml:space="preserve">Gruppo Meridiano</t>
    </r>
    <r>
      <rPr>
        <sz val="10"/>
        <rFont val="WenQuanYi Zen Hei"/>
        <family val="2"/>
      </rPr>
      <t xml:space="preserve">가 회사 수임료의 </t>
    </r>
    <r>
      <rPr>
        <sz val="10"/>
        <rFont val="Arial"/>
        <family val="0"/>
        <charset val="1"/>
      </rPr>
      <t xml:space="preserve">15%</t>
    </r>
    <r>
      <rPr>
        <sz val="10"/>
        <rFont val="WenQuanYi Zen Hei"/>
        <family val="2"/>
      </rPr>
      <t xml:space="preserve">를 차지한다</t>
    </r>
    <r>
      <rPr>
        <sz val="10"/>
        <rFont val="Arial"/>
        <family val="0"/>
        <charset val="1"/>
      </rPr>
      <t xml:space="preserve">. </t>
    </r>
    <r>
      <rPr>
        <sz val="10"/>
        <rFont val="WenQuanYi Zen Hei"/>
        <family val="2"/>
      </rPr>
      <t xml:space="preserve">독립성과 감사인 순환 규정이 문제가 된다</t>
    </r>
    <r>
      <rPr>
        <sz val="10"/>
        <rFont val="Arial"/>
        <family val="0"/>
        <charset val="1"/>
      </rPr>
      <t xml:space="preserve">. </t>
    </r>
    <r>
      <rPr>
        <sz val="10"/>
        <rFont val="WenQuanYi Zen Hei"/>
        <family val="2"/>
      </rPr>
      <t xml:space="preserve">대표 파트너 </t>
    </r>
    <r>
      <rPr>
        <sz val="10"/>
        <rFont val="Arial"/>
        <family val="0"/>
        <charset val="1"/>
      </rPr>
      <t xml:space="preserve">Bassi</t>
    </r>
    <r>
      <rPr>
        <sz val="10"/>
        <rFont val="WenQuanYi Zen Hei"/>
        <family val="2"/>
      </rPr>
      <t xml:space="preserve">는 </t>
    </r>
    <r>
      <rPr>
        <sz val="10"/>
        <rFont val="Arial"/>
        <family val="0"/>
        <charset val="1"/>
      </rPr>
      <t xml:space="preserve">'</t>
    </r>
    <r>
      <rPr>
        <sz val="10"/>
        <rFont val="WenQuanYi Zen Hei"/>
        <family val="2"/>
      </rPr>
      <t xml:space="preserve">관계</t>
    </r>
    <r>
      <rPr>
        <sz val="10"/>
        <rFont val="Arial"/>
        <family val="0"/>
        <charset val="1"/>
      </rPr>
      <t xml:space="preserve">'</t>
    </r>
    <r>
      <rPr>
        <sz val="10"/>
        <rFont val="WenQuanYi Zen Hei"/>
        <family val="2"/>
      </rPr>
      <t xml:space="preserve">를 강조한다</t>
    </r>
    <r>
      <rPr>
        <sz val="10"/>
        <rFont val="Arial"/>
        <family val="0"/>
        <charset val="1"/>
      </rPr>
      <t xml:space="preserve">.</t>
    </r>
  </si>
  <si>
    <t xml:space="preserve">독립성, 수임료 집중, 감사인 순환(d.lgs. 39/2010)</t>
  </si>
  <si>
    <r>
      <rPr>
        <sz val="10"/>
        <rFont val="Arial"/>
        <family val="0"/>
        <charset val="1"/>
      </rPr>
      <t xml:space="preserve">Alessandro, Bassi(</t>
    </r>
    <r>
      <rPr>
        <sz val="10"/>
        <rFont val="WenQuanYi Zen Hei"/>
        <family val="2"/>
      </rPr>
      <t xml:space="preserve">가상</t>
    </r>
    <r>
      <rPr>
        <sz val="10"/>
        <rFont val="Arial"/>
        <family val="0"/>
        <charset val="1"/>
      </rPr>
      <t xml:space="preserve">)</t>
    </r>
  </si>
  <si>
    <t xml:space="preserve">Questo non torna</t>
  </si>
  <si>
    <t xml:space="preserve">이건 안 맞아</t>
  </si>
  <si>
    <t xml:space="preserve">특수관계자 대출이 룩셈부르크 지주회사로 흘러간 흔적. 은행 자료를 보내 준 Francesco가 «Segui il denaro.»</t>
  </si>
  <si>
    <t xml:space="preserve">특수관계자 거래(parti correlate), 조세 회피처</t>
  </si>
  <si>
    <t xml:space="preserve">Alessandro, Francesco</t>
  </si>
  <si>
    <t xml:space="preserve">Venerdì: il padre di Alessandro</t>
  </si>
  <si>
    <t xml:space="preserve">금요일: Alessandro의 아버지</t>
  </si>
  <si>
    <r>
      <rPr>
        <sz val="10"/>
        <rFont val="Arial"/>
        <family val="0"/>
        <charset val="1"/>
      </rPr>
      <t xml:space="preserve">(</t>
    </r>
    <r>
      <rPr>
        <sz val="10"/>
        <rFont val="WenQuanYi Zen Hei"/>
        <family val="2"/>
      </rPr>
      <t xml:space="preserve">프레임</t>
    </r>
    <r>
      <rPr>
        <sz val="10"/>
        <rFont val="Arial"/>
        <family val="0"/>
        <charset val="1"/>
      </rPr>
      <t xml:space="preserve">) </t>
    </r>
    <r>
      <rPr>
        <sz val="10"/>
        <rFont val="WenQuanYi Zen Hei"/>
        <family val="2"/>
      </rPr>
      <t xml:space="preserve">정직한 장부를 지키다 해고된 아버지 이야기</t>
    </r>
    <r>
      <rPr>
        <sz val="10"/>
        <rFont val="Arial"/>
        <family val="0"/>
        <charset val="1"/>
      </rPr>
      <t xml:space="preserve">. «Mostrami i numeri e ti dirò chi sei.»</t>
    </r>
    <r>
      <rPr>
        <sz val="10"/>
        <rFont val="WenQuanYi Zen Hei"/>
        <family val="2"/>
      </rPr>
      <t xml:space="preserve">의 기원</t>
    </r>
    <r>
      <rPr>
        <sz val="10"/>
        <rFont val="Arial"/>
        <family val="0"/>
        <charset val="1"/>
      </rPr>
      <t xml:space="preserve">.</t>
    </r>
  </si>
  <si>
    <t xml:space="preserve">가족 이야기, 과거</t>
  </si>
  <si>
    <t xml:space="preserve">Alessandro, Sofia, Rosa</t>
  </si>
  <si>
    <t xml:space="preserve">La riunione dei soci</t>
  </si>
  <si>
    <t xml:space="preserve">파트너 회의</t>
  </si>
  <si>
    <r>
      <rPr>
        <sz val="10"/>
        <rFont val="Arial"/>
        <family val="0"/>
        <charset val="1"/>
      </rPr>
      <t xml:space="preserve">Alessandro</t>
    </r>
    <r>
      <rPr>
        <sz val="10"/>
        <rFont val="WenQuanYi Zen Hei"/>
        <family val="2"/>
      </rPr>
      <t xml:space="preserve">가 </t>
    </r>
    <r>
      <rPr>
        <sz val="10"/>
        <rFont val="Arial"/>
        <family val="0"/>
        <charset val="1"/>
      </rPr>
      <t xml:space="preserve">'</t>
    </r>
    <r>
      <rPr>
        <sz val="10"/>
        <rFont val="WenQuanYi Zen Hei"/>
        <family val="2"/>
      </rPr>
      <t xml:space="preserve">한정 의견</t>
    </r>
    <r>
      <rPr>
        <sz val="10"/>
        <rFont val="Arial"/>
        <family val="0"/>
        <charset val="1"/>
      </rPr>
      <t xml:space="preserve">(giudizio con rilievi)'</t>
    </r>
    <r>
      <rPr>
        <sz val="10"/>
        <rFont val="WenQuanYi Zen Hei"/>
        <family val="2"/>
      </rPr>
      <t xml:space="preserve">을 주장하자 파트너들이 승진과 고객 유지를 들어 설득한다</t>
    </r>
    <r>
      <rPr>
        <sz val="10"/>
        <rFont val="Arial"/>
        <family val="0"/>
        <charset val="1"/>
      </rPr>
      <t xml:space="preserve">. Alessandro</t>
    </r>
    <r>
      <rPr>
        <sz val="10"/>
        <rFont val="WenQuanYi Zen Hei"/>
        <family val="2"/>
      </rPr>
      <t xml:space="preserve">는 리스크 위원회로 사안을 올린다</t>
    </r>
    <r>
      <rPr>
        <sz val="10"/>
        <rFont val="Arial"/>
        <family val="0"/>
        <charset val="1"/>
      </rPr>
      <t xml:space="preserve">.</t>
    </r>
  </si>
  <si>
    <t xml:space="preserve">의견 종류: senza rilievi, con rilievi, negativo, impossibilità di esprimere un giudizio</t>
  </si>
  <si>
    <r>
      <rPr>
        <sz val="10"/>
        <rFont val="Arial"/>
        <family val="0"/>
        <charset val="1"/>
      </rPr>
      <t xml:space="preserve">Alessandro, Bassi(</t>
    </r>
    <r>
      <rPr>
        <sz val="10"/>
        <rFont val="WenQuanYi Zen Hei"/>
        <family val="2"/>
      </rPr>
      <t xml:space="preserve">가상</t>
    </r>
    <r>
      <rPr>
        <sz val="10"/>
        <rFont val="Arial"/>
        <family val="0"/>
        <charset val="1"/>
      </rPr>
      <t xml:space="preserve">), </t>
    </r>
    <r>
      <rPr>
        <sz val="10"/>
        <rFont val="WenQuanYi Zen Hei"/>
        <family val="2"/>
      </rPr>
      <t xml:space="preserve">파트너들</t>
    </r>
  </si>
  <si>
    <t xml:space="preserve">Il comitato rischi</t>
  </si>
  <si>
    <t xml:space="preserve">리스크 위원회</t>
  </si>
  <si>
    <r>
      <rPr>
        <sz val="10"/>
        <rFont val="Arial"/>
        <family val="0"/>
        <charset val="1"/>
      </rPr>
      <t xml:space="preserve">GM</t>
    </r>
    <r>
      <rPr>
        <sz val="10"/>
        <rFont val="WenQuanYi Zen Hei"/>
        <family val="2"/>
      </rPr>
      <t xml:space="preserve">의 변호사 서한이 도착한다</t>
    </r>
    <r>
      <rPr>
        <sz val="10"/>
        <rFont val="Arial"/>
        <family val="0"/>
        <charset val="1"/>
      </rPr>
      <t xml:space="preserve">(</t>
    </r>
    <r>
      <rPr>
        <sz val="10"/>
        <rFont val="WenQuanYi Zen Hei"/>
        <family val="2"/>
      </rPr>
      <t xml:space="preserve">고객 측 변호사는 </t>
    </r>
    <r>
      <rPr>
        <sz val="10"/>
        <rFont val="Arial"/>
        <family val="0"/>
        <charset val="1"/>
      </rPr>
      <t xml:space="preserve">Marco</t>
    </r>
    <r>
      <rPr>
        <sz val="10"/>
        <rFont val="WenQuanYi Zen Hei"/>
        <family val="2"/>
      </rPr>
      <t xml:space="preserve">의 옛 동료</t>
    </r>
    <r>
      <rPr>
        <sz val="10"/>
        <rFont val="Arial"/>
        <family val="0"/>
        <charset val="1"/>
      </rPr>
      <t xml:space="preserve">). </t>
    </r>
    <r>
      <rPr>
        <sz val="10"/>
        <rFont val="WenQuanYi Zen Hei"/>
        <family val="2"/>
      </rPr>
      <t xml:space="preserve">위원회는 </t>
    </r>
    <r>
      <rPr>
        <sz val="10"/>
        <rFont val="Arial"/>
        <family val="0"/>
        <charset val="1"/>
      </rPr>
      <t xml:space="preserve">'</t>
    </r>
    <r>
      <rPr>
        <sz val="10"/>
        <rFont val="WenQuanYi Zen Hei"/>
        <family val="2"/>
      </rPr>
      <t xml:space="preserve">증거 불충분</t>
    </r>
    <r>
      <rPr>
        <sz val="10"/>
        <rFont val="Arial"/>
        <family val="0"/>
        <charset val="1"/>
      </rPr>
      <t xml:space="preserve">'</t>
    </r>
    <r>
      <rPr>
        <sz val="10"/>
        <rFont val="WenQuanYi Zen Hei"/>
        <family val="2"/>
      </rPr>
      <t xml:space="preserve">으로 결정한다</t>
    </r>
    <r>
      <rPr>
        <sz val="10"/>
        <rFont val="Arial"/>
        <family val="0"/>
        <charset val="1"/>
      </rPr>
      <t xml:space="preserve">.</t>
    </r>
  </si>
  <si>
    <t xml:space="preserve">변호사 서한(lettera dei legali), 충분한 증거</t>
  </si>
  <si>
    <r>
      <rPr>
        <sz val="10"/>
        <rFont val="Arial"/>
        <family val="0"/>
        <charset val="1"/>
      </rPr>
      <t xml:space="preserve">Alessandro, </t>
    </r>
    <r>
      <rPr>
        <sz val="10"/>
        <rFont val="WenQuanYi Zen Hei"/>
        <family val="2"/>
      </rPr>
      <t xml:space="preserve">위원회</t>
    </r>
    <r>
      <rPr>
        <sz val="10"/>
        <rFont val="Arial"/>
        <family val="0"/>
        <charset val="1"/>
      </rPr>
      <t xml:space="preserve">(</t>
    </r>
    <r>
      <rPr>
        <sz val="10"/>
        <rFont val="WenQuanYi Zen Hei"/>
        <family val="2"/>
      </rPr>
      <t xml:space="preserve">가상</t>
    </r>
    <r>
      <rPr>
        <sz val="10"/>
        <rFont val="Arial"/>
        <family val="0"/>
        <charset val="1"/>
      </rPr>
      <t xml:space="preserve">)</t>
    </r>
  </si>
  <si>
    <t xml:space="preserve">Un pranzo ai Parioli</t>
  </si>
  <si>
    <t xml:space="preserve">파리올리의 점심</t>
  </si>
  <si>
    <r>
      <rPr>
        <sz val="10"/>
        <rFont val="Arial"/>
        <family val="0"/>
        <charset val="1"/>
      </rPr>
      <t xml:space="preserve">Santoro</t>
    </r>
    <r>
      <rPr>
        <sz val="10"/>
        <rFont val="WenQuanYi Zen Hei"/>
        <family val="2"/>
      </rPr>
      <t xml:space="preserve">가 </t>
    </r>
    <r>
      <rPr>
        <sz val="10"/>
        <rFont val="Arial"/>
        <family val="0"/>
        <charset val="1"/>
      </rPr>
      <t xml:space="preserve">Alessandro</t>
    </r>
    <r>
      <rPr>
        <sz val="10"/>
        <rFont val="WenQuanYi Zen Hei"/>
        <family val="2"/>
      </rPr>
      <t xml:space="preserve">에게 점심을 산다</t>
    </r>
    <r>
      <rPr>
        <sz val="10"/>
        <rFont val="Arial"/>
        <family val="0"/>
        <charset val="1"/>
      </rPr>
      <t xml:space="preserve">. </t>
    </r>
    <r>
      <rPr>
        <sz val="10"/>
        <rFont val="WenQuanYi Zen Hei"/>
        <family val="2"/>
      </rPr>
      <t xml:space="preserve">정중한 위협과 제안</t>
    </r>
    <r>
      <rPr>
        <sz val="10"/>
        <rFont val="Arial"/>
        <family val="0"/>
        <charset val="1"/>
      </rPr>
      <t xml:space="preserve">: </t>
    </r>
    <r>
      <rPr>
        <sz val="10"/>
        <rFont val="WenQuanYi Zen Hei"/>
        <family val="2"/>
      </rPr>
      <t xml:space="preserve">파트너 승진과 개인 자문 계약</t>
    </r>
    <r>
      <rPr>
        <sz val="10"/>
        <rFont val="Arial"/>
        <family val="0"/>
        <charset val="1"/>
      </rPr>
      <t xml:space="preserve">. </t>
    </r>
    <r>
      <rPr>
        <sz val="10"/>
        <rFont val="WenQuanYi Zen Hei"/>
        <family val="2"/>
      </rPr>
      <t xml:space="preserve">뉴스레터 </t>
    </r>
    <r>
      <rPr>
        <sz val="10"/>
        <rFont val="Arial"/>
        <family val="0"/>
        <charset val="1"/>
      </rPr>
      <t xml:space="preserve">«Nuncius»</t>
    </r>
    <r>
      <rPr>
        <sz val="10"/>
        <rFont val="WenQuanYi Zen Hei"/>
        <family val="2"/>
      </rPr>
      <t xml:space="preserve">를 쓰는 </t>
    </r>
    <r>
      <rPr>
        <sz val="10"/>
        <rFont val="Arial"/>
        <family val="0"/>
        <charset val="1"/>
      </rPr>
      <t xml:space="preserve">Galileo</t>
    </r>
    <r>
      <rPr>
        <sz val="10"/>
        <rFont val="WenQuanYi Zen Hei"/>
        <family val="2"/>
      </rPr>
      <t xml:space="preserve">의 전화가 온다</t>
    </r>
    <r>
      <rPr>
        <sz val="10"/>
        <rFont val="Arial"/>
        <family val="0"/>
        <charset val="1"/>
      </rPr>
      <t xml:space="preserve">.</t>
    </r>
  </si>
  <si>
    <t xml:space="preserve">완곡한 압박, 접속법·조건법</t>
  </si>
  <si>
    <r>
      <rPr>
        <sz val="10"/>
        <rFont val="Arial"/>
        <family val="0"/>
        <charset val="1"/>
      </rPr>
      <t xml:space="preserve">Alessandro, Santoro(</t>
    </r>
    <r>
      <rPr>
        <sz val="10"/>
        <rFont val="WenQuanYi Zen Hei"/>
        <family val="2"/>
      </rPr>
      <t xml:space="preserve">가상</t>
    </r>
    <r>
      <rPr>
        <sz val="10"/>
        <rFont val="Arial"/>
        <family val="0"/>
        <charset val="1"/>
      </rPr>
      <t xml:space="preserve">), Galileo</t>
    </r>
  </si>
  <si>
    <t xml:space="preserve">Venerdì: e hai firmato?</t>
  </si>
  <si>
    <t xml:space="preserve">금요일: 서명했어요?</t>
  </si>
  <si>
    <r>
      <rPr>
        <sz val="10"/>
        <rFont val="Arial"/>
        <family val="0"/>
        <charset val="1"/>
      </rPr>
      <t xml:space="preserve">(</t>
    </r>
    <r>
      <rPr>
        <sz val="10"/>
        <rFont val="WenQuanYi Zen Hei"/>
        <family val="2"/>
      </rPr>
      <t xml:space="preserve">프레임</t>
    </r>
    <r>
      <rPr>
        <sz val="10"/>
        <rFont val="Arial"/>
        <family val="0"/>
        <charset val="1"/>
      </rPr>
      <t xml:space="preserve">) Sofia</t>
    </r>
    <r>
      <rPr>
        <sz val="10"/>
        <rFont val="WenQuanYi Zen Hei"/>
        <family val="2"/>
      </rPr>
      <t xml:space="preserve">가 묻고 </t>
    </r>
    <r>
      <rPr>
        <sz val="10"/>
        <rFont val="Arial"/>
        <family val="0"/>
        <charset val="1"/>
      </rPr>
      <t xml:space="preserve">Alessandro</t>
    </r>
    <r>
      <rPr>
        <sz val="10"/>
        <rFont val="WenQuanYi Zen Hei"/>
        <family val="2"/>
      </rPr>
      <t xml:space="preserve">는 </t>
    </r>
    <r>
      <rPr>
        <sz val="10"/>
        <rFont val="Arial"/>
        <family val="0"/>
        <charset val="1"/>
      </rPr>
      <t xml:space="preserve">«Aspetta.»</t>
    </r>
    <r>
      <rPr>
        <sz val="10"/>
        <rFont val="WenQuanYi Zen Hei"/>
        <family val="2"/>
      </rPr>
      <t xml:space="preserve">라고 한다</t>
    </r>
    <r>
      <rPr>
        <sz val="10"/>
        <rFont val="Arial"/>
        <family val="0"/>
        <charset val="1"/>
      </rPr>
      <t xml:space="preserve">. Cesare</t>
    </r>
    <r>
      <rPr>
        <sz val="10"/>
        <rFont val="WenQuanYi Zen Hei"/>
        <family val="2"/>
      </rPr>
      <t xml:space="preserve">가 </t>
    </r>
    <r>
      <rPr>
        <sz val="10"/>
        <rFont val="Arial"/>
        <family val="0"/>
        <charset val="1"/>
      </rPr>
      <t xml:space="preserve">«Tutti, prima o poi, firmiamo qualcosa.»</t>
    </r>
    <r>
      <rPr>
        <sz val="10"/>
        <rFont val="WenQuanYi Zen Hei"/>
        <family val="2"/>
      </rPr>
      <t xml:space="preserve">라고 말하고 </t>
    </r>
    <r>
      <rPr>
        <sz val="10"/>
        <rFont val="Arial"/>
        <family val="0"/>
        <charset val="1"/>
      </rPr>
      <t xml:space="preserve">Giulia</t>
    </r>
    <r>
      <rPr>
        <sz val="10"/>
        <rFont val="WenQuanYi Zen Hei"/>
        <family val="2"/>
      </rPr>
      <t xml:space="preserve">가 눈을 감는다</t>
    </r>
    <r>
      <rPr>
        <sz val="10"/>
        <rFont val="Arial"/>
        <family val="0"/>
        <charset val="1"/>
      </rPr>
      <t xml:space="preserve">.</t>
    </r>
  </si>
  <si>
    <t xml:space="preserve">재촉·회피</t>
  </si>
  <si>
    <t xml:space="preserve">Alessandro, Sofia, Cesare, Giulia</t>
  </si>
  <si>
    <r>
      <rPr>
        <sz val="10"/>
        <rFont val="Arial"/>
        <family val="0"/>
        <charset val="1"/>
      </rPr>
      <t xml:space="preserve">Alessandro</t>
    </r>
    <r>
      <rPr>
        <sz val="10"/>
        <rFont val="WenQuanYi Zen Hei"/>
        <family val="2"/>
      </rPr>
      <t xml:space="preserve">가 </t>
    </r>
    <r>
      <rPr>
        <sz val="10"/>
        <rFont val="Arial"/>
        <family val="0"/>
        <charset val="1"/>
      </rPr>
      <t xml:space="preserve">'</t>
    </r>
    <r>
      <rPr>
        <sz val="10"/>
        <rFont val="WenQuanYi Zen Hei"/>
        <family val="2"/>
      </rPr>
      <t xml:space="preserve">적정</t>
    </r>
    <r>
      <rPr>
        <sz val="10"/>
        <rFont val="Arial"/>
        <family val="0"/>
        <charset val="1"/>
      </rPr>
      <t xml:space="preserve">(senza rilievi)' </t>
    </r>
    <r>
      <rPr>
        <sz val="10"/>
        <rFont val="WenQuanYi Zen Hei"/>
        <family val="2"/>
      </rPr>
      <t xml:space="preserve">의견서에 서명한다</t>
    </r>
    <r>
      <rPr>
        <sz val="10"/>
        <rFont val="Arial"/>
        <family val="0"/>
        <charset val="1"/>
      </rPr>
      <t xml:space="preserve">. </t>
    </r>
    <r>
      <rPr>
        <sz val="10"/>
        <rFont val="WenQuanYi Zen Hei"/>
        <family val="2"/>
      </rPr>
      <t xml:space="preserve">서명 후 그는 복사본 </t>
    </r>
    <r>
      <rPr>
        <sz val="10"/>
        <rFont val="Arial"/>
        <family val="0"/>
        <charset val="1"/>
      </rPr>
      <t xml:space="preserve">USB</t>
    </r>
    <r>
      <rPr>
        <sz val="10"/>
        <rFont val="WenQuanYi Zen Hei"/>
        <family val="2"/>
      </rPr>
      <t xml:space="preserve">를 챙긴다</t>
    </r>
    <r>
      <rPr>
        <sz val="10"/>
        <rFont val="Arial"/>
        <family val="0"/>
        <charset val="1"/>
      </rPr>
      <t xml:space="preserve">.</t>
    </r>
  </si>
  <si>
    <t xml:space="preserve">서명, 감사보고서(relazione di revisione), 책임</t>
  </si>
  <si>
    <t xml:space="preserve">Dopo la firma</t>
  </si>
  <si>
    <t xml:space="preserve">서명 이후</t>
  </si>
  <si>
    <t xml:space="preserve">그 의견서로 병원 외주 계약이 확정되고(3부의 계약) 구조조정 컨설팅이 시작된다는 통보를 받는다. Alessandro는 사직하고 다시는 서명하지 않겠다고 다짐한다.</t>
  </si>
  <si>
    <t xml:space="preserve">결과·책임, 사직</t>
  </si>
  <si>
    <r>
      <rPr>
        <sz val="10"/>
        <rFont val="Arial"/>
        <family val="0"/>
        <charset val="1"/>
      </rPr>
      <t xml:space="preserve">Alessandro, Bassi(</t>
    </r>
    <r>
      <rPr>
        <sz val="10"/>
        <rFont val="WenQuanYi Zen Hei"/>
        <family val="2"/>
      </rPr>
      <t xml:space="preserve">가상</t>
    </r>
    <r>
      <rPr>
        <sz val="10"/>
        <rFont val="Arial"/>
        <family val="0"/>
        <charset val="1"/>
      </rPr>
      <t xml:space="preserve">), Chiara</t>
    </r>
  </si>
  <si>
    <t xml:space="preserve">Venerdì: la lista di Chiara</t>
  </si>
  <si>
    <t xml:space="preserve">금요일: Chiara의 명단</t>
  </si>
  <si>
    <r>
      <rPr>
        <sz val="10"/>
        <rFont val="Arial"/>
        <family val="0"/>
        <charset val="1"/>
      </rPr>
      <t xml:space="preserve">(</t>
    </r>
    <r>
      <rPr>
        <sz val="10"/>
        <rFont val="WenQuanYi Zen Hei"/>
        <family val="2"/>
      </rPr>
      <t xml:space="preserve">프레임</t>
    </r>
    <r>
      <rPr>
        <sz val="10"/>
        <rFont val="Arial"/>
        <family val="0"/>
        <charset val="1"/>
      </rPr>
      <t xml:space="preserve">) Alessandro</t>
    </r>
    <r>
      <rPr>
        <sz val="10"/>
        <rFont val="WenQuanYi Zen Hei"/>
        <family val="2"/>
      </rPr>
      <t xml:space="preserve">가 </t>
    </r>
    <r>
      <rPr>
        <sz val="10"/>
        <rFont val="Arial"/>
        <family val="0"/>
        <charset val="1"/>
      </rPr>
      <t xml:space="preserve">USB</t>
    </r>
    <r>
      <rPr>
        <sz val="10"/>
        <rFont val="WenQuanYi Zen Hei"/>
        <family val="2"/>
      </rPr>
      <t xml:space="preserve">를 꺼내지 않은 채 식탁에 놓고</t>
    </r>
    <r>
      <rPr>
        <sz val="10"/>
        <rFont val="Arial"/>
        <family val="0"/>
        <charset val="1"/>
      </rPr>
      <t xml:space="preserve">, Chiara</t>
    </r>
    <r>
      <rPr>
        <sz val="10"/>
        <rFont val="WenQuanYi Zen Hei"/>
        <family val="2"/>
      </rPr>
      <t xml:space="preserve">가 </t>
    </r>
    <r>
      <rPr>
        <sz val="10"/>
        <rFont val="Arial"/>
        <family val="0"/>
        <charset val="1"/>
      </rPr>
      <t xml:space="preserve">«La lista la facevo io.»</t>
    </r>
    <r>
      <rPr>
        <sz val="10"/>
        <rFont val="WenQuanYi Zen Hei"/>
        <family val="2"/>
      </rPr>
      <t xml:space="preserve">라고 말한다</t>
    </r>
    <r>
      <rPr>
        <sz val="10"/>
        <rFont val="Arial"/>
        <family val="0"/>
        <charset val="1"/>
      </rPr>
      <t xml:space="preserve">.</t>
    </r>
  </si>
  <si>
    <t xml:space="preserve">고백</t>
  </si>
  <si>
    <t xml:space="preserve">Alessandro, Chiara, Sofia, Rosa</t>
  </si>
  <si>
    <t xml:space="preserve">Venerdì: in una matrice</t>
  </si>
  <si>
    <t xml:space="preserve">금요일: 매트릭스로</t>
  </si>
  <si>
    <r>
      <rPr>
        <sz val="10"/>
        <rFont val="Arial"/>
        <family val="0"/>
        <charset val="1"/>
      </rPr>
      <t xml:space="preserve">(</t>
    </r>
    <r>
      <rPr>
        <sz val="10"/>
        <rFont val="WenQuanYi Zen Hei"/>
        <family val="2"/>
      </rPr>
      <t xml:space="preserve">프레임</t>
    </r>
    <r>
      <rPr>
        <sz val="10"/>
        <rFont val="Arial"/>
        <family val="0"/>
        <charset val="1"/>
      </rPr>
      <t xml:space="preserve">) Chiara</t>
    </r>
    <r>
      <rPr>
        <sz val="10"/>
        <rFont val="WenQuanYi Zen Hei"/>
        <family val="2"/>
      </rPr>
      <t xml:space="preserve">가 </t>
    </r>
    <r>
      <rPr>
        <sz val="10"/>
        <rFont val="Arial"/>
        <family val="0"/>
        <charset val="1"/>
      </rPr>
      <t xml:space="preserve">«Mettiamolo in una matrice.»</t>
    </r>
    <r>
      <rPr>
        <sz val="10"/>
        <rFont val="WenQuanYi Zen Hei"/>
        <family val="2"/>
      </rPr>
      <t xml:space="preserve">로 시작하다 </t>
    </r>
    <r>
      <rPr>
        <sz val="10"/>
        <rFont val="Arial"/>
        <family val="0"/>
        <charset val="1"/>
      </rPr>
      <t xml:space="preserve">Sofia</t>
    </r>
    <r>
      <rPr>
        <sz val="10"/>
        <rFont val="WenQuanYi Zen Hei"/>
        <family val="2"/>
      </rPr>
      <t xml:space="preserve">에게 제지당한다</t>
    </r>
    <r>
      <rPr>
        <sz val="10"/>
        <rFont val="Arial"/>
        <family val="0"/>
        <charset val="1"/>
      </rPr>
      <t xml:space="preserve">.</t>
    </r>
  </si>
  <si>
    <t xml:space="preserve">경영 어휘 도입, 쉬운 말로 바꾸기</t>
  </si>
  <si>
    <t xml:space="preserve">Chiara, Sofia, Cesare</t>
  </si>
  <si>
    <t xml:space="preserve">Zenit, 32° piano</t>
  </si>
  <si>
    <r>
      <rPr>
        <sz val="10"/>
        <rFont val="Arial"/>
        <family val="0"/>
        <charset val="1"/>
      </rPr>
      <t xml:space="preserve">Zenit, 32</t>
    </r>
    <r>
      <rPr>
        <sz val="10"/>
        <rFont val="WenQuanYi Zen Hei"/>
        <family val="2"/>
      </rPr>
      <t xml:space="preserve">층</t>
    </r>
  </si>
  <si>
    <r>
      <rPr>
        <sz val="10"/>
        <rFont val="Arial"/>
        <family val="0"/>
        <charset val="1"/>
      </rPr>
      <t xml:space="preserve">(</t>
    </r>
    <r>
      <rPr>
        <sz val="10"/>
        <rFont val="WenQuanYi Zen Hei"/>
        <family val="2"/>
      </rPr>
      <t xml:space="preserve">과거</t>
    </r>
    <r>
      <rPr>
        <sz val="10"/>
        <rFont val="Arial"/>
        <family val="0"/>
        <charset val="1"/>
      </rPr>
      <t xml:space="preserve">) EUR </t>
    </r>
    <r>
      <rPr>
        <sz val="10"/>
        <rFont val="WenQuanYi Zen Hei"/>
        <family val="2"/>
      </rPr>
      <t xml:space="preserve">오피스 타워의 컨설팅 회사 문화</t>
    </r>
    <r>
      <rPr>
        <sz val="10"/>
        <rFont val="Arial"/>
        <family val="0"/>
        <charset val="1"/>
      </rPr>
      <t xml:space="preserve">: up-or-out, </t>
    </r>
    <r>
      <rPr>
        <sz val="10"/>
        <rFont val="WenQuanYi Zen Hei"/>
        <family val="2"/>
      </rPr>
      <t xml:space="preserve">야근</t>
    </r>
    <r>
      <rPr>
        <sz val="10"/>
        <rFont val="Arial"/>
        <family val="0"/>
        <charset val="1"/>
      </rPr>
      <t xml:space="preserve">, </t>
    </r>
    <r>
      <rPr>
        <sz val="10"/>
        <rFont val="WenQuanYi Zen Hei"/>
        <family val="2"/>
      </rPr>
      <t xml:space="preserve">영어가 섞인 이탈리아어</t>
    </r>
    <r>
      <rPr>
        <sz val="10"/>
        <rFont val="Arial"/>
        <family val="0"/>
        <charset val="1"/>
      </rPr>
      <t xml:space="preserve">(itanglese). Chiara</t>
    </r>
    <r>
      <rPr>
        <sz val="10"/>
        <rFont val="WenQuanYi Zen Hei"/>
        <family val="2"/>
      </rPr>
      <t xml:space="preserve">의 초고속 승진</t>
    </r>
    <r>
      <rPr>
        <sz val="10"/>
        <rFont val="Arial"/>
        <family val="0"/>
        <charset val="1"/>
      </rPr>
      <t xml:space="preserve">.</t>
    </r>
  </si>
  <si>
    <t xml:space="preserve">allineare, scalabile, impatto, stakeholder</t>
  </si>
  <si>
    <r>
      <rPr>
        <sz val="10"/>
        <rFont val="Arial"/>
        <family val="0"/>
        <charset val="1"/>
      </rPr>
      <t xml:space="preserve">Chiara, </t>
    </r>
    <r>
      <rPr>
        <sz val="10"/>
        <rFont val="WenQuanYi Zen Hei"/>
        <family val="2"/>
      </rPr>
      <t xml:space="preserve">파트너</t>
    </r>
    <r>
      <rPr>
        <sz val="10"/>
        <rFont val="Arial"/>
        <family val="0"/>
        <charset val="1"/>
      </rPr>
      <t xml:space="preserve">(</t>
    </r>
    <r>
      <rPr>
        <sz val="10"/>
        <rFont val="WenQuanYi Zen Hei"/>
        <family val="2"/>
      </rPr>
      <t xml:space="preserve">가상</t>
    </r>
    <r>
      <rPr>
        <sz val="10"/>
        <rFont val="Arial"/>
        <family val="0"/>
        <charset val="1"/>
      </rPr>
      <t xml:space="preserve">)</t>
    </r>
  </si>
  <si>
    <t xml:space="preserve">La bottega dei Ruggeri</t>
  </si>
  <si>
    <r>
      <rPr>
        <sz val="10"/>
        <rFont val="Arial"/>
        <family val="0"/>
        <charset val="1"/>
      </rPr>
      <t xml:space="preserve">Ruggeri </t>
    </r>
    <r>
      <rPr>
        <sz val="10"/>
        <rFont val="WenQuanYi Zen Hei"/>
        <family val="2"/>
      </rPr>
      <t xml:space="preserve">가족의 공방</t>
    </r>
  </si>
  <si>
    <t xml:space="preserve">영세 가족 제조업체 컨설팅. Chiara의 '규모 키우기' 권고가 현실과 맞지 않아 실패한다. 생산성은 조언이 아니라 구조의 문제임을 처음 본다.</t>
  </si>
  <si>
    <t xml:space="preserve">영세·가족 기업, 생산성, 규모의 경제</t>
  </si>
  <si>
    <r>
      <rPr>
        <sz val="10"/>
        <rFont val="Arial"/>
        <family val="0"/>
        <charset val="1"/>
      </rPr>
      <t xml:space="preserve">Chiara, Ruggeri(</t>
    </r>
    <r>
      <rPr>
        <sz val="10"/>
        <rFont val="WenQuanYi Zen Hei"/>
        <family val="2"/>
      </rPr>
      <t xml:space="preserve">가상</t>
    </r>
    <r>
      <rPr>
        <sz val="10"/>
        <rFont val="Arial"/>
        <family val="0"/>
        <charset val="1"/>
      </rPr>
      <t xml:space="preserve">)</t>
    </r>
  </si>
  <si>
    <t xml:space="preserve">E2</t>
  </si>
  <si>
    <t xml:space="preserve">Progetto Icaro</t>
  </si>
  <si>
    <t xml:space="preserve">이카로 프로젝트</t>
  </si>
  <si>
    <r>
      <rPr>
        <sz val="10"/>
        <rFont val="Arial"/>
        <family val="0"/>
        <charset val="1"/>
      </rPr>
      <t xml:space="preserve">GM</t>
    </r>
    <r>
      <rPr>
        <sz val="10"/>
        <rFont val="WenQuanYi Zen Hei"/>
        <family val="2"/>
      </rPr>
      <t xml:space="preserve">이 </t>
    </r>
    <r>
      <rPr>
        <sz val="10"/>
        <rFont val="Arial"/>
        <family val="0"/>
        <charset val="1"/>
      </rPr>
      <t xml:space="preserve">Zenit</t>
    </r>
    <r>
      <rPr>
        <sz val="10"/>
        <rFont val="WenQuanYi Zen Hei"/>
        <family val="2"/>
      </rPr>
      <t xml:space="preserve">에 </t>
    </r>
    <r>
      <rPr>
        <sz val="10"/>
        <rFont val="Arial"/>
        <family val="0"/>
        <charset val="1"/>
      </rPr>
      <t xml:space="preserve">'</t>
    </r>
    <r>
      <rPr>
        <sz val="10"/>
        <rFont val="WenQuanYi Zen Hei"/>
        <family val="2"/>
      </rPr>
      <t xml:space="preserve">비용 </t>
    </r>
    <r>
      <rPr>
        <sz val="10"/>
        <rFont val="Arial"/>
        <family val="0"/>
        <charset val="1"/>
      </rPr>
      <t xml:space="preserve">18% </t>
    </r>
    <r>
      <rPr>
        <sz val="10"/>
        <rFont val="WenQuanYi Zen Hei"/>
        <family val="2"/>
      </rPr>
      <t xml:space="preserve">절감</t>
    </r>
    <r>
      <rPr>
        <sz val="10"/>
        <rFont val="Arial"/>
        <family val="0"/>
        <charset val="1"/>
      </rPr>
      <t xml:space="preserve">'</t>
    </r>
    <r>
      <rPr>
        <sz val="10"/>
        <rFont val="WenQuanYi Zen Hei"/>
        <family val="2"/>
      </rPr>
      <t xml:space="preserve">을 의뢰한다</t>
    </r>
    <r>
      <rPr>
        <sz val="10"/>
        <rFont val="Arial"/>
        <family val="0"/>
        <charset val="1"/>
      </rPr>
      <t xml:space="preserve">. </t>
    </r>
    <r>
      <rPr>
        <sz val="10"/>
        <rFont val="WenQuanYi Zen Hei"/>
        <family val="2"/>
      </rPr>
      <t xml:space="preserve">킥오프 회의</t>
    </r>
    <r>
      <rPr>
        <sz val="10"/>
        <rFont val="Arial"/>
        <family val="0"/>
        <charset val="1"/>
      </rPr>
      <t xml:space="preserve">.</t>
    </r>
  </si>
  <si>
    <t xml:space="preserve">프로젝트 관리, 목표, 절감</t>
  </si>
  <si>
    <r>
      <rPr>
        <sz val="10"/>
        <rFont val="Arial"/>
        <family val="0"/>
        <charset val="1"/>
      </rPr>
      <t xml:space="preserve">Chiara, </t>
    </r>
    <r>
      <rPr>
        <sz val="10"/>
        <rFont val="WenQuanYi Zen Hei"/>
        <family val="2"/>
      </rPr>
      <t xml:space="preserve">파트너</t>
    </r>
    <r>
      <rPr>
        <sz val="10"/>
        <rFont val="Arial"/>
        <family val="0"/>
        <charset val="1"/>
      </rPr>
      <t xml:space="preserve">(</t>
    </r>
    <r>
      <rPr>
        <sz val="10"/>
        <rFont val="WenQuanYi Zen Hei"/>
        <family val="2"/>
      </rPr>
      <t xml:space="preserve">가상</t>
    </r>
    <r>
      <rPr>
        <sz val="10"/>
        <rFont val="Arial"/>
        <family val="0"/>
        <charset val="1"/>
      </rPr>
      <t xml:space="preserve">), GM </t>
    </r>
    <r>
      <rPr>
        <sz val="10"/>
        <rFont val="WenQuanYi Zen Hei"/>
        <family val="2"/>
      </rPr>
      <t xml:space="preserve">임원</t>
    </r>
    <r>
      <rPr>
        <sz val="10"/>
        <rFont val="Arial"/>
        <family val="0"/>
        <charset val="1"/>
      </rPr>
      <t xml:space="preserve">(</t>
    </r>
    <r>
      <rPr>
        <sz val="10"/>
        <rFont val="WenQuanYi Zen Hei"/>
        <family val="2"/>
      </rPr>
      <t xml:space="preserve">가상</t>
    </r>
    <r>
      <rPr>
        <sz val="10"/>
        <rFont val="Arial"/>
        <family val="0"/>
        <charset val="1"/>
      </rPr>
      <t xml:space="preserve">)</t>
    </r>
  </si>
  <si>
    <t xml:space="preserve">Venerdì: un Excel</t>
  </si>
  <si>
    <t xml:space="preserve">금요일: 엑셀 한 장</t>
  </si>
  <si>
    <r>
      <rPr>
        <sz val="10"/>
        <rFont val="Arial"/>
        <family val="0"/>
        <charset val="1"/>
      </rPr>
      <t xml:space="preserve">(</t>
    </r>
    <r>
      <rPr>
        <sz val="10"/>
        <rFont val="WenQuanYi Zen Hei"/>
        <family val="2"/>
      </rPr>
      <t xml:space="preserve">프레임</t>
    </r>
    <r>
      <rPr>
        <sz val="10"/>
        <rFont val="Arial"/>
        <family val="0"/>
        <charset val="1"/>
      </rPr>
      <t xml:space="preserve">) Chiara</t>
    </r>
    <r>
      <rPr>
        <sz val="10"/>
        <rFont val="WenQuanYi Zen Hei"/>
        <family val="2"/>
      </rPr>
      <t xml:space="preserve">가 </t>
    </r>
    <r>
      <rPr>
        <sz val="10"/>
        <rFont val="Arial"/>
        <family val="0"/>
        <charset val="1"/>
      </rPr>
      <t xml:space="preserve">«Io non licenziavo nessuno; spostavo celle.»</t>
    </r>
    <r>
      <rPr>
        <sz val="10"/>
        <rFont val="WenQuanYi Zen Hei"/>
        <family val="2"/>
      </rPr>
      <t xml:space="preserve">라고 말한다</t>
    </r>
    <r>
      <rPr>
        <sz val="10"/>
        <rFont val="Arial"/>
        <family val="0"/>
        <charset val="1"/>
      </rPr>
      <t xml:space="preserve">. Sofia</t>
    </r>
    <r>
      <rPr>
        <sz val="10"/>
        <rFont val="WenQuanYi Zen Hei"/>
        <family val="2"/>
      </rPr>
      <t xml:space="preserve">가 </t>
    </r>
    <r>
      <rPr>
        <sz val="10"/>
        <rFont val="Arial"/>
        <family val="0"/>
        <charset val="1"/>
      </rPr>
      <t xml:space="preserve">«E quante celle?»</t>
    </r>
  </si>
  <si>
    <t xml:space="preserve">질문·죄책 표현</t>
  </si>
  <si>
    <t xml:space="preserve">Chiara, Sofia, Alessandro</t>
  </si>
  <si>
    <t xml:space="preserve">La cella C47</t>
  </si>
  <si>
    <r>
      <rPr>
        <sz val="10"/>
        <rFont val="Arial"/>
        <family val="0"/>
        <charset val="1"/>
      </rPr>
      <t xml:space="preserve">C47 </t>
    </r>
    <r>
      <rPr>
        <sz val="10"/>
        <rFont val="WenQuanYi Zen Hei"/>
        <family val="2"/>
      </rPr>
      <t xml:space="preserve">셀</t>
    </r>
  </si>
  <si>
    <t xml:space="preserve">모델이 완성되고 승인이 난다. 셀 하나가 412개 일자리다. 팀은 스푸만테를 딴다.</t>
  </si>
  <si>
    <t xml:space="preserve">모델, 시나리오, 인원 감축</t>
  </si>
  <si>
    <r>
      <rPr>
        <sz val="10"/>
        <rFont val="Arial"/>
        <family val="0"/>
        <charset val="1"/>
      </rPr>
      <t xml:space="preserve">Chiara, </t>
    </r>
    <r>
      <rPr>
        <sz val="10"/>
        <rFont val="WenQuanYi Zen Hei"/>
        <family val="2"/>
      </rPr>
      <t xml:space="preserve">팀</t>
    </r>
    <r>
      <rPr>
        <sz val="10"/>
        <rFont val="Arial"/>
        <family val="0"/>
        <charset val="1"/>
      </rPr>
      <t xml:space="preserve">(</t>
    </r>
    <r>
      <rPr>
        <sz val="10"/>
        <rFont val="WenQuanYi Zen Hei"/>
        <family val="2"/>
      </rPr>
      <t xml:space="preserve">가상</t>
    </r>
    <r>
      <rPr>
        <sz val="10"/>
        <rFont val="Arial"/>
        <family val="0"/>
        <charset val="1"/>
      </rPr>
      <t xml:space="preserve">)</t>
    </r>
  </si>
  <si>
    <t xml:space="preserve">Il tavolo della trattativa</t>
  </si>
  <si>
    <t xml:space="preserve">협상 테이블</t>
  </si>
  <si>
    <t xml:space="preserve">집단해고 협의 절차. 노조 대표 Paolo가 «Dietro ogni cella c'è una persona.»</t>
  </si>
  <si>
    <t xml:space="preserve">집단해고(licenziamento collettivo, legge 223/1991), 노조 협의 45일 + 행정 단계 30일, 노조 대표(RSU)</t>
  </si>
  <si>
    <r>
      <rPr>
        <sz val="10"/>
        <rFont val="Arial"/>
        <family val="0"/>
        <charset val="1"/>
      </rPr>
      <t xml:space="preserve">Chiara, Paolo, </t>
    </r>
    <r>
      <rPr>
        <sz val="10"/>
        <rFont val="WenQuanYi Zen Hei"/>
        <family val="2"/>
      </rPr>
      <t xml:space="preserve">노무 담당</t>
    </r>
    <r>
      <rPr>
        <sz val="10"/>
        <rFont val="Arial"/>
        <family val="0"/>
        <charset val="1"/>
      </rPr>
      <t xml:space="preserve">(</t>
    </r>
    <r>
      <rPr>
        <sz val="10"/>
        <rFont val="WenQuanYi Zen Hei"/>
        <family val="2"/>
      </rPr>
      <t xml:space="preserve">가상</t>
    </r>
    <r>
      <rPr>
        <sz val="10"/>
        <rFont val="Arial"/>
        <family val="0"/>
        <charset val="1"/>
      </rPr>
      <t xml:space="preserve">)</t>
    </r>
  </si>
  <si>
    <t xml:space="preserve">La mail sbagliata</t>
  </si>
  <si>
    <t xml:space="preserve">잘못 보낸 이메일</t>
  </si>
  <si>
    <r>
      <rPr>
        <sz val="10"/>
        <rFont val="Arial"/>
        <family val="0"/>
        <charset val="1"/>
      </rPr>
      <t xml:space="preserve">Chiara</t>
    </r>
    <r>
      <rPr>
        <sz val="10"/>
        <rFont val="WenQuanYi Zen Hei"/>
        <family val="2"/>
      </rPr>
      <t xml:space="preserve">가 이름이 든 파일을 잘못 보낸다</t>
    </r>
    <r>
      <rPr>
        <sz val="10"/>
        <rFont val="Arial"/>
        <family val="0"/>
        <charset val="1"/>
      </rPr>
      <t xml:space="preserve">. </t>
    </r>
    <r>
      <rPr>
        <sz val="10"/>
        <rFont val="WenQuanYi Zen Hei"/>
        <family val="2"/>
      </rPr>
      <t xml:space="preserve">기간제</t>
    </r>
    <r>
      <rPr>
        <sz val="10"/>
        <rFont val="Arial"/>
        <family val="0"/>
        <charset val="1"/>
      </rPr>
      <t xml:space="preserve">·</t>
    </r>
    <r>
      <rPr>
        <sz val="10"/>
        <rFont val="WenQuanYi Zen Hei"/>
        <family val="2"/>
      </rPr>
      <t xml:space="preserve">청년이 먼저 잘려 있다</t>
    </r>
    <r>
      <rPr>
        <sz val="10"/>
        <rFont val="Arial"/>
        <family val="0"/>
        <charset val="1"/>
      </rPr>
      <t xml:space="preserve">. </t>
    </r>
    <r>
      <rPr>
        <sz val="10"/>
        <rFont val="WenQuanYi Zen Hei"/>
        <family val="2"/>
      </rPr>
      <t xml:space="preserve">번아웃 상담에서 </t>
    </r>
    <r>
      <rPr>
        <sz val="10"/>
        <rFont val="Arial"/>
        <family val="0"/>
        <charset val="1"/>
      </rPr>
      <t xml:space="preserve">Montessori</t>
    </r>
    <r>
      <rPr>
        <sz val="10"/>
        <rFont val="WenQuanYi Zen Hei"/>
        <family val="2"/>
      </rPr>
      <t xml:space="preserve">를 만난다</t>
    </r>
    <r>
      <rPr>
        <sz val="10"/>
        <rFont val="Arial"/>
        <family val="0"/>
        <charset val="1"/>
      </rPr>
      <t xml:space="preserve">.</t>
    </r>
  </si>
  <si>
    <t xml:space="preserve">기간제 계약, 청년 우선 해고, 죄책감</t>
  </si>
  <si>
    <t xml:space="preserve">Chiara, Montessori</t>
  </si>
  <si>
    <t xml:space="preserve">Venerdì: quattrocentododici</t>
  </si>
  <si>
    <t xml:space="preserve">금요일: 412</t>
  </si>
  <si>
    <r>
      <rPr>
        <sz val="10"/>
        <rFont val="Arial"/>
        <family val="0"/>
        <charset val="1"/>
      </rPr>
      <t xml:space="preserve">(</t>
    </r>
    <r>
      <rPr>
        <sz val="10"/>
        <rFont val="WenQuanYi Zen Hei"/>
        <family val="2"/>
      </rPr>
      <t xml:space="preserve">프레임</t>
    </r>
    <r>
      <rPr>
        <sz val="10"/>
        <rFont val="Arial"/>
        <family val="0"/>
        <charset val="1"/>
      </rPr>
      <t xml:space="preserve">) «Quattrocentododici.» Sofia</t>
    </r>
    <r>
      <rPr>
        <sz val="10"/>
        <rFont val="WenQuanYi Zen Hei"/>
        <family val="2"/>
      </rPr>
      <t xml:space="preserve">가 말을 잃고 </t>
    </r>
    <r>
      <rPr>
        <sz val="10"/>
        <rFont val="Arial"/>
        <family val="0"/>
        <charset val="1"/>
      </rPr>
      <t xml:space="preserve">Cesare</t>
    </r>
    <r>
      <rPr>
        <sz val="10"/>
        <rFont val="WenQuanYi Zen Hei"/>
        <family val="2"/>
      </rPr>
      <t xml:space="preserve">가 </t>
    </r>
    <r>
      <rPr>
        <sz val="10"/>
        <rFont val="Arial"/>
        <family val="0"/>
        <charset val="1"/>
      </rPr>
      <t xml:space="preserve">«Almeno lo dice senza slide.»</t>
    </r>
  </si>
  <si>
    <t xml:space="preserve">숫자 낭독</t>
  </si>
  <si>
    <t xml:space="preserve">Lo sciopero</t>
  </si>
  <si>
    <t xml:space="preserve">파업</t>
  </si>
  <si>
    <t xml:space="preserve">파업이 벌어지고 Paolo가 해고되어 블랙리스트에 오른다. Chiara는 유리창 너머로 그것을 본다.</t>
  </si>
  <si>
    <t xml:space="preserve">파업권(헌법 제40조), 해고, 블랙리스트</t>
  </si>
  <si>
    <t xml:space="preserve">Chiara, Paolo</t>
  </si>
  <si>
    <t xml:space="preserve">L'ultima riunione</t>
  </si>
  <si>
    <t xml:space="preserve">마지막 회의</t>
  </si>
  <si>
    <t xml:space="preserve">보너스 지급 회의. Chiara가 '이카로 2'를 거절하고 사직한다.</t>
  </si>
  <si>
    <t xml:space="preserve">보너스, 거절, 사직</t>
  </si>
  <si>
    <t xml:space="preserve">Venerdì: un martedì al Quarticciolo</t>
  </si>
  <si>
    <t xml:space="preserve">금요일: 콰르티촐로의 화요일</t>
  </si>
  <si>
    <r>
      <rPr>
        <sz val="10"/>
        <rFont val="Arial"/>
        <family val="0"/>
        <charset val="1"/>
      </rPr>
      <t xml:space="preserve">(</t>
    </r>
    <r>
      <rPr>
        <sz val="10"/>
        <rFont val="WenQuanYi Zen Hei"/>
        <family val="2"/>
      </rPr>
      <t xml:space="preserve">프레임</t>
    </r>
    <r>
      <rPr>
        <sz val="10"/>
        <rFont val="Arial"/>
        <family val="0"/>
        <charset val="1"/>
      </rPr>
      <t xml:space="preserve">) </t>
    </r>
    <r>
      <rPr>
        <sz val="10"/>
        <rFont val="WenQuanYi Zen Hei"/>
        <family val="2"/>
      </rPr>
      <t xml:space="preserve">네 명이 같은 강당에 모이게 된 화요일을 </t>
    </r>
    <r>
      <rPr>
        <sz val="10"/>
        <rFont val="Arial"/>
        <family val="0"/>
        <charset val="1"/>
      </rPr>
      <t xml:space="preserve">Rosa</t>
    </r>
    <r>
      <rPr>
        <sz val="10"/>
        <rFont val="WenQuanYi Zen Hei"/>
        <family val="2"/>
      </rPr>
      <t xml:space="preserve">가 설명하며 </t>
    </r>
    <r>
      <rPr>
        <sz val="10"/>
        <rFont val="Arial"/>
        <family val="0"/>
        <charset val="1"/>
      </rPr>
      <t xml:space="preserve">6</t>
    </r>
    <r>
      <rPr>
        <sz val="10"/>
        <rFont val="WenQuanYi Zen Hei"/>
        <family val="2"/>
      </rPr>
      <t xml:space="preserve">부를 예고한다</t>
    </r>
    <r>
      <rPr>
        <sz val="10"/>
        <rFont val="Arial"/>
        <family val="0"/>
        <charset val="1"/>
      </rPr>
      <t xml:space="preserve">.</t>
    </r>
  </si>
  <si>
    <t xml:space="preserve">다음 이야기 예고</t>
  </si>
  <si>
    <t xml:space="preserve">Chiara, Rosa, Marco, Giulia, Alessandro</t>
  </si>
  <si>
    <t xml:space="preserve">Un martedì al Quarticciolo</t>
  </si>
  <si>
    <t xml:space="preserve">콰르티촐로의 화요일</t>
  </si>
  <si>
    <t xml:space="preserve">네 사람이 각자 다른 이유로 같은 세입자 총회에 도착한다. 옛 공공주택 매각분을 사들인 민간 블록이다. 손녀 Marina(가상)와 23세 세입자 Sofia가 맞이한다.</t>
  </si>
  <si>
    <t xml:space="preserve">총회 공고, 자기소개</t>
  </si>
  <si>
    <r>
      <rPr>
        <sz val="10"/>
        <rFont val="Arial"/>
        <family val="0"/>
        <charset val="1"/>
      </rPr>
      <t xml:space="preserve">Marco, Giulia, Alessandro, Chiara, Marina(</t>
    </r>
    <r>
      <rPr>
        <sz val="10"/>
        <rFont val="WenQuanYi Zen Hei"/>
        <family val="2"/>
      </rPr>
      <t xml:space="preserve">가상</t>
    </r>
    <r>
      <rPr>
        <sz val="10"/>
        <rFont val="Arial"/>
        <family val="0"/>
        <charset val="1"/>
      </rPr>
      <t xml:space="preserve">), Sofia</t>
    </r>
  </si>
  <si>
    <t xml:space="preserve">Quattro sconosciuti</t>
  </si>
  <si>
    <t xml:space="preserve">네 명의 낯선 사람</t>
  </si>
  <si>
    <t xml:space="preserve">서로 아는 척하지 않는다. Marco와 Alessandro는 서로의 명함 «Ferrari &amp; Colombo», «Conti Revisori»에서 흠칫한다.</t>
  </si>
  <si>
    <t xml:space="preserve">긴장 대화, Lei</t>
  </si>
  <si>
    <t xml:space="preserve">Marco, Giulia, Alessandro, Chiara, Sofia</t>
  </si>
  <si>
    <t xml:space="preserve">Il lotto quattordici</t>
  </si>
  <si>
    <r>
      <rPr>
        <sz val="10"/>
        <rFont val="Arial"/>
        <family val="0"/>
        <charset val="1"/>
      </rPr>
      <t xml:space="preserve">14</t>
    </r>
    <r>
      <rPr>
        <sz val="10"/>
        <rFont val="WenQuanYi Zen Hei"/>
        <family val="2"/>
      </rPr>
      <t xml:space="preserve">번 동</t>
    </r>
  </si>
  <si>
    <t xml:space="preserve">건물을 돌아본다. 22가구, 물이 새는 벽, 동네 진료소 폐쇄. 이웃 Paolo와 '계단 반장' Garibaldi가 안내한다.</t>
  </si>
  <si>
    <t xml:space="preserve">건물·거주 표현</t>
  </si>
  <si>
    <t xml:space="preserve">Marco, Giulia, Alessandro, Chiara, Paolo, Garibaldi, Sofia</t>
  </si>
  <si>
    <t xml:space="preserve">La notte delle scale</t>
  </si>
  <si>
    <t xml:space="preserve">계단의 밤</t>
  </si>
  <si>
    <t xml:space="preserve">새벽 퇴거 집행 소문에 함께 밤샘한다. Rosa의 음식과 Cesare의 커피 불평. 처음으로 조금씩 속내를 꺼낸다.</t>
  </si>
  <si>
    <t xml:space="preserve">밤샘 대화, 위로</t>
  </si>
  <si>
    <t xml:space="preserve">Marco, Giulia, Alessandro, Chiara, Rosa, Cesare, Garibaldi</t>
  </si>
  <si>
    <t xml:space="preserve">Le carte di Alessandro</t>
  </si>
  <si>
    <r>
      <rPr>
        <sz val="10"/>
        <rFont val="Arial"/>
        <family val="0"/>
        <charset val="1"/>
      </rPr>
      <t xml:space="preserve">Alessandro</t>
    </r>
    <r>
      <rPr>
        <sz val="10"/>
        <rFont val="WenQuanYi Zen Hei"/>
        <family val="2"/>
      </rPr>
      <t xml:space="preserve">의 서류</t>
    </r>
  </si>
  <si>
    <r>
      <rPr>
        <sz val="10"/>
        <rFont val="Arial"/>
        <family val="0"/>
        <charset val="1"/>
      </rPr>
      <t xml:space="preserve">Alessandro</t>
    </r>
    <r>
      <rPr>
        <sz val="10"/>
        <rFont val="WenQuanYi Zen Hei"/>
        <family val="2"/>
      </rPr>
      <t xml:space="preserve">가 </t>
    </r>
    <r>
      <rPr>
        <sz val="10"/>
        <rFont val="Arial"/>
        <family val="0"/>
        <charset val="1"/>
      </rPr>
      <t xml:space="preserve">USB</t>
    </r>
    <r>
      <rPr>
        <sz val="10"/>
        <rFont val="WenQuanYi Zen Hei"/>
        <family val="2"/>
      </rPr>
      <t xml:space="preserve">를 꺼내 </t>
    </r>
    <r>
      <rPr>
        <sz val="10"/>
        <rFont val="Arial"/>
        <family val="0"/>
        <charset val="1"/>
      </rPr>
      <t xml:space="preserve">Fondo Cardinale – Gruppo Meridiano – Meridiano Salute</t>
    </r>
    <r>
      <rPr>
        <sz val="10"/>
        <rFont val="WenQuanYi Zen Hei"/>
        <family val="2"/>
      </rPr>
      <t xml:space="preserve">의 연결을 보여 준다</t>
    </r>
    <r>
      <rPr>
        <sz val="10"/>
        <rFont val="Arial"/>
        <family val="0"/>
        <charset val="1"/>
      </rPr>
      <t xml:space="preserve">. </t>
    </r>
    <r>
      <rPr>
        <sz val="10"/>
        <rFont val="WenQuanYi Zen Hei"/>
        <family val="2"/>
      </rPr>
      <t xml:space="preserve">변호사가 필요하다</t>
    </r>
    <r>
      <rPr>
        <sz val="10"/>
        <rFont val="Arial"/>
        <family val="0"/>
        <charset val="1"/>
      </rPr>
      <t xml:space="preserve">.</t>
    </r>
  </si>
  <si>
    <t xml:space="preserve">서류 브리핑, 지분 구조</t>
  </si>
  <si>
    <t xml:space="preserve">Alessandro, Marco, Sofia, Machiavelli</t>
  </si>
  <si>
    <t xml:space="preserve">Uno stesso nome</t>
  </si>
  <si>
    <t xml:space="preserve">같은 이름</t>
  </si>
  <si>
    <r>
      <rPr>
        <sz val="10"/>
        <rFont val="Arial"/>
        <family val="0"/>
        <charset val="1"/>
      </rPr>
      <t xml:space="preserve">Marco</t>
    </r>
    <r>
      <rPr>
        <sz val="10"/>
        <rFont val="WenQuanYi Zen Hei"/>
        <family val="2"/>
      </rPr>
      <t xml:space="preserve">의 퇴거</t>
    </r>
    <r>
      <rPr>
        <sz val="10"/>
        <rFont val="Arial"/>
        <family val="0"/>
        <charset val="1"/>
      </rPr>
      <t xml:space="preserve">, Giulia</t>
    </r>
    <r>
      <rPr>
        <sz val="10"/>
        <rFont val="WenQuanYi Zen Hei"/>
        <family val="2"/>
      </rPr>
      <t xml:space="preserve">의 외주</t>
    </r>
    <r>
      <rPr>
        <sz val="10"/>
        <rFont val="Arial"/>
        <family val="0"/>
        <charset val="1"/>
      </rPr>
      <t xml:space="preserve">, Alessandro</t>
    </r>
    <r>
      <rPr>
        <sz val="10"/>
        <rFont val="WenQuanYi Zen Hei"/>
        <family val="2"/>
      </rPr>
      <t xml:space="preserve">의 감사</t>
    </r>
    <r>
      <rPr>
        <sz val="10"/>
        <rFont val="Arial"/>
        <family val="0"/>
        <charset val="1"/>
      </rPr>
      <t xml:space="preserve">, Chiara</t>
    </r>
    <r>
      <rPr>
        <sz val="10"/>
        <rFont val="WenQuanYi Zen Hei"/>
        <family val="2"/>
      </rPr>
      <t xml:space="preserve">의 구조조정이 모두 </t>
    </r>
    <r>
      <rPr>
        <sz val="10"/>
        <rFont val="Arial"/>
        <family val="0"/>
        <charset val="1"/>
      </rPr>
      <t xml:space="preserve">Gruppo Meridiano</t>
    </r>
    <r>
      <rPr>
        <sz val="10"/>
        <rFont val="WenQuanYi Zen Hei"/>
        <family val="2"/>
      </rPr>
      <t xml:space="preserve">였다</t>
    </r>
    <r>
      <rPr>
        <sz val="10"/>
        <rFont val="Arial"/>
        <family val="0"/>
        <charset val="1"/>
      </rPr>
      <t xml:space="preserve">. </t>
    </r>
    <r>
      <rPr>
        <sz val="10"/>
        <rFont val="WenQuanYi Zen Hei"/>
        <family val="2"/>
      </rPr>
      <t xml:space="preserve">각자 </t>
    </r>
    <r>
      <rPr>
        <sz val="10"/>
        <rFont val="Arial"/>
        <family val="0"/>
        <charset val="1"/>
      </rPr>
      <t xml:space="preserve">«il mio cliente / il mio contratto / la mia relazione / il mio piano.»</t>
    </r>
  </si>
  <si>
    <t xml:space="preserve">책임 표현, 접속법</t>
  </si>
  <si>
    <t xml:space="preserve">Marco, Giulia, Alessandro, Chiara</t>
  </si>
  <si>
    <t xml:space="preserve">Rimproveri</t>
  </si>
  <si>
    <t xml:space="preserve">서로에 대한 비난</t>
  </si>
  <si>
    <t xml:space="preserve">공모라고 서로를 몰아세운다. Marco가 나가 버리고 Giulia가 막아선다.</t>
  </si>
  <si>
    <t xml:space="preserve">다툼, 비난·사과</t>
  </si>
  <si>
    <t xml:space="preserve">Ora zero</t>
  </si>
  <si>
    <t xml:space="preserve">영시</t>
  </si>
  <si>
    <t xml:space="preserve">퇴거 집행 날 새벽. 서로의 전문성을 처음 합친다: Marco는 집행 정지 신청, Alessandro는 서류, Chiara는 동선, Giulia는 취약계층 진단서. Galileo가 기록하고 Gramsci가 서류 위치를 알려 준다.</t>
  </si>
  <si>
    <t xml:space="preserve">집행 정지(sospensione dell'esecuzione), 진단서</t>
  </si>
  <si>
    <t xml:space="preserve">Marco, Giulia, Alessandro, Chiara, Galileo, Gramsci, Garibaldi</t>
  </si>
  <si>
    <t xml:space="preserve">E1·S2</t>
  </si>
  <si>
    <t xml:space="preserve">La prima sospensione</t>
  </si>
  <si>
    <t xml:space="preserve">첫 정지</t>
  </si>
  <si>
    <t xml:space="preserve">법원이 집행을 정지한다. Dante의 서툰 첫 연설이 군중을 울리고 Montessori가 아이들을 달랜다. Fatima 가족이 인사한다.</t>
  </si>
  <si>
    <t xml:space="preserve">안도·감사 표현</t>
  </si>
  <si>
    <r>
      <rPr>
        <sz val="10"/>
        <rFont val="Arial"/>
        <family val="0"/>
        <charset val="1"/>
      </rPr>
      <t xml:space="preserve">Marco, Giulia, Alessandro, Chiara, Dante, Montessori, Sofia, Fatima(</t>
    </r>
    <r>
      <rPr>
        <sz val="10"/>
        <rFont val="WenQuanYi Zen Hei"/>
        <family val="2"/>
      </rPr>
      <t xml:space="preserve">가상</t>
    </r>
    <r>
      <rPr>
        <sz val="10"/>
        <rFont val="Arial"/>
        <family val="0"/>
        <charset val="1"/>
      </rPr>
      <t xml:space="preserve">)</t>
    </r>
  </si>
  <si>
    <t xml:space="preserve">S2·E1</t>
  </si>
  <si>
    <t xml:space="preserve">Un locale a Testaccio</t>
  </si>
  <si>
    <t xml:space="preserve">테스타초의 가게</t>
  </si>
  <si>
    <t xml:space="preserve">사무실 자리를 찾는다. 소규모 집주인이 월세를 낮춰 주고 Rosa의 트라토리아가 1층에서 다시 문을 연다. Francesco가 계좌 도움을 자청한다.</t>
  </si>
  <si>
    <t xml:space="preserve">임대 협상, 협약 임대료(canone concordato), 소규모 임대인</t>
  </si>
  <si>
    <t xml:space="preserve">Marco, Giulia, Alessandro, Chiara, Rosa, Francesco</t>
  </si>
  <si>
    <t xml:space="preserve">Le regole del tavolo</t>
  </si>
  <si>
    <t xml:space="preserve">식탁의 규칙</t>
  </si>
  <si>
    <t xml:space="preserve">규칙을 정한다: 가난한 사람에게는 수임료 없음, 금요일마다 한 명씩 과거를 이야기함. Sofia가 «Posso restare?» Cesare는 '청하지 않은 고문', Machiavelli는 '청하지 않은 전략가'를 자처한다.</t>
  </si>
  <si>
    <t xml:space="preserve">규칙, 약속 표현</t>
  </si>
  <si>
    <t xml:space="preserve">전원</t>
  </si>
  <si>
    <t xml:space="preserve">L'insegna</t>
  </si>
  <si>
    <t xml:space="preserve">간판</t>
  </si>
  <si>
    <t xml:space="preserve">간판이 걸린다. Rosa가 «Domani, alle cinque.» 원이 닫히며 1부 1화로 이어진다.</t>
  </si>
  <si>
    <t xml:space="preserve">시간 표현, 마무리</t>
  </si>
  <si>
    <t xml:space="preserve">Un anno dopo</t>
  </si>
  <si>
    <r>
      <rPr>
        <sz val="10"/>
        <rFont val="Arial"/>
        <family val="0"/>
        <charset val="1"/>
      </rPr>
      <t xml:space="preserve">1</t>
    </r>
    <r>
      <rPr>
        <sz val="10"/>
        <rFont val="WenQuanYi Zen Hei"/>
        <family val="2"/>
      </rPr>
      <t xml:space="preserve">년 후</t>
    </r>
  </si>
  <si>
    <t xml:space="preserve">사무소가 커졌다. Rosa가 팀 이름을 호명하며 역할을 소개한다: Garibaldi 로지스틱스, Gramsci 출처, Galileo 공론화·검증, Montessori 상담, Paolo 현장, Dante 글, Francesco 자금, Machiavelli 전략.</t>
  </si>
  <si>
    <t xml:space="preserve">역할·업무 분담</t>
  </si>
  <si>
    <t xml:space="preserve">La fila sulle scale</t>
  </si>
  <si>
    <t xml:space="preserve">계단 위의 줄</t>
  </si>
  <si>
    <t xml:space="preserve">의뢰인 줄이 계단까지 이어진다. 접수·분류 창구(sportello)를 세우고 Chiara의 매트릭스가 처음으로 쓸모 있어진다.</t>
  </si>
  <si>
    <t xml:space="preserve">접수·분류, 순서</t>
  </si>
  <si>
    <t xml:space="preserve">Chiara, Sofia, Garibaldi, Rosa</t>
  </si>
  <si>
    <t xml:space="preserve">S1·E1</t>
  </si>
  <si>
    <t xml:space="preserve">Il tempo che ha punito la vittima</t>
  </si>
  <si>
    <t xml:space="preserve">피해자를 벌한 시간</t>
  </si>
  <si>
    <t xml:space="preserve">성폭력 피해자 사건. 재판이 늘어지는 동안 공소시효가 다가오고, 폭력·위협 입증을 중심으로 한 현행 조항 때문에 피해자가 다시 심문대에 선다. Marco와 Montessori가 피해자를 돕는다. '동의(consenso)' 기준을 명문화하자는 쪽과 절차부터 고치자는 쪽이 사무실 안에서도 갈린다.</t>
  </si>
  <si>
    <t xml:space="preserve">형법 제609-bis조(성폭력), 공소시효(prescrizione), '자유롭고 현재적인 동의' 개정 논의</t>
  </si>
  <si>
    <t xml:space="preserve">Marco, Montessori, Alessandro, Galileo</t>
  </si>
  <si>
    <t xml:space="preserve">N4</t>
  </si>
  <si>
    <t xml:space="preserve">Senza documenti</t>
  </si>
  <si>
    <t xml:space="preserve">서류 없는 사람들</t>
  </si>
  <si>
    <r>
      <rPr>
        <sz val="10"/>
        <rFont val="Arial"/>
        <family val="0"/>
        <charset val="1"/>
      </rPr>
      <t xml:space="preserve">Karim</t>
    </r>
    <r>
      <rPr>
        <sz val="10"/>
        <rFont val="WenQuanYi Zen Hei"/>
        <family val="2"/>
      </rPr>
      <t xml:space="preserve">이 체류허가</t>
    </r>
    <r>
      <rPr>
        <sz val="10"/>
        <rFont val="Arial"/>
        <family val="0"/>
        <charset val="1"/>
      </rPr>
      <t xml:space="preserve">(permesso di soggiorno) </t>
    </r>
    <r>
      <rPr>
        <sz val="10"/>
        <rFont val="WenQuanYi Zen Hei"/>
        <family val="2"/>
      </rPr>
      <t xml:space="preserve">갱신과 축소된 특별보호</t>
    </r>
    <r>
      <rPr>
        <sz val="10"/>
        <rFont val="Arial"/>
        <family val="0"/>
        <charset val="1"/>
      </rPr>
      <t xml:space="preserve">(protezione speciale) </t>
    </r>
    <r>
      <rPr>
        <sz val="10"/>
        <rFont val="WenQuanYi Zen Hei"/>
        <family val="2"/>
      </rPr>
      <t xml:space="preserve">문제를 들고 온다</t>
    </r>
    <r>
      <rPr>
        <sz val="10"/>
        <rFont val="Arial"/>
        <family val="0"/>
        <charset val="1"/>
      </rPr>
      <t xml:space="preserve">. Paolo</t>
    </r>
    <r>
      <rPr>
        <sz val="10"/>
        <rFont val="WenQuanYi Zen Hei"/>
        <family val="2"/>
      </rPr>
      <t xml:space="preserve">는 노동</t>
    </r>
    <r>
      <rPr>
        <sz val="10"/>
        <rFont val="Arial"/>
        <family val="0"/>
        <charset val="1"/>
      </rPr>
      <t xml:space="preserve">, Giulia</t>
    </r>
    <r>
      <rPr>
        <sz val="10"/>
        <rFont val="WenQuanYi Zen Hei"/>
        <family val="2"/>
      </rPr>
      <t xml:space="preserve">는 의료 접근을 이야기하고 수용의 한계를 두고 의견이 갈린다</t>
    </r>
    <r>
      <rPr>
        <sz val="10"/>
        <rFont val="Arial"/>
        <family val="0"/>
        <charset val="1"/>
      </rPr>
      <t xml:space="preserve">.</t>
    </r>
  </si>
  <si>
    <r>
      <rPr>
        <sz val="10"/>
        <rFont val="Arial"/>
        <family val="0"/>
        <charset val="1"/>
      </rPr>
      <t xml:space="preserve">permesso di soggiorno, protezione speciale, </t>
    </r>
    <r>
      <rPr>
        <sz val="10"/>
        <rFont val="WenQuanYi Zen Hei"/>
        <family val="2"/>
      </rPr>
      <t xml:space="preserve">이민 쿼터</t>
    </r>
    <r>
      <rPr>
        <sz val="10"/>
        <rFont val="Arial"/>
        <family val="0"/>
        <charset val="1"/>
      </rPr>
      <t xml:space="preserve">(decreto flussi)</t>
    </r>
  </si>
  <si>
    <r>
      <rPr>
        <sz val="10"/>
        <rFont val="Arial"/>
        <family val="0"/>
        <charset val="1"/>
      </rPr>
      <t xml:space="preserve">Marco, Paolo, Giulia, Karim(</t>
    </r>
    <r>
      <rPr>
        <sz val="10"/>
        <rFont val="WenQuanYi Zen Hei"/>
        <family val="2"/>
      </rPr>
      <t xml:space="preserve">가상</t>
    </r>
    <r>
      <rPr>
        <sz val="10"/>
        <rFont val="Arial"/>
        <family val="0"/>
        <charset val="1"/>
      </rPr>
      <t xml:space="preserve">)</t>
    </r>
  </si>
  <si>
    <t xml:space="preserve">La segnalazione di Francesco</t>
  </si>
  <si>
    <r>
      <rPr>
        <sz val="10"/>
        <rFont val="Arial"/>
        <family val="0"/>
        <charset val="1"/>
      </rPr>
      <t xml:space="preserve">Francesco</t>
    </r>
    <r>
      <rPr>
        <sz val="10"/>
        <rFont val="WenQuanYi Zen Hei"/>
        <family val="2"/>
      </rPr>
      <t xml:space="preserve">의 제보</t>
    </r>
  </si>
  <si>
    <t xml:space="preserve">전 은행 지점장이 내부 자료를 들고 나온다. 내부고발자 보호법과 신고 채널을 검토한다.</t>
  </si>
  <si>
    <t xml:space="preserve">내부고발자 보호(d.lgs. 24/2023), 내부 신고 채널, ANAC 외부 신고</t>
  </si>
  <si>
    <t xml:space="preserve">Francesco, Marco, Alessandro, Galileo</t>
  </si>
  <si>
    <t xml:space="preserve">Il fascicolo</t>
  </si>
  <si>
    <t xml:space="preserve">사건 파일</t>
  </si>
  <si>
    <r>
      <rPr>
        <sz val="10"/>
        <rFont val="Arial"/>
        <family val="0"/>
        <charset val="1"/>
      </rPr>
      <t xml:space="preserve">Alessandro·Francesco</t>
    </r>
    <r>
      <rPr>
        <sz val="10"/>
        <rFont val="WenQuanYi Zen Hei"/>
        <family val="2"/>
      </rPr>
      <t xml:space="preserve">의 자금 경로 </t>
    </r>
    <r>
      <rPr>
        <sz val="10"/>
        <rFont val="Arial"/>
        <family val="0"/>
        <charset val="1"/>
      </rPr>
      <t xml:space="preserve">+ Gramsci</t>
    </r>
    <r>
      <rPr>
        <sz val="10"/>
        <rFont val="WenQuanYi Zen Hei"/>
        <family val="2"/>
      </rPr>
      <t xml:space="preserve">의 공개 출처 </t>
    </r>
    <r>
      <rPr>
        <sz val="10"/>
        <rFont val="Arial"/>
        <family val="0"/>
        <charset val="1"/>
      </rPr>
      <t xml:space="preserve">+ Giulia</t>
    </r>
    <r>
      <rPr>
        <sz val="10"/>
        <rFont val="WenQuanYi Zen Hei"/>
        <family val="2"/>
      </rPr>
      <t xml:space="preserve">의 사망 사례</t>
    </r>
    <r>
      <rPr>
        <sz val="10"/>
        <rFont val="Arial"/>
        <family val="0"/>
        <charset val="1"/>
      </rPr>
      <t xml:space="preserve">. Marco</t>
    </r>
    <r>
      <rPr>
        <sz val="10"/>
        <rFont val="WenQuanYi Zen Hei"/>
        <family val="2"/>
      </rPr>
      <t xml:space="preserve">가 로마 검찰</t>
    </r>
    <r>
      <rPr>
        <sz val="10"/>
        <rFont val="Arial"/>
        <family val="0"/>
        <charset val="1"/>
      </rPr>
      <t xml:space="preserve">(Procura della Repubblica)</t>
    </r>
    <r>
      <rPr>
        <sz val="10"/>
        <rFont val="WenQuanYi Zen Hei"/>
        <family val="2"/>
      </rPr>
      <t xml:space="preserve">에 고발장</t>
    </r>
    <r>
      <rPr>
        <sz val="10"/>
        <rFont val="Arial"/>
        <family val="0"/>
        <charset val="1"/>
      </rPr>
      <t xml:space="preserve">(esposto-denuncia)</t>
    </r>
    <r>
      <rPr>
        <sz val="10"/>
        <rFont val="WenQuanYi Zen Hei"/>
        <family val="2"/>
      </rPr>
      <t xml:space="preserve">을 쓰고</t>
    </r>
    <r>
      <rPr>
        <sz val="10"/>
        <rFont val="Arial"/>
        <family val="0"/>
        <charset val="1"/>
      </rPr>
      <t xml:space="preserve">, </t>
    </r>
    <r>
      <rPr>
        <sz val="10"/>
        <rFont val="WenQuanYi Zen Hei"/>
        <family val="2"/>
      </rPr>
      <t xml:space="preserve">피해 주민 단체의 민사 당사자 참여</t>
    </r>
    <r>
      <rPr>
        <sz val="10"/>
        <rFont val="Arial"/>
        <family val="0"/>
        <charset val="1"/>
      </rPr>
      <t xml:space="preserve">(parte civile)</t>
    </r>
    <r>
      <rPr>
        <sz val="10"/>
        <rFont val="WenQuanYi Zen Hei"/>
        <family val="2"/>
      </rPr>
      <t xml:space="preserve">를 준비한다</t>
    </r>
    <r>
      <rPr>
        <sz val="10"/>
        <rFont val="Arial"/>
        <family val="0"/>
        <charset val="1"/>
      </rPr>
      <t xml:space="preserve">.</t>
    </r>
  </si>
  <si>
    <t xml:space="preserve">esposto, denuncia, parte civile, Procura, ANAC</t>
  </si>
  <si>
    <t xml:space="preserve">Marco, Alessandro, Francesco, Gramsci, Giulia</t>
  </si>
  <si>
    <t xml:space="preserve">Rappresaglie</t>
  </si>
  <si>
    <t xml:space="preserve">보복</t>
  </si>
  <si>
    <t xml:space="preserve">명예훼손 고소(querela per diffamazione)가 Galileo에게, 위생 점검(NAS)이 Rosa의 트라토리아에 날아온다. 익명의 협박이 이어진다.</t>
  </si>
  <si>
    <t xml:space="preserve">명예훼손(형법 제595조), 괴롭히기 소송(querela temeraria·SLAPP), 협박</t>
  </si>
  <si>
    <t xml:space="preserve">Galileo, Rosa, Marco, Garibaldi</t>
  </si>
  <si>
    <t xml:space="preserve">Il microfono nella lampada</t>
  </si>
  <si>
    <t xml:space="preserve">전등 속 마이크</t>
  </si>
  <si>
    <r>
      <rPr>
        <sz val="10"/>
        <rFont val="Arial"/>
        <family val="0"/>
        <charset val="1"/>
      </rPr>
      <t xml:space="preserve">Gramsci</t>
    </r>
    <r>
      <rPr>
        <sz val="10"/>
        <rFont val="WenQuanYi Zen Hei"/>
        <family val="2"/>
      </rPr>
      <t xml:space="preserve">가 도청기를 찾아낸다 — 평생 정치경찰에게 감시당했던 사람의 감각이다</t>
    </r>
    <r>
      <rPr>
        <sz val="10"/>
        <rFont val="Arial"/>
        <family val="0"/>
        <charset val="1"/>
      </rPr>
      <t xml:space="preserve">. </t>
    </r>
    <r>
      <rPr>
        <sz val="10"/>
        <rFont val="WenQuanYi Zen Hei"/>
        <family val="2"/>
      </rPr>
      <t xml:space="preserve">되쏘자는 </t>
    </r>
    <r>
      <rPr>
        <sz val="10"/>
        <rFont val="Arial"/>
        <family val="0"/>
        <charset val="1"/>
      </rPr>
      <t xml:space="preserve">Gramsci</t>
    </r>
    <r>
      <rPr>
        <sz val="10"/>
        <rFont val="WenQuanYi Zen Hei"/>
        <family val="2"/>
      </rPr>
      <t xml:space="preserve">와 합법 경로만 쓰자는 </t>
    </r>
    <r>
      <rPr>
        <sz val="10"/>
        <rFont val="Arial"/>
        <family val="0"/>
        <charset val="1"/>
      </rPr>
      <t xml:space="preserve">Marco</t>
    </r>
    <r>
      <rPr>
        <sz val="10"/>
        <rFont val="WenQuanYi Zen Hei"/>
        <family val="2"/>
      </rPr>
      <t xml:space="preserve">가 충돌한다</t>
    </r>
    <r>
      <rPr>
        <sz val="10"/>
        <rFont val="Arial"/>
        <family val="0"/>
        <charset val="1"/>
      </rPr>
      <t xml:space="preserve">.</t>
    </r>
  </si>
  <si>
    <t xml:space="preserve">사용할 수 없는 증거(prove inutilizzabili, 형사소송법 제191조), 통신의 비밀(헌법 제15조)</t>
  </si>
  <si>
    <t xml:space="preserve">Gramsci, Marco, Garibaldi, Montessori</t>
  </si>
  <si>
    <t xml:space="preserve">La guardia del quartiere</t>
  </si>
  <si>
    <t xml:space="preserve">동네의 보초</t>
  </si>
  <si>
    <t xml:space="preserve">사무소 앞에 이웃들이 교대로 서서 지킨다. Paolo가 조직하고 Dante가 벽에 문구를 쓴다.</t>
  </si>
  <si>
    <t xml:space="preserve">연대·조직 표현</t>
  </si>
  <si>
    <t xml:space="preserve">Paolo, Dante, Rosa, Garibaldi</t>
  </si>
  <si>
    <t xml:space="preserve">Il decreto del GIP</t>
  </si>
  <si>
    <t xml:space="preserve">예비수사판사의 결정</t>
  </si>
  <si>
    <t xml:space="preserve">로마의 예비수사판사(GIP)가 압수수색과 수사 연장을 승인하고, 검찰이 GM 임원 세 명에게 피의자 통지(avviso di garanzia)를 보낸다. 사무실이 환호한다.</t>
  </si>
  <si>
    <t xml:space="preserve">GIP, avviso di garanzia, interrogatorio</t>
  </si>
  <si>
    <t xml:space="preserve">Marco, Alessandro, Galileo, Francesco</t>
  </si>
  <si>
    <t xml:space="preserve">La legge che viene</t>
  </si>
  <si>
    <t xml:space="preserve">다가오는 법</t>
  </si>
  <si>
    <r>
      <rPr>
        <sz val="10"/>
        <rFont val="Arial"/>
        <family val="0"/>
        <charset val="1"/>
      </rPr>
      <t xml:space="preserve">GM</t>
    </r>
    <r>
      <rPr>
        <sz val="10"/>
        <rFont val="WenQuanYi Zen Hei"/>
        <family val="2"/>
      </rPr>
      <t xml:space="preserve">과 가까운 의원들이 공직자 범죄를 축소하고 도청을 제한하는 법안을 낸다</t>
    </r>
    <r>
      <rPr>
        <sz val="10"/>
        <rFont val="Arial"/>
        <family val="0"/>
        <charset val="1"/>
      </rPr>
      <t xml:space="preserve">. </t>
    </r>
    <r>
      <rPr>
        <sz val="10"/>
        <rFont val="WenQuanYi Zen Hei"/>
        <family val="2"/>
      </rPr>
      <t xml:space="preserve">통과되면 임원들의 혐의 일부가 소급해 사라진다</t>
    </r>
    <r>
      <rPr>
        <sz val="10"/>
        <rFont val="Arial"/>
        <family val="0"/>
        <charset val="1"/>
      </rPr>
      <t xml:space="preserve">(</t>
    </r>
    <r>
      <rPr>
        <sz val="10"/>
        <rFont val="WenQuanYi Zen Hei"/>
        <family val="2"/>
      </rPr>
      <t xml:space="preserve">형법 제</t>
    </r>
    <r>
      <rPr>
        <sz val="10"/>
        <rFont val="Arial"/>
        <family val="0"/>
        <charset val="1"/>
      </rPr>
      <t xml:space="preserve">2</t>
    </r>
    <r>
      <rPr>
        <sz val="10"/>
        <rFont val="WenQuanYi Zen Hei"/>
        <family val="2"/>
      </rPr>
      <t xml:space="preserve">조 </t>
    </r>
    <r>
      <rPr>
        <sz val="10"/>
        <rFont val="Arial"/>
        <family val="0"/>
        <charset val="1"/>
      </rPr>
      <t xml:space="preserve">2</t>
    </r>
    <r>
      <rPr>
        <sz val="10"/>
        <rFont val="WenQuanYi Zen Hei"/>
        <family val="2"/>
      </rPr>
      <t xml:space="preserve">항</t>
    </r>
    <r>
      <rPr>
        <sz val="10"/>
        <rFont val="Arial"/>
        <family val="0"/>
        <charset val="1"/>
      </rPr>
      <t xml:space="preserve">). Cesare: «Le sentenze si vincono; le leggi si scrivono.»</t>
    </r>
  </si>
  <si>
    <t xml:space="preserve">입법 발의, 범죄 폐지의 소급(abolitio criminis)</t>
  </si>
  <si>
    <t xml:space="preserve">Cesare, Marco, Chiara, Paolo, Machiavelli</t>
  </si>
  <si>
    <t xml:space="preserve">P1·P3</t>
  </si>
  <si>
    <t xml:space="preserve">Una sedia a San Giovanni</t>
  </si>
  <si>
    <t xml:space="preserve">산 조반니의 의자</t>
  </si>
  <si>
    <r>
      <rPr>
        <sz val="10"/>
        <rFont val="Arial"/>
        <family val="0"/>
        <charset val="1"/>
      </rPr>
      <t xml:space="preserve">Paolo</t>
    </r>
    <r>
      <rPr>
        <sz val="10"/>
        <rFont val="WenQuanYi Zen Hei"/>
        <family val="2"/>
      </rPr>
      <t xml:space="preserve">가 </t>
    </r>
    <r>
      <rPr>
        <sz val="10"/>
        <rFont val="Arial"/>
        <family val="0"/>
        <charset val="1"/>
      </rPr>
      <t xml:space="preserve">Piazza San Giovanni</t>
    </r>
    <r>
      <rPr>
        <sz val="10"/>
        <rFont val="WenQuanYi Zen Hei"/>
        <family val="2"/>
      </rPr>
      <t xml:space="preserve">에서 모이자고 제안한다</t>
    </r>
    <r>
      <rPr>
        <sz val="10"/>
        <rFont val="Arial"/>
        <family val="0"/>
        <charset val="1"/>
      </rPr>
      <t xml:space="preserve">. Rosa</t>
    </r>
    <r>
      <rPr>
        <sz val="10"/>
        <rFont val="WenQuanYi Zen Hei"/>
        <family val="2"/>
      </rPr>
      <t xml:space="preserve">가 식탁의 의자를 든다</t>
    </r>
    <r>
      <rPr>
        <sz val="10"/>
        <rFont val="Arial"/>
        <family val="0"/>
        <charset val="1"/>
      </rPr>
      <t xml:space="preserve">. Marco</t>
    </r>
    <r>
      <rPr>
        <sz val="10"/>
        <rFont val="WenQuanYi Zen Hei"/>
        <family val="2"/>
      </rPr>
      <t xml:space="preserve">가 </t>
    </r>
    <r>
      <rPr>
        <sz val="10"/>
        <rFont val="Arial"/>
        <family val="0"/>
        <charset val="1"/>
      </rPr>
      <t xml:space="preserve">«Dobbiamo cambiare la legge.»</t>
    </r>
  </si>
  <si>
    <t xml:space="preserve">결단, 제안</t>
  </si>
  <si>
    <t xml:space="preserve">P1</t>
  </si>
  <si>
    <t xml:space="preserve">La piazza di San Giovanni</t>
  </si>
  <si>
    <t xml:space="preserve">산 조반니 광장의 집회</t>
  </si>
  <si>
    <t xml:space="preserve">사무소를 거쳐 간 의뢰인 수백 명이 광장에 모인다. Paolo와 Garibaldi가 조직하고, 집회 신고를 두고 Marco와 Garibaldi가 실랑이한다(«천 명을 이끌고 시칠리아에 상륙할 때 신고 같은 건 안 했소!»).</t>
  </si>
  <si>
    <t xml:space="preserve">공공장소 집회는 3일 전 경찰청장(Questore)에게 사전 통지(헌법 제17조, TULPS 제18조)</t>
  </si>
  <si>
    <t xml:space="preserve">Paolo, Garibaldi, Marco</t>
  </si>
  <si>
    <t xml:space="preserve">Dal caso alla legge</t>
  </si>
  <si>
    <t xml:space="preserve">사건에서 법으로</t>
  </si>
  <si>
    <r>
      <rPr>
        <sz val="10"/>
        <rFont val="Arial"/>
        <family val="0"/>
        <charset val="1"/>
      </rPr>
      <t xml:space="preserve">Marco</t>
    </r>
    <r>
      <rPr>
        <sz val="10"/>
        <rFont val="WenQuanYi Zen Hei"/>
        <family val="2"/>
      </rPr>
      <t xml:space="preserve">가 수십 건의 사건에서 같은 조항이 반복되는 것을 짚는다</t>
    </r>
    <r>
      <rPr>
        <sz val="10"/>
        <rFont val="Arial"/>
        <family val="0"/>
        <charset val="1"/>
      </rPr>
      <t xml:space="preserve">. </t>
    </r>
    <r>
      <rPr>
        <sz val="10"/>
        <rFont val="WenQuanYi Zen Hei"/>
        <family val="2"/>
      </rPr>
      <t xml:space="preserve">법을 바꿔야 한다</t>
    </r>
    <r>
      <rPr>
        <sz val="10"/>
        <rFont val="Arial"/>
        <family val="0"/>
        <charset val="1"/>
      </rPr>
      <t xml:space="preserve">. Machiavelli</t>
    </r>
    <r>
      <rPr>
        <sz val="10"/>
        <rFont val="WenQuanYi Zen Hei"/>
        <family val="2"/>
      </rPr>
      <t xml:space="preserve">가 </t>
    </r>
    <r>
      <rPr>
        <sz val="10"/>
        <rFont val="Arial"/>
        <family val="0"/>
        <charset val="1"/>
      </rPr>
      <t xml:space="preserve">'</t>
    </r>
    <r>
      <rPr>
        <sz val="10"/>
        <rFont val="WenQuanYi Zen Hei"/>
        <family val="2"/>
      </rPr>
      <t xml:space="preserve">가장 빠른 길과 가장 오래가는 길</t>
    </r>
    <r>
      <rPr>
        <sz val="10"/>
        <rFont val="Arial"/>
        <family val="0"/>
        <charset val="1"/>
      </rPr>
      <t xml:space="preserve">'</t>
    </r>
    <r>
      <rPr>
        <sz val="10"/>
        <rFont val="WenQuanYi Zen Hei"/>
        <family val="2"/>
      </rPr>
      <t xml:space="preserve">을 구분한다</t>
    </r>
    <r>
      <rPr>
        <sz val="10"/>
        <rFont val="Arial"/>
        <family val="0"/>
        <charset val="1"/>
      </rPr>
      <t xml:space="preserve">.</t>
    </r>
  </si>
  <si>
    <t xml:space="preserve">법을 바꾸는 길: 정부 법안(disegno di legge), 의원 발의(proposta di legge), 국민 발의(5만 서명), 폐지 국민투표(50만 서명)</t>
  </si>
  <si>
    <t xml:space="preserve">Marco, Sofia, Machiavelli</t>
  </si>
  <si>
    <t xml:space="preserve">Cinquecentomila firme</t>
  </si>
  <si>
    <r>
      <rPr>
        <sz val="10"/>
        <rFont val="Arial"/>
        <family val="0"/>
        <charset val="1"/>
      </rPr>
      <t xml:space="preserve">50</t>
    </r>
    <r>
      <rPr>
        <sz val="10"/>
        <rFont val="WenQuanYi Zen Hei"/>
        <family val="2"/>
      </rPr>
      <t xml:space="preserve">만 서명</t>
    </r>
  </si>
  <si>
    <r>
      <rPr>
        <sz val="10"/>
        <rFont val="Arial"/>
        <family val="0"/>
        <charset val="1"/>
      </rPr>
      <t xml:space="preserve">7</t>
    </r>
    <r>
      <rPr>
        <sz val="10"/>
        <rFont val="WenQuanYi Zen Hei"/>
        <family val="2"/>
      </rPr>
      <t xml:space="preserve">부의 </t>
    </r>
    <r>
      <rPr>
        <sz val="10"/>
        <rFont val="Arial"/>
        <family val="0"/>
        <charset val="1"/>
      </rPr>
      <t xml:space="preserve">'</t>
    </r>
    <r>
      <rPr>
        <sz val="10"/>
        <rFont val="WenQuanYi Zen Hei"/>
        <family val="2"/>
      </rPr>
      <t xml:space="preserve">공직자 범죄 축소법</t>
    </r>
    <r>
      <rPr>
        <sz val="10"/>
        <rFont val="Arial"/>
        <family val="0"/>
        <charset val="1"/>
      </rPr>
      <t xml:space="preserve">'</t>
    </r>
    <r>
      <rPr>
        <sz val="10"/>
        <rFont val="WenQuanYi Zen Hei"/>
        <family val="2"/>
      </rPr>
      <t xml:space="preserve">을 없애는 폐지 국민투표 서명 운동</t>
    </r>
    <r>
      <rPr>
        <sz val="10"/>
        <rFont val="Arial"/>
        <family val="0"/>
        <charset val="1"/>
      </rPr>
      <t xml:space="preserve">. Rosa</t>
    </r>
    <r>
      <rPr>
        <sz val="10"/>
        <rFont val="WenQuanYi Zen Hei"/>
        <family val="2"/>
      </rPr>
      <t xml:space="preserve">의 트라토리아가 서명 접수처가 되고 온라인 서명도 받는다</t>
    </r>
    <r>
      <rPr>
        <sz val="10"/>
        <rFont val="Arial"/>
        <family val="0"/>
        <charset val="1"/>
      </rPr>
      <t xml:space="preserve">.</t>
    </r>
  </si>
  <si>
    <t xml:space="preserve">폐지 국민투표 50만 서명(헌법 제75조, legge 352/1970), 전자 서명 플랫폼</t>
  </si>
  <si>
    <t xml:space="preserve">Rosa, Paolo, Sofia</t>
  </si>
  <si>
    <t xml:space="preserve">P3·S1</t>
  </si>
  <si>
    <t xml:space="preserve">전환점</t>
  </si>
  <si>
    <t xml:space="preserve">Il quorum</t>
  </si>
  <si>
    <t xml:space="preserve">정족수</t>
  </si>
  <si>
    <t xml:space="preserve">헌법재판소가 국민투표를 허용하지만, 투표율이 유권자 과반에 못 미쳐 무효가 된다. 개표 방송 앞의 시민들.</t>
  </si>
  <si>
    <t xml:space="preserve">폐지 국민투표는 유권자 과반 투표 시에만 유효(헌법 제75조), 헌법재판소 허용 심사(ammissibilità)</t>
  </si>
  <si>
    <t xml:space="preserve">Marco, Galileo, Machiavelli</t>
  </si>
  <si>
    <t xml:space="preserve">Nasce un partito</t>
  </si>
  <si>
    <t xml:space="preserve">정당의 탄생</t>
  </si>
  <si>
    <t xml:space="preserve">이름을 정한다: «Casa Comune» — Rosa의 식탁에서 나온 이름. 공증인 앞에서 설립 문서와 정관에 서명한다.</t>
  </si>
  <si>
    <t xml:space="preserve">정당은 법인격 없는 사단(헌법 제49조, 민법 제36조), 국가 정당 등록부 등록(d.l. 149/2013)</t>
  </si>
  <si>
    <t xml:space="preserve">Rosa, Dante, Marco</t>
  </si>
  <si>
    <t xml:space="preserve">Lo statuto</t>
  </si>
  <si>
    <t xml:space="preserve">정관</t>
  </si>
  <si>
    <t xml:space="preserve">당원 자격, 윤리 강령, 후보 경선 방식을 둘러싼 토론. Chiara의 조직도 vs Paolo의 총회.</t>
  </si>
  <si>
    <t xml:space="preserve">등록 정당 정관의 민주적 절차 요건(d.l. 149/2013 제3조), 헌법 제49조 '민주적 방법'</t>
  </si>
  <si>
    <t xml:space="preserve">Chiara, Paolo, Machiavelli</t>
  </si>
  <si>
    <t xml:space="preserve">Il denaro pulito</t>
  </si>
  <si>
    <t xml:space="preserve">깨끗한 돈</t>
  </si>
  <si>
    <t xml:space="preserve">소액 후원 원칙과 회계 공개. 은행이 계좌 개설을 미룬다. Francesco의 노하우.</t>
  </si>
  <si>
    <t xml:space="preserve">정치 후원 공개 의무(legge 3/2019), 2x1000 기부, 정당 회계 감독위원회(Commissione di garanzia)</t>
  </si>
  <si>
    <t xml:space="preserve">Le candidature</t>
  </si>
  <si>
    <t xml:space="preserve">후보 명부</t>
  </si>
  <si>
    <r>
      <rPr>
        <sz val="10"/>
        <rFont val="Arial"/>
        <family val="0"/>
        <charset val="1"/>
      </rPr>
      <t xml:space="preserve">Alessandro</t>
    </r>
    <r>
      <rPr>
        <sz val="10"/>
        <rFont val="WenQuanYi Zen Hei"/>
        <family val="2"/>
      </rPr>
      <t xml:space="preserve">는 로마 시장 후보</t>
    </r>
    <r>
      <rPr>
        <sz val="10"/>
        <rFont val="Arial"/>
        <family val="0"/>
        <charset val="1"/>
      </rPr>
      <t xml:space="preserve">, Giulia</t>
    </r>
    <r>
      <rPr>
        <sz val="10"/>
        <rFont val="WenQuanYi Zen Hei"/>
        <family val="2"/>
      </rPr>
      <t xml:space="preserve">는 라치오 주의회 명부 </t>
    </r>
    <r>
      <rPr>
        <sz val="10"/>
        <rFont val="Arial"/>
        <family val="0"/>
        <charset val="1"/>
      </rPr>
      <t xml:space="preserve">1</t>
    </r>
    <r>
      <rPr>
        <sz val="10"/>
        <rFont val="WenQuanYi Zen Hei"/>
        <family val="2"/>
      </rPr>
      <t xml:space="preserve">번</t>
    </r>
    <r>
      <rPr>
        <sz val="10"/>
        <rFont val="Arial"/>
        <family val="0"/>
        <charset val="1"/>
      </rPr>
      <t xml:space="preserve">. </t>
    </r>
    <r>
      <rPr>
        <sz val="10"/>
        <rFont val="WenQuanYi Zen Hei"/>
        <family val="2"/>
      </rPr>
      <t xml:space="preserve">명부 순서를 둘러싼 갈등</t>
    </r>
    <r>
      <rPr>
        <sz val="10"/>
        <rFont val="Arial"/>
        <family val="0"/>
        <charset val="1"/>
      </rPr>
      <t xml:space="preserve">.</t>
    </r>
  </si>
  <si>
    <t xml:space="preserve">성별 균형(명부 내 한 성별 2/3 초과 금지·선호투표 성별 교차), 명부 제출 서명</t>
  </si>
  <si>
    <t xml:space="preserve">Alessandro, Giulia, Sofia</t>
  </si>
  <si>
    <t xml:space="preserve">N4·S1</t>
  </si>
  <si>
    <t xml:space="preserve">La campagna nei quartieri</t>
  </si>
  <si>
    <t xml:space="preserve">골목길 캠페인</t>
  </si>
  <si>
    <r>
      <rPr>
        <sz val="10"/>
        <rFont val="Arial"/>
        <family val="0"/>
        <charset val="1"/>
      </rPr>
      <t xml:space="preserve">Rosa</t>
    </r>
    <r>
      <rPr>
        <sz val="10"/>
        <rFont val="WenQuanYi Zen Hei"/>
        <family val="2"/>
      </rPr>
      <t xml:space="preserve">의 트라토리아에서 시작해 </t>
    </r>
    <r>
      <rPr>
        <sz val="10"/>
        <rFont val="Arial"/>
        <family val="0"/>
        <charset val="1"/>
      </rPr>
      <t xml:space="preserve">Quarticciolo·Tor Bella Monaca </t>
    </r>
    <r>
      <rPr>
        <sz val="10"/>
        <rFont val="WenQuanYi Zen Hei"/>
        <family val="2"/>
      </rPr>
      <t xml:space="preserve">골목을 도는 유세</t>
    </r>
    <r>
      <rPr>
        <sz val="10"/>
        <rFont val="Arial"/>
        <family val="0"/>
        <charset val="1"/>
      </rPr>
      <t xml:space="preserve">. Dante</t>
    </r>
    <r>
      <rPr>
        <sz val="10"/>
        <rFont val="WenQuanYi Zen Hei"/>
        <family val="2"/>
      </rPr>
      <t xml:space="preserve">의 첫 연설 문구</t>
    </r>
    <r>
      <rPr>
        <sz val="10"/>
        <rFont val="Arial"/>
        <family val="0"/>
        <charset val="1"/>
      </rPr>
      <t xml:space="preserve">.</t>
    </r>
  </si>
  <si>
    <t xml:space="preserve">선거운동 규칙, 방송 균등 노출(par condicio, legge 28/2000), AGCOM 감독</t>
  </si>
  <si>
    <t xml:space="preserve">Dante, Rosa, Garibaldi</t>
  </si>
  <si>
    <t xml:space="preserve">E1·E2·S2</t>
  </si>
  <si>
    <t xml:space="preserve">L'attacco della stampa</t>
  </si>
  <si>
    <t xml:space="preserve">언론의 공격</t>
  </si>
  <si>
    <t xml:space="preserve">왜곡 기사가 나온다. Galileo가 반박하고 정정을 청구한다.</t>
  </si>
  <si>
    <t xml:space="preserve">정정권(legge 47/1948 제8조), AGCOM 제소</t>
  </si>
  <si>
    <t xml:space="preserve">Galileo, Marco</t>
  </si>
  <si>
    <t xml:space="preserve">Il silenzio elettorale</t>
  </si>
  <si>
    <t xml:space="preserve">선거 침묵</t>
  </si>
  <si>
    <t xml:space="preserve">선거 전날, 마지막 유세의 유혹을 접고 정적. Montessori의 되받기가 처음으로 위로가 된다.</t>
  </si>
  <si>
    <t xml:space="preserve">선거 전날·당일 선거운동 금지(legge 212/1956), 마지막 15일 여론조사 공표 금지(legge 28/2000)</t>
  </si>
  <si>
    <t xml:space="preserve">Montessori, Chiara</t>
  </si>
  <si>
    <t xml:space="preserve">La notte dello spoglio</t>
  </si>
  <si>
    <t xml:space="preserve">개표의 밤</t>
  </si>
  <si>
    <r>
      <rPr>
        <sz val="10"/>
        <rFont val="Noto Sans CJK SC"/>
        <family val="2"/>
        <charset val="1"/>
      </rPr>
      <t xml:space="preserve">Assemblea Capitolina 48</t>
    </r>
    <r>
      <rPr>
        <sz val="10"/>
        <rFont val="WenQuanYi Zen Hei"/>
        <family val="2"/>
      </rPr>
      <t xml:space="preserve">석 중 </t>
    </r>
    <r>
      <rPr>
        <sz val="10"/>
        <rFont val="Noto Sans CJK SC"/>
        <family val="2"/>
        <charset val="1"/>
      </rPr>
      <t xml:space="preserve">5</t>
    </r>
    <r>
      <rPr>
        <sz val="10"/>
        <rFont val="WenQuanYi Zen Hei"/>
        <family val="2"/>
      </rPr>
      <t xml:space="preserve">석</t>
    </r>
    <r>
      <rPr>
        <sz val="10"/>
        <rFont val="Noto Sans CJK SC"/>
        <family val="2"/>
        <charset val="1"/>
      </rPr>
      <t xml:space="preserve">, </t>
    </r>
    <r>
      <rPr>
        <sz val="10"/>
        <rFont val="WenQuanYi Zen Hei"/>
        <family val="2"/>
      </rPr>
      <t xml:space="preserve">라치오 주의회 진출 </t>
    </r>
    <r>
      <rPr>
        <sz val="10"/>
        <rFont val="Noto Sans CJK SC"/>
        <family val="2"/>
        <charset val="1"/>
      </rPr>
      <t xml:space="preserve">(</t>
    </r>
    <r>
      <rPr>
        <sz val="10"/>
        <rFont val="WenQuanYi Zen Hei"/>
        <family val="2"/>
      </rPr>
      <t xml:space="preserve">가상 수치</t>
    </r>
    <r>
      <rPr>
        <sz val="10"/>
        <rFont val="Noto Sans CJK SC"/>
        <family val="2"/>
        <charset val="1"/>
      </rPr>
      <t xml:space="preserve">). </t>
    </r>
    <r>
      <rPr>
        <sz val="10"/>
        <rFont val="WenQuanYi Zen Hei"/>
        <family val="2"/>
      </rPr>
      <t xml:space="preserve">시장 후보 </t>
    </r>
    <r>
      <rPr>
        <sz val="10"/>
        <rFont val="Noto Sans CJK SC"/>
        <family val="2"/>
        <charset val="1"/>
      </rPr>
      <t xml:space="preserve">Alessandro</t>
    </r>
    <r>
      <rPr>
        <sz val="10"/>
        <rFont val="WenQuanYi Zen Hei"/>
        <family val="2"/>
      </rPr>
      <t xml:space="preserve">는 </t>
    </r>
    <r>
      <rPr>
        <sz val="10"/>
        <rFont val="Noto Sans CJK SC"/>
        <family val="2"/>
        <charset val="1"/>
      </rPr>
      <t xml:space="preserve">3</t>
    </r>
    <r>
      <rPr>
        <sz val="10"/>
        <rFont val="WenQuanYi Zen Hei"/>
        <family val="2"/>
      </rPr>
      <t xml:space="preserve">위로 결선에 오르지 못한다</t>
    </r>
    <r>
      <rPr>
        <sz val="10"/>
        <rFont val="Noto Sans CJK SC"/>
        <family val="2"/>
        <charset val="1"/>
      </rPr>
      <t xml:space="preserve">.</t>
    </r>
  </si>
  <si>
    <t xml:space="preserve">시장 직선·결선투표(ballottaggio), 시장 연합 과반 보너스, 명부 문턱 3%</t>
  </si>
  <si>
    <t xml:space="preserve">L'insediamento</t>
  </si>
  <si>
    <t xml:space="preserve">시의회 개원</t>
  </si>
  <si>
    <r>
      <rPr>
        <sz val="10"/>
        <rFont val="Arial"/>
        <family val="0"/>
        <charset val="1"/>
      </rPr>
      <t xml:space="preserve">2</t>
    </r>
    <r>
      <rPr>
        <sz val="10"/>
        <rFont val="WenQuanYi Zen Hei"/>
        <family val="2"/>
      </rPr>
      <t xml:space="preserve">주 뒤 결선투표에서 다른 당 후보가 시장이 된다</t>
    </r>
    <r>
      <rPr>
        <sz val="10"/>
        <rFont val="Arial"/>
        <family val="0"/>
        <charset val="1"/>
      </rPr>
      <t xml:space="preserve">. </t>
    </r>
    <r>
      <rPr>
        <sz val="10"/>
        <rFont val="WenQuanYi Zen Hei"/>
        <family val="2"/>
      </rPr>
      <t xml:space="preserve">낙선한 시장 후보 </t>
    </r>
    <r>
      <rPr>
        <sz val="10"/>
        <rFont val="Arial"/>
        <family val="0"/>
        <charset val="1"/>
      </rPr>
      <t xml:space="preserve">Alessandro</t>
    </r>
    <r>
      <rPr>
        <sz val="10"/>
        <rFont val="WenQuanYi Zen Hei"/>
        <family val="2"/>
      </rPr>
      <t xml:space="preserve">는 규정에 따라 시의원이 되어 첫 회의에서 자리에 앉는다</t>
    </r>
    <r>
      <rPr>
        <sz val="10"/>
        <rFont val="Arial"/>
        <family val="0"/>
        <charset val="1"/>
      </rPr>
      <t xml:space="preserve">.</t>
    </r>
  </si>
  <si>
    <t xml:space="preserve">시장 직선·결선(TUEL 제72조), 낙선 시장 후보의 의석(TUEL 제73조, 확인)</t>
  </si>
  <si>
    <t xml:space="preserve">Alessandro, Marco</t>
  </si>
  <si>
    <t xml:space="preserve">La prima seduta</t>
  </si>
  <si>
    <t xml:space="preserve">첫 본회의</t>
  </si>
  <si>
    <t xml:space="preserve">발언 시간, 질의·동의안 절차를 배우는 신참 의원들. Sofia의 질문 연발.</t>
  </si>
  <si>
    <t xml:space="preserve">회의 운영: mozione, interrogazione, ordine del giorno</t>
  </si>
  <si>
    <t xml:space="preserve">Alessandro, Sofia</t>
  </si>
  <si>
    <t xml:space="preserve">La revisione dei conti della città</t>
  </si>
  <si>
    <t xml:space="preserve">도시 예산 감사</t>
  </si>
  <si>
    <r>
      <rPr>
        <sz val="10"/>
        <rFont val="Arial"/>
        <family val="0"/>
        <charset val="1"/>
      </rPr>
      <t xml:space="preserve">Alessandro</t>
    </r>
    <r>
      <rPr>
        <sz val="10"/>
        <rFont val="WenQuanYi Zen Hei"/>
        <family val="2"/>
      </rPr>
      <t xml:space="preserve">가 시 예산과 결산</t>
    </r>
    <r>
      <rPr>
        <sz val="10"/>
        <rFont val="Arial"/>
        <family val="0"/>
        <charset val="1"/>
      </rPr>
      <t xml:space="preserve">(rendiconto)</t>
    </r>
    <r>
      <rPr>
        <sz val="10"/>
        <rFont val="WenQuanYi Zen Hei"/>
        <family val="2"/>
      </rPr>
      <t xml:space="preserve">을 파고들고 </t>
    </r>
    <r>
      <rPr>
        <sz val="10"/>
        <rFont val="Arial"/>
        <family val="0"/>
        <charset val="1"/>
      </rPr>
      <t xml:space="preserve">Francesco</t>
    </r>
    <r>
      <rPr>
        <sz val="10"/>
        <rFont val="WenQuanYi Zen Hei"/>
        <family val="2"/>
      </rPr>
      <t xml:space="preserve">가 계좌 흐름을 그린다</t>
    </r>
    <r>
      <rPr>
        <sz val="10"/>
        <rFont val="Arial"/>
        <family val="0"/>
        <charset val="1"/>
      </rPr>
      <t xml:space="preserve">.</t>
    </r>
  </si>
  <si>
    <t xml:space="preserve">결산(rendiconto), 회계감사단(Collegio dei revisori), 감사원(Corte dei conti)</t>
  </si>
  <si>
    <t xml:space="preserve">Contratti sotto la lente</t>
  </si>
  <si>
    <t xml:space="preserve">돋보기 아래의 계약들</t>
  </si>
  <si>
    <t xml:space="preserve">시 산하 기업과 공공주택 기관의 쪼개기 발주, 그리고 PNRR 사업이 소수 업체로 흘러간 정황. 행정 병목 때문에 일부는 집행조차 못 했다.</t>
  </si>
  <si>
    <t xml:space="preserve">공공계약법(d.lgs. 36/2023), 인위적 분할 발주(frazionamento), PNRR</t>
  </si>
  <si>
    <t xml:space="preserve">Alessandro, Gramsci, Francesco</t>
  </si>
  <si>
    <t xml:space="preserve">N2</t>
  </si>
  <si>
    <t xml:space="preserve">L'alleanza scomoda</t>
  </si>
  <si>
    <t xml:space="preserve">불편한 동맹</t>
  </si>
  <si>
    <t xml:space="preserve">예산 통과를 위해 거대 정당 중 한 곳과 표를 맞바꿔야 하는 딜레마. Paolo는 반대하고 Machiavelli는 표를 센다.</t>
  </si>
  <si>
    <t xml:space="preserve">소수 의원단의 캐스팅보트, 예산안 표결</t>
  </si>
  <si>
    <t xml:space="preserve">La trappola del bilancio</t>
  </si>
  <si>
    <t xml:space="preserve">예산의 덫</t>
  </si>
  <si>
    <t xml:space="preserve">예산안 부속 규정에 숨은 임대료 보조 20% 삭감과 단기 관광임대 용도 완화 조항. Sofia의 2차 폭발. Cesare가 선을 넘고 Garibaldi·Rosa가 나무란다.</t>
  </si>
  <si>
    <t xml:space="preserve">시 예산안(bilancio di previsione), 예산 위원회, 도시계획 용도</t>
  </si>
  <si>
    <t xml:space="preserve">Sofia, Alessandro, Cesare, Garibaldi, Rosa, Paolo</t>
  </si>
  <si>
    <t xml:space="preserve">La sanità alla Pisana</t>
  </si>
  <si>
    <t xml:space="preserve">주의회에서의 보건</t>
  </si>
  <si>
    <t xml:space="preserve">내륙 마을의 야간 진료소(guardia medica)가 문을 닫고 고령 인구가 늘어난다. Giulia가 라치오 주의회(Via della Pisana) 보건 위원회에서 병원 외주 계약 자료를 요구한다.</t>
  </si>
  <si>
    <t xml:space="preserve">보건은 주가 운영(주 보건서비스·ASL), 헌법 제117조 공동입법</t>
  </si>
  <si>
    <t xml:space="preserve">Giulia, Galileo</t>
  </si>
  <si>
    <t xml:space="preserve">Lo scandalo scoperchiato</t>
  </si>
  <si>
    <t xml:space="preserve">파헤쳐진 스캔들</t>
  </si>
  <si>
    <t xml:space="preserve">외주 계약과 시 계약이 한 회사로 이어진다. Gramsci가 출처를 가리키고 Marco는 합법 증거만 쓰자고 고집한다.</t>
  </si>
  <si>
    <t xml:space="preserve">사용할 수 없는 증거(형사소송법 제191조), 내부고발자 보호(d.lgs. 24/2023)</t>
  </si>
  <si>
    <t xml:space="preserve">Gramsci, Marco, Francesco</t>
  </si>
  <si>
    <t xml:space="preserve">L'esposto</t>
  </si>
  <si>
    <t xml:space="preserve">고발장</t>
  </si>
  <si>
    <t xml:space="preserve">사무소가 검찰과 감사원(재정 손해)에 고발장을 낸다. 주민 단체는 민사 당사자로 참여를 준비한다.</t>
  </si>
  <si>
    <t xml:space="preserve">검사의 기소 의무(헌법 제112조), 감사원 재정 책임, parte civile</t>
  </si>
  <si>
    <t xml:space="preserve">Marco, Galileo</t>
  </si>
  <si>
    <t xml:space="preserve">La risposta del potere</t>
  </si>
  <si>
    <t xml:space="preserve">권력의 반격</t>
  </si>
  <si>
    <t xml:space="preserve">명예훼손 소송과 여론전. Montessori와 Dante가 대응 메시지를 설계한다.</t>
  </si>
  <si>
    <t xml:space="preserve">명예훼손 소송, 정정권</t>
  </si>
  <si>
    <t xml:space="preserve">Dante, Montessori</t>
  </si>
  <si>
    <t xml:space="preserve">La lealtà alla prova</t>
  </si>
  <si>
    <t xml:space="preserve">시험대에 오른 의리</t>
  </si>
  <si>
    <t xml:space="preserve">총선에 누가 나설지 당내 경선. 서운함과 화해.</t>
  </si>
  <si>
    <t xml:space="preserve">당내 경선(primarie), 정관</t>
  </si>
  <si>
    <t xml:space="preserve">Chiara, Paolo, Alessandro, Machiavelli</t>
  </si>
  <si>
    <t xml:space="preserve">Il salto nazionale</t>
  </si>
  <si>
    <t xml:space="preserve">전국 무대로의 도약</t>
  </si>
  <si>
    <t xml:space="preserve">국가 예산안을 건 신임 투표가 부결되어 정부가 무너지고, 대통령이 의회를 해산한다. Casa Comune는 명부 제출 서명 수집부터 시작한다.</t>
  </si>
  <si>
    <t xml:space="preserve">해산(헌법 제88조), 교섭단체 없는 정당의 명부 제출 서명(legge 165/2017, 확인)</t>
  </si>
  <si>
    <t xml:space="preserve">Marco, Chiara, Garibaldi</t>
  </si>
  <si>
    <t xml:space="preserve">Il decreto e le firme</t>
  </si>
  <si>
    <t xml:space="preserve">해산 명령과 서명</t>
  </si>
  <si>
    <t xml:space="preserve">해산 명령과 선거일이 관보(Gazzetta Ufficiale)에 실린다. 해산 후 70일 안에 선거. 로마 선거구 서명을 모은다.</t>
  </si>
  <si>
    <t xml:space="preserve">해산(헌법 제88조), 70일 이내 선거(헌법 제61조), 명부 제출 서명</t>
  </si>
  <si>
    <t xml:space="preserve">Chiara, Garibaldi, Rosa</t>
  </si>
  <si>
    <t xml:space="preserve">La campagna</t>
  </si>
  <si>
    <t xml:space="preserve">전국 유세</t>
  </si>
  <si>
    <t xml:space="preserve">전국 순회. Garibaldi의 로지스틱스, Dante의 문구. 사르데냐 내륙의 과소 마을에서 가뭄과 풍력·태양광 단지 찬반을 마주한다.</t>
  </si>
  <si>
    <t xml:space="preserve">공식 캠페인, 방송 균등 노출(par condicio), AGCOM</t>
  </si>
  <si>
    <t xml:space="preserve">Garibaldi, Dante</t>
  </si>
  <si>
    <t xml:space="preserve">N5·S3·S4</t>
  </si>
  <si>
    <t xml:space="preserve">Il dibattito in TV</t>
  </si>
  <si>
    <r>
      <rPr>
        <sz val="10"/>
        <rFont val="Arial"/>
        <family val="0"/>
        <charset val="1"/>
      </rPr>
      <t xml:space="preserve">TV </t>
    </r>
    <r>
      <rPr>
        <sz val="10"/>
        <rFont val="WenQuanYi Zen Hei"/>
        <family val="2"/>
      </rPr>
      <t xml:space="preserve">토론</t>
    </r>
  </si>
  <si>
    <r>
      <rPr>
        <sz val="10"/>
        <rFont val="Arial"/>
        <family val="0"/>
        <charset val="1"/>
      </rPr>
      <t xml:space="preserve">Marco</t>
    </r>
    <r>
      <rPr>
        <sz val="10"/>
        <rFont val="WenQuanYi Zen Hei"/>
        <family val="2"/>
      </rPr>
      <t xml:space="preserve">의 첫 </t>
    </r>
    <r>
      <rPr>
        <sz val="10"/>
        <rFont val="Arial"/>
        <family val="0"/>
        <charset val="1"/>
      </rPr>
      <t xml:space="preserve">TV </t>
    </r>
    <r>
      <rPr>
        <sz val="10"/>
        <rFont val="WenQuanYi Zen Hei"/>
        <family val="2"/>
      </rPr>
      <t xml:space="preserve">토론</t>
    </r>
    <r>
      <rPr>
        <sz val="10"/>
        <rFont val="Arial"/>
        <family val="0"/>
        <charset val="1"/>
      </rPr>
      <t xml:space="preserve">. Sofia</t>
    </r>
    <r>
      <rPr>
        <sz val="10"/>
        <rFont val="WenQuanYi Zen Hei"/>
        <family val="2"/>
      </rPr>
      <t xml:space="preserve">가 준비한 질문 목록과 </t>
    </r>
    <r>
      <rPr>
        <sz val="10"/>
        <rFont val="Arial"/>
        <family val="0"/>
        <charset val="1"/>
      </rPr>
      <t xml:space="preserve">Machiavelli</t>
    </r>
    <r>
      <rPr>
        <sz val="10"/>
        <rFont val="WenQuanYi Zen Hei"/>
        <family val="2"/>
      </rPr>
      <t xml:space="preserve">의 </t>
    </r>
    <r>
      <rPr>
        <sz val="10"/>
        <rFont val="Arial"/>
        <family val="0"/>
        <charset val="1"/>
      </rPr>
      <t xml:space="preserve">'</t>
    </r>
    <r>
      <rPr>
        <sz val="10"/>
        <rFont val="WenQuanYi Zen Hei"/>
        <family val="2"/>
      </rPr>
      <t xml:space="preserve">상대가 가장 두려워하는 질문</t>
    </r>
    <r>
      <rPr>
        <sz val="10"/>
        <rFont val="Arial"/>
        <family val="0"/>
        <charset val="1"/>
      </rPr>
      <t xml:space="preserve">'</t>
    </r>
    <r>
      <rPr>
        <sz val="10"/>
        <rFont val="WenQuanYi Zen Hei"/>
        <family val="2"/>
      </rPr>
      <t xml:space="preserve">이 승부를 가른다</t>
    </r>
    <r>
      <rPr>
        <sz val="10"/>
        <rFont val="Arial"/>
        <family val="0"/>
        <charset val="1"/>
      </rPr>
      <t xml:space="preserve">.</t>
    </r>
  </si>
  <si>
    <t xml:space="preserve">방송사와 후보 진영의 협상으로 규칙 결정</t>
  </si>
  <si>
    <t xml:space="preserve">Marco, Sofia, Montessori, Machiavelli</t>
  </si>
  <si>
    <t xml:space="preserve">N4·S2·N3·P2·S1</t>
  </si>
  <si>
    <t xml:space="preserve">La notte elettorale</t>
  </si>
  <si>
    <t xml:space="preserve">총선의 밤 (1차)</t>
  </si>
  <si>
    <r>
      <rPr>
        <sz val="10"/>
        <rFont val="Arial"/>
        <family val="0"/>
        <charset val="1"/>
      </rPr>
      <t xml:space="preserve">CC </t>
    </r>
    <r>
      <rPr>
        <sz val="10"/>
        <rFont val="WenQuanYi Zen Hei"/>
        <family val="2"/>
      </rPr>
      <t xml:space="preserve">하원 </t>
    </r>
    <r>
      <rPr>
        <sz val="10"/>
        <rFont val="Arial"/>
        <family val="0"/>
        <charset val="1"/>
      </rPr>
      <t xml:space="preserve">70</t>
    </r>
    <r>
      <rPr>
        <sz val="10"/>
        <rFont val="WenQuanYi Zen Hei"/>
        <family val="2"/>
      </rPr>
      <t xml:space="preserve">석 </t>
    </r>
    <r>
      <rPr>
        <sz val="10"/>
        <rFont val="Arial"/>
        <family val="0"/>
        <charset val="1"/>
      </rPr>
      <t xml:space="preserve">3</t>
    </r>
    <r>
      <rPr>
        <sz val="10"/>
        <rFont val="WenQuanYi Zen Hei"/>
        <family val="2"/>
      </rPr>
      <t xml:space="preserve">위</t>
    </r>
    <r>
      <rPr>
        <sz val="10"/>
        <rFont val="Arial"/>
        <family val="0"/>
        <charset val="1"/>
      </rPr>
      <t xml:space="preserve">, UCN</t>
    </r>
    <r>
      <rPr>
        <sz val="10"/>
        <rFont val="WenQuanYi Zen Hei"/>
        <family val="2"/>
      </rPr>
      <t xml:space="preserve">이 </t>
    </r>
    <r>
      <rPr>
        <sz val="10"/>
        <rFont val="Arial"/>
        <family val="0"/>
        <charset val="1"/>
      </rPr>
      <t xml:space="preserve">1</t>
    </r>
    <r>
      <rPr>
        <sz val="10"/>
        <rFont val="WenQuanYi Zen Hei"/>
        <family val="2"/>
      </rPr>
      <t xml:space="preserve">당이지만 과반과는 멀다 </t>
    </r>
    <r>
      <rPr>
        <sz val="10"/>
        <rFont val="Arial"/>
        <family val="0"/>
        <charset val="1"/>
      </rPr>
      <t xml:space="preserve">(</t>
    </r>
    <r>
      <rPr>
        <sz val="10"/>
        <rFont val="WenQuanYi Zen Hei"/>
        <family val="2"/>
      </rPr>
      <t xml:space="preserve">가상 수치</t>
    </r>
    <r>
      <rPr>
        <sz val="10"/>
        <rFont val="Arial"/>
        <family val="0"/>
        <charset val="1"/>
      </rPr>
      <t xml:space="preserve">).</t>
    </r>
  </si>
  <si>
    <t xml:space="preserve">하원 400석·상원 200석, 소선거구+비례 혼합(legge 165/2017), 명부 문턱 3%·연합 10%</t>
  </si>
  <si>
    <t xml:space="preserve">La prima seduta delle Camere</t>
  </si>
  <si>
    <t xml:space="preserve">개원</t>
  </si>
  <si>
    <t xml:space="preserve">하원의장 선출, CC 교섭단체 구성. 초선 의원들의 첫 좌석.</t>
  </si>
  <si>
    <t xml:space="preserve">개원, 의장단(Ufficio di Presidenza), 교섭단체(gruppo parlamentare) 요건</t>
  </si>
  <si>
    <t xml:space="preserve">Marco, Alessandro</t>
  </si>
  <si>
    <t xml:space="preserve">Le consultazioni</t>
  </si>
  <si>
    <t xml:space="preserve">대통령 협의</t>
  </si>
  <si>
    <r>
      <rPr>
        <sz val="10"/>
        <rFont val="Arial"/>
        <family val="0"/>
        <charset val="1"/>
      </rPr>
      <t xml:space="preserve">Quirinale</t>
    </r>
    <r>
      <rPr>
        <sz val="10"/>
        <rFont val="WenQuanYi Zen Hei"/>
        <family val="2"/>
      </rPr>
      <t xml:space="preserve">에서 대통령이 각 정당 대표와 면담한다</t>
    </r>
    <r>
      <rPr>
        <sz val="10"/>
        <rFont val="Arial"/>
        <family val="0"/>
        <charset val="1"/>
      </rPr>
      <t xml:space="preserve">. </t>
    </r>
    <r>
      <rPr>
        <sz val="10"/>
        <rFont val="WenQuanYi Zen Hei"/>
        <family val="2"/>
      </rPr>
      <t xml:space="preserve">옛 교황의 궁에 들어선 </t>
    </r>
    <r>
      <rPr>
        <sz val="10"/>
        <rFont val="Arial"/>
        <family val="0"/>
        <charset val="1"/>
      </rPr>
      <t xml:space="preserve">Garibaldi</t>
    </r>
    <r>
      <rPr>
        <sz val="10"/>
        <rFont val="WenQuanYi Zen Hei"/>
        <family val="2"/>
      </rPr>
      <t xml:space="preserve">가 정장을 입고 어색해한다</t>
    </r>
    <r>
      <rPr>
        <sz val="10"/>
        <rFont val="Arial"/>
        <family val="0"/>
        <charset val="1"/>
      </rPr>
      <t xml:space="preserve">.</t>
    </r>
  </si>
  <si>
    <t xml:space="preserve">대통령이 협의 후 총리 후보에게 조각 위임(incarico, 헌법 제92조)</t>
  </si>
  <si>
    <t xml:space="preserve">Marco, Cesare, Garibaldi</t>
  </si>
  <si>
    <t xml:space="preserve">La prima fiducia</t>
  </si>
  <si>
    <t xml:space="preserve">첫 신임 투표</t>
  </si>
  <si>
    <r>
      <rPr>
        <sz val="10"/>
        <rFont val="Arial"/>
        <family val="0"/>
        <charset val="1"/>
      </rPr>
      <t xml:space="preserve">UCN </t>
    </r>
    <r>
      <rPr>
        <sz val="10"/>
        <rFont val="WenQuanYi Zen Hei"/>
        <family val="2"/>
      </rPr>
      <t xml:space="preserve">지도자가 조각 위임을 받아 선서까지 하지만</t>
    </r>
    <r>
      <rPr>
        <sz val="10"/>
        <rFont val="Arial"/>
        <family val="0"/>
        <charset val="1"/>
      </rPr>
      <t xml:space="preserve">, </t>
    </r>
    <r>
      <rPr>
        <sz val="10"/>
        <rFont val="WenQuanYi Zen Hei"/>
        <family val="2"/>
      </rPr>
      <t xml:space="preserve">하원 신임 투표에서 부결된다</t>
    </r>
    <r>
      <rPr>
        <sz val="10"/>
        <rFont val="Arial"/>
        <family val="0"/>
        <charset val="1"/>
      </rPr>
      <t xml:space="preserve">. Cesare</t>
    </r>
    <r>
      <rPr>
        <sz val="10"/>
        <rFont val="WenQuanYi Zen Hei"/>
        <family val="2"/>
      </rPr>
      <t xml:space="preserve">의 해설</t>
    </r>
    <r>
      <rPr>
        <sz val="10"/>
        <rFont val="Arial"/>
        <family val="0"/>
        <charset val="1"/>
      </rPr>
      <t xml:space="preserve">.</t>
    </r>
  </si>
  <si>
    <t xml:space="preserve">정부는 선서 후 10일 안에 양원 신임 필요(헌법 제94조), 신임은 찬성이 반대보다 많아야 함</t>
  </si>
  <si>
    <t xml:space="preserve">Cesare, Marco, Machiavelli</t>
  </si>
  <si>
    <t xml:space="preserve">Il mandato esplorativo</t>
  </si>
  <si>
    <t xml:space="preserve">탐색 위임</t>
  </si>
  <si>
    <t xml:space="preserve">대통령이 상원의장에게 탐색 위임을 주지만 다수파가 나오지 않는다. 시간만 흐르고 Casa Comune 내부의 원칙 논쟁.</t>
  </si>
  <si>
    <t xml:space="preserve">탐색 위임(mandato esplorativo, 헌정 관행), 사퇴한 정부의 일상 업무 처리(affari correnti)</t>
  </si>
  <si>
    <t xml:space="preserve">Marco, Paolo, Chiara, Machiavelli</t>
  </si>
  <si>
    <t xml:space="preserve">Di nuovo alle urne</t>
  </si>
  <si>
    <t xml:space="preserve">다시 투표소로</t>
  </si>
  <si>
    <t xml:space="preserve">대통령이 다시 해산한다. 지친 유권자, 짧아진 준비. Rosa의 위로.</t>
  </si>
  <si>
    <t xml:space="preserve">해산은 양원 의장 의견 청취 후(헌법 제88조), 70일 이내 선거</t>
  </si>
  <si>
    <t xml:space="preserve">Rosa, Chiara</t>
  </si>
  <si>
    <t xml:space="preserve">La notte elettorale II</t>
  </si>
  <si>
    <t xml:space="preserve">총선의 밤 (2차)</t>
  </si>
  <si>
    <r>
      <rPr>
        <sz val="10"/>
        <rFont val="Arial"/>
        <family val="0"/>
        <charset val="1"/>
      </rPr>
      <t xml:space="preserve">CC </t>
    </r>
    <r>
      <rPr>
        <sz val="10"/>
        <rFont val="WenQuanYi Zen Hei"/>
        <family val="2"/>
      </rPr>
      <t xml:space="preserve">하원 </t>
    </r>
    <r>
      <rPr>
        <sz val="10"/>
        <rFont val="Arial"/>
        <family val="0"/>
        <charset val="1"/>
      </rPr>
      <t xml:space="preserve">130</t>
    </r>
    <r>
      <rPr>
        <sz val="10"/>
        <rFont val="WenQuanYi Zen Hei"/>
        <family val="2"/>
      </rPr>
      <t xml:space="preserve">석 </t>
    </r>
    <r>
      <rPr>
        <sz val="10"/>
        <rFont val="Arial"/>
        <family val="0"/>
        <charset val="1"/>
      </rPr>
      <t xml:space="preserve">1</t>
    </r>
    <r>
      <rPr>
        <sz val="10"/>
        <rFont val="WenQuanYi Zen Hei"/>
        <family val="2"/>
      </rPr>
      <t xml:space="preserve">당</t>
    </r>
    <r>
      <rPr>
        <sz val="10"/>
        <rFont val="Arial"/>
        <family val="0"/>
        <charset val="1"/>
      </rPr>
      <t xml:space="preserve">, </t>
    </r>
    <r>
      <rPr>
        <sz val="10"/>
        <rFont val="WenQuanYi Zen Hei"/>
        <family val="2"/>
      </rPr>
      <t xml:space="preserve">그러나 과반은 아니다 </t>
    </r>
    <r>
      <rPr>
        <sz val="10"/>
        <rFont val="Arial"/>
        <family val="0"/>
        <charset val="1"/>
      </rPr>
      <t xml:space="preserve">(</t>
    </r>
    <r>
      <rPr>
        <sz val="10"/>
        <rFont val="WenQuanYi Zen Hei"/>
        <family val="2"/>
      </rPr>
      <t xml:space="preserve">가상 수치</t>
    </r>
    <r>
      <rPr>
        <sz val="10"/>
        <rFont val="Arial"/>
        <family val="0"/>
        <charset val="1"/>
      </rPr>
      <t xml:space="preserve">).</t>
    </r>
  </si>
  <si>
    <t xml:space="preserve">하원 과반 201석 미달 → 연정 협상</t>
  </si>
  <si>
    <t xml:space="preserve">Le trattative</t>
  </si>
  <si>
    <t xml:space="preserve">연정 협상</t>
  </si>
  <si>
    <r>
      <rPr>
        <sz val="10"/>
        <rFont val="Arial"/>
        <family val="0"/>
        <charset val="1"/>
      </rPr>
      <t xml:space="preserve">PPS·</t>
    </r>
    <r>
      <rPr>
        <sz val="10"/>
        <rFont val="WenQuanYi Zen Hei"/>
        <family val="2"/>
      </rPr>
      <t xml:space="preserve">지역정당 연합과 협상</t>
    </r>
    <r>
      <rPr>
        <sz val="10"/>
        <rFont val="Arial"/>
        <family val="0"/>
        <charset val="1"/>
      </rPr>
      <t xml:space="preserve">. TB</t>
    </r>
    <r>
      <rPr>
        <sz val="10"/>
        <rFont val="WenQuanYi Zen Hei"/>
        <family val="2"/>
      </rPr>
      <t xml:space="preserve">는 북부 주들의 차등 자치 가속을 조건으로 건다</t>
    </r>
    <r>
      <rPr>
        <sz val="10"/>
        <rFont val="Arial"/>
        <family val="0"/>
        <charset val="1"/>
      </rPr>
      <t xml:space="preserve">. Garibaldi</t>
    </r>
    <r>
      <rPr>
        <sz val="10"/>
        <rFont val="WenQuanYi Zen Hei"/>
        <family val="2"/>
      </rPr>
      <t xml:space="preserve">가 </t>
    </r>
    <r>
      <rPr>
        <sz val="10"/>
        <rFont val="Arial"/>
        <family val="0"/>
        <charset val="1"/>
      </rPr>
      <t xml:space="preserve">'</t>
    </r>
    <r>
      <rPr>
        <sz val="10"/>
        <rFont val="WenQuanYi Zen Hei"/>
        <family val="2"/>
      </rPr>
      <t xml:space="preserve">나라를 다시 쪼갤 셈이냐</t>
    </r>
    <r>
      <rPr>
        <sz val="10"/>
        <rFont val="Arial"/>
        <family val="0"/>
        <charset val="1"/>
      </rPr>
      <t xml:space="preserve">'</t>
    </r>
    <r>
      <rPr>
        <sz val="10"/>
        <rFont val="WenQuanYi Zen Hei"/>
        <family val="2"/>
      </rPr>
      <t xml:space="preserve">며 정색한다</t>
    </r>
    <r>
      <rPr>
        <sz val="10"/>
        <rFont val="Arial"/>
        <family val="0"/>
        <charset val="1"/>
      </rPr>
      <t xml:space="preserve">. Francesco·Alessandro</t>
    </r>
    <r>
      <rPr>
        <sz val="10"/>
        <rFont val="WenQuanYi Zen Hei"/>
        <family val="2"/>
      </rPr>
      <t xml:space="preserve">가 비용을 추산하고 </t>
    </r>
    <r>
      <rPr>
        <sz val="10"/>
        <rFont val="Arial"/>
        <family val="0"/>
        <charset val="1"/>
      </rPr>
      <t xml:space="preserve">Machiavelli</t>
    </r>
    <r>
      <rPr>
        <sz val="10"/>
        <rFont val="WenQuanYi Zen Hei"/>
        <family val="2"/>
      </rPr>
      <t xml:space="preserve">가 협상 테이블을 설계한다</t>
    </r>
    <r>
      <rPr>
        <sz val="10"/>
        <rFont val="Arial"/>
        <family val="0"/>
        <charset val="1"/>
      </rPr>
      <t xml:space="preserve">.</t>
    </r>
  </si>
  <si>
    <t xml:space="preserve">연정 협약(accordo di coalizione), 차등 자치(legge 86/2024)·필수 급부 수준(LEP)</t>
  </si>
  <si>
    <t xml:space="preserve">Chiara, Alessandro, Francesco, Machiavelli, Garibaldi</t>
  </si>
  <si>
    <t xml:space="preserve">P2·P3·P1</t>
  </si>
  <si>
    <t xml:space="preserve">Il voto decisivo</t>
  </si>
  <si>
    <t xml:space="preserve">결정적 한 표</t>
  </si>
  <si>
    <t xml:space="preserve">대통령의 조각 위임 → Quirinale 선서 → 하원 신임 통과. 상원에서는 TB가 반대로 돌아서며 102 대 101, 종신 상원의원 표로 1표 차 통과.</t>
  </si>
  <si>
    <t xml:space="preserve">선서 문구(«Giuro di essere fedele alla Repubblica…»), 호명 투표(appello nominale), 종신 상원의원(senatori a vita)</t>
  </si>
  <si>
    <r>
      <rPr>
        <sz val="10"/>
        <rFont val="Arial"/>
        <family val="0"/>
        <charset val="1"/>
      </rPr>
      <t xml:space="preserve">Marco, </t>
    </r>
    <r>
      <rPr>
        <sz val="10"/>
        <rFont val="WenQuanYi Zen Hei"/>
        <family val="2"/>
      </rPr>
      <t xml:space="preserve">상원의장</t>
    </r>
    <r>
      <rPr>
        <sz val="10"/>
        <rFont val="Arial"/>
        <family val="0"/>
        <charset val="1"/>
      </rPr>
      <t xml:space="preserve">(</t>
    </r>
    <r>
      <rPr>
        <sz val="10"/>
        <rFont val="WenQuanYi Zen Hei"/>
        <family val="2"/>
      </rPr>
      <t xml:space="preserve">가상</t>
    </r>
    <r>
      <rPr>
        <sz val="10"/>
        <rFont val="Arial"/>
        <family val="0"/>
        <charset val="1"/>
      </rPr>
      <t xml:space="preserve">)</t>
    </r>
  </si>
  <si>
    <t xml:space="preserve">Il primo ostacolo</t>
  </si>
  <si>
    <t xml:space="preserve">첫 번째 벽</t>
  </si>
  <si>
    <r>
      <rPr>
        <sz val="10"/>
        <rFont val="Noto Sans CJK SC"/>
        <family val="2"/>
        <charset val="1"/>
      </rPr>
      <t xml:space="preserve">Palazzo Chigi</t>
    </r>
    <r>
      <rPr>
        <sz val="10"/>
        <rFont val="WenQuanYi Zen Hei"/>
        <family val="2"/>
      </rPr>
      <t xml:space="preserve">의 첫 국무회의</t>
    </r>
    <r>
      <rPr>
        <sz val="10"/>
        <rFont val="Noto Sans CJK SC"/>
        <family val="2"/>
        <charset val="1"/>
      </rPr>
      <t xml:space="preserve">. </t>
    </r>
    <r>
      <rPr>
        <sz val="10"/>
        <rFont val="WenQuanYi Zen Hei"/>
        <family val="2"/>
      </rPr>
      <t xml:space="preserve">첫날의 어색함</t>
    </r>
    <r>
      <rPr>
        <sz val="10"/>
        <rFont val="Noto Sans CJK SC"/>
        <family val="2"/>
        <charset val="1"/>
      </rPr>
      <t xml:space="preserve">. </t>
    </r>
    <r>
      <rPr>
        <sz val="10"/>
        <rFont val="WenQuanYi Zen Hei"/>
        <family val="2"/>
      </rPr>
      <t xml:space="preserve">임대료 시위가 </t>
    </r>
    <r>
      <rPr>
        <sz val="10"/>
        <rFont val="Noto Sans CJK SC"/>
        <family val="2"/>
        <charset val="1"/>
      </rPr>
      <t xml:space="preserve">Piazza Colonna</t>
    </r>
    <r>
      <rPr>
        <sz val="10"/>
        <rFont val="WenQuanYi Zen Hei"/>
        <family val="2"/>
      </rPr>
      <t xml:space="preserve">까지 온다</t>
    </r>
    <r>
      <rPr>
        <sz val="10"/>
        <rFont val="Noto Sans CJK SC"/>
        <family val="2"/>
        <charset val="1"/>
      </rPr>
      <t xml:space="preserve">.</t>
    </r>
  </si>
  <si>
    <t xml:space="preserve">국무회의(Consiglio dei Ministri), 장관 임명 대통령령, legge 400/1988</t>
  </si>
  <si>
    <t xml:space="preserve">Marco, Chiara</t>
  </si>
  <si>
    <t xml:space="preserve">P1·E1</t>
  </si>
  <si>
    <t xml:space="preserve">Padroni invisibili</t>
  </si>
  <si>
    <t xml:space="preserve">보이지 않는 집주인들</t>
  </si>
  <si>
    <r>
      <rPr>
        <sz val="10"/>
        <rFont val="Arial"/>
        <family val="0"/>
        <charset val="1"/>
      </rPr>
      <t xml:space="preserve">Alessandro·Francesco</t>
    </r>
    <r>
      <rPr>
        <sz val="10"/>
        <rFont val="WenQuanYi Zen Hei"/>
        <family val="2"/>
      </rPr>
      <t xml:space="preserve">가 사모펀드의 주택 매입을 부동산 투자펀드</t>
    </r>
    <r>
      <rPr>
        <sz val="10"/>
        <rFont val="Arial"/>
        <family val="0"/>
        <charset val="1"/>
      </rPr>
      <t xml:space="preserve">·</t>
    </r>
    <r>
      <rPr>
        <sz val="10"/>
        <rFont val="WenQuanYi Zen Hei"/>
        <family val="2"/>
      </rPr>
      <t xml:space="preserve">상장 부동산회사</t>
    </r>
    <r>
      <rPr>
        <sz val="10"/>
        <rFont val="Arial"/>
        <family val="0"/>
        <charset val="1"/>
      </rPr>
      <t xml:space="preserve">(SIIQ)·</t>
    </r>
    <r>
      <rPr>
        <sz val="10"/>
        <rFont val="WenQuanYi Zen Hei"/>
        <family val="2"/>
      </rPr>
      <t xml:space="preserve">자회사 구조로 추적한다</t>
    </r>
    <r>
      <rPr>
        <sz val="10"/>
        <rFont val="Arial"/>
        <family val="0"/>
        <charset val="1"/>
      </rPr>
      <t xml:space="preserve">.</t>
    </r>
  </si>
  <si>
    <t xml:space="preserve">실소유자 등록부(titolare effettivo, d.lgs. 231/2007), 기업 등록부(Registro delle imprese)</t>
  </si>
  <si>
    <t xml:space="preserve">La legge sulla casa</t>
  </si>
  <si>
    <t xml:space="preserve">주거법</t>
  </si>
  <si>
    <t xml:space="preserve">주거법 개정안: Marco가 과거에 쓰던 '리모델링 갱신 거절' 남용을 막고 단기 관광임대를 규율한다. 그러나 관광은 주 권한, 도시계획은 공동 권한이라 Regione Lazio가 헌법재판소 제소를 예고한다.</t>
  </si>
  <si>
    <t xml:space="preserve">국가–주 권한 배분(헌법 제117조), legge 431/1998 개정, 단기임대 CIN 코드(d.l. 145/2023), 주의 헌법재판소 제소(헌법 제127조)</t>
  </si>
  <si>
    <t xml:space="preserve">Marco, Gramsci</t>
  </si>
  <si>
    <t xml:space="preserve">Pronto soccorso al collasso</t>
  </si>
  <si>
    <t xml:space="preserve">응급실 마비</t>
  </si>
  <si>
    <t xml:space="preserve">폭염이 겹쳐 고령 환자가 몰린 응급실이 마비된다. Giulia가 현장으로 달려가지만 병원 운영·외주 계약은 주(Regione)와 ASL 권한임을 다시 배운다. 정부가 쓸 수 있는 수단은 법 개정, 국가 보건기금 배분 조건, 필수 의료 수준(LEA), 국가–주 협의회.</t>
  </si>
  <si>
    <t xml:space="preserve">주 보건서비스(SSR)·ASL, 필수 의료 수준(LEA), 국가–주 협의회(Conferenza Stato-Regioni), 보건 협약(Patto per la Salute)</t>
  </si>
  <si>
    <t xml:space="preserve">Giulia, Sofia, Montessori, Marco</t>
  </si>
  <si>
    <t xml:space="preserve">S3·S4</t>
  </si>
  <si>
    <t xml:space="preserve">La ripartizione</t>
  </si>
  <si>
    <t xml:space="preserve">분담</t>
  </si>
  <si>
    <t xml:space="preserve">람페두사 등 도착 지역의 수용 시설이 한계에 달하고, 보호자 없는 미성년자(MSNA) 비용을 두고 지자체와 내무부가 서로 떠넘긴다. 국무회의가 분산 수용을 추진하자 Rosa가 Testaccio·Esquilino 이웃들의 이야기를 꺼낸다.</t>
  </si>
  <si>
    <t xml:space="preserve">이민 통합법(d.lgs. 286/1998), 수용 체계(CAS·SAI), 보호자 없는 미성년자 보호(legge 47/2017), 국가–지자체 협의회(Conferenza Unificata)</t>
  </si>
  <si>
    <t xml:space="preserve">Marco, Rosa, Giulia, Paolo</t>
  </si>
  <si>
    <t xml:space="preserve">La voce dei giovani</t>
  </si>
  <si>
    <t xml:space="preserve">청년들의 목소리</t>
  </si>
  <si>
    <t xml:space="preserve">청년 고용·무급 인턴 처우와 법정 최저임금 협상. Cesare가 Sofia의 청년 정책안을 놓고 평소처럼 투덜대며 조언한다. 아직은 죽지 않지만 계단을 오르며 살짝 숨이 가쁜 게 보인다.</t>
  </si>
  <si>
    <t xml:space="preserve">사회적 대화: 정부·노조(CGIL·CISL·UIL)·경영계, 법정 최저임금 부재와 단체협약</t>
  </si>
  <si>
    <t xml:space="preserve">Sofia, Cesare, Paolo</t>
  </si>
  <si>
    <t xml:space="preserve">Il cartello dei prezzi</t>
  </si>
  <si>
    <t xml:space="preserve">가격 카르텔</t>
  </si>
  <si>
    <t xml:space="preserve">도청 자료를 쓰자는 Gramsci vs 합법 경로만 쓰겠다는 Marco. 아직 살아 있는 Cesare가 둘의 다툼을 지켜보며 «합법이 이기는 데는 시간이 걸리지만, 이기고 나면 아무도 뒤집지 못하지»라고 거든다.</t>
  </si>
  <si>
    <t xml:space="preserve">공정거래위원회(AGCM, legge 287/1990) 조사, 사용할 수 없는 증거, 감청은 판사 허가(형사소송법 제266조 이하)</t>
  </si>
  <si>
    <t xml:space="preserve">Gramsci, Marco, Galileo, Cesare</t>
  </si>
  <si>
    <t xml:space="preserve">La tassa sui giganti</t>
  </si>
  <si>
    <t xml:space="preserve">거인들에게 매기는 세금</t>
  </si>
  <si>
    <t xml:space="preserve">횡재세를 긴급 명령(decreto-legge)으로 기습 발표하면 시장이 흔들린다(2023년 은행 횡재세 선례). 60일 안의 법률 전환 과정에서 수정되는 정치. 걷힌 돈을 전기요금과 에너지 전환에 어떻게 나눌지, 재생에너지 입지 갈등의 재원 문제도 얽힌다. 재계·은행의 반발과 계좌 동결 시도를 Francesco가 막는다.</t>
  </si>
  <si>
    <r>
      <rPr>
        <sz val="10"/>
        <rFont val="Noto Sans CJK SC"/>
        <family val="2"/>
        <charset val="1"/>
      </rPr>
      <t xml:space="preserve">decreto-legge</t>
    </r>
    <r>
      <rPr>
        <sz val="10"/>
        <rFont val="WenQuanYi Zen Hei"/>
        <family val="2"/>
      </rPr>
      <t xml:space="preserve">와 </t>
    </r>
    <r>
      <rPr>
        <sz val="10"/>
        <rFont val="Noto Sans CJK SC"/>
        <family val="2"/>
        <charset val="1"/>
      </rPr>
      <t xml:space="preserve">60</t>
    </r>
    <r>
      <rPr>
        <sz val="10"/>
        <rFont val="WenQuanYi Zen Hei"/>
        <family val="2"/>
      </rPr>
      <t xml:space="preserve">일 내 법률 전환</t>
    </r>
    <r>
      <rPr>
        <sz val="10"/>
        <rFont val="Noto Sans CJK SC"/>
        <family val="2"/>
        <charset val="1"/>
      </rPr>
      <t xml:space="preserve">(</t>
    </r>
    <r>
      <rPr>
        <sz val="10"/>
        <rFont val="WenQuanYi Zen Hei"/>
        <family val="2"/>
      </rPr>
      <t xml:space="preserve">헌법 제</t>
    </r>
    <r>
      <rPr>
        <sz val="10"/>
        <rFont val="Noto Sans CJK SC"/>
        <family val="2"/>
        <charset val="1"/>
      </rPr>
      <t xml:space="preserve">77</t>
    </r>
    <r>
      <rPr>
        <sz val="10"/>
        <rFont val="WenQuanYi Zen Hei"/>
        <family val="2"/>
      </rPr>
      <t xml:space="preserve">조</t>
    </r>
    <r>
      <rPr>
        <sz val="10"/>
        <rFont val="Noto Sans CJK SC"/>
        <family val="2"/>
        <charset val="1"/>
      </rPr>
      <t xml:space="preserve">), </t>
    </r>
    <r>
      <rPr>
        <sz val="10"/>
        <rFont val="WenQuanYi Zen Hei"/>
        <family val="2"/>
      </rPr>
      <t xml:space="preserve">은행 횡재세 선례</t>
    </r>
    <r>
      <rPr>
        <sz val="10"/>
        <rFont val="Noto Sans CJK SC"/>
        <family val="2"/>
        <charset val="1"/>
      </rPr>
      <t xml:space="preserve">(d.l. 104/2023), </t>
    </r>
    <r>
      <rPr>
        <sz val="10"/>
        <rFont val="WenQuanYi Zen Hei"/>
        <family val="2"/>
      </rPr>
      <t xml:space="preserve">에너지 기업 특별 부담금</t>
    </r>
  </si>
  <si>
    <t xml:space="preserve">Alessandro, Francesco, Marco</t>
  </si>
  <si>
    <t xml:space="preserve">N5·S4</t>
  </si>
  <si>
    <t xml:space="preserve">Verso Bruxelles</t>
  </si>
  <si>
    <t xml:space="preserve">브뤼셀로 가는 길</t>
  </si>
  <si>
    <r>
      <rPr>
        <sz val="10"/>
        <rFont val="Arial"/>
        <family val="0"/>
        <charset val="1"/>
      </rPr>
      <t xml:space="preserve">NATO 5% </t>
    </r>
    <r>
      <rPr>
        <sz val="10"/>
        <rFont val="WenQuanYi Zen Hei"/>
        <family val="2"/>
      </rPr>
      <t xml:space="preserve">목표</t>
    </r>
    <r>
      <rPr>
        <sz val="10"/>
        <rFont val="Arial"/>
        <family val="0"/>
        <charset val="1"/>
      </rPr>
      <t xml:space="preserve">(2035</t>
    </r>
    <r>
      <rPr>
        <sz val="10"/>
        <rFont val="WenQuanYi Zen Hei"/>
        <family val="2"/>
      </rPr>
      <t xml:space="preserve">년 시한</t>
    </r>
    <r>
      <rPr>
        <sz val="10"/>
        <rFont val="Arial"/>
        <family val="0"/>
        <charset val="1"/>
      </rPr>
      <t xml:space="preserve">) </t>
    </r>
    <r>
      <rPr>
        <sz val="10"/>
        <rFont val="WenQuanYi Zen Hei"/>
        <family val="2"/>
      </rPr>
      <t xml:space="preserve">이행 경로와 </t>
    </r>
    <r>
      <rPr>
        <sz val="10"/>
        <rFont val="Arial"/>
        <family val="0"/>
        <charset val="1"/>
      </rPr>
      <t xml:space="preserve">EU </t>
    </r>
    <r>
      <rPr>
        <sz val="10"/>
        <rFont val="WenQuanYi Zen Hei"/>
        <family val="2"/>
      </rPr>
      <t xml:space="preserve">과도한 재정적자 절차가 겹친 대표단이 꾸려진다</t>
    </r>
    <r>
      <rPr>
        <sz val="10"/>
        <rFont val="Arial"/>
        <family val="0"/>
        <charset val="1"/>
      </rPr>
      <t xml:space="preserve">. Cesare</t>
    </r>
    <r>
      <rPr>
        <sz val="10"/>
        <rFont val="WenQuanYi Zen Hei"/>
        <family val="2"/>
      </rPr>
      <t xml:space="preserve">가 </t>
    </r>
    <r>
      <rPr>
        <sz val="10"/>
        <rFont val="Arial"/>
        <family val="0"/>
        <charset val="1"/>
      </rPr>
      <t xml:space="preserve">«Cesare andrà.»</t>
    </r>
    <r>
      <rPr>
        <sz val="10"/>
        <rFont val="WenQuanYi Zen Hei"/>
        <family val="2"/>
      </rPr>
      <t xml:space="preserve">라고 자원한다 — </t>
    </r>
    <r>
      <rPr>
        <sz val="10"/>
        <rFont val="Arial"/>
        <family val="0"/>
        <charset val="1"/>
      </rPr>
      <t xml:space="preserve">2</t>
    </r>
    <r>
      <rPr>
        <sz val="10"/>
        <rFont val="WenQuanYi Zen Hei"/>
        <family val="2"/>
      </rPr>
      <t xml:space="preserve">천 년 만에 다시 협상 테이블에 앉는 순간</t>
    </r>
    <r>
      <rPr>
        <sz val="10"/>
        <rFont val="Arial"/>
        <family val="0"/>
        <charset val="1"/>
      </rPr>
      <t xml:space="preserve">. </t>
    </r>
    <r>
      <rPr>
        <sz val="10"/>
        <rFont val="WenQuanYi Zen Hei"/>
        <family val="2"/>
      </rPr>
      <t xml:space="preserve">짐을 싸며 </t>
    </r>
    <r>
      <rPr>
        <sz val="10"/>
        <rFont val="Arial"/>
        <family val="0"/>
        <charset val="1"/>
      </rPr>
      <t xml:space="preserve">Dante</t>
    </r>
    <r>
      <rPr>
        <sz val="10"/>
        <rFont val="WenQuanYi Zen Hei"/>
        <family val="2"/>
      </rPr>
      <t xml:space="preserve">에게 자신이 본 두 종류의 지도자를 회상한다</t>
    </r>
    <r>
      <rPr>
        <sz val="10"/>
        <rFont val="Arial"/>
        <family val="0"/>
        <charset val="1"/>
      </rPr>
      <t xml:space="preserve">: </t>
    </r>
    <r>
      <rPr>
        <sz val="10"/>
        <rFont val="WenQuanYi Zen Hei"/>
        <family val="2"/>
      </rPr>
      <t xml:space="preserve">건물에 금박 이름을 새기던 사업가 출신으로 이제 관세를 무기 삼아 카메라 앞에서 소리치는 인물</t>
    </r>
    <r>
      <rPr>
        <sz val="10"/>
        <rFont val="Arial"/>
        <family val="0"/>
        <charset val="1"/>
      </rPr>
      <t xml:space="preserve">, </t>
    </r>
    <r>
      <rPr>
        <sz val="10"/>
        <rFont val="WenQuanYi Zen Hei"/>
        <family val="2"/>
      </rPr>
      <t xml:space="preserve">그리고 정보기관에서 </t>
    </r>
    <r>
      <rPr>
        <sz val="10"/>
        <rFont val="Arial"/>
        <family val="0"/>
        <charset val="1"/>
      </rPr>
      <t xml:space="preserve">30</t>
    </r>
    <r>
      <rPr>
        <sz val="10"/>
        <rFont val="WenQuanYi Zen Hei"/>
        <family val="2"/>
      </rPr>
      <t xml:space="preserve">년을 보낸 뒤 </t>
    </r>
    <r>
      <rPr>
        <sz val="10"/>
        <rFont val="Arial"/>
        <family val="0"/>
        <charset val="1"/>
      </rPr>
      <t xml:space="preserve">'</t>
    </r>
    <r>
      <rPr>
        <sz val="10"/>
        <rFont val="WenQuanYi Zen Hei"/>
        <family val="2"/>
      </rPr>
      <t xml:space="preserve">민주주의</t>
    </r>
    <r>
      <rPr>
        <sz val="10"/>
        <rFont val="Arial"/>
        <family val="0"/>
        <charset val="1"/>
      </rPr>
      <t xml:space="preserve">'</t>
    </r>
    <r>
      <rPr>
        <sz val="10"/>
        <rFont val="WenQuanYi Zen Hei"/>
        <family val="2"/>
      </rPr>
      <t xml:space="preserve">라 부르는 자리에 눌러앉아 이웃 나라 땅을 가져간 인물</t>
    </r>
    <r>
      <rPr>
        <sz val="10"/>
        <rFont val="Arial"/>
        <family val="0"/>
        <charset val="1"/>
      </rPr>
      <t xml:space="preserve">. </t>
    </r>
    <r>
      <rPr>
        <sz val="10"/>
        <rFont val="WenQuanYi Zen Hei"/>
        <family val="2"/>
      </rPr>
      <t xml:space="preserve">이름도 국가도 끝내 말하지 않는다</t>
    </r>
    <r>
      <rPr>
        <sz val="10"/>
        <rFont val="Arial"/>
        <family val="0"/>
        <charset val="1"/>
      </rPr>
      <t xml:space="preserve">(</t>
    </r>
    <r>
      <rPr>
        <sz val="10"/>
        <rFont val="WenQuanYi Zen Hei"/>
        <family val="2"/>
      </rPr>
      <t xml:space="preserve">실존 인물 실명 미사용</t>
    </r>
    <r>
      <rPr>
        <sz val="10"/>
        <rFont val="Arial"/>
        <family val="0"/>
        <charset val="1"/>
      </rPr>
      <t xml:space="preserve">, </t>
    </r>
    <r>
      <rPr>
        <sz val="10"/>
        <rFont val="WenQuanYi Zen Hei"/>
        <family val="2"/>
      </rPr>
      <t xml:space="preserve">특징 묘사로만</t>
    </r>
    <r>
      <rPr>
        <sz val="10"/>
        <rFont val="Arial"/>
        <family val="0"/>
        <charset val="1"/>
      </rPr>
      <t xml:space="preserve">).</t>
    </r>
  </si>
  <si>
    <r>
      <rPr>
        <sz val="10"/>
        <rFont val="Arial"/>
        <family val="0"/>
        <charset val="1"/>
      </rPr>
      <t xml:space="preserve">NATO </t>
    </r>
    <r>
      <rPr>
        <sz val="10"/>
        <rFont val="WenQuanYi Zen Hei"/>
        <family val="2"/>
      </rPr>
      <t xml:space="preserve">방위비 목표</t>
    </r>
    <r>
      <rPr>
        <sz val="10"/>
        <rFont val="Arial"/>
        <family val="0"/>
        <charset val="1"/>
      </rPr>
      <t xml:space="preserve">(2025 </t>
    </r>
    <r>
      <rPr>
        <sz val="10"/>
        <rFont val="WenQuanYi Zen Hei"/>
        <family val="2"/>
      </rPr>
      <t xml:space="preserve">헤이그 합의</t>
    </r>
    <r>
      <rPr>
        <sz val="10"/>
        <rFont val="Arial"/>
        <family val="0"/>
        <charset val="1"/>
      </rPr>
      <t xml:space="preserve">, 5%·2035</t>
    </r>
    <r>
      <rPr>
        <sz val="10"/>
        <rFont val="WenQuanYi Zen Hei"/>
        <family val="2"/>
      </rPr>
      <t xml:space="preserve">년</t>
    </r>
    <r>
      <rPr>
        <sz val="10"/>
        <rFont val="Arial"/>
        <family val="0"/>
        <charset val="1"/>
      </rPr>
      <t xml:space="preserve">), EU </t>
    </r>
    <r>
      <rPr>
        <sz val="10"/>
        <rFont val="WenQuanYi Zen Hei"/>
        <family val="2"/>
      </rPr>
      <t xml:space="preserve">재정규칙의 국방비 예외 조항</t>
    </r>
    <r>
      <rPr>
        <sz val="10"/>
        <rFont val="Arial"/>
        <family val="0"/>
        <charset val="1"/>
      </rPr>
      <t xml:space="preserve">, </t>
    </r>
    <r>
      <rPr>
        <sz val="10"/>
        <rFont val="WenQuanYi Zen Hei"/>
        <family val="2"/>
      </rPr>
      <t xml:space="preserve">대표단 구성</t>
    </r>
  </si>
  <si>
    <t xml:space="preserve">Cesare, Dante, Alessandro</t>
  </si>
  <si>
    <t xml:space="preserve">N3</t>
  </si>
  <si>
    <t xml:space="preserve">Il tavolo di Bruxelles</t>
  </si>
  <si>
    <t xml:space="preserve">브뤼셀의 테이블</t>
  </si>
  <si>
    <t xml:space="preserve">직접 협상. 상대측 인사(가상)가 «이탈리아는 항상 약속만 하고 지키지 않았다»고 과장하자 Cesare가 상대가 인용한 합의문의 날짜와 조항을 정확히 짚어 반박한다. «Horum omnium fortissimi sunt Belgae»로 긴장을 풀고, «Mi permetta una precisazione»로 3.5% 핵심 방위비의 검증 가능한 단계 경로와 국방비의 재정규칙상 유연성을 맞바꾸는 절충을 이끈다.</t>
  </si>
  <si>
    <t xml:space="preserve">과도한 재정적자 절차(TFUE 제126조), 국가 예외 조항, NATO 이행 점검(2029), ECOFIN</t>
  </si>
  <si>
    <t xml:space="preserve">Cesare, Alessandro, Dante</t>
  </si>
  <si>
    <t xml:space="preserve">Il trionfo e la stanchezza</t>
  </si>
  <si>
    <t xml:space="preserve">승리와 피로</t>
  </si>
  <si>
    <t xml:space="preserve">협상 타결: 재정 유연성 확보 + 국방비의 단계적·검증 가능한 증액. 귀국 비행기에서 Cesare가 지친 기색을 숨기며 Alessandro에게 메모를 남기라고 한다.</t>
  </si>
  <si>
    <t xml:space="preserve">협상 결과의 국내 반영 절차, 예산 반영 일정</t>
  </si>
  <si>
    <t xml:space="preserve">Cesare, Alessandro, Garibaldi</t>
  </si>
  <si>
    <t xml:space="preserve">결말(사망)</t>
  </si>
  <si>
    <t xml:space="preserve">Un'ultima precisazione</t>
  </si>
  <si>
    <t xml:space="preserve">마지막 각주 하나</t>
  </si>
  <si>
    <t xml:space="preserve">귀국 직후, Testaccio 자택에서 심부전으로 두 번째 죽음을 맞는다. Sofia가 청년 정책안 마지막 서명을 받으러 왔다가 그를 발견한다. 마지막 말은 «Niente male.» — 브뤼셀 승리 직후라 더 무겁다.</t>
  </si>
  <si>
    <r>
      <rPr>
        <sz val="10"/>
        <rFont val="Arial"/>
        <family val="0"/>
        <charset val="1"/>
      </rPr>
      <t xml:space="preserve">insufficienza cardiaca, </t>
    </r>
    <r>
      <rPr>
        <sz val="10"/>
        <rFont val="WenQuanYi Zen Hei"/>
        <family val="2"/>
      </rPr>
      <t xml:space="preserve">사망 확인</t>
    </r>
    <r>
      <rPr>
        <sz val="10"/>
        <rFont val="Arial"/>
        <family val="0"/>
        <charset val="1"/>
      </rPr>
      <t xml:space="preserve">, </t>
    </r>
    <r>
      <rPr>
        <sz val="10"/>
        <rFont val="WenQuanYi Zen Hei"/>
        <family val="2"/>
      </rPr>
      <t xml:space="preserve">장례 절차 시작</t>
    </r>
  </si>
  <si>
    <t xml:space="preserve">Sofia, Giulia, Cesare</t>
  </si>
  <si>
    <t xml:space="preserve">발단(장례)</t>
  </si>
  <si>
    <t xml:space="preserve">La veglia</t>
  </si>
  <si>
    <t xml:space="preserve">장례식</t>
  </si>
  <si>
    <r>
      <rPr>
        <sz val="10"/>
        <rFont val="Arial"/>
        <family val="0"/>
        <charset val="1"/>
      </rPr>
      <t xml:space="preserve">Trattoria da Rosa</t>
    </r>
    <r>
      <rPr>
        <sz val="10"/>
        <rFont val="WenQuanYi Zen Hei"/>
        <family val="2"/>
      </rPr>
      <t xml:space="preserve">가 첫 장면</t>
    </r>
    <r>
      <rPr>
        <sz val="10"/>
        <rFont val="Arial"/>
        <family val="0"/>
        <charset val="1"/>
      </rPr>
      <t xml:space="preserve">. </t>
    </r>
    <r>
      <rPr>
        <sz val="10"/>
        <rFont val="WenQuanYi Zen Hei"/>
        <family val="2"/>
      </rPr>
      <t xml:space="preserve">빈자리에 커피 한 잔이 놓인다</t>
    </r>
    <r>
      <rPr>
        <sz val="10"/>
        <rFont val="Arial"/>
        <family val="0"/>
        <charset val="1"/>
      </rPr>
      <t xml:space="preserve">. Sofia</t>
    </r>
    <r>
      <rPr>
        <sz val="10"/>
        <rFont val="WenQuanYi Zen Hei"/>
        <family val="2"/>
      </rPr>
      <t xml:space="preserve">가 조사에서 처음으로 </t>
    </r>
    <r>
      <rPr>
        <sz val="10"/>
        <rFont val="Arial"/>
        <family val="0"/>
        <charset val="1"/>
      </rPr>
      <t xml:space="preserve">Cesare</t>
    </r>
    <r>
      <rPr>
        <sz val="10"/>
        <rFont val="WenQuanYi Zen Hei"/>
        <family val="2"/>
      </rPr>
      <t xml:space="preserve">에게 </t>
    </r>
    <r>
      <rPr>
        <sz val="10"/>
        <rFont val="Arial"/>
        <family val="0"/>
        <charset val="1"/>
      </rPr>
      <t xml:space="preserve">tu</t>
    </r>
    <r>
      <rPr>
        <sz val="10"/>
        <rFont val="WenQuanYi Zen Hei"/>
        <family val="2"/>
      </rPr>
      <t xml:space="preserve">를 쓴다</t>
    </r>
    <r>
      <rPr>
        <sz val="10"/>
        <rFont val="Arial"/>
        <family val="0"/>
        <charset val="1"/>
      </rPr>
      <t xml:space="preserve">. «Per te, "niente male" era il complimento più grande.»</t>
    </r>
  </si>
  <si>
    <t xml:space="preserve">veglia funebre, funerale, condoglianze, elogio funebre</t>
  </si>
  <si>
    <t xml:space="preserve">Sofia, Rosa, Garibaldi, Gramsci, Giulia, Machiavelli</t>
  </si>
  <si>
    <t xml:space="preserve">Il quaderno che ha lasciato</t>
  </si>
  <si>
    <t xml:space="preserve">그가 남긴 수첩</t>
  </si>
  <si>
    <r>
      <rPr>
        <sz val="10"/>
        <rFont val="Arial"/>
        <family val="0"/>
        <charset val="1"/>
      </rPr>
      <t xml:space="preserve">Cesare</t>
    </r>
    <r>
      <rPr>
        <sz val="10"/>
        <rFont val="WenQuanYi Zen Hei"/>
        <family val="2"/>
      </rPr>
      <t xml:space="preserve">가 죽기 전 남긴 브뤼셀 후속 협상 메모가 발견된다</t>
    </r>
    <r>
      <rPr>
        <sz val="10"/>
        <rFont val="Arial"/>
        <family val="0"/>
        <charset val="1"/>
      </rPr>
      <t xml:space="preserve">. </t>
    </r>
    <r>
      <rPr>
        <sz val="10"/>
        <rFont val="WenQuanYi Zen Hei"/>
        <family val="2"/>
      </rPr>
      <t xml:space="preserve">감옥에서 수첩을 쓰던 </t>
    </r>
    <r>
      <rPr>
        <sz val="10"/>
        <rFont val="Arial"/>
        <family val="0"/>
        <charset val="1"/>
      </rPr>
      <t xml:space="preserve">Gramsci</t>
    </r>
    <r>
      <rPr>
        <sz val="10"/>
        <rFont val="WenQuanYi Zen Hei"/>
        <family val="2"/>
      </rPr>
      <t xml:space="preserve">가 정리하고 </t>
    </r>
    <r>
      <rPr>
        <sz val="10"/>
        <rFont val="Arial"/>
        <family val="0"/>
        <charset val="1"/>
      </rPr>
      <t xml:space="preserve">Dante</t>
    </r>
    <r>
      <rPr>
        <sz val="10"/>
        <rFont val="WenQuanYi Zen Hei"/>
        <family val="2"/>
      </rPr>
      <t xml:space="preserve">가 문장을 다듬는다</t>
    </r>
    <r>
      <rPr>
        <sz val="10"/>
        <rFont val="Arial"/>
        <family val="0"/>
        <charset val="1"/>
      </rPr>
      <t xml:space="preserve">.</t>
    </r>
  </si>
  <si>
    <t xml:space="preserve">유작 메모, 외교 기록 인계</t>
  </si>
  <si>
    <t xml:space="preserve">Gramsci, Dante, Alessandro</t>
  </si>
  <si>
    <t xml:space="preserve">Secondo round a Bruxelles</t>
  </si>
  <si>
    <t xml:space="preserve">브뤼셀 2차 협상</t>
  </si>
  <si>
    <r>
      <rPr>
        <sz val="10"/>
        <rFont val="Arial"/>
        <family val="0"/>
        <charset val="1"/>
      </rPr>
      <t xml:space="preserve">Cesare </t>
    </r>
    <r>
      <rPr>
        <sz val="10"/>
        <rFont val="WenQuanYi Zen Hei"/>
        <family val="2"/>
      </rPr>
      <t xml:space="preserve">없이 떠나는 팀</t>
    </r>
    <r>
      <rPr>
        <sz val="10"/>
        <rFont val="Arial"/>
        <family val="0"/>
        <charset val="1"/>
      </rPr>
      <t xml:space="preserve">. Alessandro</t>
    </r>
    <r>
      <rPr>
        <sz val="10"/>
        <rFont val="WenQuanYi Zen Hei"/>
        <family val="2"/>
      </rPr>
      <t xml:space="preserve">가 협상석에 앉고 </t>
    </r>
    <r>
      <rPr>
        <sz val="10"/>
        <rFont val="Arial"/>
        <family val="0"/>
        <charset val="1"/>
      </rPr>
      <t xml:space="preserve">Dante</t>
    </r>
    <r>
      <rPr>
        <sz val="10"/>
        <rFont val="WenQuanYi Zen Hei"/>
        <family val="2"/>
      </rPr>
      <t xml:space="preserve">가 다듬은 그의 문장</t>
    </r>
    <r>
      <rPr>
        <sz val="10"/>
        <rFont val="Arial"/>
        <family val="0"/>
        <charset val="1"/>
      </rPr>
      <t xml:space="preserve">(«non è stato niente male» </t>
    </r>
    <r>
      <rPr>
        <sz val="10"/>
        <rFont val="WenQuanYi Zen Hei"/>
        <family val="2"/>
      </rPr>
      <t xml:space="preserve">포함</t>
    </r>
    <r>
      <rPr>
        <sz val="10"/>
        <rFont val="Arial"/>
        <family val="0"/>
        <charset val="1"/>
      </rPr>
      <t xml:space="preserve">)</t>
    </r>
    <r>
      <rPr>
        <sz val="10"/>
        <rFont val="WenQuanYi Zen Hei"/>
        <family val="2"/>
      </rPr>
      <t xml:space="preserve">을 인용해 </t>
    </r>
    <r>
      <rPr>
        <sz val="10"/>
        <rFont val="Arial"/>
        <family val="0"/>
        <charset val="1"/>
      </rPr>
      <t xml:space="preserve">3.5% </t>
    </r>
    <r>
      <rPr>
        <sz val="10"/>
        <rFont val="WenQuanYi Zen Hei"/>
        <family val="2"/>
      </rPr>
      <t xml:space="preserve">이행 경로의 세부 일정을 확정한다</t>
    </r>
    <r>
      <rPr>
        <sz val="10"/>
        <rFont val="Arial"/>
        <family val="0"/>
        <charset val="1"/>
      </rPr>
      <t xml:space="preserve">.</t>
    </r>
  </si>
  <si>
    <t xml:space="preserve">협상 세부 일정 확정, 중기 재정구조계획(Piano strutturale di bilancio) 승인</t>
  </si>
  <si>
    <t xml:space="preserve">Alessandro, Dante, Garibaldi</t>
  </si>
  <si>
    <t xml:space="preserve">L'app che decide</t>
  </si>
  <si>
    <t xml:space="preserve">결정하는 앱</t>
  </si>
  <si>
    <t xml:space="preserve">배달 라이더들이 알고리즘 배차와 일방적 계정 차단에 항의한다. 2019년 라이더 보호 조항 이후에도 고용 지위 분쟁과 '디지털 불법 중개(caporalato digitale)' 수사가 이어짐을 Paolo가 현장에서, Dante가 문구로 돕는다.</t>
  </si>
  <si>
    <t xml:space="preserve">라이더 보호(d.lgs. 81/2015 제47-bis조 이하), EU 플랫폼노동 지침(2024/2831) 국내 이행, 알고리즘 투명성</t>
  </si>
  <si>
    <t xml:space="preserve">Paolo, Dante, Marco</t>
  </si>
  <si>
    <t xml:space="preserve">N6</t>
  </si>
  <si>
    <t xml:space="preserve">Il software che nessuno ha autorizzato</t>
  </si>
  <si>
    <t xml:space="preserve">누구도 승인하지 않은 소프트웨어</t>
  </si>
  <si>
    <t xml:space="preserve">언론인과 시민단체 활동가 휴대전화에 군사급 스파이웨어가 심어졌다는 의혹이 터진다. 자신을 감시하던 정치경찰 파일을 기억하는 Gramsci가 패턴을 알아보고, Galileo가 검증하며, Marco는 합법적 감독 경로(COPASIR·검찰)를 고집한다.</t>
  </si>
  <si>
    <t xml:space="preserve">정보기관 체계(legge 124/2007: DIS·AISE·AISI), 의회 정보위원회(COPASIR), 감청의 사법 통제</t>
  </si>
  <si>
    <t xml:space="preserve">Gramsci, Galileo, Marco</t>
  </si>
  <si>
    <t xml:space="preserve">N7</t>
  </si>
  <si>
    <t xml:space="preserve">Le liste d'attesa</t>
  </si>
  <si>
    <t xml:space="preserve">대기 명단</t>
  </si>
  <si>
    <t xml:space="preserve">청년 정신건강 상담 대기가 몇 달씩 밀린 현실. Montessori가 현장에서, Sofia가 자신의 불안을 처음 인정하며 함께 부딪힌다.</t>
  </si>
  <si>
    <t xml:space="preserve">지역 정신건강센터(CSM) 대기, 공공 심리 지원(bonus psicologo) 예산</t>
  </si>
  <si>
    <t xml:space="preserve">Montessori, Sofia, Giulia</t>
  </si>
  <si>
    <t xml:space="preserve">N8</t>
  </si>
  <si>
    <t xml:space="preserve">La mozione che non somma</t>
  </si>
  <si>
    <t xml:space="preserve">모자란 불신임안</t>
  </si>
  <si>
    <t xml:space="preserve">야당의 불신임안: 하원 1/10(40명) 서명, 3일 뒤 토론, 호명 표결, 찬성이 반대보다 많아야 가결 → 부결. 기권한 지역정당 TB는 차등 자치 가속을 요구하고, 사법 최고회의(CSM) 구성을 둘러싼 대립이 정국을 더 얼어붙게 한다.</t>
  </si>
  <si>
    <t xml:space="preserve">헌법 제94조 (정치경로_의석 C블록), 사법 최고회의(CSM)</t>
  </si>
  <si>
    <t xml:space="preserve">Marco, Chiara, Garibaldi, Machiavelli</t>
  </si>
  <si>
    <t xml:space="preserve">P1·P2·P3</t>
  </si>
  <si>
    <t xml:space="preserve">L'alluvione</t>
  </si>
  <si>
    <t xml:space="preserve">홍수</t>
  </si>
  <si>
    <t xml:space="preserve">가상의 중부 지방에 집중호우와 하천 범람이 덮친다. 적색 경보와 대피 지연을 둘러싼 주–중앙정부 책임 공방, 국가 비상사태 선포, 민방위·군 투입. Garibaldi가 지휘하고 Dante가 추모 문구를 쓴다.</t>
  </si>
  <si>
    <t xml:space="preserve">민방위법(d.lgs. 1/2018), 국가 비상사태(stato di emergenza di rilievo nazionale), IT-alert, 산사태·홍수 취약성(dissesto idrogeologico), EU 연대기금</t>
  </si>
  <si>
    <t xml:space="preserve">Garibaldi, Giulia, Marco, Galileo, Dante</t>
  </si>
  <si>
    <t xml:space="preserve">N1·N3·S4</t>
  </si>
  <si>
    <t xml:space="preserve">Risultati per strada</t>
  </si>
  <si>
    <t xml:space="preserve">거리에서 나타난 변화</t>
  </si>
  <si>
    <t xml:space="preserve">임대료·응급실 대기·청년 고용 지표. 사회적 대화 협약 서명.</t>
  </si>
  <si>
    <t xml:space="preserve">성과 지표 공표, 사회적 대화 협약</t>
  </si>
  <si>
    <t xml:space="preserve">N3·E3·P1</t>
  </si>
  <si>
    <t xml:space="preserve">Il vuoto nella Vecchia Guardia</t>
  </si>
  <si>
    <t xml:space="preserve">올드 가드의 빈자리</t>
  </si>
  <si>
    <r>
      <rPr>
        <sz val="10"/>
        <rFont val="Arial"/>
        <family val="0"/>
        <charset val="1"/>
      </rPr>
      <t xml:space="preserve">Garibaldi</t>
    </r>
    <r>
      <rPr>
        <sz val="10"/>
        <rFont val="WenQuanYi Zen Hei"/>
        <family val="2"/>
      </rPr>
      <t xml:space="preserve">와 </t>
    </r>
    <r>
      <rPr>
        <sz val="10"/>
        <rFont val="Arial"/>
        <family val="0"/>
        <charset val="1"/>
      </rPr>
      <t xml:space="preserve">Gramsci, Machiavelli</t>
    </r>
    <r>
      <rPr>
        <sz val="10"/>
        <rFont val="WenQuanYi Zen Hei"/>
        <family val="2"/>
      </rPr>
      <t xml:space="preserve">가 </t>
    </r>
    <r>
      <rPr>
        <sz val="10"/>
        <rFont val="Arial"/>
        <family val="0"/>
        <charset val="1"/>
      </rPr>
      <t xml:space="preserve">Cesare </t>
    </r>
    <r>
      <rPr>
        <sz val="10"/>
        <rFont val="WenQuanYi Zen Hei"/>
        <family val="2"/>
      </rPr>
      <t xml:space="preserve">없는 </t>
    </r>
    <r>
      <rPr>
        <sz val="10"/>
        <rFont val="Arial"/>
        <family val="0"/>
        <charset val="1"/>
      </rPr>
      <t xml:space="preserve">La Vecchia Guardia</t>
    </r>
    <r>
      <rPr>
        <sz val="10"/>
        <rFont val="WenQuanYi Zen Hei"/>
        <family val="2"/>
      </rPr>
      <t xml:space="preserve">를 마주한다</t>
    </r>
    <r>
      <rPr>
        <sz val="10"/>
        <rFont val="Arial"/>
        <family val="0"/>
        <charset val="1"/>
      </rPr>
      <t xml:space="preserve">. </t>
    </r>
    <r>
      <rPr>
        <sz val="10"/>
        <rFont val="WenQuanYi Zen Hei"/>
        <family val="2"/>
      </rPr>
      <t xml:space="preserve">셋 다 말을 아끼다가 결국 그의 커피 불평을 그리워한다고 인정한다</t>
    </r>
    <r>
      <rPr>
        <sz val="10"/>
        <rFont val="Arial"/>
        <family val="0"/>
        <charset val="1"/>
      </rPr>
      <t xml:space="preserve">.</t>
    </r>
  </si>
  <si>
    <t xml:space="preserve">Garibaldi, Gramsci, Machiavelli, Rosa</t>
  </si>
  <si>
    <t xml:space="preserve">Prima della legge di bilancio</t>
  </si>
  <si>
    <t xml:space="preserve">예산안 앞에서</t>
  </si>
  <si>
    <t xml:space="preserve">국방비 증액분을 예산에 어떻게 반영할지 논쟁: 연금·복지와의 줄다리기. Alessandro가 브뤼셀 합의의 검증 가능한 경로를 방패로 쓴다.</t>
  </si>
  <si>
    <t xml:space="preserve">재정 계획 문서, 적자·순지출 경로, NATO 이행 경로의 국내 반영</t>
  </si>
  <si>
    <t xml:space="preserve">Alessandro, Marco, Chiara</t>
  </si>
  <si>
    <t xml:space="preserve">La battaglia continua</t>
  </si>
  <si>
    <t xml:space="preserve">싸움은 계속된다</t>
  </si>
  <si>
    <t xml:space="preserve">예산안 제출 준비(10월 20일 시한): 그동안의 성과 지표도 정리한다. 야당의 대규모 수정안 공세.</t>
  </si>
  <si>
    <t xml:space="preserve">예산안은 10월 20일까지 의회 제출(legge 196/2009), 연말까지 미통과 시 잠정 집행(esercizio provvisorio, 헌법 제81조, 최대 4개월)</t>
  </si>
  <si>
    <t xml:space="preserve">Alessandro, Marco, Chiara, Garibaldi</t>
  </si>
  <si>
    <t xml:space="preserve">Sono le cinque</t>
  </si>
  <si>
    <t xml:space="preserve">다섯 시</t>
  </si>
  <si>
    <r>
      <rPr>
        <sz val="10"/>
        <rFont val="Arial"/>
        <family val="0"/>
        <charset val="1"/>
      </rPr>
      <t xml:space="preserve">1</t>
    </r>
    <r>
      <rPr>
        <sz val="10"/>
        <rFont val="WenQuanYi Zen Hei"/>
        <family val="2"/>
      </rPr>
      <t xml:space="preserve">부 </t>
    </r>
    <r>
      <rPr>
        <sz val="10"/>
        <rFont val="Arial"/>
        <family val="0"/>
        <charset val="1"/>
      </rPr>
      <t xml:space="preserve">1</t>
    </r>
    <r>
      <rPr>
        <sz val="10"/>
        <rFont val="WenQuanYi Zen Hei"/>
        <family val="2"/>
      </rPr>
      <t xml:space="preserve">화와 같은 대사로 시작하지만 자리가 달라졌다</t>
    </r>
    <r>
      <rPr>
        <sz val="10"/>
        <rFont val="Arial"/>
        <family val="0"/>
        <charset val="1"/>
      </rPr>
      <t xml:space="preserve">: </t>
    </r>
    <r>
      <rPr>
        <sz val="10"/>
        <rFont val="WenQuanYi Zen Hei"/>
        <family val="2"/>
      </rPr>
      <t xml:space="preserve">장관들은 이제 손님으로 온다</t>
    </r>
    <r>
      <rPr>
        <sz val="10"/>
        <rFont val="Arial"/>
        <family val="0"/>
        <charset val="1"/>
      </rPr>
      <t xml:space="preserve">.</t>
    </r>
  </si>
  <si>
    <t xml:space="preserve">정부 구성원의 겸직·이해충돌 제한(legge 215/2004)</t>
  </si>
  <si>
    <t xml:space="preserve">Rosa, Marco</t>
  </si>
  <si>
    <t xml:space="preserve">L'ombrello</t>
  </si>
  <si>
    <t xml:space="preserve">우산</t>
  </si>
  <si>
    <r>
      <rPr>
        <sz val="10"/>
        <rFont val="Arial"/>
        <family val="0"/>
        <charset val="1"/>
      </rPr>
      <t xml:space="preserve">Cesare</t>
    </r>
    <r>
      <rPr>
        <sz val="10"/>
        <rFont val="WenQuanYi Zen Hei"/>
        <family val="2"/>
      </rPr>
      <t xml:space="preserve">의 유언장</t>
    </r>
    <r>
      <rPr>
        <sz val="10"/>
        <rFont val="Arial"/>
        <family val="0"/>
        <charset val="1"/>
      </rPr>
      <t xml:space="preserve">. </t>
    </r>
    <r>
      <rPr>
        <sz val="10"/>
        <rFont val="WenQuanYi Zen Hei"/>
        <family val="2"/>
      </rPr>
      <t xml:space="preserve">공증인 앞에서 우산이 </t>
    </r>
    <r>
      <rPr>
        <sz val="10"/>
        <rFont val="Arial"/>
        <family val="0"/>
        <charset val="1"/>
      </rPr>
      <t xml:space="preserve">Sofia</t>
    </r>
    <r>
      <rPr>
        <sz val="10"/>
        <rFont val="WenQuanYi Zen Hei"/>
        <family val="2"/>
      </rPr>
      <t xml:space="preserve">에게 간다</t>
    </r>
    <r>
      <rPr>
        <sz val="10"/>
        <rFont val="Arial"/>
        <family val="0"/>
        <charset val="1"/>
      </rPr>
      <t xml:space="preserve">. '</t>
    </r>
    <r>
      <rPr>
        <sz val="10"/>
        <rFont val="WenQuanYi Zen Hei"/>
        <family val="2"/>
      </rPr>
      <t xml:space="preserve">부활자의 유언이 유효한가</t>
    </r>
    <r>
      <rPr>
        <sz val="10"/>
        <rFont val="Arial"/>
        <family val="0"/>
        <charset val="1"/>
      </rPr>
      <t xml:space="preserve">'</t>
    </r>
    <r>
      <rPr>
        <sz val="10"/>
        <rFont val="WenQuanYi Zen Hei"/>
        <family val="2"/>
      </rPr>
      <t xml:space="preserve">를 두고 공증인이 곤혹스러워한다</t>
    </r>
    <r>
      <rPr>
        <sz val="10"/>
        <rFont val="Arial"/>
        <family val="0"/>
        <charset val="1"/>
      </rPr>
      <t xml:space="preserve">.</t>
    </r>
  </si>
  <si>
    <t xml:space="preserve">유언: 공증인(notaio), 유언집행자(esecutore testamentario), 유언 공개, 유언 등록부(Registro generale dei testamenti)</t>
  </si>
  <si>
    <t xml:space="preserve">Sofia, Garibaldi, Rosa</t>
  </si>
  <si>
    <t xml:space="preserve">La sedia vuota</t>
  </si>
  <si>
    <t xml:space="preserve">빈 의자</t>
  </si>
  <si>
    <t xml:space="preserve">커피 한 잔이 놓인 빈 자리. 새 손님이 그 자리에 앉으려 한다.</t>
  </si>
  <si>
    <t xml:space="preserve">Rosa, Garibaldi</t>
  </si>
  <si>
    <t xml:space="preserve">Una fondazione per lo studio</t>
  </si>
  <si>
    <t xml:space="preserve">사무소를 재단으로</t>
  </si>
  <si>
    <t xml:space="preserve">장관들이 사무소를 떠나며 재단으로 전환. Paolo와 Rosa가 운영을 맡는다.</t>
  </si>
  <si>
    <t xml:space="preserve">재단 설립(민법 제14조 이하), 제3섹터법(d.lgs. 117/2017), 이해충돌</t>
  </si>
  <si>
    <t xml:space="preserve">Paolo, Rosa, Francesco</t>
  </si>
  <si>
    <t xml:space="preserve">Il nuovo stagista</t>
  </si>
  <si>
    <t xml:space="preserve">새 인턴</t>
  </si>
  <si>
    <t xml:space="preserve">새 인턴 Luca가 도착해 «Scusi, cosa significa?»라고 묻는다. Sofia가 답하는 쪽에 선다.</t>
  </si>
  <si>
    <r>
      <rPr>
        <sz val="10"/>
        <rFont val="Arial"/>
        <family val="0"/>
        <charset val="1"/>
      </rPr>
      <t xml:space="preserve">Sofia, Luca(</t>
    </r>
    <r>
      <rPr>
        <sz val="10"/>
        <rFont val="WenQuanYi Zen Hei"/>
        <family val="2"/>
      </rPr>
      <t xml:space="preserve">신규 엑스트라</t>
    </r>
    <r>
      <rPr>
        <sz val="10"/>
        <rFont val="Arial"/>
        <family val="0"/>
        <charset val="1"/>
      </rPr>
      <t xml:space="preserve">)</t>
    </r>
  </si>
  <si>
    <t xml:space="preserve">Sofia spiega</t>
  </si>
  <si>
    <r>
      <rPr>
        <sz val="10"/>
        <rFont val="Arial"/>
        <family val="0"/>
        <charset val="1"/>
      </rPr>
      <t xml:space="preserve">Sofia</t>
    </r>
    <r>
      <rPr>
        <sz val="10"/>
        <rFont val="WenQuanYi Zen Hei"/>
        <family val="2"/>
      </rPr>
      <t xml:space="preserve">의 설명</t>
    </r>
  </si>
  <si>
    <r>
      <rPr>
        <sz val="10"/>
        <rFont val="Arial"/>
        <family val="0"/>
        <charset val="1"/>
      </rPr>
      <t xml:space="preserve">Luca</t>
    </r>
    <r>
      <rPr>
        <sz val="10"/>
        <rFont val="WenQuanYi Zen Hei"/>
        <family val="2"/>
      </rPr>
      <t xml:space="preserve">의 질문에 </t>
    </r>
    <r>
      <rPr>
        <sz val="10"/>
        <rFont val="Arial"/>
        <family val="0"/>
        <charset val="1"/>
      </rPr>
      <t xml:space="preserve">Sofia</t>
    </r>
    <r>
      <rPr>
        <sz val="10"/>
        <rFont val="WenQuanYi Zen Hei"/>
        <family val="2"/>
      </rPr>
      <t xml:space="preserve">가 어려운 말을 쉬운 말로 풀어 준다</t>
    </r>
    <r>
      <rPr>
        <sz val="10"/>
        <rFont val="Arial"/>
        <family val="0"/>
        <charset val="1"/>
      </rPr>
      <t xml:space="preserve">. Garibaldi</t>
    </r>
    <r>
      <rPr>
        <sz val="10"/>
        <rFont val="WenQuanYi Zen Hei"/>
        <family val="2"/>
      </rPr>
      <t xml:space="preserve">도 함께 배운다</t>
    </r>
    <r>
      <rPr>
        <sz val="10"/>
        <rFont val="Arial"/>
        <family val="0"/>
        <charset val="1"/>
      </rPr>
      <t xml:space="preserve">.</t>
    </r>
  </si>
  <si>
    <t xml:space="preserve">Sofia, Garibaldi</t>
  </si>
  <si>
    <t xml:space="preserve">Il bilancio della legislatura</t>
  </si>
  <si>
    <t xml:space="preserve">임기 보고서</t>
  </si>
  <si>
    <r>
      <rPr>
        <sz val="10"/>
        <rFont val="Arial"/>
        <family val="0"/>
        <charset val="1"/>
      </rPr>
      <t xml:space="preserve">Alessandro</t>
    </r>
    <r>
      <rPr>
        <sz val="10"/>
        <rFont val="WenQuanYi Zen Hei"/>
        <family val="2"/>
      </rPr>
      <t xml:space="preserve">가 숫자로 성과를 발표하고 </t>
    </r>
    <r>
      <rPr>
        <sz val="10"/>
        <rFont val="Arial"/>
        <family val="0"/>
        <charset val="1"/>
      </rPr>
      <t xml:space="preserve">Giulia</t>
    </r>
    <r>
      <rPr>
        <sz val="10"/>
        <rFont val="WenQuanYi Zen Hei"/>
        <family val="2"/>
      </rPr>
      <t xml:space="preserve">가 사람 이야기로 보완한다</t>
    </r>
    <r>
      <rPr>
        <sz val="10"/>
        <rFont val="Arial"/>
        <family val="0"/>
        <charset val="1"/>
      </rPr>
      <t xml:space="preserve">.</t>
    </r>
  </si>
  <si>
    <t xml:space="preserve">성과 공시, 의회 속기록(resoconti stenografici)</t>
  </si>
  <si>
    <t xml:space="preserve">Alessandro, Giulia</t>
  </si>
  <si>
    <t xml:space="preserve">E3·S3·N5·N3</t>
  </si>
  <si>
    <t xml:space="preserve">Le lettere della gente</t>
  </si>
  <si>
    <t xml:space="preserve">시민들이 보낸 편지</t>
  </si>
  <si>
    <r>
      <rPr>
        <sz val="10"/>
        <rFont val="Arial"/>
        <family val="0"/>
        <charset val="1"/>
      </rPr>
      <t xml:space="preserve">Galileo</t>
    </r>
    <r>
      <rPr>
        <sz val="10"/>
        <rFont val="WenQuanYi Zen Hei"/>
        <family val="2"/>
      </rPr>
      <t xml:space="preserve">가 편지를 낭독하고 </t>
    </r>
    <r>
      <rPr>
        <sz val="10"/>
        <rFont val="Arial"/>
        <family val="0"/>
        <charset val="1"/>
      </rPr>
      <t xml:space="preserve">Dante</t>
    </r>
    <r>
      <rPr>
        <sz val="10"/>
        <rFont val="WenQuanYi Zen Hei"/>
        <family val="2"/>
      </rPr>
      <t xml:space="preserve">가 답장을 쓴다</t>
    </r>
    <r>
      <rPr>
        <sz val="10"/>
        <rFont val="Arial"/>
        <family val="0"/>
        <charset val="1"/>
      </rPr>
      <t xml:space="preserve">.</t>
    </r>
  </si>
  <si>
    <t xml:space="preserve">Galileo, Dante</t>
  </si>
  <si>
    <t xml:space="preserve">La Vecchia Guardia</t>
  </si>
  <si>
    <t xml:space="preserve">올드 가드</t>
  </si>
  <si>
    <r>
      <rPr>
        <sz val="10"/>
        <rFont val="Arial"/>
        <family val="0"/>
        <charset val="1"/>
      </rPr>
      <t xml:space="preserve">Garibaldi</t>
    </r>
    <r>
      <rPr>
        <sz val="10"/>
        <rFont val="WenQuanYi Zen Hei"/>
        <family val="2"/>
      </rPr>
      <t xml:space="preserve">와 </t>
    </r>
    <r>
      <rPr>
        <sz val="10"/>
        <rFont val="Arial"/>
        <family val="0"/>
        <charset val="1"/>
      </rPr>
      <t xml:space="preserve">Gramsci, Machiavelli</t>
    </r>
    <r>
      <rPr>
        <sz val="10"/>
        <rFont val="WenQuanYi Zen Hei"/>
        <family val="2"/>
      </rPr>
      <t xml:space="preserve">와 빈 의자</t>
    </r>
    <r>
      <rPr>
        <sz val="10"/>
        <rFont val="Arial"/>
        <family val="0"/>
        <charset val="1"/>
      </rPr>
      <t xml:space="preserve">. Gramsci</t>
    </r>
    <r>
      <rPr>
        <sz val="10"/>
        <rFont val="WenQuanYi Zen Hei"/>
        <family val="2"/>
      </rPr>
      <t xml:space="preserve">가 마지막 카드를 꺼낸다</t>
    </r>
    <r>
      <rPr>
        <sz val="10"/>
        <rFont val="Arial"/>
        <family val="0"/>
        <charset val="1"/>
      </rPr>
      <t xml:space="preserve">.</t>
    </r>
  </si>
  <si>
    <t xml:space="preserve">Garibaldi, Gramsci, Machiavelli</t>
  </si>
  <si>
    <t xml:space="preserve">La scheda che mancava</t>
  </si>
  <si>
    <t xml:space="preserve">빠진 카드</t>
  </si>
  <si>
    <t xml:space="preserve">카드 뒷면에 끝내 적지 않던 것. Gramsci가 처음으로 결론을 직접 말한다.</t>
  </si>
  <si>
    <t xml:space="preserve">Gramsci, Sofia</t>
  </si>
  <si>
    <t xml:space="preserve">Di nuovo le cinque</t>
  </si>
  <si>
    <t xml:space="preserve">다시 다섯 시</t>
  </si>
  <si>
    <r>
      <rPr>
        <sz val="10"/>
        <rFont val="Arial"/>
        <family val="0"/>
        <charset val="1"/>
      </rPr>
      <t xml:space="preserve">1</t>
    </r>
    <r>
      <rPr>
        <sz val="10"/>
        <rFont val="WenQuanYi Zen Hei"/>
        <family val="2"/>
      </rPr>
      <t xml:space="preserve">부 </t>
    </r>
    <r>
      <rPr>
        <sz val="10"/>
        <rFont val="Arial"/>
        <family val="0"/>
        <charset val="1"/>
      </rPr>
      <t xml:space="preserve">1</t>
    </r>
    <r>
      <rPr>
        <sz val="10"/>
        <rFont val="WenQuanYi Zen Hei"/>
        <family val="2"/>
      </rPr>
      <t xml:space="preserve">화 장면을 새 인턴이 읽고</t>
    </r>
    <r>
      <rPr>
        <sz val="10"/>
        <rFont val="Arial"/>
        <family val="0"/>
        <charset val="1"/>
      </rPr>
      <t xml:space="preserve">, </t>
    </r>
    <r>
      <rPr>
        <sz val="10"/>
        <rFont val="WenQuanYi Zen Hei"/>
        <family val="2"/>
      </rPr>
      <t xml:space="preserve">낭독 학습자도 다시 읽는다</t>
    </r>
    <r>
      <rPr>
        <sz val="10"/>
        <rFont val="Arial"/>
        <family val="0"/>
        <charset val="1"/>
      </rPr>
      <t xml:space="preserve">. </t>
    </r>
    <r>
      <rPr>
        <sz val="10"/>
        <rFont val="WenQuanYi Zen Hei"/>
        <family val="2"/>
      </rPr>
      <t xml:space="preserve">원형 구조</t>
    </r>
    <r>
      <rPr>
        <sz val="10"/>
        <rFont val="Arial"/>
        <family val="0"/>
        <charset val="1"/>
      </rPr>
      <t xml:space="preserve">.</t>
    </r>
  </si>
  <si>
    <t xml:space="preserve">결말</t>
  </si>
  <si>
    <t xml:space="preserve">Sedetevi, che vi porto qualcosa</t>
  </si>
  <si>
    <t xml:space="preserve">앉아, 뭐 좀 내줄게</t>
  </si>
  <si>
    <t xml:space="preserve">최종화. Rosa의 시그니처로 끝난다.</t>
  </si>
  <si>
    <r>
      <rPr>
        <sz val="10"/>
        <rFont val="Arial"/>
        <family val="0"/>
        <charset val="1"/>
      </rPr>
      <t xml:space="preserve">Rosa, </t>
    </r>
    <r>
      <rPr>
        <sz val="10"/>
        <rFont val="WenQuanYi Zen Hei"/>
        <family val="2"/>
      </rPr>
      <t xml:space="preserve">전원</t>
    </r>
  </si>
  <si>
    <t xml:space="preserve">복선 설치와 회수 (Setup → Payoff)</t>
  </si>
  <si>
    <t xml:space="preserve">설치 부와 회수 부의 간격(부 수)은 수식으로 계산됩니다. 간격이 클수록 오래 기다린 복선이라 낭독 시 기억에 남습니다.</t>
  </si>
  <si>
    <t xml:space="preserve">복선(설치)</t>
  </si>
  <si>
    <t xml:space="preserve">유형</t>
  </si>
  <si>
    <t xml:space="preserve">설치 부</t>
  </si>
  <si>
    <t xml:space="preserve">설치 위치</t>
  </si>
  <si>
    <t xml:space="preserve">회수 부</t>
  </si>
  <si>
    <t xml:space="preserve">간격(부)</t>
  </si>
  <si>
    <t xml:space="preserve">회수 위치와 효과</t>
  </si>
  <si>
    <t xml:space="preserve">관련 인물</t>
  </si>
  <si>
    <r>
      <rPr>
        <sz val="10"/>
        <rFont val="Arial"/>
        <family val="0"/>
        <charset val="1"/>
      </rPr>
      <t xml:space="preserve">Cesare</t>
    </r>
    <r>
      <rPr>
        <sz val="10"/>
        <rFont val="WenQuanYi Zen Hei"/>
        <family val="2"/>
      </rPr>
      <t xml:space="preserve">의 </t>
    </r>
    <r>
      <rPr>
        <sz val="10"/>
        <rFont val="Arial"/>
        <family val="0"/>
        <charset val="1"/>
      </rPr>
      <t xml:space="preserve">«Questo sarà il mio ultimo inverno» </t>
    </r>
    <r>
      <rPr>
        <sz val="10"/>
        <rFont val="WenQuanYi Zen Hei"/>
        <family val="2"/>
      </rPr>
      <t xml:space="preserve">반복</t>
    </r>
  </si>
  <si>
    <t xml:space="preserve">대사</t>
  </si>
  <si>
    <r>
      <rPr>
        <sz val="10"/>
        <rFont val="Arial"/>
        <family val="0"/>
        <charset val="1"/>
      </rPr>
      <t xml:space="preserve">1</t>
    </r>
    <r>
      <rPr>
        <sz val="10"/>
        <rFont val="WenQuanYi Zen Hei"/>
        <family val="2"/>
      </rPr>
      <t xml:space="preserve">부 </t>
    </r>
    <r>
      <rPr>
        <sz val="10"/>
        <rFont val="Arial"/>
        <family val="0"/>
        <charset val="1"/>
      </rPr>
      <t xml:space="preserve">1</t>
    </r>
    <r>
      <rPr>
        <sz val="10"/>
        <rFont val="WenQuanYi Zen Hei"/>
        <family val="2"/>
      </rPr>
      <t xml:space="preserve">화</t>
    </r>
  </si>
  <si>
    <r>
      <rPr>
        <sz val="10"/>
        <rFont val="Arial"/>
        <family val="0"/>
        <charset val="1"/>
      </rPr>
      <t xml:space="preserve">11</t>
    </r>
    <r>
      <rPr>
        <sz val="10"/>
        <rFont val="WenQuanYi Zen Hei"/>
        <family val="2"/>
      </rPr>
      <t xml:space="preserve">부 </t>
    </r>
    <r>
      <rPr>
        <sz val="10"/>
        <rFont val="Arial"/>
        <family val="0"/>
        <charset val="1"/>
      </rPr>
      <t xml:space="preserve">12</t>
    </r>
    <r>
      <rPr>
        <sz val="10"/>
        <rFont val="WenQuanYi Zen Hei"/>
        <family val="2"/>
      </rPr>
      <t xml:space="preserve">화 — 양치기 소년 개그가 진짜 </t>
    </r>
    <r>
      <rPr>
        <sz val="10"/>
        <rFont val="Arial"/>
        <family val="0"/>
        <charset val="1"/>
      </rPr>
      <t xml:space="preserve">(</t>
    </r>
    <r>
      <rPr>
        <sz val="10"/>
        <rFont val="WenQuanYi Zen Hei"/>
        <family val="2"/>
      </rPr>
      <t xml:space="preserve">두 번째</t>
    </r>
    <r>
      <rPr>
        <sz val="10"/>
        <rFont val="Arial"/>
        <family val="0"/>
        <charset val="1"/>
      </rPr>
      <t xml:space="preserve">) </t>
    </r>
    <r>
      <rPr>
        <sz val="10"/>
        <rFont val="WenQuanYi Zen Hei"/>
        <family val="2"/>
      </rPr>
      <t xml:space="preserve">죽음이 되는 낙차</t>
    </r>
  </si>
  <si>
    <r>
      <rPr>
        <sz val="10"/>
        <rFont val="Arial"/>
        <family val="0"/>
        <charset val="1"/>
      </rPr>
      <t xml:space="preserve">Cesare</t>
    </r>
    <r>
      <rPr>
        <sz val="10"/>
        <rFont val="WenQuanYi Zen Hei"/>
        <family val="2"/>
      </rPr>
      <t xml:space="preserve">가 </t>
    </r>
    <r>
      <rPr>
        <sz val="10"/>
        <rFont val="Arial"/>
        <family val="0"/>
        <charset val="1"/>
      </rPr>
      <t xml:space="preserve">Sofia</t>
    </r>
    <r>
      <rPr>
        <sz val="10"/>
        <rFont val="WenQuanYi Zen Hei"/>
        <family val="2"/>
      </rPr>
      <t xml:space="preserve">에게 우산을 물려준다고 말한다</t>
    </r>
  </si>
  <si>
    <t xml:space="preserve">소품</t>
  </si>
  <si>
    <r>
      <rPr>
        <sz val="10"/>
        <rFont val="Arial"/>
        <family val="0"/>
        <charset val="1"/>
      </rPr>
      <t xml:space="preserve">13</t>
    </r>
    <r>
      <rPr>
        <sz val="10"/>
        <rFont val="WenQuanYi Zen Hei"/>
        <family val="2"/>
      </rPr>
      <t xml:space="preserve">부 </t>
    </r>
    <r>
      <rPr>
        <sz val="10"/>
        <rFont val="Arial"/>
        <family val="0"/>
        <charset val="1"/>
      </rPr>
      <t xml:space="preserve">2</t>
    </r>
    <r>
      <rPr>
        <sz val="10"/>
        <rFont val="WenQuanYi Zen Hei"/>
        <family val="2"/>
      </rPr>
      <t xml:space="preserve">화 — 유언장에서 우산이 진짜 유산으로 돌아옴</t>
    </r>
  </si>
  <si>
    <t xml:space="preserve">Cesare, Sofia</t>
  </si>
  <si>
    <r>
      <rPr>
        <sz val="10"/>
        <rFont val="Arial"/>
        <family val="0"/>
        <charset val="1"/>
      </rPr>
      <t xml:space="preserve">Cesare</t>
    </r>
    <r>
      <rPr>
        <sz val="10"/>
        <rFont val="WenQuanYi Zen Hei"/>
        <family val="2"/>
      </rPr>
      <t xml:space="preserve">의 부은 발목</t>
    </r>
    <r>
      <rPr>
        <sz val="10"/>
        <rFont val="Arial"/>
        <family val="0"/>
        <charset val="1"/>
      </rPr>
      <t xml:space="preserve">·</t>
    </r>
    <r>
      <rPr>
        <sz val="10"/>
        <rFont val="WenQuanYi Zen Hei"/>
        <family val="2"/>
      </rPr>
      <t xml:space="preserve">숨참 </t>
    </r>
    <r>
      <rPr>
        <sz val="10"/>
        <rFont val="Arial"/>
        <family val="0"/>
        <charset val="1"/>
      </rPr>
      <t xml:space="preserve">(«Sono i calzari.»)</t>
    </r>
  </si>
  <si>
    <t xml:space="preserve">설정</t>
  </si>
  <si>
    <r>
      <rPr>
        <sz val="10"/>
        <rFont val="Arial"/>
        <family val="0"/>
        <charset val="1"/>
      </rPr>
      <t xml:space="preserve">3</t>
    </r>
    <r>
      <rPr>
        <sz val="10"/>
        <rFont val="WenQuanYi Zen Hei"/>
        <family val="2"/>
      </rPr>
      <t xml:space="preserve">부 </t>
    </r>
    <r>
      <rPr>
        <sz val="10"/>
        <rFont val="Arial"/>
        <family val="0"/>
        <charset val="1"/>
      </rPr>
      <t xml:space="preserve">1·5</t>
    </r>
    <r>
      <rPr>
        <sz val="10"/>
        <rFont val="WenQuanYi Zen Hei"/>
        <family val="2"/>
      </rPr>
      <t xml:space="preserve">화</t>
    </r>
  </si>
  <si>
    <r>
      <rPr>
        <sz val="10"/>
        <rFont val="Arial"/>
        <family val="0"/>
        <charset val="1"/>
      </rPr>
      <t xml:space="preserve">11</t>
    </r>
    <r>
      <rPr>
        <sz val="10"/>
        <rFont val="WenQuanYi Zen Hei"/>
        <family val="2"/>
      </rPr>
      <t xml:space="preserve">부 </t>
    </r>
    <r>
      <rPr>
        <sz val="10"/>
        <rFont val="Arial"/>
        <family val="0"/>
        <charset val="1"/>
      </rPr>
      <t xml:space="preserve">4~6</t>
    </r>
    <r>
      <rPr>
        <sz val="10"/>
        <rFont val="WenQuanYi Zen Hei"/>
        <family val="2"/>
      </rPr>
      <t xml:space="preserve">화 — </t>
    </r>
    <r>
      <rPr>
        <sz val="10"/>
        <rFont val="Arial"/>
        <family val="0"/>
        <charset val="1"/>
      </rPr>
      <t xml:space="preserve">Giulia</t>
    </r>
    <r>
      <rPr>
        <sz val="10"/>
        <rFont val="WenQuanYi Zen Hei"/>
        <family val="2"/>
      </rPr>
      <t xml:space="preserve">가 진단을 알고도 침묵한 이유가 드러남</t>
    </r>
  </si>
  <si>
    <t xml:space="preserve">Giulia, Cesare</t>
  </si>
  <si>
    <r>
      <rPr>
        <sz val="10"/>
        <rFont val="Arial"/>
        <family val="0"/>
        <charset val="1"/>
      </rPr>
      <t xml:space="preserve">Cesare</t>
    </r>
    <r>
      <rPr>
        <sz val="10"/>
        <rFont val="WenQuanYi Zen Hei"/>
        <family val="2"/>
      </rPr>
      <t xml:space="preserve">의 최고 칭찬 </t>
    </r>
    <r>
      <rPr>
        <sz val="10"/>
        <rFont val="Arial"/>
        <family val="0"/>
        <charset val="1"/>
      </rPr>
      <t xml:space="preserve">«Niente male.»</t>
    </r>
  </si>
  <si>
    <r>
      <rPr>
        <sz val="10"/>
        <rFont val="Arial"/>
        <family val="0"/>
        <charset val="1"/>
      </rPr>
      <t xml:space="preserve">1</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(Dante</t>
    </r>
    <r>
      <rPr>
        <sz val="10"/>
        <rFont val="WenQuanYi Zen Hei"/>
        <family val="2"/>
      </rPr>
      <t xml:space="preserve">에게 </t>
    </r>
    <r>
      <rPr>
        <sz val="10"/>
        <rFont val="Arial"/>
        <family val="0"/>
        <charset val="1"/>
      </rPr>
      <t xml:space="preserve">1</t>
    </r>
    <r>
      <rPr>
        <sz val="10"/>
        <rFont val="WenQuanYi Zen Hei"/>
        <family val="2"/>
      </rPr>
      <t xml:space="preserve">회</t>
    </r>
    <r>
      <rPr>
        <sz val="10"/>
        <rFont val="Arial"/>
        <family val="0"/>
        <charset val="1"/>
      </rPr>
      <t xml:space="preserve">)</t>
    </r>
  </si>
  <si>
    <r>
      <rPr>
        <sz val="10"/>
        <rFont val="Arial"/>
        <family val="0"/>
        <charset val="1"/>
      </rPr>
      <t xml:space="preserve">11</t>
    </r>
    <r>
      <rPr>
        <sz val="10"/>
        <rFont val="WenQuanYi Zen Hei"/>
        <family val="2"/>
      </rPr>
      <t xml:space="preserve">부 </t>
    </r>
    <r>
      <rPr>
        <sz val="10"/>
        <rFont val="Arial"/>
        <family val="0"/>
        <charset val="1"/>
      </rPr>
      <t xml:space="preserve">12</t>
    </r>
    <r>
      <rPr>
        <sz val="10"/>
        <rFont val="WenQuanYi Zen Hei"/>
        <family val="2"/>
      </rPr>
      <t xml:space="preserve">화 — </t>
    </r>
    <r>
      <rPr>
        <sz val="10"/>
        <rFont val="Arial"/>
        <family val="0"/>
        <charset val="1"/>
      </rPr>
      <t xml:space="preserve">Sofia</t>
    </r>
    <r>
      <rPr>
        <sz val="10"/>
        <rFont val="WenQuanYi Zen Hei"/>
        <family val="2"/>
      </rPr>
      <t xml:space="preserve">에게 처음이자 마지막 칭찬</t>
    </r>
    <r>
      <rPr>
        <sz val="10"/>
        <rFont val="Arial"/>
        <family val="0"/>
        <charset val="1"/>
      </rPr>
      <t xml:space="preserve">, </t>
    </r>
    <r>
      <rPr>
        <sz val="10"/>
        <rFont val="WenQuanYi Zen Hei"/>
        <family val="2"/>
      </rPr>
      <t xml:space="preserve">브뤼셀 승리 직후라 더 무겁다</t>
    </r>
  </si>
  <si>
    <r>
      <rPr>
        <sz val="10"/>
        <rFont val="Arial"/>
        <family val="0"/>
        <charset val="1"/>
      </rPr>
      <t xml:space="preserve">Sofia</t>
    </r>
    <r>
      <rPr>
        <sz val="10"/>
        <rFont val="WenQuanYi Zen Hei"/>
        <family val="2"/>
      </rPr>
      <t xml:space="preserve">의 </t>
    </r>
    <r>
      <rPr>
        <sz val="10"/>
        <rFont val="Arial"/>
        <family val="0"/>
        <charset val="1"/>
      </rPr>
      <t xml:space="preserve">1</t>
    </r>
    <r>
      <rPr>
        <sz val="10"/>
        <rFont val="WenQuanYi Zen Hei"/>
        <family val="2"/>
      </rPr>
      <t xml:space="preserve">차 폭발</t>
    </r>
  </si>
  <si>
    <t xml:space="preserve">사건</t>
  </si>
  <si>
    <r>
      <rPr>
        <sz val="10"/>
        <rFont val="Arial"/>
        <family val="0"/>
        <charset val="1"/>
      </rPr>
      <t xml:space="preserve">1</t>
    </r>
    <r>
      <rPr>
        <sz val="10"/>
        <rFont val="WenQuanYi Zen Hei"/>
        <family val="2"/>
      </rPr>
      <t xml:space="preserve">부 </t>
    </r>
    <r>
      <rPr>
        <sz val="10"/>
        <rFont val="Arial"/>
        <family val="0"/>
        <charset val="1"/>
      </rPr>
      <t xml:space="preserve">6</t>
    </r>
    <r>
      <rPr>
        <sz val="10"/>
        <rFont val="WenQuanYi Zen Hei"/>
        <family val="2"/>
      </rPr>
      <t xml:space="preserve">화</t>
    </r>
  </si>
  <si>
    <r>
      <rPr>
        <sz val="10"/>
        <rFont val="Arial"/>
        <family val="0"/>
        <charset val="1"/>
      </rPr>
      <t xml:space="preserve">9</t>
    </r>
    <r>
      <rPr>
        <sz val="10"/>
        <rFont val="WenQuanYi Zen Hei"/>
        <family val="2"/>
      </rPr>
      <t xml:space="preserve">부 </t>
    </r>
    <r>
      <rPr>
        <sz val="10"/>
        <rFont val="Arial"/>
        <family val="0"/>
        <charset val="1"/>
      </rPr>
      <t xml:space="preserve">6</t>
    </r>
    <r>
      <rPr>
        <sz val="10"/>
        <rFont val="WenQuanYi Zen Hei"/>
        <family val="2"/>
      </rPr>
      <t xml:space="preserve">화 — 몰라서 화내던 </t>
    </r>
    <r>
      <rPr>
        <sz val="10"/>
        <rFont val="Arial"/>
        <family val="0"/>
        <charset val="1"/>
      </rPr>
      <t xml:space="preserve">Sofia → </t>
    </r>
    <r>
      <rPr>
        <sz val="10"/>
        <rFont val="WenQuanYi Zen Hei"/>
        <family val="2"/>
      </rPr>
      <t xml:space="preserve">알아서 화내는 </t>
    </r>
    <r>
      <rPr>
        <sz val="10"/>
        <rFont val="Arial"/>
        <family val="0"/>
        <charset val="1"/>
      </rPr>
      <t xml:space="preserve">Sofia</t>
    </r>
  </si>
  <si>
    <t xml:space="preserve">Sofia</t>
  </si>
  <si>
    <r>
      <rPr>
        <sz val="10"/>
        <rFont val="Arial"/>
        <family val="0"/>
        <charset val="1"/>
      </rPr>
      <t xml:space="preserve">Sofia</t>
    </r>
    <r>
      <rPr>
        <sz val="10"/>
        <rFont val="WenQuanYi Zen Hei"/>
        <family val="2"/>
      </rPr>
      <t xml:space="preserve">의 </t>
    </r>
    <r>
      <rPr>
        <sz val="10"/>
        <rFont val="Arial"/>
        <family val="0"/>
        <charset val="1"/>
      </rPr>
      <t xml:space="preserve">Lei (Cesare</t>
    </r>
    <r>
      <rPr>
        <sz val="10"/>
        <rFont val="WenQuanYi Zen Hei"/>
        <family val="2"/>
      </rPr>
      <t xml:space="preserve">에게</t>
    </r>
    <r>
      <rPr>
        <sz val="10"/>
        <rFont val="Arial"/>
        <family val="0"/>
        <charset val="1"/>
      </rPr>
      <t xml:space="preserve">)</t>
    </r>
  </si>
  <si>
    <t xml:space="preserve">호칭</t>
  </si>
  <si>
    <r>
      <rPr>
        <sz val="10"/>
        <rFont val="Arial"/>
        <family val="0"/>
        <charset val="1"/>
      </rPr>
      <t xml:space="preserve">12</t>
    </r>
    <r>
      <rPr>
        <sz val="10"/>
        <rFont val="WenQuanYi Zen Hei"/>
        <family val="2"/>
      </rPr>
      <t xml:space="preserve">부 </t>
    </r>
    <r>
      <rPr>
        <sz val="10"/>
        <rFont val="Arial"/>
        <family val="0"/>
        <charset val="1"/>
      </rPr>
      <t xml:space="preserve">1</t>
    </r>
    <r>
      <rPr>
        <sz val="10"/>
        <rFont val="WenQuanYi Zen Hei"/>
        <family val="2"/>
      </rPr>
      <t xml:space="preserve">화 — 조사에서 처음 </t>
    </r>
    <r>
      <rPr>
        <sz val="10"/>
        <rFont val="Arial"/>
        <family val="0"/>
        <charset val="1"/>
      </rPr>
      <t xml:space="preserve">tu — </t>
    </r>
    <r>
      <rPr>
        <sz val="10"/>
        <rFont val="WenQuanYi Zen Hei"/>
        <family val="2"/>
      </rPr>
      <t xml:space="preserve">호칭 전환이 곧 애도</t>
    </r>
  </si>
  <si>
    <t xml:space="preserve">Sofia, Cesare</t>
  </si>
  <si>
    <r>
      <rPr>
        <sz val="10"/>
        <rFont val="Arial"/>
        <family val="0"/>
        <charset val="1"/>
      </rPr>
      <t xml:space="preserve">Gramsci</t>
    </r>
    <r>
      <rPr>
        <sz val="10"/>
        <rFont val="WenQuanYi Zen Hei"/>
        <family val="2"/>
      </rPr>
      <t xml:space="preserve">의 카드 </t>
    </r>
    <r>
      <rPr>
        <sz val="10"/>
        <rFont val="Arial"/>
        <family val="0"/>
        <charset val="1"/>
      </rPr>
      <t xml:space="preserve">#1</t>
    </r>
    <r>
      <rPr>
        <sz val="10"/>
        <rFont val="WenQuanYi Zen Hei"/>
        <family val="2"/>
      </rPr>
      <t xml:space="preserve">과 </t>
    </r>
    <r>
      <rPr>
        <sz val="10"/>
        <rFont val="Arial"/>
        <family val="0"/>
        <charset val="1"/>
      </rPr>
      <t xml:space="preserve">«Cercalo tu.»</t>
    </r>
  </si>
  <si>
    <r>
      <rPr>
        <sz val="10"/>
        <rFont val="Arial"/>
        <family val="0"/>
        <charset val="1"/>
      </rPr>
      <t xml:space="preserve">1</t>
    </r>
    <r>
      <rPr>
        <sz val="10"/>
        <rFont val="WenQuanYi Zen Hei"/>
        <family val="2"/>
      </rPr>
      <t xml:space="preserve">부 </t>
    </r>
    <r>
      <rPr>
        <sz val="10"/>
        <rFont val="Arial"/>
        <family val="0"/>
        <charset val="1"/>
      </rPr>
      <t xml:space="preserve">2</t>
    </r>
    <r>
      <rPr>
        <sz val="10"/>
        <rFont val="WenQuanYi Zen Hei"/>
        <family val="2"/>
      </rPr>
      <t xml:space="preserve">화</t>
    </r>
  </si>
  <si>
    <r>
      <rPr>
        <sz val="10"/>
        <rFont val="Arial"/>
        <family val="0"/>
        <charset val="1"/>
      </rPr>
      <t xml:space="preserve">13</t>
    </r>
    <r>
      <rPr>
        <sz val="10"/>
        <rFont val="WenQuanYi Zen Hei"/>
        <family val="2"/>
      </rPr>
      <t xml:space="preserve">부 </t>
    </r>
    <r>
      <rPr>
        <sz val="10"/>
        <rFont val="Arial"/>
        <family val="0"/>
        <charset val="1"/>
      </rPr>
      <t xml:space="preserve">10</t>
    </r>
    <r>
      <rPr>
        <sz val="10"/>
        <rFont val="WenQuanYi Zen Hei"/>
        <family val="2"/>
      </rPr>
      <t xml:space="preserve">화 — 끝까지 결론을 말하지 않던 그가 처음 답을 말함</t>
    </r>
  </si>
  <si>
    <r>
      <rPr>
        <sz val="10"/>
        <rFont val="Arial"/>
        <family val="0"/>
        <charset val="1"/>
      </rPr>
      <t xml:space="preserve">Marco</t>
    </r>
    <r>
      <rPr>
        <sz val="10"/>
        <rFont val="WenQuanYi Zen Hei"/>
        <family val="2"/>
      </rPr>
      <t xml:space="preserve">의 </t>
    </r>
    <r>
      <rPr>
        <sz val="10"/>
        <rFont val="Arial"/>
        <family val="0"/>
        <charset val="1"/>
      </rPr>
      <t xml:space="preserve">«</t>
    </r>
    <r>
      <rPr>
        <sz val="10"/>
        <rFont val="WenQuanYi Zen Hei"/>
        <family val="2"/>
      </rPr>
      <t xml:space="preserve">갱신 거절</t>
    </r>
    <r>
      <rPr>
        <sz val="10"/>
        <rFont val="Arial"/>
        <family val="0"/>
        <charset val="1"/>
      </rPr>
      <t xml:space="preserve">(diniego di rinnovo)» </t>
    </r>
    <r>
      <rPr>
        <sz val="10"/>
        <rFont val="WenQuanYi Zen Hei"/>
        <family val="2"/>
      </rPr>
      <t xml:space="preserve">조항</t>
    </r>
  </si>
  <si>
    <r>
      <rPr>
        <sz val="10"/>
        <rFont val="Arial"/>
        <family val="0"/>
        <charset val="1"/>
      </rPr>
      <t xml:space="preserve">2</t>
    </r>
    <r>
      <rPr>
        <sz val="10"/>
        <rFont val="WenQuanYi Zen Hei"/>
        <family val="2"/>
      </rPr>
      <t xml:space="preserve">부 </t>
    </r>
    <r>
      <rPr>
        <sz val="10"/>
        <rFont val="Arial"/>
        <family val="0"/>
        <charset val="1"/>
      </rPr>
      <t xml:space="preserve">6</t>
    </r>
    <r>
      <rPr>
        <sz val="10"/>
        <rFont val="WenQuanYi Zen Hei"/>
        <family val="2"/>
      </rPr>
      <t xml:space="preserve">화</t>
    </r>
  </si>
  <si>
    <r>
      <rPr>
        <sz val="10"/>
        <rFont val="Arial"/>
        <family val="0"/>
        <charset val="1"/>
      </rPr>
      <t xml:space="preserve">11</t>
    </r>
    <r>
      <rPr>
        <sz val="10"/>
        <rFont val="WenQuanYi Zen Hei"/>
        <family val="2"/>
      </rPr>
      <t xml:space="preserve">부 </t>
    </r>
    <r>
      <rPr>
        <sz val="10"/>
        <rFont val="Arial"/>
        <family val="0"/>
        <charset val="1"/>
      </rPr>
      <t xml:space="preserve">3</t>
    </r>
    <r>
      <rPr>
        <sz val="10"/>
        <rFont val="WenQuanYi Zen Hei"/>
        <family val="2"/>
      </rPr>
      <t xml:space="preserve">화 — 자기가 쓰던 조항 전략을 국정에서 봉쇄</t>
    </r>
  </si>
  <si>
    <r>
      <rPr>
        <sz val="10"/>
        <rFont val="Arial"/>
        <family val="0"/>
        <charset val="1"/>
      </rPr>
      <t xml:space="preserve">Alessandro</t>
    </r>
    <r>
      <rPr>
        <sz val="10"/>
        <rFont val="WenQuanYi Zen Hei"/>
        <family val="2"/>
      </rPr>
      <t xml:space="preserve">의 </t>
    </r>
    <r>
      <rPr>
        <sz val="10"/>
        <rFont val="Arial"/>
        <family val="0"/>
        <charset val="1"/>
      </rPr>
      <t xml:space="preserve">«Questo non torna»</t>
    </r>
  </si>
  <si>
    <r>
      <rPr>
        <sz val="10"/>
        <rFont val="Arial"/>
        <family val="0"/>
        <charset val="1"/>
      </rPr>
      <t xml:space="preserve">2</t>
    </r>
    <r>
      <rPr>
        <sz val="10"/>
        <rFont val="WenQuanYi Zen Hei"/>
        <family val="2"/>
      </rPr>
      <t xml:space="preserve">부 </t>
    </r>
    <r>
      <rPr>
        <sz val="10"/>
        <rFont val="Arial"/>
        <family val="0"/>
        <charset val="1"/>
      </rPr>
      <t xml:space="preserve">4</t>
    </r>
    <r>
      <rPr>
        <sz val="10"/>
        <rFont val="WenQuanYi Zen Hei"/>
        <family val="2"/>
      </rPr>
      <t xml:space="preserve">화</t>
    </r>
  </si>
  <si>
    <r>
      <rPr>
        <sz val="10"/>
        <rFont val="Arial"/>
        <family val="0"/>
        <charset val="1"/>
      </rPr>
      <t xml:space="preserve">4</t>
    </r>
    <r>
      <rPr>
        <sz val="10"/>
        <rFont val="WenQuanYi Zen Hei"/>
        <family val="2"/>
      </rPr>
      <t xml:space="preserve">부 </t>
    </r>
    <r>
      <rPr>
        <sz val="10"/>
        <rFont val="Arial"/>
        <family val="0"/>
        <charset val="1"/>
      </rPr>
      <t xml:space="preserve">4</t>
    </r>
    <r>
      <rPr>
        <sz val="10"/>
        <rFont val="WenQuanYi Zen Hei"/>
        <family val="2"/>
      </rPr>
      <t xml:space="preserve">화 — 감사인의 눈이 처음 이상을 발견한 순간의 원점</t>
    </r>
  </si>
  <si>
    <r>
      <rPr>
        <sz val="10"/>
        <rFont val="Arial"/>
        <family val="0"/>
        <charset val="1"/>
      </rPr>
      <t xml:space="preserve">Alessandro</t>
    </r>
    <r>
      <rPr>
        <sz val="10"/>
        <rFont val="WenQuanYi Zen Hei"/>
        <family val="2"/>
      </rPr>
      <t xml:space="preserve">의 복사본 </t>
    </r>
    <r>
      <rPr>
        <sz val="10"/>
        <rFont val="Arial"/>
        <family val="0"/>
        <charset val="1"/>
      </rPr>
      <t xml:space="preserve">USB</t>
    </r>
  </si>
  <si>
    <r>
      <rPr>
        <sz val="10"/>
        <rFont val="Arial"/>
        <family val="0"/>
        <charset val="1"/>
      </rPr>
      <t xml:space="preserve">4</t>
    </r>
    <r>
      <rPr>
        <sz val="10"/>
        <rFont val="WenQuanYi Zen Hei"/>
        <family val="2"/>
      </rPr>
      <t xml:space="preserve">부 </t>
    </r>
    <r>
      <rPr>
        <sz val="10"/>
        <rFont val="Arial"/>
        <family val="0"/>
        <charset val="1"/>
      </rPr>
      <t xml:space="preserve">10</t>
    </r>
    <r>
      <rPr>
        <sz val="10"/>
        <rFont val="WenQuanYi Zen Hei"/>
        <family val="2"/>
      </rPr>
      <t xml:space="preserve">화</t>
    </r>
  </si>
  <si>
    <r>
      <rPr>
        <sz val="10"/>
        <rFont val="Arial"/>
        <family val="0"/>
        <charset val="1"/>
      </rPr>
      <t xml:space="preserve">7</t>
    </r>
    <r>
      <rPr>
        <sz val="10"/>
        <rFont val="WenQuanYi Zen Hei"/>
        <family val="2"/>
      </rPr>
      <t xml:space="preserve">부 </t>
    </r>
    <r>
      <rPr>
        <sz val="10"/>
        <rFont val="Arial"/>
        <family val="0"/>
        <charset val="1"/>
      </rPr>
      <t xml:space="preserve">5~6</t>
    </r>
    <r>
      <rPr>
        <sz val="10"/>
        <rFont val="WenQuanYi Zen Hei"/>
        <family val="2"/>
      </rPr>
      <t xml:space="preserve">화 — 서명의 죄가 고발의 증거로 바뀜</t>
    </r>
  </si>
  <si>
    <r>
      <rPr>
        <sz val="10"/>
        <rFont val="Arial"/>
        <family val="0"/>
        <charset val="1"/>
      </rPr>
      <t xml:space="preserve">Alessandro</t>
    </r>
    <r>
      <rPr>
        <sz val="10"/>
        <rFont val="WenQuanYi Zen Hei"/>
        <family val="2"/>
      </rPr>
      <t xml:space="preserve">의 </t>
    </r>
    <r>
      <rPr>
        <sz val="10"/>
        <rFont val="Arial"/>
        <family val="0"/>
        <charset val="1"/>
      </rPr>
      <t xml:space="preserve">«</t>
    </r>
    <r>
      <rPr>
        <sz val="10"/>
        <rFont val="WenQuanYi Zen Hei"/>
        <family val="2"/>
      </rPr>
      <t xml:space="preserve">다시는 서명하지 않는다</t>
    </r>
    <r>
      <rPr>
        <sz val="10"/>
        <rFont val="Arial"/>
        <family val="0"/>
        <charset val="1"/>
      </rPr>
      <t xml:space="preserve">»</t>
    </r>
  </si>
  <si>
    <r>
      <rPr>
        <sz val="10"/>
        <rFont val="Arial"/>
        <family val="0"/>
        <charset val="1"/>
      </rPr>
      <t xml:space="preserve">4</t>
    </r>
    <r>
      <rPr>
        <sz val="10"/>
        <rFont val="WenQuanYi Zen Hei"/>
        <family val="2"/>
      </rPr>
      <t xml:space="preserve">부 </t>
    </r>
    <r>
      <rPr>
        <sz val="10"/>
        <rFont val="Arial"/>
        <family val="0"/>
        <charset val="1"/>
      </rPr>
      <t xml:space="preserve">11</t>
    </r>
    <r>
      <rPr>
        <sz val="10"/>
        <rFont val="WenQuanYi Zen Hei"/>
        <family val="2"/>
      </rPr>
      <t xml:space="preserve">화</t>
    </r>
  </si>
  <si>
    <r>
      <rPr>
        <sz val="10"/>
        <rFont val="Arial"/>
        <family val="0"/>
        <charset val="1"/>
      </rPr>
      <t xml:space="preserve">11</t>
    </r>
    <r>
      <rPr>
        <sz val="10"/>
        <rFont val="WenQuanYi Zen Hei"/>
        <family val="2"/>
      </rPr>
      <t xml:space="preserve">부 </t>
    </r>
    <r>
      <rPr>
        <sz val="10"/>
        <rFont val="Arial"/>
        <family val="0"/>
        <charset val="1"/>
      </rPr>
      <t xml:space="preserve">10</t>
    </r>
    <r>
      <rPr>
        <sz val="10"/>
        <rFont val="WenQuanYi Zen Hei"/>
        <family val="2"/>
      </rPr>
      <t xml:space="preserve">화 — </t>
    </r>
    <r>
      <rPr>
        <sz val="10"/>
        <rFont val="Arial"/>
        <family val="0"/>
        <charset val="1"/>
      </rPr>
      <t xml:space="preserve">«Io firmo solo ciò che ho verificato.» — </t>
    </r>
    <r>
      <rPr>
        <sz val="10"/>
        <rFont val="WenQuanYi Zen Hei"/>
        <family val="2"/>
      </rPr>
      <t xml:space="preserve">브뤼셀 합의문 서명으로 회수</t>
    </r>
  </si>
  <si>
    <r>
      <rPr>
        <sz val="10"/>
        <rFont val="Arial"/>
        <family val="0"/>
        <charset val="1"/>
      </rPr>
      <t xml:space="preserve">Chiara</t>
    </r>
    <r>
      <rPr>
        <sz val="10"/>
        <rFont val="WenQuanYi Zen Hei"/>
        <family val="2"/>
      </rPr>
      <t xml:space="preserve">의 </t>
    </r>
    <r>
      <rPr>
        <sz val="10"/>
        <rFont val="Arial"/>
        <family val="0"/>
        <charset val="1"/>
      </rPr>
      <t xml:space="preserve">C47 </t>
    </r>
    <r>
      <rPr>
        <sz val="10"/>
        <rFont val="WenQuanYi Zen Hei"/>
        <family val="2"/>
      </rPr>
      <t xml:space="preserve">셀</t>
    </r>
  </si>
  <si>
    <r>
      <rPr>
        <sz val="10"/>
        <rFont val="Arial"/>
        <family val="0"/>
        <charset val="1"/>
      </rPr>
      <t xml:space="preserve">5</t>
    </r>
    <r>
      <rPr>
        <sz val="10"/>
        <rFont val="WenQuanYi Zen Hei"/>
        <family val="2"/>
      </rPr>
      <t xml:space="preserve">부 </t>
    </r>
    <r>
      <rPr>
        <sz val="10"/>
        <rFont val="Arial"/>
        <family val="0"/>
        <charset val="1"/>
      </rPr>
      <t xml:space="preserve">6</t>
    </r>
    <r>
      <rPr>
        <sz val="10"/>
        <rFont val="WenQuanYi Zen Hei"/>
        <family val="2"/>
      </rPr>
      <t xml:space="preserve">화</t>
    </r>
  </si>
  <si>
    <r>
      <rPr>
        <sz val="10"/>
        <rFont val="Arial"/>
        <family val="0"/>
        <charset val="1"/>
      </rPr>
      <t xml:space="preserve">11</t>
    </r>
    <r>
      <rPr>
        <sz val="10"/>
        <rFont val="WenQuanYi Zen Hei"/>
        <family val="2"/>
      </rPr>
      <t xml:space="preserve">부 </t>
    </r>
    <r>
      <rPr>
        <sz val="10"/>
        <rFont val="Arial"/>
        <family val="0"/>
        <charset val="1"/>
      </rPr>
      <t xml:space="preserve">9</t>
    </r>
    <r>
      <rPr>
        <sz val="10"/>
        <rFont val="WenQuanYi Zen Hei"/>
        <family val="2"/>
      </rPr>
      <t xml:space="preserve">화 — 사람을 지우던 셀이 해고 없는 통합 모델로</t>
    </r>
  </si>
  <si>
    <r>
      <rPr>
        <sz val="10"/>
        <rFont val="Arial"/>
        <family val="0"/>
        <charset val="1"/>
      </rPr>
      <t xml:space="preserve">Chiara</t>
    </r>
    <r>
      <rPr>
        <sz val="10"/>
        <rFont val="WenQuanYi Zen Hei"/>
        <family val="2"/>
      </rPr>
      <t xml:space="preserve">의 </t>
    </r>
    <r>
      <rPr>
        <sz val="10"/>
        <rFont val="Arial"/>
        <family val="0"/>
        <charset val="1"/>
      </rPr>
      <t xml:space="preserve">«Mettiamolo in una matrice»</t>
    </r>
  </si>
  <si>
    <r>
      <rPr>
        <sz val="10"/>
        <rFont val="Arial"/>
        <family val="0"/>
        <charset val="1"/>
      </rPr>
      <t xml:space="preserve">13</t>
    </r>
    <r>
      <rPr>
        <sz val="10"/>
        <rFont val="WenQuanYi Zen Hei"/>
        <family val="2"/>
      </rPr>
      <t xml:space="preserve">부 </t>
    </r>
    <r>
      <rPr>
        <sz val="10"/>
        <rFont val="Arial"/>
        <family val="0"/>
        <charset val="1"/>
      </rPr>
      <t xml:space="preserve">6</t>
    </r>
    <r>
      <rPr>
        <sz val="10"/>
        <rFont val="WenQuanYi Zen Hei"/>
        <family val="2"/>
      </rPr>
      <t xml:space="preserve">화 — </t>
    </r>
    <r>
      <rPr>
        <sz val="10"/>
        <rFont val="Arial"/>
        <family val="0"/>
        <charset val="1"/>
      </rPr>
      <t xml:space="preserve">«Ok, senza slide» — </t>
    </r>
    <r>
      <rPr>
        <sz val="10"/>
        <rFont val="WenQuanYi Zen Hei"/>
        <family val="2"/>
      </rPr>
      <t xml:space="preserve">쉬운 말로의 변화</t>
    </r>
  </si>
  <si>
    <r>
      <rPr>
        <sz val="10"/>
        <rFont val="Arial"/>
        <family val="0"/>
        <charset val="1"/>
      </rPr>
      <t xml:space="preserve">Giulia</t>
    </r>
    <r>
      <rPr>
        <sz val="10"/>
        <rFont val="WenQuanYi Zen Hei"/>
        <family val="2"/>
      </rPr>
      <t xml:space="preserve">의 이름 명단</t>
    </r>
  </si>
  <si>
    <r>
      <rPr>
        <sz val="10"/>
        <rFont val="Arial"/>
        <family val="0"/>
        <charset val="1"/>
      </rPr>
      <t xml:space="preserve">3</t>
    </r>
    <r>
      <rPr>
        <sz val="10"/>
        <rFont val="WenQuanYi Zen Hei"/>
        <family val="2"/>
      </rPr>
      <t xml:space="preserve">부 </t>
    </r>
    <r>
      <rPr>
        <sz val="10"/>
        <rFont val="Arial"/>
        <family val="0"/>
        <charset val="1"/>
      </rPr>
      <t xml:space="preserve">5</t>
    </r>
    <r>
      <rPr>
        <sz val="10"/>
        <rFont val="WenQuanYi Zen Hei"/>
        <family val="2"/>
      </rPr>
      <t xml:space="preserve">화</t>
    </r>
  </si>
  <si>
    <r>
      <rPr>
        <sz val="10"/>
        <rFont val="Arial"/>
        <family val="0"/>
        <charset val="1"/>
      </rPr>
      <t xml:space="preserve">13</t>
    </r>
    <r>
      <rPr>
        <sz val="10"/>
        <rFont val="WenQuanYi Zen Hei"/>
        <family val="2"/>
      </rPr>
      <t xml:space="preserve">부 </t>
    </r>
    <r>
      <rPr>
        <sz val="10"/>
        <rFont val="Arial"/>
        <family val="0"/>
        <charset val="1"/>
      </rPr>
      <t xml:space="preserve">7</t>
    </r>
    <r>
      <rPr>
        <sz val="10"/>
        <rFont val="WenQuanYi Zen Hei"/>
        <family val="2"/>
      </rPr>
      <t xml:space="preserve">화 — 수첩의 이름들이 임기 보고서의 사람 이야기가 됨</t>
    </r>
  </si>
  <si>
    <r>
      <rPr>
        <sz val="10"/>
        <rFont val="Arial"/>
        <family val="0"/>
        <charset val="1"/>
      </rPr>
      <t xml:space="preserve">Paolo–Chiara </t>
    </r>
    <r>
      <rPr>
        <sz val="10"/>
        <rFont val="WenQuanYi Zen Hei"/>
        <family val="2"/>
      </rPr>
      <t xml:space="preserve">갈등</t>
    </r>
  </si>
  <si>
    <t xml:space="preserve">관계</t>
  </si>
  <si>
    <r>
      <rPr>
        <sz val="10"/>
        <rFont val="Arial"/>
        <family val="0"/>
        <charset val="1"/>
      </rPr>
      <t xml:space="preserve">5</t>
    </r>
    <r>
      <rPr>
        <sz val="10"/>
        <rFont val="WenQuanYi Zen Hei"/>
        <family val="2"/>
      </rPr>
      <t xml:space="preserve">부 </t>
    </r>
    <r>
      <rPr>
        <sz val="10"/>
        <rFont val="Arial"/>
        <family val="0"/>
        <charset val="1"/>
      </rPr>
      <t xml:space="preserve">7·10</t>
    </r>
    <r>
      <rPr>
        <sz val="10"/>
        <rFont val="WenQuanYi Zen Hei"/>
        <family val="2"/>
      </rPr>
      <t xml:space="preserve">화</t>
    </r>
  </si>
  <si>
    <r>
      <rPr>
        <sz val="10"/>
        <rFont val="Arial"/>
        <family val="0"/>
        <charset val="1"/>
      </rPr>
      <t xml:space="preserve">10</t>
    </r>
    <r>
      <rPr>
        <sz val="10"/>
        <rFont val="WenQuanYi Zen Hei"/>
        <family val="2"/>
      </rPr>
      <t xml:space="preserve">부 </t>
    </r>
    <r>
      <rPr>
        <sz val="10"/>
        <rFont val="Arial"/>
        <family val="0"/>
        <charset val="1"/>
      </rPr>
      <t xml:space="preserve">8</t>
    </r>
    <r>
      <rPr>
        <sz val="10"/>
        <rFont val="WenQuanYi Zen Hei"/>
        <family val="2"/>
      </rPr>
      <t xml:space="preserve">화 — 해고한 쪽과 해고당한 쪽의 화해</t>
    </r>
  </si>
  <si>
    <t xml:space="preserve">Paolo, Chiara</t>
  </si>
  <si>
    <r>
      <rPr>
        <sz val="10"/>
        <rFont val="Arial"/>
        <family val="0"/>
        <charset val="1"/>
      </rPr>
      <t xml:space="preserve">Francesco</t>
    </r>
    <r>
      <rPr>
        <sz val="10"/>
        <rFont val="WenQuanYi Zen Hei"/>
        <family val="2"/>
      </rPr>
      <t xml:space="preserve">의 첫 등장</t>
    </r>
    <r>
      <rPr>
        <sz val="10"/>
        <rFont val="Arial"/>
        <family val="0"/>
        <charset val="1"/>
      </rPr>
      <t xml:space="preserve">(</t>
    </r>
    <r>
      <rPr>
        <sz val="10"/>
        <rFont val="WenQuanYi Zen Hei"/>
        <family val="2"/>
      </rPr>
      <t xml:space="preserve">의뢰인</t>
    </r>
    <r>
      <rPr>
        <sz val="10"/>
        <rFont val="Arial"/>
        <family val="0"/>
        <charset val="1"/>
      </rPr>
      <t xml:space="preserve">)</t>
    </r>
  </si>
  <si>
    <r>
      <rPr>
        <sz val="10"/>
        <rFont val="Arial"/>
        <family val="0"/>
        <charset val="1"/>
      </rPr>
      <t xml:space="preserve">1</t>
    </r>
    <r>
      <rPr>
        <sz val="10"/>
        <rFont val="WenQuanYi Zen Hei"/>
        <family val="2"/>
      </rPr>
      <t xml:space="preserve">부 </t>
    </r>
    <r>
      <rPr>
        <sz val="10"/>
        <rFont val="Arial"/>
        <family val="0"/>
        <charset val="1"/>
      </rPr>
      <t xml:space="preserve">9</t>
    </r>
    <r>
      <rPr>
        <sz val="10"/>
        <rFont val="WenQuanYi Zen Hei"/>
        <family val="2"/>
      </rPr>
      <t xml:space="preserve">화</t>
    </r>
  </si>
  <si>
    <r>
      <rPr>
        <sz val="10"/>
        <rFont val="Arial"/>
        <family val="0"/>
        <charset val="1"/>
      </rPr>
      <t xml:space="preserve">9</t>
    </r>
    <r>
      <rPr>
        <sz val="10"/>
        <rFont val="WenQuanYi Zen Hei"/>
        <family val="2"/>
      </rPr>
      <t xml:space="preserve">부 </t>
    </r>
    <r>
      <rPr>
        <sz val="10"/>
        <rFont val="Arial"/>
        <family val="0"/>
        <charset val="1"/>
      </rPr>
      <t xml:space="preserve">8</t>
    </r>
    <r>
      <rPr>
        <sz val="10"/>
        <rFont val="WenQuanYi Zen Hei"/>
        <family val="2"/>
      </rPr>
      <t xml:space="preserve">화 — 내부고발자가 시 계약 스캔들의 열쇠가 됨</t>
    </r>
  </si>
  <si>
    <r>
      <rPr>
        <sz val="10"/>
        <rFont val="Arial"/>
        <family val="0"/>
        <charset val="1"/>
      </rPr>
      <t xml:space="preserve">Gruppo Meridiano</t>
    </r>
    <r>
      <rPr>
        <sz val="10"/>
        <rFont val="WenQuanYi Zen Hei"/>
        <family val="2"/>
      </rPr>
      <t xml:space="preserve">의 이름</t>
    </r>
  </si>
  <si>
    <r>
      <rPr>
        <sz val="10"/>
        <rFont val="Arial"/>
        <family val="0"/>
        <charset val="1"/>
      </rPr>
      <t xml:space="preserve">2</t>
    </r>
    <r>
      <rPr>
        <sz val="10"/>
        <rFont val="WenQuanYi Zen Hei"/>
        <family val="2"/>
      </rPr>
      <t xml:space="preserve">부 </t>
    </r>
    <r>
      <rPr>
        <sz val="10"/>
        <rFont val="Arial"/>
        <family val="0"/>
        <charset val="1"/>
      </rPr>
      <t xml:space="preserve">3</t>
    </r>
    <r>
      <rPr>
        <sz val="10"/>
        <rFont val="WenQuanYi Zen Hei"/>
        <family val="2"/>
      </rPr>
      <t xml:space="preserve">화</t>
    </r>
  </si>
  <si>
    <r>
      <rPr>
        <sz val="10"/>
        <rFont val="Arial"/>
        <family val="0"/>
        <charset val="1"/>
      </rPr>
      <t xml:space="preserve">12</t>
    </r>
    <r>
      <rPr>
        <sz val="10"/>
        <rFont val="WenQuanYi Zen Hei"/>
        <family val="2"/>
      </rPr>
      <t xml:space="preserve">부 </t>
    </r>
    <r>
      <rPr>
        <sz val="10"/>
        <rFont val="Arial"/>
        <family val="0"/>
        <charset val="1"/>
      </rPr>
      <t xml:space="preserve">7</t>
    </r>
    <r>
      <rPr>
        <sz val="10"/>
        <rFont val="WenQuanYi Zen Hei"/>
        <family val="2"/>
      </rPr>
      <t xml:space="preserve">화 — </t>
    </r>
    <r>
      <rPr>
        <sz val="10"/>
        <rFont val="Arial"/>
        <family val="0"/>
        <charset val="1"/>
      </rPr>
      <t xml:space="preserve">13</t>
    </r>
    <r>
      <rPr>
        <sz val="10"/>
        <rFont val="WenQuanYi Zen Hei"/>
        <family val="2"/>
      </rPr>
      <t xml:space="preserve">부를 관통하는 악역의 수사가 불신임안 정국 속에서 재판으로 넘어감</t>
    </r>
  </si>
  <si>
    <r>
      <rPr>
        <sz val="10"/>
        <rFont val="Arial"/>
        <family val="0"/>
        <charset val="1"/>
      </rPr>
      <t xml:space="preserve">Montessori</t>
    </r>
    <r>
      <rPr>
        <sz val="10"/>
        <rFont val="WenQuanYi Zen Hei"/>
        <family val="2"/>
      </rPr>
      <t xml:space="preserve">의 </t>
    </r>
    <r>
      <rPr>
        <sz val="10"/>
        <rFont val="Arial"/>
        <family val="0"/>
        <charset val="1"/>
      </rPr>
      <t xml:space="preserve">«E questo come ti fa sentire?»</t>
    </r>
  </si>
  <si>
    <r>
      <rPr>
        <sz val="10"/>
        <rFont val="Arial"/>
        <family val="0"/>
        <charset val="1"/>
      </rPr>
      <t xml:space="preserve">1</t>
    </r>
    <r>
      <rPr>
        <sz val="10"/>
        <rFont val="WenQuanYi Zen Hei"/>
        <family val="2"/>
      </rPr>
      <t xml:space="preserve">부 </t>
    </r>
    <r>
      <rPr>
        <sz val="10"/>
        <rFont val="Arial"/>
        <family val="0"/>
        <charset val="1"/>
      </rPr>
      <t xml:space="preserve">7</t>
    </r>
    <r>
      <rPr>
        <sz val="10"/>
        <rFont val="WenQuanYi Zen Hei"/>
        <family val="2"/>
      </rPr>
      <t xml:space="preserve">화</t>
    </r>
  </si>
  <si>
    <r>
      <rPr>
        <sz val="10"/>
        <rFont val="Arial"/>
        <family val="0"/>
        <charset val="1"/>
      </rPr>
      <t xml:space="preserve">12</t>
    </r>
    <r>
      <rPr>
        <sz val="10"/>
        <rFont val="WenQuanYi Zen Hei"/>
        <family val="2"/>
      </rPr>
      <t xml:space="preserve">부</t>
    </r>
    <r>
      <rPr>
        <sz val="10"/>
        <rFont val="Arial"/>
        <family val="0"/>
        <charset val="1"/>
      </rPr>
      <t xml:space="preserve">(</t>
    </r>
    <r>
      <rPr>
        <sz val="10"/>
        <rFont val="WenQuanYi Zen Hei"/>
        <family val="2"/>
      </rPr>
      <t xml:space="preserve">애도 상담</t>
    </r>
    <r>
      <rPr>
        <sz val="10"/>
        <rFont val="Arial"/>
        <family val="0"/>
        <charset val="1"/>
      </rPr>
      <t xml:space="preserve">) — </t>
    </r>
    <r>
      <rPr>
        <sz val="10"/>
        <rFont val="WenQuanYi Zen Hei"/>
        <family val="2"/>
      </rPr>
      <t xml:space="preserve">다들 질색하던 질문이 처음 진지하게 쓰임</t>
    </r>
  </si>
  <si>
    <r>
      <rPr>
        <sz val="10"/>
        <rFont val="Arial"/>
        <family val="0"/>
        <charset val="1"/>
      </rPr>
      <t xml:space="preserve">Dante</t>
    </r>
    <r>
      <rPr>
        <sz val="10"/>
        <rFont val="WenQuanYi Zen Hei"/>
        <family val="2"/>
      </rPr>
      <t xml:space="preserve">의 서툰 첫 연설</t>
    </r>
  </si>
  <si>
    <r>
      <rPr>
        <sz val="10"/>
        <rFont val="Arial"/>
        <family val="0"/>
        <charset val="1"/>
      </rPr>
      <t xml:space="preserve">6</t>
    </r>
    <r>
      <rPr>
        <sz val="10"/>
        <rFont val="WenQuanYi Zen Hei"/>
        <family val="2"/>
      </rPr>
      <t xml:space="preserve">부 </t>
    </r>
    <r>
      <rPr>
        <sz val="10"/>
        <rFont val="Arial"/>
        <family val="0"/>
        <charset val="1"/>
      </rPr>
      <t xml:space="preserve">9</t>
    </r>
    <r>
      <rPr>
        <sz val="10"/>
        <rFont val="WenQuanYi Zen Hei"/>
        <family val="2"/>
      </rPr>
      <t xml:space="preserve">화</t>
    </r>
  </si>
  <si>
    <r>
      <rPr>
        <sz val="10"/>
        <rFont val="Arial"/>
        <family val="0"/>
        <charset val="1"/>
      </rPr>
      <t xml:space="preserve">10</t>
    </r>
    <r>
      <rPr>
        <sz val="10"/>
        <rFont val="WenQuanYi Zen Hei"/>
        <family val="2"/>
      </rPr>
      <t xml:space="preserve">부 </t>
    </r>
    <r>
      <rPr>
        <sz val="10"/>
        <rFont val="Arial"/>
        <family val="0"/>
        <charset val="1"/>
      </rPr>
      <t xml:space="preserve">12</t>
    </r>
    <r>
      <rPr>
        <sz val="10"/>
        <rFont val="WenQuanYi Zen Hei"/>
        <family val="2"/>
      </rPr>
      <t xml:space="preserve">화 — 취임 연설</t>
    </r>
    <r>
      <rPr>
        <sz val="10"/>
        <rFont val="Arial"/>
        <family val="0"/>
        <charset val="1"/>
      </rPr>
      <t xml:space="preserve">·</t>
    </r>
    <r>
      <rPr>
        <sz val="10"/>
        <rFont val="WenQuanYi Zen Hei"/>
        <family val="2"/>
      </rPr>
      <t xml:space="preserve">유작 메모까지 이어지는 글쟁이의 성장</t>
    </r>
  </si>
  <si>
    <r>
      <rPr>
        <sz val="10"/>
        <rFont val="Arial"/>
        <family val="0"/>
        <charset val="1"/>
      </rPr>
      <t xml:space="preserve">Garibaldi</t>
    </r>
    <r>
      <rPr>
        <sz val="10"/>
        <rFont val="WenQuanYi Zen Hei"/>
        <family val="2"/>
      </rPr>
      <t xml:space="preserve">의 </t>
    </r>
    <r>
      <rPr>
        <sz val="10"/>
        <rFont val="Arial"/>
        <family val="0"/>
        <charset val="1"/>
      </rPr>
      <t xml:space="preserve">«Nulla da segnalare»</t>
    </r>
  </si>
  <si>
    <r>
      <rPr>
        <sz val="10"/>
        <rFont val="Arial"/>
        <family val="0"/>
        <charset val="1"/>
      </rPr>
      <t xml:space="preserve">1</t>
    </r>
    <r>
      <rPr>
        <sz val="10"/>
        <rFont val="WenQuanYi Zen Hei"/>
        <family val="2"/>
      </rPr>
      <t xml:space="preserve">부 </t>
    </r>
    <r>
      <rPr>
        <sz val="10"/>
        <rFont val="Arial"/>
        <family val="0"/>
        <charset val="1"/>
      </rPr>
      <t xml:space="preserve">4</t>
    </r>
    <r>
      <rPr>
        <sz val="10"/>
        <rFont val="WenQuanYi Zen Hei"/>
        <family val="2"/>
      </rPr>
      <t xml:space="preserve">화</t>
    </r>
  </si>
  <si>
    <r>
      <rPr>
        <sz val="10"/>
        <rFont val="Arial"/>
        <family val="0"/>
        <charset val="1"/>
      </rPr>
      <t xml:space="preserve">12</t>
    </r>
    <r>
      <rPr>
        <sz val="10"/>
        <rFont val="WenQuanYi Zen Hei"/>
        <family val="2"/>
      </rPr>
      <t xml:space="preserve">부 </t>
    </r>
    <r>
      <rPr>
        <sz val="10"/>
        <rFont val="Arial"/>
        <family val="0"/>
        <charset val="1"/>
      </rPr>
      <t xml:space="preserve">8</t>
    </r>
    <r>
      <rPr>
        <sz val="10"/>
        <rFont val="WenQuanYi Zen Hei"/>
        <family val="2"/>
      </rPr>
      <t xml:space="preserve">화 — 홍수 앞에서 처음으로 </t>
    </r>
    <r>
      <rPr>
        <sz val="10"/>
        <rFont val="Arial"/>
        <family val="0"/>
        <charset val="1"/>
      </rPr>
      <t xml:space="preserve">«C'è da segnalare»</t>
    </r>
    <r>
      <rPr>
        <sz val="10"/>
        <rFont val="WenQuanYi Zen Hei"/>
        <family val="2"/>
      </rPr>
      <t xml:space="preserve">라고 보고</t>
    </r>
  </si>
  <si>
    <r>
      <rPr>
        <sz val="10"/>
        <rFont val="Arial"/>
        <family val="0"/>
        <charset val="1"/>
      </rPr>
      <t xml:space="preserve">Rosa</t>
    </r>
    <r>
      <rPr>
        <sz val="10"/>
        <rFont val="WenQuanYi Zen Hei"/>
        <family val="2"/>
      </rPr>
      <t xml:space="preserve">의 식탁과 </t>
    </r>
    <r>
      <rPr>
        <sz val="10"/>
        <rFont val="Arial"/>
        <family val="0"/>
        <charset val="1"/>
      </rPr>
      <t xml:space="preserve">«Sedetevi, che vi porto qualcosa.»</t>
    </r>
  </si>
  <si>
    <r>
      <rPr>
        <sz val="10"/>
        <rFont val="Arial"/>
        <family val="0"/>
        <charset val="1"/>
      </rPr>
      <t xml:space="preserve">1</t>
    </r>
    <r>
      <rPr>
        <sz val="10"/>
        <rFont val="WenQuanYi Zen Hei"/>
        <family val="2"/>
      </rPr>
      <t xml:space="preserve">부 </t>
    </r>
    <r>
      <rPr>
        <sz val="10"/>
        <rFont val="Arial"/>
        <family val="0"/>
        <charset val="1"/>
      </rPr>
      <t xml:space="preserve">1·12</t>
    </r>
    <r>
      <rPr>
        <sz val="10"/>
        <rFont val="WenQuanYi Zen Hei"/>
        <family val="2"/>
      </rPr>
      <t xml:space="preserve">화</t>
    </r>
  </si>
  <si>
    <r>
      <rPr>
        <sz val="10"/>
        <rFont val="Arial"/>
        <family val="0"/>
        <charset val="1"/>
      </rPr>
      <t xml:space="preserve">13</t>
    </r>
    <r>
      <rPr>
        <sz val="10"/>
        <rFont val="WenQuanYi Zen Hei"/>
        <family val="2"/>
      </rPr>
      <t xml:space="preserve">부 </t>
    </r>
    <r>
      <rPr>
        <sz val="10"/>
        <rFont val="Arial"/>
        <family val="0"/>
        <charset val="1"/>
      </rPr>
      <t xml:space="preserve">12</t>
    </r>
    <r>
      <rPr>
        <sz val="10"/>
        <rFont val="WenQuanYi Zen Hei"/>
        <family val="2"/>
      </rPr>
      <t xml:space="preserve">화 — 같은 대사로 시작해 같은 대사로 끝나는 원형</t>
    </r>
  </si>
  <si>
    <t xml:space="preserve">«Sono le cinque. Comincia la riunione…»</t>
  </si>
  <si>
    <r>
      <rPr>
        <sz val="10"/>
        <rFont val="Arial"/>
        <family val="0"/>
        <charset val="1"/>
      </rPr>
      <t xml:space="preserve">6</t>
    </r>
    <r>
      <rPr>
        <sz val="10"/>
        <rFont val="WenQuanYi Zen Hei"/>
        <family val="2"/>
      </rPr>
      <t xml:space="preserve">부 </t>
    </r>
    <r>
      <rPr>
        <sz val="10"/>
        <rFont val="Arial"/>
        <family val="0"/>
        <charset val="1"/>
      </rPr>
      <t xml:space="preserve">12</t>
    </r>
    <r>
      <rPr>
        <sz val="10"/>
        <rFont val="WenQuanYi Zen Hei"/>
        <family val="2"/>
      </rPr>
      <t xml:space="preserve">화</t>
    </r>
  </si>
  <si>
    <r>
      <rPr>
        <sz val="10"/>
        <rFont val="Arial"/>
        <family val="0"/>
        <charset val="1"/>
      </rPr>
      <t xml:space="preserve">13</t>
    </r>
    <r>
      <rPr>
        <sz val="10"/>
        <rFont val="WenQuanYi Zen Hei"/>
        <family val="2"/>
      </rPr>
      <t xml:space="preserve">부 </t>
    </r>
    <r>
      <rPr>
        <sz val="10"/>
        <rFont val="Arial"/>
        <family val="0"/>
        <charset val="1"/>
      </rPr>
      <t xml:space="preserve">1·11</t>
    </r>
    <r>
      <rPr>
        <sz val="10"/>
        <rFont val="WenQuanYi Zen Hei"/>
        <family val="2"/>
      </rPr>
      <t xml:space="preserve">화 — 시간의 고리</t>
    </r>
    <r>
      <rPr>
        <sz val="10"/>
        <rFont val="Arial"/>
        <family val="0"/>
        <charset val="1"/>
      </rPr>
      <t xml:space="preserve">: </t>
    </r>
    <r>
      <rPr>
        <sz val="10"/>
        <rFont val="WenQuanYi Zen Hei"/>
        <family val="2"/>
      </rPr>
      <t xml:space="preserve">낭독자가 같은 문장을 다시 읽음</t>
    </r>
  </si>
  <si>
    <r>
      <rPr>
        <sz val="10"/>
        <rFont val="Arial"/>
        <family val="0"/>
        <charset val="1"/>
      </rPr>
      <t xml:space="preserve">TB</t>
    </r>
    <r>
      <rPr>
        <sz val="10"/>
        <rFont val="WenQuanYi Zen Hei"/>
        <family val="2"/>
      </rPr>
      <t xml:space="preserve">의 조건부 기권</t>
    </r>
  </si>
  <si>
    <r>
      <rPr>
        <sz val="10"/>
        <rFont val="Arial"/>
        <family val="0"/>
        <charset val="1"/>
      </rPr>
      <t xml:space="preserve">10</t>
    </r>
    <r>
      <rPr>
        <sz val="10"/>
        <rFont val="WenQuanYi Zen Hei"/>
        <family val="2"/>
      </rPr>
      <t xml:space="preserve">부 </t>
    </r>
    <r>
      <rPr>
        <sz val="10"/>
        <rFont val="Arial"/>
        <family val="0"/>
        <charset val="1"/>
      </rPr>
      <t xml:space="preserve">11~12</t>
    </r>
    <r>
      <rPr>
        <sz val="10"/>
        <rFont val="WenQuanYi Zen Hei"/>
        <family val="2"/>
      </rPr>
      <t xml:space="preserve">화</t>
    </r>
  </si>
  <si>
    <r>
      <rPr>
        <sz val="10"/>
        <rFont val="Arial"/>
        <family val="0"/>
        <charset val="1"/>
      </rPr>
      <t xml:space="preserve">12</t>
    </r>
    <r>
      <rPr>
        <sz val="10"/>
        <rFont val="WenQuanYi Zen Hei"/>
        <family val="2"/>
      </rPr>
      <t xml:space="preserve">부 </t>
    </r>
    <r>
      <rPr>
        <sz val="10"/>
        <rFont val="Arial"/>
        <family val="0"/>
        <charset val="1"/>
      </rPr>
      <t xml:space="preserve">7</t>
    </r>
    <r>
      <rPr>
        <sz val="10"/>
        <rFont val="WenQuanYi Zen Hei"/>
        <family val="2"/>
      </rPr>
      <t xml:space="preserve">화 — 협상의 대가</t>
    </r>
    <r>
      <rPr>
        <sz val="10"/>
        <rFont val="Arial"/>
        <family val="0"/>
        <charset val="1"/>
      </rPr>
      <t xml:space="preserve">(</t>
    </r>
    <r>
      <rPr>
        <sz val="10"/>
        <rFont val="WenQuanYi Zen Hei"/>
        <family val="2"/>
      </rPr>
      <t xml:space="preserve">차등 자치</t>
    </r>
    <r>
      <rPr>
        <sz val="10"/>
        <rFont val="Arial"/>
        <family val="0"/>
        <charset val="1"/>
      </rPr>
      <t xml:space="preserve">)</t>
    </r>
    <r>
      <rPr>
        <sz val="10"/>
        <rFont val="WenQuanYi Zen Hei"/>
        <family val="2"/>
      </rPr>
      <t xml:space="preserve">가 불신임안 정국으로 이어짐</t>
    </r>
  </si>
  <si>
    <t xml:space="preserve">Chiara, Marco, Machiavelli</t>
  </si>
  <si>
    <t xml:space="preserve">공직자 범죄 축소·도청 제한 법안</t>
  </si>
  <si>
    <r>
      <rPr>
        <sz val="10"/>
        <rFont val="Arial"/>
        <family val="0"/>
        <charset val="1"/>
      </rPr>
      <t xml:space="preserve">7</t>
    </r>
    <r>
      <rPr>
        <sz val="10"/>
        <rFont val="WenQuanYi Zen Hei"/>
        <family val="2"/>
      </rPr>
      <t xml:space="preserve">부 </t>
    </r>
    <r>
      <rPr>
        <sz val="10"/>
        <rFont val="Arial"/>
        <family val="0"/>
        <charset val="1"/>
      </rPr>
      <t xml:space="preserve">11</t>
    </r>
    <r>
      <rPr>
        <sz val="10"/>
        <rFont val="WenQuanYi Zen Hei"/>
        <family val="2"/>
      </rPr>
      <t xml:space="preserve">화</t>
    </r>
  </si>
  <si>
    <r>
      <rPr>
        <sz val="10"/>
        <rFont val="Arial"/>
        <family val="0"/>
        <charset val="1"/>
      </rPr>
      <t xml:space="preserve">8</t>
    </r>
    <r>
      <rPr>
        <sz val="10"/>
        <rFont val="WenQuanYi Zen Hei"/>
        <family val="2"/>
      </rPr>
      <t xml:space="preserve">부 </t>
    </r>
    <r>
      <rPr>
        <sz val="10"/>
        <rFont val="Arial"/>
        <family val="0"/>
        <charset val="1"/>
      </rPr>
      <t xml:space="preserve">1~5</t>
    </r>
    <r>
      <rPr>
        <sz val="10"/>
        <rFont val="WenQuanYi Zen Hei"/>
        <family val="2"/>
      </rPr>
      <t xml:space="preserve">화 — 법정 승리가 법 앞에서 무력해지는 경험이 국민투표와 창당의 동기</t>
    </r>
  </si>
  <si>
    <t xml:space="preserve">Marco, Paolo</t>
  </si>
  <si>
    <r>
      <rPr>
        <sz val="10"/>
        <rFont val="Arial"/>
        <family val="0"/>
        <charset val="1"/>
      </rPr>
      <t xml:space="preserve">Cesare</t>
    </r>
    <r>
      <rPr>
        <sz val="10"/>
        <rFont val="WenQuanYi Zen Hei"/>
        <family val="2"/>
      </rPr>
      <t xml:space="preserve">가 브뤼셀行을 자원한다</t>
    </r>
  </si>
  <si>
    <r>
      <rPr>
        <sz val="10"/>
        <rFont val="Arial"/>
        <family val="0"/>
        <charset val="1"/>
      </rPr>
      <t xml:space="preserve">11</t>
    </r>
    <r>
      <rPr>
        <sz val="10"/>
        <rFont val="WenQuanYi Zen Hei"/>
        <family val="2"/>
      </rPr>
      <t xml:space="preserve">부 </t>
    </r>
    <r>
      <rPr>
        <sz val="10"/>
        <rFont val="Arial"/>
        <family val="0"/>
        <charset val="1"/>
      </rPr>
      <t xml:space="preserve">9</t>
    </r>
    <r>
      <rPr>
        <sz val="10"/>
        <rFont val="WenQuanYi Zen Hei"/>
        <family val="2"/>
      </rPr>
      <t xml:space="preserve">화</t>
    </r>
  </si>
  <si>
    <r>
      <rPr>
        <sz val="10"/>
        <rFont val="Arial"/>
        <family val="0"/>
        <charset val="1"/>
      </rPr>
      <t xml:space="preserve">12</t>
    </r>
    <r>
      <rPr>
        <sz val="10"/>
        <rFont val="WenQuanYi Zen Hei"/>
        <family val="2"/>
      </rPr>
      <t xml:space="preserve">부 </t>
    </r>
    <r>
      <rPr>
        <sz val="10"/>
        <rFont val="Arial"/>
        <family val="0"/>
        <charset val="1"/>
      </rPr>
      <t xml:space="preserve">3</t>
    </r>
    <r>
      <rPr>
        <sz val="10"/>
        <rFont val="WenQuanYi Zen Hei"/>
        <family val="2"/>
      </rPr>
      <t xml:space="preserve">화 — 그의 메모로 팀이 </t>
    </r>
    <r>
      <rPr>
        <sz val="10"/>
        <rFont val="Arial"/>
        <family val="0"/>
        <charset val="1"/>
      </rPr>
      <t xml:space="preserve">2</t>
    </r>
    <r>
      <rPr>
        <sz val="10"/>
        <rFont val="WenQuanYi Zen Hei"/>
        <family val="2"/>
      </rPr>
      <t xml:space="preserve">차 협상을 잇는 복선</t>
    </r>
  </si>
  <si>
    <r>
      <rPr>
        <sz val="10"/>
        <rFont val="Arial"/>
        <family val="0"/>
        <charset val="1"/>
      </rPr>
      <t xml:space="preserve">Cesare</t>
    </r>
    <r>
      <rPr>
        <sz val="10"/>
        <rFont val="WenQuanYi Zen Hei"/>
        <family val="2"/>
      </rPr>
      <t xml:space="preserve">가 상대의 거짓 주장을 반박한다</t>
    </r>
  </si>
  <si>
    <r>
      <rPr>
        <sz val="10"/>
        <rFont val="Arial"/>
        <family val="0"/>
        <charset val="1"/>
      </rPr>
      <t xml:space="preserve">11</t>
    </r>
    <r>
      <rPr>
        <sz val="10"/>
        <rFont val="WenQuanYi Zen Hei"/>
        <family val="2"/>
      </rPr>
      <t xml:space="preserve">부 </t>
    </r>
    <r>
      <rPr>
        <sz val="10"/>
        <rFont val="Arial"/>
        <family val="0"/>
        <charset val="1"/>
      </rPr>
      <t xml:space="preserve">10</t>
    </r>
    <r>
      <rPr>
        <sz val="10"/>
        <rFont val="WenQuanYi Zen Hei"/>
        <family val="2"/>
      </rPr>
      <t xml:space="preserve">화</t>
    </r>
  </si>
  <si>
    <r>
      <rPr>
        <sz val="10"/>
        <rFont val="Arial"/>
        <family val="0"/>
        <charset val="1"/>
      </rPr>
      <t xml:space="preserve">12</t>
    </r>
    <r>
      <rPr>
        <sz val="10"/>
        <rFont val="WenQuanYi Zen Hei"/>
        <family val="2"/>
      </rPr>
      <t xml:space="preserve">부 </t>
    </r>
    <r>
      <rPr>
        <sz val="10"/>
        <rFont val="Arial"/>
        <family val="0"/>
        <charset val="1"/>
      </rPr>
      <t xml:space="preserve">3</t>
    </r>
    <r>
      <rPr>
        <sz val="10"/>
        <rFont val="WenQuanYi Zen Hei"/>
        <family val="2"/>
      </rPr>
      <t xml:space="preserve">화 — </t>
    </r>
    <r>
      <rPr>
        <sz val="10"/>
        <rFont val="Arial"/>
        <family val="0"/>
        <charset val="1"/>
      </rPr>
      <t xml:space="preserve">Dante·Alessandro</t>
    </r>
    <r>
      <rPr>
        <sz val="10"/>
        <rFont val="WenQuanYi Zen Hei"/>
        <family val="2"/>
      </rPr>
      <t xml:space="preserve">가 같은 화법</t>
    </r>
    <r>
      <rPr>
        <sz val="10"/>
        <rFont val="Arial"/>
        <family val="0"/>
        <charset val="1"/>
      </rPr>
      <t xml:space="preserve">(</t>
    </r>
    <r>
      <rPr>
        <sz val="10"/>
        <rFont val="WenQuanYi Zen Hei"/>
        <family val="2"/>
      </rPr>
      <t xml:space="preserve">정확한 반박</t>
    </r>
    <r>
      <rPr>
        <sz val="10"/>
        <rFont val="Arial"/>
        <family val="0"/>
        <charset val="1"/>
      </rPr>
      <t xml:space="preserve">)</t>
    </r>
    <r>
      <rPr>
        <sz val="10"/>
        <rFont val="WenQuanYi Zen Hei"/>
        <family val="2"/>
      </rPr>
      <t xml:space="preserve">을 물려받음</t>
    </r>
  </si>
  <si>
    <t xml:space="preserve">Cesare, Alessandro</t>
  </si>
  <si>
    <r>
      <rPr>
        <sz val="10"/>
        <rFont val="Arial"/>
        <family val="0"/>
        <charset val="1"/>
      </rPr>
      <t xml:space="preserve">7</t>
    </r>
    <r>
      <rPr>
        <sz val="10"/>
        <rFont val="WenQuanYi Zen Hei"/>
        <family val="2"/>
      </rPr>
      <t xml:space="preserve">부의 도청 논쟁</t>
    </r>
  </si>
  <si>
    <r>
      <rPr>
        <sz val="10"/>
        <rFont val="Arial"/>
        <family val="0"/>
        <charset val="1"/>
      </rPr>
      <t xml:space="preserve">7</t>
    </r>
    <r>
      <rPr>
        <sz val="10"/>
        <rFont val="WenQuanYi Zen Hei"/>
        <family val="2"/>
      </rPr>
      <t xml:space="preserve">부 </t>
    </r>
    <r>
      <rPr>
        <sz val="10"/>
        <rFont val="Arial"/>
        <family val="0"/>
        <charset val="1"/>
      </rPr>
      <t xml:space="preserve">8</t>
    </r>
    <r>
      <rPr>
        <sz val="10"/>
        <rFont val="WenQuanYi Zen Hei"/>
        <family val="2"/>
      </rPr>
      <t xml:space="preserve">화</t>
    </r>
  </si>
  <si>
    <r>
      <rPr>
        <sz val="10"/>
        <rFont val="Arial"/>
        <family val="0"/>
        <charset val="1"/>
      </rPr>
      <t xml:space="preserve">12</t>
    </r>
    <r>
      <rPr>
        <sz val="10"/>
        <rFont val="WenQuanYi Zen Hei"/>
        <family val="2"/>
      </rPr>
      <t xml:space="preserve">부 </t>
    </r>
    <r>
      <rPr>
        <sz val="10"/>
        <rFont val="Arial"/>
        <family val="0"/>
        <charset val="1"/>
      </rPr>
      <t xml:space="preserve">5</t>
    </r>
    <r>
      <rPr>
        <sz val="10"/>
        <rFont val="WenQuanYi Zen Hei"/>
        <family val="2"/>
      </rPr>
      <t xml:space="preserve">화 — 개인 간 도청 논쟁이 국가적 스파이웨어 스캔들로 확장</t>
    </r>
  </si>
  <si>
    <t xml:space="preserve">Gramsci, Marco, Galileo</t>
  </si>
  <si>
    <r>
      <rPr>
        <sz val="10"/>
        <rFont val="Arial"/>
        <family val="0"/>
        <charset val="1"/>
      </rPr>
      <t xml:space="preserve">Galileo</t>
    </r>
    <r>
      <rPr>
        <sz val="10"/>
        <rFont val="WenQuanYi Zen Hei"/>
        <family val="2"/>
      </rPr>
      <t xml:space="preserve">의 </t>
    </r>
    <r>
      <rPr>
        <sz val="10"/>
        <rFont val="Arial"/>
        <family val="0"/>
        <charset val="1"/>
      </rPr>
      <t xml:space="preserve">«Mi servono due fonti indipendenti»</t>
    </r>
  </si>
  <si>
    <r>
      <rPr>
        <sz val="10"/>
        <rFont val="Arial"/>
        <family val="0"/>
        <charset val="1"/>
      </rPr>
      <t xml:space="preserve">1</t>
    </r>
    <r>
      <rPr>
        <sz val="10"/>
        <rFont val="WenQuanYi Zen Hei"/>
        <family val="2"/>
      </rPr>
      <t xml:space="preserve">부 </t>
    </r>
    <r>
      <rPr>
        <sz val="10"/>
        <rFont val="Arial"/>
        <family val="0"/>
        <charset val="1"/>
      </rPr>
      <t xml:space="preserve">11</t>
    </r>
    <r>
      <rPr>
        <sz val="10"/>
        <rFont val="WenQuanYi Zen Hei"/>
        <family val="2"/>
      </rPr>
      <t xml:space="preserve">화</t>
    </r>
  </si>
  <si>
    <r>
      <rPr>
        <sz val="10"/>
        <rFont val="Arial"/>
        <family val="0"/>
        <charset val="1"/>
      </rPr>
      <t xml:space="preserve">9</t>
    </r>
    <r>
      <rPr>
        <sz val="10"/>
        <rFont val="WenQuanYi Zen Hei"/>
        <family val="2"/>
      </rPr>
      <t xml:space="preserve">부 </t>
    </r>
    <r>
      <rPr>
        <sz val="10"/>
        <rFont val="Arial"/>
        <family val="0"/>
        <charset val="1"/>
      </rPr>
      <t xml:space="preserve">8</t>
    </r>
    <r>
      <rPr>
        <sz val="10"/>
        <rFont val="WenQuanYi Zen Hei"/>
        <family val="2"/>
      </rPr>
      <t xml:space="preserve">화 — 폭로 기사에서 두 개의 독립 출처를 갖추는 장면</t>
    </r>
  </si>
  <si>
    <t xml:space="preserve">Galileo, Gramsci</t>
  </si>
  <si>
    <t xml:space="preserve">평균 간격(부)</t>
  </si>
  <si>
    <t xml:space="preserve">가장 긴 복선(부)</t>
  </si>
  <si>
    <t xml:space="preserve">복선 개수</t>
  </si>
  <si>
    <t xml:space="preserve">이탈리아 현안 18개 배치표</t>
  </si>
  <si>
    <t xml:space="preserve">현재 이탈리아의 쟁점을 이야기 곳곳에 녹이는 계획. 현실의 정당·정치인·참사 희생자는 특정하지 않고 가상 설정으로 각색하며, 제도와 통계만 현실 기준으로 쓴다.</t>
  </si>
  <si>
    <t xml:space="preserve">ID</t>
  </si>
  <si>
    <t xml:space="preserve">분야</t>
  </si>
  <si>
    <t xml:space="preserve">이탈리아어 키워드</t>
  </si>
  <si>
    <t xml:space="preserve">이야기 속 가상 설정</t>
  </si>
  <si>
    <t xml:space="preserve">주요 배치 (전용 화)</t>
  </si>
  <si>
    <t xml:space="preserve">곁가지 배치</t>
  </si>
  <si>
    <t xml:space="preserve">권한 소재</t>
  </si>
  <si>
    <t xml:space="preserve">관련 제도·법</t>
  </si>
  <si>
    <t xml:space="preserve">낭독 어휘</t>
  </si>
  <si>
    <t xml:space="preserve">균형·민감도 유의</t>
  </si>
  <si>
    <t xml:space="preserve">현실 기준값·확인</t>
  </si>
  <si>
    <t xml:space="preserve">정부 불안정과 연정 협상</t>
  </si>
  <si>
    <t xml:space="preserve">governo, fiducia, maggioranza, rimpasto, crisi di governo</t>
  </si>
  <si>
    <t xml:space="preserve">어떤 정당도 과반이 안 되는 의회. 법안마다 협상 비용이 든다. Casa Comune도 연립 정부로 표결마다 파트너의 이탈을 걱정해야 한다. 공화국 역사상 짧은 정부 수명이 '이탈리아식 불안정'으로 대사에 등장한다.</t>
  </si>
  <si>
    <r>
      <rPr>
        <sz val="10"/>
        <rFont val="Arial"/>
        <family val="0"/>
        <charset val="1"/>
      </rPr>
      <t xml:space="preserve">9</t>
    </r>
    <r>
      <rPr>
        <sz val="10"/>
        <rFont val="WenQuanYi Zen Hei"/>
        <family val="2"/>
      </rPr>
      <t xml:space="preserve">부 </t>
    </r>
    <r>
      <rPr>
        <sz val="10"/>
        <rFont val="Arial"/>
        <family val="0"/>
        <charset val="1"/>
      </rPr>
      <t xml:space="preserve">5</t>
    </r>
    <r>
      <rPr>
        <sz val="10"/>
        <rFont val="WenQuanYi Zen Hei"/>
        <family val="2"/>
      </rPr>
      <t xml:space="preserve">화 불편한 동맹</t>
    </r>
    <r>
      <rPr>
        <sz val="10"/>
        <rFont val="Arial"/>
        <family val="0"/>
        <charset val="1"/>
      </rPr>
      <t xml:space="preserve">, 10</t>
    </r>
    <r>
      <rPr>
        <sz val="10"/>
        <rFont val="WenQuanYi Zen Hei"/>
        <family val="2"/>
      </rPr>
      <t xml:space="preserve">부 </t>
    </r>
    <r>
      <rPr>
        <sz val="10"/>
        <rFont val="Arial"/>
        <family val="0"/>
        <charset val="1"/>
      </rPr>
      <t xml:space="preserve">8</t>
    </r>
    <r>
      <rPr>
        <sz val="10"/>
        <rFont val="WenQuanYi Zen Hei"/>
        <family val="2"/>
      </rPr>
      <t xml:space="preserve">화 탐색 위임</t>
    </r>
    <r>
      <rPr>
        <sz val="10"/>
        <rFont val="Arial"/>
        <family val="0"/>
        <charset val="1"/>
      </rPr>
      <t xml:space="preserve">, 12</t>
    </r>
    <r>
      <rPr>
        <sz val="10"/>
        <rFont val="WenQuanYi Zen Hei"/>
        <family val="2"/>
      </rPr>
      <t xml:space="preserve">부 </t>
    </r>
    <r>
      <rPr>
        <sz val="10"/>
        <rFont val="Arial"/>
        <family val="0"/>
        <charset val="1"/>
      </rPr>
      <t xml:space="preserve">7</t>
    </r>
    <r>
      <rPr>
        <sz val="10"/>
        <rFont val="WenQuanYi Zen Hei"/>
        <family val="2"/>
      </rPr>
      <t xml:space="preserve">화 모자란 불신임안</t>
    </r>
  </si>
  <si>
    <r>
      <rPr>
        <sz val="10"/>
        <rFont val="Arial"/>
        <family val="0"/>
        <charset val="1"/>
      </rPr>
      <t xml:space="preserve">7</t>
    </r>
    <r>
      <rPr>
        <sz val="10"/>
        <rFont val="WenQuanYi Zen Hei"/>
        <family val="2"/>
      </rPr>
      <t xml:space="preserve">부 </t>
    </r>
    <r>
      <rPr>
        <sz val="10"/>
        <rFont val="Arial"/>
        <family val="0"/>
        <charset val="1"/>
      </rPr>
      <t xml:space="preserve">11</t>
    </r>
    <r>
      <rPr>
        <sz val="10"/>
        <rFont val="WenQuanYi Zen Hei"/>
        <family val="2"/>
      </rPr>
      <t xml:space="preserve">화</t>
    </r>
    <r>
      <rPr>
        <sz val="10"/>
        <rFont val="Arial"/>
        <family val="0"/>
        <charset val="1"/>
      </rPr>
      <t xml:space="preserve">, 8</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t>
    </r>
    <r>
      <rPr>
        <sz val="10"/>
        <rFont val="WenQuanYi Zen Hei"/>
        <family val="2"/>
      </rPr>
      <t xml:space="preserve">왜 새 정당인가</t>
    </r>
    <r>
      <rPr>
        <sz val="10"/>
        <rFont val="Arial"/>
        <family val="0"/>
        <charset val="1"/>
      </rPr>
      <t xml:space="preserve">: </t>
    </r>
    <r>
      <rPr>
        <sz val="10"/>
        <rFont val="WenQuanYi Zen Hei"/>
        <family val="2"/>
      </rPr>
      <t xml:space="preserve">거대 정당 피로</t>
    </r>
    <r>
      <rPr>
        <sz val="10"/>
        <rFont val="Arial"/>
        <family val="0"/>
        <charset val="1"/>
      </rPr>
      <t xml:space="preserve">), 11</t>
    </r>
    <r>
      <rPr>
        <sz val="10"/>
        <rFont val="WenQuanYi Zen Hei"/>
        <family val="2"/>
      </rPr>
      <t xml:space="preserve">부 </t>
    </r>
    <r>
      <rPr>
        <sz val="10"/>
        <rFont val="Arial"/>
        <family val="0"/>
        <charset val="1"/>
      </rPr>
      <t xml:space="preserve">1</t>
    </r>
    <r>
      <rPr>
        <sz val="10"/>
        <rFont val="WenQuanYi Zen Hei"/>
        <family val="2"/>
      </rPr>
      <t xml:space="preserve">화</t>
    </r>
    <r>
      <rPr>
        <sz val="10"/>
        <rFont val="Arial"/>
        <family val="0"/>
        <charset val="1"/>
      </rPr>
      <t xml:space="preserve">, 12</t>
    </r>
    <r>
      <rPr>
        <sz val="10"/>
        <rFont val="WenQuanYi Zen Hei"/>
        <family val="2"/>
      </rPr>
      <t xml:space="preserve">부 </t>
    </r>
    <r>
      <rPr>
        <sz val="10"/>
        <rFont val="Arial"/>
        <family val="0"/>
        <charset val="1"/>
      </rPr>
      <t xml:space="preserve">9</t>
    </r>
    <r>
      <rPr>
        <sz val="10"/>
        <rFont val="WenQuanYi Zen Hei"/>
        <family val="2"/>
      </rPr>
      <t xml:space="preserve">화</t>
    </r>
  </si>
  <si>
    <t xml:space="preserve">Chiara, Marco, Paolo, Machiavelli</t>
  </si>
  <si>
    <t xml:space="preserve">하원·상원·시의회</t>
  </si>
  <si>
    <t xml:space="preserve">헌법 제88·92·94조, 연정 협약</t>
  </si>
  <si>
    <t xml:space="preserve">maggioranza, fiducia, crisi di governo, rimpasto, voto di sfiducia</t>
  </si>
  <si>
    <t xml:space="preserve">특정 실존 정당·인물을 비난하는 대사 금지. 가상 정당(CC·UCN·PPS·IU·TA·TB)으로만.</t>
  </si>
  <si>
    <t xml:space="preserve">현실은 2022년 이후 우파 연립 다수 정부(2026-09 기준). 이야기에는 쓰지 않음</t>
  </si>
  <si>
    <t xml:space="preserve">P2</t>
  </si>
  <si>
    <t xml:space="preserve">남북 격차와 차등 자치</t>
  </si>
  <si>
    <t xml:space="preserve">autonomia differenziata, LEP, Mezzogiorno, questione meridionale, residuo fiscale</t>
  </si>
  <si>
    <t xml:space="preserve">북부 주 연합 TB가 지지의 대가로 차등 자치(더 많은 권한과 세수 이양) 가속을 요구한다. 남부의 필수 공공서비스 수준(LEP)은 어떻게 보장하나. 나라를 통일한 Garibaldi가 가장 예민하게 반응한다.</t>
  </si>
  <si>
    <r>
      <rPr>
        <sz val="10"/>
        <rFont val="Arial"/>
        <family val="0"/>
        <charset val="1"/>
      </rPr>
      <t xml:space="preserve">10</t>
    </r>
    <r>
      <rPr>
        <sz val="10"/>
        <rFont val="WenQuanYi Zen Hei"/>
        <family val="2"/>
      </rPr>
      <t xml:space="preserve">부 </t>
    </r>
    <r>
      <rPr>
        <sz val="10"/>
        <rFont val="Arial"/>
        <family val="0"/>
        <charset val="1"/>
      </rPr>
      <t xml:space="preserve">11</t>
    </r>
    <r>
      <rPr>
        <sz val="10"/>
        <rFont val="WenQuanYi Zen Hei"/>
        <family val="2"/>
      </rPr>
      <t xml:space="preserve">화 연정 협상</t>
    </r>
  </si>
  <si>
    <r>
      <rPr>
        <sz val="10"/>
        <rFont val="Arial"/>
        <family val="0"/>
        <charset val="1"/>
      </rPr>
      <t xml:space="preserve">10</t>
    </r>
    <r>
      <rPr>
        <sz val="10"/>
        <rFont val="WenQuanYi Zen Hei"/>
        <family val="2"/>
      </rPr>
      <t xml:space="preserve">부 </t>
    </r>
    <r>
      <rPr>
        <sz val="10"/>
        <rFont val="Arial"/>
        <family val="0"/>
        <charset val="1"/>
      </rPr>
      <t xml:space="preserve">3</t>
    </r>
    <r>
      <rPr>
        <sz val="10"/>
        <rFont val="WenQuanYi Zen Hei"/>
        <family val="2"/>
      </rPr>
      <t xml:space="preserve">화</t>
    </r>
    <r>
      <rPr>
        <sz val="10"/>
        <rFont val="Arial"/>
        <family val="0"/>
        <charset val="1"/>
      </rPr>
      <t xml:space="preserve">(TV </t>
    </r>
    <r>
      <rPr>
        <sz val="10"/>
        <rFont val="WenQuanYi Zen Hei"/>
        <family val="2"/>
      </rPr>
      <t xml:space="preserve">토론 공격</t>
    </r>
    <r>
      <rPr>
        <sz val="10"/>
        <rFont val="Arial"/>
        <family val="0"/>
        <charset val="1"/>
      </rPr>
      <t xml:space="preserve">), 12</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t>
    </r>
    <r>
      <rPr>
        <sz val="10"/>
        <rFont val="WenQuanYi Zen Hei"/>
        <family val="2"/>
      </rPr>
      <t xml:space="preserve">불신임안에서 </t>
    </r>
    <r>
      <rPr>
        <sz val="10"/>
        <rFont val="Arial"/>
        <family val="0"/>
        <charset val="1"/>
      </rPr>
      <t xml:space="preserve">TB</t>
    </r>
    <r>
      <rPr>
        <sz val="10"/>
        <rFont val="WenQuanYi Zen Hei"/>
        <family val="2"/>
      </rPr>
      <t xml:space="preserve">의 기권</t>
    </r>
    <r>
      <rPr>
        <sz val="10"/>
        <rFont val="Arial"/>
        <family val="0"/>
        <charset val="1"/>
      </rPr>
      <t xml:space="preserve">)</t>
    </r>
  </si>
  <si>
    <t xml:space="preserve">Garibaldi, Marco, Paolo, Chiara</t>
  </si>
  <si>
    <t xml:space="preserve">의회, 헌법재판소, 주</t>
  </si>
  <si>
    <t xml:space="preserve">헌법 제116조 3항·제117조, legge 86/2024(차등 자치), 헌법재판소 2024년 판결 192호</t>
  </si>
  <si>
    <t xml:space="preserve">autonomia differenziata, LEP, perequazione, Mezzogiorno, coesione</t>
  </si>
  <si>
    <t xml:space="preserve">가장 민감. 북부의 효율 논거와 남부의 형평 논거를 각 인물이 나눠 말하게 하고 결론은 열어 둔다(Marco는 헌법 우려, Garibaldi는 통일의 가치, Chiara는 현실 협상).</t>
  </si>
  <si>
    <t xml:space="preserve">헌법재판소가 2024년 legge 86/2024 일부를 위헌 판단. 이후 입법·협상 진행 상황은 반영 전 확인</t>
  </si>
  <si>
    <t xml:space="preserve">사법 개혁과 정치적 대립</t>
  </si>
  <si>
    <t xml:space="preserve">separazione delle carriere, CSM, prescrizione, intercettazioni, lentezza della giustizia</t>
  </si>
  <si>
    <t xml:space="preserve">사법 개혁과 도청 제한을 둘러싼 대립 속에 스캔들 수사가 표류한다. 재판 지연과 공소시효가 사무소의 고발을 무력하게 만든다.</t>
  </si>
  <si>
    <r>
      <rPr>
        <sz val="10"/>
        <rFont val="Arial"/>
        <family val="0"/>
        <charset val="1"/>
      </rPr>
      <t xml:space="preserve">7</t>
    </r>
    <r>
      <rPr>
        <sz val="10"/>
        <rFont val="WenQuanYi Zen Hei"/>
        <family val="2"/>
      </rPr>
      <t xml:space="preserve">부</t>
    </r>
    <r>
      <rPr>
        <sz val="10"/>
        <rFont val="Arial"/>
        <family val="0"/>
        <charset val="1"/>
      </rPr>
      <t xml:space="preserve">(</t>
    </r>
    <r>
      <rPr>
        <sz val="10"/>
        <rFont val="WenQuanYi Zen Hei"/>
        <family val="2"/>
      </rPr>
      <t xml:space="preserve">고발</t>
    </r>
    <r>
      <rPr>
        <sz val="10"/>
        <rFont val="Arial"/>
        <family val="0"/>
        <charset val="1"/>
      </rPr>
      <t xml:space="preserve">·GIP </t>
    </r>
    <r>
      <rPr>
        <sz val="10"/>
        <rFont val="WenQuanYi Zen Hei"/>
        <family val="2"/>
      </rPr>
      <t xml:space="preserve">결정</t>
    </r>
    <r>
      <rPr>
        <sz val="10"/>
        <rFont val="Arial"/>
        <family val="0"/>
        <charset val="1"/>
      </rPr>
      <t xml:space="preserve">·</t>
    </r>
    <r>
      <rPr>
        <sz val="10"/>
        <rFont val="WenQuanYi Zen Hei"/>
        <family val="2"/>
      </rPr>
      <t xml:space="preserve">보복</t>
    </r>
    <r>
      <rPr>
        <sz val="10"/>
        <rFont val="Arial"/>
        <family val="0"/>
        <charset val="1"/>
      </rPr>
      <t xml:space="preserve">), 9</t>
    </r>
    <r>
      <rPr>
        <sz val="10"/>
        <rFont val="WenQuanYi Zen Hei"/>
        <family val="2"/>
      </rPr>
      <t xml:space="preserve">부 </t>
    </r>
    <r>
      <rPr>
        <sz val="10"/>
        <rFont val="Arial"/>
        <family val="0"/>
        <charset val="1"/>
      </rPr>
      <t xml:space="preserve">9</t>
    </r>
    <r>
      <rPr>
        <sz val="10"/>
        <rFont val="WenQuanYi Zen Hei"/>
        <family val="2"/>
      </rPr>
      <t xml:space="preserve">화 고발장</t>
    </r>
  </si>
  <si>
    <r>
      <rPr>
        <sz val="10"/>
        <rFont val="Arial"/>
        <family val="0"/>
        <charset val="1"/>
      </rPr>
      <t xml:space="preserve">2</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t>
    </r>
    <r>
      <rPr>
        <sz val="10"/>
        <rFont val="WenQuanYi Zen Hei"/>
        <family val="2"/>
      </rPr>
      <t xml:space="preserve">재판</t>
    </r>
    <r>
      <rPr>
        <sz val="10"/>
        <rFont val="Arial"/>
        <family val="0"/>
        <charset val="1"/>
      </rPr>
      <t xml:space="preserve">), 3</t>
    </r>
    <r>
      <rPr>
        <sz val="10"/>
        <rFont val="WenQuanYi Zen Hei"/>
        <family val="2"/>
      </rPr>
      <t xml:space="preserve">부</t>
    </r>
    <r>
      <rPr>
        <sz val="10"/>
        <rFont val="Arial"/>
        <family val="0"/>
        <charset val="1"/>
      </rPr>
      <t xml:space="preserve">(</t>
    </r>
    <r>
      <rPr>
        <sz val="10"/>
        <rFont val="WenQuanYi Zen Hei"/>
        <family val="2"/>
      </rPr>
      <t xml:space="preserve">징계</t>
    </r>
    <r>
      <rPr>
        <sz val="10"/>
        <rFont val="Arial"/>
        <family val="0"/>
        <charset val="1"/>
      </rPr>
      <t xml:space="preserve">·</t>
    </r>
    <r>
      <rPr>
        <sz val="10"/>
        <rFont val="WenQuanYi Zen Hei"/>
        <family val="2"/>
      </rPr>
      <t xml:space="preserve">외주</t>
    </r>
    <r>
      <rPr>
        <sz val="10"/>
        <rFont val="Arial"/>
        <family val="0"/>
        <charset val="1"/>
      </rPr>
      <t xml:space="preserve">), 4</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 8</t>
    </r>
    <r>
      <rPr>
        <sz val="10"/>
        <rFont val="WenQuanYi Zen Hei"/>
        <family val="2"/>
      </rPr>
      <t xml:space="preserve">부 </t>
    </r>
    <r>
      <rPr>
        <sz val="10"/>
        <rFont val="Arial"/>
        <family val="0"/>
        <charset val="1"/>
      </rPr>
      <t xml:space="preserve">3~4</t>
    </r>
    <r>
      <rPr>
        <sz val="10"/>
        <rFont val="WenQuanYi Zen Hei"/>
        <family val="2"/>
      </rPr>
      <t xml:space="preserve">화</t>
    </r>
    <r>
      <rPr>
        <sz val="10"/>
        <rFont val="Arial"/>
        <family val="0"/>
        <charset val="1"/>
      </rPr>
      <t xml:space="preserve">(</t>
    </r>
    <r>
      <rPr>
        <sz val="10"/>
        <rFont val="WenQuanYi Zen Hei"/>
        <family val="2"/>
      </rPr>
      <t xml:space="preserve">국민투표</t>
    </r>
    <r>
      <rPr>
        <sz val="10"/>
        <rFont val="Arial"/>
        <family val="0"/>
        <charset val="1"/>
      </rPr>
      <t xml:space="preserve">), 10</t>
    </r>
    <r>
      <rPr>
        <sz val="10"/>
        <rFont val="WenQuanYi Zen Hei"/>
        <family val="2"/>
      </rPr>
      <t xml:space="preserve">부 </t>
    </r>
    <r>
      <rPr>
        <sz val="10"/>
        <rFont val="Arial"/>
        <family val="0"/>
        <charset val="1"/>
      </rPr>
      <t xml:space="preserve">11</t>
    </r>
    <r>
      <rPr>
        <sz val="10"/>
        <rFont val="WenQuanYi Zen Hei"/>
        <family val="2"/>
      </rPr>
      <t xml:space="preserve">화</t>
    </r>
    <r>
      <rPr>
        <sz val="10"/>
        <rFont val="Arial"/>
        <family val="0"/>
        <charset val="1"/>
      </rPr>
      <t xml:space="preserve">(</t>
    </r>
    <r>
      <rPr>
        <sz val="10"/>
        <rFont val="WenQuanYi Zen Hei"/>
        <family val="2"/>
      </rPr>
      <t xml:space="preserve">협상 조건</t>
    </r>
    <r>
      <rPr>
        <sz val="10"/>
        <rFont val="Arial"/>
        <family val="0"/>
        <charset val="1"/>
      </rPr>
      <t xml:space="preserve">), 12</t>
    </r>
    <r>
      <rPr>
        <sz val="10"/>
        <rFont val="WenQuanYi Zen Hei"/>
        <family val="2"/>
      </rPr>
      <t xml:space="preserve">부 </t>
    </r>
    <r>
      <rPr>
        <sz val="10"/>
        <rFont val="Arial"/>
        <family val="0"/>
        <charset val="1"/>
      </rPr>
      <t xml:space="preserve">7</t>
    </r>
    <r>
      <rPr>
        <sz val="10"/>
        <rFont val="WenQuanYi Zen Hei"/>
        <family val="2"/>
      </rPr>
      <t xml:space="preserve">화</t>
    </r>
  </si>
  <si>
    <t xml:space="preserve">Marco, Galileo, Gramsci</t>
  </si>
  <si>
    <t xml:space="preserve">의회, 사법 최고회의(CSM), 사법부</t>
  </si>
  <si>
    <t xml:space="preserve">헌법 제104~112조, 형사소송법, 형법 제2조</t>
  </si>
  <si>
    <t xml:space="preserve">CSM, magistratura, prescrizione, intercettazioni, abolitio criminis</t>
  </si>
  <si>
    <t xml:space="preserve">여야 모두가 사법부를 압박한다는 비판을 각각 담는다. 실제 재판 결과를 단정하지 않는다.</t>
  </si>
  <si>
    <t xml:space="preserve">검사·판사 경력 분리 개헌은 2026년 3월 국민투표에서 부결(반대 약 53.6%, 투표율 약 58.9%). 이후 논의는 반영 전 확인</t>
  </si>
  <si>
    <t xml:space="preserve">경제</t>
  </si>
  <si>
    <t xml:space="preserve">주거난과 단기 관광 임대</t>
  </si>
  <si>
    <t xml:space="preserve">emergenza abitativa, affitti brevi, sfratto, canone concordato, overtourism</t>
  </si>
  <si>
    <t xml:space="preserve">로마 중심가 월세가 임금보다 빨리 오르고 단기 관광 임대가 동네를 비운다. 소규모 임대인의 입장(Rosa의 친구)도 대사에 넣는다.</t>
  </si>
  <si>
    <r>
      <rPr>
        <sz val="10"/>
        <rFont val="Arial"/>
        <family val="0"/>
        <charset val="1"/>
      </rPr>
      <t xml:space="preserve">2</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t>
    </r>
    <r>
      <rPr>
        <sz val="10"/>
        <rFont val="WenQuanYi Zen Hei"/>
        <family val="2"/>
      </rPr>
      <t xml:space="preserve">조항 설계</t>
    </r>
    <r>
      <rPr>
        <sz val="10"/>
        <rFont val="Arial"/>
        <family val="0"/>
        <charset val="1"/>
      </rPr>
      <t xml:space="preserve">), 6</t>
    </r>
    <r>
      <rPr>
        <sz val="10"/>
        <rFont val="WenQuanYi Zen Hei"/>
        <family val="2"/>
      </rPr>
      <t xml:space="preserve">부 </t>
    </r>
    <r>
      <rPr>
        <sz val="10"/>
        <rFont val="Arial"/>
        <family val="0"/>
        <charset val="1"/>
      </rPr>
      <t xml:space="preserve">1·3·8·10</t>
    </r>
    <r>
      <rPr>
        <sz val="10"/>
        <rFont val="WenQuanYi Zen Hei"/>
        <family val="2"/>
      </rPr>
      <t xml:space="preserve">화</t>
    </r>
    <r>
      <rPr>
        <sz val="10"/>
        <rFont val="Arial"/>
        <family val="0"/>
        <charset val="1"/>
      </rPr>
      <t xml:space="preserve">(Quarticciolo), 9</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t>
    </r>
    <r>
      <rPr>
        <sz val="10"/>
        <rFont val="WenQuanYi Zen Hei"/>
        <family val="2"/>
      </rPr>
      <t xml:space="preserve">임대료 보조 삭감</t>
    </r>
    <r>
      <rPr>
        <sz val="10"/>
        <rFont val="Arial"/>
        <family val="0"/>
        <charset val="1"/>
      </rPr>
      <t xml:space="preserve">·</t>
    </r>
    <r>
      <rPr>
        <sz val="10"/>
        <rFont val="WenQuanYi Zen Hei"/>
        <family val="2"/>
      </rPr>
      <t xml:space="preserve">단기임대 조항</t>
    </r>
    <r>
      <rPr>
        <sz val="10"/>
        <rFont val="Arial"/>
        <family val="0"/>
        <charset val="1"/>
      </rPr>
      <t xml:space="preserve">), 11</t>
    </r>
    <r>
      <rPr>
        <sz val="10"/>
        <rFont val="WenQuanYi Zen Hei"/>
        <family val="2"/>
      </rPr>
      <t xml:space="preserve">부 </t>
    </r>
    <r>
      <rPr>
        <sz val="10"/>
        <rFont val="Arial"/>
        <family val="0"/>
        <charset val="1"/>
      </rPr>
      <t xml:space="preserve">2·3</t>
    </r>
    <r>
      <rPr>
        <sz val="10"/>
        <rFont val="WenQuanYi Zen Hei"/>
        <family val="2"/>
      </rPr>
      <t xml:space="preserve">화</t>
    </r>
  </si>
  <si>
    <r>
      <rPr>
        <sz val="10"/>
        <rFont val="Arial"/>
        <family val="0"/>
        <charset val="1"/>
      </rPr>
      <t xml:space="preserve">1</t>
    </r>
    <r>
      <rPr>
        <sz val="10"/>
        <rFont val="WenQuanYi Zen Hei"/>
        <family val="2"/>
      </rPr>
      <t xml:space="preserve">부 </t>
    </r>
    <r>
      <rPr>
        <sz val="10"/>
        <rFont val="Arial"/>
        <family val="0"/>
        <charset val="1"/>
      </rPr>
      <t xml:space="preserve">1·2·11·12</t>
    </r>
    <r>
      <rPr>
        <sz val="10"/>
        <rFont val="WenQuanYi Zen Hei"/>
        <family val="2"/>
      </rPr>
      <t xml:space="preserve">화</t>
    </r>
    <r>
      <rPr>
        <sz val="10"/>
        <rFont val="Arial"/>
        <family val="0"/>
        <charset val="1"/>
      </rPr>
      <t xml:space="preserve">(Fatima), 8</t>
    </r>
    <r>
      <rPr>
        <sz val="10"/>
        <rFont val="WenQuanYi Zen Hei"/>
        <family val="2"/>
      </rPr>
      <t xml:space="preserve">부 </t>
    </r>
    <r>
      <rPr>
        <sz val="10"/>
        <rFont val="Arial"/>
        <family val="0"/>
        <charset val="1"/>
      </rPr>
      <t xml:space="preserve">1·9</t>
    </r>
    <r>
      <rPr>
        <sz val="10"/>
        <rFont val="WenQuanYi Zen Hei"/>
        <family val="2"/>
      </rPr>
      <t xml:space="preserve">화</t>
    </r>
    <r>
      <rPr>
        <sz val="10"/>
        <rFont val="Arial"/>
        <family val="0"/>
        <charset val="1"/>
      </rPr>
      <t xml:space="preserve">, 13</t>
    </r>
    <r>
      <rPr>
        <sz val="10"/>
        <rFont val="WenQuanYi Zen Hei"/>
        <family val="2"/>
      </rPr>
      <t xml:space="preserve">부</t>
    </r>
  </si>
  <si>
    <t xml:space="preserve">Rosa, Sofia, Alessandro, Marco</t>
  </si>
  <si>
    <t xml:space="preserve">국가(임대차 기본법·세제), 주(관광·주거 정책), 시(도시계획·인허가)</t>
  </si>
  <si>
    <r>
      <rPr>
        <sz val="10"/>
        <rFont val="Arial"/>
        <family val="0"/>
        <charset val="1"/>
      </rPr>
      <t xml:space="preserve">legge 431/1998, </t>
    </r>
    <r>
      <rPr>
        <sz val="10"/>
        <rFont val="WenQuanYi Zen Hei"/>
        <family val="2"/>
      </rPr>
      <t xml:space="preserve">단기임대 </t>
    </r>
    <r>
      <rPr>
        <sz val="10"/>
        <rFont val="Arial"/>
        <family val="0"/>
        <charset val="1"/>
      </rPr>
      <t xml:space="preserve">CIN </t>
    </r>
    <r>
      <rPr>
        <sz val="10"/>
        <rFont val="WenQuanYi Zen Hei"/>
        <family val="2"/>
      </rPr>
      <t xml:space="preserve">코드</t>
    </r>
    <r>
      <rPr>
        <sz val="10"/>
        <rFont val="Arial"/>
        <family val="0"/>
        <charset val="1"/>
      </rPr>
      <t xml:space="preserve">(d.l. 145/2023), </t>
    </r>
    <r>
      <rPr>
        <sz val="10"/>
        <rFont val="WenQuanYi Zen Hei"/>
        <family val="2"/>
      </rPr>
      <t xml:space="preserve">비귀책 체납 기금</t>
    </r>
  </si>
  <si>
    <t xml:space="preserve">affitti brevi, sfratto, canone, piccolo proprietario, CIN</t>
  </si>
  <si>
    <t xml:space="preserve">임차인만 피해자로 그리지 않는다. 소규모 임대인·대형 보유자(펀드)를 구분해서 말한다.</t>
  </si>
  <si>
    <t xml:space="preserve">단기임대 규제와 로마 시 조치의 세부는 반영 전 확인</t>
  </si>
  <si>
    <t xml:space="preserve">저생산성과 영세·가족 기업 구조</t>
  </si>
  <si>
    <t xml:space="preserve">microimpresa, PMI, produttività, impresa familiare, passaggio generazionale</t>
  </si>
  <si>
    <r>
      <rPr>
        <sz val="10"/>
        <rFont val="Arial"/>
        <family val="0"/>
        <charset val="1"/>
      </rPr>
      <t xml:space="preserve">Chiara</t>
    </r>
    <r>
      <rPr>
        <sz val="10"/>
        <rFont val="WenQuanYi Zen Hei"/>
        <family val="2"/>
      </rPr>
      <t xml:space="preserve">가 컨설팅한 규모의 경제 없는 가족 공방들</t>
    </r>
    <r>
      <rPr>
        <sz val="10"/>
        <rFont val="Arial"/>
        <family val="0"/>
        <charset val="1"/>
      </rPr>
      <t xml:space="preserve">: </t>
    </r>
    <r>
      <rPr>
        <sz val="10"/>
        <rFont val="WenQuanYi Zen Hei"/>
        <family val="2"/>
      </rPr>
      <t xml:space="preserve">해고 없이 살릴 길을 못 찾았던 과거</t>
    </r>
    <r>
      <rPr>
        <sz val="10"/>
        <rFont val="Arial"/>
        <family val="0"/>
        <charset val="1"/>
      </rPr>
      <t xml:space="preserve">. 11</t>
    </r>
    <r>
      <rPr>
        <sz val="10"/>
        <rFont val="WenQuanYi Zen Hei"/>
        <family val="2"/>
      </rPr>
      <t xml:space="preserve">부에서 영세 기업 통합</t>
    </r>
    <r>
      <rPr>
        <sz val="10"/>
        <rFont val="Arial"/>
        <family val="0"/>
        <charset val="1"/>
      </rPr>
      <t xml:space="preserve">·R&amp;D </t>
    </r>
    <r>
      <rPr>
        <sz val="10"/>
        <rFont val="WenQuanYi Zen Hei"/>
        <family val="2"/>
      </rPr>
      <t xml:space="preserve">전환 사업을 설계한다</t>
    </r>
    <r>
      <rPr>
        <sz val="10"/>
        <rFont val="Arial"/>
        <family val="0"/>
        <charset val="1"/>
      </rPr>
      <t xml:space="preserve">.</t>
    </r>
  </si>
  <si>
    <r>
      <rPr>
        <sz val="10"/>
        <rFont val="Arial"/>
        <family val="0"/>
        <charset val="1"/>
      </rPr>
      <t xml:space="preserve">5</t>
    </r>
    <r>
      <rPr>
        <sz val="10"/>
        <rFont val="WenQuanYi Zen Hei"/>
        <family val="2"/>
      </rPr>
      <t xml:space="preserve">부 </t>
    </r>
    <r>
      <rPr>
        <sz val="10"/>
        <rFont val="Arial"/>
        <family val="0"/>
        <charset val="1"/>
      </rPr>
      <t xml:space="preserve">3</t>
    </r>
    <r>
      <rPr>
        <sz val="10"/>
        <rFont val="WenQuanYi Zen Hei"/>
        <family val="2"/>
      </rPr>
      <t xml:space="preserve">화 </t>
    </r>
    <r>
      <rPr>
        <sz val="10"/>
        <rFont val="Arial"/>
        <family val="0"/>
        <charset val="1"/>
      </rPr>
      <t xml:space="preserve">Ruggeri </t>
    </r>
    <r>
      <rPr>
        <sz val="10"/>
        <rFont val="WenQuanYi Zen Hei"/>
        <family val="2"/>
      </rPr>
      <t xml:space="preserve">공방</t>
    </r>
  </si>
  <si>
    <r>
      <rPr>
        <sz val="10"/>
        <rFont val="Arial"/>
        <family val="0"/>
        <charset val="1"/>
      </rPr>
      <t xml:space="preserve">8</t>
    </r>
    <r>
      <rPr>
        <sz val="10"/>
        <rFont val="WenQuanYi Zen Hei"/>
        <family val="2"/>
      </rPr>
      <t xml:space="preserve">부 </t>
    </r>
    <r>
      <rPr>
        <sz val="10"/>
        <rFont val="Arial"/>
        <family val="0"/>
        <charset val="1"/>
      </rPr>
      <t xml:space="preserve">9</t>
    </r>
    <r>
      <rPr>
        <sz val="10"/>
        <rFont val="WenQuanYi Zen Hei"/>
        <family val="2"/>
      </rPr>
      <t xml:space="preserve">화</t>
    </r>
    <r>
      <rPr>
        <sz val="10"/>
        <rFont val="Arial"/>
        <family val="0"/>
        <charset val="1"/>
      </rPr>
      <t xml:space="preserve">(</t>
    </r>
    <r>
      <rPr>
        <sz val="10"/>
        <rFont val="WenQuanYi Zen Hei"/>
        <family val="2"/>
      </rPr>
      <t xml:space="preserve">골목 상권</t>
    </r>
    <r>
      <rPr>
        <sz val="10"/>
        <rFont val="Arial"/>
        <family val="0"/>
        <charset val="1"/>
      </rPr>
      <t xml:space="preserve">), 11</t>
    </r>
    <r>
      <rPr>
        <sz val="10"/>
        <rFont val="WenQuanYi Zen Hei"/>
        <family val="2"/>
      </rPr>
      <t xml:space="preserve">부 </t>
    </r>
    <r>
      <rPr>
        <sz val="10"/>
        <rFont val="Arial"/>
        <family val="0"/>
        <charset val="1"/>
      </rPr>
      <t xml:space="preserve">9</t>
    </r>
    <r>
      <rPr>
        <sz val="10"/>
        <rFont val="WenQuanYi Zen Hei"/>
        <family val="2"/>
      </rPr>
      <t xml:space="preserve">화</t>
    </r>
    <r>
      <rPr>
        <sz val="10"/>
        <rFont val="Arial"/>
        <family val="0"/>
        <charset val="1"/>
      </rPr>
      <t xml:space="preserve">, 13</t>
    </r>
    <r>
      <rPr>
        <sz val="10"/>
        <rFont val="WenQuanYi Zen Hei"/>
        <family val="2"/>
      </rPr>
      <t xml:space="preserve">부</t>
    </r>
  </si>
  <si>
    <t xml:space="preserve">Chiara, Rosa, Paolo</t>
  </si>
  <si>
    <t xml:space="preserve">국가·주</t>
  </si>
  <si>
    <r>
      <rPr>
        <sz val="10"/>
        <rFont val="Arial"/>
        <family val="0"/>
        <charset val="1"/>
      </rPr>
      <t xml:space="preserve">R&amp;D </t>
    </r>
    <r>
      <rPr>
        <sz val="10"/>
        <rFont val="WenQuanYi Zen Hei"/>
        <family val="2"/>
      </rPr>
      <t xml:space="preserve">세액공제</t>
    </r>
    <r>
      <rPr>
        <sz val="10"/>
        <rFont val="Arial"/>
        <family val="0"/>
        <charset val="1"/>
      </rPr>
      <t xml:space="preserve">, </t>
    </r>
    <r>
      <rPr>
        <sz val="10"/>
        <rFont val="WenQuanYi Zen Hei"/>
        <family val="2"/>
      </rPr>
      <t xml:space="preserve">기업 지원 제도</t>
    </r>
    <r>
      <rPr>
        <sz val="10"/>
        <rFont val="Arial"/>
        <family val="0"/>
        <charset val="1"/>
      </rPr>
      <t xml:space="preserve">(</t>
    </r>
    <r>
      <rPr>
        <sz val="10"/>
        <rFont val="WenQuanYi Zen Hei"/>
        <family val="2"/>
      </rPr>
      <t xml:space="preserve">확인</t>
    </r>
    <r>
      <rPr>
        <sz val="10"/>
        <rFont val="Arial"/>
        <family val="0"/>
        <charset val="1"/>
      </rPr>
      <t xml:space="preserve">), </t>
    </r>
    <r>
      <rPr>
        <sz val="10"/>
        <rFont val="WenQuanYi Zen Hei"/>
        <family val="2"/>
      </rPr>
      <t xml:space="preserve">집단해고법</t>
    </r>
  </si>
  <si>
    <t xml:space="preserve">produttività, scalare, aggregazione, ricerca e sviluppo</t>
  </si>
  <si>
    <r>
      <rPr>
        <sz val="10"/>
        <rFont val="Arial"/>
        <family val="0"/>
        <charset val="1"/>
      </rPr>
      <t xml:space="preserve">'</t>
    </r>
    <r>
      <rPr>
        <sz val="10"/>
        <rFont val="WenQuanYi Zen Hei"/>
        <family val="2"/>
      </rPr>
      <t xml:space="preserve">영세 기업이 문제</t>
    </r>
    <r>
      <rPr>
        <sz val="10"/>
        <rFont val="Arial"/>
        <family val="0"/>
        <charset val="1"/>
      </rPr>
      <t xml:space="preserve">'</t>
    </r>
    <r>
      <rPr>
        <sz val="10"/>
        <rFont val="WenQuanYi Zen Hei"/>
        <family val="2"/>
      </rPr>
      <t xml:space="preserve">라는 식의 낙인 대신 구조 문제로 설명한다</t>
    </r>
    <r>
      <rPr>
        <sz val="10"/>
        <rFont val="Arial"/>
        <family val="0"/>
        <charset val="1"/>
      </rPr>
      <t xml:space="preserve">.</t>
    </r>
  </si>
  <si>
    <t xml:space="preserve">통계 수치는 반영 전 확인</t>
  </si>
  <si>
    <t xml:space="preserve">국가 부채와 재정 건전성</t>
  </si>
  <si>
    <t xml:space="preserve">debito pubblico, spread, deficit, procedura per deficit eccessivo, pensioni</t>
  </si>
  <si>
    <r>
      <rPr>
        <sz val="10"/>
        <rFont val="Noto Sans CJK SC"/>
        <family val="2"/>
        <charset val="1"/>
      </rPr>
      <t xml:space="preserve">GDP</t>
    </r>
    <r>
      <rPr>
        <sz val="10"/>
        <rFont val="WenQuanYi Zen Hei"/>
        <family val="2"/>
      </rPr>
      <t xml:space="preserve">의 </t>
    </r>
    <r>
      <rPr>
        <sz val="10"/>
        <rFont val="Noto Sans CJK SC"/>
        <family val="2"/>
        <charset val="1"/>
      </rPr>
      <t xml:space="preserve">130%</t>
    </r>
    <r>
      <rPr>
        <sz val="10"/>
        <rFont val="WenQuanYi Zen Hei"/>
        <family val="2"/>
      </rPr>
      <t xml:space="preserve">를 넘는 부채</t>
    </r>
    <r>
      <rPr>
        <sz val="10"/>
        <rFont val="Noto Sans CJK SC"/>
        <family val="2"/>
        <charset val="1"/>
      </rPr>
      <t xml:space="preserve">, </t>
    </r>
    <r>
      <rPr>
        <sz val="10"/>
        <rFont val="WenQuanYi Zen Hei"/>
        <family val="2"/>
      </rPr>
      <t xml:space="preserve">과도한 재정적자 절차</t>
    </r>
    <r>
      <rPr>
        <sz val="10"/>
        <rFont val="Noto Sans CJK SC"/>
        <family val="2"/>
        <charset val="1"/>
      </rPr>
      <t xml:space="preserve">, </t>
    </r>
    <r>
      <rPr>
        <sz val="10"/>
        <rFont val="WenQuanYi Zen Hei"/>
        <family val="2"/>
      </rPr>
      <t xml:space="preserve">연금 지출 증가 사이의 줄타기</t>
    </r>
    <r>
      <rPr>
        <sz val="10"/>
        <rFont val="Noto Sans CJK SC"/>
        <family val="2"/>
        <charset val="1"/>
      </rPr>
      <t xml:space="preserve">. Alessandro</t>
    </r>
    <r>
      <rPr>
        <sz val="10"/>
        <rFont val="WenQuanYi Zen Hei"/>
        <family val="2"/>
      </rPr>
      <t xml:space="preserve">가 숫자로 설명하고 </t>
    </r>
    <r>
      <rPr>
        <sz val="10"/>
        <rFont val="Noto Sans CJK SC"/>
        <family val="2"/>
        <charset val="1"/>
      </rPr>
      <t xml:space="preserve">Sofia</t>
    </r>
    <r>
      <rPr>
        <sz val="10"/>
        <rFont val="WenQuanYi Zen Hei"/>
        <family val="2"/>
      </rPr>
      <t xml:space="preserve">가 되묻는다</t>
    </r>
    <r>
      <rPr>
        <sz val="10"/>
        <rFont val="Noto Sans CJK SC"/>
        <family val="2"/>
        <charset val="1"/>
      </rPr>
      <t xml:space="preserve">.</t>
    </r>
  </si>
  <si>
    <r>
      <rPr>
        <sz val="10"/>
        <rFont val="Arial"/>
        <family val="0"/>
        <charset val="1"/>
      </rPr>
      <t xml:space="preserve">11</t>
    </r>
    <r>
      <rPr>
        <sz val="10"/>
        <rFont val="WenQuanYi Zen Hei"/>
        <family val="2"/>
      </rPr>
      <t xml:space="preserve">부 </t>
    </r>
    <r>
      <rPr>
        <sz val="10"/>
        <rFont val="Arial"/>
        <family val="0"/>
        <charset val="1"/>
      </rPr>
      <t xml:space="preserve">10</t>
    </r>
    <r>
      <rPr>
        <sz val="10"/>
        <rFont val="WenQuanYi Zen Hei"/>
        <family val="2"/>
      </rPr>
      <t xml:space="preserve">화</t>
    </r>
    <r>
      <rPr>
        <sz val="10"/>
        <rFont val="Arial"/>
        <family val="0"/>
        <charset val="1"/>
      </rPr>
      <t xml:space="preserve">(EU </t>
    </r>
    <r>
      <rPr>
        <sz val="10"/>
        <rFont val="WenQuanYi Zen Hei"/>
        <family val="2"/>
      </rPr>
      <t xml:space="preserve">재정규칙</t>
    </r>
    <r>
      <rPr>
        <sz val="10"/>
        <rFont val="Arial"/>
        <family val="0"/>
        <charset val="1"/>
      </rPr>
      <t xml:space="preserve">), 12</t>
    </r>
    <r>
      <rPr>
        <sz val="10"/>
        <rFont val="WenQuanYi Zen Hei"/>
        <family val="2"/>
      </rPr>
      <t xml:space="preserve">부 </t>
    </r>
    <r>
      <rPr>
        <sz val="10"/>
        <rFont val="Arial"/>
        <family val="0"/>
        <charset val="1"/>
      </rPr>
      <t xml:space="preserve">11~12</t>
    </r>
    <r>
      <rPr>
        <sz val="10"/>
        <rFont val="WenQuanYi Zen Hei"/>
        <family val="2"/>
      </rPr>
      <t xml:space="preserve">화</t>
    </r>
    <r>
      <rPr>
        <sz val="10"/>
        <rFont val="Arial"/>
        <family val="0"/>
        <charset val="1"/>
      </rPr>
      <t xml:space="preserve">(</t>
    </r>
    <r>
      <rPr>
        <sz val="10"/>
        <rFont val="WenQuanYi Zen Hei"/>
        <family val="2"/>
      </rPr>
      <t xml:space="preserve">예산안</t>
    </r>
    <r>
      <rPr>
        <sz val="10"/>
        <rFont val="Arial"/>
        <family val="0"/>
        <charset val="1"/>
      </rPr>
      <t xml:space="preserve">)</t>
    </r>
  </si>
  <si>
    <r>
      <rPr>
        <sz val="10"/>
        <rFont val="Arial"/>
        <family val="0"/>
        <charset val="1"/>
      </rPr>
      <t xml:space="preserve">12</t>
    </r>
    <r>
      <rPr>
        <sz val="10"/>
        <rFont val="WenQuanYi Zen Hei"/>
        <family val="2"/>
      </rPr>
      <t xml:space="preserve">부 </t>
    </r>
    <r>
      <rPr>
        <sz val="10"/>
        <rFont val="Arial"/>
        <family val="0"/>
        <charset val="1"/>
      </rPr>
      <t xml:space="preserve">3</t>
    </r>
    <r>
      <rPr>
        <sz val="10"/>
        <rFont val="WenQuanYi Zen Hei"/>
        <family val="2"/>
      </rPr>
      <t xml:space="preserve">화</t>
    </r>
    <r>
      <rPr>
        <sz val="10"/>
        <rFont val="Arial"/>
        <family val="0"/>
        <charset val="1"/>
      </rPr>
      <t xml:space="preserve">, 13</t>
    </r>
    <r>
      <rPr>
        <sz val="10"/>
        <rFont val="WenQuanYi Zen Hei"/>
        <family val="2"/>
      </rPr>
      <t xml:space="preserve">부 </t>
    </r>
    <r>
      <rPr>
        <sz val="10"/>
        <rFont val="Arial"/>
        <family val="0"/>
        <charset val="1"/>
      </rPr>
      <t xml:space="preserve">7</t>
    </r>
    <r>
      <rPr>
        <sz val="10"/>
        <rFont val="WenQuanYi Zen Hei"/>
        <family val="2"/>
      </rPr>
      <t xml:space="preserve">화</t>
    </r>
  </si>
  <si>
    <r>
      <rPr>
        <sz val="10"/>
        <rFont val="Arial"/>
        <family val="0"/>
        <charset val="1"/>
      </rPr>
      <t xml:space="preserve">Alessandro, Cesare(</t>
    </r>
    <r>
      <rPr>
        <sz val="10"/>
        <rFont val="WenQuanYi Zen Hei"/>
        <family val="2"/>
      </rPr>
      <t xml:space="preserve">메모</t>
    </r>
    <r>
      <rPr>
        <sz val="10"/>
        <rFont val="Arial"/>
        <family val="0"/>
        <charset val="1"/>
      </rPr>
      <t xml:space="preserve">), Francesco</t>
    </r>
  </si>
  <si>
    <t xml:space="preserve">국가·EU</t>
  </si>
  <si>
    <r>
      <rPr>
        <sz val="10"/>
        <rFont val="Noto Sans CJK SC"/>
        <family val="2"/>
        <charset val="1"/>
      </rPr>
      <t xml:space="preserve">EU </t>
    </r>
    <r>
      <rPr>
        <sz val="10"/>
        <rFont val="WenQuanYi Zen Hei"/>
        <family val="2"/>
      </rPr>
      <t xml:space="preserve">재정규칙과 중기 재정구조계획</t>
    </r>
    <r>
      <rPr>
        <sz val="10"/>
        <rFont val="Noto Sans CJK SC"/>
        <family val="2"/>
        <charset val="1"/>
      </rPr>
      <t xml:space="preserve">, TFUE </t>
    </r>
    <r>
      <rPr>
        <sz val="10"/>
        <rFont val="WenQuanYi Zen Hei"/>
        <family val="2"/>
      </rPr>
      <t xml:space="preserve">제</t>
    </r>
    <r>
      <rPr>
        <sz val="10"/>
        <rFont val="Noto Sans CJK SC"/>
        <family val="2"/>
        <charset val="1"/>
      </rPr>
      <t xml:space="preserve">126</t>
    </r>
    <r>
      <rPr>
        <sz val="10"/>
        <rFont val="WenQuanYi Zen Hei"/>
        <family val="2"/>
      </rPr>
      <t xml:space="preserve">조</t>
    </r>
    <r>
      <rPr>
        <sz val="10"/>
        <rFont val="Noto Sans CJK SC"/>
        <family val="2"/>
        <charset val="1"/>
      </rPr>
      <t xml:space="preserve">, </t>
    </r>
    <r>
      <rPr>
        <sz val="10"/>
        <rFont val="WenQuanYi Zen Hei"/>
        <family val="2"/>
      </rPr>
      <t xml:space="preserve">헌법 제</t>
    </r>
    <r>
      <rPr>
        <sz val="10"/>
        <rFont val="Noto Sans CJK SC"/>
        <family val="2"/>
        <charset val="1"/>
      </rPr>
      <t xml:space="preserve">81</t>
    </r>
    <r>
      <rPr>
        <sz val="10"/>
        <rFont val="WenQuanYi Zen Hei"/>
        <family val="2"/>
      </rPr>
      <t xml:space="preserve">조</t>
    </r>
  </si>
  <si>
    <t xml:space="preserve">debito, deficit, spread, sostenibilità, pensioni</t>
  </si>
  <si>
    <t xml:space="preserve">긴축 vs 확대 양쪽 논거를 모두 숫자로 제시한다.</t>
  </si>
  <si>
    <t xml:space="preserve">부채 GDP 대비 137.1%(2025년 말, ISTAT), 2025년 적자 3.1%로 과도한 재정적자 절차 조기 졸업 불발</t>
  </si>
  <si>
    <t xml:space="preserve">사회</t>
  </si>
  <si>
    <t xml:space="preserve">청년 고용 불안과 두뇌 유출</t>
  </si>
  <si>
    <t xml:space="preserve">tirocinio, contratto a termine, NEET, salario minimo, fuga dei cervelli</t>
  </si>
  <si>
    <t xml:space="preserve">무급·저임금 인턴과 기간제 계약으로 청년의 자립이 늦어지고, 많은 청년이 해외로 떠난다. 법정 최저임금이 없는 나라에서 Sofia가 그 당사자이자 질문자다.</t>
  </si>
  <si>
    <r>
      <rPr>
        <sz val="10"/>
        <rFont val="Arial"/>
        <family val="0"/>
        <charset val="1"/>
      </rPr>
      <t xml:space="preserve">11</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 13</t>
    </r>
    <r>
      <rPr>
        <sz val="10"/>
        <rFont val="WenQuanYi Zen Hei"/>
        <family val="2"/>
      </rPr>
      <t xml:space="preserve">부 </t>
    </r>
    <r>
      <rPr>
        <sz val="10"/>
        <rFont val="Arial"/>
        <family val="0"/>
        <charset val="1"/>
      </rPr>
      <t xml:space="preserve">5·6</t>
    </r>
    <r>
      <rPr>
        <sz val="10"/>
        <rFont val="WenQuanYi Zen Hei"/>
        <family val="2"/>
      </rPr>
      <t xml:space="preserve">화</t>
    </r>
  </si>
  <si>
    <r>
      <rPr>
        <sz val="10"/>
        <rFont val="Arial"/>
        <family val="0"/>
        <charset val="1"/>
      </rPr>
      <t xml:space="preserve">1</t>
    </r>
    <r>
      <rPr>
        <sz val="10"/>
        <rFont val="WenQuanYi Zen Hei"/>
        <family val="2"/>
      </rPr>
      <t xml:space="preserve">부 </t>
    </r>
    <r>
      <rPr>
        <sz val="10"/>
        <rFont val="Arial"/>
        <family val="0"/>
        <charset val="1"/>
      </rPr>
      <t xml:space="preserve">5·6</t>
    </r>
    <r>
      <rPr>
        <sz val="10"/>
        <rFont val="WenQuanYi Zen Hei"/>
        <family val="2"/>
      </rPr>
      <t xml:space="preserve">화</t>
    </r>
    <r>
      <rPr>
        <sz val="10"/>
        <rFont val="Arial"/>
        <family val="0"/>
        <charset val="1"/>
      </rPr>
      <t xml:space="preserve">(Davide), 5</t>
    </r>
    <r>
      <rPr>
        <sz val="10"/>
        <rFont val="WenQuanYi Zen Hei"/>
        <family val="2"/>
      </rPr>
      <t xml:space="preserve">부</t>
    </r>
    <r>
      <rPr>
        <sz val="10"/>
        <rFont val="Arial"/>
        <family val="0"/>
        <charset val="1"/>
      </rPr>
      <t xml:space="preserve">(Chiara</t>
    </r>
    <r>
      <rPr>
        <sz val="10"/>
        <rFont val="WenQuanYi Zen Hei"/>
        <family val="2"/>
      </rPr>
      <t xml:space="preserve">의 인력 감축</t>
    </r>
    <r>
      <rPr>
        <sz val="10"/>
        <rFont val="Arial"/>
        <family val="0"/>
        <charset val="1"/>
      </rPr>
      <t xml:space="preserve">), 7</t>
    </r>
    <r>
      <rPr>
        <sz val="10"/>
        <rFont val="WenQuanYi Zen Hei"/>
        <family val="2"/>
      </rPr>
      <t xml:space="preserve">부 </t>
    </r>
    <r>
      <rPr>
        <sz val="10"/>
        <rFont val="Arial"/>
        <family val="0"/>
        <charset val="1"/>
      </rPr>
      <t xml:space="preserve">2</t>
    </r>
    <r>
      <rPr>
        <sz val="10"/>
        <rFont val="WenQuanYi Zen Hei"/>
        <family val="2"/>
      </rPr>
      <t xml:space="preserve">화</t>
    </r>
    <r>
      <rPr>
        <sz val="10"/>
        <rFont val="Arial"/>
        <family val="0"/>
        <charset val="1"/>
      </rPr>
      <t xml:space="preserve">, 8</t>
    </r>
    <r>
      <rPr>
        <sz val="10"/>
        <rFont val="WenQuanYi Zen Hei"/>
        <family val="2"/>
      </rPr>
      <t xml:space="preserve">부</t>
    </r>
    <r>
      <rPr>
        <sz val="10"/>
        <rFont val="Arial"/>
        <family val="0"/>
        <charset val="1"/>
      </rPr>
      <t xml:space="preserve">, 10</t>
    </r>
    <r>
      <rPr>
        <sz val="10"/>
        <rFont val="WenQuanYi Zen Hei"/>
        <family val="2"/>
      </rPr>
      <t xml:space="preserve">부 </t>
    </r>
    <r>
      <rPr>
        <sz val="10"/>
        <rFont val="Arial"/>
        <family val="0"/>
        <charset val="1"/>
      </rPr>
      <t xml:space="preserve">3</t>
    </r>
    <r>
      <rPr>
        <sz val="10"/>
        <rFont val="WenQuanYi Zen Hei"/>
        <family val="2"/>
      </rPr>
      <t xml:space="preserve">화</t>
    </r>
  </si>
  <si>
    <t xml:space="preserve">Sofia, Paolo, Chiara</t>
  </si>
  <si>
    <t xml:space="preserve">국가(노동법)·단체협약·주(인턴 규율)</t>
  </si>
  <si>
    <t xml:space="preserve">사회적 대화, 단체협약, 인턴 규율(주별 지침)</t>
  </si>
  <si>
    <t xml:space="preserve">tirocinio, contratto, salario minimo, precariato, NEET</t>
  </si>
  <si>
    <t xml:space="preserve">청년 vs 기성세대 구도로 몰지 않는다(Paolo도 Cesare도 청년의 편에서 돕는다).</t>
  </si>
  <si>
    <t xml:space="preserve">청년(15~24세) 실업률 18.9%, 전체 5.8% (2026년 7월, ISTAT 잠정)</t>
  </si>
  <si>
    <t xml:space="preserve">이민·난민과 수용 분담</t>
  </si>
  <si>
    <t xml:space="preserve">permesso di soggiorno, protezione speciale, accoglienza, MSNA, cittadinanza</t>
  </si>
  <si>
    <r>
      <rPr>
        <sz val="10"/>
        <rFont val="Arial"/>
        <family val="0"/>
        <charset val="1"/>
      </rPr>
      <t xml:space="preserve">Testaccio·Esquilino</t>
    </r>
    <r>
      <rPr>
        <sz val="10"/>
        <rFont val="WenQuanYi Zen Hei"/>
        <family val="2"/>
      </rPr>
      <t xml:space="preserve">는 다국적 동네다</t>
    </r>
    <r>
      <rPr>
        <sz val="10"/>
        <rFont val="Arial"/>
        <family val="0"/>
        <charset val="1"/>
      </rPr>
      <t xml:space="preserve">. </t>
    </r>
    <r>
      <rPr>
        <sz val="10"/>
        <rFont val="WenQuanYi Zen Hei"/>
        <family val="2"/>
      </rPr>
      <t xml:space="preserve">서류 없는 이웃</t>
    </r>
    <r>
      <rPr>
        <sz val="10"/>
        <rFont val="Arial"/>
        <family val="0"/>
        <charset val="1"/>
      </rPr>
      <t xml:space="preserve">, </t>
    </r>
    <r>
      <rPr>
        <sz val="10"/>
        <rFont val="WenQuanYi Zen Hei"/>
        <family val="2"/>
      </rPr>
      <t xml:space="preserve">체류허가 사건</t>
    </r>
    <r>
      <rPr>
        <sz val="10"/>
        <rFont val="Arial"/>
        <family val="0"/>
        <charset val="1"/>
      </rPr>
      <t xml:space="preserve">, </t>
    </r>
    <r>
      <rPr>
        <sz val="10"/>
        <rFont val="WenQuanYi Zen Hei"/>
        <family val="2"/>
      </rPr>
      <t xml:space="preserve">람페두사 도착과 수용 과부하</t>
    </r>
    <r>
      <rPr>
        <sz val="10"/>
        <rFont val="Arial"/>
        <family val="0"/>
        <charset val="1"/>
      </rPr>
      <t xml:space="preserve">, </t>
    </r>
    <r>
      <rPr>
        <sz val="10"/>
        <rFont val="WenQuanYi Zen Hei"/>
        <family val="2"/>
      </rPr>
      <t xml:space="preserve">보호자 없는 미성년자 비용을 둘러싼 떠넘기기</t>
    </r>
    <r>
      <rPr>
        <sz val="10"/>
        <rFont val="Arial"/>
        <family val="0"/>
        <charset val="1"/>
      </rPr>
      <t xml:space="preserve">.</t>
    </r>
  </si>
  <si>
    <r>
      <rPr>
        <sz val="10"/>
        <rFont val="Arial"/>
        <family val="0"/>
        <charset val="1"/>
      </rPr>
      <t xml:space="preserve">6</t>
    </r>
    <r>
      <rPr>
        <sz val="10"/>
        <rFont val="WenQuanYi Zen Hei"/>
        <family val="2"/>
      </rPr>
      <t xml:space="preserve">부 </t>
    </r>
    <r>
      <rPr>
        <sz val="10"/>
        <rFont val="Arial"/>
        <family val="0"/>
        <charset val="1"/>
      </rPr>
      <t xml:space="preserve">8·9</t>
    </r>
    <r>
      <rPr>
        <sz val="10"/>
        <rFont val="WenQuanYi Zen Hei"/>
        <family val="2"/>
      </rPr>
      <t xml:space="preserve">화</t>
    </r>
    <r>
      <rPr>
        <sz val="10"/>
        <rFont val="Arial"/>
        <family val="0"/>
        <charset val="1"/>
      </rPr>
      <t xml:space="preserve">(</t>
    </r>
    <r>
      <rPr>
        <sz val="10"/>
        <rFont val="WenQuanYi Zen Hei"/>
        <family val="2"/>
      </rPr>
      <t xml:space="preserve">퇴거 저지</t>
    </r>
    <r>
      <rPr>
        <sz val="10"/>
        <rFont val="Arial"/>
        <family val="0"/>
        <charset val="1"/>
      </rPr>
      <t xml:space="preserve">·</t>
    </r>
    <r>
      <rPr>
        <sz val="10"/>
        <rFont val="WenQuanYi Zen Hei"/>
        <family val="2"/>
      </rPr>
      <t xml:space="preserve">서류 없는 이웃</t>
    </r>
    <r>
      <rPr>
        <sz val="10"/>
        <rFont val="Arial"/>
        <family val="0"/>
        <charset val="1"/>
      </rPr>
      <t xml:space="preserve">), 7</t>
    </r>
    <r>
      <rPr>
        <sz val="10"/>
        <rFont val="WenQuanYi Zen Hei"/>
        <family val="2"/>
      </rPr>
      <t xml:space="preserve">부 </t>
    </r>
    <r>
      <rPr>
        <sz val="10"/>
        <rFont val="Arial"/>
        <family val="0"/>
        <charset val="1"/>
      </rPr>
      <t xml:space="preserve">4</t>
    </r>
    <r>
      <rPr>
        <sz val="10"/>
        <rFont val="WenQuanYi Zen Hei"/>
        <family val="2"/>
      </rPr>
      <t xml:space="preserve">화</t>
    </r>
    <r>
      <rPr>
        <sz val="10"/>
        <rFont val="Arial"/>
        <family val="0"/>
        <charset val="1"/>
      </rPr>
      <t xml:space="preserve">(</t>
    </r>
    <r>
      <rPr>
        <sz val="10"/>
        <rFont val="WenQuanYi Zen Hei"/>
        <family val="2"/>
      </rPr>
      <t xml:space="preserve">체류허가</t>
    </r>
    <r>
      <rPr>
        <sz val="10"/>
        <rFont val="Arial"/>
        <family val="0"/>
        <charset val="1"/>
      </rPr>
      <t xml:space="preserve">), 11</t>
    </r>
    <r>
      <rPr>
        <sz val="10"/>
        <rFont val="WenQuanYi Zen Hei"/>
        <family val="2"/>
      </rPr>
      <t xml:space="preserve">부 </t>
    </r>
    <r>
      <rPr>
        <sz val="10"/>
        <rFont val="Arial"/>
        <family val="0"/>
        <charset val="1"/>
      </rPr>
      <t xml:space="preserve">5</t>
    </r>
    <r>
      <rPr>
        <sz val="10"/>
        <rFont val="WenQuanYi Zen Hei"/>
        <family val="2"/>
      </rPr>
      <t xml:space="preserve">화 분담</t>
    </r>
  </si>
  <si>
    <r>
      <rPr>
        <sz val="10"/>
        <rFont val="Arial"/>
        <family val="0"/>
        <charset val="1"/>
      </rPr>
      <t xml:space="preserve">1</t>
    </r>
    <r>
      <rPr>
        <sz val="10"/>
        <rFont val="WenQuanYi Zen Hei"/>
        <family val="2"/>
      </rPr>
      <t xml:space="preserve">부 </t>
    </r>
    <r>
      <rPr>
        <sz val="10"/>
        <rFont val="Arial"/>
        <family val="0"/>
        <charset val="1"/>
      </rPr>
      <t xml:space="preserve">7·8</t>
    </r>
    <r>
      <rPr>
        <sz val="10"/>
        <rFont val="WenQuanYi Zen Hei"/>
        <family val="2"/>
      </rPr>
      <t xml:space="preserve">화</t>
    </r>
    <r>
      <rPr>
        <sz val="10"/>
        <rFont val="Arial"/>
        <family val="0"/>
        <charset val="1"/>
      </rPr>
      <t xml:space="preserve">, 3</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t>
    </r>
    <r>
      <rPr>
        <sz val="10"/>
        <rFont val="WenQuanYi Zen Hei"/>
        <family val="2"/>
      </rPr>
      <t xml:space="preserve">서류 없는 환자</t>
    </r>
    <r>
      <rPr>
        <sz val="10"/>
        <rFont val="Arial"/>
        <family val="0"/>
        <charset val="1"/>
      </rPr>
      <t xml:space="preserve">), 8</t>
    </r>
    <r>
      <rPr>
        <sz val="10"/>
        <rFont val="WenQuanYi Zen Hei"/>
        <family val="2"/>
      </rPr>
      <t xml:space="preserve">부</t>
    </r>
    <r>
      <rPr>
        <sz val="10"/>
        <rFont val="Arial"/>
        <family val="0"/>
        <charset val="1"/>
      </rPr>
      <t xml:space="preserve">(</t>
    </r>
    <r>
      <rPr>
        <sz val="10"/>
        <rFont val="WenQuanYi Zen Hei"/>
        <family val="2"/>
      </rPr>
      <t xml:space="preserve">투표권 없는 이웃</t>
    </r>
    <r>
      <rPr>
        <sz val="10"/>
        <rFont val="Arial"/>
        <family val="0"/>
        <charset val="1"/>
      </rPr>
      <t xml:space="preserve">), 10</t>
    </r>
    <r>
      <rPr>
        <sz val="10"/>
        <rFont val="WenQuanYi Zen Hei"/>
        <family val="2"/>
      </rPr>
      <t xml:space="preserve">부 </t>
    </r>
    <r>
      <rPr>
        <sz val="10"/>
        <rFont val="Arial"/>
        <family val="0"/>
        <charset val="1"/>
      </rPr>
      <t xml:space="preserve">3</t>
    </r>
    <r>
      <rPr>
        <sz val="10"/>
        <rFont val="WenQuanYi Zen Hei"/>
        <family val="2"/>
      </rPr>
      <t xml:space="preserve">화</t>
    </r>
  </si>
  <si>
    <t xml:space="preserve">Rosa, Giulia, Marco, Paolo, Montessori</t>
  </si>
  <si>
    <t xml:space="preserve">국가(이민·국경·수용), 지자체(SAI·아동 보호)</t>
  </si>
  <si>
    <r>
      <rPr>
        <sz val="10"/>
        <rFont val="Arial"/>
        <family val="0"/>
        <charset val="1"/>
      </rPr>
      <t xml:space="preserve">d.lgs. 286/1998, legge 47/2017, </t>
    </r>
    <r>
      <rPr>
        <sz val="10"/>
        <rFont val="WenQuanYi Zen Hei"/>
        <family val="2"/>
      </rPr>
      <t xml:space="preserve">수용 체계</t>
    </r>
    <r>
      <rPr>
        <sz val="10"/>
        <rFont val="Arial"/>
        <family val="0"/>
        <charset val="1"/>
      </rPr>
      <t xml:space="preserve">(CAS·SAI)</t>
    </r>
  </si>
  <si>
    <t xml:space="preserve">permesso di soggiorno, accoglienza, minore non accompagnato, richiesta d'asilo, cittadinanza</t>
  </si>
  <si>
    <t xml:space="preserve">반이민 여론(IU)과 수용 부담 지역의 실제 어려움을 함께 담고, 이주민을 배경이 아닌 화자로 세운다.</t>
  </si>
  <si>
    <t xml:space="preserve">알바니아 수용 시설 협정, 시민권 요건 국민투표(2025년 정족수 미달) 등 최신 상황은 반영 전 확인</t>
  </si>
  <si>
    <t xml:space="preserve">고령화와 내륙 과소지역(aree interne)</t>
  </si>
  <si>
    <t xml:space="preserve">spopolamento, aree interne, denatalità, guardia medica, piccoli comuni</t>
  </si>
  <si>
    <t xml:space="preserve">내륙 마을의 야간 진료소가 문을 닫고 주는 병원 외주를 늘린다(9부). Garibaldi가 말년을 보낸 사르데냐 일대의 과소 마을을 캠페인이 지나며 일자리·의료·연금 문제가 되풀이된다(10부).</t>
  </si>
  <si>
    <r>
      <rPr>
        <sz val="10"/>
        <rFont val="Arial"/>
        <family val="0"/>
        <charset val="1"/>
      </rPr>
      <t xml:space="preserve">9</t>
    </r>
    <r>
      <rPr>
        <sz val="10"/>
        <rFont val="WenQuanYi Zen Hei"/>
        <family val="2"/>
      </rPr>
      <t xml:space="preserve">부 </t>
    </r>
    <r>
      <rPr>
        <sz val="10"/>
        <rFont val="Arial"/>
        <family val="0"/>
        <charset val="1"/>
      </rPr>
      <t xml:space="preserve">7</t>
    </r>
    <r>
      <rPr>
        <sz val="10"/>
        <rFont val="WenQuanYi Zen Hei"/>
        <family val="2"/>
      </rPr>
      <t xml:space="preserve">화 주의회에서의 보건</t>
    </r>
  </si>
  <si>
    <r>
      <rPr>
        <sz val="10"/>
        <rFont val="Arial"/>
        <family val="0"/>
        <charset val="1"/>
      </rPr>
      <t xml:space="preserve">3</t>
    </r>
    <r>
      <rPr>
        <sz val="10"/>
        <rFont val="WenQuanYi Zen Hei"/>
        <family val="2"/>
      </rPr>
      <t xml:space="preserve">부</t>
    </r>
    <r>
      <rPr>
        <sz val="10"/>
        <rFont val="Arial"/>
        <family val="0"/>
        <charset val="1"/>
      </rPr>
      <t xml:space="preserve">(</t>
    </r>
    <r>
      <rPr>
        <sz val="10"/>
        <rFont val="WenQuanYi Zen Hei"/>
        <family val="2"/>
      </rPr>
      <t xml:space="preserve">응급실 고령 환자</t>
    </r>
    <r>
      <rPr>
        <sz val="10"/>
        <rFont val="Arial"/>
        <family val="0"/>
        <charset val="1"/>
      </rPr>
      <t xml:space="preserve">), 10</t>
    </r>
    <r>
      <rPr>
        <sz val="10"/>
        <rFont val="WenQuanYi Zen Hei"/>
        <family val="2"/>
      </rPr>
      <t xml:space="preserve">부 </t>
    </r>
    <r>
      <rPr>
        <sz val="10"/>
        <rFont val="Arial"/>
        <family val="0"/>
        <charset val="1"/>
      </rPr>
      <t xml:space="preserve">2</t>
    </r>
    <r>
      <rPr>
        <sz val="10"/>
        <rFont val="WenQuanYi Zen Hei"/>
        <family val="2"/>
      </rPr>
      <t xml:space="preserve">화</t>
    </r>
    <r>
      <rPr>
        <sz val="10"/>
        <rFont val="Arial"/>
        <family val="0"/>
        <charset val="1"/>
      </rPr>
      <t xml:space="preserve">(</t>
    </r>
    <r>
      <rPr>
        <sz val="10"/>
        <rFont val="WenQuanYi Zen Hei"/>
        <family val="2"/>
      </rPr>
      <t xml:space="preserve">사르데냐 내륙</t>
    </r>
    <r>
      <rPr>
        <sz val="10"/>
        <rFont val="Arial"/>
        <family val="0"/>
        <charset val="1"/>
      </rPr>
      <t xml:space="preserve">), 11</t>
    </r>
    <r>
      <rPr>
        <sz val="10"/>
        <rFont val="WenQuanYi Zen Hei"/>
        <family val="2"/>
      </rPr>
      <t xml:space="preserve">부 </t>
    </r>
    <r>
      <rPr>
        <sz val="10"/>
        <rFont val="Arial"/>
        <family val="0"/>
        <charset val="1"/>
      </rPr>
      <t xml:space="preserve">4</t>
    </r>
    <r>
      <rPr>
        <sz val="10"/>
        <rFont val="WenQuanYi Zen Hei"/>
        <family val="2"/>
      </rPr>
      <t xml:space="preserve">화</t>
    </r>
    <r>
      <rPr>
        <sz val="10"/>
        <rFont val="Arial"/>
        <family val="0"/>
        <charset val="1"/>
      </rPr>
      <t xml:space="preserve">, 13</t>
    </r>
    <r>
      <rPr>
        <sz val="10"/>
        <rFont val="WenQuanYi Zen Hei"/>
        <family val="2"/>
      </rPr>
      <t xml:space="preserve">부</t>
    </r>
  </si>
  <si>
    <t xml:space="preserve">Garibaldi, Giulia, Sofia</t>
  </si>
  <si>
    <t xml:space="preserve">주·시·국가</t>
  </si>
  <si>
    <t xml:space="preserve">내륙 지역 국가 전략(SNAI), 주 보건서비스</t>
  </si>
  <si>
    <t xml:space="preserve">spopolamento, invecchiamento, natalità, guardia medica</t>
  </si>
  <si>
    <r>
      <rPr>
        <sz val="10"/>
        <rFont val="Arial"/>
        <family val="0"/>
        <charset val="1"/>
      </rPr>
      <t xml:space="preserve">'</t>
    </r>
    <r>
      <rPr>
        <sz val="10"/>
        <rFont val="WenQuanYi Zen Hei"/>
        <family val="2"/>
      </rPr>
      <t xml:space="preserve">텅 빈 마을</t>
    </r>
    <r>
      <rPr>
        <sz val="10"/>
        <rFont val="Arial"/>
        <family val="0"/>
        <charset val="1"/>
      </rPr>
      <t xml:space="preserve">'</t>
    </r>
    <r>
      <rPr>
        <sz val="10"/>
        <rFont val="WenQuanYi Zen Hei"/>
        <family val="2"/>
      </rPr>
      <t xml:space="preserve">을 동정하지 않고 마을 사람들이 직접 말하게 한다</t>
    </r>
    <r>
      <rPr>
        <sz val="10"/>
        <rFont val="Arial"/>
        <family val="0"/>
        <charset val="1"/>
      </rPr>
      <t xml:space="preserve">.</t>
    </r>
  </si>
  <si>
    <t xml:space="preserve">출생률·인구 통계는 반영 전 확인</t>
  </si>
  <si>
    <t xml:space="preserve">가뭄·폭염과 에너지 전환 부담</t>
  </si>
  <si>
    <t xml:space="preserve">siccità, ondata di calore, bollino rosso, bollette, transizione energetica</t>
  </si>
  <si>
    <t xml:space="preserve">폭염 경보에 응급실이 넘치고(3부), 저수지가 마른 남부 마을을 지나며(10부), 횡재세 재원을 전환 비용과 전기요금에 쓸지 논쟁한다(11부).</t>
  </si>
  <si>
    <r>
      <rPr>
        <sz val="10"/>
        <rFont val="Arial"/>
        <family val="0"/>
        <charset val="1"/>
      </rPr>
      <t xml:space="preserve">3</t>
    </r>
    <r>
      <rPr>
        <sz val="10"/>
        <rFont val="WenQuanYi Zen Hei"/>
        <family val="2"/>
      </rPr>
      <t xml:space="preserve">부 </t>
    </r>
    <r>
      <rPr>
        <sz val="10"/>
        <rFont val="Arial"/>
        <family val="0"/>
        <charset val="1"/>
      </rPr>
      <t xml:space="preserve">3·10</t>
    </r>
    <r>
      <rPr>
        <sz val="10"/>
        <rFont val="WenQuanYi Zen Hei"/>
        <family val="2"/>
      </rPr>
      <t xml:space="preserve">화</t>
    </r>
    <r>
      <rPr>
        <sz val="10"/>
        <rFont val="Arial"/>
        <family val="0"/>
        <charset val="1"/>
      </rPr>
      <t xml:space="preserve">(</t>
    </r>
    <r>
      <rPr>
        <sz val="10"/>
        <rFont val="WenQuanYi Zen Hei"/>
        <family val="2"/>
      </rPr>
      <t xml:space="preserve">폭염 응급실</t>
    </r>
    <r>
      <rPr>
        <sz val="10"/>
        <rFont val="Arial"/>
        <family val="0"/>
        <charset val="1"/>
      </rPr>
      <t xml:space="preserve">)</t>
    </r>
  </si>
  <si>
    <r>
      <rPr>
        <sz val="10"/>
        <rFont val="Arial"/>
        <family val="0"/>
        <charset val="1"/>
      </rPr>
      <t xml:space="preserve">10</t>
    </r>
    <r>
      <rPr>
        <sz val="10"/>
        <rFont val="WenQuanYi Zen Hei"/>
        <family val="2"/>
      </rPr>
      <t xml:space="preserve">부 </t>
    </r>
    <r>
      <rPr>
        <sz val="10"/>
        <rFont val="Arial"/>
        <family val="0"/>
        <charset val="1"/>
      </rPr>
      <t xml:space="preserve">2</t>
    </r>
    <r>
      <rPr>
        <sz val="10"/>
        <rFont val="WenQuanYi Zen Hei"/>
        <family val="2"/>
      </rPr>
      <t xml:space="preserve">화</t>
    </r>
    <r>
      <rPr>
        <sz val="10"/>
        <rFont val="Arial"/>
        <family val="0"/>
        <charset val="1"/>
      </rPr>
      <t xml:space="preserve">, 11</t>
    </r>
    <r>
      <rPr>
        <sz val="10"/>
        <rFont val="WenQuanYi Zen Hei"/>
        <family val="2"/>
      </rPr>
      <t xml:space="preserve">부 </t>
    </r>
    <r>
      <rPr>
        <sz val="10"/>
        <rFont val="Arial"/>
        <family val="0"/>
        <charset val="1"/>
      </rPr>
      <t xml:space="preserve">4·8</t>
    </r>
    <r>
      <rPr>
        <sz val="10"/>
        <rFont val="WenQuanYi Zen Hei"/>
        <family val="2"/>
      </rPr>
      <t xml:space="preserve">화</t>
    </r>
    <r>
      <rPr>
        <sz val="10"/>
        <rFont val="Arial"/>
        <family val="0"/>
        <charset val="1"/>
      </rPr>
      <t xml:space="preserve">, 12</t>
    </r>
    <r>
      <rPr>
        <sz val="10"/>
        <rFont val="WenQuanYi Zen Hei"/>
        <family val="2"/>
      </rPr>
      <t xml:space="preserve">부 </t>
    </r>
    <r>
      <rPr>
        <sz val="10"/>
        <rFont val="Arial"/>
        <family val="0"/>
        <charset val="1"/>
      </rPr>
      <t xml:space="preserve">8</t>
    </r>
    <r>
      <rPr>
        <sz val="10"/>
        <rFont val="WenQuanYi Zen Hei"/>
        <family val="2"/>
      </rPr>
      <t xml:space="preserve">화</t>
    </r>
  </si>
  <si>
    <t xml:space="preserve">Giulia, Garibaldi, Alessandro</t>
  </si>
  <si>
    <t xml:space="preserve">국가·주·유역 관리 기구</t>
  </si>
  <si>
    <t xml:space="preserve">폭염 경보 체계, 수자원 관리(확인)</t>
  </si>
  <si>
    <t xml:space="preserve">siccità, ondata di calore, bollino rosso, bolletta, transizione energetica</t>
  </si>
  <si>
    <t xml:space="preserve">기후를 정치적 구호로 쓰지 않고 현장 사건으로 보여 준다.</t>
  </si>
  <si>
    <t xml:space="preserve">최신 가뭄·폭염 통계 확인</t>
  </si>
  <si>
    <t xml:space="preserve">N1</t>
  </si>
  <si>
    <t xml:space="preserve">재난</t>
  </si>
  <si>
    <t xml:space="preserve">홍수와 수리·지반 취약성</t>
  </si>
  <si>
    <t xml:space="preserve">alluvione, allerta rossa, IT-alert, Protezione Civile, dissesto idrogeologico</t>
  </si>
  <si>
    <t xml:space="preserve">가상의 중부 지방에 집중호우와 하천 범람이 덮친다. 경보·대피 지연, 주–중앙정부 책임 공방, 국가 비상사태 선포, 민방위·군 투입, 복구와 보상.</t>
  </si>
  <si>
    <r>
      <rPr>
        <sz val="10"/>
        <rFont val="Arial"/>
        <family val="0"/>
        <charset val="1"/>
      </rPr>
      <t xml:space="preserve">12</t>
    </r>
    <r>
      <rPr>
        <sz val="10"/>
        <rFont val="WenQuanYi Zen Hei"/>
        <family val="2"/>
      </rPr>
      <t xml:space="preserve">부 </t>
    </r>
    <r>
      <rPr>
        <sz val="10"/>
        <rFont val="Arial"/>
        <family val="0"/>
        <charset val="1"/>
      </rPr>
      <t xml:space="preserve">8</t>
    </r>
    <r>
      <rPr>
        <sz val="10"/>
        <rFont val="WenQuanYi Zen Hei"/>
        <family val="2"/>
      </rPr>
      <t xml:space="preserve">화 </t>
    </r>
    <r>
      <rPr>
        <sz val="10"/>
        <rFont val="Arial"/>
        <family val="0"/>
        <charset val="1"/>
      </rPr>
      <t xml:space="preserve">L'alluvione</t>
    </r>
  </si>
  <si>
    <r>
      <rPr>
        <sz val="10"/>
        <rFont val="Arial"/>
        <family val="0"/>
        <charset val="1"/>
      </rPr>
      <t xml:space="preserve">13</t>
    </r>
    <r>
      <rPr>
        <sz val="10"/>
        <rFont val="WenQuanYi Zen Hei"/>
        <family val="2"/>
      </rPr>
      <t xml:space="preserve">부</t>
    </r>
    <r>
      <rPr>
        <sz val="10"/>
        <rFont val="Arial"/>
        <family val="0"/>
        <charset val="1"/>
      </rPr>
      <t xml:space="preserve">(</t>
    </r>
    <r>
      <rPr>
        <sz val="10"/>
        <rFont val="WenQuanYi Zen Hei"/>
        <family val="2"/>
      </rPr>
      <t xml:space="preserve">복구 결산</t>
    </r>
    <r>
      <rPr>
        <sz val="10"/>
        <rFont val="Arial"/>
        <family val="0"/>
        <charset val="1"/>
      </rPr>
      <t xml:space="preserve">)</t>
    </r>
  </si>
  <si>
    <t xml:space="preserve">주·시(1차 대응), 국가(비상사태·민방위 국), EU</t>
  </si>
  <si>
    <r>
      <rPr>
        <sz val="10"/>
        <rFont val="Arial"/>
        <family val="0"/>
        <charset val="1"/>
      </rPr>
      <t xml:space="preserve">d.lgs. 1/2018(</t>
    </r>
    <r>
      <rPr>
        <sz val="10"/>
        <rFont val="WenQuanYi Zen Hei"/>
        <family val="2"/>
      </rPr>
      <t xml:space="preserve">민방위법</t>
    </r>
    <r>
      <rPr>
        <sz val="10"/>
        <rFont val="Arial"/>
        <family val="0"/>
        <charset val="1"/>
      </rPr>
      <t xml:space="preserve">), EU </t>
    </r>
    <r>
      <rPr>
        <sz val="10"/>
        <rFont val="WenQuanYi Zen Hei"/>
        <family val="2"/>
      </rPr>
      <t xml:space="preserve">연대기금</t>
    </r>
  </si>
  <si>
    <t xml:space="preserve">protezione civile, allerta rossa, stato di emergenza, sfollati</t>
  </si>
  <si>
    <t xml:space="preserve">실제 참사와 희생자를 연상시키므로 추모의 톤을 지키고, 특정 정치인 비난 없이 제도의 공백을 보여 준다.</t>
  </si>
  <si>
    <t xml:space="preserve">실제 홍수(에밀리아로마냐 2023 등) 후속 조치는 반영 전 확인</t>
  </si>
  <si>
    <t xml:space="preserve">EU</t>
  </si>
  <si>
    <t xml:space="preserve">회복기금(PNRR) 집행</t>
  </si>
  <si>
    <t xml:space="preserve">PNRR, milestone, target, rendicontazione, soggetti attuatori</t>
  </si>
  <si>
    <r>
      <rPr>
        <sz val="10"/>
        <rFont val="Noto Sans CJK SC"/>
        <family val="2"/>
        <charset val="1"/>
      </rPr>
      <t xml:space="preserve">EU </t>
    </r>
    <r>
      <rPr>
        <sz val="10"/>
        <rFont val="WenQuanYi Zen Hei"/>
        <family val="2"/>
      </rPr>
      <t xml:space="preserve">최대 규모의 회복기금이 시 계약으로 흘러가 소수 업체가 독점하고 행정 병목으로 지연된다</t>
    </r>
    <r>
      <rPr>
        <sz val="10"/>
        <rFont val="Noto Sans CJK SC"/>
        <family val="2"/>
        <charset val="1"/>
      </rPr>
      <t xml:space="preserve">. Alessandro·Francesco</t>
    </r>
    <r>
      <rPr>
        <sz val="10"/>
        <rFont val="WenQuanYi Zen Hei"/>
        <family val="2"/>
      </rPr>
      <t xml:space="preserve">가 자금 흐름을 추적한다</t>
    </r>
    <r>
      <rPr>
        <sz val="10"/>
        <rFont val="Noto Sans CJK SC"/>
        <family val="2"/>
        <charset val="1"/>
      </rPr>
      <t xml:space="preserve">.</t>
    </r>
  </si>
  <si>
    <r>
      <rPr>
        <sz val="10"/>
        <rFont val="Arial"/>
        <family val="0"/>
        <charset val="1"/>
      </rPr>
      <t xml:space="preserve">9</t>
    </r>
    <r>
      <rPr>
        <sz val="10"/>
        <rFont val="WenQuanYi Zen Hei"/>
        <family val="2"/>
      </rPr>
      <t xml:space="preserve">부 </t>
    </r>
    <r>
      <rPr>
        <sz val="10"/>
        <rFont val="Arial"/>
        <family val="0"/>
        <charset val="1"/>
      </rPr>
      <t xml:space="preserve">4</t>
    </r>
    <r>
      <rPr>
        <sz val="10"/>
        <rFont val="WenQuanYi Zen Hei"/>
        <family val="2"/>
      </rPr>
      <t xml:space="preserve">화 돋보기 아래의 계약들</t>
    </r>
  </si>
  <si>
    <r>
      <rPr>
        <sz val="10"/>
        <rFont val="Arial"/>
        <family val="0"/>
        <charset val="1"/>
      </rPr>
      <t xml:space="preserve">11</t>
    </r>
    <r>
      <rPr>
        <sz val="10"/>
        <rFont val="WenQuanYi Zen Hei"/>
        <family val="2"/>
      </rPr>
      <t xml:space="preserve">부 </t>
    </r>
    <r>
      <rPr>
        <sz val="10"/>
        <rFont val="Arial"/>
        <family val="0"/>
        <charset val="1"/>
      </rPr>
      <t xml:space="preserve">9</t>
    </r>
    <r>
      <rPr>
        <sz val="10"/>
        <rFont val="WenQuanYi Zen Hei"/>
        <family val="2"/>
      </rPr>
      <t xml:space="preserve">화</t>
    </r>
    <r>
      <rPr>
        <sz val="10"/>
        <rFont val="Arial"/>
        <family val="0"/>
        <charset val="1"/>
      </rPr>
      <t xml:space="preserve">, 12</t>
    </r>
    <r>
      <rPr>
        <sz val="10"/>
        <rFont val="WenQuanYi Zen Hei"/>
        <family val="2"/>
      </rPr>
      <t xml:space="preserve">부 </t>
    </r>
    <r>
      <rPr>
        <sz val="10"/>
        <rFont val="Arial"/>
        <family val="0"/>
        <charset val="1"/>
      </rPr>
      <t xml:space="preserve">9</t>
    </r>
    <r>
      <rPr>
        <sz val="10"/>
        <rFont val="WenQuanYi Zen Hei"/>
        <family val="2"/>
      </rPr>
      <t xml:space="preserve">화</t>
    </r>
  </si>
  <si>
    <t xml:space="preserve">Alessandro, Francesco, Chiara</t>
  </si>
  <si>
    <t xml:space="preserve">국가·주·시·EU</t>
  </si>
  <si>
    <r>
      <rPr>
        <sz val="10"/>
        <rFont val="Arial"/>
        <family val="0"/>
        <charset val="1"/>
      </rPr>
      <t xml:space="preserve">PNRR </t>
    </r>
    <r>
      <rPr>
        <sz val="10"/>
        <rFont val="WenQuanYi Zen Hei"/>
        <family val="2"/>
      </rPr>
      <t xml:space="preserve">거버넌스</t>
    </r>
    <r>
      <rPr>
        <sz val="10"/>
        <rFont val="Arial"/>
        <family val="0"/>
        <charset val="1"/>
      </rPr>
      <t xml:space="preserve">(d.l. 77/2021), </t>
    </r>
    <r>
      <rPr>
        <sz val="10"/>
        <rFont val="WenQuanYi Zen Hei"/>
        <family val="2"/>
      </rPr>
      <t xml:space="preserve">공공계약법</t>
    </r>
    <r>
      <rPr>
        <sz val="10"/>
        <rFont val="Arial"/>
        <family val="0"/>
        <charset val="1"/>
      </rPr>
      <t xml:space="preserve">(d.lgs. 36/2023)</t>
    </r>
  </si>
  <si>
    <t xml:space="preserve">fondi europei, gara, milestone, attuazione</t>
  </si>
  <si>
    <r>
      <rPr>
        <sz val="10"/>
        <rFont val="Arial"/>
        <family val="0"/>
        <charset val="1"/>
      </rPr>
      <t xml:space="preserve">'</t>
    </r>
    <r>
      <rPr>
        <sz val="10"/>
        <rFont val="WenQuanYi Zen Hei"/>
        <family val="2"/>
      </rPr>
      <t xml:space="preserve">기금이 낭비된다</t>
    </r>
    <r>
      <rPr>
        <sz val="10"/>
        <rFont val="Arial"/>
        <family val="0"/>
        <charset val="1"/>
      </rPr>
      <t xml:space="preserve">'</t>
    </r>
    <r>
      <rPr>
        <sz val="10"/>
        <rFont val="WenQuanYi Zen Hei"/>
        <family val="2"/>
      </rPr>
      <t xml:space="preserve">는 단정 대신 병목의 원인</t>
    </r>
    <r>
      <rPr>
        <sz val="10"/>
        <rFont val="Arial"/>
        <family val="0"/>
        <charset val="1"/>
      </rPr>
      <t xml:space="preserve">(</t>
    </r>
    <r>
      <rPr>
        <sz val="10"/>
        <rFont val="WenQuanYi Zen Hei"/>
        <family val="2"/>
      </rPr>
      <t xml:space="preserve">절차</t>
    </r>
    <r>
      <rPr>
        <sz val="10"/>
        <rFont val="Arial"/>
        <family val="0"/>
        <charset val="1"/>
      </rPr>
      <t xml:space="preserve">·</t>
    </r>
    <r>
      <rPr>
        <sz val="10"/>
        <rFont val="WenQuanYi Zen Hei"/>
        <family val="2"/>
      </rPr>
      <t xml:space="preserve">인력</t>
    </r>
    <r>
      <rPr>
        <sz val="10"/>
        <rFont val="Arial"/>
        <family val="0"/>
        <charset val="1"/>
      </rPr>
      <t xml:space="preserve">·</t>
    </r>
    <r>
      <rPr>
        <sz val="10"/>
        <rFont val="WenQuanYi Zen Hei"/>
        <family val="2"/>
      </rPr>
      <t xml:space="preserve">배분</t>
    </r>
    <r>
      <rPr>
        <sz val="10"/>
        <rFont val="Arial"/>
        <family val="0"/>
        <charset val="1"/>
      </rPr>
      <t xml:space="preserve">)</t>
    </r>
    <r>
      <rPr>
        <sz val="10"/>
        <rFont val="WenQuanYi Zen Hei"/>
        <family val="2"/>
      </rPr>
      <t xml:space="preserve">을 나눠서 보여 준다</t>
    </r>
    <r>
      <rPr>
        <sz val="10"/>
        <rFont val="Arial"/>
        <family val="0"/>
        <charset val="1"/>
      </rPr>
      <t xml:space="preserve">.</t>
    </r>
  </si>
  <si>
    <r>
      <rPr>
        <sz val="10"/>
        <rFont val="Noto Sans CJK SC"/>
        <family val="2"/>
        <charset val="1"/>
      </rPr>
      <t xml:space="preserve">PNRR </t>
    </r>
    <r>
      <rPr>
        <sz val="10"/>
        <rFont val="WenQuanYi Zen Hei"/>
        <family val="2"/>
      </rPr>
      <t xml:space="preserve">사업 완료 시한</t>
    </r>
    <r>
      <rPr>
        <sz val="10"/>
        <rFont val="Noto Sans CJK SC"/>
        <family val="2"/>
        <charset val="1"/>
      </rPr>
      <t xml:space="preserve">(2026</t>
    </r>
    <r>
      <rPr>
        <sz val="10"/>
        <rFont val="WenQuanYi Zen Hei"/>
        <family val="2"/>
      </rPr>
      <t xml:space="preserve">년 </t>
    </r>
    <r>
      <rPr>
        <sz val="10"/>
        <rFont val="Noto Sans CJK SC"/>
        <family val="2"/>
        <charset val="1"/>
      </rPr>
      <t xml:space="preserve">8</t>
    </r>
    <r>
      <rPr>
        <sz val="10"/>
        <rFont val="WenQuanYi Zen Hei"/>
        <family val="2"/>
      </rPr>
      <t xml:space="preserve">월</t>
    </r>
    <r>
      <rPr>
        <sz val="10"/>
        <rFont val="Noto Sans CJK SC"/>
        <family val="2"/>
        <charset val="1"/>
      </rPr>
      <t xml:space="preserve">) </t>
    </r>
    <r>
      <rPr>
        <sz val="10"/>
        <rFont val="WenQuanYi Zen Hei"/>
        <family val="2"/>
      </rPr>
      <t xml:space="preserve">이후 최종 결산은 반영 전 확인</t>
    </r>
  </si>
  <si>
    <t xml:space="preserve">EU·NATO</t>
  </si>
  <si>
    <t xml:space="preserve">국방비 증액과 NATO</t>
  </si>
  <si>
    <t xml:space="preserve">spesa per la difesa, NATO, 5%, clausola di salvaguardia, SAFE</t>
  </si>
  <si>
    <r>
      <rPr>
        <sz val="10"/>
        <rFont val="Arial"/>
        <family val="0"/>
        <charset val="1"/>
      </rPr>
      <t xml:space="preserve">2025</t>
    </r>
    <r>
      <rPr>
        <sz val="10"/>
        <rFont val="WenQuanYi Zen Hei"/>
        <family val="2"/>
      </rPr>
      <t xml:space="preserve">년 헤이그 합의로 </t>
    </r>
    <r>
      <rPr>
        <sz val="10"/>
        <rFont val="Arial"/>
        <family val="0"/>
        <charset val="1"/>
      </rPr>
      <t xml:space="preserve">NATO</t>
    </r>
    <r>
      <rPr>
        <sz val="10"/>
        <rFont val="WenQuanYi Zen Hei"/>
        <family val="2"/>
      </rPr>
      <t xml:space="preserve">가 </t>
    </r>
    <r>
      <rPr>
        <sz val="10"/>
        <rFont val="Arial"/>
        <family val="0"/>
        <charset val="1"/>
      </rPr>
      <t xml:space="preserve">5%(</t>
    </r>
    <r>
      <rPr>
        <sz val="10"/>
        <rFont val="WenQuanYi Zen Hei"/>
        <family val="2"/>
      </rPr>
      <t xml:space="preserve">핵심 </t>
    </r>
    <r>
      <rPr>
        <sz val="10"/>
        <rFont val="Arial"/>
        <family val="0"/>
        <charset val="1"/>
      </rPr>
      <t xml:space="preserve">3.5%+</t>
    </r>
    <r>
      <rPr>
        <sz val="10"/>
        <rFont val="WenQuanYi Zen Hei"/>
        <family val="2"/>
      </rPr>
      <t xml:space="preserve">관련 </t>
    </r>
    <r>
      <rPr>
        <sz val="10"/>
        <rFont val="Arial"/>
        <family val="0"/>
        <charset val="1"/>
      </rPr>
      <t xml:space="preserve">1.5%) </t>
    </r>
    <r>
      <rPr>
        <sz val="10"/>
        <rFont val="WenQuanYi Zen Hei"/>
        <family val="2"/>
      </rPr>
      <t xml:space="preserve">목표를 </t>
    </r>
    <r>
      <rPr>
        <sz val="10"/>
        <rFont val="Arial"/>
        <family val="0"/>
        <charset val="1"/>
      </rPr>
      <t xml:space="preserve">2035</t>
    </r>
    <r>
      <rPr>
        <sz val="10"/>
        <rFont val="WenQuanYi Zen Hei"/>
        <family val="2"/>
      </rPr>
      <t xml:space="preserve">년까지 세웠고 이탈리아도 서명했다</t>
    </r>
    <r>
      <rPr>
        <sz val="10"/>
        <rFont val="Arial"/>
        <family val="0"/>
        <charset val="1"/>
      </rPr>
      <t xml:space="preserve">. </t>
    </r>
    <r>
      <rPr>
        <sz val="10"/>
        <rFont val="WenQuanYi Zen Hei"/>
        <family val="2"/>
      </rPr>
      <t xml:space="preserve">과도한 재정적자 절차 아래서 재원이 없다</t>
    </r>
    <r>
      <rPr>
        <sz val="10"/>
        <rFont val="Arial"/>
        <family val="0"/>
        <charset val="1"/>
      </rPr>
      <t xml:space="preserve">. Cesare</t>
    </r>
    <r>
      <rPr>
        <sz val="10"/>
        <rFont val="WenQuanYi Zen Hei"/>
        <family val="2"/>
      </rPr>
      <t xml:space="preserve">가 </t>
    </r>
    <r>
      <rPr>
        <sz val="10"/>
        <rFont val="Arial"/>
        <family val="0"/>
        <charset val="1"/>
      </rPr>
      <t xml:space="preserve">11</t>
    </r>
    <r>
      <rPr>
        <sz val="10"/>
        <rFont val="WenQuanYi Zen Hei"/>
        <family val="2"/>
      </rPr>
      <t xml:space="preserve">부에서 직접 나서 검증 가능한 단계 경로와 재정 유연성을 얻어내고</t>
    </r>
    <r>
      <rPr>
        <sz val="10"/>
        <rFont val="Arial"/>
        <family val="0"/>
        <charset val="1"/>
      </rPr>
      <t xml:space="preserve">, 12</t>
    </r>
    <r>
      <rPr>
        <sz val="10"/>
        <rFont val="WenQuanYi Zen Hei"/>
        <family val="2"/>
      </rPr>
      <t xml:space="preserve">부에서 그 경로를 예산에 반영하는 논쟁이 이어진다</t>
    </r>
    <r>
      <rPr>
        <sz val="10"/>
        <rFont val="Arial"/>
        <family val="0"/>
        <charset val="1"/>
      </rPr>
      <t xml:space="preserve">.</t>
    </r>
  </si>
  <si>
    <r>
      <rPr>
        <sz val="10"/>
        <rFont val="Arial"/>
        <family val="0"/>
        <charset val="1"/>
      </rPr>
      <t xml:space="preserve">11</t>
    </r>
    <r>
      <rPr>
        <sz val="10"/>
        <rFont val="WenQuanYi Zen Hei"/>
        <family val="2"/>
      </rPr>
      <t xml:space="preserve">부 </t>
    </r>
    <r>
      <rPr>
        <sz val="10"/>
        <rFont val="Arial"/>
        <family val="0"/>
        <charset val="1"/>
      </rPr>
      <t xml:space="preserve">9~11</t>
    </r>
    <r>
      <rPr>
        <sz val="10"/>
        <rFont val="WenQuanYi Zen Hei"/>
        <family val="2"/>
      </rPr>
      <t xml:space="preserve">화</t>
    </r>
    <r>
      <rPr>
        <sz val="10"/>
        <rFont val="Arial"/>
        <family val="0"/>
        <charset val="1"/>
      </rPr>
      <t xml:space="preserve">(Cesare</t>
    </r>
    <r>
      <rPr>
        <sz val="10"/>
        <rFont val="WenQuanYi Zen Hei"/>
        <family val="2"/>
      </rPr>
      <t xml:space="preserve">의 직접 협상</t>
    </r>
    <r>
      <rPr>
        <sz val="10"/>
        <rFont val="Arial"/>
        <family val="0"/>
        <charset val="1"/>
      </rPr>
      <t xml:space="preserve">), 11</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t>
    </r>
    <r>
      <rPr>
        <sz val="10"/>
        <rFont val="WenQuanYi Zen Hei"/>
        <family val="2"/>
      </rPr>
      <t xml:space="preserve">사망</t>
    </r>
    <r>
      <rPr>
        <sz val="10"/>
        <rFont val="Arial"/>
        <family val="0"/>
        <charset val="1"/>
      </rPr>
      <t xml:space="preserve">)</t>
    </r>
  </si>
  <si>
    <r>
      <rPr>
        <sz val="10"/>
        <rFont val="Arial"/>
        <family val="0"/>
        <charset val="1"/>
      </rPr>
      <t xml:space="preserve">10</t>
    </r>
    <r>
      <rPr>
        <sz val="10"/>
        <rFont val="WenQuanYi Zen Hei"/>
        <family val="2"/>
      </rPr>
      <t xml:space="preserve">부 </t>
    </r>
    <r>
      <rPr>
        <sz val="10"/>
        <rFont val="Arial"/>
        <family val="0"/>
        <charset val="1"/>
      </rPr>
      <t xml:space="preserve">3</t>
    </r>
    <r>
      <rPr>
        <sz val="10"/>
        <rFont val="WenQuanYi Zen Hei"/>
        <family val="2"/>
      </rPr>
      <t xml:space="preserve">화</t>
    </r>
    <r>
      <rPr>
        <sz val="10"/>
        <rFont val="Arial"/>
        <family val="0"/>
        <charset val="1"/>
      </rPr>
      <t xml:space="preserve">(TV </t>
    </r>
    <r>
      <rPr>
        <sz val="10"/>
        <rFont val="WenQuanYi Zen Hei"/>
        <family val="2"/>
      </rPr>
      <t xml:space="preserve">토론</t>
    </r>
    <r>
      <rPr>
        <sz val="10"/>
        <rFont val="Arial"/>
        <family val="0"/>
        <charset val="1"/>
      </rPr>
      <t xml:space="preserve">), 12</t>
    </r>
    <r>
      <rPr>
        <sz val="10"/>
        <rFont val="WenQuanYi Zen Hei"/>
        <family val="2"/>
      </rPr>
      <t xml:space="preserve">부 </t>
    </r>
    <r>
      <rPr>
        <sz val="10"/>
        <rFont val="Arial"/>
        <family val="0"/>
        <charset val="1"/>
      </rPr>
      <t xml:space="preserve">3</t>
    </r>
    <r>
      <rPr>
        <sz val="10"/>
        <rFont val="WenQuanYi Zen Hei"/>
        <family val="2"/>
      </rPr>
      <t xml:space="preserve">화</t>
    </r>
    <r>
      <rPr>
        <sz val="10"/>
        <rFont val="Arial"/>
        <family val="0"/>
        <charset val="1"/>
      </rPr>
      <t xml:space="preserve">(</t>
    </r>
    <r>
      <rPr>
        <sz val="10"/>
        <rFont val="WenQuanYi Zen Hei"/>
        <family val="2"/>
      </rPr>
      <t xml:space="preserve">후속 협상</t>
    </r>
    <r>
      <rPr>
        <sz val="10"/>
        <rFont val="Arial"/>
        <family val="0"/>
        <charset val="1"/>
      </rPr>
      <t xml:space="preserve">), 12</t>
    </r>
    <r>
      <rPr>
        <sz val="10"/>
        <rFont val="WenQuanYi Zen Hei"/>
        <family val="2"/>
      </rPr>
      <t xml:space="preserve">부 </t>
    </r>
    <r>
      <rPr>
        <sz val="10"/>
        <rFont val="Arial"/>
        <family val="0"/>
        <charset val="1"/>
      </rPr>
      <t xml:space="preserve">11</t>
    </r>
    <r>
      <rPr>
        <sz val="10"/>
        <rFont val="WenQuanYi Zen Hei"/>
        <family val="2"/>
      </rPr>
      <t xml:space="preserve">화</t>
    </r>
    <r>
      <rPr>
        <sz val="10"/>
        <rFont val="Arial"/>
        <family val="0"/>
        <charset val="1"/>
      </rPr>
      <t xml:space="preserve">(</t>
    </r>
    <r>
      <rPr>
        <sz val="10"/>
        <rFont val="WenQuanYi Zen Hei"/>
        <family val="2"/>
      </rPr>
      <t xml:space="preserve">예산 반영</t>
    </r>
    <r>
      <rPr>
        <sz val="10"/>
        <rFont val="Arial"/>
        <family val="0"/>
        <charset val="1"/>
      </rPr>
      <t xml:space="preserve">)</t>
    </r>
  </si>
  <si>
    <t xml:space="preserve">Cesare, Alessandro, Dante, Garibaldi, Marco</t>
  </si>
  <si>
    <t xml:space="preserve">국가·NATO·EU</t>
  </si>
  <si>
    <r>
      <rPr>
        <sz val="10"/>
        <rFont val="Arial"/>
        <family val="0"/>
        <charset val="1"/>
      </rPr>
      <t xml:space="preserve">2025 </t>
    </r>
    <r>
      <rPr>
        <sz val="10"/>
        <rFont val="WenQuanYi Zen Hei"/>
        <family val="2"/>
      </rPr>
      <t xml:space="preserve">헤이그 합의</t>
    </r>
    <r>
      <rPr>
        <sz val="10"/>
        <rFont val="Arial"/>
        <family val="0"/>
        <charset val="1"/>
      </rPr>
      <t xml:space="preserve">, EU </t>
    </r>
    <r>
      <rPr>
        <sz val="10"/>
        <rFont val="WenQuanYi Zen Hei"/>
        <family val="2"/>
      </rPr>
      <t xml:space="preserve">재정규칙 국가 예외 조항</t>
    </r>
    <r>
      <rPr>
        <sz val="10"/>
        <rFont val="Arial"/>
        <family val="0"/>
        <charset val="1"/>
      </rPr>
      <t xml:space="preserve">, </t>
    </r>
    <r>
      <rPr>
        <sz val="10"/>
        <rFont val="WenQuanYi Zen Hei"/>
        <family val="2"/>
      </rPr>
      <t xml:space="preserve">헌법 제</t>
    </r>
    <r>
      <rPr>
        <sz val="10"/>
        <rFont val="Arial"/>
        <family val="0"/>
        <charset val="1"/>
      </rPr>
      <t xml:space="preserve">81</t>
    </r>
    <r>
      <rPr>
        <sz val="10"/>
        <rFont val="WenQuanYi Zen Hei"/>
        <family val="2"/>
      </rPr>
      <t xml:space="preserve">조</t>
    </r>
  </si>
  <si>
    <t xml:space="preserve">spesa per la difesa, capacità, impegno, deterrenza</t>
  </si>
  <si>
    <t xml:space="preserve">안보 강화 vs 복지 우선 두 입장을 모두 설득력 있게 들려준다.</t>
  </si>
  <si>
    <t xml:space="preserve">이탈리아는 회계 방식 변경으로 2% 도달을 발표(2025), 2026년 4월 국방비용 예외 조항 활용 포기 보도. 최신 수치 확인</t>
  </si>
  <si>
    <t xml:space="preserve">젠더</t>
  </si>
  <si>
    <t xml:space="preserve">성폭력 법의 '동의' 기준과 재판 지연</t>
  </si>
  <si>
    <t xml:space="preserve">consenso, violenza sessuale, prescrizione, femminicidio, vittimizzazione secondaria</t>
  </si>
  <si>
    <t xml:space="preserve">폭력·위협 입증 중심의 현행 조항과 재판 지연 때문에 피해자가 다시 심문대에 서고, 공소시효가 다가온다. 사무소가 피해자 사건을 돕고 Marco는 '법은 있는데 정의가 늦는' 현실을 마주한다.</t>
  </si>
  <si>
    <r>
      <rPr>
        <sz val="10"/>
        <rFont val="Arial"/>
        <family val="0"/>
        <charset val="1"/>
      </rPr>
      <t xml:space="preserve">7</t>
    </r>
    <r>
      <rPr>
        <sz val="10"/>
        <rFont val="WenQuanYi Zen Hei"/>
        <family val="2"/>
      </rPr>
      <t xml:space="preserve">부 </t>
    </r>
    <r>
      <rPr>
        <sz val="10"/>
        <rFont val="Arial"/>
        <family val="0"/>
        <charset val="1"/>
      </rPr>
      <t xml:space="preserve">3</t>
    </r>
    <r>
      <rPr>
        <sz val="10"/>
        <rFont val="WenQuanYi Zen Hei"/>
        <family val="2"/>
      </rPr>
      <t xml:space="preserve">화 피해자를 벌한 시간</t>
    </r>
  </si>
  <si>
    <r>
      <rPr>
        <sz val="10"/>
        <rFont val="Arial"/>
        <family val="0"/>
        <charset val="1"/>
      </rPr>
      <t xml:space="preserve">8</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t>
    </r>
    <r>
      <rPr>
        <sz val="10"/>
        <rFont val="WenQuanYi Zen Hei"/>
        <family val="2"/>
      </rPr>
      <t xml:space="preserve">성별 균형 명부</t>
    </r>
    <r>
      <rPr>
        <sz val="10"/>
        <rFont val="Arial"/>
        <family val="0"/>
        <charset val="1"/>
      </rPr>
      <t xml:space="preserve">), 10</t>
    </r>
    <r>
      <rPr>
        <sz val="10"/>
        <rFont val="WenQuanYi Zen Hei"/>
        <family val="2"/>
      </rPr>
      <t xml:space="preserve">부 </t>
    </r>
    <r>
      <rPr>
        <sz val="10"/>
        <rFont val="Arial"/>
        <family val="0"/>
        <charset val="1"/>
      </rPr>
      <t xml:space="preserve">3</t>
    </r>
    <r>
      <rPr>
        <sz val="10"/>
        <rFont val="WenQuanYi Zen Hei"/>
        <family val="2"/>
      </rPr>
      <t xml:space="preserve">화</t>
    </r>
    <r>
      <rPr>
        <sz val="10"/>
        <rFont val="Arial"/>
        <family val="0"/>
        <charset val="1"/>
      </rPr>
      <t xml:space="preserve">(TV </t>
    </r>
    <r>
      <rPr>
        <sz val="10"/>
        <rFont val="WenQuanYi Zen Hei"/>
        <family val="2"/>
      </rPr>
      <t xml:space="preserve">토론</t>
    </r>
    <r>
      <rPr>
        <sz val="10"/>
        <rFont val="Arial"/>
        <family val="0"/>
        <charset val="1"/>
      </rPr>
      <t xml:space="preserve">)</t>
    </r>
  </si>
  <si>
    <t xml:space="preserve">국가(형법·형사소송)</t>
  </si>
  <si>
    <t xml:space="preserve">형법 제609-bis조, 공소시효 규정, 여성 살해 가중 처벌 입법(확인)</t>
  </si>
  <si>
    <t xml:space="preserve">consenso, violenza sessuale, prescrizione, vittima</t>
  </si>
  <si>
    <r>
      <rPr>
        <sz val="10"/>
        <rFont val="Noto Sans CJK SC"/>
        <family val="2"/>
        <charset val="1"/>
      </rPr>
      <t xml:space="preserve">'</t>
    </r>
    <r>
      <rPr>
        <sz val="10"/>
        <rFont val="WenQuanYi Zen Hei"/>
        <family val="2"/>
      </rPr>
      <t xml:space="preserve">동의</t>
    </r>
    <r>
      <rPr>
        <sz val="10"/>
        <rFont val="Noto Sans CJK SC"/>
        <family val="2"/>
        <charset val="1"/>
      </rPr>
      <t xml:space="preserve">' </t>
    </r>
    <r>
      <rPr>
        <sz val="10"/>
        <rFont val="WenQuanYi Zen Hei"/>
        <family val="2"/>
      </rPr>
      <t xml:space="preserve">명문화 주장과 절차 개혁 우선 주장을 각자의 가장 강한 논거로 제시한다</t>
    </r>
    <r>
      <rPr>
        <sz val="10"/>
        <rFont val="Noto Sans CJK SC"/>
        <family val="2"/>
        <charset val="1"/>
      </rPr>
      <t xml:space="preserve">. </t>
    </r>
    <r>
      <rPr>
        <sz val="10"/>
        <rFont val="WenQuanYi Zen Hei"/>
        <family val="2"/>
      </rPr>
      <t xml:space="preserve">트랜스 관련 법은 본문에서 다루지 않거나 언급 수준으로 최소화</t>
    </r>
    <r>
      <rPr>
        <sz val="10"/>
        <rFont val="Noto Sans CJK SC"/>
        <family val="2"/>
        <charset val="1"/>
      </rPr>
      <t xml:space="preserve">(</t>
    </r>
    <r>
      <rPr>
        <sz val="10"/>
        <rFont val="WenQuanYi Zen Hei"/>
        <family val="2"/>
      </rPr>
      <t xml:space="preserve">미결</t>
    </r>
    <r>
      <rPr>
        <sz val="10"/>
        <rFont val="Noto Sans CJK SC"/>
        <family val="2"/>
        <charset val="1"/>
      </rPr>
      <t xml:space="preserve">).</t>
    </r>
  </si>
  <si>
    <r>
      <rPr>
        <sz val="10"/>
        <rFont val="Noto Sans CJK SC"/>
        <family val="2"/>
        <charset val="1"/>
      </rPr>
      <t xml:space="preserve">'</t>
    </r>
    <r>
      <rPr>
        <sz val="10"/>
        <rFont val="WenQuanYi Zen Hei"/>
        <family val="2"/>
      </rPr>
      <t xml:space="preserve">동의</t>
    </r>
    <r>
      <rPr>
        <sz val="10"/>
        <rFont val="Noto Sans CJK SC"/>
        <family val="2"/>
        <charset val="1"/>
      </rPr>
      <t xml:space="preserve">' </t>
    </r>
    <r>
      <rPr>
        <sz val="10"/>
        <rFont val="WenQuanYi Zen Hei"/>
        <family val="2"/>
      </rPr>
      <t xml:space="preserve">기준 개정안과 여성 살해죄 신설의 입법 진행 상황 확인</t>
    </r>
  </si>
  <si>
    <t xml:space="preserve">N5</t>
  </si>
  <si>
    <t xml:space="preserve">에너지</t>
  </si>
  <si>
    <t xml:space="preserve">재생에너지 입지 갈등(녹색 대 녹색)</t>
  </si>
  <si>
    <t xml:space="preserve">agrivoltaico, pale eoliche, aree idonee, paesaggio, VIA</t>
  </si>
  <si>
    <t xml:space="preserve">사르데냐 내륙의 대형 풍력·태양광 단지 계획: 일자리·세수 vs 농지·경관·생태. 주민 찬반이 갈리고 Montessori가 중재한다.</t>
  </si>
  <si>
    <r>
      <rPr>
        <sz val="10"/>
        <rFont val="Arial"/>
        <family val="0"/>
        <charset val="1"/>
      </rPr>
      <t xml:space="preserve">10</t>
    </r>
    <r>
      <rPr>
        <sz val="10"/>
        <rFont val="WenQuanYi Zen Hei"/>
        <family val="2"/>
      </rPr>
      <t xml:space="preserve">부 </t>
    </r>
    <r>
      <rPr>
        <sz val="10"/>
        <rFont val="Arial"/>
        <family val="0"/>
        <charset val="1"/>
      </rPr>
      <t xml:space="preserve">2</t>
    </r>
    <r>
      <rPr>
        <sz val="10"/>
        <rFont val="WenQuanYi Zen Hei"/>
        <family val="2"/>
      </rPr>
      <t xml:space="preserve">화 전국 유세 </t>
    </r>
    <r>
      <rPr>
        <sz val="10"/>
        <rFont val="Arial"/>
        <family val="0"/>
        <charset val="1"/>
      </rPr>
      <t xml:space="preserve">(</t>
    </r>
    <r>
      <rPr>
        <sz val="10"/>
        <rFont val="WenQuanYi Zen Hei"/>
        <family val="2"/>
      </rPr>
      <t xml:space="preserve">사르데냐 내륙의 풍력</t>
    </r>
    <r>
      <rPr>
        <sz val="10"/>
        <rFont val="Arial"/>
        <family val="0"/>
        <charset val="1"/>
      </rPr>
      <t xml:space="preserve">·</t>
    </r>
    <r>
      <rPr>
        <sz val="10"/>
        <rFont val="WenQuanYi Zen Hei"/>
        <family val="2"/>
      </rPr>
      <t xml:space="preserve">태양광 단지</t>
    </r>
    <r>
      <rPr>
        <sz val="10"/>
        <rFont val="Arial"/>
        <family val="0"/>
        <charset val="1"/>
      </rPr>
      <t xml:space="preserve">)</t>
    </r>
  </si>
  <si>
    <r>
      <rPr>
        <sz val="10"/>
        <rFont val="Arial"/>
        <family val="0"/>
        <charset val="1"/>
      </rPr>
      <t xml:space="preserve">11</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t>
    </r>
    <r>
      <rPr>
        <sz val="10"/>
        <rFont val="WenQuanYi Zen Hei"/>
        <family val="2"/>
      </rPr>
      <t xml:space="preserve">횡재세 재원</t>
    </r>
    <r>
      <rPr>
        <sz val="10"/>
        <rFont val="Arial"/>
        <family val="0"/>
        <charset val="1"/>
      </rPr>
      <t xml:space="preserve">), 13</t>
    </r>
    <r>
      <rPr>
        <sz val="10"/>
        <rFont val="WenQuanYi Zen Hei"/>
        <family val="2"/>
      </rPr>
      <t xml:space="preserve">부 </t>
    </r>
    <r>
      <rPr>
        <sz val="10"/>
        <rFont val="Arial"/>
        <family val="0"/>
        <charset val="1"/>
      </rPr>
      <t xml:space="preserve">7</t>
    </r>
    <r>
      <rPr>
        <sz val="10"/>
        <rFont val="WenQuanYi Zen Hei"/>
        <family val="2"/>
      </rPr>
      <t xml:space="preserve">화</t>
    </r>
  </si>
  <si>
    <t xml:space="preserve">Garibaldi, Dante, Sofia, Montessori</t>
  </si>
  <si>
    <t xml:space="preserve">국가(대형 설비)·주(적합 부지 지정)·시</t>
  </si>
  <si>
    <t xml:space="preserve">적합 부지(aree idonee) 규정, 환경영향평가(VIA), 농지 지상 태양광 제한(2024)</t>
  </si>
  <si>
    <t xml:space="preserve">parco eolico, agrivoltaico, valutazione di impatto ambientale, agricoltore</t>
  </si>
  <si>
    <t xml:space="preserve">어느 쪽도 악역으로 만들지 않는다. 마을 안의 두 목소리가 모두 옳다는 형태로.</t>
  </si>
  <si>
    <t xml:space="preserve">사르데냐 주 적합 부지 법과 헌법재판소 다툼 등 인허가 기준 확인</t>
  </si>
  <si>
    <t xml:space="preserve">노동</t>
  </si>
  <si>
    <t xml:space="preserve">플랫폼 노동(라이더) 이후의 갈등</t>
  </si>
  <si>
    <t xml:space="preserve">rider, algoritmo, piattaforma, caporalato digitale, subordinazione</t>
  </si>
  <si>
    <t xml:space="preserve">배달 라이더가 알고리즘 배차·일방적 계정 차단에 항의한다. 2019년 보호 조항 이후에도 고용 지위 분쟁과 '디지털 불법 중개' 수사가 계속됨을 Paolo가 현장에서 겪는다.</t>
  </si>
  <si>
    <r>
      <rPr>
        <sz val="10"/>
        <rFont val="Arial"/>
        <family val="0"/>
        <charset val="1"/>
      </rPr>
      <t xml:space="preserve">12</t>
    </r>
    <r>
      <rPr>
        <sz val="10"/>
        <rFont val="WenQuanYi Zen Hei"/>
        <family val="2"/>
      </rPr>
      <t xml:space="preserve">부 </t>
    </r>
    <r>
      <rPr>
        <sz val="10"/>
        <rFont val="Arial"/>
        <family val="0"/>
        <charset val="1"/>
      </rPr>
      <t xml:space="preserve">4</t>
    </r>
    <r>
      <rPr>
        <sz val="10"/>
        <rFont val="WenQuanYi Zen Hei"/>
        <family val="2"/>
      </rPr>
      <t xml:space="preserve">화 </t>
    </r>
    <r>
      <rPr>
        <sz val="10"/>
        <rFont val="Arial"/>
        <family val="0"/>
        <charset val="1"/>
      </rPr>
      <t xml:space="preserve">L'app che decide</t>
    </r>
  </si>
  <si>
    <r>
      <rPr>
        <sz val="10"/>
        <rFont val="Arial"/>
        <family val="0"/>
        <charset val="1"/>
      </rPr>
      <t xml:space="preserve">5</t>
    </r>
    <r>
      <rPr>
        <sz val="10"/>
        <rFont val="WenQuanYi Zen Hei"/>
        <family val="2"/>
      </rPr>
      <t xml:space="preserve">부</t>
    </r>
    <r>
      <rPr>
        <sz val="10"/>
        <rFont val="Arial"/>
        <family val="0"/>
        <charset val="1"/>
      </rPr>
      <t xml:space="preserve">(Chiara</t>
    </r>
    <r>
      <rPr>
        <sz val="10"/>
        <rFont val="WenQuanYi Zen Hei"/>
        <family val="2"/>
      </rPr>
      <t xml:space="preserve">의 과거</t>
    </r>
    <r>
      <rPr>
        <sz val="10"/>
        <rFont val="Arial"/>
        <family val="0"/>
        <charset val="1"/>
      </rPr>
      <t xml:space="preserve">, </t>
    </r>
    <r>
      <rPr>
        <sz val="10"/>
        <rFont val="WenQuanYi Zen Hei"/>
        <family val="2"/>
      </rPr>
      <t xml:space="preserve">곁가지</t>
    </r>
    <r>
      <rPr>
        <sz val="10"/>
        <rFont val="Arial"/>
        <family val="0"/>
        <charset val="1"/>
      </rPr>
      <t xml:space="preserve">)</t>
    </r>
  </si>
  <si>
    <t xml:space="preserve">국가(노동법)·EU</t>
  </si>
  <si>
    <r>
      <rPr>
        <sz val="10"/>
        <rFont val="Arial"/>
        <family val="0"/>
        <charset val="1"/>
      </rPr>
      <t xml:space="preserve">d.lgs. 81/2015 </t>
    </r>
    <r>
      <rPr>
        <sz val="10"/>
        <rFont val="WenQuanYi Zen Hei"/>
        <family val="2"/>
      </rPr>
      <t xml:space="preserve">제</t>
    </r>
    <r>
      <rPr>
        <sz val="10"/>
        <rFont val="Arial"/>
        <family val="0"/>
        <charset val="1"/>
      </rPr>
      <t xml:space="preserve">47-bis</t>
    </r>
    <r>
      <rPr>
        <sz val="10"/>
        <rFont val="WenQuanYi Zen Hei"/>
        <family val="2"/>
      </rPr>
      <t xml:space="preserve">조 이하</t>
    </r>
    <r>
      <rPr>
        <sz val="10"/>
        <rFont val="Arial"/>
        <family val="0"/>
        <charset val="1"/>
      </rPr>
      <t xml:space="preserve">(</t>
    </r>
    <r>
      <rPr>
        <sz val="10"/>
        <rFont val="WenQuanYi Zen Hei"/>
        <family val="2"/>
      </rPr>
      <t xml:space="preserve">라이더 보호</t>
    </r>
    <r>
      <rPr>
        <sz val="10"/>
        <rFont val="Arial"/>
        <family val="0"/>
        <charset val="1"/>
      </rPr>
      <t xml:space="preserve">), EU </t>
    </r>
    <r>
      <rPr>
        <sz val="10"/>
        <rFont val="WenQuanYi Zen Hei"/>
        <family val="2"/>
      </rPr>
      <t xml:space="preserve">지침 </t>
    </r>
    <r>
      <rPr>
        <sz val="10"/>
        <rFont val="Arial"/>
        <family val="0"/>
        <charset val="1"/>
      </rPr>
      <t xml:space="preserve">2024/2831</t>
    </r>
  </si>
  <si>
    <t xml:space="preserve">algoritmo, piattaforma, lavoro subordinato, disconnessione</t>
  </si>
  <si>
    <t xml:space="preserve">플랫폼 vs 라이더 구도를 단순화하지 않는다. 자영업을 원하는 라이더의 목소리도 담는다.</t>
  </si>
  <si>
    <r>
      <rPr>
        <sz val="10"/>
        <rFont val="Arial"/>
        <family val="0"/>
        <charset val="1"/>
      </rPr>
      <t xml:space="preserve">EU </t>
    </r>
    <r>
      <rPr>
        <sz val="10"/>
        <rFont val="WenQuanYi Zen Hei"/>
        <family val="2"/>
      </rPr>
      <t xml:space="preserve">플랫폼노동 지침 국내 이행 시한 </t>
    </r>
    <r>
      <rPr>
        <sz val="10"/>
        <rFont val="Arial"/>
        <family val="0"/>
        <charset val="1"/>
      </rPr>
      <t xml:space="preserve">2026</t>
    </r>
    <r>
      <rPr>
        <sz val="10"/>
        <rFont val="WenQuanYi Zen Hei"/>
        <family val="2"/>
      </rPr>
      <t xml:space="preserve">년 </t>
    </r>
    <r>
      <rPr>
        <sz val="10"/>
        <rFont val="Arial"/>
        <family val="0"/>
        <charset val="1"/>
      </rPr>
      <t xml:space="preserve">12</t>
    </r>
    <r>
      <rPr>
        <sz val="10"/>
        <rFont val="WenQuanYi Zen Hei"/>
        <family val="2"/>
      </rPr>
      <t xml:space="preserve">월</t>
    </r>
    <r>
      <rPr>
        <sz val="10"/>
        <rFont val="Arial"/>
        <family val="0"/>
        <charset val="1"/>
      </rPr>
      <t xml:space="preserve">. </t>
    </r>
    <r>
      <rPr>
        <sz val="10"/>
        <rFont val="WenQuanYi Zen Hei"/>
        <family val="2"/>
      </rPr>
      <t xml:space="preserve">최신 적용 사례는 확인 필요</t>
    </r>
  </si>
  <si>
    <t xml:space="preserve">사법·통제</t>
  </si>
  <si>
    <t xml:space="preserve">스파이웨어·정보기관 감시 스캔들</t>
  </si>
  <si>
    <t xml:space="preserve">spyware, intercettazioni illegali, COPASIR, servizi segreti, giornalisti</t>
  </si>
  <si>
    <t xml:space="preserve">언론인과 시민단체 활동가 휴대전화에 군사급 스파이웨어가 심어졌다는 의혹. 파시스트 정치경찰에게 감시당했던 Gramsci가 흔적을 알아채고 Marco는 합법적 감독 경로를 고집한다.</t>
  </si>
  <si>
    <r>
      <rPr>
        <sz val="10"/>
        <rFont val="Arial"/>
        <family val="0"/>
        <charset val="1"/>
      </rPr>
      <t xml:space="preserve">12</t>
    </r>
    <r>
      <rPr>
        <sz val="10"/>
        <rFont val="WenQuanYi Zen Hei"/>
        <family val="2"/>
      </rPr>
      <t xml:space="preserve">부 </t>
    </r>
    <r>
      <rPr>
        <sz val="10"/>
        <rFont val="Arial"/>
        <family val="0"/>
        <charset val="1"/>
      </rPr>
      <t xml:space="preserve">5</t>
    </r>
    <r>
      <rPr>
        <sz val="10"/>
        <rFont val="WenQuanYi Zen Hei"/>
        <family val="2"/>
      </rPr>
      <t xml:space="preserve">화 </t>
    </r>
    <r>
      <rPr>
        <sz val="10"/>
        <rFont val="Arial"/>
        <family val="0"/>
        <charset val="1"/>
      </rPr>
      <t xml:space="preserve">Il software che nessuno ha autorizzato</t>
    </r>
  </si>
  <si>
    <r>
      <rPr>
        <sz val="10"/>
        <rFont val="Arial"/>
        <family val="0"/>
        <charset val="1"/>
      </rPr>
      <t xml:space="preserve">7</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t>
    </r>
    <r>
      <rPr>
        <sz val="10"/>
        <rFont val="WenQuanYi Zen Hei"/>
        <family val="2"/>
      </rPr>
      <t xml:space="preserve">도청 논쟁</t>
    </r>
    <r>
      <rPr>
        <sz val="10"/>
        <rFont val="Arial"/>
        <family val="0"/>
        <charset val="1"/>
      </rPr>
      <t xml:space="preserve">)</t>
    </r>
    <r>
      <rPr>
        <sz val="10"/>
        <rFont val="WenQuanYi Zen Hei"/>
        <family val="2"/>
      </rPr>
      <t xml:space="preserve">와 연결</t>
    </r>
    <r>
      <rPr>
        <sz val="10"/>
        <rFont val="Arial"/>
        <family val="0"/>
        <charset val="1"/>
      </rPr>
      <t xml:space="preserve">·</t>
    </r>
    <r>
      <rPr>
        <sz val="10"/>
        <rFont val="WenQuanYi Zen Hei"/>
        <family val="2"/>
      </rPr>
      <t xml:space="preserve">확장</t>
    </r>
  </si>
  <si>
    <t xml:space="preserve">정보기관(DIS·AISE·AISI)·사법부·의회(COPASIR)</t>
  </si>
  <si>
    <r>
      <rPr>
        <sz val="10"/>
        <rFont val="Arial"/>
        <family val="0"/>
        <charset val="1"/>
      </rPr>
      <t xml:space="preserve">legge 124/2007, </t>
    </r>
    <r>
      <rPr>
        <sz val="10"/>
        <rFont val="WenQuanYi Zen Hei"/>
        <family val="2"/>
      </rPr>
      <t xml:space="preserve">형사소송법 감청 규정</t>
    </r>
    <r>
      <rPr>
        <sz val="10"/>
        <rFont val="Arial"/>
        <family val="0"/>
        <charset val="1"/>
      </rPr>
      <t xml:space="preserve">, </t>
    </r>
    <r>
      <rPr>
        <sz val="10"/>
        <rFont val="WenQuanYi Zen Hei"/>
        <family val="2"/>
      </rPr>
      <t xml:space="preserve">의회 조사위원회</t>
    </r>
  </si>
  <si>
    <t xml:space="preserve">spyware, controllo parlamentare, intercettazione, segreto di Stato</t>
  </si>
  <si>
    <t xml:space="preserve">실제 사건을 특정하지 않는다. 가상의 스캔들로 각색하고 여야 모두를 향한 감독 공백을 보여 준다.</t>
  </si>
  <si>
    <r>
      <rPr>
        <sz val="10"/>
        <rFont val="Arial"/>
        <family val="0"/>
        <charset val="1"/>
      </rPr>
      <t xml:space="preserve">2025</t>
    </r>
    <r>
      <rPr>
        <sz val="10"/>
        <rFont val="WenQuanYi Zen Hei"/>
        <family val="2"/>
      </rPr>
      <t xml:space="preserve">년 언론인</t>
    </r>
    <r>
      <rPr>
        <sz val="10"/>
        <rFont val="Arial"/>
        <family val="0"/>
        <charset val="1"/>
      </rPr>
      <t xml:space="preserve">·</t>
    </r>
    <r>
      <rPr>
        <sz val="10"/>
        <rFont val="WenQuanYi Zen Hei"/>
        <family val="2"/>
      </rPr>
      <t xml:space="preserve">활동가 스파이웨어 의혹 등 실제 사례가 있음</t>
    </r>
    <r>
      <rPr>
        <sz val="10"/>
        <rFont val="Arial"/>
        <family val="0"/>
        <charset val="1"/>
      </rPr>
      <t xml:space="preserve">. </t>
    </r>
    <r>
      <rPr>
        <sz val="10"/>
        <rFont val="WenQuanYi Zen Hei"/>
        <family val="2"/>
      </rPr>
      <t xml:space="preserve">세부는 반영 전 확인</t>
    </r>
  </si>
  <si>
    <t xml:space="preserve">청년 정신건강 위기</t>
  </si>
  <si>
    <t xml:space="preserve">salute mentale, ansia, liste d'attesa, bonus psicologo, CSM</t>
  </si>
  <si>
    <t xml:space="preserve">청년 정신건강 상담 대기가 몇 달씩 밀린다. Montessori가 현장에서, Sofia가 자신의 불안을 처음 인정하며 함께 부딪힌다.</t>
  </si>
  <si>
    <r>
      <rPr>
        <sz val="10"/>
        <rFont val="Arial"/>
        <family val="0"/>
        <charset val="1"/>
      </rPr>
      <t xml:space="preserve">12</t>
    </r>
    <r>
      <rPr>
        <sz val="10"/>
        <rFont val="WenQuanYi Zen Hei"/>
        <family val="2"/>
      </rPr>
      <t xml:space="preserve">부 </t>
    </r>
    <r>
      <rPr>
        <sz val="10"/>
        <rFont val="Arial"/>
        <family val="0"/>
        <charset val="1"/>
      </rPr>
      <t xml:space="preserve">6</t>
    </r>
    <r>
      <rPr>
        <sz val="10"/>
        <rFont val="WenQuanYi Zen Hei"/>
        <family val="2"/>
      </rPr>
      <t xml:space="preserve">화 </t>
    </r>
    <r>
      <rPr>
        <sz val="10"/>
        <rFont val="Arial"/>
        <family val="0"/>
        <charset val="1"/>
      </rPr>
      <t xml:space="preserve">Le liste d'attesa</t>
    </r>
  </si>
  <si>
    <r>
      <rPr>
        <sz val="10"/>
        <rFont val="Arial"/>
        <family val="0"/>
        <charset val="1"/>
      </rPr>
      <t xml:space="preserve">1</t>
    </r>
    <r>
      <rPr>
        <sz val="10"/>
        <rFont val="WenQuanYi Zen Hei"/>
        <family val="2"/>
      </rPr>
      <t xml:space="preserve">부</t>
    </r>
    <r>
      <rPr>
        <sz val="10"/>
        <rFont val="Arial"/>
        <family val="0"/>
        <charset val="1"/>
      </rPr>
      <t xml:space="preserve">(Sofia</t>
    </r>
    <r>
      <rPr>
        <sz val="10"/>
        <rFont val="WenQuanYi Zen Hei"/>
        <family val="2"/>
      </rPr>
      <t xml:space="preserve">의 폭발과 연결 가능</t>
    </r>
    <r>
      <rPr>
        <sz val="10"/>
        <rFont val="Arial"/>
        <family val="0"/>
        <charset val="1"/>
      </rPr>
      <t xml:space="preserve">, </t>
    </r>
    <r>
      <rPr>
        <sz val="10"/>
        <rFont val="WenQuanYi Zen Hei"/>
        <family val="2"/>
      </rPr>
      <t xml:space="preserve">곁가지</t>
    </r>
    <r>
      <rPr>
        <sz val="10"/>
        <rFont val="Arial"/>
        <family val="0"/>
        <charset val="1"/>
      </rPr>
      <t xml:space="preserve">)</t>
    </r>
  </si>
  <si>
    <t xml:space="preserve">주(정신건강 서비스)·국가(지원 예산)</t>
  </si>
  <si>
    <t xml:space="preserve">공공 심리 지원(bonus psicologo), 지역 정신건강센터</t>
  </si>
  <si>
    <t xml:space="preserve">salute mentale, ansia, terapia, lista d'attesa</t>
  </si>
  <si>
    <t xml:space="preserve">청년 정신건강을 극적 소재로만 소비하지 않는다. 낙인 없이, 도움을 구하는 것이 자연스럽다는 톤으로.</t>
  </si>
  <si>
    <t xml:space="preserve">청년 불안장애·상담 대기 증가는 이탈리아에서 널리 보도된 추세. 최신 통계는 확인 필요</t>
  </si>
  <si>
    <t xml:space="preserve">현실 기준값 (확인일 2026-09-24)</t>
  </si>
  <si>
    <t xml:space="preserve">구분</t>
  </si>
  <si>
    <t xml:space="preserve">항목</t>
  </si>
  <si>
    <t xml:space="preserve">값</t>
  </si>
  <si>
    <t xml:space="preserve">출처·비고</t>
  </si>
  <si>
    <t xml:space="preserve">1</t>
  </si>
  <si>
    <t xml:space="preserve">정부 부채 / GDP</t>
  </si>
  <si>
    <r>
      <rPr>
        <sz val="10"/>
        <rFont val="Noto Sans CJK SC"/>
        <family val="2"/>
        <charset val="1"/>
      </rPr>
      <t xml:space="preserve">137.1% (2025</t>
    </r>
    <r>
      <rPr>
        <sz val="10"/>
        <rFont val="WenQuanYi Zen Hei"/>
        <family val="2"/>
      </rPr>
      <t xml:space="preserve">년 말</t>
    </r>
    <r>
      <rPr>
        <sz val="10"/>
        <rFont val="Noto Sans CJK SC"/>
        <family val="2"/>
        <charset val="1"/>
      </rPr>
      <t xml:space="preserve">), 2025</t>
    </r>
    <r>
      <rPr>
        <sz val="10"/>
        <rFont val="WenQuanYi Zen Hei"/>
        <family val="2"/>
      </rPr>
      <t xml:space="preserve">년 적자 </t>
    </r>
    <r>
      <rPr>
        <sz val="10"/>
        <rFont val="Noto Sans CJK SC"/>
        <family val="2"/>
        <charset val="1"/>
      </rPr>
      <t xml:space="preserve">3.1%</t>
    </r>
  </si>
  <si>
    <r>
      <rPr>
        <sz val="10"/>
        <rFont val="Noto Sans CJK SC"/>
        <family val="2"/>
        <charset val="1"/>
      </rPr>
      <t xml:space="preserve">ISTAT 2026</t>
    </r>
    <r>
      <rPr>
        <sz val="10"/>
        <rFont val="WenQuanYi Zen Hei"/>
        <family val="2"/>
      </rPr>
      <t xml:space="preserve">년 </t>
    </r>
    <r>
      <rPr>
        <sz val="10"/>
        <rFont val="Noto Sans CJK SC"/>
        <family val="2"/>
        <charset val="1"/>
      </rPr>
      <t xml:space="preserve">1</t>
    </r>
    <r>
      <rPr>
        <sz val="10"/>
        <rFont val="WenQuanYi Zen Hei"/>
        <family val="2"/>
      </rPr>
      <t xml:space="preserve">차 </t>
    </r>
    <r>
      <rPr>
        <sz val="10"/>
        <rFont val="Noto Sans CJK SC"/>
        <family val="2"/>
        <charset val="1"/>
      </rPr>
      <t xml:space="preserve">EU </t>
    </r>
    <r>
      <rPr>
        <sz val="10"/>
        <rFont val="WenQuanYi Zen Hei"/>
        <family val="2"/>
      </rPr>
      <t xml:space="preserve">통보</t>
    </r>
    <r>
      <rPr>
        <sz val="10"/>
        <rFont val="Noto Sans CJK SC"/>
        <family val="2"/>
        <charset val="1"/>
      </rPr>
      <t xml:space="preserve">. </t>
    </r>
    <r>
      <rPr>
        <sz val="10"/>
        <rFont val="WenQuanYi Zen Hei"/>
        <family val="2"/>
      </rPr>
      <t xml:space="preserve">과도한 재정적자 절차</t>
    </r>
    <r>
      <rPr>
        <sz val="10"/>
        <rFont val="Noto Sans CJK SC"/>
        <family val="2"/>
        <charset val="1"/>
      </rPr>
      <t xml:space="preserve">(2024~)</t>
    </r>
    <r>
      <rPr>
        <sz val="10"/>
        <rFont val="WenQuanYi Zen Hei"/>
        <family val="2"/>
      </rPr>
      <t xml:space="preserve">는 </t>
    </r>
    <r>
      <rPr>
        <sz val="10"/>
        <rFont val="Noto Sans CJK SC"/>
        <family val="2"/>
        <charset val="1"/>
      </rPr>
      <t xml:space="preserve">2027</t>
    </r>
    <r>
      <rPr>
        <sz val="10"/>
        <rFont val="WenQuanYi Zen Hei"/>
        <family val="2"/>
      </rPr>
      <t xml:space="preserve">년 졸업 전망 보도</t>
    </r>
    <r>
      <rPr>
        <sz val="10"/>
        <rFont val="Noto Sans CJK SC"/>
        <family val="2"/>
        <charset val="1"/>
      </rPr>
      <t xml:space="preserve">.</t>
    </r>
  </si>
  <si>
    <t xml:space="preserve">2</t>
  </si>
  <si>
    <t xml:space="preserve">청년(15~24세) 실업률</t>
  </si>
  <si>
    <r>
      <rPr>
        <sz val="10"/>
        <rFont val="Arial"/>
        <family val="0"/>
        <charset val="1"/>
      </rPr>
      <t xml:space="preserve">18.9% (2026</t>
    </r>
    <r>
      <rPr>
        <sz val="10"/>
        <rFont val="WenQuanYi Zen Hei"/>
        <family val="2"/>
      </rPr>
      <t xml:space="preserve">년 </t>
    </r>
    <r>
      <rPr>
        <sz val="10"/>
        <rFont val="Arial"/>
        <family val="0"/>
        <charset val="1"/>
      </rPr>
      <t xml:space="preserve">7</t>
    </r>
    <r>
      <rPr>
        <sz val="10"/>
        <rFont val="WenQuanYi Zen Hei"/>
        <family val="2"/>
      </rPr>
      <t xml:space="preserve">월</t>
    </r>
    <r>
      <rPr>
        <sz val="10"/>
        <rFont val="Arial"/>
        <family val="0"/>
        <charset val="1"/>
      </rPr>
      <t xml:space="preserve">), </t>
    </r>
    <r>
      <rPr>
        <sz val="10"/>
        <rFont val="WenQuanYi Zen Hei"/>
        <family val="2"/>
      </rPr>
      <t xml:space="preserve">전체 </t>
    </r>
    <r>
      <rPr>
        <sz val="10"/>
        <rFont val="Arial"/>
        <family val="0"/>
        <charset val="1"/>
      </rPr>
      <t xml:space="preserve">5.8%</t>
    </r>
  </si>
  <si>
    <r>
      <rPr>
        <sz val="10"/>
        <rFont val="Arial"/>
        <family val="0"/>
        <charset val="1"/>
      </rPr>
      <t xml:space="preserve">ISTAT </t>
    </r>
    <r>
      <rPr>
        <sz val="10"/>
        <rFont val="WenQuanYi Zen Hei"/>
        <family val="2"/>
      </rPr>
      <t xml:space="preserve">월간 잠정치</t>
    </r>
    <r>
      <rPr>
        <sz val="10"/>
        <rFont val="Arial"/>
        <family val="0"/>
        <charset val="1"/>
      </rPr>
      <t xml:space="preserve">(</t>
    </r>
    <r>
      <rPr>
        <sz val="10"/>
        <rFont val="WenQuanYi Zen Hei"/>
        <family val="2"/>
      </rPr>
      <t xml:space="preserve">트레이딩이코노믹스 인용 포함</t>
    </r>
    <r>
      <rPr>
        <sz val="10"/>
        <rFont val="Arial"/>
        <family val="0"/>
        <charset val="1"/>
      </rPr>
      <t xml:space="preserve">). </t>
    </r>
    <r>
      <rPr>
        <sz val="10"/>
        <rFont val="WenQuanYi Zen Hei"/>
        <family val="2"/>
      </rPr>
      <t xml:space="preserve">청년 실업은 전체의 약 </t>
    </r>
    <r>
      <rPr>
        <sz val="10"/>
        <rFont val="Arial"/>
        <family val="0"/>
        <charset val="1"/>
      </rPr>
      <t xml:space="preserve">3.3</t>
    </r>
    <r>
      <rPr>
        <sz val="10"/>
        <rFont val="WenQuanYi Zen Hei"/>
        <family val="2"/>
      </rPr>
      <t xml:space="preserve">배</t>
    </r>
    <r>
      <rPr>
        <sz val="10"/>
        <rFont val="Arial"/>
        <family val="0"/>
        <charset val="1"/>
      </rPr>
      <t xml:space="preserve">.</t>
    </r>
  </si>
  <si>
    <t xml:space="preserve">3</t>
  </si>
  <si>
    <t xml:space="preserve">현 정부 형태</t>
  </si>
  <si>
    <t xml:space="preserve">우파 연립 다수 정부(2022~)</t>
  </si>
  <si>
    <t xml:space="preserve">이야기에는 실존 정당·인물을 쓰지 않는다. 이야기 속은 '연립 정부'와 '소수 야당'.</t>
  </si>
  <si>
    <t xml:space="preserve">4</t>
  </si>
  <si>
    <t xml:space="preserve">확인 필요</t>
  </si>
  <si>
    <t xml:space="preserve">변동이 잦은 항목</t>
  </si>
  <si>
    <t xml:space="preserve">차등 자치 입법, 사법 개혁 후속, NATO 경로, 이민 협정, PNRR 결산, '동의' 기준 개정</t>
  </si>
  <si>
    <t xml:space="preserve">교재에 넣기 직전 최신 상태를 확인한다. (확인일 2026-09-24)</t>
  </si>
  <si>
    <t xml:space="preserve">현안 분포표 (부 × 현안)</t>
  </si>
  <si>
    <r>
      <rPr>
        <i val="true"/>
        <sz val="9"/>
        <color rgb="FF595959"/>
        <rFont val="Arial"/>
        <family val="0"/>
        <charset val="1"/>
      </rPr>
      <t xml:space="preserve">● = </t>
    </r>
    <r>
      <rPr>
        <i val="true"/>
        <sz val="9"/>
        <color rgb="FF595959"/>
        <rFont val="WenQuanYi Zen Hei"/>
        <family val="2"/>
      </rPr>
      <t xml:space="preserve">그 화의 주된 사건</t>
    </r>
    <r>
      <rPr>
        <i val="true"/>
        <sz val="9"/>
        <color rgb="FF595959"/>
        <rFont val="Arial"/>
        <family val="0"/>
        <charset val="1"/>
      </rPr>
      <t xml:space="preserve">(</t>
    </r>
    <r>
      <rPr>
        <i val="true"/>
        <sz val="9"/>
        <color rgb="FF595959"/>
        <rFont val="WenQuanYi Zen Hei"/>
        <family val="2"/>
      </rPr>
      <t xml:space="preserve">전용 화</t>
    </r>
    <r>
      <rPr>
        <i val="true"/>
        <sz val="9"/>
        <color rgb="FF595959"/>
        <rFont val="Arial"/>
        <family val="0"/>
        <charset val="1"/>
      </rPr>
      <t xml:space="preserve">), ○ = </t>
    </r>
    <r>
      <rPr>
        <i val="true"/>
        <sz val="9"/>
        <color rgb="FF595959"/>
        <rFont val="WenQuanYi Zen Hei"/>
        <family val="2"/>
      </rPr>
      <t xml:space="preserve">곁가지</t>
    </r>
    <r>
      <rPr>
        <i val="true"/>
        <sz val="9"/>
        <color rgb="FF595959"/>
        <rFont val="Arial"/>
        <family val="0"/>
        <charset val="1"/>
      </rPr>
      <t xml:space="preserve">(</t>
    </r>
    <r>
      <rPr>
        <i val="true"/>
        <sz val="9"/>
        <color rgb="FF595959"/>
        <rFont val="WenQuanYi Zen Hei"/>
        <family val="2"/>
      </rPr>
      <t xml:space="preserve">대사</t>
    </r>
    <r>
      <rPr>
        <i val="true"/>
        <sz val="9"/>
        <color rgb="FF595959"/>
        <rFont val="Arial"/>
        <family val="0"/>
        <charset val="1"/>
      </rPr>
      <t xml:space="preserve">·</t>
    </r>
    <r>
      <rPr>
        <i val="true"/>
        <sz val="9"/>
        <color rgb="FF595959"/>
        <rFont val="WenQuanYi Zen Hei"/>
        <family val="2"/>
      </rPr>
      <t xml:space="preserve">서브플롯</t>
    </r>
    <r>
      <rPr>
        <i val="true"/>
        <sz val="9"/>
        <color rgb="FF595959"/>
        <rFont val="Arial"/>
        <family val="0"/>
        <charset val="1"/>
      </rPr>
      <t xml:space="preserve">). </t>
    </r>
    <r>
      <rPr>
        <i val="true"/>
        <sz val="9"/>
        <color rgb="FF595959"/>
        <rFont val="WenQuanYi Zen Hei"/>
        <family val="2"/>
      </rPr>
      <t xml:space="preserve">기호를 바꾸면 아래 집계가 자동 갱신됩니다</t>
    </r>
    <r>
      <rPr>
        <i val="true"/>
        <sz val="9"/>
        <color rgb="FF595959"/>
        <rFont val="Arial"/>
        <family val="0"/>
        <charset val="1"/>
      </rPr>
      <t xml:space="preserve">.</t>
    </r>
  </si>
  <si>
    <t xml:space="preserve">● 수</t>
  </si>
  <si>
    <t xml:space="preserve">○ 수</t>
  </si>
  <si>
    <t xml:space="preserve">정부 불안정·연정 협상</t>
  </si>
  <si>
    <t xml:space="preserve">○</t>
  </si>
  <si>
    <t xml:space="preserve">●</t>
  </si>
  <si>
    <t xml:space="preserve">남북 격차·차등 자치</t>
  </si>
  <si>
    <t xml:space="preserve">사법 개혁·정치 대립</t>
  </si>
  <si>
    <t xml:space="preserve">주거난·단기 관광 임대</t>
  </si>
  <si>
    <t xml:space="preserve">저생산성·영세 기업</t>
  </si>
  <si>
    <t xml:space="preserve">부채·재정·연금</t>
  </si>
  <si>
    <t xml:space="preserve">청년 고용·두뇌 유출</t>
  </si>
  <si>
    <t xml:space="preserve">이민·난민·수용 분담</t>
  </si>
  <si>
    <t xml:space="preserve">고령화·내륙 과소지역</t>
  </si>
  <si>
    <t xml:space="preserve">가뭄·폭염·에너지 전환</t>
  </si>
  <si>
    <t xml:space="preserve">홍수·지반 취약성</t>
  </si>
  <si>
    <r>
      <rPr>
        <sz val="10"/>
        <rFont val="Noto Sans CJK SC"/>
        <family val="2"/>
        <charset val="1"/>
      </rPr>
      <t xml:space="preserve">PNRR </t>
    </r>
    <r>
      <rPr>
        <sz val="10"/>
        <rFont val="WenQuanYi Zen Hei"/>
        <family val="2"/>
      </rPr>
      <t xml:space="preserve">집행</t>
    </r>
  </si>
  <si>
    <t xml:space="preserve">국방비·NATO</t>
  </si>
  <si>
    <t xml:space="preserve">성폭력 법·재판 지연</t>
  </si>
  <si>
    <t xml:space="preserve">녹색 대 녹색</t>
  </si>
  <si>
    <t xml:space="preserve">플랫폼 노동(라이더)</t>
  </si>
  <si>
    <t xml:space="preserve">스파이웨어·정보기관 감시</t>
  </si>
  <si>
    <t xml:space="preserve">청년 정신건강</t>
  </si>
  <si>
    <t xml:space="preserve">부별 ● 수</t>
  </si>
  <si>
    <t xml:space="preserve">부별 ○ 수</t>
  </si>
  <si>
    <t xml:space="preserve">읽는 법: 1~5부는 곁가지 중심이라 B1~B2 난이도를 지키고, 9~12부에서 전용 화가 몰린다. 화당 전용 현안은 1개(+곁가지 1~2개)로 제한해 낭독 분량을 지킨다. N6~N8은 12부의 신규 현안으로 각 1개 전용 화를 받는다.</t>
  </si>
  <si>
    <t xml:space="preserve">현안 ID와 설명은 '현안_배치' 시트, 화별 반영은 '화별목차_전체'의 '반영 현안' 열을 참고.</t>
  </si>
  <si>
    <t xml:space="preserve">현실 정치 제도 기준표 (이탈리아)</t>
  </si>
  <si>
    <r>
      <rPr>
        <i val="true"/>
        <sz val="9"/>
        <color rgb="FF595959"/>
        <rFont val="Arial"/>
        <family val="0"/>
        <charset val="1"/>
      </rPr>
      <t xml:space="preserve">8~12</t>
    </r>
    <r>
      <rPr>
        <i val="true"/>
        <sz val="9"/>
        <color rgb="FF595959"/>
        <rFont val="WenQuanYi Zen Hei"/>
        <family val="2"/>
      </rPr>
      <t xml:space="preserve">부에 반영한 실제 제도</t>
    </r>
    <r>
      <rPr>
        <i val="true"/>
        <sz val="9"/>
        <color rgb="FF595959"/>
        <rFont val="Arial"/>
        <family val="0"/>
        <charset val="1"/>
      </rPr>
      <t xml:space="preserve">. </t>
    </r>
    <r>
      <rPr>
        <i val="true"/>
        <sz val="9"/>
        <color rgb="FF595959"/>
        <rFont val="WenQuanYi Zen Hei"/>
        <family val="2"/>
      </rPr>
      <t xml:space="preserve">정당</t>
    </r>
    <r>
      <rPr>
        <i val="true"/>
        <sz val="9"/>
        <color rgb="FF595959"/>
        <rFont val="Arial"/>
        <family val="0"/>
        <charset val="1"/>
      </rPr>
      <t xml:space="preserve">·</t>
    </r>
    <r>
      <rPr>
        <i val="true"/>
        <sz val="9"/>
        <color rgb="FF595959"/>
        <rFont val="WenQuanYi Zen Hei"/>
        <family val="2"/>
      </rPr>
      <t xml:space="preserve">정치인은 전부 가상이며 실존 정치인의 대사는 쓰지 않는다</t>
    </r>
    <r>
      <rPr>
        <i val="true"/>
        <sz val="9"/>
        <color rgb="FF595959"/>
        <rFont val="Arial"/>
        <family val="0"/>
        <charset val="1"/>
      </rPr>
      <t xml:space="preserve">. '</t>
    </r>
    <r>
      <rPr>
        <i val="true"/>
        <sz val="9"/>
        <color rgb="FF595959"/>
        <rFont val="WenQuanYi Zen Hei"/>
        <family val="2"/>
      </rPr>
      <t xml:space="preserve">검색 확인</t>
    </r>
    <r>
      <rPr>
        <i val="true"/>
        <sz val="9"/>
        <color rgb="FF595959"/>
        <rFont val="Arial"/>
        <family val="0"/>
        <charset val="1"/>
      </rPr>
      <t xml:space="preserve">' </t>
    </r>
    <r>
      <rPr>
        <i val="true"/>
        <sz val="9"/>
        <color rgb="FF595959"/>
        <rFont val="WenQuanYi Zen Hei"/>
        <family val="2"/>
      </rPr>
      <t xml:space="preserve">표시는 </t>
    </r>
    <r>
      <rPr>
        <i val="true"/>
        <sz val="9"/>
        <color rgb="FF595959"/>
        <rFont val="Arial"/>
        <family val="0"/>
        <charset val="1"/>
      </rPr>
      <t xml:space="preserve">2026-09-24 </t>
    </r>
    <r>
      <rPr>
        <i val="true"/>
        <sz val="9"/>
        <color rgb="FF595959"/>
        <rFont val="WenQuanYi Zen Hei"/>
        <family val="2"/>
      </rPr>
      <t xml:space="preserve">기준 자료로 확인한 항목</t>
    </r>
    <r>
      <rPr>
        <i val="true"/>
        <sz val="9"/>
        <color rgb="FF595959"/>
        <rFont val="Arial"/>
        <family val="0"/>
        <charset val="1"/>
      </rPr>
      <t xml:space="preserve">.</t>
    </r>
  </si>
  <si>
    <t xml:space="preserve">영역</t>
  </si>
  <si>
    <t xml:space="preserve">제도·규칙</t>
  </si>
  <si>
    <t xml:space="preserve">근거</t>
  </si>
  <si>
    <t xml:space="preserve">이야기 반영</t>
  </si>
  <si>
    <t xml:space="preserve">확인 상태</t>
  </si>
  <si>
    <t xml:space="preserve">정당·선거</t>
  </si>
  <si>
    <t xml:space="preserve">정당 설립</t>
  </si>
  <si>
    <t xml:space="preserve">이탈리아 정당은 대개 법인격 없는 사단(associazione non riconosciuta)으로, 공증인 앞에서 설립 문서(atto costitutivo)와 정관(statuto)을 작성해 만든다. 국가 정당 등록부에 등록하면 2x1000 기부 등 혜택 자격을 얻는다.</t>
  </si>
  <si>
    <t xml:space="preserve">헌법 제49조, 민법 제36조, d.l. 149/2013 제4조</t>
  </si>
  <si>
    <r>
      <rPr>
        <sz val="10"/>
        <rFont val="Arial"/>
        <family val="0"/>
        <charset val="1"/>
      </rPr>
      <t xml:space="preserve">8</t>
    </r>
    <r>
      <rPr>
        <sz val="10"/>
        <rFont val="WenQuanYi Zen Hei"/>
        <family val="2"/>
      </rPr>
      <t xml:space="preserve">부 </t>
    </r>
    <r>
      <rPr>
        <sz val="10"/>
        <rFont val="Arial"/>
        <family val="0"/>
        <charset val="1"/>
      </rPr>
      <t xml:space="preserve">5</t>
    </r>
    <r>
      <rPr>
        <sz val="10"/>
        <rFont val="WenQuanYi Zen Hei"/>
        <family val="2"/>
      </rPr>
      <t xml:space="preserve">화</t>
    </r>
  </si>
  <si>
    <t xml:space="preserve">atto costitutivo, statuto, iscrizione, associazione</t>
  </si>
  <si>
    <t xml:space="preserve">기획 시점 지식 — Normattiva 확인 필요</t>
  </si>
  <si>
    <t xml:space="preserve">정당의 민주적 내부 운영</t>
  </si>
  <si>
    <t xml:space="preserve">시민은 '민주적 방법으로' 국가 정책 결정에 참여하기 위해 정당을 결성한다. 등록 정당의 정관은 기관 구성·당원 권리·후보 선출 절차 등을 명시해야 한다.</t>
  </si>
  <si>
    <t xml:space="preserve">헌법 제49조, d.l. 149/2013 제3조</t>
  </si>
  <si>
    <r>
      <rPr>
        <sz val="10"/>
        <rFont val="Arial"/>
        <family val="0"/>
        <charset val="1"/>
      </rPr>
      <t xml:space="preserve">8</t>
    </r>
    <r>
      <rPr>
        <sz val="10"/>
        <rFont val="WenQuanYi Zen Hei"/>
        <family val="2"/>
      </rPr>
      <t xml:space="preserve">부 </t>
    </r>
    <r>
      <rPr>
        <sz val="10"/>
        <rFont val="Arial"/>
        <family val="0"/>
        <charset val="1"/>
      </rPr>
      <t xml:space="preserve">6</t>
    </r>
    <r>
      <rPr>
        <sz val="10"/>
        <rFont val="WenQuanYi Zen Hei"/>
        <family val="2"/>
      </rPr>
      <t xml:space="preserve">화</t>
    </r>
  </si>
  <si>
    <t xml:space="preserve">metodo democratico, statuto, iscritto, organi</t>
  </si>
  <si>
    <t xml:space="preserve">정당 재정</t>
  </si>
  <si>
    <t xml:space="preserve">공적 직접 보조금은 폐지되고(2013~), 개인의 2x1000 세금 기부와 공개 의무가 있는 후원으로 운영된다. 정당 회계는 독립 위원회(Commissione di garanzia)가 감독한다.</t>
  </si>
  <si>
    <t xml:space="preserve">d.l. 149/2013, legge 3/2019</t>
  </si>
  <si>
    <r>
      <rPr>
        <sz val="10"/>
        <rFont val="Arial"/>
        <family val="0"/>
        <charset val="1"/>
      </rPr>
      <t xml:space="preserve">8</t>
    </r>
    <r>
      <rPr>
        <sz val="10"/>
        <rFont val="WenQuanYi Zen Hei"/>
        <family val="2"/>
      </rPr>
      <t xml:space="preserve">부 </t>
    </r>
    <r>
      <rPr>
        <sz val="10"/>
        <rFont val="Arial"/>
        <family val="0"/>
        <charset val="1"/>
      </rPr>
      <t xml:space="preserve">7</t>
    </r>
    <r>
      <rPr>
        <sz val="10"/>
        <rFont val="WenQuanYi Zen Hei"/>
        <family val="2"/>
      </rPr>
      <t xml:space="preserve">화</t>
    </r>
  </si>
  <si>
    <t xml:space="preserve">finanziamento, 2x1000, donazione, rendiconto</t>
  </si>
  <si>
    <t xml:space="preserve">집회 신고</t>
  </si>
  <si>
    <t xml:space="preserve">공공장소 집회는 최소 3일 전 경찰청장(Questore)에게 통지한다. 허가가 아니라 통지이며, 공공질서·안전을 이유로만 금지할 수 있다.</t>
  </si>
  <si>
    <t xml:space="preserve">헌법 제17조, TULPS 제18조</t>
  </si>
  <si>
    <r>
      <rPr>
        <sz val="10"/>
        <rFont val="Arial"/>
        <family val="0"/>
        <charset val="1"/>
      </rPr>
      <t xml:space="preserve">8</t>
    </r>
    <r>
      <rPr>
        <sz val="10"/>
        <rFont val="WenQuanYi Zen Hei"/>
        <family val="2"/>
      </rPr>
      <t xml:space="preserve">부 </t>
    </r>
    <r>
      <rPr>
        <sz val="10"/>
        <rFont val="Arial"/>
        <family val="0"/>
        <charset val="1"/>
      </rPr>
      <t xml:space="preserve">1</t>
    </r>
    <r>
      <rPr>
        <sz val="10"/>
        <rFont val="WenQuanYi Zen Hei"/>
        <family val="2"/>
      </rPr>
      <t xml:space="preserve">화</t>
    </r>
  </si>
  <si>
    <t xml:space="preserve">preavviso, manifestazione, Questura, piazza</t>
  </si>
  <si>
    <t xml:space="preserve">국민 발의와 폐지 국민투표</t>
  </si>
  <si>
    <t xml:space="preserve">국민 5만 명 서명으로 법안을 발의할 수 있다(의회 심의 의무는 약함). 유권자 50만 명 서명(또는 주의회 5곳)으로 법률 폐지 국민투표를 청구하며, 헌법재판소 허용 심사를 거친다. 유권자 과반이 투표해야 유효하다.</t>
  </si>
  <si>
    <t xml:space="preserve">헌법 제71·75조, legge 352/1970</t>
  </si>
  <si>
    <r>
      <rPr>
        <sz val="10"/>
        <rFont val="Arial"/>
        <family val="0"/>
        <charset val="1"/>
      </rPr>
      <t xml:space="preserve">8</t>
    </r>
    <r>
      <rPr>
        <sz val="10"/>
        <rFont val="WenQuanYi Zen Hei"/>
        <family val="2"/>
      </rPr>
      <t xml:space="preserve">부 </t>
    </r>
    <r>
      <rPr>
        <sz val="10"/>
        <rFont val="Arial"/>
        <family val="0"/>
        <charset val="1"/>
      </rPr>
      <t xml:space="preserve">2~4</t>
    </r>
    <r>
      <rPr>
        <sz val="10"/>
        <rFont val="WenQuanYi Zen Hei"/>
        <family val="2"/>
      </rPr>
      <t xml:space="preserve">화</t>
    </r>
  </si>
  <si>
    <t xml:space="preserve">iniziativa popolare, referendum abrogativo, quorum, ammissibilità</t>
  </si>
  <si>
    <t xml:space="preserve">총선 제도</t>
  </si>
  <si>
    <t xml:space="preserve">하원 400석·상원 200석(선출). 약 3/8은 소선거구 단순다수, 나머지는 비례(해외 선거구 별도). 명부 문턱 3%, 연합 문턱 10%. 하원 과반 201석.</t>
  </si>
  <si>
    <r>
      <rPr>
        <sz val="10"/>
        <rFont val="Arial"/>
        <family val="0"/>
        <charset val="1"/>
      </rPr>
      <t xml:space="preserve">legge 165/2017 (Rosatellum), </t>
    </r>
    <r>
      <rPr>
        <sz val="10"/>
        <rFont val="WenQuanYi Zen Hei"/>
        <family val="2"/>
      </rPr>
      <t xml:space="preserve">헌법 제</t>
    </r>
    <r>
      <rPr>
        <sz val="10"/>
        <rFont val="Arial"/>
        <family val="0"/>
        <charset val="1"/>
      </rPr>
      <t xml:space="preserve">56·57</t>
    </r>
    <r>
      <rPr>
        <sz val="10"/>
        <rFont val="WenQuanYi Zen Hei"/>
        <family val="2"/>
      </rPr>
      <t xml:space="preserve">조</t>
    </r>
    <r>
      <rPr>
        <sz val="10"/>
        <rFont val="Arial"/>
        <family val="0"/>
        <charset val="1"/>
      </rPr>
      <t xml:space="preserve">(2020 </t>
    </r>
    <r>
      <rPr>
        <sz val="10"/>
        <rFont val="WenQuanYi Zen Hei"/>
        <family val="2"/>
      </rPr>
      <t xml:space="preserve">의석 축소 개헌</t>
    </r>
    <r>
      <rPr>
        <sz val="10"/>
        <rFont val="Arial"/>
        <family val="0"/>
        <charset val="1"/>
      </rPr>
      <t xml:space="preserve">)</t>
    </r>
  </si>
  <si>
    <r>
      <rPr>
        <sz val="10"/>
        <rFont val="Arial"/>
        <family val="0"/>
        <charset val="1"/>
      </rPr>
      <t xml:space="preserve">10</t>
    </r>
    <r>
      <rPr>
        <sz val="10"/>
        <rFont val="WenQuanYi Zen Hei"/>
        <family val="2"/>
      </rPr>
      <t xml:space="preserve">부</t>
    </r>
  </si>
  <si>
    <t xml:space="preserve">collegio uninominale, proporzionale, soglia di sbarramento, seggio</t>
  </si>
  <si>
    <t xml:space="preserve">명부 제출 서명 요건</t>
  </si>
  <si>
    <t xml:space="preserve">의회에 교섭단체가 없는 정당은 선거구마다 일정 수의 유권자 서명을 받아야 명부를 낼 수 있다(전자 서명 허용 확대 중). 지방선거도 인구 규모에 따라 서명이 필요하다.</t>
  </si>
  <si>
    <r>
      <rPr>
        <sz val="10"/>
        <rFont val="Arial"/>
        <family val="0"/>
        <charset val="1"/>
      </rPr>
      <t xml:space="preserve">legge 165/2017, </t>
    </r>
    <r>
      <rPr>
        <sz val="10"/>
        <rFont val="WenQuanYi Zen Hei"/>
        <family val="2"/>
      </rPr>
      <t xml:space="preserve">지방선거법</t>
    </r>
  </si>
  <si>
    <r>
      <rPr>
        <sz val="10"/>
        <rFont val="Arial"/>
        <family val="0"/>
        <charset val="1"/>
      </rPr>
      <t xml:space="preserve">9</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 10</t>
    </r>
    <r>
      <rPr>
        <sz val="10"/>
        <rFont val="WenQuanYi Zen Hei"/>
        <family val="2"/>
      </rPr>
      <t xml:space="preserve">부 </t>
    </r>
    <r>
      <rPr>
        <sz val="10"/>
        <rFont val="Arial"/>
        <family val="0"/>
        <charset val="1"/>
      </rPr>
      <t xml:space="preserve">1</t>
    </r>
    <r>
      <rPr>
        <sz val="10"/>
        <rFont val="WenQuanYi Zen Hei"/>
        <family val="2"/>
      </rPr>
      <t xml:space="preserve">화</t>
    </r>
  </si>
  <si>
    <t xml:space="preserve">raccolta firme, presentazione delle liste, sottoscrittori</t>
  </si>
  <si>
    <t xml:space="preserve">서명 수·면제 요건 확인 필요</t>
  </si>
  <si>
    <t xml:space="preserve">선거 일정</t>
  </si>
  <si>
    <t xml:space="preserve">해산 후 70일 안에 선거, 새 의회는 선거 후 20일 안에 소집. 선거 전날·당일은 선거운동 금지(silenzio elettorale), 마지막 15일은 여론조사 공표 금지. 방송 노출은 균등 원칙(par condicio)과 AGCOM 감독.</t>
  </si>
  <si>
    <t xml:space="preserve">헌법 제61조, legge 212/1956, legge 28/2000</t>
  </si>
  <si>
    <r>
      <rPr>
        <sz val="10"/>
        <rFont val="Arial"/>
        <family val="0"/>
        <charset val="1"/>
      </rPr>
      <t xml:space="preserve">8</t>
    </r>
    <r>
      <rPr>
        <sz val="10"/>
        <rFont val="WenQuanYi Zen Hei"/>
        <family val="2"/>
      </rPr>
      <t xml:space="preserve">부 </t>
    </r>
    <r>
      <rPr>
        <sz val="10"/>
        <rFont val="Arial"/>
        <family val="0"/>
        <charset val="1"/>
      </rPr>
      <t xml:space="preserve">11</t>
    </r>
    <r>
      <rPr>
        <sz val="10"/>
        <rFont val="WenQuanYi Zen Hei"/>
        <family val="2"/>
      </rPr>
      <t xml:space="preserve">화</t>
    </r>
    <r>
      <rPr>
        <sz val="10"/>
        <rFont val="Arial"/>
        <family val="0"/>
        <charset val="1"/>
      </rPr>
      <t xml:space="preserve">, 10</t>
    </r>
    <r>
      <rPr>
        <sz val="10"/>
        <rFont val="WenQuanYi Zen Hei"/>
        <family val="2"/>
      </rPr>
      <t xml:space="preserve">부</t>
    </r>
  </si>
  <si>
    <t xml:space="preserve">campagna elettorale, silenzio elettorale, sondaggio, par condicio</t>
  </si>
  <si>
    <t xml:space="preserve">로마 시의회·라치오 주의회 선거</t>
  </si>
  <si>
    <t xml:space="preserve">로마 시장은 직선제이며 과반 득표자가 없으면 2주 뒤 결선(ballottaggio). 시의회(Assemblea Capitolina)는 48석, 당선 시장 연합에 과반 보너스. 라치오 주지사도 직선제, 주의회는 약 50석.</t>
  </si>
  <si>
    <r>
      <rPr>
        <sz val="10"/>
        <rFont val="Arial"/>
        <family val="0"/>
        <charset val="1"/>
      </rPr>
      <t xml:space="preserve">TUEL(d.lgs. 267/2000) </t>
    </r>
    <r>
      <rPr>
        <sz val="10"/>
        <rFont val="WenQuanYi Zen Hei"/>
        <family val="2"/>
      </rPr>
      <t xml:space="preserve">제</t>
    </r>
    <r>
      <rPr>
        <sz val="10"/>
        <rFont val="Arial"/>
        <family val="0"/>
        <charset val="1"/>
      </rPr>
      <t xml:space="preserve">71~73</t>
    </r>
    <r>
      <rPr>
        <sz val="10"/>
        <rFont val="WenQuanYi Zen Hei"/>
        <family val="2"/>
      </rPr>
      <t xml:space="preserve">조</t>
    </r>
    <r>
      <rPr>
        <sz val="10"/>
        <rFont val="Arial"/>
        <family val="0"/>
        <charset val="1"/>
      </rPr>
      <t xml:space="preserve">, </t>
    </r>
    <r>
      <rPr>
        <sz val="10"/>
        <rFont val="WenQuanYi Zen Hei"/>
        <family val="2"/>
      </rPr>
      <t xml:space="preserve">라치오 주 선거법</t>
    </r>
  </si>
  <si>
    <r>
      <rPr>
        <sz val="10"/>
        <rFont val="Arial"/>
        <family val="0"/>
        <charset val="1"/>
      </rPr>
      <t xml:space="preserve">8</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 9</t>
    </r>
    <r>
      <rPr>
        <sz val="10"/>
        <rFont val="WenQuanYi Zen Hei"/>
        <family val="2"/>
      </rPr>
      <t xml:space="preserve">부</t>
    </r>
  </si>
  <si>
    <t xml:space="preserve">sindaco, ballottaggio, consigliere, premio di maggioranza</t>
  </si>
  <si>
    <t xml:space="preserve">의석 수·문턱·동시 선거 여부 확인 필요</t>
  </si>
  <si>
    <t xml:space="preserve">낙선 시장 후보의 의석</t>
  </si>
  <si>
    <t xml:space="preserve">결선에 오르지 못한 시장 후보라도 연계 명부가 의석을 얻으면 시의원으로 선출될 수 있다.</t>
  </si>
  <si>
    <r>
      <rPr>
        <sz val="10"/>
        <rFont val="Arial"/>
        <family val="0"/>
        <charset val="1"/>
      </rPr>
      <t xml:space="preserve">TUEL </t>
    </r>
    <r>
      <rPr>
        <sz val="10"/>
        <rFont val="WenQuanYi Zen Hei"/>
        <family val="2"/>
      </rPr>
      <t xml:space="preserve">제</t>
    </r>
    <r>
      <rPr>
        <sz val="10"/>
        <rFont val="Arial"/>
        <family val="0"/>
        <charset val="1"/>
      </rPr>
      <t xml:space="preserve">73</t>
    </r>
    <r>
      <rPr>
        <sz val="10"/>
        <rFont val="WenQuanYi Zen Hei"/>
        <family val="2"/>
      </rPr>
      <t xml:space="preserve">조</t>
    </r>
  </si>
  <si>
    <r>
      <rPr>
        <sz val="10"/>
        <rFont val="Arial"/>
        <family val="0"/>
        <charset val="1"/>
      </rPr>
      <t xml:space="preserve">9</t>
    </r>
    <r>
      <rPr>
        <sz val="10"/>
        <rFont val="WenQuanYi Zen Hei"/>
        <family val="2"/>
      </rPr>
      <t xml:space="preserve">부 </t>
    </r>
    <r>
      <rPr>
        <sz val="10"/>
        <rFont val="Arial"/>
        <family val="0"/>
        <charset val="1"/>
      </rPr>
      <t xml:space="preserve">1</t>
    </r>
    <r>
      <rPr>
        <sz val="10"/>
        <rFont val="WenQuanYi Zen Hei"/>
        <family val="2"/>
      </rPr>
      <t xml:space="preserve">화</t>
    </r>
  </si>
  <si>
    <t xml:space="preserve">candidato sindaco, consigliere, proclamazione</t>
  </si>
  <si>
    <t xml:space="preserve">조항 세부 확인 필요</t>
  </si>
  <si>
    <t xml:space="preserve">선거 분쟁</t>
  </si>
  <si>
    <t xml:space="preserve">명부 제출·접수는 선거 사무국(Ufficio elettorale)이 심사하고, 거부 결정은 행정법원(TAR) 등으로 다툰다. 방송 불공정은 AGCOM에 제소.</t>
  </si>
  <si>
    <t xml:space="preserve">선거법, 행정소송법</t>
  </si>
  <si>
    <r>
      <rPr>
        <sz val="10"/>
        <rFont val="Arial"/>
        <family val="0"/>
        <charset val="1"/>
      </rPr>
      <t xml:space="preserve">8</t>
    </r>
    <r>
      <rPr>
        <sz val="10"/>
        <rFont val="WenQuanYi Zen Hei"/>
        <family val="2"/>
      </rPr>
      <t xml:space="preserve">부 </t>
    </r>
    <r>
      <rPr>
        <sz val="10"/>
        <rFont val="Arial"/>
        <family val="0"/>
        <charset val="1"/>
      </rPr>
      <t xml:space="preserve">10~11</t>
    </r>
    <r>
      <rPr>
        <sz val="10"/>
        <rFont val="WenQuanYi Zen Hei"/>
        <family val="2"/>
      </rPr>
      <t xml:space="preserve">화</t>
    </r>
    <r>
      <rPr>
        <sz val="10"/>
        <rFont val="Arial"/>
        <family val="0"/>
        <charset val="1"/>
      </rPr>
      <t xml:space="preserve">, 10</t>
    </r>
    <r>
      <rPr>
        <sz val="10"/>
        <rFont val="WenQuanYi Zen Hei"/>
        <family val="2"/>
      </rPr>
      <t xml:space="preserve">부</t>
    </r>
  </si>
  <si>
    <t xml:space="preserve">ricorso, TAR, AGCOM, esclusione della lista</t>
  </si>
  <si>
    <t xml:space="preserve">정정권</t>
  </si>
  <si>
    <t xml:space="preserve">보도로 명예가 훼손된 사람은 해당 매체에 정정·반론 게재를 청구할 수 있다.</t>
  </si>
  <si>
    <r>
      <rPr>
        <sz val="10"/>
        <rFont val="Arial"/>
        <family val="0"/>
        <charset val="1"/>
      </rPr>
      <t xml:space="preserve">legge 47/1948 </t>
    </r>
    <r>
      <rPr>
        <sz val="10"/>
        <rFont val="WenQuanYi Zen Hei"/>
        <family val="2"/>
      </rPr>
      <t xml:space="preserve">제</t>
    </r>
    <r>
      <rPr>
        <sz val="10"/>
        <rFont val="Arial"/>
        <family val="0"/>
        <charset val="1"/>
      </rPr>
      <t xml:space="preserve">8</t>
    </r>
    <r>
      <rPr>
        <sz val="10"/>
        <rFont val="WenQuanYi Zen Hei"/>
        <family val="2"/>
      </rPr>
      <t xml:space="preserve">조</t>
    </r>
  </si>
  <si>
    <r>
      <rPr>
        <sz val="10"/>
        <rFont val="Arial"/>
        <family val="0"/>
        <charset val="1"/>
      </rPr>
      <t xml:space="preserve">8</t>
    </r>
    <r>
      <rPr>
        <sz val="10"/>
        <rFont val="WenQuanYi Zen Hei"/>
        <family val="2"/>
      </rPr>
      <t xml:space="preserve">부 </t>
    </r>
    <r>
      <rPr>
        <sz val="10"/>
        <rFont val="Arial"/>
        <family val="0"/>
        <charset val="1"/>
      </rPr>
      <t xml:space="preserve">10</t>
    </r>
    <r>
      <rPr>
        <sz val="10"/>
        <rFont val="WenQuanYi Zen Hei"/>
        <family val="2"/>
      </rPr>
      <t xml:space="preserve">화</t>
    </r>
  </si>
  <si>
    <t xml:space="preserve">rettifica, replica, diffamazione</t>
  </si>
  <si>
    <t xml:space="preserve">성별 균형 명부</t>
  </si>
  <si>
    <t xml:space="preserve">명부 안에서 한 성별이 2/3를 넘을 수 없고, 선호 투표를 두 명 할 때는 성별을 달리해야 한다(지방선거).</t>
  </si>
  <si>
    <t xml:space="preserve">legge 215/2012, legge 165/2017</t>
  </si>
  <si>
    <r>
      <rPr>
        <sz val="10"/>
        <rFont val="Arial"/>
        <family val="0"/>
        <charset val="1"/>
      </rPr>
      <t xml:space="preserve">8</t>
    </r>
    <r>
      <rPr>
        <sz val="10"/>
        <rFont val="WenQuanYi Zen Hei"/>
        <family val="2"/>
      </rPr>
      <t xml:space="preserve">부 </t>
    </r>
    <r>
      <rPr>
        <sz val="10"/>
        <rFont val="Arial"/>
        <family val="0"/>
        <charset val="1"/>
      </rPr>
      <t xml:space="preserve">8</t>
    </r>
    <r>
      <rPr>
        <sz val="10"/>
        <rFont val="WenQuanYi Zen Hei"/>
        <family val="2"/>
      </rPr>
      <t xml:space="preserve">화</t>
    </r>
  </si>
  <si>
    <t xml:space="preserve">parità di genere, doppia preferenza di genere</t>
  </si>
  <si>
    <t xml:space="preserve">의회</t>
  </si>
  <si>
    <t xml:space="preserve">양원제</t>
  </si>
  <si>
    <t xml:space="preserve">하원(Camera, Montecitorio)과 상원(Senato, Palazzo Madama)이 동등한 권한을 가진 완전 양원제. 법안은 양원이 같은 문안으로 통과시켜야 한다(수정되면 다시 반대편 원으로 — navetta).</t>
  </si>
  <si>
    <t xml:space="preserve">헌법 제55·70조</t>
  </si>
  <si>
    <r>
      <rPr>
        <sz val="10"/>
        <rFont val="Arial"/>
        <family val="0"/>
        <charset val="1"/>
      </rPr>
      <t xml:space="preserve">10~12</t>
    </r>
    <r>
      <rPr>
        <sz val="10"/>
        <rFont val="WenQuanYi Zen Hei"/>
        <family val="2"/>
      </rPr>
      <t xml:space="preserve">부</t>
    </r>
  </si>
  <si>
    <t xml:space="preserve">bicameralismo perfetto, navetta, Camera, Senato</t>
  </si>
  <si>
    <t xml:space="preserve">개원·의장·교섭단체</t>
  </si>
  <si>
    <t xml:space="preserve">새 의회 첫 회의에서 양원 의장을 선출한다. 교섭단체(gruppo parlamentare)는 하원·상원 각각의 최소 인원 요건이 있고, 미달하면 혼합 그룹(Gruppo misto).</t>
  </si>
  <si>
    <t xml:space="preserve">양원 의사규칙</t>
  </si>
  <si>
    <r>
      <rPr>
        <sz val="10"/>
        <rFont val="Arial"/>
        <family val="0"/>
        <charset val="1"/>
      </rPr>
      <t xml:space="preserve">10</t>
    </r>
    <r>
      <rPr>
        <sz val="10"/>
        <rFont val="WenQuanYi Zen Hei"/>
        <family val="2"/>
      </rPr>
      <t xml:space="preserve">부 </t>
    </r>
    <r>
      <rPr>
        <sz val="10"/>
        <rFont val="Arial"/>
        <family val="0"/>
        <charset val="1"/>
      </rPr>
      <t xml:space="preserve">5</t>
    </r>
    <r>
      <rPr>
        <sz val="10"/>
        <rFont val="WenQuanYi Zen Hei"/>
        <family val="2"/>
      </rPr>
      <t xml:space="preserve">화</t>
    </r>
  </si>
  <si>
    <t xml:space="preserve">Presidente della Camera, gruppo parlamentare, Gruppo misto</t>
  </si>
  <si>
    <t xml:space="preserve">최소 인원(하원 20명·상원 6명 등) 확인 필요</t>
  </si>
  <si>
    <t xml:space="preserve">입법 절차</t>
  </si>
  <si>
    <t xml:space="preserve">정부 법안(disegno di legge)·의원 발의(proposta di legge)·국민 발의 → 위원회·본회의 → 양원 동일 문안 의결 → 대통령 공포(1개월 내) → 관보(Gazzetta Ufficiale) 게재.</t>
  </si>
  <si>
    <t xml:space="preserve">헌법 제70~74조</t>
  </si>
  <si>
    <r>
      <rPr>
        <sz val="10"/>
        <rFont val="Arial"/>
        <family val="0"/>
        <charset val="1"/>
      </rPr>
      <t xml:space="preserve">11</t>
    </r>
    <r>
      <rPr>
        <sz val="10"/>
        <rFont val="WenQuanYi Zen Hei"/>
        <family val="2"/>
      </rPr>
      <t xml:space="preserve">부</t>
    </r>
  </si>
  <si>
    <t xml:space="preserve">disegno di legge, emendamento, commissione, promulgazione</t>
  </si>
  <si>
    <t xml:space="preserve">긴급 명령 (decreto-legge)</t>
  </si>
  <si>
    <t xml:space="preserve">정부가 '특별한 필요와 긴급성'이 있을 때 발령, 60일 안에 의회가 법률로 전환(conversione)하지 않으면 소급해 효력을 잃는다. 세금 조치에도 쓰인다(예: 2023년 은행 횡재세).</t>
  </si>
  <si>
    <t xml:space="preserve">헌법 제77조</t>
  </si>
  <si>
    <r>
      <rPr>
        <sz val="10"/>
        <rFont val="Arial"/>
        <family val="0"/>
        <charset val="1"/>
      </rPr>
      <t xml:space="preserve">11</t>
    </r>
    <r>
      <rPr>
        <sz val="10"/>
        <rFont val="WenQuanYi Zen Hei"/>
        <family val="2"/>
      </rPr>
      <t xml:space="preserve">부 </t>
    </r>
    <r>
      <rPr>
        <sz val="10"/>
        <rFont val="Arial"/>
        <family val="0"/>
        <charset val="1"/>
      </rPr>
      <t xml:space="preserve">8</t>
    </r>
    <r>
      <rPr>
        <sz val="10"/>
        <rFont val="WenQuanYi Zen Hei"/>
        <family val="2"/>
      </rPr>
      <t xml:space="preserve">화</t>
    </r>
  </si>
  <si>
    <t xml:space="preserve">decreto-legge, conversione in legge, necessità e urgenza</t>
  </si>
  <si>
    <t xml:space="preserve">예산안</t>
  </si>
  <si>
    <t xml:space="preserve">정부는 매년 10월 20일까지 예산안(legge di bilancio)을 의회에 제출, 연말까지 통과시켜야 한다. 못 하면 법률로 최대 4개월 잠정 집행(esercizio provvisorio). 헌법은 균형 재정 원칙을 둔다.</t>
  </si>
  <si>
    <t xml:space="preserve">헌법 제81조, legge 196/2009</t>
  </si>
  <si>
    <r>
      <rPr>
        <sz val="10"/>
        <rFont val="Arial"/>
        <family val="0"/>
        <charset val="1"/>
      </rPr>
      <t xml:space="preserve">12</t>
    </r>
    <r>
      <rPr>
        <sz val="10"/>
        <rFont val="WenQuanYi Zen Hei"/>
        <family val="2"/>
      </rPr>
      <t xml:space="preserve">부 </t>
    </r>
    <r>
      <rPr>
        <sz val="10"/>
        <rFont val="Arial"/>
        <family val="0"/>
        <charset val="1"/>
      </rPr>
      <t xml:space="preserve">11~12</t>
    </r>
    <r>
      <rPr>
        <sz val="10"/>
        <rFont val="WenQuanYi Zen Hei"/>
        <family val="2"/>
      </rPr>
      <t xml:space="preserve">화</t>
    </r>
  </si>
  <si>
    <t xml:space="preserve">legge di bilancio, esercizio provvisorio, pareggio di bilancio</t>
  </si>
  <si>
    <t xml:space="preserve">의원 특권</t>
  </si>
  <si>
    <t xml:space="preserve">의원은 직무상 표결·발언에 면책되고, 체포·수색·감청에는 소속 원의 허가가 필요하다.</t>
  </si>
  <si>
    <t xml:space="preserve">헌법 제68조</t>
  </si>
  <si>
    <t xml:space="preserve">insindacabilità, autorizzazione a procedere</t>
  </si>
  <si>
    <t xml:space="preserve">조사위원회</t>
  </si>
  <si>
    <t xml:space="preserve">각 원은 공익 사안에 대해 사법기관과 같은 권한을 가진 조사위원회를 설치할 수 있다.</t>
  </si>
  <si>
    <t xml:space="preserve">헌법 제82조</t>
  </si>
  <si>
    <r>
      <rPr>
        <sz val="10"/>
        <rFont val="Arial"/>
        <family val="0"/>
        <charset val="1"/>
      </rPr>
      <t xml:space="preserve">9~12</t>
    </r>
    <r>
      <rPr>
        <sz val="10"/>
        <rFont val="WenQuanYi Zen Hei"/>
        <family val="2"/>
      </rPr>
      <t xml:space="preserve">부</t>
    </r>
  </si>
  <si>
    <t xml:space="preserve">commissione d'inchiesta, audizione</t>
  </si>
  <si>
    <t xml:space="preserve">정부</t>
  </si>
  <si>
    <t xml:space="preserve">정부 구성</t>
  </si>
  <si>
    <t xml:space="preserve">대통령이 정당 대표 등과 협의(consultazioni) → 총리 후보에게 조각 위임(incarico) → 후보가 장관 명단 제출 → 대통령이 임명 → Quirinale에서 선서(giuramento) → 10일 안에 양원 각각 신임(fiducia). 다수가 불분명하면 대통령이 탐색 위임(mandato esplorativo)을 주기도 한다.</t>
  </si>
  <si>
    <t xml:space="preserve">헌법 제92~94조, 헌정 관행</t>
  </si>
  <si>
    <r>
      <rPr>
        <sz val="10"/>
        <rFont val="Arial"/>
        <family val="0"/>
        <charset val="1"/>
      </rPr>
      <t xml:space="preserve">10</t>
    </r>
    <r>
      <rPr>
        <sz val="10"/>
        <rFont val="WenQuanYi Zen Hei"/>
        <family val="2"/>
      </rPr>
      <t xml:space="preserve">부 </t>
    </r>
    <r>
      <rPr>
        <sz val="10"/>
        <rFont val="Arial"/>
        <family val="0"/>
        <charset val="1"/>
      </rPr>
      <t xml:space="preserve">6~12</t>
    </r>
    <r>
      <rPr>
        <sz val="10"/>
        <rFont val="WenQuanYi Zen Hei"/>
        <family val="2"/>
      </rPr>
      <t xml:space="preserve">화</t>
    </r>
  </si>
  <si>
    <t xml:space="preserve">consultazioni, incarico, giuramento, fiducia, mandato esplorativo</t>
  </si>
  <si>
    <t xml:space="preserve">검색 확인 (2026-09-24) (1987년·1972년 등 신임 부결 선례 있음)</t>
  </si>
  <si>
    <t xml:space="preserve">신임 투표 방식</t>
  </si>
  <si>
    <t xml:space="preserve">신임·불신임은 이유를 붙인 동의안으로 호명 투표(appello nominale). 찬성이 반대보다 많으면 가결(단순다수). 종신 상원의원도 투표권이 있다.</t>
  </si>
  <si>
    <t xml:space="preserve">헌법 제59·94조, 양원 의사규칙</t>
  </si>
  <si>
    <r>
      <rPr>
        <sz val="10"/>
        <rFont val="Arial"/>
        <family val="0"/>
        <charset val="1"/>
      </rPr>
      <t xml:space="preserve">10</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 12</t>
    </r>
    <r>
      <rPr>
        <sz val="10"/>
        <rFont val="WenQuanYi Zen Hei"/>
        <family val="2"/>
      </rPr>
      <t xml:space="preserve">부 </t>
    </r>
    <r>
      <rPr>
        <sz val="10"/>
        <rFont val="Arial"/>
        <family val="0"/>
        <charset val="1"/>
      </rPr>
      <t xml:space="preserve">7</t>
    </r>
    <r>
      <rPr>
        <sz val="10"/>
        <rFont val="WenQuanYi Zen Hei"/>
        <family val="2"/>
      </rPr>
      <t xml:space="preserve">화</t>
    </r>
  </si>
  <si>
    <t xml:space="preserve">appello nominale, maggioranza semplice, senatore a vita</t>
  </si>
  <si>
    <t xml:space="preserve">상원 기권 산정 방식(규칙 개정) 확인 필요</t>
  </si>
  <si>
    <t xml:space="preserve">취임과 내각</t>
  </si>
  <si>
    <t xml:space="preserve">총리(Presidente del Consiglio)와 장관은 대통령 앞에서 선서한다. 국무회의(Consiglio dei Ministri)는 Palazzo Chigi에서 열리며 요일은 고정되어 있지 않다.</t>
  </si>
  <si>
    <t xml:space="preserve">헌법 제93·95조, legge 400/1988</t>
  </si>
  <si>
    <r>
      <rPr>
        <sz val="10"/>
        <rFont val="Arial"/>
        <family val="0"/>
        <charset val="1"/>
      </rPr>
      <t xml:space="preserve">10</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 11</t>
    </r>
    <r>
      <rPr>
        <sz val="10"/>
        <rFont val="WenQuanYi Zen Hei"/>
        <family val="2"/>
      </rPr>
      <t xml:space="preserve">부 </t>
    </r>
    <r>
      <rPr>
        <sz val="10"/>
        <rFont val="Arial"/>
        <family val="0"/>
        <charset val="1"/>
      </rPr>
      <t xml:space="preserve">1</t>
    </r>
    <r>
      <rPr>
        <sz val="10"/>
        <rFont val="WenQuanYi Zen Hei"/>
        <family val="2"/>
      </rPr>
      <t xml:space="preserve">화</t>
    </r>
  </si>
  <si>
    <t xml:space="preserve">giuramento, Presidente del Consiglio, Consiglio dei Ministri</t>
  </si>
  <si>
    <t xml:space="preserve">총리실 직제</t>
  </si>
  <si>
    <t xml:space="preserve">총리실(Presidenza del Consiglio)에 실장(Segretario generale), 국무차관(sottosegretario alla Presidenza), 대변인, 정보기관 총괄(DIS) 위임 등.</t>
  </si>
  <si>
    <t xml:space="preserve">legge 400/1988, d.lgs. 303/1999</t>
  </si>
  <si>
    <t xml:space="preserve">Presidenza del Consiglio, sottosegretario, portavoce</t>
  </si>
  <si>
    <t xml:space="preserve">불신임안</t>
  </si>
  <si>
    <t xml:space="preserve">의원 1/10 이상 서명, 제출 3일 뒤부터 토론, 호명 투표 단순다수. 대안 총리 후보는 필요 없다(건설적 불신임 아님).</t>
  </si>
  <si>
    <t xml:space="preserve">헌법 제94조 5항</t>
  </si>
  <si>
    <r>
      <rPr>
        <sz val="10"/>
        <rFont val="Arial"/>
        <family val="0"/>
        <charset val="1"/>
      </rPr>
      <t xml:space="preserve">12</t>
    </r>
    <r>
      <rPr>
        <sz val="10"/>
        <rFont val="WenQuanYi Zen Hei"/>
        <family val="2"/>
      </rPr>
      <t xml:space="preserve">부 </t>
    </r>
    <r>
      <rPr>
        <sz val="10"/>
        <rFont val="Arial"/>
        <family val="0"/>
        <charset val="1"/>
      </rPr>
      <t xml:space="preserve">7</t>
    </r>
    <r>
      <rPr>
        <sz val="10"/>
        <rFont val="WenQuanYi Zen Hei"/>
        <family val="2"/>
      </rPr>
      <t xml:space="preserve">화</t>
    </r>
  </si>
  <si>
    <t xml:space="preserve">mozione di sfiducia, appello nominale</t>
  </si>
  <si>
    <t xml:space="preserve">해산</t>
  </si>
  <si>
    <t xml:space="preserve">대통령이 양원 의장의 의견을 들은 뒤 양원 또는 한 원을 해산한다. 대통령 임기 마지막 6개월에는 원칙적으로 불가.</t>
  </si>
  <si>
    <t xml:space="preserve">헌법 제88조</t>
  </si>
  <si>
    <r>
      <rPr>
        <sz val="10"/>
        <rFont val="Arial"/>
        <family val="0"/>
        <charset val="1"/>
      </rPr>
      <t xml:space="preserve">9</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 10</t>
    </r>
    <r>
      <rPr>
        <sz val="10"/>
        <rFont val="WenQuanYi Zen Hei"/>
        <family val="2"/>
      </rPr>
      <t xml:space="preserve">부 </t>
    </r>
    <r>
      <rPr>
        <sz val="10"/>
        <rFont val="Arial"/>
        <family val="0"/>
        <charset val="1"/>
      </rPr>
      <t xml:space="preserve">1·9</t>
    </r>
    <r>
      <rPr>
        <sz val="10"/>
        <rFont val="WenQuanYi Zen Hei"/>
        <family val="2"/>
      </rPr>
      <t xml:space="preserve">화</t>
    </r>
  </si>
  <si>
    <t xml:space="preserve">scioglimento delle Camere, decreto, elezioni anticipate</t>
  </si>
  <si>
    <t xml:space="preserve">정부 구성원 이해충돌</t>
  </si>
  <si>
    <t xml:space="preserve">총리·장관 등은 겸직·민간 활동이 제한되며 AGCM 등이 이해충돌을 감독한다. 공직 간 겸직 불가 규정도 따로 있다.</t>
  </si>
  <si>
    <t xml:space="preserve">legge 215/2004, d.lgs. 39/2013</t>
  </si>
  <si>
    <r>
      <rPr>
        <sz val="10"/>
        <rFont val="Arial"/>
        <family val="0"/>
        <charset val="1"/>
      </rPr>
      <t xml:space="preserve">13</t>
    </r>
    <r>
      <rPr>
        <sz val="10"/>
        <rFont val="WenQuanYi Zen Hei"/>
        <family val="2"/>
      </rPr>
      <t xml:space="preserve">부 </t>
    </r>
    <r>
      <rPr>
        <sz val="10"/>
        <rFont val="Arial"/>
        <family val="0"/>
        <charset val="1"/>
      </rPr>
      <t xml:space="preserve">1·4</t>
    </r>
    <r>
      <rPr>
        <sz val="10"/>
        <rFont val="WenQuanYi Zen Hei"/>
        <family val="2"/>
      </rPr>
      <t xml:space="preserve">화</t>
    </r>
  </si>
  <si>
    <t xml:space="preserve">conflitto di interessi, incompatibilità</t>
  </si>
  <si>
    <t xml:space="preserve">영토</t>
  </si>
  <si>
    <t xml:space="preserve">국가–주 권한 배분</t>
  </si>
  <si>
    <t xml:space="preserve">국가 전속 권한, 공동 입법 권한(보건·도시계획·에너지 등, 국가가 기본 원칙), 주의 잔여 권한(관광 등)으로 나뉜다. 병원 운영은 주 보건서비스(SSR)와 ASL이 맡는다.</t>
  </si>
  <si>
    <t xml:space="preserve">헌법 제117조</t>
  </si>
  <si>
    <r>
      <rPr>
        <sz val="10"/>
        <rFont val="Arial"/>
        <family val="0"/>
        <charset val="1"/>
      </rPr>
      <t xml:space="preserve">9</t>
    </r>
    <r>
      <rPr>
        <sz val="10"/>
        <rFont val="WenQuanYi Zen Hei"/>
        <family val="2"/>
      </rPr>
      <t xml:space="preserve">부 </t>
    </r>
    <r>
      <rPr>
        <sz val="10"/>
        <rFont val="Arial"/>
        <family val="0"/>
        <charset val="1"/>
      </rPr>
      <t xml:space="preserve">7</t>
    </r>
    <r>
      <rPr>
        <sz val="10"/>
        <rFont val="WenQuanYi Zen Hei"/>
        <family val="2"/>
      </rPr>
      <t xml:space="preserve">화</t>
    </r>
    <r>
      <rPr>
        <sz val="10"/>
        <rFont val="Arial"/>
        <family val="0"/>
        <charset val="1"/>
      </rPr>
      <t xml:space="preserve">, 11</t>
    </r>
    <r>
      <rPr>
        <sz val="10"/>
        <rFont val="WenQuanYi Zen Hei"/>
        <family val="2"/>
      </rPr>
      <t xml:space="preserve">부 </t>
    </r>
    <r>
      <rPr>
        <sz val="10"/>
        <rFont val="Arial"/>
        <family val="0"/>
        <charset val="1"/>
      </rPr>
      <t xml:space="preserve">3~5</t>
    </r>
    <r>
      <rPr>
        <sz val="10"/>
        <rFont val="WenQuanYi Zen Hei"/>
        <family val="2"/>
      </rPr>
      <t xml:space="preserve">화</t>
    </r>
  </si>
  <si>
    <t xml:space="preserve">competenza concorrente, competenza esclusiva, Regione, ASL</t>
  </si>
  <si>
    <t xml:space="preserve">라치오 주</t>
  </si>
  <si>
    <t xml:space="preserve">주지사(Presidente della Regione)와 주정부(Giunta), 주의회(Consiglio regionale, Via della Pisana). 주 보건서비스를 운영한다.</t>
  </si>
  <si>
    <t xml:space="preserve">라치오 주 헌장(Statuto)</t>
  </si>
  <si>
    <t xml:space="preserve">Consiglio regionale, Giunta, assessore</t>
  </si>
  <si>
    <t xml:space="preserve">협의체</t>
  </si>
  <si>
    <t xml:space="preserve">국가–주 조정: 국가–주 협의회(Conferenza Stato-Regioni), 국가–지자체 통합 협의회(Conferenza Unificata), 보건 협약(Patto per la Salute), 국가 보건기금 배분.</t>
  </si>
  <si>
    <t xml:space="preserve">d.lgs. 281/1997</t>
  </si>
  <si>
    <r>
      <rPr>
        <sz val="10"/>
        <rFont val="Arial"/>
        <family val="0"/>
        <charset val="1"/>
      </rPr>
      <t xml:space="preserve">11</t>
    </r>
    <r>
      <rPr>
        <sz val="10"/>
        <rFont val="WenQuanYi Zen Hei"/>
        <family val="2"/>
      </rPr>
      <t xml:space="preserve">부 </t>
    </r>
    <r>
      <rPr>
        <sz val="10"/>
        <rFont val="Arial"/>
        <family val="0"/>
        <charset val="1"/>
      </rPr>
      <t xml:space="preserve">3~5</t>
    </r>
    <r>
      <rPr>
        <sz val="10"/>
        <rFont val="WenQuanYi Zen Hei"/>
        <family val="2"/>
      </rPr>
      <t xml:space="preserve">화</t>
    </r>
  </si>
  <si>
    <t xml:space="preserve">Conferenza Stato-Regioni, intesa, riparto</t>
  </si>
  <si>
    <t xml:space="preserve">로마 수도(Roma Capitale)</t>
  </si>
  <si>
    <t xml:space="preserve">시장·시정부(Giunta)·Assemblea Capitolina, 15개 구(Municipi). 수도로서 특별 권한 확대 논의가 계속된다. 시 산하 기업·기관 계약은 공공계약법 적용.</t>
  </si>
  <si>
    <r>
      <rPr>
        <sz val="10"/>
        <rFont val="Arial"/>
        <family val="0"/>
        <charset val="1"/>
      </rPr>
      <t xml:space="preserve">TUEL, legge 42/2009 </t>
    </r>
    <r>
      <rPr>
        <sz val="10"/>
        <rFont val="WenQuanYi Zen Hei"/>
        <family val="2"/>
      </rPr>
      <t xml:space="preserve">제</t>
    </r>
    <r>
      <rPr>
        <sz val="10"/>
        <rFont val="Arial"/>
        <family val="0"/>
        <charset val="1"/>
      </rPr>
      <t xml:space="preserve">24</t>
    </r>
    <r>
      <rPr>
        <sz val="10"/>
        <rFont val="WenQuanYi Zen Hei"/>
        <family val="2"/>
      </rPr>
      <t xml:space="preserve">조</t>
    </r>
    <r>
      <rPr>
        <sz val="10"/>
        <rFont val="Arial"/>
        <family val="0"/>
        <charset val="1"/>
      </rPr>
      <t xml:space="preserve">, d.lgs. 36/2023</t>
    </r>
  </si>
  <si>
    <r>
      <rPr>
        <sz val="10"/>
        <rFont val="Arial"/>
        <family val="0"/>
        <charset val="1"/>
      </rPr>
      <t xml:space="preserve">9</t>
    </r>
    <r>
      <rPr>
        <sz val="10"/>
        <rFont val="WenQuanYi Zen Hei"/>
        <family val="2"/>
      </rPr>
      <t xml:space="preserve">부</t>
    </r>
  </si>
  <si>
    <t xml:space="preserve">Assemblea Capitolina, Giunta, Municipio, gara</t>
  </si>
  <si>
    <t xml:space="preserve">차등 자치</t>
  </si>
  <si>
    <t xml:space="preserve">주가 추가 권한을 국가와 협약으로 가져올 수 있다. 시행법(2024)은 헌법재판소에서 일부 위헌 판단을 받았고, 필수 급부 수준(LEP) 설정이 쟁점이다.</t>
  </si>
  <si>
    <t xml:space="preserve">헌법 제116조 3항, legge 86/2024, 헌법재판소 2024년 판결 192호</t>
  </si>
  <si>
    <r>
      <rPr>
        <sz val="10"/>
        <rFont val="Arial"/>
        <family val="0"/>
        <charset val="1"/>
      </rPr>
      <t xml:space="preserve">10</t>
    </r>
    <r>
      <rPr>
        <sz val="10"/>
        <rFont val="WenQuanYi Zen Hei"/>
        <family val="2"/>
      </rPr>
      <t xml:space="preserve">부 </t>
    </r>
    <r>
      <rPr>
        <sz val="10"/>
        <rFont val="Arial"/>
        <family val="0"/>
        <charset val="1"/>
      </rPr>
      <t xml:space="preserve">11</t>
    </r>
    <r>
      <rPr>
        <sz val="10"/>
        <rFont val="WenQuanYi Zen Hei"/>
        <family val="2"/>
      </rPr>
      <t xml:space="preserve">화</t>
    </r>
    <r>
      <rPr>
        <sz val="10"/>
        <rFont val="Arial"/>
        <family val="0"/>
        <charset val="1"/>
      </rPr>
      <t xml:space="preserve">, 12</t>
    </r>
    <r>
      <rPr>
        <sz val="10"/>
        <rFont val="WenQuanYi Zen Hei"/>
        <family val="2"/>
      </rPr>
      <t xml:space="preserve">부 </t>
    </r>
    <r>
      <rPr>
        <sz val="10"/>
        <rFont val="Arial"/>
        <family val="0"/>
        <charset val="1"/>
      </rPr>
      <t xml:space="preserve">7</t>
    </r>
    <r>
      <rPr>
        <sz val="10"/>
        <rFont val="WenQuanYi Zen Hei"/>
        <family val="2"/>
      </rPr>
      <t xml:space="preserve">화</t>
    </r>
  </si>
  <si>
    <t xml:space="preserve">autonomia differenziata, LEP, intesa</t>
  </si>
  <si>
    <t xml:space="preserve">최신 입법 상황 확인 필요</t>
  </si>
  <si>
    <t xml:space="preserve">헌법재판소</t>
  </si>
  <si>
    <t xml:space="preserve">법률의 위헌 여부를 판단한다. 국가는 주 법률을, 주는 국가 법률을 공표 60일 안에 직접 제소할 수 있다(ricorso in via principale). 국가 기관 간 권한 다툼은 conflitto di attribuzione.</t>
  </si>
  <si>
    <t xml:space="preserve">헌법 제127·134조</t>
  </si>
  <si>
    <r>
      <rPr>
        <sz val="10"/>
        <rFont val="Arial"/>
        <family val="0"/>
        <charset val="1"/>
      </rPr>
      <t xml:space="preserve">11</t>
    </r>
    <r>
      <rPr>
        <sz val="10"/>
        <rFont val="WenQuanYi Zen Hei"/>
        <family val="2"/>
      </rPr>
      <t xml:space="preserve">부 </t>
    </r>
    <r>
      <rPr>
        <sz val="10"/>
        <rFont val="Arial"/>
        <family val="0"/>
        <charset val="1"/>
      </rPr>
      <t xml:space="preserve">3·5</t>
    </r>
    <r>
      <rPr>
        <sz val="10"/>
        <rFont val="WenQuanYi Zen Hei"/>
        <family val="2"/>
      </rPr>
      <t xml:space="preserve">화</t>
    </r>
  </si>
  <si>
    <t xml:space="preserve">Corte costituzionale, ricorso in via principale, conflitto di attribuzione</t>
  </si>
  <si>
    <t xml:space="preserve">검찰·반부패</t>
  </si>
  <si>
    <t xml:space="preserve">검사는 기소 의무를 진다. 시민·단체는 고발(esposto·denuncia)할 수 있고 피해자는 민사 당사자(parte civile)로 재판에 참여한다. 부패 예방은 ANAC, 재정 손해는 감사원(Corte dei conti).</t>
  </si>
  <si>
    <t xml:space="preserve">헌법 제112조, 형사소송법</t>
  </si>
  <si>
    <r>
      <rPr>
        <sz val="10"/>
        <rFont val="Arial"/>
        <family val="0"/>
        <charset val="1"/>
      </rPr>
      <t xml:space="preserve">7</t>
    </r>
    <r>
      <rPr>
        <sz val="10"/>
        <rFont val="WenQuanYi Zen Hei"/>
        <family val="2"/>
      </rPr>
      <t xml:space="preserve">부</t>
    </r>
    <r>
      <rPr>
        <sz val="10"/>
        <rFont val="Arial"/>
        <family val="0"/>
        <charset val="1"/>
      </rPr>
      <t xml:space="preserve">, 9</t>
    </r>
    <r>
      <rPr>
        <sz val="10"/>
        <rFont val="WenQuanYi Zen Hei"/>
        <family val="2"/>
      </rPr>
      <t xml:space="preserve">부 </t>
    </r>
    <r>
      <rPr>
        <sz val="10"/>
        <rFont val="Arial"/>
        <family val="0"/>
        <charset val="1"/>
      </rPr>
      <t xml:space="preserve">9</t>
    </r>
    <r>
      <rPr>
        <sz val="10"/>
        <rFont val="WenQuanYi Zen Hei"/>
        <family val="2"/>
      </rPr>
      <t xml:space="preserve">화</t>
    </r>
  </si>
  <si>
    <t xml:space="preserve">내부고발자 보호</t>
  </si>
  <si>
    <t xml:space="preserve">위반을 신고한 사람을 보복에서 보호하고, 내부 채널·ANAC 외부 채널·공개의 단계를 둔다.</t>
  </si>
  <si>
    <r>
      <rPr>
        <sz val="10"/>
        <rFont val="Arial"/>
        <family val="0"/>
        <charset val="1"/>
      </rPr>
      <t xml:space="preserve">d.lgs. 24/2023 (EU </t>
    </r>
    <r>
      <rPr>
        <sz val="10"/>
        <rFont val="WenQuanYi Zen Hei"/>
        <family val="2"/>
      </rPr>
      <t xml:space="preserve">지침 이행</t>
    </r>
    <r>
      <rPr>
        <sz val="10"/>
        <rFont val="Arial"/>
        <family val="0"/>
        <charset val="1"/>
      </rPr>
      <t xml:space="preserve">)</t>
    </r>
  </si>
  <si>
    <r>
      <rPr>
        <sz val="10"/>
        <rFont val="Arial"/>
        <family val="0"/>
        <charset val="1"/>
      </rPr>
      <t xml:space="preserve">7</t>
    </r>
    <r>
      <rPr>
        <sz val="10"/>
        <rFont val="WenQuanYi Zen Hei"/>
        <family val="2"/>
      </rPr>
      <t xml:space="preserve">부</t>
    </r>
    <r>
      <rPr>
        <sz val="10"/>
        <rFont val="Arial"/>
        <family val="0"/>
        <charset val="1"/>
      </rPr>
      <t xml:space="preserve">, 9</t>
    </r>
    <r>
      <rPr>
        <sz val="10"/>
        <rFont val="WenQuanYi Zen Hei"/>
        <family val="2"/>
      </rPr>
      <t xml:space="preserve">부 </t>
    </r>
    <r>
      <rPr>
        <sz val="10"/>
        <rFont val="Arial"/>
        <family val="0"/>
        <charset val="1"/>
      </rPr>
      <t xml:space="preserve">8</t>
    </r>
    <r>
      <rPr>
        <sz val="10"/>
        <rFont val="WenQuanYi Zen Hei"/>
        <family val="2"/>
      </rPr>
      <t xml:space="preserve">화</t>
    </r>
  </si>
  <si>
    <t xml:space="preserve">whistleblower, segnalazione, ritorsione, ANAC</t>
  </si>
  <si>
    <t xml:space="preserve">사용할 수 없는 증거</t>
  </si>
  <si>
    <t xml:space="preserve">법이 금지한 방식으로 얻은 증거는 쓸 수 없다. 감청은 예비수사판사(GIP)의 허가가 필요하다.</t>
  </si>
  <si>
    <t xml:space="preserve">형사소송법 제191조·제266조 이하, 헌법 제15조</t>
  </si>
  <si>
    <r>
      <rPr>
        <sz val="10"/>
        <rFont val="Arial"/>
        <family val="0"/>
        <charset val="1"/>
      </rPr>
      <t xml:space="preserve">7</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 11</t>
    </r>
    <r>
      <rPr>
        <sz val="10"/>
        <rFont val="WenQuanYi Zen Hei"/>
        <family val="2"/>
      </rPr>
      <t xml:space="preserve">부 </t>
    </r>
    <r>
      <rPr>
        <sz val="10"/>
        <rFont val="Arial"/>
        <family val="0"/>
        <charset val="1"/>
      </rPr>
      <t xml:space="preserve">7</t>
    </r>
    <r>
      <rPr>
        <sz val="10"/>
        <rFont val="WenQuanYi Zen Hei"/>
        <family val="2"/>
      </rPr>
      <t xml:space="preserve">화</t>
    </r>
  </si>
  <si>
    <t xml:space="preserve">prove inutilizzabili, intercettazione, autorizzazione del GIP</t>
  </si>
  <si>
    <t xml:space="preserve">정보기관 통제</t>
  </si>
  <si>
    <t xml:space="preserve">정보기관은 DIS(총괄)·AISE(대외)·AISI(대내)로 구성되며 총리 책임 아래 있고, 의회 정보위원회(COPASIR)가 감독한다. 국가 기밀 규정도 같은 법에 있다.</t>
  </si>
  <si>
    <t xml:space="preserve">legge 124/2007</t>
  </si>
  <si>
    <r>
      <rPr>
        <sz val="10"/>
        <rFont val="Arial"/>
        <family val="0"/>
        <charset val="1"/>
      </rPr>
      <t xml:space="preserve">12</t>
    </r>
    <r>
      <rPr>
        <sz val="10"/>
        <rFont val="WenQuanYi Zen Hei"/>
        <family val="2"/>
      </rPr>
      <t xml:space="preserve">부 </t>
    </r>
    <r>
      <rPr>
        <sz val="10"/>
        <rFont val="Arial"/>
        <family val="0"/>
        <charset val="1"/>
      </rPr>
      <t xml:space="preserve">5</t>
    </r>
    <r>
      <rPr>
        <sz val="10"/>
        <rFont val="WenQuanYi Zen Hei"/>
        <family val="2"/>
      </rPr>
      <t xml:space="preserve">화</t>
    </r>
  </si>
  <si>
    <t xml:space="preserve">servizi segreti, COPASIR, segreto di Stato</t>
  </si>
  <si>
    <r>
      <rPr>
        <sz val="10"/>
        <rFont val="Noto Sans CJK SC"/>
        <family val="2"/>
        <charset val="1"/>
      </rPr>
      <t xml:space="preserve">EU </t>
    </r>
    <r>
      <rPr>
        <sz val="10"/>
        <rFont val="WenQuanYi Zen Hei"/>
        <family val="2"/>
      </rPr>
      <t xml:space="preserve">재정 규칙</t>
    </r>
  </si>
  <si>
    <r>
      <rPr>
        <sz val="10"/>
        <rFont val="Noto Sans CJK SC"/>
        <family val="2"/>
        <charset val="1"/>
      </rPr>
      <t xml:space="preserve">2024</t>
    </r>
    <r>
      <rPr>
        <sz val="10"/>
        <rFont val="WenQuanYi Zen Hei"/>
        <family val="2"/>
      </rPr>
      <t xml:space="preserve">년 개정 규칙에 따라 중기 재정구조계획과 순지출 경로를 제출</t>
    </r>
    <r>
      <rPr>
        <sz val="10"/>
        <rFont val="Noto Sans CJK SC"/>
        <family val="2"/>
        <charset val="1"/>
      </rPr>
      <t xml:space="preserve">·</t>
    </r>
    <r>
      <rPr>
        <sz val="10"/>
        <rFont val="WenQuanYi Zen Hei"/>
        <family val="2"/>
      </rPr>
      <t xml:space="preserve">협의한다</t>
    </r>
    <r>
      <rPr>
        <sz val="10"/>
        <rFont val="Noto Sans CJK SC"/>
        <family val="2"/>
        <charset val="1"/>
      </rPr>
      <t xml:space="preserve">. </t>
    </r>
    <r>
      <rPr>
        <sz val="10"/>
        <rFont val="WenQuanYi Zen Hei"/>
        <family val="2"/>
      </rPr>
      <t xml:space="preserve">이탈리아는 </t>
    </r>
    <r>
      <rPr>
        <sz val="10"/>
        <rFont val="Noto Sans CJK SC"/>
        <family val="2"/>
        <charset val="1"/>
      </rPr>
      <t xml:space="preserve">2024</t>
    </r>
    <r>
      <rPr>
        <sz val="10"/>
        <rFont val="WenQuanYi Zen Hei"/>
        <family val="2"/>
      </rPr>
      <t xml:space="preserve">년부터 과도한 재정적자 절차 대상이다</t>
    </r>
    <r>
      <rPr>
        <sz val="10"/>
        <rFont val="Noto Sans CJK SC"/>
        <family val="2"/>
        <charset val="1"/>
      </rPr>
      <t xml:space="preserve">.</t>
    </r>
  </si>
  <si>
    <r>
      <rPr>
        <sz val="10"/>
        <rFont val="Arial"/>
        <family val="0"/>
        <charset val="1"/>
      </rPr>
      <t xml:space="preserve">TFUE </t>
    </r>
    <r>
      <rPr>
        <sz val="10"/>
        <rFont val="WenQuanYi Zen Hei"/>
        <family val="2"/>
      </rPr>
      <t xml:space="preserve">제</t>
    </r>
    <r>
      <rPr>
        <sz val="10"/>
        <rFont val="Arial"/>
        <family val="0"/>
        <charset val="1"/>
      </rPr>
      <t xml:space="preserve">126</t>
    </r>
    <r>
      <rPr>
        <sz val="10"/>
        <rFont val="WenQuanYi Zen Hei"/>
        <family val="2"/>
      </rPr>
      <t xml:space="preserve">조</t>
    </r>
    <r>
      <rPr>
        <sz val="10"/>
        <rFont val="Arial"/>
        <family val="0"/>
        <charset val="1"/>
      </rPr>
      <t xml:space="preserve">, EU </t>
    </r>
    <r>
      <rPr>
        <sz val="10"/>
        <rFont val="WenQuanYi Zen Hei"/>
        <family val="2"/>
      </rPr>
      <t xml:space="preserve">재정규칙 개정</t>
    </r>
    <r>
      <rPr>
        <sz val="10"/>
        <rFont val="Arial"/>
        <family val="0"/>
        <charset val="1"/>
      </rPr>
      <t xml:space="preserve">(2024)</t>
    </r>
  </si>
  <si>
    <r>
      <rPr>
        <sz val="10"/>
        <rFont val="Arial"/>
        <family val="0"/>
        <charset val="1"/>
      </rPr>
      <t xml:space="preserve">11</t>
    </r>
    <r>
      <rPr>
        <sz val="10"/>
        <rFont val="WenQuanYi Zen Hei"/>
        <family val="2"/>
      </rPr>
      <t xml:space="preserve">부 </t>
    </r>
    <r>
      <rPr>
        <sz val="10"/>
        <rFont val="Arial"/>
        <family val="0"/>
        <charset val="1"/>
      </rPr>
      <t xml:space="preserve">9~10</t>
    </r>
    <r>
      <rPr>
        <sz val="10"/>
        <rFont val="WenQuanYi Zen Hei"/>
        <family val="2"/>
      </rPr>
      <t xml:space="preserve">화</t>
    </r>
  </si>
  <si>
    <t xml:space="preserve">piano strutturale di bilancio, deficit eccessivo, ECOFIN, Commissione europea</t>
  </si>
  <si>
    <t xml:space="preserve">검색 확인 (2026-09-24) (2025년 적자 3.1%로 조기 졸업 불발)</t>
  </si>
  <si>
    <t xml:space="preserve">재난·민방위</t>
  </si>
  <si>
    <t xml:space="preserve">민방위 국가 체계(Servizio nazionale della Protezione Civile)는 시장·주·국가가 단계적으로 대응한다. 국가 비상사태는 국무회의가 선포하고 민방위국이 지휘한다. 경보는 IT-alert로 휴대전화에 전송.</t>
  </si>
  <si>
    <r>
      <rPr>
        <sz val="10"/>
        <rFont val="Arial"/>
        <family val="0"/>
        <charset val="1"/>
      </rPr>
      <t xml:space="preserve">d.lgs. 1/2018 (</t>
    </r>
    <r>
      <rPr>
        <sz val="10"/>
        <rFont val="WenQuanYi Zen Hei"/>
        <family val="2"/>
      </rPr>
      <t xml:space="preserve">민방위법</t>
    </r>
    <r>
      <rPr>
        <sz val="10"/>
        <rFont val="Arial"/>
        <family val="0"/>
        <charset val="1"/>
      </rPr>
      <t xml:space="preserve">)</t>
    </r>
  </si>
  <si>
    <r>
      <rPr>
        <sz val="10"/>
        <rFont val="Arial"/>
        <family val="0"/>
        <charset val="1"/>
      </rPr>
      <t xml:space="preserve">12</t>
    </r>
    <r>
      <rPr>
        <sz val="10"/>
        <rFont val="WenQuanYi Zen Hei"/>
        <family val="2"/>
      </rPr>
      <t xml:space="preserve">부 </t>
    </r>
    <r>
      <rPr>
        <sz val="10"/>
        <rFont val="Arial"/>
        <family val="0"/>
        <charset val="1"/>
      </rPr>
      <t xml:space="preserve">8</t>
    </r>
    <r>
      <rPr>
        <sz val="10"/>
        <rFont val="WenQuanYi Zen Hei"/>
        <family val="2"/>
      </rPr>
      <t xml:space="preserve">화</t>
    </r>
  </si>
  <si>
    <t xml:space="preserve">protezione civile, allerta rossa, IT-alert, stato di emergenza</t>
  </si>
  <si>
    <t xml:space="preserve">이민·외국인</t>
  </si>
  <si>
    <t xml:space="preserve">체류·난민·국경은 국가 권한. 1차 수용(CAS)은 도청(Prefettura), 2차 통합 수용(SAI)은 지자체 네트워크가 맡아 비용·분담 갈등이 생긴다. 보호자 없는 미성년자는 별도 보호 체계.</t>
  </si>
  <si>
    <t xml:space="preserve">d.lgs. 286/1998, d.lgs. 142/2015, legge 47/2017</t>
  </si>
  <si>
    <r>
      <rPr>
        <sz val="10"/>
        <rFont val="Arial"/>
        <family val="0"/>
        <charset val="1"/>
      </rPr>
      <t xml:space="preserve">6·7</t>
    </r>
    <r>
      <rPr>
        <sz val="10"/>
        <rFont val="WenQuanYi Zen Hei"/>
        <family val="2"/>
      </rPr>
      <t xml:space="preserve">부</t>
    </r>
    <r>
      <rPr>
        <sz val="10"/>
        <rFont val="Arial"/>
        <family val="0"/>
        <charset val="1"/>
      </rPr>
      <t xml:space="preserve">, 11</t>
    </r>
    <r>
      <rPr>
        <sz val="10"/>
        <rFont val="WenQuanYi Zen Hei"/>
        <family val="2"/>
      </rPr>
      <t xml:space="preserve">부 </t>
    </r>
    <r>
      <rPr>
        <sz val="10"/>
        <rFont val="Arial"/>
        <family val="0"/>
        <charset val="1"/>
      </rPr>
      <t xml:space="preserve">5</t>
    </r>
    <r>
      <rPr>
        <sz val="10"/>
        <rFont val="WenQuanYi Zen Hei"/>
        <family val="2"/>
      </rPr>
      <t xml:space="preserve">화</t>
    </r>
  </si>
  <si>
    <t xml:space="preserve">permesso di soggiorno, accoglienza, CAS, SAI, MSNA</t>
  </si>
  <si>
    <t xml:space="preserve">최신 협정·법 개정 확인 필요</t>
  </si>
  <si>
    <t xml:space="preserve">성폭력 관련 법</t>
  </si>
  <si>
    <t xml:space="preserve">형법의 성폭력 조항은 폭력·위협·권한 남용 등을 구성 요건으로 둔다. '자유롭고 현재적인 동의'를 명문화하는 개정 논의와 여성 살해 가중 처벌 입법이 이어졌다.</t>
  </si>
  <si>
    <t xml:space="preserve">형법 제609-bis조</t>
  </si>
  <si>
    <r>
      <rPr>
        <sz val="10"/>
        <rFont val="Arial"/>
        <family val="0"/>
        <charset val="1"/>
      </rPr>
      <t xml:space="preserve">7</t>
    </r>
    <r>
      <rPr>
        <sz val="10"/>
        <rFont val="WenQuanYi Zen Hei"/>
        <family val="2"/>
      </rPr>
      <t xml:space="preserve">부 </t>
    </r>
    <r>
      <rPr>
        <sz val="10"/>
        <rFont val="Arial"/>
        <family val="0"/>
        <charset val="1"/>
      </rPr>
      <t xml:space="preserve">3</t>
    </r>
    <r>
      <rPr>
        <sz val="10"/>
        <rFont val="WenQuanYi Zen Hei"/>
        <family val="2"/>
      </rPr>
      <t xml:space="preserve">화</t>
    </r>
    <r>
      <rPr>
        <sz val="10"/>
        <rFont val="Arial"/>
        <family val="0"/>
        <charset val="1"/>
      </rPr>
      <t xml:space="preserve">, 8</t>
    </r>
    <r>
      <rPr>
        <sz val="10"/>
        <rFont val="WenQuanYi Zen Hei"/>
        <family val="2"/>
      </rPr>
      <t xml:space="preserve">부</t>
    </r>
    <r>
      <rPr>
        <sz val="10"/>
        <rFont val="Arial"/>
        <family val="0"/>
        <charset val="1"/>
      </rPr>
      <t xml:space="preserve">, 10</t>
    </r>
    <r>
      <rPr>
        <sz val="10"/>
        <rFont val="WenQuanYi Zen Hei"/>
        <family val="2"/>
      </rPr>
      <t xml:space="preserve">부 </t>
    </r>
    <r>
      <rPr>
        <sz val="10"/>
        <rFont val="Arial"/>
        <family val="0"/>
        <charset val="1"/>
      </rPr>
      <t xml:space="preserve">3</t>
    </r>
    <r>
      <rPr>
        <sz val="10"/>
        <rFont val="WenQuanYi Zen Hei"/>
        <family val="2"/>
      </rPr>
      <t xml:space="preserve">화</t>
    </r>
  </si>
  <si>
    <t xml:space="preserve">consenso, violenza sessuale, femminicidio</t>
  </si>
  <si>
    <t xml:space="preserve">개정 진행 상황 확인 필요</t>
  </si>
  <si>
    <t xml:space="preserve">범죄 폐지의 소급</t>
  </si>
  <si>
    <t xml:space="preserve">나중의 법률이 어떤 행위를 범죄에서 제외하면, 이미 확정된 판결도 그 효력이 멈춘다(abolitio criminis).</t>
  </si>
  <si>
    <t xml:space="preserve">형법 제2조 2항</t>
  </si>
  <si>
    <t xml:space="preserve">abolitio criminis, retroattività, reato</t>
  </si>
  <si>
    <t xml:space="preserve">사법 최고회의(CSM)와 사법 개혁</t>
  </si>
  <si>
    <r>
      <rPr>
        <sz val="10"/>
        <rFont val="Noto Sans CJK SC"/>
        <family val="2"/>
        <charset val="1"/>
      </rPr>
      <t xml:space="preserve">CSM</t>
    </r>
    <r>
      <rPr>
        <sz val="10"/>
        <rFont val="WenQuanYi Zen Hei"/>
        <family val="2"/>
      </rPr>
      <t xml:space="preserve">은 판사</t>
    </r>
    <r>
      <rPr>
        <sz val="10"/>
        <rFont val="Noto Sans CJK SC"/>
        <family val="2"/>
        <charset val="1"/>
      </rPr>
      <t xml:space="preserve">·</t>
    </r>
    <r>
      <rPr>
        <sz val="10"/>
        <rFont val="WenQuanYi Zen Hei"/>
        <family val="2"/>
      </rPr>
      <t xml:space="preserve">검사의 인사</t>
    </r>
    <r>
      <rPr>
        <sz val="10"/>
        <rFont val="Noto Sans CJK SC"/>
        <family val="2"/>
        <charset val="1"/>
      </rPr>
      <t xml:space="preserve">·</t>
    </r>
    <r>
      <rPr>
        <sz val="10"/>
        <rFont val="WenQuanYi Zen Hei"/>
        <family val="2"/>
      </rPr>
      <t xml:space="preserve">징계를 맡는 헌법 기관</t>
    </r>
    <r>
      <rPr>
        <sz val="10"/>
        <rFont val="Noto Sans CJK SC"/>
        <family val="2"/>
        <charset val="1"/>
      </rPr>
      <t xml:space="preserve">. </t>
    </r>
    <r>
      <rPr>
        <sz val="10"/>
        <rFont val="WenQuanYi Zen Hei"/>
        <family val="2"/>
      </rPr>
      <t xml:space="preserve">검사</t>
    </r>
    <r>
      <rPr>
        <sz val="10"/>
        <rFont val="Noto Sans CJK SC"/>
        <family val="2"/>
        <charset val="1"/>
      </rPr>
      <t xml:space="preserve">·</t>
    </r>
    <r>
      <rPr>
        <sz val="10"/>
        <rFont val="WenQuanYi Zen Hei"/>
        <family val="2"/>
      </rPr>
      <t xml:space="preserve">판사 경력 분리와 </t>
    </r>
    <r>
      <rPr>
        <sz val="10"/>
        <rFont val="Noto Sans CJK SC"/>
        <family val="2"/>
        <charset val="1"/>
      </rPr>
      <t xml:space="preserve">CSM </t>
    </r>
    <r>
      <rPr>
        <sz val="10"/>
        <rFont val="WenQuanYi Zen Hei"/>
        <family val="2"/>
      </rPr>
      <t xml:space="preserve">분할을 담은 개헌은 </t>
    </r>
    <r>
      <rPr>
        <sz val="10"/>
        <rFont val="Noto Sans CJK SC"/>
        <family val="2"/>
        <charset val="1"/>
      </rPr>
      <t xml:space="preserve">2026</t>
    </r>
    <r>
      <rPr>
        <sz val="10"/>
        <rFont val="WenQuanYi Zen Hei"/>
        <family val="2"/>
      </rPr>
      <t xml:space="preserve">년 </t>
    </r>
    <r>
      <rPr>
        <sz val="10"/>
        <rFont val="Noto Sans CJK SC"/>
        <family val="2"/>
        <charset val="1"/>
      </rPr>
      <t xml:space="preserve">3</t>
    </r>
    <r>
      <rPr>
        <sz val="10"/>
        <rFont val="WenQuanYi Zen Hei"/>
        <family val="2"/>
      </rPr>
      <t xml:space="preserve">월 국민투표에서 부결되었다</t>
    </r>
    <r>
      <rPr>
        <sz val="10"/>
        <rFont val="Noto Sans CJK SC"/>
        <family val="2"/>
        <charset val="1"/>
      </rPr>
      <t xml:space="preserve">.</t>
    </r>
  </si>
  <si>
    <t xml:space="preserve">헌법 제104~107조</t>
  </si>
  <si>
    <r>
      <rPr>
        <sz val="10"/>
        <rFont val="Arial"/>
        <family val="0"/>
        <charset val="1"/>
      </rPr>
      <t xml:space="preserve">8</t>
    </r>
    <r>
      <rPr>
        <sz val="10"/>
        <rFont val="WenQuanYi Zen Hei"/>
        <family val="2"/>
      </rPr>
      <t xml:space="preserve">부 </t>
    </r>
    <r>
      <rPr>
        <sz val="10"/>
        <rFont val="Arial"/>
        <family val="0"/>
        <charset val="1"/>
      </rPr>
      <t xml:space="preserve">4</t>
    </r>
    <r>
      <rPr>
        <sz val="10"/>
        <rFont val="WenQuanYi Zen Hei"/>
        <family val="2"/>
      </rPr>
      <t xml:space="preserve">화</t>
    </r>
    <r>
      <rPr>
        <sz val="10"/>
        <rFont val="Arial"/>
        <family val="0"/>
        <charset val="1"/>
      </rPr>
      <t xml:space="preserve">, 10</t>
    </r>
    <r>
      <rPr>
        <sz val="10"/>
        <rFont val="WenQuanYi Zen Hei"/>
        <family val="2"/>
      </rPr>
      <t xml:space="preserve">부 </t>
    </r>
    <r>
      <rPr>
        <sz val="10"/>
        <rFont val="Arial"/>
        <family val="0"/>
        <charset val="1"/>
      </rPr>
      <t xml:space="preserve">11</t>
    </r>
    <r>
      <rPr>
        <sz val="10"/>
        <rFont val="WenQuanYi Zen Hei"/>
        <family val="2"/>
      </rPr>
      <t xml:space="preserve">화</t>
    </r>
    <r>
      <rPr>
        <sz val="10"/>
        <rFont val="Arial"/>
        <family val="0"/>
        <charset val="1"/>
      </rPr>
      <t xml:space="preserve">, 12</t>
    </r>
    <r>
      <rPr>
        <sz val="10"/>
        <rFont val="WenQuanYi Zen Hei"/>
        <family val="2"/>
      </rPr>
      <t xml:space="preserve">부 </t>
    </r>
    <r>
      <rPr>
        <sz val="10"/>
        <rFont val="Arial"/>
        <family val="0"/>
        <charset val="1"/>
      </rPr>
      <t xml:space="preserve">7</t>
    </r>
    <r>
      <rPr>
        <sz val="10"/>
        <rFont val="WenQuanYi Zen Hei"/>
        <family val="2"/>
      </rPr>
      <t xml:space="preserve">화</t>
    </r>
  </si>
  <si>
    <t xml:space="preserve">CSM, separazione delle carriere, magistratura</t>
  </si>
  <si>
    <t xml:space="preserve">검색 확인 (2026-09-24)</t>
  </si>
  <si>
    <t xml:space="preserve">회복기금(PNRR)</t>
  </si>
  <si>
    <t xml:space="preserve">이탈리아는 EU 회복기금의 최대 수혜국으로 국가 회복·복원력 계획(PNRR)을 집행한다. 목표·이정표 달성에 따라 분할 지급되며, 사업 완료 시한은 2026년 8월.</t>
  </si>
  <si>
    <r>
      <rPr>
        <sz val="10"/>
        <rFont val="Arial"/>
        <family val="0"/>
        <charset val="1"/>
      </rPr>
      <t xml:space="preserve">d.l. 77/2021 (PNRR </t>
    </r>
    <r>
      <rPr>
        <sz val="10"/>
        <rFont val="WenQuanYi Zen Hei"/>
        <family val="2"/>
      </rPr>
      <t xml:space="preserve">거버넌스</t>
    </r>
    <r>
      <rPr>
        <sz val="10"/>
        <rFont val="Arial"/>
        <family val="0"/>
        <charset val="1"/>
      </rPr>
      <t xml:space="preserve">)</t>
    </r>
  </si>
  <si>
    <r>
      <rPr>
        <sz val="10"/>
        <rFont val="Arial"/>
        <family val="0"/>
        <charset val="1"/>
      </rPr>
      <t xml:space="preserve">9</t>
    </r>
    <r>
      <rPr>
        <sz val="10"/>
        <rFont val="WenQuanYi Zen Hei"/>
        <family val="2"/>
      </rPr>
      <t xml:space="preserve">부 </t>
    </r>
    <r>
      <rPr>
        <sz val="10"/>
        <rFont val="Arial"/>
        <family val="0"/>
        <charset val="1"/>
      </rPr>
      <t xml:space="preserve">4</t>
    </r>
    <r>
      <rPr>
        <sz val="10"/>
        <rFont val="WenQuanYi Zen Hei"/>
        <family val="2"/>
      </rPr>
      <t xml:space="preserve">화</t>
    </r>
    <r>
      <rPr>
        <sz val="10"/>
        <rFont val="Arial"/>
        <family val="0"/>
        <charset val="1"/>
      </rPr>
      <t xml:space="preserve">, 11</t>
    </r>
    <r>
      <rPr>
        <sz val="10"/>
        <rFont val="WenQuanYi Zen Hei"/>
        <family val="2"/>
      </rPr>
      <t xml:space="preserve">부 </t>
    </r>
    <r>
      <rPr>
        <sz val="10"/>
        <rFont val="Arial"/>
        <family val="0"/>
        <charset val="1"/>
      </rPr>
      <t xml:space="preserve">9</t>
    </r>
    <r>
      <rPr>
        <sz val="10"/>
        <rFont val="WenQuanYi Zen Hei"/>
        <family val="2"/>
      </rPr>
      <t xml:space="preserve">화</t>
    </r>
  </si>
  <si>
    <t xml:space="preserve">PNRR, milestone, target, soggetto attuatore</t>
  </si>
  <si>
    <t xml:space="preserve">최종 결산·집행률 확인 필요</t>
  </si>
  <si>
    <t xml:space="preserve">국방비와 NATO</t>
  </si>
  <si>
    <r>
      <rPr>
        <sz val="10"/>
        <rFont val="Noto Sans CJK SC"/>
        <family val="2"/>
        <charset val="1"/>
      </rPr>
      <t xml:space="preserve">2025</t>
    </r>
    <r>
      <rPr>
        <sz val="10"/>
        <rFont val="WenQuanYi Zen Hei"/>
        <family val="2"/>
      </rPr>
      <t xml:space="preserve">년 헤이그 정상회의에서 </t>
    </r>
    <r>
      <rPr>
        <sz val="10"/>
        <rFont val="Noto Sans CJK SC"/>
        <family val="2"/>
        <charset val="1"/>
      </rPr>
      <t xml:space="preserve">NATO</t>
    </r>
    <r>
      <rPr>
        <sz val="10"/>
        <rFont val="WenQuanYi Zen Hei"/>
        <family val="2"/>
      </rPr>
      <t xml:space="preserve">가 </t>
    </r>
    <r>
      <rPr>
        <sz val="10"/>
        <rFont val="Noto Sans CJK SC"/>
        <family val="2"/>
        <charset val="1"/>
      </rPr>
      <t xml:space="preserve">GDP 5%(</t>
    </r>
    <r>
      <rPr>
        <sz val="10"/>
        <rFont val="WenQuanYi Zen Hei"/>
        <family val="2"/>
      </rPr>
      <t xml:space="preserve">핵심 방위 </t>
    </r>
    <r>
      <rPr>
        <sz val="10"/>
        <rFont val="Noto Sans CJK SC"/>
        <family val="2"/>
        <charset val="1"/>
      </rPr>
      <t xml:space="preserve">3.5% + </t>
    </r>
    <r>
      <rPr>
        <sz val="10"/>
        <rFont val="WenQuanYi Zen Hei"/>
        <family val="2"/>
      </rPr>
      <t xml:space="preserve">관련 지출 </t>
    </r>
    <r>
      <rPr>
        <sz val="10"/>
        <rFont val="Noto Sans CJK SC"/>
        <family val="2"/>
        <charset val="1"/>
      </rPr>
      <t xml:space="preserve">1.5%) </t>
    </r>
    <r>
      <rPr>
        <sz val="10"/>
        <rFont val="WenQuanYi Zen Hei"/>
        <family val="2"/>
      </rPr>
      <t xml:space="preserve">목표를 </t>
    </r>
    <r>
      <rPr>
        <sz val="10"/>
        <rFont val="Noto Sans CJK SC"/>
        <family val="2"/>
        <charset val="1"/>
      </rPr>
      <t xml:space="preserve">2035</t>
    </r>
    <r>
      <rPr>
        <sz val="10"/>
        <rFont val="WenQuanYi Zen Hei"/>
        <family val="2"/>
      </rPr>
      <t xml:space="preserve">년까지 합의했다</t>
    </r>
    <r>
      <rPr>
        <sz val="10"/>
        <rFont val="Noto Sans CJK SC"/>
        <family val="2"/>
        <charset val="1"/>
      </rPr>
      <t xml:space="preserve">(</t>
    </r>
    <r>
      <rPr>
        <sz val="10"/>
        <rFont val="WenQuanYi Zen Hei"/>
        <family val="2"/>
      </rPr>
      <t xml:space="preserve">스페인만 예외</t>
    </r>
    <r>
      <rPr>
        <sz val="10"/>
        <rFont val="Noto Sans CJK SC"/>
        <family val="2"/>
        <charset val="1"/>
      </rPr>
      <t xml:space="preserve">). </t>
    </r>
    <r>
      <rPr>
        <sz val="10"/>
        <rFont val="WenQuanYi Zen Hei"/>
        <family val="2"/>
      </rPr>
      <t xml:space="preserve">이탈리아는 회계 방식 변경으로 </t>
    </r>
    <r>
      <rPr>
        <sz val="10"/>
        <rFont val="Noto Sans CJK SC"/>
        <family val="2"/>
        <charset val="1"/>
      </rPr>
      <t xml:space="preserve">2% </t>
    </r>
    <r>
      <rPr>
        <sz val="10"/>
        <rFont val="WenQuanYi Zen Hei"/>
        <family val="2"/>
      </rPr>
      <t xml:space="preserve">도달을 발표했고</t>
    </r>
    <r>
      <rPr>
        <sz val="10"/>
        <rFont val="Noto Sans CJK SC"/>
        <family val="2"/>
        <charset val="1"/>
      </rPr>
      <t xml:space="preserve">, </t>
    </r>
    <r>
      <rPr>
        <sz val="10"/>
        <rFont val="WenQuanYi Zen Hei"/>
        <family val="2"/>
      </rPr>
      <t xml:space="preserve">재정 적자 절차 때문에 증액 속도가 쟁점이다</t>
    </r>
    <r>
      <rPr>
        <sz val="10"/>
        <rFont val="Noto Sans CJK SC"/>
        <family val="2"/>
        <charset val="1"/>
      </rPr>
      <t xml:space="preserve">. </t>
    </r>
    <r>
      <rPr>
        <sz val="10"/>
        <rFont val="WenQuanYi Zen Hei"/>
        <family val="2"/>
      </rPr>
      <t xml:space="preserve">이 갈등을 배경으로 </t>
    </r>
    <r>
      <rPr>
        <sz val="10"/>
        <rFont val="Noto Sans CJK SC"/>
        <family val="2"/>
        <charset val="1"/>
      </rPr>
      <t xml:space="preserve">Cesare</t>
    </r>
    <r>
      <rPr>
        <sz val="10"/>
        <rFont val="WenQuanYi Zen Hei"/>
        <family val="2"/>
      </rPr>
      <t xml:space="preserve">가 검증 가능한 단계 경로를 협상한다</t>
    </r>
    <r>
      <rPr>
        <sz val="10"/>
        <rFont val="Noto Sans CJK SC"/>
        <family val="2"/>
        <charset val="1"/>
      </rPr>
      <t xml:space="preserve">.</t>
    </r>
  </si>
  <si>
    <r>
      <rPr>
        <sz val="10"/>
        <rFont val="Arial"/>
        <family val="0"/>
        <charset val="1"/>
      </rPr>
      <t xml:space="preserve">2025 </t>
    </r>
    <r>
      <rPr>
        <sz val="10"/>
        <rFont val="WenQuanYi Zen Hei"/>
        <family val="2"/>
      </rPr>
      <t xml:space="preserve">헤이그 합의</t>
    </r>
    <r>
      <rPr>
        <sz val="10"/>
        <rFont val="Arial"/>
        <family val="0"/>
        <charset val="1"/>
      </rPr>
      <t xml:space="preserve">, EU </t>
    </r>
    <r>
      <rPr>
        <sz val="10"/>
        <rFont val="WenQuanYi Zen Hei"/>
        <family val="2"/>
      </rPr>
      <t xml:space="preserve">재정규칙 국가 예외 조항</t>
    </r>
  </si>
  <si>
    <r>
      <rPr>
        <sz val="10"/>
        <rFont val="Arial"/>
        <family val="0"/>
        <charset val="1"/>
      </rPr>
      <t xml:space="preserve">11</t>
    </r>
    <r>
      <rPr>
        <sz val="10"/>
        <rFont val="WenQuanYi Zen Hei"/>
        <family val="2"/>
      </rPr>
      <t xml:space="preserve">부 </t>
    </r>
    <r>
      <rPr>
        <sz val="10"/>
        <rFont val="Arial"/>
        <family val="0"/>
        <charset val="1"/>
      </rPr>
      <t xml:space="preserve">9~11</t>
    </r>
    <r>
      <rPr>
        <sz val="10"/>
        <rFont val="WenQuanYi Zen Hei"/>
        <family val="2"/>
      </rPr>
      <t xml:space="preserve">화</t>
    </r>
    <r>
      <rPr>
        <sz val="10"/>
        <rFont val="Arial"/>
        <family val="0"/>
        <charset val="1"/>
      </rPr>
      <t xml:space="preserve">(Cesare</t>
    </r>
    <r>
      <rPr>
        <sz val="10"/>
        <rFont val="WenQuanYi Zen Hei"/>
        <family val="2"/>
      </rPr>
      <t xml:space="preserve">의 직접 협상</t>
    </r>
    <r>
      <rPr>
        <sz val="10"/>
        <rFont val="Arial"/>
        <family val="0"/>
        <charset val="1"/>
      </rPr>
      <t xml:space="preserve">), 12</t>
    </r>
    <r>
      <rPr>
        <sz val="10"/>
        <rFont val="WenQuanYi Zen Hei"/>
        <family val="2"/>
      </rPr>
      <t xml:space="preserve">부 </t>
    </r>
    <r>
      <rPr>
        <sz val="10"/>
        <rFont val="Arial"/>
        <family val="0"/>
        <charset val="1"/>
      </rPr>
      <t xml:space="preserve">3·11</t>
    </r>
    <r>
      <rPr>
        <sz val="10"/>
        <rFont val="WenQuanYi Zen Hei"/>
        <family val="2"/>
      </rPr>
      <t xml:space="preserve">화</t>
    </r>
    <r>
      <rPr>
        <sz val="10"/>
        <rFont val="Arial"/>
        <family val="0"/>
        <charset val="1"/>
      </rPr>
      <t xml:space="preserve">(</t>
    </r>
    <r>
      <rPr>
        <sz val="10"/>
        <rFont val="WenQuanYi Zen Hei"/>
        <family val="2"/>
      </rPr>
      <t xml:space="preserve">후속</t>
    </r>
    <r>
      <rPr>
        <sz val="10"/>
        <rFont val="Arial"/>
        <family val="0"/>
        <charset val="1"/>
      </rPr>
      <t xml:space="preserve">)</t>
    </r>
  </si>
  <si>
    <t xml:space="preserve">spesa per la difesa, NATO, capacità, impegno</t>
  </si>
  <si>
    <t xml:space="preserve">검색 확인 (2026-09-24) (헤이그 합의 수치·이탈리아 2% 발표)</t>
  </si>
  <si>
    <t xml:space="preserve">재생에너지 인허가</t>
  </si>
  <si>
    <t xml:space="preserve">대형 설비는 국가, 그 밖은 주·시가 인허가하며 환경영향평가(VIA)가 필요하다. 주가 적합 부지(aree idonee)를 지정하고, 2024년부터 농지 지상 태양광이 제한되었다. 사르데냐 등에서 주민 반발이 크다.</t>
  </si>
  <si>
    <r>
      <rPr>
        <sz val="10"/>
        <rFont val="Arial"/>
        <family val="0"/>
        <charset val="1"/>
      </rPr>
      <t xml:space="preserve">d.lgs. 199/2021, d.l. 63/2024, </t>
    </r>
    <r>
      <rPr>
        <sz val="10"/>
        <rFont val="WenQuanYi Zen Hei"/>
        <family val="2"/>
      </rPr>
      <t xml:space="preserve">환경법</t>
    </r>
    <r>
      <rPr>
        <sz val="10"/>
        <rFont val="Arial"/>
        <family val="0"/>
        <charset val="1"/>
      </rPr>
      <t xml:space="preserve">(d.lgs. 152/2006)</t>
    </r>
  </si>
  <si>
    <r>
      <rPr>
        <sz val="10"/>
        <rFont val="Arial"/>
        <family val="0"/>
        <charset val="1"/>
      </rPr>
      <t xml:space="preserve">10</t>
    </r>
    <r>
      <rPr>
        <sz val="10"/>
        <rFont val="WenQuanYi Zen Hei"/>
        <family val="2"/>
      </rPr>
      <t xml:space="preserve">부 </t>
    </r>
    <r>
      <rPr>
        <sz val="10"/>
        <rFont val="Arial"/>
        <family val="0"/>
        <charset val="1"/>
      </rPr>
      <t xml:space="preserve">2</t>
    </r>
    <r>
      <rPr>
        <sz val="10"/>
        <rFont val="WenQuanYi Zen Hei"/>
        <family val="2"/>
      </rPr>
      <t xml:space="preserve">화</t>
    </r>
    <r>
      <rPr>
        <sz val="10"/>
        <rFont val="Arial"/>
        <family val="0"/>
        <charset val="1"/>
      </rPr>
      <t xml:space="preserve">, 11</t>
    </r>
    <r>
      <rPr>
        <sz val="10"/>
        <rFont val="WenQuanYi Zen Hei"/>
        <family val="2"/>
      </rPr>
      <t xml:space="preserve">부 </t>
    </r>
    <r>
      <rPr>
        <sz val="10"/>
        <rFont val="Arial"/>
        <family val="0"/>
        <charset val="1"/>
      </rPr>
      <t xml:space="preserve">8</t>
    </r>
    <r>
      <rPr>
        <sz val="10"/>
        <rFont val="WenQuanYi Zen Hei"/>
        <family val="2"/>
      </rPr>
      <t xml:space="preserve">화</t>
    </r>
  </si>
  <si>
    <t xml:space="preserve">aree idonee, agrivoltaico, pale eoliche, VIA</t>
  </si>
  <si>
    <t xml:space="preserve">최신 기준 확인 필요</t>
  </si>
  <si>
    <t xml:space="preserve">내륙 과소지역</t>
  </si>
  <si>
    <t xml:space="preserve">내륙 지역 국가 전략(SNAI)이 인구 감소 지역의 교통·보건·교육을 지원한다. 선거구 재조정(2020 의석 축소) 이후 농촌 대표성도 쟁점이다.</t>
  </si>
  <si>
    <t xml:space="preserve">SNAI, legge 51/2019</t>
  </si>
  <si>
    <r>
      <rPr>
        <sz val="10"/>
        <rFont val="Arial"/>
        <family val="0"/>
        <charset val="1"/>
      </rPr>
      <t xml:space="preserve">10</t>
    </r>
    <r>
      <rPr>
        <sz val="10"/>
        <rFont val="WenQuanYi Zen Hei"/>
        <family val="2"/>
      </rPr>
      <t xml:space="preserve">부 </t>
    </r>
    <r>
      <rPr>
        <sz val="10"/>
        <rFont val="Arial"/>
        <family val="0"/>
        <charset val="1"/>
      </rPr>
      <t xml:space="preserve">2</t>
    </r>
    <r>
      <rPr>
        <sz val="10"/>
        <rFont val="WenQuanYi Zen Hei"/>
        <family val="2"/>
      </rPr>
      <t xml:space="preserve">화</t>
    </r>
  </si>
  <si>
    <t xml:space="preserve">aree interne, spopolamento, piccoli comuni</t>
  </si>
  <si>
    <t xml:space="preserve">사회적 대화</t>
  </si>
  <si>
    <t xml:space="preserve">정부·노조(CGIL·CISL·UIL)·경영단체(Confindustria 등) 협의. 법정 최저임금이 없고 단체협약이 임금을 정하며, CNEL은 헌법 자문 기관이다.</t>
  </si>
  <si>
    <t xml:space="preserve">헌법 제39·99조, 관행</t>
  </si>
  <si>
    <r>
      <rPr>
        <sz val="10"/>
        <rFont val="Arial"/>
        <family val="0"/>
        <charset val="1"/>
      </rPr>
      <t xml:space="preserve">11</t>
    </r>
    <r>
      <rPr>
        <sz val="10"/>
        <rFont val="WenQuanYi Zen Hei"/>
        <family val="2"/>
      </rPr>
      <t xml:space="preserve">부 </t>
    </r>
    <r>
      <rPr>
        <sz val="10"/>
        <rFont val="Arial"/>
        <family val="0"/>
        <charset val="1"/>
      </rPr>
      <t xml:space="preserve">6</t>
    </r>
    <r>
      <rPr>
        <sz val="10"/>
        <rFont val="WenQuanYi Zen Hei"/>
        <family val="2"/>
      </rPr>
      <t xml:space="preserve">화</t>
    </r>
  </si>
  <si>
    <t xml:space="preserve">concertazione, sindacati, contratto collettivo, salario minimo</t>
  </si>
  <si>
    <t xml:space="preserve">연금</t>
  </si>
  <si>
    <t xml:space="preserve">노령 연금 수급 연령과 조기 퇴직 제도(Quota 등)가 매년 예산안 논쟁의 중심이다. 연금 지출은 GDP 대비 EU 최고 수준.</t>
  </si>
  <si>
    <r>
      <rPr>
        <sz val="10"/>
        <rFont val="Arial"/>
        <family val="0"/>
        <charset val="1"/>
      </rPr>
      <t xml:space="preserve">legge 214/2011 (Fornero), </t>
    </r>
    <r>
      <rPr>
        <sz val="10"/>
        <rFont val="WenQuanYi Zen Hei"/>
        <family val="2"/>
      </rPr>
      <t xml:space="preserve">매년 예산법</t>
    </r>
  </si>
  <si>
    <t xml:space="preserve">pensioni, età pensionabile, Quota</t>
  </si>
  <si>
    <t xml:space="preserve">※ 법령 번호·조항은 교재에 넣기 전에 Normattiva(normattiva.it)의 현행 통합본(testo vigente)으로 반드시 확인하세요. '검색 확인'은 공개 자료에서 교차 확인한 항목이며, 나머지는 기획 시점 지식입니다.</t>
  </si>
  <si>
    <t xml:space="preserve">정치 경로와 가상 의석 시뮬레이션</t>
  </si>
  <si>
    <t xml:space="preserve">창당에서 총리까지의 경로를 이탈리아 현실 제도에 맞춰 단계화했다. 정당·의석 수는 전부 가상의 교육용 수치이며, 파란 숫자·표결 값은 수정하면 결과가 자동 갱신된다. 표결 값: Sì(찬성) / No(반대) / Astenuto(기권) / Assente(불참).</t>
  </si>
  <si>
    <r>
      <rPr>
        <b val="true"/>
        <sz val="10"/>
        <rFont val="Arial"/>
        <family val="0"/>
        <charset val="1"/>
      </rPr>
      <t xml:space="preserve">1. </t>
    </r>
    <r>
      <rPr>
        <b val="true"/>
        <sz val="10"/>
        <rFont val="WenQuanYi Zen Hei"/>
        <family val="2"/>
      </rPr>
      <t xml:space="preserve">정치 경로 </t>
    </r>
    <r>
      <rPr>
        <b val="true"/>
        <sz val="10"/>
        <rFont val="Arial"/>
        <family val="0"/>
        <charset val="1"/>
      </rPr>
      <t xml:space="preserve">(</t>
    </r>
    <r>
      <rPr>
        <b val="true"/>
        <sz val="10"/>
        <rFont val="WenQuanYi Zen Hei"/>
        <family val="2"/>
      </rPr>
      <t xml:space="preserve">창당 → 총리</t>
    </r>
    <r>
      <rPr>
        <b val="true"/>
        <sz val="10"/>
        <rFont val="Arial"/>
        <family val="0"/>
        <charset val="1"/>
      </rPr>
      <t xml:space="preserve">)</t>
    </r>
  </si>
  <si>
    <t xml:space="preserve">단계</t>
  </si>
  <si>
    <t xml:space="preserve">부·화</t>
  </si>
  <si>
    <t xml:space="preserve">이야기 사건</t>
  </si>
  <si>
    <r>
      <rPr>
        <sz val="10"/>
        <rFont val="Arial"/>
        <family val="0"/>
        <charset val="1"/>
      </rPr>
      <t xml:space="preserve">8</t>
    </r>
    <r>
      <rPr>
        <sz val="10"/>
        <rFont val="WenQuanYi Zen Hei"/>
        <family val="2"/>
      </rPr>
      <t xml:space="preserve">부 </t>
    </r>
    <r>
      <rPr>
        <sz val="10"/>
        <rFont val="Arial"/>
        <family val="0"/>
        <charset val="1"/>
      </rPr>
      <t xml:space="preserve">1~4</t>
    </r>
    <r>
      <rPr>
        <sz val="10"/>
        <rFont val="WenQuanYi Zen Hei"/>
        <family val="2"/>
      </rPr>
      <t xml:space="preserve">화</t>
    </r>
  </si>
  <si>
    <r>
      <rPr>
        <sz val="10"/>
        <rFont val="Arial"/>
        <family val="0"/>
        <charset val="1"/>
      </rPr>
      <t xml:space="preserve">San Giovanni </t>
    </r>
    <r>
      <rPr>
        <sz val="10"/>
        <rFont val="WenQuanYi Zen Hei"/>
        <family val="2"/>
      </rPr>
      <t xml:space="preserve">집회 → 폐지 국민투표 서명 </t>
    </r>
    <r>
      <rPr>
        <sz val="10"/>
        <rFont val="Arial"/>
        <family val="0"/>
        <charset val="1"/>
      </rPr>
      <t xml:space="preserve">50</t>
    </r>
    <r>
      <rPr>
        <sz val="10"/>
        <rFont val="WenQuanYi Zen Hei"/>
        <family val="2"/>
      </rPr>
      <t xml:space="preserve">만 → 정족수 미달로 무효</t>
    </r>
  </si>
  <si>
    <t xml:space="preserve">집회 사전 통지(3일), 헌법 제75조, 헌법재판소 허용 심사</t>
  </si>
  <si>
    <t xml:space="preserve">기획 지식</t>
  </si>
  <si>
    <r>
      <rPr>
        <sz val="10"/>
        <rFont val="Arial"/>
        <family val="0"/>
        <charset val="1"/>
      </rPr>
      <t xml:space="preserve">8</t>
    </r>
    <r>
      <rPr>
        <sz val="10"/>
        <rFont val="WenQuanYi Zen Hei"/>
        <family val="2"/>
      </rPr>
      <t xml:space="preserve">부 </t>
    </r>
    <r>
      <rPr>
        <sz val="10"/>
        <rFont val="Arial"/>
        <family val="0"/>
        <charset val="1"/>
      </rPr>
      <t xml:space="preserve">5~7</t>
    </r>
    <r>
      <rPr>
        <sz val="10"/>
        <rFont val="WenQuanYi Zen Hei"/>
        <family val="2"/>
      </rPr>
      <t xml:space="preserve">화</t>
    </r>
  </si>
  <si>
    <t xml:space="preserve">정당 «Casa Comune» 창당</t>
  </si>
  <si>
    <t xml:space="preserve">공증인 앞 설립 문서·정관, 국가 정당 등록부(d.l. 149/2013), 후원 공개(legge 3/2019)</t>
  </si>
  <si>
    <r>
      <rPr>
        <sz val="10"/>
        <rFont val="Arial"/>
        <family val="0"/>
        <charset val="1"/>
      </rPr>
      <t xml:space="preserve">8</t>
    </r>
    <r>
      <rPr>
        <sz val="10"/>
        <rFont val="WenQuanYi Zen Hei"/>
        <family val="2"/>
      </rPr>
      <t xml:space="preserve">부 </t>
    </r>
    <r>
      <rPr>
        <sz val="10"/>
        <rFont val="Arial"/>
        <family val="0"/>
        <charset val="1"/>
      </rPr>
      <t xml:space="preserve">8~12</t>
    </r>
    <r>
      <rPr>
        <sz val="10"/>
        <rFont val="WenQuanYi Zen Hei"/>
        <family val="2"/>
      </rPr>
      <t xml:space="preserve">화</t>
    </r>
  </si>
  <si>
    <t xml:space="preserve">첫 로마 시의회·라치오 주의회 선거, 시의회 48석 중 5석·주의회 진출 (가상 수치)</t>
  </si>
  <si>
    <t xml:space="preserve">시장 직선·결선, 과반 보너스, 문턱 3%, 성별 균형 명부, 정정권</t>
  </si>
  <si>
    <t xml:space="preserve">의석·문턱 확인 필요</t>
  </si>
  <si>
    <t xml:space="preserve">결선에서 다른 당 시장 당선, 낙선 시장 후보 Alessandro는 시의원으로</t>
  </si>
  <si>
    <r>
      <rPr>
        <sz val="10"/>
        <rFont val="Arial"/>
        <family val="0"/>
        <charset val="1"/>
      </rPr>
      <t xml:space="preserve">TUEL </t>
    </r>
    <r>
      <rPr>
        <sz val="10"/>
        <rFont val="WenQuanYi Zen Hei"/>
        <family val="2"/>
      </rPr>
      <t xml:space="preserve">제</t>
    </r>
    <r>
      <rPr>
        <sz val="10"/>
        <rFont val="Arial"/>
        <family val="0"/>
        <charset val="1"/>
      </rPr>
      <t xml:space="preserve">72·73</t>
    </r>
    <r>
      <rPr>
        <sz val="10"/>
        <rFont val="WenQuanYi Zen Hei"/>
        <family val="2"/>
      </rPr>
      <t xml:space="preserve">조</t>
    </r>
  </si>
  <si>
    <t xml:space="preserve">조항 확인 필요</t>
  </si>
  <si>
    <t xml:space="preserve">5</t>
  </si>
  <si>
    <r>
      <rPr>
        <sz val="10"/>
        <rFont val="Arial"/>
        <family val="0"/>
        <charset val="1"/>
      </rPr>
      <t xml:space="preserve">9</t>
    </r>
    <r>
      <rPr>
        <sz val="10"/>
        <rFont val="WenQuanYi Zen Hei"/>
        <family val="2"/>
      </rPr>
      <t xml:space="preserve">부 </t>
    </r>
    <r>
      <rPr>
        <sz val="10"/>
        <rFont val="Arial"/>
        <family val="0"/>
        <charset val="1"/>
      </rPr>
      <t xml:space="preserve">2~11</t>
    </r>
    <r>
      <rPr>
        <sz val="10"/>
        <rFont val="WenQuanYi Zen Hei"/>
        <family val="2"/>
      </rPr>
      <t xml:space="preserve">화</t>
    </r>
  </si>
  <si>
    <r>
      <rPr>
        <sz val="10"/>
        <rFont val="Arial"/>
        <family val="0"/>
        <charset val="1"/>
      </rPr>
      <t xml:space="preserve">Alessandro</t>
    </r>
    <r>
      <rPr>
        <sz val="10"/>
        <rFont val="WenQuanYi Zen Hei"/>
        <family val="2"/>
      </rPr>
      <t xml:space="preserve">는 시의회</t>
    </r>
    <r>
      <rPr>
        <sz val="10"/>
        <rFont val="Arial"/>
        <family val="0"/>
        <charset val="1"/>
      </rPr>
      <t xml:space="preserve">(</t>
    </r>
    <r>
      <rPr>
        <sz val="10"/>
        <rFont val="WenQuanYi Zen Hei"/>
        <family val="2"/>
      </rPr>
      <t xml:space="preserve">예산</t>
    </r>
    <r>
      <rPr>
        <sz val="10"/>
        <rFont val="Arial"/>
        <family val="0"/>
        <charset val="1"/>
      </rPr>
      <t xml:space="preserve">·</t>
    </r>
    <r>
      <rPr>
        <sz val="10"/>
        <rFont val="WenQuanYi Zen Hei"/>
        <family val="2"/>
      </rPr>
      <t xml:space="preserve">계약</t>
    </r>
    <r>
      <rPr>
        <sz val="10"/>
        <rFont val="Arial"/>
        <family val="0"/>
        <charset val="1"/>
      </rPr>
      <t xml:space="preserve">), Giulia</t>
    </r>
    <r>
      <rPr>
        <sz val="10"/>
        <rFont val="WenQuanYi Zen Hei"/>
        <family val="2"/>
      </rPr>
      <t xml:space="preserve">는 주의회</t>
    </r>
    <r>
      <rPr>
        <sz val="10"/>
        <rFont val="Arial"/>
        <family val="0"/>
        <charset val="1"/>
      </rPr>
      <t xml:space="preserve">(</t>
    </r>
    <r>
      <rPr>
        <sz val="10"/>
        <rFont val="WenQuanYi Zen Hei"/>
        <family val="2"/>
      </rPr>
      <t xml:space="preserve">보건</t>
    </r>
    <r>
      <rPr>
        <sz val="10"/>
        <rFont val="Arial"/>
        <family val="0"/>
        <charset val="1"/>
      </rPr>
      <t xml:space="preserve">)</t>
    </r>
    <r>
      <rPr>
        <sz val="10"/>
        <rFont val="WenQuanYi Zen Hei"/>
        <family val="2"/>
      </rPr>
      <t xml:space="preserve">에서 활동</t>
    </r>
    <r>
      <rPr>
        <sz val="10"/>
        <rFont val="Arial"/>
        <family val="0"/>
        <charset val="1"/>
      </rPr>
      <t xml:space="preserve">. </t>
    </r>
    <r>
      <rPr>
        <sz val="10"/>
        <rFont val="WenQuanYi Zen Hei"/>
        <family val="2"/>
      </rPr>
      <t xml:space="preserve">스캔들 폭로</t>
    </r>
    <r>
      <rPr>
        <sz val="10"/>
        <rFont val="Arial"/>
        <family val="0"/>
        <charset val="1"/>
      </rPr>
      <t xml:space="preserve">, </t>
    </r>
    <r>
      <rPr>
        <sz val="10"/>
        <rFont val="WenQuanYi Zen Hei"/>
        <family val="2"/>
      </rPr>
      <t xml:space="preserve">검찰 고발</t>
    </r>
  </si>
  <si>
    <t xml:space="preserve">보건·도시계획은 국가–주 공동 권한(헌법 제117조), d.lgs. 24/2023, 형사소송법 제191조</t>
  </si>
  <si>
    <t xml:space="preserve">6</t>
  </si>
  <si>
    <r>
      <rPr>
        <sz val="10"/>
        <rFont val="Arial"/>
        <family val="0"/>
        <charset val="1"/>
      </rPr>
      <t xml:space="preserve">9</t>
    </r>
    <r>
      <rPr>
        <sz val="10"/>
        <rFont val="WenQuanYi Zen Hei"/>
        <family val="2"/>
      </rPr>
      <t xml:space="preserve">부 </t>
    </r>
    <r>
      <rPr>
        <sz val="10"/>
        <rFont val="Arial"/>
        <family val="0"/>
        <charset val="1"/>
      </rPr>
      <t xml:space="preserve">12</t>
    </r>
    <r>
      <rPr>
        <sz val="10"/>
        <rFont val="WenQuanYi Zen Hei"/>
        <family val="2"/>
      </rPr>
      <t xml:space="preserve">화</t>
    </r>
  </si>
  <si>
    <r>
      <rPr>
        <sz val="10"/>
        <rFont val="Arial"/>
        <family val="0"/>
        <charset val="1"/>
      </rPr>
      <t xml:space="preserve">UCN </t>
    </r>
    <r>
      <rPr>
        <sz val="10"/>
        <rFont val="WenQuanYi Zen Hei"/>
        <family val="2"/>
      </rPr>
      <t xml:space="preserve">정부가 예산 신임 투표에서 패배 → 대통령이 해산</t>
    </r>
  </si>
  <si>
    <t xml:space="preserve">해산: 대통령이 양원 의장 의견 청취 후(헌법 제88조). 명부 제출 서명 필요</t>
  </si>
  <si>
    <t xml:space="preserve">7</t>
  </si>
  <si>
    <r>
      <rPr>
        <sz val="10"/>
        <rFont val="Arial"/>
        <family val="0"/>
        <charset val="1"/>
      </rPr>
      <t xml:space="preserve">10</t>
    </r>
    <r>
      <rPr>
        <sz val="10"/>
        <rFont val="WenQuanYi Zen Hei"/>
        <family val="2"/>
      </rPr>
      <t xml:space="preserve">부 </t>
    </r>
    <r>
      <rPr>
        <sz val="10"/>
        <rFont val="Arial"/>
        <family val="0"/>
        <charset val="1"/>
      </rPr>
      <t xml:space="preserve">1~4</t>
    </r>
    <r>
      <rPr>
        <sz val="10"/>
        <rFont val="WenQuanYi Zen Hei"/>
        <family val="2"/>
      </rPr>
      <t xml:space="preserve">화</t>
    </r>
  </si>
  <si>
    <t xml:space="preserve">총선 1차: 캠페인, TV 토론, 결과 CC 하원 70석 3위 (아래 A블록)</t>
  </si>
  <si>
    <t xml:space="preserve">해산 후 70일 이내 선거, 하원 400석·상원 200석, 문턱 3%</t>
  </si>
  <si>
    <t xml:space="preserve">8</t>
  </si>
  <si>
    <t xml:space="preserve">개원, 양원 의장 선출, CC 교섭단체 구성</t>
  </si>
  <si>
    <t xml:space="preserve">교섭단체 최소 인원 (CC 70석이라 충족)</t>
  </si>
  <si>
    <t xml:space="preserve">인원 요건 확인 필요</t>
  </si>
  <si>
    <t xml:space="preserve">9</t>
  </si>
  <si>
    <r>
      <rPr>
        <sz val="10"/>
        <rFont val="Arial"/>
        <family val="0"/>
        <charset val="1"/>
      </rPr>
      <t xml:space="preserve">10</t>
    </r>
    <r>
      <rPr>
        <sz val="10"/>
        <rFont val="WenQuanYi Zen Hei"/>
        <family val="2"/>
      </rPr>
      <t xml:space="preserve">부 </t>
    </r>
    <r>
      <rPr>
        <sz val="10"/>
        <rFont val="Arial"/>
        <family val="0"/>
        <charset val="1"/>
      </rPr>
      <t xml:space="preserve">6~7</t>
    </r>
    <r>
      <rPr>
        <sz val="10"/>
        <rFont val="WenQuanYi Zen Hei"/>
        <family val="2"/>
      </rPr>
      <t xml:space="preserve">화</t>
    </r>
  </si>
  <si>
    <t xml:space="preserve">대통령 협의 → UCN 지도자 조각 위임 → 선서 → 하원 신임 부결 (A블록)</t>
  </si>
  <si>
    <t xml:space="preserve">헌법 제92~94조: 선서 후 10일 안에 양원 신임, 찬성&gt;반대</t>
  </si>
  <si>
    <t xml:space="preserve">검색 확인 (선례)</t>
  </si>
  <si>
    <t xml:space="preserve">10</t>
  </si>
  <si>
    <r>
      <rPr>
        <sz val="10"/>
        <rFont val="Arial"/>
        <family val="0"/>
        <charset val="1"/>
      </rPr>
      <t xml:space="preserve">10</t>
    </r>
    <r>
      <rPr>
        <sz val="10"/>
        <rFont val="WenQuanYi Zen Hei"/>
        <family val="2"/>
      </rPr>
      <t xml:space="preserve">부 </t>
    </r>
    <r>
      <rPr>
        <sz val="10"/>
        <rFont val="Arial"/>
        <family val="0"/>
        <charset val="1"/>
      </rPr>
      <t xml:space="preserve">8</t>
    </r>
    <r>
      <rPr>
        <sz val="10"/>
        <rFont val="WenQuanYi Zen Hei"/>
        <family val="2"/>
      </rPr>
      <t xml:space="preserve">화</t>
    </r>
  </si>
  <si>
    <t xml:space="preserve">탐색 위임(상원의장) → 다수파 불성립, 부결된 정부는 일상 업무만</t>
  </si>
  <si>
    <t xml:space="preserve">헌정 관행, 사퇴 정부의 affari correnti</t>
  </si>
  <si>
    <t xml:space="preserve">11</t>
  </si>
  <si>
    <r>
      <rPr>
        <sz val="10"/>
        <rFont val="Arial"/>
        <family val="0"/>
        <charset val="1"/>
      </rPr>
      <t xml:space="preserve">10</t>
    </r>
    <r>
      <rPr>
        <sz val="10"/>
        <rFont val="WenQuanYi Zen Hei"/>
        <family val="2"/>
      </rPr>
      <t xml:space="preserve">부 </t>
    </r>
    <r>
      <rPr>
        <sz val="10"/>
        <rFont val="Arial"/>
        <family val="0"/>
        <charset val="1"/>
      </rPr>
      <t xml:space="preserve">9~10</t>
    </r>
    <r>
      <rPr>
        <sz val="10"/>
        <rFont val="WenQuanYi Zen Hei"/>
        <family val="2"/>
      </rPr>
      <t xml:space="preserve">화</t>
    </r>
  </si>
  <si>
    <t xml:space="preserve">재해산과 재선거: CC 하원 130석 1당이지만 과반 아님 (B블록)</t>
  </si>
  <si>
    <t xml:space="preserve">가상 수치</t>
  </si>
  <si>
    <t xml:space="preserve">12</t>
  </si>
  <si>
    <r>
      <rPr>
        <sz val="10"/>
        <rFont val="Arial"/>
        <family val="0"/>
        <charset val="1"/>
      </rPr>
      <t xml:space="preserve">10</t>
    </r>
    <r>
      <rPr>
        <sz val="10"/>
        <rFont val="WenQuanYi Zen Hei"/>
        <family val="2"/>
      </rPr>
      <t xml:space="preserve">부 </t>
    </r>
    <r>
      <rPr>
        <sz val="10"/>
        <rFont val="Arial"/>
        <family val="0"/>
        <charset val="1"/>
      </rPr>
      <t xml:space="preserve">11</t>
    </r>
    <r>
      <rPr>
        <sz val="10"/>
        <rFont val="WenQuanYi Zen Hei"/>
        <family val="2"/>
      </rPr>
      <t xml:space="preserve">화</t>
    </r>
  </si>
  <si>
    <r>
      <rPr>
        <sz val="10"/>
        <rFont val="Arial"/>
        <family val="0"/>
        <charset val="1"/>
      </rPr>
      <t xml:space="preserve">PPS·</t>
    </r>
    <r>
      <rPr>
        <sz val="10"/>
        <rFont val="WenQuanYi Zen Hei"/>
        <family val="2"/>
      </rPr>
      <t xml:space="preserve">지역정당 연합과 연정 협상 </t>
    </r>
    <r>
      <rPr>
        <sz val="10"/>
        <rFont val="Arial"/>
        <family val="0"/>
        <charset val="1"/>
      </rPr>
      <t xml:space="preserve">(TB</t>
    </r>
    <r>
      <rPr>
        <sz val="10"/>
        <rFont val="WenQuanYi Zen Hei"/>
        <family val="2"/>
      </rPr>
      <t xml:space="preserve">는 차등 자치 가속 요구</t>
    </r>
    <r>
      <rPr>
        <sz val="10"/>
        <rFont val="Arial"/>
        <family val="0"/>
        <charset val="1"/>
      </rPr>
      <t xml:space="preserve">)</t>
    </r>
  </si>
  <si>
    <t xml:space="preserve">연정 협약, legge 86/2024</t>
  </si>
  <si>
    <t xml:space="preserve">13</t>
  </si>
  <si>
    <r>
      <rPr>
        <sz val="10"/>
        <rFont val="Arial"/>
        <family val="0"/>
        <charset val="1"/>
      </rPr>
      <t xml:space="preserve">10</t>
    </r>
    <r>
      <rPr>
        <sz val="10"/>
        <rFont val="WenQuanYi Zen Hei"/>
        <family val="2"/>
      </rPr>
      <t xml:space="preserve">부 </t>
    </r>
    <r>
      <rPr>
        <sz val="10"/>
        <rFont val="Arial"/>
        <family val="0"/>
        <charset val="1"/>
      </rPr>
      <t xml:space="preserve">12</t>
    </r>
    <r>
      <rPr>
        <sz val="10"/>
        <rFont val="WenQuanYi Zen Hei"/>
        <family val="2"/>
      </rPr>
      <t xml:space="preserve">화</t>
    </r>
  </si>
  <si>
    <r>
      <rPr>
        <sz val="10"/>
        <rFont val="Arial"/>
        <family val="0"/>
        <charset val="1"/>
      </rPr>
      <t xml:space="preserve">Marco </t>
    </r>
    <r>
      <rPr>
        <sz val="10"/>
        <rFont val="WenQuanYi Zen Hei"/>
        <family val="2"/>
      </rPr>
      <t xml:space="preserve">조각 위임 → </t>
    </r>
    <r>
      <rPr>
        <sz val="10"/>
        <rFont val="Arial"/>
        <family val="0"/>
        <charset val="1"/>
      </rPr>
      <t xml:space="preserve">Quirinale </t>
    </r>
    <r>
      <rPr>
        <sz val="10"/>
        <rFont val="WenQuanYi Zen Hei"/>
        <family val="2"/>
      </rPr>
      <t xml:space="preserve">선서 → 하원 신임 통과 → 상원 </t>
    </r>
    <r>
      <rPr>
        <sz val="10"/>
        <rFont val="Arial"/>
        <family val="0"/>
        <charset val="1"/>
      </rPr>
      <t xml:space="preserve">1</t>
    </r>
    <r>
      <rPr>
        <sz val="10"/>
        <rFont val="WenQuanYi Zen Hei"/>
        <family val="2"/>
      </rPr>
      <t xml:space="preserve">표 차 신임 </t>
    </r>
    <r>
      <rPr>
        <sz val="10"/>
        <rFont val="Arial"/>
        <family val="0"/>
        <charset val="1"/>
      </rPr>
      <t xml:space="preserve">(B</t>
    </r>
    <r>
      <rPr>
        <sz val="10"/>
        <rFont val="WenQuanYi Zen Hei"/>
        <family val="2"/>
      </rPr>
      <t xml:space="preserve">블록</t>
    </r>
    <r>
      <rPr>
        <sz val="10"/>
        <rFont val="Arial"/>
        <family val="0"/>
        <charset val="1"/>
      </rPr>
      <t xml:space="preserve">)</t>
    </r>
  </si>
  <si>
    <t xml:space="preserve">양원 각각 단순다수 신임, 종신 상원의원 투표권</t>
  </si>
  <si>
    <t xml:space="preserve">14</t>
  </si>
  <si>
    <r>
      <rPr>
        <sz val="10"/>
        <rFont val="Arial"/>
        <family val="0"/>
        <charset val="1"/>
      </rPr>
      <t xml:space="preserve">11</t>
    </r>
    <r>
      <rPr>
        <sz val="10"/>
        <rFont val="WenQuanYi Zen Hei"/>
        <family val="2"/>
      </rPr>
      <t xml:space="preserve">부 </t>
    </r>
    <r>
      <rPr>
        <sz val="10"/>
        <rFont val="Arial"/>
        <family val="0"/>
        <charset val="1"/>
      </rPr>
      <t xml:space="preserve">1</t>
    </r>
    <r>
      <rPr>
        <sz val="10"/>
        <rFont val="WenQuanYi Zen Hei"/>
        <family val="2"/>
      </rPr>
      <t xml:space="preserve">화</t>
    </r>
  </si>
  <si>
    <t xml:space="preserve">첫 국무회의, 장관 임명</t>
  </si>
  <si>
    <t xml:space="preserve">legge 400/1988</t>
  </si>
  <si>
    <t xml:space="preserve">15</t>
  </si>
  <si>
    <r>
      <rPr>
        <sz val="10"/>
        <rFont val="Arial"/>
        <family val="0"/>
        <charset val="1"/>
      </rPr>
      <t xml:space="preserve">11</t>
    </r>
    <r>
      <rPr>
        <sz val="10"/>
        <rFont val="WenQuanYi Zen Hei"/>
        <family val="2"/>
      </rPr>
      <t xml:space="preserve">부 </t>
    </r>
    <r>
      <rPr>
        <sz val="10"/>
        <rFont val="Arial"/>
        <family val="0"/>
        <charset val="1"/>
      </rPr>
      <t xml:space="preserve">2~5·8</t>
    </r>
    <r>
      <rPr>
        <sz val="10"/>
        <rFont val="WenQuanYi Zen Hei"/>
        <family val="2"/>
      </rPr>
      <t xml:space="preserve">화</t>
    </r>
  </si>
  <si>
    <t xml:space="preserve">국정: 주거·보건·이민은 주·지자체와 나눠 가진 권한의 벽, 횡재세는 decreto-legge와 법률 전환</t>
  </si>
  <si>
    <t xml:space="preserve">헌법 제117·77·127조, 국가–주 협의회</t>
  </si>
  <si>
    <t xml:space="preserve">16</t>
  </si>
  <si>
    <t xml:space="preserve">야당이 불신임안 제출 → 부결 (C블록)</t>
  </si>
  <si>
    <t xml:space="preserve">헌법 제94조: 1/10 서명, 3일 뒤 토론, 단순다수</t>
  </si>
  <si>
    <t xml:space="preserve">17</t>
  </si>
  <si>
    <t xml:space="preserve">대규모 홍수(가상): 경보·대피 책임 공방, 국가 비상사태, 민방위·군 투입, 보상</t>
  </si>
  <si>
    <r>
      <rPr>
        <sz val="10"/>
        <rFont val="Arial"/>
        <family val="0"/>
        <charset val="1"/>
      </rPr>
      <t xml:space="preserve">d.lgs. 1/2018, IT-alert, EU </t>
    </r>
    <r>
      <rPr>
        <sz val="10"/>
        <rFont val="WenQuanYi Zen Hei"/>
        <family val="2"/>
      </rPr>
      <t xml:space="preserve">연대기금</t>
    </r>
  </si>
  <si>
    <t xml:space="preserve">18</t>
  </si>
  <si>
    <t xml:space="preserve">예산안 제출 준비 (연금·부채·방위비 사이의 줄타기)</t>
  </si>
  <si>
    <r>
      <rPr>
        <sz val="10"/>
        <rFont val="Arial"/>
        <family val="0"/>
        <charset val="1"/>
      </rPr>
      <t xml:space="preserve">10</t>
    </r>
    <r>
      <rPr>
        <sz val="10"/>
        <rFont val="WenQuanYi Zen Hei"/>
        <family val="2"/>
      </rPr>
      <t xml:space="preserve">월 </t>
    </r>
    <r>
      <rPr>
        <sz val="10"/>
        <rFont val="Arial"/>
        <family val="0"/>
        <charset val="1"/>
      </rPr>
      <t xml:space="preserve">20</t>
    </r>
    <r>
      <rPr>
        <sz val="10"/>
        <rFont val="WenQuanYi Zen Hei"/>
        <family val="2"/>
      </rPr>
      <t xml:space="preserve">일 제출</t>
    </r>
    <r>
      <rPr>
        <sz val="10"/>
        <rFont val="Arial"/>
        <family val="0"/>
        <charset val="1"/>
      </rPr>
      <t xml:space="preserve">, </t>
    </r>
    <r>
      <rPr>
        <sz val="10"/>
        <rFont val="WenQuanYi Zen Hei"/>
        <family val="2"/>
      </rPr>
      <t xml:space="preserve">연말 미통과 시 잠정 집행</t>
    </r>
    <r>
      <rPr>
        <sz val="10"/>
        <rFont val="Arial"/>
        <family val="0"/>
        <charset val="1"/>
      </rPr>
      <t xml:space="preserve">(</t>
    </r>
    <r>
      <rPr>
        <sz val="10"/>
        <rFont val="WenQuanYi Zen Hei"/>
        <family val="2"/>
      </rPr>
      <t xml:space="preserve">헌법 제</t>
    </r>
    <r>
      <rPr>
        <sz val="10"/>
        <rFont val="Arial"/>
        <family val="0"/>
        <charset val="1"/>
      </rPr>
      <t xml:space="preserve">81</t>
    </r>
    <r>
      <rPr>
        <sz val="10"/>
        <rFont val="WenQuanYi Zen Hei"/>
        <family val="2"/>
      </rPr>
      <t xml:space="preserve">조</t>
    </r>
    <r>
      <rPr>
        <sz val="10"/>
        <rFont val="Arial"/>
        <family val="0"/>
        <charset val="1"/>
      </rPr>
      <t xml:space="preserve">)</t>
    </r>
  </si>
  <si>
    <t xml:space="preserve">19</t>
  </si>
  <si>
    <r>
      <rPr>
        <sz val="10"/>
        <rFont val="Arial"/>
        <family val="0"/>
        <charset val="1"/>
      </rPr>
      <t xml:space="preserve">13</t>
    </r>
    <r>
      <rPr>
        <sz val="10"/>
        <rFont val="WenQuanYi Zen Hei"/>
        <family val="2"/>
      </rPr>
      <t xml:space="preserve">부</t>
    </r>
  </si>
  <si>
    <t xml:space="preserve">임기 후반, 사무소를 재단으로 전환</t>
  </si>
  <si>
    <t xml:space="preserve">정부 구성원 이해충돌(legge 215/2004)</t>
  </si>
  <si>
    <r>
      <rPr>
        <b val="true"/>
        <sz val="10"/>
        <rFont val="Arial"/>
        <family val="0"/>
        <charset val="1"/>
      </rPr>
      <t xml:space="preserve">2. </t>
    </r>
    <r>
      <rPr>
        <b val="true"/>
        <sz val="10"/>
        <rFont val="WenQuanYi Zen Hei"/>
        <family val="2"/>
      </rPr>
      <t xml:space="preserve">가상 정당 </t>
    </r>
    <r>
      <rPr>
        <b val="true"/>
        <sz val="10"/>
        <rFont val="Arial"/>
        <family val="0"/>
        <charset val="1"/>
      </rPr>
      <t xml:space="preserve">(</t>
    </r>
    <r>
      <rPr>
        <b val="true"/>
        <sz val="10"/>
        <rFont val="WenQuanYi Zen Hei"/>
        <family val="2"/>
      </rPr>
      <t xml:space="preserve">실존 정당</t>
    </r>
    <r>
      <rPr>
        <b val="true"/>
        <sz val="10"/>
        <rFont val="Arial"/>
        <family val="0"/>
        <charset val="1"/>
      </rPr>
      <t xml:space="preserve">·</t>
    </r>
    <r>
      <rPr>
        <b val="true"/>
        <sz val="10"/>
        <rFont val="WenQuanYi Zen Hei"/>
        <family val="2"/>
      </rPr>
      <t xml:space="preserve">정치인 사용 금지</t>
    </r>
    <r>
      <rPr>
        <b val="true"/>
        <sz val="10"/>
        <rFont val="Arial"/>
        <family val="0"/>
        <charset val="1"/>
      </rPr>
      <t xml:space="preserve">)</t>
    </r>
  </si>
  <si>
    <t xml:space="preserve">정당명 (가상)</t>
  </si>
  <si>
    <t xml:space="preserve">성격</t>
  </si>
  <si>
    <t xml:space="preserve">이야기 속 역할</t>
  </si>
  <si>
    <t xml:space="preserve">CC</t>
  </si>
  <si>
    <t xml:space="preserve">Casa Comune</t>
  </si>
  <si>
    <t xml:space="preserve">주인공 정당. Rosa의 식탁에서 나온 이름</t>
  </si>
  <si>
    <t xml:space="preserve">시민 정당. 창당 → 지방 → 총선 → 총리</t>
  </si>
  <si>
    <t xml:space="preserve">UCN</t>
  </si>
  <si>
    <t xml:space="preserve">Unione Civica Nazionale</t>
  </si>
  <si>
    <t xml:space="preserve">거대 보수 정당</t>
  </si>
  <si>
    <t xml:space="preserve">현직 총리 배출, 1차 총선 1당, 첫 정부가 하원 신임 부결</t>
  </si>
  <si>
    <t xml:space="preserve">PPS</t>
  </si>
  <si>
    <t xml:space="preserve">Partito del Progresso Sociale</t>
  </si>
  <si>
    <t xml:space="preserve">거대 중도좌파 정당</t>
  </si>
  <si>
    <t xml:space="preserve">재선거에서 52석으로 추락, Marco 정부의 연정 파트너</t>
  </si>
  <si>
    <t xml:space="preserve">IU</t>
  </si>
  <si>
    <t xml:space="preserve">Italia Unita</t>
  </si>
  <si>
    <t xml:space="preserve">민족주의 성향 소수당</t>
  </si>
  <si>
    <r>
      <rPr>
        <sz val="10"/>
        <rFont val="Arial"/>
        <family val="0"/>
        <charset val="1"/>
      </rPr>
      <t xml:space="preserve">UCN</t>
    </r>
    <r>
      <rPr>
        <sz val="10"/>
        <rFont val="WenQuanYi Zen Hei"/>
        <family val="2"/>
      </rPr>
      <t xml:space="preserve">과 함께 반대</t>
    </r>
    <r>
      <rPr>
        <sz val="10"/>
        <rFont val="Arial"/>
        <family val="0"/>
        <charset val="1"/>
      </rPr>
      <t xml:space="preserve">·</t>
    </r>
    <r>
      <rPr>
        <sz val="10"/>
        <rFont val="WenQuanYi Zen Hei"/>
        <family val="2"/>
      </rPr>
      <t xml:space="preserve">불신임안 지지</t>
    </r>
  </si>
  <si>
    <t xml:space="preserve">TA</t>
  </si>
  <si>
    <t xml:space="preserve">Coalizione Territoriale A</t>
  </si>
  <si>
    <t xml:space="preserve">남부·섬 지역정당 연합</t>
  </si>
  <si>
    <t xml:space="preserve">조건부 친여 (필수 급부 수준 보장 요구)</t>
  </si>
  <si>
    <t xml:space="preserve">TB</t>
  </si>
  <si>
    <t xml:space="preserve">Coalizione Territoriale B</t>
  </si>
  <si>
    <t xml:space="preserve">북부 자치주의 지역정당 연합</t>
  </si>
  <si>
    <t xml:space="preserve">캐스팅보트: 차등 자치 가속을 조건으로 하원 기권·상원 반대 (협상의 열쇠)</t>
  </si>
  <si>
    <r>
      <rPr>
        <b val="true"/>
        <sz val="10"/>
        <rFont val="Arial"/>
        <family val="0"/>
        <charset val="1"/>
      </rPr>
      <t xml:space="preserve">3-A. </t>
    </r>
    <r>
      <rPr>
        <b val="true"/>
        <sz val="10"/>
        <rFont val="WenQuanYi Zen Hei"/>
        <family val="2"/>
      </rPr>
      <t xml:space="preserve">총선 </t>
    </r>
    <r>
      <rPr>
        <b val="true"/>
        <sz val="10"/>
        <rFont val="Arial"/>
        <family val="0"/>
        <charset val="1"/>
      </rPr>
      <t xml:space="preserve">1</t>
    </r>
    <r>
      <rPr>
        <b val="true"/>
        <sz val="10"/>
        <rFont val="WenQuanYi Zen Hei"/>
        <family val="2"/>
      </rPr>
      <t xml:space="preserve">차 결과와 </t>
    </r>
    <r>
      <rPr>
        <b val="true"/>
        <sz val="10"/>
        <rFont val="Arial"/>
        <family val="0"/>
        <charset val="1"/>
      </rPr>
      <t xml:space="preserve">UCN </t>
    </r>
    <r>
      <rPr>
        <b val="true"/>
        <sz val="10"/>
        <rFont val="WenQuanYi Zen Hei"/>
        <family val="2"/>
      </rPr>
      <t xml:space="preserve">정부의 하원 신임 투표 </t>
    </r>
    <r>
      <rPr>
        <b val="true"/>
        <sz val="10"/>
        <rFont val="Arial"/>
        <family val="0"/>
        <charset val="1"/>
      </rPr>
      <t xml:space="preserve">(</t>
    </r>
    <r>
      <rPr>
        <b val="true"/>
        <sz val="10"/>
        <rFont val="WenQuanYi Zen Hei"/>
        <family val="2"/>
      </rPr>
      <t xml:space="preserve">가상</t>
    </r>
    <r>
      <rPr>
        <b val="true"/>
        <sz val="10"/>
        <rFont val="Arial"/>
        <family val="0"/>
        <charset val="1"/>
      </rPr>
      <t xml:space="preserve">, 10</t>
    </r>
    <r>
      <rPr>
        <b val="true"/>
        <sz val="10"/>
        <rFont val="WenQuanYi Zen Hei"/>
        <family val="2"/>
      </rPr>
      <t xml:space="preserve">부 </t>
    </r>
    <r>
      <rPr>
        <b val="true"/>
        <sz val="10"/>
        <rFont val="Arial"/>
        <family val="0"/>
        <charset val="1"/>
      </rPr>
      <t xml:space="preserve">7</t>
    </r>
    <r>
      <rPr>
        <b val="true"/>
        <sz val="10"/>
        <rFont val="WenQuanYi Zen Hei"/>
        <family val="2"/>
      </rPr>
      <t xml:space="preserve">화</t>
    </r>
    <r>
      <rPr>
        <b val="true"/>
        <sz val="10"/>
        <rFont val="Arial"/>
        <family val="0"/>
        <charset val="1"/>
      </rPr>
      <t xml:space="preserve">)</t>
    </r>
  </si>
  <si>
    <t xml:space="preserve">정당</t>
  </si>
  <si>
    <t xml:space="preserve">의석</t>
  </si>
  <si>
    <t xml:space="preserve">표결</t>
  </si>
  <si>
    <t xml:space="preserve">비고</t>
  </si>
  <si>
    <t xml:space="preserve">Sì</t>
  </si>
  <si>
    <t xml:space="preserve">Astenuto</t>
  </si>
  <si>
    <t xml:space="preserve">총 의석</t>
  </si>
  <si>
    <t xml:space="preserve">절대다수 (참고)</t>
  </si>
  <si>
    <t xml:space="preserve">찬성 (Sì)</t>
  </si>
  <si>
    <t xml:space="preserve">반대 (No)</t>
  </si>
  <si>
    <t xml:space="preserve">기권 (Astenuto)</t>
  </si>
  <si>
    <t xml:space="preserve">불참 (Assente)</t>
  </si>
  <si>
    <t xml:space="preserve">결과</t>
  </si>
  <si>
    <t xml:space="preserve">찬성 &gt; 반대이면 가결 (단순다수)</t>
  </si>
  <si>
    <t xml:space="preserve">해석: UCN 정부는 찬성 185 대 반대 190으로 하원 신임을 얻지 못한다(TB 기권 25). 신임 없는 정부는 사퇴하고 일상 업무만 처리한다. 대통령은 탐색 위임을 시도하지만 다수파가 나오지 않자 양원 의장의 의견을 들어 해산한다(헌법 제88조). 첫 정부가 신임 투표에서 부결된 실제 선례가 있다(1987년 등).</t>
  </si>
  <si>
    <r>
      <rPr>
        <b val="true"/>
        <sz val="10"/>
        <rFont val="Arial"/>
        <family val="0"/>
        <charset val="1"/>
      </rPr>
      <t xml:space="preserve">3-B. </t>
    </r>
    <r>
      <rPr>
        <b val="true"/>
        <sz val="10"/>
        <rFont val="WenQuanYi Zen Hei"/>
        <family val="2"/>
      </rPr>
      <t xml:space="preserve">재선거 결과와 </t>
    </r>
    <r>
      <rPr>
        <b val="true"/>
        <sz val="10"/>
        <rFont val="Arial"/>
        <family val="0"/>
        <charset val="1"/>
      </rPr>
      <t xml:space="preserve">Marco </t>
    </r>
    <r>
      <rPr>
        <b val="true"/>
        <sz val="10"/>
        <rFont val="WenQuanYi Zen Hei"/>
        <family val="2"/>
      </rPr>
      <t xml:space="preserve">정부의 양원 신임 투표 </t>
    </r>
    <r>
      <rPr>
        <b val="true"/>
        <sz val="10"/>
        <rFont val="Arial"/>
        <family val="0"/>
        <charset val="1"/>
      </rPr>
      <t xml:space="preserve">(</t>
    </r>
    <r>
      <rPr>
        <b val="true"/>
        <sz val="10"/>
        <rFont val="WenQuanYi Zen Hei"/>
        <family val="2"/>
      </rPr>
      <t xml:space="preserve">가상</t>
    </r>
    <r>
      <rPr>
        <b val="true"/>
        <sz val="10"/>
        <rFont val="Arial"/>
        <family val="0"/>
        <charset val="1"/>
      </rPr>
      <t xml:space="preserve">, 10</t>
    </r>
    <r>
      <rPr>
        <b val="true"/>
        <sz val="10"/>
        <rFont val="WenQuanYi Zen Hei"/>
        <family val="2"/>
      </rPr>
      <t xml:space="preserve">부 </t>
    </r>
    <r>
      <rPr>
        <b val="true"/>
        <sz val="10"/>
        <rFont val="Arial"/>
        <family val="0"/>
        <charset val="1"/>
      </rPr>
      <t xml:space="preserve">12</t>
    </r>
    <r>
      <rPr>
        <b val="true"/>
        <sz val="10"/>
        <rFont val="WenQuanYi Zen Hei"/>
        <family val="2"/>
      </rPr>
      <t xml:space="preserve">화</t>
    </r>
    <r>
      <rPr>
        <b val="true"/>
        <sz val="10"/>
        <rFont val="Arial"/>
        <family val="0"/>
        <charset val="1"/>
      </rPr>
      <t xml:space="preserve">)</t>
    </r>
  </si>
  <si>
    <t xml:space="preserve">하원 의석</t>
  </si>
  <si>
    <t xml:space="preserve">하원 표결</t>
  </si>
  <si>
    <t xml:space="preserve">상원 의석</t>
  </si>
  <si>
    <t xml:space="preserve">상원 표결</t>
  </si>
  <si>
    <t xml:space="preserve">종신 상원의원 (찬성)</t>
  </si>
  <si>
    <t xml:space="preserve">종신 상원의원 (반대)</t>
  </si>
  <si>
    <t xml:space="preserve">종신 상원의원 (불참)</t>
  </si>
  <si>
    <t xml:space="preserve">Assente</t>
  </si>
  <si>
    <t xml:space="preserve">선출 의석 합계</t>
  </si>
  <si>
    <t xml:space="preserve">종신 상원의원</t>
  </si>
  <si>
    <t xml:space="preserve">투표권 있음 (가상 5명)</t>
  </si>
  <si>
    <t xml:space="preserve">상원 표 차</t>
  </si>
  <si>
    <t xml:space="preserve">해석: 하원은 CC·PPS·TA의 202표로 여유 있게 통과(TB 기권). 상원에서는 TB가 차등 자치 조건을 이유로 반대로 돌아서 선출 의원만으로는 100 대 100 동수 — 종신 상원의원 두 명의 찬성과 한 명의 반대로 102 대 101, 1표 차로 신임이 가결된다. 종신 상원의원의 표가 정부의 운명을 가른 실제 사례(2006년 등)가 있다.</t>
  </si>
  <si>
    <r>
      <rPr>
        <b val="true"/>
        <sz val="10"/>
        <rFont val="Arial"/>
        <family val="0"/>
        <charset val="1"/>
      </rPr>
      <t xml:space="preserve">3-C. </t>
    </r>
    <r>
      <rPr>
        <b val="true"/>
        <sz val="10"/>
        <rFont val="WenQuanYi Zen Hei"/>
        <family val="2"/>
      </rPr>
      <t xml:space="preserve">야당의 불신임안 </t>
    </r>
    <r>
      <rPr>
        <b val="true"/>
        <sz val="10"/>
        <rFont val="Arial"/>
        <family val="0"/>
        <charset val="1"/>
      </rPr>
      <t xml:space="preserve">(</t>
    </r>
    <r>
      <rPr>
        <b val="true"/>
        <sz val="10"/>
        <rFont val="WenQuanYi Zen Hei"/>
        <family val="2"/>
      </rPr>
      <t xml:space="preserve">가상</t>
    </r>
    <r>
      <rPr>
        <b val="true"/>
        <sz val="10"/>
        <rFont val="Arial"/>
        <family val="0"/>
        <charset val="1"/>
      </rPr>
      <t xml:space="preserve">, 12</t>
    </r>
    <r>
      <rPr>
        <b val="true"/>
        <sz val="10"/>
        <rFont val="WenQuanYi Zen Hei"/>
        <family val="2"/>
      </rPr>
      <t xml:space="preserve">부 </t>
    </r>
    <r>
      <rPr>
        <b val="true"/>
        <sz val="10"/>
        <rFont val="Arial"/>
        <family val="0"/>
        <charset val="1"/>
      </rPr>
      <t xml:space="preserve">7</t>
    </r>
    <r>
      <rPr>
        <b val="true"/>
        <sz val="10"/>
        <rFont val="WenQuanYi Zen Hei"/>
        <family val="2"/>
      </rPr>
      <t xml:space="preserve">화</t>
    </r>
    <r>
      <rPr>
        <b val="true"/>
        <sz val="10"/>
        <rFont val="Arial"/>
        <family val="0"/>
        <charset val="1"/>
      </rPr>
      <t xml:space="preserve">, </t>
    </r>
    <r>
      <rPr>
        <b val="true"/>
        <sz val="10"/>
        <rFont val="WenQuanYi Zen Hei"/>
        <family val="2"/>
      </rPr>
      <t xml:space="preserve">하원</t>
    </r>
    <r>
      <rPr>
        <b val="true"/>
        <sz val="10"/>
        <rFont val="Arial"/>
        <family val="0"/>
        <charset val="1"/>
      </rPr>
      <t xml:space="preserve">)</t>
    </r>
  </si>
  <si>
    <t xml:space="preserve">찬성 &gt; 반대이면 가결 (대안 후보 불필요)</t>
  </si>
  <si>
    <t xml:space="preserve">발의 필요 서명 (1/10)</t>
  </si>
  <si>
    <t xml:space="preserve">해석: 발의 요건(40명)은 UCN 단독으로 충족하지만, 찬성 160 대 반대 202로 부결(TB 기권 38). 제출 후 3일이 지나야 토론할 수 있고 호명 투표로 표결한다. PPS(52석)가 돌아서면 찬성 212 대 반대 150으로 가결될 수 있다는 긴장이 이 화의 서스펜스.</t>
  </si>
  <si>
    <r>
      <rPr>
        <b val="true"/>
        <sz val="10"/>
        <rFont val="Arial"/>
        <family val="0"/>
        <charset val="1"/>
      </rPr>
      <t xml:space="preserve">4. </t>
    </r>
    <r>
      <rPr>
        <b val="true"/>
        <sz val="10"/>
        <rFont val="WenQuanYi Zen Hei"/>
        <family val="2"/>
      </rPr>
      <t xml:space="preserve">이야기 속 엑스트라 화자 </t>
    </r>
    <r>
      <rPr>
        <b val="true"/>
        <sz val="10"/>
        <rFont val="Arial"/>
        <family val="0"/>
        <charset val="1"/>
      </rPr>
      <t xml:space="preserve">(</t>
    </r>
    <r>
      <rPr>
        <b val="true"/>
        <sz val="10"/>
        <rFont val="WenQuanYi Zen Hei"/>
        <family val="2"/>
      </rPr>
      <t xml:space="preserve">전부 가상</t>
    </r>
    <r>
      <rPr>
        <b val="true"/>
        <sz val="10"/>
        <rFont val="Arial"/>
        <family val="0"/>
        <charset val="1"/>
      </rPr>
      <t xml:space="preserve">)</t>
    </r>
  </si>
  <si>
    <r>
      <rPr>
        <sz val="10"/>
        <rFont val="Arial"/>
        <family val="0"/>
        <charset val="1"/>
      </rPr>
      <t xml:space="preserve">PRESIDENTE DELLA CAMERA / PRESIDENTE DEL SENATO(</t>
    </r>
    <r>
      <rPr>
        <sz val="10"/>
        <rFont val="WenQuanYi Zen Hei"/>
        <family val="2"/>
      </rPr>
      <t xml:space="preserve">표결 결과를 낭독</t>
    </r>
    <r>
      <rPr>
        <sz val="10"/>
        <rFont val="Arial"/>
        <family val="0"/>
        <charset val="1"/>
      </rPr>
      <t xml:space="preserve">), SINDACO / SINDACA(</t>
    </r>
    <r>
      <rPr>
        <sz val="10"/>
        <rFont val="WenQuanYi Zen Hei"/>
        <family val="2"/>
      </rPr>
      <t xml:space="preserve">가상</t>
    </r>
    <r>
      <rPr>
        <sz val="10"/>
        <rFont val="Arial"/>
        <family val="0"/>
        <charset val="1"/>
      </rPr>
      <t xml:space="preserve">), PRESIDENTE DEL CONSIGLIO USCENTE(UCN, </t>
    </r>
    <r>
      <rPr>
        <sz val="10"/>
        <rFont val="WenQuanYi Zen Hei"/>
        <family val="2"/>
      </rPr>
      <t xml:space="preserve">가상</t>
    </r>
    <r>
      <rPr>
        <sz val="10"/>
        <rFont val="Arial"/>
        <family val="0"/>
        <charset val="1"/>
      </rPr>
      <t xml:space="preserve">), MODERATRICE(TV </t>
    </r>
    <r>
      <rPr>
        <sz val="10"/>
        <rFont val="WenQuanYi Zen Hei"/>
        <family val="2"/>
      </rPr>
      <t xml:space="preserve">토론</t>
    </r>
    <r>
      <rPr>
        <sz val="10"/>
        <rFont val="Arial"/>
        <family val="0"/>
        <charset val="1"/>
      </rPr>
      <t xml:space="preserve">), NOTAIO(13</t>
    </r>
    <r>
      <rPr>
        <sz val="10"/>
        <rFont val="WenQuanYi Zen Hei"/>
        <family val="2"/>
      </rPr>
      <t xml:space="preserve">부 유언장</t>
    </r>
    <r>
      <rPr>
        <sz val="10"/>
        <rFont val="Arial"/>
        <family val="0"/>
        <charset val="1"/>
      </rPr>
      <t xml:space="preserve">). </t>
    </r>
    <r>
      <rPr>
        <sz val="10"/>
        <rFont val="WenQuanYi Zen Hei"/>
        <family val="2"/>
      </rPr>
      <t xml:space="preserve">대통령</t>
    </r>
    <r>
      <rPr>
        <sz val="10"/>
        <rFont val="Arial"/>
        <family val="0"/>
        <charset val="1"/>
      </rPr>
      <t xml:space="preserve">(Presidente della Repubblica)</t>
    </r>
    <r>
      <rPr>
        <sz val="10"/>
        <rFont val="WenQuanYi Zen Hei"/>
        <family val="2"/>
      </rPr>
      <t xml:space="preserve">은 직접 대사를 주지 않고</t>
    </r>
    <r>
      <rPr>
        <sz val="10"/>
        <rFont val="Arial"/>
        <family val="0"/>
        <charset val="1"/>
      </rPr>
      <t xml:space="preserve">, </t>
    </r>
    <r>
      <rPr>
        <sz val="10"/>
        <rFont val="WenQuanYi Zen Hei"/>
        <family val="2"/>
      </rPr>
      <t xml:space="preserve">협의</t>
    </r>
    <r>
      <rPr>
        <sz val="10"/>
        <rFont val="Arial"/>
        <family val="0"/>
        <charset val="1"/>
      </rPr>
      <t xml:space="preserve">·</t>
    </r>
    <r>
      <rPr>
        <sz val="10"/>
        <rFont val="WenQuanYi Zen Hei"/>
        <family val="2"/>
      </rPr>
      <t xml:space="preserve">조각 위임 결과는 대통령실 사무총장의 발표문</t>
    </r>
    <r>
      <rPr>
        <sz val="10"/>
        <rFont val="Arial"/>
        <family val="0"/>
        <charset val="1"/>
      </rPr>
      <t xml:space="preserve">(</t>
    </r>
    <r>
      <rPr>
        <sz val="10"/>
        <rFont val="WenQuanYi Zen Hei"/>
        <family val="2"/>
      </rPr>
      <t xml:space="preserve">가상</t>
    </r>
    <r>
      <rPr>
        <sz val="10"/>
        <rFont val="Arial"/>
        <family val="0"/>
        <charset val="1"/>
      </rPr>
      <t xml:space="preserve">)</t>
    </r>
    <r>
      <rPr>
        <sz val="10"/>
        <rFont val="WenQuanYi Zen Hei"/>
        <family val="2"/>
      </rPr>
      <t xml:space="preserve">이나 인물들의 대사로 전달한다</t>
    </r>
    <r>
      <rPr>
        <sz val="10"/>
        <rFont val="Arial"/>
        <family val="0"/>
        <charset val="1"/>
      </rPr>
      <t xml:space="preserve">. </t>
    </r>
    <r>
      <rPr>
        <sz val="10"/>
        <rFont val="WenQuanYi Zen Hei"/>
        <family val="2"/>
      </rPr>
      <t xml:space="preserve">실존 정치인</t>
    </r>
    <r>
      <rPr>
        <sz val="10"/>
        <rFont val="Arial"/>
        <family val="0"/>
        <charset val="1"/>
      </rPr>
      <t xml:space="preserve">·</t>
    </r>
    <r>
      <rPr>
        <sz val="10"/>
        <rFont val="WenQuanYi Zen Hei"/>
        <family val="2"/>
      </rPr>
      <t xml:space="preserve">정당명은 쓰지 않는다</t>
    </r>
    <r>
      <rPr>
        <sz val="10"/>
        <rFont val="Arial"/>
        <family val="0"/>
        <charset val="1"/>
      </rPr>
      <t xml:space="preserve">.</t>
    </r>
  </si>
  <si>
    <t xml:space="preserve">호칭 규칙 (tu / Lei / voi / Loro)</t>
  </si>
  <si>
    <t xml:space="preserve">표준 이탈리아어 기준. 격식 복수 Loro는 현대 구어에서 거의 쓰지 않으므로 Cesare의 고풍 캐릭터 장치로만 사용. 2~5부 '사무소 프레임 장면'은 1부와 같은 규칙을 따른다.</t>
  </si>
  <si>
    <t xml:space="preserve">화자 → 청자</t>
  </si>
  <si>
    <r>
      <rPr>
        <b val="true"/>
        <sz val="10"/>
        <color rgb="FFFFFFFF"/>
        <rFont val="Arial"/>
        <family val="0"/>
        <charset val="1"/>
      </rPr>
      <t xml:space="preserve">1</t>
    </r>
    <r>
      <rPr>
        <b val="true"/>
        <sz val="10"/>
        <color rgb="FFFFFFFF"/>
        <rFont val="WenQuanYi Zen Hei"/>
        <family val="2"/>
      </rPr>
      <t xml:space="preserve">부 </t>
    </r>
    <r>
      <rPr>
        <b val="true"/>
        <sz val="10"/>
        <color rgb="FFFFFFFF"/>
        <rFont val="Arial"/>
        <family val="0"/>
        <charset val="1"/>
      </rPr>
      <t xml:space="preserve">(</t>
    </r>
    <r>
      <rPr>
        <b val="true"/>
        <sz val="10"/>
        <color rgb="FFFFFFFF"/>
        <rFont val="WenQuanYi Zen Hei"/>
        <family val="2"/>
      </rPr>
      <t xml:space="preserve">현재</t>
    </r>
    <r>
      <rPr>
        <b val="true"/>
        <sz val="10"/>
        <color rgb="FFFFFFFF"/>
        <rFont val="Arial"/>
        <family val="0"/>
        <charset val="1"/>
      </rPr>
      <t xml:space="preserve">)</t>
    </r>
  </si>
  <si>
    <r>
      <rPr>
        <b val="true"/>
        <sz val="10"/>
        <color rgb="FFFFFFFF"/>
        <rFont val="Arial"/>
        <family val="0"/>
        <charset val="1"/>
      </rPr>
      <t xml:space="preserve">2~5</t>
    </r>
    <r>
      <rPr>
        <b val="true"/>
        <sz val="10"/>
        <color rgb="FFFFFFFF"/>
        <rFont val="WenQuanYi Zen Hei"/>
        <family val="2"/>
      </rPr>
      <t xml:space="preserve">부 </t>
    </r>
    <r>
      <rPr>
        <b val="true"/>
        <sz val="10"/>
        <color rgb="FFFFFFFF"/>
        <rFont val="Arial"/>
        <family val="0"/>
        <charset val="1"/>
      </rPr>
      <t xml:space="preserve">(</t>
    </r>
    <r>
      <rPr>
        <b val="true"/>
        <sz val="10"/>
        <color rgb="FFFFFFFF"/>
        <rFont val="WenQuanYi Zen Hei"/>
        <family val="2"/>
      </rPr>
      <t xml:space="preserve">각자의 과거</t>
    </r>
    <r>
      <rPr>
        <b val="true"/>
        <sz val="10"/>
        <color rgb="FFFFFFFF"/>
        <rFont val="Arial"/>
        <family val="0"/>
        <charset val="1"/>
      </rPr>
      <t xml:space="preserve">)</t>
    </r>
  </si>
  <si>
    <r>
      <rPr>
        <b val="true"/>
        <sz val="10"/>
        <color rgb="FFFFFFFF"/>
        <rFont val="Arial"/>
        <family val="0"/>
        <charset val="1"/>
      </rPr>
      <t xml:space="preserve">6</t>
    </r>
    <r>
      <rPr>
        <b val="true"/>
        <sz val="10"/>
        <color rgb="FFFFFFFF"/>
        <rFont val="WenQuanYi Zen Hei"/>
        <family val="2"/>
      </rPr>
      <t xml:space="preserve">부 이후</t>
    </r>
  </si>
  <si>
    <t xml:space="preserve">주력 4인 상호</t>
  </si>
  <si>
    <t xml:space="preserve">tu</t>
  </si>
  <si>
    <r>
      <rPr>
        <sz val="10"/>
        <rFont val="Arial"/>
        <family val="0"/>
        <charset val="1"/>
      </rPr>
      <t xml:space="preserve">Lei (</t>
    </r>
    <r>
      <rPr>
        <sz val="10"/>
        <rFont val="WenQuanYi Zen Hei"/>
        <family val="2"/>
      </rPr>
      <t xml:space="preserve">만나기 전이라</t>
    </r>
    <r>
      <rPr>
        <sz val="10"/>
        <rFont val="Arial"/>
        <family val="0"/>
        <charset val="1"/>
      </rPr>
      <t xml:space="preserve">)</t>
    </r>
  </si>
  <si>
    <r>
      <rPr>
        <sz val="10"/>
        <rFont val="Arial"/>
        <family val="0"/>
        <charset val="1"/>
      </rPr>
      <t xml:space="preserve">6</t>
    </r>
    <r>
      <rPr>
        <sz val="10"/>
        <rFont val="WenQuanYi Zen Hei"/>
        <family val="2"/>
      </rPr>
      <t xml:space="preserve">부 만남을 기점으로 전환 — </t>
    </r>
    <r>
      <rPr>
        <sz val="10"/>
        <rFont val="Arial"/>
        <family val="0"/>
        <charset val="1"/>
      </rPr>
      <t xml:space="preserve">«Diamoci del tu.» </t>
    </r>
    <r>
      <rPr>
        <sz val="10"/>
        <rFont val="WenQuanYi Zen Hei"/>
        <family val="2"/>
      </rPr>
      <t xml:space="preserve">같은 전환 순간을 대사로 드러낼 것</t>
    </r>
  </si>
  <si>
    <t xml:space="preserve">주력 4인 → Sofia</t>
  </si>
  <si>
    <r>
      <rPr>
        <sz val="10"/>
        <rFont val="Arial"/>
        <family val="0"/>
        <charset val="1"/>
      </rPr>
      <t xml:space="preserve">tu (</t>
    </r>
    <r>
      <rPr>
        <sz val="10"/>
        <rFont val="WenQuanYi Zen Hei"/>
        <family val="2"/>
      </rPr>
      <t xml:space="preserve">프레임 장면</t>
    </r>
    <r>
      <rPr>
        <sz val="10"/>
        <rFont val="Arial"/>
        <family val="0"/>
        <charset val="1"/>
      </rPr>
      <t xml:space="preserve">)</t>
    </r>
  </si>
  <si>
    <r>
      <rPr>
        <b val="true"/>
        <sz val="10"/>
        <rFont val="Noto Sans CJK SC"/>
        <family val="2"/>
        <charset val="1"/>
      </rPr>
      <t xml:space="preserve">Sofia → </t>
    </r>
    <r>
      <rPr>
        <b val="true"/>
        <sz val="10"/>
        <rFont val="WenQuanYi Zen Hei"/>
        <family val="2"/>
      </rPr>
      <t xml:space="preserve">주력 </t>
    </r>
    <r>
      <rPr>
        <b val="true"/>
        <sz val="10"/>
        <rFont val="Noto Sans CJK SC"/>
        <family val="2"/>
        <charset val="1"/>
      </rPr>
      <t xml:space="preserve">4</t>
    </r>
    <r>
      <rPr>
        <b val="true"/>
        <sz val="10"/>
        <rFont val="WenQuanYi Zen Hei"/>
        <family val="2"/>
      </rPr>
      <t xml:space="preserve">인</t>
    </r>
  </si>
  <si>
    <t xml:space="preserve">Lei</t>
  </si>
  <si>
    <r>
      <rPr>
        <sz val="10"/>
        <rFont val="Arial"/>
        <family val="0"/>
        <charset val="1"/>
      </rPr>
      <t xml:space="preserve">Lei (</t>
    </r>
    <r>
      <rPr>
        <sz val="10"/>
        <rFont val="WenQuanYi Zen Hei"/>
        <family val="2"/>
      </rPr>
      <t xml:space="preserve">프레임 장면</t>
    </r>
    <r>
      <rPr>
        <sz val="10"/>
        <rFont val="Arial"/>
        <family val="0"/>
        <charset val="1"/>
      </rPr>
      <t xml:space="preserve">)</t>
    </r>
  </si>
  <si>
    <r>
      <rPr>
        <sz val="10"/>
        <rFont val="Arial"/>
        <family val="0"/>
        <charset val="1"/>
      </rPr>
      <t xml:space="preserve">tu (</t>
    </r>
    <r>
      <rPr>
        <sz val="10"/>
        <rFont val="WenQuanYi Zen Hei"/>
        <family val="2"/>
      </rPr>
      <t xml:space="preserve">제안</t>
    </r>
    <r>
      <rPr>
        <sz val="10"/>
        <rFont val="Arial"/>
        <family val="0"/>
        <charset val="1"/>
      </rPr>
      <t xml:space="preserve">)</t>
    </r>
  </si>
  <si>
    <r>
      <rPr>
        <sz val="10"/>
        <rFont val="Arial"/>
        <family val="0"/>
        <charset val="1"/>
      </rPr>
      <t xml:space="preserve">6</t>
    </r>
    <r>
      <rPr>
        <sz val="10"/>
        <rFont val="WenQuanYi Zen Hei"/>
        <family val="2"/>
      </rPr>
      <t xml:space="preserve">부에서는 이웃 사이라 </t>
    </r>
    <r>
      <rPr>
        <sz val="10"/>
        <rFont val="Arial"/>
        <family val="0"/>
        <charset val="1"/>
      </rPr>
      <t xml:space="preserve">tu, </t>
    </r>
    <r>
      <rPr>
        <sz val="10"/>
        <rFont val="WenQuanYi Zen Hei"/>
        <family val="2"/>
      </rPr>
      <t xml:space="preserve">인턴이 되면서</t>
    </r>
    <r>
      <rPr>
        <sz val="10"/>
        <rFont val="Arial"/>
        <family val="0"/>
        <charset val="1"/>
      </rPr>
      <t xml:space="preserve">(1</t>
    </r>
    <r>
      <rPr>
        <sz val="10"/>
        <rFont val="WenQuanYi Zen Hei"/>
        <family val="2"/>
      </rPr>
      <t xml:space="preserve">부</t>
    </r>
    <r>
      <rPr>
        <sz val="10"/>
        <rFont val="Arial"/>
        <family val="0"/>
        <charset val="1"/>
      </rPr>
      <t xml:space="preserve">) Lei</t>
    </r>
    <r>
      <rPr>
        <sz val="10"/>
        <rFont val="WenQuanYi Zen Hei"/>
        <family val="2"/>
      </rPr>
      <t xml:space="preserve">로 바뀐다 — </t>
    </r>
    <r>
      <rPr>
        <sz val="10"/>
        <rFont val="Arial"/>
        <family val="0"/>
        <charset val="1"/>
      </rPr>
      <t xml:space="preserve">1</t>
    </r>
    <r>
      <rPr>
        <sz val="10"/>
        <rFont val="WenQuanYi Zen Hei"/>
        <family val="2"/>
      </rPr>
      <t xml:space="preserve">부 </t>
    </r>
    <r>
      <rPr>
        <sz val="10"/>
        <rFont val="Arial"/>
        <family val="0"/>
        <charset val="1"/>
      </rPr>
      <t xml:space="preserve">1</t>
    </r>
    <r>
      <rPr>
        <sz val="10"/>
        <rFont val="WenQuanYi Zen Hei"/>
        <family val="2"/>
      </rPr>
      <t xml:space="preserve">화 대본에서 </t>
    </r>
    <r>
      <rPr>
        <sz val="10"/>
        <rFont val="Arial"/>
        <family val="0"/>
        <charset val="1"/>
      </rPr>
      <t xml:space="preserve">«Al Quarticciolo mi davi del tu.»</t>
    </r>
    <r>
      <rPr>
        <sz val="10"/>
        <rFont val="WenQuanYi Zen Hei"/>
        <family val="2"/>
      </rPr>
      <t xml:space="preserve">로 대사 설명</t>
    </r>
    <r>
      <rPr>
        <sz val="10"/>
        <rFont val="Arial"/>
        <family val="0"/>
        <charset val="1"/>
      </rPr>
      <t xml:space="preserve">. </t>
    </r>
    <r>
      <rPr>
        <sz val="10"/>
        <rFont val="WenQuanYi Zen Hei"/>
        <family val="2"/>
      </rPr>
      <t xml:space="preserve">이후 </t>
    </r>
    <r>
      <rPr>
        <sz val="10"/>
        <rFont val="Arial"/>
        <family val="0"/>
        <charset val="1"/>
      </rPr>
      <t xml:space="preserve">tu</t>
    </r>
    <r>
      <rPr>
        <sz val="10"/>
        <rFont val="WenQuanYi Zen Hei"/>
        <family val="2"/>
      </rPr>
      <t xml:space="preserve">로 돌아갈 시점은 미확정</t>
    </r>
  </si>
  <si>
    <t xml:space="preserve">Sofia → Cesare</t>
  </si>
  <si>
    <r>
      <rPr>
        <sz val="10"/>
        <rFont val="Arial"/>
        <family val="0"/>
        <charset val="1"/>
      </rPr>
      <t xml:space="preserve">Lei </t>
    </r>
    <r>
      <rPr>
        <sz val="10"/>
        <rFont val="WenQuanYi Zen Hei"/>
        <family val="2"/>
      </rPr>
      <t xml:space="preserve">유지 → </t>
    </r>
    <r>
      <rPr>
        <sz val="10"/>
        <rFont val="Arial"/>
        <family val="0"/>
        <charset val="1"/>
      </rPr>
      <t xml:space="preserve">12</t>
    </r>
    <r>
      <rPr>
        <sz val="10"/>
        <rFont val="WenQuanYi Zen Hei"/>
        <family val="2"/>
      </rPr>
      <t xml:space="preserve">부 </t>
    </r>
    <r>
      <rPr>
        <sz val="10"/>
        <rFont val="Arial"/>
        <family val="0"/>
        <charset val="1"/>
      </rPr>
      <t xml:space="preserve">1</t>
    </r>
    <r>
      <rPr>
        <sz val="10"/>
        <rFont val="WenQuanYi Zen Hei"/>
        <family val="2"/>
      </rPr>
      <t xml:space="preserve">화 조사에서 처음 </t>
    </r>
    <r>
      <rPr>
        <sz val="10"/>
        <rFont val="Arial"/>
        <family val="0"/>
        <charset val="1"/>
      </rPr>
      <t xml:space="preserve">tu</t>
    </r>
  </si>
  <si>
    <r>
      <rPr>
        <sz val="10"/>
        <rFont val="Arial"/>
        <family val="0"/>
        <charset val="1"/>
      </rPr>
      <t xml:space="preserve">7</t>
    </r>
    <r>
      <rPr>
        <sz val="10"/>
        <rFont val="WenQuanYi Zen Hei"/>
        <family val="2"/>
      </rPr>
      <t xml:space="preserve">부에서 </t>
    </r>
    <r>
      <rPr>
        <sz val="10"/>
        <rFont val="Arial"/>
        <family val="0"/>
        <charset val="1"/>
      </rPr>
      <t xml:space="preserve">Cesare</t>
    </r>
    <r>
      <rPr>
        <sz val="10"/>
        <rFont val="WenQuanYi Zen Hei"/>
        <family val="2"/>
      </rPr>
      <t xml:space="preserve">가 </t>
    </r>
    <r>
      <rPr>
        <sz val="10"/>
        <rFont val="Arial"/>
        <family val="0"/>
        <charset val="1"/>
      </rPr>
      <t xml:space="preserve">«Puoi darmi del tu.»</t>
    </r>
    <r>
      <rPr>
        <sz val="10"/>
        <rFont val="WenQuanYi Zen Hei"/>
        <family val="2"/>
      </rPr>
      <t xml:space="preserve">라고 허락해도 </t>
    </r>
    <r>
      <rPr>
        <sz val="10"/>
        <rFont val="Arial"/>
        <family val="0"/>
        <charset val="1"/>
      </rPr>
      <t xml:space="preserve">Sofia</t>
    </r>
    <r>
      <rPr>
        <sz val="10"/>
        <rFont val="WenQuanYi Zen Hei"/>
        <family val="2"/>
      </rPr>
      <t xml:space="preserve">는 습관 때문에 끝내 </t>
    </r>
    <r>
      <rPr>
        <sz val="10"/>
        <rFont val="Arial"/>
        <family val="0"/>
        <charset val="1"/>
      </rPr>
      <t xml:space="preserve">Lei. </t>
    </r>
    <r>
      <rPr>
        <sz val="10"/>
        <rFont val="WenQuanYi Zen Hei"/>
        <family val="2"/>
      </rPr>
      <t xml:space="preserve">폭발 중에도 </t>
    </r>
    <r>
      <rPr>
        <sz val="10"/>
        <rFont val="Arial"/>
        <family val="0"/>
        <charset val="1"/>
      </rPr>
      <t xml:space="preserve">Lei (</t>
    </r>
    <r>
      <rPr>
        <sz val="10"/>
        <rFont val="WenQuanYi Zen Hei"/>
        <family val="2"/>
      </rPr>
      <t xml:space="preserve">예</t>
    </r>
    <r>
      <rPr>
        <sz val="10"/>
        <rFont val="Arial"/>
        <family val="0"/>
        <charset val="1"/>
      </rPr>
      <t xml:space="preserve">: «Proprio Lei non mi chiami stolta!»). </t>
    </r>
    <r>
      <rPr>
        <sz val="10"/>
        <rFont val="WenQuanYi Zen Hei"/>
        <family val="2"/>
      </rPr>
      <t xml:space="preserve">폭발 중 </t>
    </r>
    <r>
      <rPr>
        <sz val="10"/>
        <rFont val="Arial"/>
        <family val="0"/>
        <charset val="1"/>
      </rPr>
      <t xml:space="preserve">tu </t>
    </r>
    <r>
      <rPr>
        <sz val="10"/>
        <rFont val="WenQuanYi Zen Hei"/>
        <family val="2"/>
      </rPr>
      <t xml:space="preserve">실수 금지 — 장례식 전환의 복선</t>
    </r>
    <r>
      <rPr>
        <sz val="10"/>
        <rFont val="Arial"/>
        <family val="0"/>
        <charset val="1"/>
      </rPr>
      <t xml:space="preserve">.</t>
    </r>
  </si>
  <si>
    <t xml:space="preserve">Sofia → Garibaldi, Francesco</t>
  </si>
  <si>
    <t xml:space="preserve">해당 없음</t>
  </si>
  <si>
    <r>
      <rPr>
        <sz val="10"/>
        <rFont val="Arial"/>
        <family val="0"/>
        <charset val="1"/>
      </rPr>
      <t xml:space="preserve">Lei (</t>
    </r>
    <r>
      <rPr>
        <sz val="10"/>
        <rFont val="WenQuanYi Zen Hei"/>
        <family val="2"/>
      </rPr>
      <t xml:space="preserve">전환 시점 미정</t>
    </r>
    <r>
      <rPr>
        <sz val="10"/>
        <rFont val="Arial"/>
        <family val="0"/>
        <charset val="1"/>
      </rPr>
      <t xml:space="preserve">)</t>
    </r>
  </si>
  <si>
    <t xml:space="preserve">Cesare → Sofia</t>
  </si>
  <si>
    <t xml:space="preserve">tu («ragazza»)</t>
  </si>
  <si>
    <t xml:space="preserve">처음부터 tu — 욕(stolta)도 Sofia에게만</t>
  </si>
  <si>
    <r>
      <rPr>
        <b val="true"/>
        <sz val="10"/>
        <rFont val="Noto Sans CJK SC"/>
        <family val="2"/>
        <charset val="1"/>
      </rPr>
      <t xml:space="preserve">Cesare → </t>
    </r>
    <r>
      <rPr>
        <b val="true"/>
        <sz val="10"/>
        <rFont val="WenQuanYi Zen Hei"/>
        <family val="2"/>
      </rPr>
      <t xml:space="preserve">여럿</t>
    </r>
    <r>
      <rPr>
        <b val="true"/>
        <sz val="10"/>
        <rFont val="Noto Sans CJK SC"/>
        <family val="2"/>
        <charset val="1"/>
      </rPr>
      <t xml:space="preserve">(</t>
    </r>
    <r>
      <rPr>
        <b val="true"/>
        <sz val="10"/>
        <rFont val="WenQuanYi Zen Hei"/>
        <family val="2"/>
      </rPr>
      <t xml:space="preserve">집단</t>
    </r>
    <r>
      <rPr>
        <b val="true"/>
        <sz val="10"/>
        <rFont val="Noto Sans CJK SC"/>
        <family val="2"/>
        <charset val="1"/>
      </rPr>
      <t xml:space="preserve">)</t>
    </r>
  </si>
  <si>
    <r>
      <rPr>
        <sz val="10"/>
        <rFont val="Arial"/>
        <family val="0"/>
        <charset val="1"/>
      </rPr>
      <t xml:space="preserve">Loro (</t>
    </r>
    <r>
      <rPr>
        <sz val="10"/>
        <rFont val="WenQuanYi Zen Hei"/>
        <family val="2"/>
      </rPr>
      <t xml:space="preserve">고풍 격식 복수</t>
    </r>
    <r>
      <rPr>
        <sz val="10"/>
        <rFont val="Arial"/>
        <family val="0"/>
        <charset val="1"/>
      </rPr>
      <t xml:space="preserve">)</t>
    </r>
  </si>
  <si>
    <t xml:space="preserve">Loro</t>
  </si>
  <si>
    <t xml:space="preserve">사무소 안에서도 일부러 거리를 두는 심술. 현대 이탈리아어에서는 거의 쓰지 않는 격식 복수 Loro를 다른 인물의 voi와 비교 학습. 3인칭 자기 지칭(«Cesare pensa…»)과 함께.</t>
  </si>
  <si>
    <r>
      <rPr>
        <b val="true"/>
        <sz val="10"/>
        <rFont val="Noto Sans CJK SC"/>
        <family val="2"/>
        <charset val="1"/>
      </rPr>
      <t xml:space="preserve">Cesare → </t>
    </r>
    <r>
      <rPr>
        <b val="true"/>
        <sz val="10"/>
        <rFont val="WenQuanYi Zen Hei"/>
        <family val="2"/>
      </rPr>
      <t xml:space="preserve">개인 </t>
    </r>
    <r>
      <rPr>
        <b val="true"/>
        <sz val="10"/>
        <rFont val="Noto Sans CJK SC"/>
        <family val="2"/>
        <charset val="1"/>
      </rPr>
      <t xml:space="preserve">(Sofia </t>
    </r>
    <r>
      <rPr>
        <b val="true"/>
        <sz val="10"/>
        <rFont val="WenQuanYi Zen Hei"/>
        <family val="2"/>
      </rPr>
      <t xml:space="preserve">외</t>
    </r>
    <r>
      <rPr>
        <b val="true"/>
        <sz val="10"/>
        <rFont val="Noto Sans CJK SC"/>
        <family val="2"/>
        <charset val="1"/>
      </rPr>
      <t xml:space="preserve">)</t>
    </r>
  </si>
  <si>
    <t xml:space="preserve">소수에게만 tu</t>
  </si>
  <si>
    <r>
      <rPr>
        <b val="true"/>
        <sz val="10"/>
        <rFont val="Noto Sans CJK SC"/>
        <family val="2"/>
        <charset val="1"/>
      </rPr>
      <t xml:space="preserve">Garibaldi → </t>
    </r>
    <r>
      <rPr>
        <b val="true"/>
        <sz val="10"/>
        <rFont val="WenQuanYi Zen Hei"/>
        <family val="2"/>
      </rPr>
      <t xml:space="preserve">후배들</t>
    </r>
  </si>
  <si>
    <r>
      <rPr>
        <sz val="10"/>
        <rFont val="Arial"/>
        <family val="0"/>
        <charset val="1"/>
      </rPr>
      <t xml:space="preserve">tu (</t>
    </r>
    <r>
      <rPr>
        <sz val="10"/>
        <rFont val="WenQuanYi Zen Hei"/>
        <family val="2"/>
      </rPr>
      <t xml:space="preserve">명령조</t>
    </r>
    <r>
      <rPr>
        <sz val="10"/>
        <rFont val="Arial"/>
        <family val="0"/>
        <charset val="1"/>
      </rPr>
      <t xml:space="preserve">)</t>
    </r>
  </si>
  <si>
    <r>
      <rPr>
        <sz val="10"/>
        <rFont val="Arial"/>
        <family val="0"/>
        <charset val="1"/>
      </rPr>
      <t xml:space="preserve">tu / Lei </t>
    </r>
    <r>
      <rPr>
        <sz val="10"/>
        <rFont val="WenQuanYi Zen Hei"/>
        <family val="2"/>
      </rPr>
      <t xml:space="preserve">혼용</t>
    </r>
  </si>
  <si>
    <t xml:space="preserve">정치 무대에서는 Lei</t>
  </si>
  <si>
    <t xml:space="preserve">의용군 지휘관의 버릇으로 모두를 '동지'처럼 부른다</t>
  </si>
  <si>
    <r>
      <rPr>
        <b val="true"/>
        <sz val="10"/>
        <rFont val="Noto Sans CJK SC"/>
        <family val="2"/>
        <charset val="1"/>
      </rPr>
      <t xml:space="preserve">Gramsci → </t>
    </r>
    <r>
      <rPr>
        <b val="true"/>
        <sz val="10"/>
        <rFont val="WenQuanYi Zen Hei"/>
        <family val="2"/>
      </rPr>
      <t xml:space="preserve">전원</t>
    </r>
  </si>
  <si>
    <t xml:space="preserve">모두에게 tu — 그래서 더 단호하다. «Cercalo tu.»</t>
  </si>
  <si>
    <r>
      <rPr>
        <b val="true"/>
        <sz val="10"/>
        <rFont val="Noto Sans CJK SC"/>
        <family val="2"/>
        <charset val="1"/>
      </rPr>
      <t xml:space="preserve">Rosa, Paolo → </t>
    </r>
    <r>
      <rPr>
        <b val="true"/>
        <sz val="10"/>
        <rFont val="WenQuanYi Zen Hei"/>
        <family val="2"/>
      </rPr>
      <t xml:space="preserve">전원</t>
    </r>
  </si>
  <si>
    <r>
      <rPr>
        <sz val="10"/>
        <rFont val="Arial"/>
        <family val="0"/>
        <charset val="1"/>
      </rPr>
      <t xml:space="preserve">Rosa</t>
    </r>
    <r>
      <rPr>
        <sz val="10"/>
        <rFont val="WenQuanYi Zen Hei"/>
        <family val="2"/>
      </rPr>
      <t xml:space="preserve">는 </t>
    </r>
    <r>
      <rPr>
        <sz val="10"/>
        <rFont val="Arial"/>
        <family val="0"/>
        <charset val="1"/>
      </rPr>
      <t xml:space="preserve">'amore/tesoro', </t>
    </r>
    <r>
      <rPr>
        <sz val="10"/>
        <rFont val="WenQuanYi Zen Hei"/>
        <family val="2"/>
      </rPr>
      <t xml:space="preserve">로마 사투리 한두 마디</t>
    </r>
    <r>
      <rPr>
        <sz val="10"/>
        <rFont val="Arial"/>
        <family val="0"/>
        <charset val="1"/>
      </rPr>
      <t xml:space="preserve">(«daje», «che te serve?»)</t>
    </r>
  </si>
  <si>
    <r>
      <rPr>
        <b val="true"/>
        <sz val="10"/>
        <rFont val="Noto Sans CJK SC"/>
        <family val="2"/>
        <charset val="1"/>
      </rPr>
      <t xml:space="preserve">Galileo → </t>
    </r>
    <r>
      <rPr>
        <b val="true"/>
        <sz val="10"/>
        <rFont val="WenQuanYi Zen Hei"/>
        <family val="2"/>
      </rPr>
      <t xml:space="preserve">취재</t>
    </r>
    <r>
      <rPr>
        <b val="true"/>
        <sz val="10"/>
        <rFont val="Noto Sans CJK SC"/>
        <family val="2"/>
        <charset val="1"/>
      </rPr>
      <t xml:space="preserve">·</t>
    </r>
    <r>
      <rPr>
        <b val="true"/>
        <sz val="10"/>
        <rFont val="WenQuanYi Zen Hei"/>
        <family val="2"/>
      </rPr>
      <t xml:space="preserve">관찰 대상</t>
    </r>
  </si>
  <si>
    <r>
      <rPr>
        <sz val="10"/>
        <rFont val="Arial"/>
        <family val="0"/>
        <charset val="1"/>
      </rPr>
      <t xml:space="preserve">Lei (</t>
    </r>
    <r>
      <rPr>
        <sz val="10"/>
        <rFont val="WenQuanYi Zen Hei"/>
        <family val="2"/>
      </rPr>
      <t xml:space="preserve">취재 시</t>
    </r>
    <r>
      <rPr>
        <sz val="10"/>
        <rFont val="Arial"/>
        <family val="0"/>
        <charset val="1"/>
      </rPr>
      <t xml:space="preserve">)</t>
    </r>
  </si>
  <si>
    <t xml:space="preserve">친해지면 tu</t>
  </si>
  <si>
    <r>
      <rPr>
        <b val="true"/>
        <sz val="10"/>
        <rFont val="Noto Sans CJK SC"/>
        <family val="2"/>
        <charset val="1"/>
      </rPr>
      <t xml:space="preserve">Machiavelli, Dante, Montessori → </t>
    </r>
    <r>
      <rPr>
        <b val="true"/>
        <sz val="10"/>
        <rFont val="WenQuanYi Zen Hei"/>
        <family val="2"/>
      </rPr>
      <t xml:space="preserve">전원</t>
    </r>
  </si>
  <si>
    <t xml:space="preserve">가까운 사람에게만 tu</t>
  </si>
  <si>
    <t xml:space="preserve">부활자들은 격식이 기본. Dante는 가끔 옛 존칭 voi를 한 사람에게 써서 웃음을 준다(옛 이탈리아어의 존칭 voi).</t>
  </si>
  <si>
    <t xml:space="preserve">집단 대화 (사무소 안)</t>
  </si>
  <si>
    <t xml:space="preserve">voi</t>
  </si>
  <si>
    <t xml:space="preserve">예: «Sedetevi, che vi porto qualcosa.»</t>
  </si>
  <si>
    <t xml:space="preserve">공식 연설·의회</t>
  </si>
  <si>
    <t xml:space="preserve">voi / Loro, «Onorevoli colleghi»</t>
  </si>
  <si>
    <r>
      <rPr>
        <sz val="10"/>
        <rFont val="Arial"/>
        <family val="0"/>
        <charset val="1"/>
      </rPr>
      <t xml:space="preserve">8</t>
    </r>
    <r>
      <rPr>
        <sz val="10"/>
        <rFont val="WenQuanYi Zen Hei"/>
        <family val="2"/>
      </rPr>
      <t xml:space="preserve">부 이후 대중 연설</t>
    </r>
    <r>
      <rPr>
        <sz val="10"/>
        <rFont val="Arial"/>
        <family val="0"/>
        <charset val="1"/>
      </rPr>
      <t xml:space="preserve">, 9</t>
    </r>
    <r>
      <rPr>
        <sz val="10"/>
        <rFont val="WenQuanYi Zen Hei"/>
        <family val="2"/>
      </rPr>
      <t xml:space="preserve">부 이후 시의회</t>
    </r>
    <r>
      <rPr>
        <sz val="10"/>
        <rFont val="Arial"/>
        <family val="0"/>
        <charset val="1"/>
      </rPr>
      <t xml:space="preserve">·</t>
    </r>
    <r>
      <rPr>
        <sz val="10"/>
        <rFont val="WenQuanYi Zen Hei"/>
        <family val="2"/>
      </rPr>
      <t xml:space="preserve">주의회</t>
    </r>
    <r>
      <rPr>
        <sz val="10"/>
        <rFont val="Arial"/>
        <family val="0"/>
        <charset val="1"/>
      </rPr>
      <t xml:space="preserve">·</t>
    </r>
    <r>
      <rPr>
        <sz val="10"/>
        <rFont val="WenQuanYi Zen Hei"/>
        <family val="2"/>
      </rPr>
      <t xml:space="preserve">양원 토론</t>
    </r>
  </si>
  <si>
    <t xml:space="preserve">하원·상원</t>
  </si>
  <si>
    <r>
      <rPr>
        <sz val="10"/>
        <rFont val="Arial"/>
        <family val="0"/>
        <charset val="1"/>
      </rPr>
      <t xml:space="preserve">«Signor Presidente / Signora Presidente»(</t>
    </r>
    <r>
      <rPr>
        <sz val="10"/>
        <rFont val="WenQuanYi Zen Hei"/>
        <family val="2"/>
      </rPr>
      <t xml:space="preserve">의장</t>
    </r>
    <r>
      <rPr>
        <sz val="10"/>
        <rFont val="Arial"/>
        <family val="0"/>
        <charset val="1"/>
      </rPr>
      <t xml:space="preserve">), «onorevole»(</t>
    </r>
    <r>
      <rPr>
        <sz val="10"/>
        <rFont val="WenQuanYi Zen Hei"/>
        <family val="2"/>
      </rPr>
      <t xml:space="preserve">하원의원</t>
    </r>
    <r>
      <rPr>
        <sz val="10"/>
        <rFont val="Arial"/>
        <family val="0"/>
        <charset val="1"/>
      </rPr>
      <t xml:space="preserve">), «senatore/senatrice», «signor Ministro / signora Ministra»</t>
    </r>
  </si>
  <si>
    <t xml:space="preserve">의원끼리는 «collega», 총리는 «Presidente del Consiglio»로 부른다. 발언은 의장을 향해 3인칭</t>
  </si>
  <si>
    <t xml:space="preserve">시의회 (Assemblea Capitolina)</t>
  </si>
  <si>
    <t xml:space="preserve">«Signor Sindaco / Signora Sindaca», «Presidente», «consigliera / consigliere»</t>
  </si>
  <si>
    <t xml:space="preserve">발언은 Lei, 회의 밖 동료끼리는 tu로 돌아간다</t>
  </si>
  <si>
    <t xml:space="preserve">대통령</t>
  </si>
  <si>
    <t xml:space="preserve">«Signor Presidente della Repubblica»</t>
  </si>
  <si>
    <t xml:space="preserve">대통령은 직접 대사를 주지 않는다. 절차와 결과는 공식 발표문(가상)이나 인물의 대사로 전달</t>
  </si>
  <si>
    <r>
      <rPr>
        <b val="true"/>
        <sz val="14"/>
        <color rgb="FF1F3864"/>
        <rFont val="Arial"/>
        <family val="0"/>
        <charset val="1"/>
      </rPr>
      <t xml:space="preserve">Sofia</t>
    </r>
    <r>
      <rPr>
        <b val="true"/>
        <sz val="14"/>
        <color rgb="FF1F3864"/>
        <rFont val="WenQuanYi Zen Hei"/>
        <family val="2"/>
      </rPr>
      <t xml:space="preserve">의 폭발 </t>
    </r>
    <r>
      <rPr>
        <b val="true"/>
        <sz val="14"/>
        <color rgb="FF1F3864"/>
        <rFont val="Arial"/>
        <family val="0"/>
        <charset val="1"/>
      </rPr>
      <t xml:space="preserve">(Lo Sfogo) </t>
    </r>
    <r>
      <rPr>
        <b val="true"/>
        <sz val="14"/>
        <color rgb="FF1F3864"/>
        <rFont val="WenQuanYi Zen Hei"/>
        <family val="2"/>
      </rPr>
      <t xml:space="preserve">과 욕 배정</t>
    </r>
  </si>
  <si>
    <t xml:space="preserve">폭발은 총 2회. 희소성이 가치다. 폭발 뒤에는 반드시 쉬운 말로 다시 설명하는 어휘 교습 장면이 이어진다.</t>
  </si>
  <si>
    <r>
      <rPr>
        <b val="true"/>
        <sz val="10"/>
        <rFont val="Arial"/>
        <family val="0"/>
        <charset val="1"/>
      </rPr>
      <t xml:space="preserve">1. </t>
    </r>
    <r>
      <rPr>
        <b val="true"/>
        <sz val="10"/>
        <rFont val="WenQuanYi Zen Hei"/>
        <family val="2"/>
      </rPr>
      <t xml:space="preserve">폭발 배치 </t>
    </r>
    <r>
      <rPr>
        <b val="true"/>
        <sz val="10"/>
        <rFont val="Arial"/>
        <family val="0"/>
        <charset val="1"/>
      </rPr>
      <t xml:space="preserve">(</t>
    </r>
    <r>
      <rPr>
        <b val="true"/>
        <sz val="10"/>
        <rFont val="WenQuanYi Zen Hei"/>
        <family val="2"/>
      </rPr>
      <t xml:space="preserve">총 </t>
    </r>
    <r>
      <rPr>
        <b val="true"/>
        <sz val="10"/>
        <rFont val="Arial"/>
        <family val="0"/>
        <charset val="1"/>
      </rPr>
      <t xml:space="preserve">2</t>
    </r>
    <r>
      <rPr>
        <b val="true"/>
        <sz val="10"/>
        <rFont val="WenQuanYi Zen Hei"/>
        <family val="2"/>
      </rPr>
      <t xml:space="preserve">회</t>
    </r>
    <r>
      <rPr>
        <b val="true"/>
        <sz val="10"/>
        <rFont val="Arial"/>
        <family val="0"/>
        <charset val="1"/>
      </rPr>
      <t xml:space="preserve">)</t>
    </r>
  </si>
  <si>
    <t xml:space="preserve">회차</t>
  </si>
  <si>
    <t xml:space="preserve">위치</t>
  </si>
  <si>
    <t xml:space="preserve">단계 구성</t>
  </si>
  <si>
    <t xml:space="preserve">특기 사항</t>
  </si>
  <si>
    <r>
      <rPr>
        <b val="true"/>
        <sz val="10"/>
        <rFont val="Arial"/>
        <family val="0"/>
        <charset val="1"/>
      </rPr>
      <t xml:space="preserve">1</t>
    </r>
    <r>
      <rPr>
        <b val="true"/>
        <sz val="10"/>
        <rFont val="WenQuanYi Zen Hei"/>
        <family val="2"/>
      </rPr>
      <t xml:space="preserve">차 폭발</t>
    </r>
  </si>
  <si>
    <r>
      <rPr>
        <sz val="10"/>
        <rFont val="Arial"/>
        <family val="0"/>
        <charset val="1"/>
      </rPr>
      <t xml:space="preserve">1</t>
    </r>
    <r>
      <rPr>
        <sz val="10"/>
        <rFont val="WenQuanYi Zen Hei"/>
        <family val="2"/>
      </rPr>
      <t xml:space="preserve">부 </t>
    </r>
    <r>
      <rPr>
        <sz val="10"/>
        <rFont val="Arial"/>
        <family val="0"/>
        <charset val="1"/>
      </rPr>
      <t xml:space="preserve">6</t>
    </r>
    <r>
      <rPr>
        <sz val="10"/>
        <rFont val="WenQuanYi Zen Hei"/>
        <family val="2"/>
      </rPr>
      <t xml:space="preserve">화 </t>
    </r>
    <r>
      <rPr>
        <sz val="10"/>
        <rFont val="Arial"/>
        <family val="0"/>
        <charset val="1"/>
      </rPr>
      <t xml:space="preserve">«Basta!» (</t>
    </r>
    <r>
      <rPr>
        <sz val="10"/>
        <rFont val="WenQuanYi Zen Hei"/>
        <family val="2"/>
      </rPr>
      <t xml:space="preserve">사건</t>
    </r>
    <r>
      <rPr>
        <sz val="10"/>
        <rFont val="Arial"/>
        <family val="0"/>
        <charset val="1"/>
      </rPr>
      <t xml:space="preserve">3 </t>
    </r>
    <r>
      <rPr>
        <sz val="10"/>
        <rFont val="WenQuanYi Zen Hei"/>
        <family val="2"/>
      </rPr>
      <t xml:space="preserve">위장 인턴</t>
    </r>
    <r>
      <rPr>
        <sz val="10"/>
        <rFont val="Arial"/>
        <family val="0"/>
        <charset val="1"/>
      </rPr>
      <t xml:space="preserve">·</t>
    </r>
    <r>
      <rPr>
        <sz val="10"/>
        <rFont val="WenQuanYi Zen Hei"/>
        <family val="2"/>
      </rPr>
      <t xml:space="preserve">임금 체불 해결 화</t>
    </r>
    <r>
      <rPr>
        <sz val="10"/>
        <rFont val="Arial"/>
        <family val="0"/>
        <charset val="1"/>
      </rPr>
      <t xml:space="preserve">, Chiara</t>
    </r>
    <r>
      <rPr>
        <sz val="10"/>
        <rFont val="WenQuanYi Zen Hei"/>
        <family val="2"/>
      </rPr>
      <t xml:space="preserve">의 경영 용어가 협상을 막는 장면</t>
    </r>
    <r>
      <rPr>
        <sz val="10"/>
        <rFont val="Arial"/>
        <family val="0"/>
        <charset val="1"/>
      </rPr>
      <t xml:space="preserve">)</t>
    </r>
  </si>
  <si>
    <t xml:space="preserve">코미디 — 「몰라서 화내는 Sofia」</t>
  </si>
  <si>
    <r>
      <rPr>
        <sz val="10"/>
        <rFont val="Arial"/>
        <family val="0"/>
        <charset val="1"/>
      </rPr>
      <t xml:space="preserve">1</t>
    </r>
    <r>
      <rPr>
        <sz val="10"/>
        <rFont val="WenQuanYi Zen Hei"/>
        <family val="2"/>
      </rPr>
      <t xml:space="preserve">단계 → </t>
    </r>
    <r>
      <rPr>
        <sz val="10"/>
        <rFont val="Arial"/>
        <family val="0"/>
        <charset val="1"/>
      </rPr>
      <t xml:space="preserve">2</t>
    </r>
    <r>
      <rPr>
        <sz val="10"/>
        <rFont val="WenQuanYi Zen Hei"/>
        <family val="2"/>
      </rPr>
      <t xml:space="preserve">단계 → </t>
    </r>
    <r>
      <rPr>
        <sz val="10"/>
        <rFont val="Arial"/>
        <family val="0"/>
        <charset val="1"/>
      </rPr>
      <t xml:space="preserve">3</t>
    </r>
    <r>
      <rPr>
        <sz val="10"/>
        <rFont val="WenQuanYi Zen Hei"/>
        <family val="2"/>
      </rPr>
      <t xml:space="preserve">단계 전부 노출</t>
    </r>
  </si>
  <si>
    <t xml:space="preserve">인물별 고정 반응 패턴을 여기서 한 번에 보여 준다. Garibaldi·Rosa·Gramsci가 이 화에 함께 등장 — Paolo의 욕은 9부 2차 폭발로 이관해 과밀을 피함.</t>
  </si>
  <si>
    <r>
      <rPr>
        <b val="true"/>
        <sz val="10"/>
        <rFont val="Arial"/>
        <family val="0"/>
        <charset val="1"/>
      </rPr>
      <t xml:space="preserve">2</t>
    </r>
    <r>
      <rPr>
        <b val="true"/>
        <sz val="10"/>
        <rFont val="WenQuanYi Zen Hei"/>
        <family val="2"/>
      </rPr>
      <t xml:space="preserve">차 폭발</t>
    </r>
  </si>
  <si>
    <r>
      <rPr>
        <sz val="10"/>
        <rFont val="Arial"/>
        <family val="0"/>
        <charset val="1"/>
      </rPr>
      <t xml:space="preserve">9</t>
    </r>
    <r>
      <rPr>
        <sz val="10"/>
        <rFont val="WenQuanYi Zen Hei"/>
        <family val="2"/>
      </rPr>
      <t xml:space="preserve">부 </t>
    </r>
    <r>
      <rPr>
        <sz val="10"/>
        <rFont val="Arial"/>
        <family val="0"/>
        <charset val="1"/>
      </rPr>
      <t xml:space="preserve">6</t>
    </r>
    <r>
      <rPr>
        <sz val="10"/>
        <rFont val="WenQuanYi Zen Hei"/>
        <family val="2"/>
      </rPr>
      <t xml:space="preserve">화 </t>
    </r>
    <r>
      <rPr>
        <sz val="10"/>
        <rFont val="Arial"/>
        <family val="0"/>
        <charset val="1"/>
      </rPr>
      <t xml:space="preserve">(</t>
    </r>
    <r>
      <rPr>
        <sz val="10"/>
        <rFont val="WenQuanYi Zen Hei"/>
        <family val="2"/>
      </rPr>
      <t xml:space="preserve">시의회 예산 심의</t>
    </r>
    <r>
      <rPr>
        <sz val="10"/>
        <rFont val="Arial"/>
        <family val="0"/>
        <charset val="1"/>
      </rPr>
      <t xml:space="preserve">)</t>
    </r>
  </si>
  <si>
    <t xml:space="preserve">역전 — 「알아서 화내는 Sofia」. 이번엔 Sofia가 옳다.</t>
  </si>
  <si>
    <r>
      <rPr>
        <sz val="10"/>
        <rFont val="Arial"/>
        <family val="0"/>
        <charset val="1"/>
      </rPr>
      <t xml:space="preserve">1</t>
    </r>
    <r>
      <rPr>
        <sz val="10"/>
        <rFont val="WenQuanYi Zen Hei"/>
        <family val="2"/>
      </rPr>
      <t xml:space="preserve">단계에서 곧바로 </t>
    </r>
    <r>
      <rPr>
        <sz val="10"/>
        <rFont val="Arial"/>
        <family val="0"/>
        <charset val="1"/>
      </rPr>
      <t xml:space="preserve">3</t>
    </r>
    <r>
      <rPr>
        <sz val="10"/>
        <rFont val="WenQuanYi Zen Hei"/>
        <family val="2"/>
      </rPr>
      <t xml:space="preserve">단계로 </t>
    </r>
    <r>
      <rPr>
        <sz val="10"/>
        <rFont val="Arial"/>
        <family val="0"/>
        <charset val="1"/>
      </rPr>
      <t xml:space="preserve">(2</t>
    </r>
    <r>
      <rPr>
        <sz val="10"/>
        <rFont val="WenQuanYi Zen Hei"/>
        <family val="2"/>
      </rPr>
      <t xml:space="preserve">단계 생략</t>
    </r>
    <r>
      <rPr>
        <sz val="10"/>
        <rFont val="Arial"/>
        <family val="0"/>
        <charset val="1"/>
      </rPr>
      <t xml:space="preserve">: '</t>
    </r>
    <r>
      <rPr>
        <sz val="10"/>
        <rFont val="WenQuanYi Zen Hei"/>
        <family val="2"/>
      </rPr>
      <t xml:space="preserve">이번엔 참지 않는다</t>
    </r>
    <r>
      <rPr>
        <sz val="10"/>
        <rFont val="Arial"/>
        <family val="0"/>
        <charset val="1"/>
      </rPr>
      <t xml:space="preserve">')</t>
    </r>
  </si>
  <si>
    <t xml:space="preserve">관료 전문 용어 속에 서민 예산을 깎는 조항이 숨어 있었고 Sofia가 짚어 낸다. Cesare가 선을 넘는 말을 하고 Garibaldi·Rosa가 나무란다.</t>
  </si>
  <si>
    <t xml:space="preserve">사이 구간</t>
  </si>
  <si>
    <r>
      <rPr>
        <sz val="10"/>
        <rFont val="Arial"/>
        <family val="0"/>
        <charset val="1"/>
      </rPr>
      <t xml:space="preserve">2~8</t>
    </r>
    <r>
      <rPr>
        <sz val="10"/>
        <rFont val="WenQuanYi Zen Hei"/>
        <family val="2"/>
      </rPr>
      <t xml:space="preserve">부</t>
    </r>
  </si>
  <si>
    <t xml:space="preserve">폭발 없음</t>
  </si>
  <si>
    <r>
      <rPr>
        <sz val="10"/>
        <rFont val="Arial"/>
        <family val="0"/>
        <charset val="1"/>
      </rPr>
      <t xml:space="preserve">1</t>
    </r>
    <r>
      <rPr>
        <sz val="10"/>
        <rFont val="WenQuanYi Zen Hei"/>
        <family val="2"/>
      </rPr>
      <t xml:space="preserve">단계 질문만 일상 장치로 반복</t>
    </r>
  </si>
  <si>
    <t xml:space="preserve">어휘 학습의 핵심은 1단계 질문. 폭발은 정점 이벤트일 뿐.</t>
  </si>
  <si>
    <r>
      <rPr>
        <b val="true"/>
        <sz val="10"/>
        <rFont val="Arial"/>
        <family val="0"/>
        <charset val="1"/>
      </rPr>
      <t xml:space="preserve">2. 3</t>
    </r>
    <r>
      <rPr>
        <b val="true"/>
        <sz val="10"/>
        <rFont val="WenQuanYi Zen Hei"/>
        <family val="2"/>
      </rPr>
      <t xml:space="preserve">단계 계단</t>
    </r>
  </si>
  <si>
    <t xml:space="preserve">대사 (IT)</t>
  </si>
  <si>
    <t xml:space="preserve">분위기</t>
  </si>
  <si>
    <t xml:space="preserve">사용</t>
  </si>
  <si>
    <r>
      <rPr>
        <b val="true"/>
        <sz val="10"/>
        <rFont val="Arial"/>
        <family val="0"/>
        <charset val="1"/>
      </rPr>
      <t xml:space="preserve">1</t>
    </r>
    <r>
      <rPr>
        <b val="true"/>
        <sz val="10"/>
        <rFont val="WenQuanYi Zen Hei"/>
        <family val="2"/>
      </rPr>
      <t xml:space="preserve">단계</t>
    </r>
  </si>
  <si>
    <t xml:space="preserve">Scusi, cosa significa?</t>
  </si>
  <si>
    <t xml:space="preserve">실례지만, 그게 무슨 뜻이에요?</t>
  </si>
  <si>
    <t xml:space="preserve">정중한 질문</t>
  </si>
  <si>
    <t xml:space="preserve">상시 (매 화 가능)</t>
  </si>
  <si>
    <r>
      <rPr>
        <b val="true"/>
        <sz val="10"/>
        <rFont val="Arial"/>
        <family val="0"/>
        <charset val="1"/>
      </rPr>
      <t xml:space="preserve">2</t>
    </r>
    <r>
      <rPr>
        <b val="true"/>
        <sz val="10"/>
        <rFont val="WenQuanYi Zen Hei"/>
        <family val="2"/>
      </rPr>
      <t xml:space="preserve">단계</t>
    </r>
  </si>
  <si>
    <t xml:space="preserve">Me lo spiega come se avessi cinque anni?</t>
  </si>
  <si>
    <t xml:space="preserve">다섯 살한테 설명하듯 해 주실래요?</t>
  </si>
  <si>
    <t xml:space="preserve">슬슬 짜증</t>
  </si>
  <si>
    <r>
      <rPr>
        <sz val="10"/>
        <rFont val="Arial"/>
        <family val="0"/>
        <charset val="1"/>
      </rPr>
      <t xml:space="preserve">1</t>
    </r>
    <r>
      <rPr>
        <sz val="10"/>
        <rFont val="WenQuanYi Zen Hei"/>
        <family val="2"/>
      </rPr>
      <t xml:space="preserve">차 폭발에서만</t>
    </r>
  </si>
  <si>
    <r>
      <rPr>
        <b val="true"/>
        <sz val="10"/>
        <rFont val="Arial"/>
        <family val="0"/>
        <charset val="1"/>
      </rPr>
      <t xml:space="preserve">3</t>
    </r>
    <r>
      <rPr>
        <b val="true"/>
        <sz val="10"/>
        <rFont val="WenQuanYi Zen Hei"/>
        <family val="2"/>
      </rPr>
      <t xml:space="preserve">단계</t>
    </r>
  </si>
  <si>
    <t xml:space="preserve">BASTA! Non capisco niente!</t>
  </si>
  <si>
    <t xml:space="preserve">그만! 하나도 모르겠다고요!</t>
  </si>
  <si>
    <t xml:space="preserve">폭발</t>
  </si>
  <si>
    <r>
      <rPr>
        <sz val="10"/>
        <rFont val="Arial"/>
        <family val="0"/>
        <charset val="1"/>
      </rPr>
      <t xml:space="preserve">1</t>
    </r>
    <r>
      <rPr>
        <sz val="10"/>
        <rFont val="WenQuanYi Zen Hei"/>
        <family val="2"/>
      </rPr>
      <t xml:space="preserve">차 </t>
    </r>
    <r>
      <rPr>
        <sz val="10"/>
        <rFont val="Arial"/>
        <family val="0"/>
        <charset val="1"/>
      </rPr>
      <t xml:space="preserve">· 2</t>
    </r>
    <r>
      <rPr>
        <sz val="10"/>
        <rFont val="WenQuanYi Zen Hei"/>
        <family val="2"/>
      </rPr>
      <t xml:space="preserve">차</t>
    </r>
    <r>
      <rPr>
        <sz val="10"/>
        <rFont val="Arial"/>
        <family val="0"/>
        <charset val="1"/>
      </rPr>
      <t xml:space="preserve">(9</t>
    </r>
    <r>
      <rPr>
        <sz val="10"/>
        <rFont val="WenQuanYi Zen Hei"/>
        <family val="2"/>
      </rPr>
      <t xml:space="preserve">부</t>
    </r>
    <r>
      <rPr>
        <sz val="10"/>
        <rFont val="Arial"/>
        <family val="0"/>
        <charset val="1"/>
      </rPr>
      <t xml:space="preserve">)</t>
    </r>
  </si>
  <si>
    <r>
      <rPr>
        <b val="true"/>
        <sz val="10"/>
        <rFont val="Arial"/>
        <family val="0"/>
        <charset val="1"/>
      </rPr>
      <t xml:space="preserve">3. </t>
    </r>
    <r>
      <rPr>
        <b val="true"/>
        <sz val="10"/>
        <rFont val="WenQuanYi Zen Hei"/>
        <family val="2"/>
      </rPr>
      <t xml:space="preserve">폭발 직후 고정 반응 </t>
    </r>
    <r>
      <rPr>
        <b val="true"/>
        <sz val="10"/>
        <rFont val="Arial"/>
        <family val="0"/>
        <charset val="1"/>
      </rPr>
      <t xml:space="preserve">(</t>
    </r>
    <r>
      <rPr>
        <b val="true"/>
        <sz val="10"/>
        <rFont val="WenQuanYi Zen Hei"/>
        <family val="2"/>
      </rPr>
      <t xml:space="preserve">전부 대사로 처리 — 지문 폐기</t>
    </r>
    <r>
      <rPr>
        <b val="true"/>
        <sz val="10"/>
        <rFont val="Arial"/>
        <family val="0"/>
        <charset val="1"/>
      </rPr>
      <t xml:space="preserve">)</t>
    </r>
  </si>
  <si>
    <t xml:space="preserve">반응 대사 (IT)</t>
  </si>
  <si>
    <t xml:space="preserve">기존 지문 (폐기)</t>
  </si>
  <si>
    <t xml:space="preserve">Prima, respira.</t>
  </si>
  <si>
    <t xml:space="preserve">우선, 숨 쉬어요.</t>
  </si>
  <si>
    <r>
      <rPr>
        <sz val="10"/>
        <rFont val="Arial"/>
        <family val="0"/>
        <charset val="1"/>
      </rPr>
      <t xml:space="preserve">Sofia: «Non mi dica "respira"!»</t>
    </r>
    <r>
      <rPr>
        <sz val="10"/>
        <rFont val="WenQuanYi Zen Hei"/>
        <family val="2"/>
      </rPr>
      <t xml:space="preserve">로 받는다</t>
    </r>
  </si>
  <si>
    <t xml:space="preserve">Uh. Poso 'sto piatto sul tavolo prima che voli.</t>
  </si>
  <si>
    <t xml:space="preserve">어이쿠. 접시 날아가기 전에 식탁에 내려놔야겠네.</t>
  </si>
  <si>
    <t xml:space="preserve">말없이 접시를 내려놓음</t>
  </si>
  <si>
    <t xml:space="preserve">정적의 순간을 웃음으로 대신한다. 'sto = questo (로마 구어)</t>
  </si>
  <si>
    <t xml:space="preserve">Nulla da segn… No. Meglio che stia zitto.</t>
  </si>
  <si>
    <t xml:space="preserve">이상 없… 아니. 입 다무는 게 낫겠군.</t>
  </si>
  <si>
    <r>
      <rPr>
        <sz val="10"/>
        <rFont val="Arial"/>
        <family val="0"/>
        <charset val="1"/>
      </rPr>
      <t xml:space="preserve">«Nulla da segnalare»</t>
    </r>
    <r>
      <rPr>
        <sz val="10"/>
        <rFont val="WenQuanYi Zen Hei"/>
        <family val="2"/>
      </rPr>
      <t xml:space="preserve">를 하려다 입을 다묾</t>
    </r>
  </si>
  <si>
    <t xml:space="preserve">Io non ho detto niente.</t>
  </si>
  <si>
    <t xml:space="preserve">나는 아무 말도 안 했어.</t>
  </si>
  <si>
    <t xml:space="preserve">아무 말도 하지 않아 오히려 가장 긴장됨</t>
  </si>
  <si>
    <t xml:space="preserve">침묵 설정을 폐지하고 시그니처 대사로 대체</t>
  </si>
  <si>
    <r>
      <rPr>
        <b val="true"/>
        <sz val="10"/>
        <rFont val="Arial"/>
        <family val="0"/>
        <charset val="1"/>
      </rPr>
      <t xml:space="preserve">4. </t>
    </r>
    <r>
      <rPr>
        <b val="true"/>
        <sz val="10"/>
        <rFont val="WenQuanYi Zen Hei"/>
        <family val="2"/>
      </rPr>
      <t xml:space="preserve">욕 배정 </t>
    </r>
    <r>
      <rPr>
        <b val="true"/>
        <sz val="10"/>
        <rFont val="Arial"/>
        <family val="0"/>
        <charset val="1"/>
      </rPr>
      <t xml:space="preserve">(</t>
    </r>
    <r>
      <rPr>
        <b val="true"/>
        <sz val="10"/>
        <rFont val="WenQuanYi Zen Hei"/>
        <family val="2"/>
      </rPr>
      <t xml:space="preserve">폭발 장면 한정 — 교재용 순한 표현만</t>
    </r>
    <r>
      <rPr>
        <b val="true"/>
        <sz val="10"/>
        <rFont val="Arial"/>
        <family val="0"/>
        <charset val="1"/>
      </rPr>
      <t xml:space="preserve">)</t>
    </r>
  </si>
  <si>
    <t xml:space="preserve">표현</t>
  </si>
  <si>
    <t xml:space="preserve">뉘앙스</t>
  </si>
  <si>
    <t xml:space="preserve">사용 규칙</t>
  </si>
  <si>
    <t xml:space="preserve">Stolta / Testa di rapa</t>
  </si>
  <si>
    <t xml:space="preserve">고풍스럽고 격식 있는 욕 — 우아하게 기분 나쁨 (라틴어 stulta의 후손)</t>
  </si>
  <si>
    <r>
      <rPr>
        <sz val="10"/>
        <rFont val="Arial"/>
        <family val="0"/>
        <charset val="1"/>
      </rPr>
      <t xml:space="preserve">1</t>
    </r>
    <r>
      <rPr>
        <sz val="10"/>
        <rFont val="WenQuanYi Zen Hei"/>
        <family val="2"/>
      </rPr>
      <t xml:space="preserve">차</t>
    </r>
    <r>
      <rPr>
        <sz val="10"/>
        <rFont val="Arial"/>
        <family val="0"/>
        <charset val="1"/>
      </rPr>
      <t xml:space="preserve">·2</t>
    </r>
    <r>
      <rPr>
        <sz val="10"/>
        <rFont val="WenQuanYi Zen Hei"/>
        <family val="2"/>
      </rPr>
      <t xml:space="preserve">차 폭발에서만</t>
    </r>
    <r>
      <rPr>
        <sz val="10"/>
        <rFont val="Arial"/>
        <family val="0"/>
        <charset val="1"/>
      </rPr>
      <t xml:space="preserve">, Sofia</t>
    </r>
    <r>
      <rPr>
        <sz val="10"/>
        <rFont val="WenQuanYi Zen Hei"/>
        <family val="2"/>
      </rPr>
      <t xml:space="preserve">에게만</t>
    </r>
  </si>
  <si>
    <r>
      <rPr>
        <sz val="10"/>
        <rFont val="Arial"/>
        <family val="0"/>
        <charset val="1"/>
      </rPr>
      <t xml:space="preserve">11</t>
    </r>
    <r>
      <rPr>
        <sz val="10"/>
        <rFont val="WenQuanYi Zen Hei"/>
        <family val="2"/>
      </rPr>
      <t xml:space="preserve">부 </t>
    </r>
    <r>
      <rPr>
        <sz val="10"/>
        <rFont val="Arial"/>
        <family val="0"/>
        <charset val="1"/>
      </rPr>
      <t xml:space="preserve">12</t>
    </r>
    <r>
      <rPr>
        <sz val="10"/>
        <rFont val="WenQuanYi Zen Hei"/>
        <family val="2"/>
      </rPr>
      <t xml:space="preserve">화 마지막에 </t>
    </r>
    <r>
      <rPr>
        <sz val="10"/>
        <rFont val="Arial"/>
        <family val="0"/>
        <charset val="1"/>
      </rPr>
      <t xml:space="preserve">«stolta» </t>
    </r>
    <r>
      <rPr>
        <sz val="10"/>
        <rFont val="WenQuanYi Zen Hei"/>
        <family val="2"/>
      </rPr>
      <t xml:space="preserve">대신 </t>
    </r>
    <r>
      <rPr>
        <sz val="10"/>
        <rFont val="Arial"/>
        <family val="0"/>
        <charset val="1"/>
      </rPr>
      <t xml:space="preserve">«Niente male.»</t>
    </r>
    <r>
      <rPr>
        <sz val="10"/>
        <rFont val="WenQuanYi Zen Hei"/>
        <family val="2"/>
      </rPr>
      <t xml:space="preserve">이 나올 때 낙차가 커진다</t>
    </r>
    <r>
      <rPr>
        <sz val="10"/>
        <rFont val="Arial"/>
        <family val="0"/>
        <charset val="1"/>
      </rPr>
      <t xml:space="preserve">.</t>
    </r>
  </si>
  <si>
    <t xml:space="preserve">Recluta! / Pivella</t>
  </si>
  <si>
    <t xml:space="preserve">의용군식 신병 취급</t>
  </si>
  <si>
    <r>
      <rPr>
        <sz val="10"/>
        <rFont val="Arial"/>
        <family val="0"/>
        <charset val="1"/>
      </rPr>
      <t xml:space="preserve">1</t>
    </r>
    <r>
      <rPr>
        <sz val="10"/>
        <rFont val="WenQuanYi Zen Hei"/>
        <family val="2"/>
      </rPr>
      <t xml:space="preserve">차에서 </t>
    </r>
    <r>
      <rPr>
        <sz val="10"/>
        <rFont val="Arial"/>
        <family val="0"/>
        <charset val="1"/>
      </rPr>
      <t xml:space="preserve">1</t>
    </r>
    <r>
      <rPr>
        <sz val="10"/>
        <rFont val="WenQuanYi Zen Hei"/>
        <family val="2"/>
      </rPr>
      <t xml:space="preserve">회</t>
    </r>
  </si>
  <si>
    <r>
      <rPr>
        <sz val="10"/>
        <rFont val="Arial"/>
        <family val="0"/>
        <charset val="1"/>
      </rPr>
      <t xml:space="preserve">1</t>
    </r>
    <r>
      <rPr>
        <sz val="10"/>
        <rFont val="WenQuanYi Zen Hei"/>
        <family val="2"/>
      </rPr>
      <t xml:space="preserve">부 </t>
    </r>
    <r>
      <rPr>
        <sz val="10"/>
        <rFont val="Arial"/>
        <family val="0"/>
        <charset val="1"/>
      </rPr>
      <t xml:space="preserve">6</t>
    </r>
    <r>
      <rPr>
        <sz val="10"/>
        <rFont val="WenQuanYi Zen Hei"/>
        <family val="2"/>
      </rPr>
      <t xml:space="preserve">화</t>
    </r>
    <r>
      <rPr>
        <sz val="10"/>
        <rFont val="Arial"/>
        <family val="0"/>
        <charset val="1"/>
      </rPr>
      <t xml:space="preserve">(</t>
    </r>
    <r>
      <rPr>
        <sz val="10"/>
        <rFont val="WenQuanYi Zen Hei"/>
        <family val="2"/>
      </rPr>
      <t xml:space="preserve">폭발 화</t>
    </r>
    <r>
      <rPr>
        <sz val="10"/>
        <rFont val="Arial"/>
        <family val="0"/>
        <charset val="1"/>
      </rPr>
      <t xml:space="preserve">)</t>
    </r>
    <r>
      <rPr>
        <sz val="10"/>
        <rFont val="WenQuanYi Zen Hei"/>
        <family val="2"/>
      </rPr>
      <t xml:space="preserve">에 카메오로 함께 있으므로 여기서 </t>
    </r>
    <r>
      <rPr>
        <sz val="10"/>
        <rFont val="Arial"/>
        <family val="0"/>
        <charset val="1"/>
      </rPr>
      <t xml:space="preserve">1</t>
    </r>
    <r>
      <rPr>
        <sz val="10"/>
        <rFont val="WenQuanYi Zen Hei"/>
        <family val="2"/>
      </rPr>
      <t xml:space="preserve">회 </t>
    </r>
    <r>
      <rPr>
        <sz val="10"/>
        <rFont val="Arial"/>
        <family val="0"/>
        <charset val="1"/>
      </rPr>
      <t xml:space="preserve">(</t>
    </r>
    <r>
      <rPr>
        <sz val="10"/>
        <rFont val="WenQuanYi Zen Hei"/>
        <family val="2"/>
      </rPr>
      <t xml:space="preserve">확정</t>
    </r>
    <r>
      <rPr>
        <sz val="10"/>
        <rFont val="Arial"/>
        <family val="0"/>
        <charset val="1"/>
      </rPr>
      <t xml:space="preserve">)</t>
    </r>
  </si>
  <si>
    <t xml:space="preserve">Zuccona / Testona</t>
  </si>
  <si>
    <t xml:space="preserve">시장통식 직설</t>
  </si>
  <si>
    <r>
      <rPr>
        <sz val="10"/>
        <rFont val="Arial"/>
        <family val="0"/>
        <charset val="1"/>
      </rPr>
      <t xml:space="preserve">2</t>
    </r>
    <r>
      <rPr>
        <sz val="10"/>
        <rFont val="WenQuanYi Zen Hei"/>
        <family val="2"/>
      </rPr>
      <t xml:space="preserve">차</t>
    </r>
    <r>
      <rPr>
        <sz val="10"/>
        <rFont val="Arial"/>
        <family val="0"/>
        <charset val="1"/>
      </rPr>
      <t xml:space="preserve">(9</t>
    </r>
    <r>
      <rPr>
        <sz val="10"/>
        <rFont val="WenQuanYi Zen Hei"/>
        <family val="2"/>
      </rPr>
      <t xml:space="preserve">부</t>
    </r>
    <r>
      <rPr>
        <sz val="10"/>
        <rFont val="Arial"/>
        <family val="0"/>
        <charset val="1"/>
      </rPr>
      <t xml:space="preserve">)</t>
    </r>
    <r>
      <rPr>
        <sz val="10"/>
        <rFont val="WenQuanYi Zen Hei"/>
        <family val="2"/>
      </rPr>
      <t xml:space="preserve">에서 </t>
    </r>
    <r>
      <rPr>
        <sz val="10"/>
        <rFont val="Arial"/>
        <family val="0"/>
        <charset val="1"/>
      </rPr>
      <t xml:space="preserve">1</t>
    </r>
    <r>
      <rPr>
        <sz val="10"/>
        <rFont val="WenQuanYi Zen Hei"/>
        <family val="2"/>
      </rPr>
      <t xml:space="preserve">회</t>
    </r>
  </si>
  <si>
    <r>
      <rPr>
        <sz val="10"/>
        <rFont val="Arial"/>
        <family val="0"/>
        <charset val="1"/>
      </rPr>
      <t xml:space="preserve">1</t>
    </r>
    <r>
      <rPr>
        <sz val="10"/>
        <rFont val="WenQuanYi Zen Hei"/>
        <family val="2"/>
      </rPr>
      <t xml:space="preserve">차 폭발 화의 카메오 과밀을 피해 이관 </t>
    </r>
    <r>
      <rPr>
        <sz val="10"/>
        <rFont val="Arial"/>
        <family val="0"/>
        <charset val="1"/>
      </rPr>
      <t xml:space="preserve">(</t>
    </r>
    <r>
      <rPr>
        <sz val="10"/>
        <rFont val="WenQuanYi Zen Hei"/>
        <family val="2"/>
      </rPr>
      <t xml:space="preserve">확정</t>
    </r>
    <r>
      <rPr>
        <sz val="10"/>
        <rFont val="Arial"/>
        <family val="0"/>
        <charset val="1"/>
      </rPr>
      <t xml:space="preserve">)</t>
    </r>
  </si>
  <si>
    <t xml:space="preserve">Svampita / Scemotta + «amore»</t>
  </si>
  <si>
    <t xml:space="preserve">애정이 섞여 욕인 줄 모름 (로마 할머니 화법)</t>
  </si>
  <si>
    <t xml:space="preserve">욕하지 않음</t>
  </si>
  <si>
    <t xml:space="preserve">대신 출처를 가리킨다</t>
  </si>
  <si>
    <t xml:space="preserve">«Cercalo tu.»</t>
  </si>
  <si>
    <r>
      <rPr>
        <b val="true"/>
        <sz val="10"/>
        <rFont val="Arial"/>
        <family val="0"/>
        <charset val="1"/>
      </rPr>
      <t xml:space="preserve">5. </t>
    </r>
    <r>
      <rPr>
        <b val="true"/>
        <sz val="10"/>
        <rFont val="WenQuanYi Zen Hei"/>
        <family val="2"/>
      </rPr>
      <t xml:space="preserve">유지 규칙</t>
    </r>
  </si>
  <si>
    <r>
      <rPr>
        <sz val="10"/>
        <rFont val="Arial"/>
        <family val="0"/>
        <charset val="1"/>
      </rPr>
      <t xml:space="preserve">1. Sofia</t>
    </r>
    <r>
      <rPr>
        <sz val="10"/>
        <rFont val="WenQuanYi Zen Hei"/>
        <family val="2"/>
      </rPr>
      <t xml:space="preserve">가 옳은 경우가 있어야 한다</t>
    </r>
    <r>
      <rPr>
        <sz val="10"/>
        <rFont val="Arial"/>
        <family val="0"/>
        <charset val="1"/>
      </rPr>
      <t xml:space="preserve">. 2</t>
    </r>
    <r>
      <rPr>
        <sz val="10"/>
        <rFont val="WenQuanYi Zen Hei"/>
        <family val="2"/>
      </rPr>
      <t xml:space="preserve">차</t>
    </r>
    <r>
      <rPr>
        <sz val="10"/>
        <rFont val="Arial"/>
        <family val="0"/>
        <charset val="1"/>
      </rPr>
      <t xml:space="preserve">(9</t>
    </r>
    <r>
      <rPr>
        <sz val="10"/>
        <rFont val="WenQuanYi Zen Hei"/>
        <family val="2"/>
      </rPr>
      <t xml:space="preserve">부</t>
    </r>
    <r>
      <rPr>
        <sz val="10"/>
        <rFont val="Arial"/>
        <family val="0"/>
        <charset val="1"/>
      </rPr>
      <t xml:space="preserve">)</t>
    </r>
    <r>
      <rPr>
        <sz val="10"/>
        <rFont val="WenQuanYi Zen Hei"/>
        <family val="2"/>
      </rPr>
      <t xml:space="preserve">에서는 관료 용어에 숨은 삭감 조항을 짚어 낸다</t>
    </r>
    <r>
      <rPr>
        <sz val="10"/>
        <rFont val="Arial"/>
        <family val="0"/>
        <charset val="1"/>
      </rPr>
      <t xml:space="preserve">. 1</t>
    </r>
    <r>
      <rPr>
        <sz val="10"/>
        <rFont val="WenQuanYi Zen Hei"/>
        <family val="2"/>
      </rPr>
      <t xml:space="preserve">차에서도 </t>
    </r>
    <r>
      <rPr>
        <sz val="10"/>
        <rFont val="Arial"/>
        <family val="0"/>
        <charset val="1"/>
      </rPr>
      <t xml:space="preserve">Chiara</t>
    </r>
    <r>
      <rPr>
        <sz val="10"/>
        <rFont val="WenQuanYi Zen Hei"/>
        <family val="2"/>
      </rPr>
      <t xml:space="preserve">의 용어</t>
    </r>
    <r>
      <rPr>
        <sz val="10"/>
        <rFont val="Arial"/>
        <family val="0"/>
        <charset val="1"/>
      </rPr>
      <t xml:space="preserve">(sinergie, scalabile)</t>
    </r>
    <r>
      <rPr>
        <sz val="10"/>
        <rFont val="WenQuanYi Zen Hei"/>
        <family val="2"/>
      </rPr>
      <t xml:space="preserve">가 알맹이 없었음이 드러난다</t>
    </r>
    <r>
      <rPr>
        <sz val="10"/>
        <rFont val="Arial"/>
        <family val="0"/>
        <charset val="1"/>
      </rPr>
      <t xml:space="preserve">. Sofia</t>
    </r>
    <r>
      <rPr>
        <sz val="10"/>
        <rFont val="WenQuanYi Zen Hei"/>
        <family val="2"/>
      </rPr>
      <t xml:space="preserve">는 </t>
    </r>
    <r>
      <rPr>
        <sz val="10"/>
        <rFont val="Arial"/>
        <family val="0"/>
        <charset val="1"/>
      </rPr>
      <t xml:space="preserve">'</t>
    </r>
    <r>
      <rPr>
        <sz val="10"/>
        <rFont val="WenQuanYi Zen Hei"/>
        <family val="2"/>
      </rPr>
      <t xml:space="preserve">어려운 말로 숨는 어른들</t>
    </r>
    <r>
      <rPr>
        <sz val="10"/>
        <rFont val="Arial"/>
        <family val="0"/>
        <charset val="1"/>
      </rPr>
      <t xml:space="preserve">'</t>
    </r>
    <r>
      <rPr>
        <sz val="10"/>
        <rFont val="WenQuanYi Zen Hei"/>
        <family val="2"/>
      </rPr>
      <t xml:space="preserve">을 드러내는 인물이다</t>
    </r>
    <r>
      <rPr>
        <sz val="10"/>
        <rFont val="Arial"/>
        <family val="0"/>
        <charset val="1"/>
      </rPr>
      <t xml:space="preserve">.</t>
    </r>
  </si>
  <si>
    <r>
      <rPr>
        <sz val="10"/>
        <rFont val="Arial"/>
        <family val="0"/>
        <charset val="1"/>
      </rPr>
      <t xml:space="preserve">2. </t>
    </r>
    <r>
      <rPr>
        <sz val="10"/>
        <rFont val="WenQuanYi Zen Hei"/>
        <family val="2"/>
      </rPr>
      <t xml:space="preserve">폭발 직후에는 누군가 쉬운 말로 다시 설명한다 </t>
    </r>
    <r>
      <rPr>
        <sz val="10"/>
        <rFont val="Arial"/>
        <family val="0"/>
        <charset val="1"/>
      </rPr>
      <t xml:space="preserve">(</t>
    </r>
    <r>
      <rPr>
        <sz val="10"/>
        <rFont val="WenQuanYi Zen Hei"/>
        <family val="2"/>
      </rPr>
      <t xml:space="preserve">전문 표현 → 쉬운 표현 짝 학습</t>
    </r>
    <r>
      <rPr>
        <sz val="10"/>
        <rFont val="Arial"/>
        <family val="0"/>
        <charset val="1"/>
      </rPr>
      <t xml:space="preserve">). 1</t>
    </r>
    <r>
      <rPr>
        <sz val="10"/>
        <rFont val="WenQuanYi Zen Hei"/>
        <family val="2"/>
      </rPr>
      <t xml:space="preserve">차 담당</t>
    </r>
    <r>
      <rPr>
        <sz val="10"/>
        <rFont val="Arial"/>
        <family val="0"/>
        <charset val="1"/>
      </rPr>
      <t xml:space="preserve">: Alessandro — «Traduco io. Vuol dire: licenziare gente per risparmiare.»</t>
    </r>
  </si>
  <si>
    <r>
      <rPr>
        <sz val="10"/>
        <rFont val="Arial"/>
        <family val="0"/>
        <charset val="1"/>
      </rPr>
      <t xml:space="preserve">3. </t>
    </r>
    <r>
      <rPr>
        <sz val="10"/>
        <rFont val="WenQuanYi Zen Hei"/>
        <family val="2"/>
      </rPr>
      <t xml:space="preserve">욕과 괴롭힘의 선</t>
    </r>
    <r>
      <rPr>
        <sz val="10"/>
        <rFont val="Arial"/>
        <family val="0"/>
        <charset val="1"/>
      </rPr>
      <t xml:space="preserve">: </t>
    </r>
    <r>
      <rPr>
        <sz val="10"/>
        <rFont val="WenQuanYi Zen Hei"/>
        <family val="2"/>
      </rPr>
      <t xml:space="preserve">별도 에피소드를 만들지 않고 </t>
    </r>
    <r>
      <rPr>
        <sz val="10"/>
        <rFont val="Arial"/>
        <family val="0"/>
        <charset val="1"/>
      </rPr>
      <t xml:space="preserve">2</t>
    </r>
    <r>
      <rPr>
        <sz val="10"/>
        <rFont val="WenQuanYi Zen Hei"/>
        <family val="2"/>
      </rPr>
      <t xml:space="preserve">차 폭발에 합친다</t>
    </r>
    <r>
      <rPr>
        <sz val="10"/>
        <rFont val="Arial"/>
        <family val="0"/>
        <charset val="1"/>
      </rPr>
      <t xml:space="preserve">. Cesare</t>
    </r>
    <r>
      <rPr>
        <sz val="10"/>
        <rFont val="WenQuanYi Zen Hei"/>
        <family val="2"/>
      </rPr>
      <t xml:space="preserve">가 정말 아픈 말을 하고 </t>
    </r>
    <r>
      <rPr>
        <sz val="10"/>
        <rFont val="Arial"/>
        <family val="0"/>
        <charset val="1"/>
      </rPr>
      <t xml:space="preserve">Garibaldi·Rosa</t>
    </r>
    <r>
      <rPr>
        <sz val="10"/>
        <rFont val="WenQuanYi Zen Hei"/>
        <family val="2"/>
      </rPr>
      <t xml:space="preserve">가 나무라며</t>
    </r>
    <r>
      <rPr>
        <sz val="10"/>
        <rFont val="Arial"/>
        <family val="0"/>
        <charset val="1"/>
      </rPr>
      <t xml:space="preserve">, </t>
    </r>
    <r>
      <rPr>
        <sz val="10"/>
        <rFont val="WenQuanYi Zen Hei"/>
        <family val="2"/>
      </rPr>
      <t xml:space="preserve">사과는 </t>
    </r>
    <r>
      <rPr>
        <sz val="10"/>
        <rFont val="Arial"/>
        <family val="0"/>
        <charset val="1"/>
      </rPr>
      <t xml:space="preserve">«Ritiro quello che ho detto… in parte.» </t>
    </r>
    <r>
      <rPr>
        <sz val="10"/>
        <rFont val="WenQuanYi Zen Hei"/>
        <family val="2"/>
      </rPr>
      <t xml:space="preserve">정도로 삐딱하게</t>
    </r>
    <r>
      <rPr>
        <sz val="10"/>
        <rFont val="Arial"/>
        <family val="0"/>
        <charset val="1"/>
      </rPr>
      <t xml:space="preserve">.</t>
    </r>
  </si>
  <si>
    <r>
      <rPr>
        <sz val="10"/>
        <rFont val="Arial"/>
        <family val="0"/>
        <charset val="1"/>
      </rPr>
      <t xml:space="preserve">4. </t>
    </r>
    <r>
      <rPr>
        <sz val="10"/>
        <rFont val="WenQuanYi Zen Hei"/>
        <family val="2"/>
      </rPr>
      <t xml:space="preserve">욕설 수위</t>
    </r>
    <r>
      <rPr>
        <sz val="10"/>
        <rFont val="Arial"/>
        <family val="0"/>
        <charset val="1"/>
      </rPr>
      <t xml:space="preserve">: cazzo, vaffanculo </t>
    </r>
    <r>
      <rPr>
        <sz val="10"/>
        <rFont val="WenQuanYi Zen Hei"/>
        <family val="2"/>
      </rPr>
      <t xml:space="preserve">등은 교재에서 제외</t>
    </r>
    <r>
      <rPr>
        <sz val="10"/>
        <rFont val="Arial"/>
        <family val="0"/>
        <charset val="1"/>
      </rPr>
      <t xml:space="preserve">. </t>
    </r>
    <r>
      <rPr>
        <sz val="10"/>
        <rFont val="WenQuanYi Zen Hei"/>
        <family val="2"/>
      </rPr>
      <t xml:space="preserve">필요하면 각주로 </t>
    </r>
    <r>
      <rPr>
        <sz val="10"/>
        <rFont val="Arial"/>
        <family val="0"/>
        <charset val="1"/>
      </rPr>
      <t xml:space="preserve">'</t>
    </r>
    <r>
      <rPr>
        <sz val="10"/>
        <rFont val="WenQuanYi Zen Hei"/>
        <family val="2"/>
      </rPr>
      <t xml:space="preserve">실제로는 더 거칠게 말한다</t>
    </r>
    <r>
      <rPr>
        <sz val="10"/>
        <rFont val="Arial"/>
        <family val="0"/>
        <charset val="1"/>
      </rPr>
      <t xml:space="preserve">'</t>
    </r>
    <r>
      <rPr>
        <sz val="10"/>
        <rFont val="WenQuanYi Zen Hei"/>
        <family val="2"/>
      </rPr>
      <t xml:space="preserve">고만 알려 준다</t>
    </r>
    <r>
      <rPr>
        <sz val="10"/>
        <rFont val="Arial"/>
        <family val="0"/>
        <charset val="1"/>
      </rPr>
      <t xml:space="preserve">. </t>
    </r>
    <r>
      <rPr>
        <sz val="10"/>
        <rFont val="WenQuanYi Zen Hei"/>
        <family val="2"/>
      </rPr>
      <t xml:space="preserve">로마 사투리 욕도 순한 것만</t>
    </r>
    <r>
      <rPr>
        <sz val="10"/>
        <rFont val="Arial"/>
        <family val="0"/>
        <charset val="1"/>
      </rPr>
      <t xml:space="preserve">.</t>
    </r>
  </si>
  <si>
    <r>
      <rPr>
        <b val="true"/>
        <sz val="14"/>
        <color rgb="FF1F3864"/>
        <rFont val="Arial"/>
        <family val="0"/>
        <charset val="1"/>
      </rPr>
      <t xml:space="preserve">Cesare — </t>
    </r>
    <r>
      <rPr>
        <b val="true"/>
        <sz val="14"/>
        <color rgb="FF1F3864"/>
        <rFont val="WenQuanYi Zen Hei"/>
        <family val="2"/>
      </rPr>
      <t xml:space="preserve">부활한 독재관</t>
    </r>
    <r>
      <rPr>
        <b val="true"/>
        <sz val="14"/>
        <color rgb="FF1F3864"/>
        <rFont val="Arial"/>
        <family val="0"/>
        <charset val="1"/>
      </rPr>
      <t xml:space="preserve">, </t>
    </r>
    <r>
      <rPr>
        <b val="true"/>
        <sz val="14"/>
        <color rgb="FF1F3864"/>
        <rFont val="WenQuanYi Zen Hei"/>
        <family val="2"/>
      </rPr>
      <t xml:space="preserve">협상 승리 직후 두 번째 죽음</t>
    </r>
  </si>
  <si>
    <r>
      <rPr>
        <i val="true"/>
        <sz val="9"/>
        <color rgb="FF595959"/>
        <rFont val="Arial"/>
        <family val="0"/>
        <charset val="1"/>
      </rPr>
      <t xml:space="preserve">10</t>
    </r>
    <r>
      <rPr>
        <i val="true"/>
        <sz val="9"/>
        <color rgb="FF595959"/>
        <rFont val="WenQuanYi Zen Hei"/>
        <family val="2"/>
      </rPr>
      <t xml:space="preserve">부 동안 매 겨울 </t>
    </r>
    <r>
      <rPr>
        <i val="true"/>
        <sz val="9"/>
        <color rgb="FF595959"/>
        <rFont val="Arial"/>
        <family val="0"/>
        <charset val="1"/>
      </rPr>
      <t xml:space="preserve">'</t>
    </r>
    <r>
      <rPr>
        <i val="true"/>
        <sz val="9"/>
        <color rgb="FF595959"/>
        <rFont val="WenQuanYi Zen Hei"/>
        <family val="2"/>
      </rPr>
      <t xml:space="preserve">마지막</t>
    </r>
    <r>
      <rPr>
        <i val="true"/>
        <sz val="9"/>
        <color rgb="FF595959"/>
        <rFont val="Arial"/>
        <family val="0"/>
        <charset val="1"/>
      </rPr>
      <t xml:space="preserve">'</t>
    </r>
    <r>
      <rPr>
        <i val="true"/>
        <sz val="9"/>
        <color rgb="FF595959"/>
        <rFont val="WenQuanYi Zen Hei"/>
        <family val="2"/>
      </rPr>
      <t xml:space="preserve">이라고 외치는 양치기 소년 → </t>
    </r>
    <r>
      <rPr>
        <i val="true"/>
        <sz val="9"/>
        <color rgb="FF595959"/>
        <rFont val="Arial"/>
        <family val="0"/>
        <charset val="1"/>
      </rPr>
      <t xml:space="preserve">11</t>
    </r>
    <r>
      <rPr>
        <i val="true"/>
        <sz val="9"/>
        <color rgb="FF595959"/>
        <rFont val="WenQuanYi Zen Hei"/>
        <family val="2"/>
      </rPr>
      <t xml:space="preserve">부에서 </t>
    </r>
    <r>
      <rPr>
        <i val="true"/>
        <sz val="9"/>
        <color rgb="FF595959"/>
        <rFont val="Arial"/>
        <family val="0"/>
        <charset val="1"/>
      </rPr>
      <t xml:space="preserve">2</t>
    </r>
    <r>
      <rPr>
        <i val="true"/>
        <sz val="9"/>
        <color rgb="FF595959"/>
        <rFont val="WenQuanYi Zen Hei"/>
        <family val="2"/>
      </rPr>
      <t xml:space="preserve">천 년 만에 다시 협상가가 되어 브뤼셀에서 승리하고</t>
    </r>
    <r>
      <rPr>
        <i val="true"/>
        <sz val="9"/>
        <color rgb="FF595959"/>
        <rFont val="Arial"/>
        <family val="0"/>
        <charset val="1"/>
      </rPr>
      <t xml:space="preserve">, </t>
    </r>
    <r>
      <rPr>
        <i val="true"/>
        <sz val="9"/>
        <color rgb="FF595959"/>
        <rFont val="WenQuanYi Zen Hei"/>
        <family val="2"/>
      </rPr>
      <t xml:space="preserve">그 직후 </t>
    </r>
    <r>
      <rPr>
        <i val="true"/>
        <sz val="9"/>
        <color rgb="FF595959"/>
        <rFont val="Arial"/>
        <family val="0"/>
        <charset val="1"/>
      </rPr>
      <t xml:space="preserve">12</t>
    </r>
    <r>
      <rPr>
        <i val="true"/>
        <sz val="9"/>
        <color rgb="FF595959"/>
        <rFont val="WenQuanYi Zen Hei"/>
        <family val="2"/>
      </rPr>
      <t xml:space="preserve">화에서 진짜로</t>
    </r>
    <r>
      <rPr>
        <i val="true"/>
        <sz val="9"/>
        <color rgb="FF595959"/>
        <rFont val="Arial"/>
        <family val="0"/>
        <charset val="1"/>
      </rPr>
      <t xml:space="preserve">(</t>
    </r>
    <r>
      <rPr>
        <i val="true"/>
        <sz val="9"/>
        <color rgb="FF595959"/>
        <rFont val="WenQuanYi Zen Hei"/>
        <family val="2"/>
      </rPr>
      <t xml:space="preserve">두 번째로</t>
    </r>
    <r>
      <rPr>
        <i val="true"/>
        <sz val="9"/>
        <color rgb="FF595959"/>
        <rFont val="Arial"/>
        <family val="0"/>
        <charset val="1"/>
      </rPr>
      <t xml:space="preserve">) </t>
    </r>
    <r>
      <rPr>
        <i val="true"/>
        <sz val="9"/>
        <color rgb="FF595959"/>
        <rFont val="WenQuanYi Zen Hei"/>
        <family val="2"/>
      </rPr>
      <t xml:space="preserve">죽는다</t>
    </r>
    <r>
      <rPr>
        <i val="true"/>
        <sz val="9"/>
        <color rgb="FF595959"/>
        <rFont val="Arial"/>
        <family val="0"/>
        <charset val="1"/>
      </rPr>
      <t xml:space="preserve">.</t>
    </r>
  </si>
  <si>
    <t xml:space="preserve">내용</t>
  </si>
  <si>
    <t xml:space="preserve">나이</t>
  </si>
  <si>
    <t xml:space="preserve">정중하게 독을 뿌리는 심술 영감. 예의를 지키며 비꼬는 화법이라 Paolo·Garibaldi의 큰 소리 화법과 구분된다. 자기 자신을 3인칭(«Cesare pensa…»)으로 부른다. 낭독하면 '정중한데 기분 나쁜' 억양 연습이 된다.</t>
  </si>
  <si>
    <t xml:space="preserve">심술 패턴</t>
  </si>
  <si>
    <t xml:space="preserve">커피가 맛없다고 매일 불평(«Che modo di rovinare un buon caffè.»). Chiara를 «quella delle slide», Dante의 원고를 «le mille bozze»라고 놀림. 모든 것이 «Ai miei tempi»(기원전!)보다 못하다.</t>
  </si>
  <si>
    <t xml:space="preserve">반복 개그</t>
  </si>
  <si>
    <t xml:space="preserve">매 겨울 «Questo sarà il mio ultimo inverno.» 선언, 유언장을 계속 고쳐 씀 (Sofia에게 우산을 물려주겠다 등). 입버릇 «Lo scrivano nel mio testamento.»(고풍 격식 복수 Loro). 모두 '또 시작이네' 하며 웃어넘긴다.</t>
  </si>
  <si>
    <t xml:space="preserve">가짜 병</t>
  </si>
  <si>
    <t xml:space="preserve">무릎, 소화, 불면 — 전부 엄살. 부은 발목은 «Sono i calzari.»(샌들 탓). 소란스러운 엄살이 진짜 병의 위장이 된다.</t>
  </si>
  <si>
    <t xml:space="preserve">진짜 병</t>
  </si>
  <si>
    <t xml:space="preserve">만성 심부전 (insufficienza cardiaca cronica). 이것만 숨긴다.</t>
  </si>
  <si>
    <r>
      <rPr>
        <b val="true"/>
        <sz val="10"/>
        <rFont val="Arial"/>
        <family val="0"/>
        <charset val="1"/>
      </rPr>
      <t xml:space="preserve">Giulia</t>
    </r>
    <r>
      <rPr>
        <b val="true"/>
        <sz val="10"/>
        <rFont val="WenQuanYi Zen Hei"/>
        <family val="2"/>
      </rPr>
      <t xml:space="preserve">의 딜레마</t>
    </r>
  </si>
  <si>
    <r>
      <rPr>
        <sz val="10"/>
        <rFont val="Noto Sans CJK SC"/>
        <family val="2"/>
        <charset val="1"/>
      </rPr>
      <t xml:space="preserve">Giulia</t>
    </r>
    <r>
      <rPr>
        <sz val="10"/>
        <rFont val="WenQuanYi Zen Hei"/>
        <family val="2"/>
      </rPr>
      <t xml:space="preserve">는 진단을 알지만 의사의 비밀유지</t>
    </r>
    <r>
      <rPr>
        <sz val="10"/>
        <rFont val="Noto Sans CJK SC"/>
        <family val="2"/>
        <charset val="1"/>
      </rPr>
      <t xml:space="preserve">(segreto professionale)</t>
    </r>
    <r>
      <rPr>
        <sz val="10"/>
        <rFont val="WenQuanYi Zen Hei"/>
        <family val="2"/>
      </rPr>
      <t xml:space="preserve">를 지킨다</t>
    </r>
    <r>
      <rPr>
        <sz val="10"/>
        <rFont val="Noto Sans CJK SC"/>
        <family val="2"/>
        <charset val="1"/>
      </rPr>
      <t xml:space="preserve">. Cesare</t>
    </r>
    <r>
      <rPr>
        <sz val="10"/>
        <rFont val="WenQuanYi Zen Hei"/>
        <family val="2"/>
      </rPr>
      <t xml:space="preserve">가 </t>
    </r>
    <r>
      <rPr>
        <sz val="10"/>
        <rFont val="Noto Sans CJK SC"/>
        <family val="2"/>
        <charset val="1"/>
      </rPr>
      <t xml:space="preserve">«Dottoressa, questo resta tra noi.»</t>
    </r>
    <r>
      <rPr>
        <sz val="10"/>
        <rFont val="WenQuanYi Zen Hei"/>
        <family val="2"/>
      </rPr>
      <t xml:space="preserve">라고 못 박았기 때문</t>
    </r>
    <r>
      <rPr>
        <sz val="10"/>
        <rFont val="Noto Sans CJK SC"/>
        <family val="2"/>
        <charset val="1"/>
      </rPr>
      <t xml:space="preserve">. </t>
    </r>
    <r>
      <rPr>
        <sz val="10"/>
        <rFont val="WenQuanYi Zen Hei"/>
        <family val="2"/>
      </rPr>
      <t xml:space="preserve">시청자가 뒤늦게 </t>
    </r>
    <r>
      <rPr>
        <sz val="10"/>
        <rFont val="Noto Sans CJK SC"/>
        <family val="2"/>
        <charset val="1"/>
      </rPr>
      <t xml:space="preserve">'Giulia</t>
    </r>
    <r>
      <rPr>
        <sz val="10"/>
        <rFont val="WenQuanYi Zen Hei"/>
        <family val="2"/>
      </rPr>
      <t xml:space="preserve">가 왜 조용했는지</t>
    </r>
    <r>
      <rPr>
        <sz val="10"/>
        <rFont val="Noto Sans CJK SC"/>
        <family val="2"/>
        <charset val="1"/>
      </rPr>
      <t xml:space="preserve">' </t>
    </r>
    <r>
      <rPr>
        <sz val="10"/>
        <rFont val="WenQuanYi Zen Hei"/>
        <family val="2"/>
      </rPr>
      <t xml:space="preserve">깨닫는 구조</t>
    </r>
    <r>
      <rPr>
        <sz val="10"/>
        <rFont val="Noto Sans CJK SC"/>
        <family val="2"/>
        <charset val="1"/>
      </rPr>
      <t xml:space="preserve">.</t>
    </r>
  </si>
  <si>
    <t xml:space="preserve">최고의 칭찬</t>
  </si>
  <si>
    <r>
      <rPr>
        <sz val="10"/>
        <rFont val="Arial"/>
        <family val="0"/>
        <charset val="1"/>
      </rPr>
      <t xml:space="preserve">«Niente male.» — </t>
    </r>
    <r>
      <rPr>
        <sz val="10"/>
        <rFont val="WenQuanYi Zen Hei"/>
        <family val="2"/>
      </rPr>
      <t xml:space="preserve">극히 드물게 쓰는 표현</t>
    </r>
    <r>
      <rPr>
        <sz val="10"/>
        <rFont val="Arial"/>
        <family val="0"/>
        <charset val="1"/>
      </rPr>
      <t xml:space="preserve">. Sofia</t>
    </r>
    <r>
      <rPr>
        <sz val="10"/>
        <rFont val="WenQuanYi Zen Hei"/>
        <family val="2"/>
      </rPr>
      <t xml:space="preserve">에게는 </t>
    </r>
    <r>
      <rPr>
        <sz val="10"/>
        <rFont val="Arial"/>
        <family val="0"/>
        <charset val="1"/>
      </rPr>
      <t xml:space="preserve">11</t>
    </r>
    <r>
      <rPr>
        <sz val="10"/>
        <rFont val="WenQuanYi Zen Hei"/>
        <family val="2"/>
      </rPr>
      <t xml:space="preserve">부 </t>
    </r>
    <r>
      <rPr>
        <sz val="10"/>
        <rFont val="Arial"/>
        <family val="0"/>
        <charset val="1"/>
      </rPr>
      <t xml:space="preserve">12</t>
    </r>
    <r>
      <rPr>
        <sz val="10"/>
        <rFont val="WenQuanYi Zen Hei"/>
        <family val="2"/>
      </rPr>
      <t xml:space="preserve">화</t>
    </r>
    <r>
      <rPr>
        <sz val="10"/>
        <rFont val="Arial"/>
        <family val="0"/>
        <charset val="1"/>
      </rPr>
      <t xml:space="preserve">(</t>
    </r>
    <r>
      <rPr>
        <sz val="10"/>
        <rFont val="WenQuanYi Zen Hei"/>
        <family val="2"/>
      </rPr>
      <t xml:space="preserve">사망 직전</t>
    </r>
    <r>
      <rPr>
        <sz val="10"/>
        <rFont val="Arial"/>
        <family val="0"/>
        <charset val="1"/>
      </rPr>
      <t xml:space="preserve">)</t>
    </r>
    <r>
      <rPr>
        <sz val="10"/>
        <rFont val="WenQuanYi Zen Hei"/>
        <family val="2"/>
      </rPr>
      <t xml:space="preserve">가 사실상 처음이어야 낙차가 산다</t>
    </r>
    <r>
      <rPr>
        <sz val="10"/>
        <rFont val="Arial"/>
        <family val="0"/>
        <charset val="1"/>
      </rPr>
      <t xml:space="preserve">.</t>
    </r>
  </si>
  <si>
    <t xml:space="preserve">호칭·욕</t>
  </si>
  <si>
    <t xml:space="preserve">여럿에게는 Loro, Sofia에게는 tu(«ragazza»). 욕(«stolta»)은 Sofia에게만, 폭발 장면 2회 한정.</t>
  </si>
  <si>
    <t xml:space="preserve">죽음 이후</t>
  </si>
  <si>
    <r>
      <rPr>
        <sz val="10"/>
        <rFont val="Arial"/>
        <family val="0"/>
        <charset val="1"/>
      </rPr>
      <t xml:space="preserve">La Vecchia Guardia</t>
    </r>
    <r>
      <rPr>
        <sz val="10"/>
        <rFont val="WenQuanYi Zen Hei"/>
        <family val="2"/>
      </rPr>
      <t xml:space="preserve">는 </t>
    </r>
    <r>
      <rPr>
        <sz val="10"/>
        <rFont val="Arial"/>
        <family val="0"/>
        <charset val="1"/>
      </rPr>
      <t xml:space="preserve">Garibaldi + Gramsci + Machiavelli + </t>
    </r>
    <r>
      <rPr>
        <sz val="10"/>
        <rFont val="WenQuanYi Zen Hei"/>
        <family val="2"/>
      </rPr>
      <t xml:space="preserve">빈 의자</t>
    </r>
    <r>
      <rPr>
        <sz val="10"/>
        <rFont val="Arial"/>
        <family val="0"/>
        <charset val="1"/>
      </rPr>
      <t xml:space="preserve">. 12</t>
    </r>
    <r>
      <rPr>
        <sz val="10"/>
        <rFont val="WenQuanYi Zen Hei"/>
        <family val="2"/>
      </rPr>
      <t xml:space="preserve">부 </t>
    </r>
    <r>
      <rPr>
        <sz val="10"/>
        <rFont val="Arial"/>
        <family val="0"/>
        <charset val="1"/>
      </rPr>
      <t xml:space="preserve">10</t>
    </r>
    <r>
      <rPr>
        <sz val="10"/>
        <rFont val="WenQuanYi Zen Hei"/>
        <family val="2"/>
      </rPr>
      <t xml:space="preserve">화 </t>
    </r>
    <r>
      <rPr>
        <sz val="10"/>
        <rFont val="Arial"/>
        <family val="0"/>
        <charset val="1"/>
      </rPr>
      <t xml:space="preserve">'Il vuoto nella Vecchia Guardia'</t>
    </r>
    <r>
      <rPr>
        <sz val="10"/>
        <rFont val="WenQuanYi Zen Hei"/>
        <family val="2"/>
      </rPr>
      <t xml:space="preserve">에서 정면으로 다룬다</t>
    </r>
    <r>
      <rPr>
        <sz val="10"/>
        <rFont val="Arial"/>
        <family val="0"/>
        <charset val="1"/>
      </rPr>
      <t xml:space="preserve">.</t>
    </r>
  </si>
  <si>
    <r>
      <rPr>
        <b val="true"/>
        <sz val="10"/>
        <rFont val="Arial"/>
        <family val="0"/>
        <charset val="1"/>
      </rPr>
      <t xml:space="preserve">2. </t>
    </r>
    <r>
      <rPr>
        <b val="true"/>
        <sz val="10"/>
        <rFont val="WenQuanYi Zen Hei"/>
        <family val="2"/>
      </rPr>
      <t xml:space="preserve">복선</t>
    </r>
    <r>
      <rPr>
        <b val="true"/>
        <sz val="10"/>
        <rFont val="Arial"/>
        <family val="0"/>
        <charset val="1"/>
      </rPr>
      <t xml:space="preserve">·</t>
    </r>
    <r>
      <rPr>
        <b val="true"/>
        <sz val="10"/>
        <rFont val="WenQuanYi Zen Hei"/>
        <family val="2"/>
      </rPr>
      <t xml:space="preserve">사망 타임라인 </t>
    </r>
    <r>
      <rPr>
        <b val="true"/>
        <sz val="10"/>
        <rFont val="Arial"/>
        <family val="0"/>
        <charset val="1"/>
      </rPr>
      <t xml:space="preserve">(</t>
    </r>
    <r>
      <rPr>
        <b val="true"/>
        <sz val="10"/>
        <rFont val="WenQuanYi Zen Hei"/>
        <family val="2"/>
      </rPr>
      <t xml:space="preserve">전부 대사로 처리</t>
    </r>
    <r>
      <rPr>
        <b val="true"/>
        <sz val="10"/>
        <rFont val="Arial"/>
        <family val="0"/>
        <charset val="1"/>
      </rPr>
      <t xml:space="preserve">)</t>
    </r>
  </si>
  <si>
    <t xml:space="preserve">대화문 처리 방식</t>
  </si>
  <si>
    <t xml:space="preserve">대사 예시 (IT)</t>
  </si>
  <si>
    <t xml:space="preserve">학습 어휘</t>
  </si>
  <si>
    <r>
      <rPr>
        <b val="true"/>
        <sz val="10"/>
        <rFont val="Arial"/>
        <family val="0"/>
        <charset val="1"/>
      </rPr>
      <t xml:space="preserve">1~10</t>
    </r>
    <r>
      <rPr>
        <b val="true"/>
        <sz val="10"/>
        <rFont val="WenQuanYi Zen Hei"/>
        <family val="2"/>
      </rPr>
      <t xml:space="preserve">부 </t>
    </r>
    <r>
      <rPr>
        <b val="true"/>
        <sz val="10"/>
        <rFont val="Arial"/>
        <family val="0"/>
        <charset val="1"/>
      </rPr>
      <t xml:space="preserve">(</t>
    </r>
    <r>
      <rPr>
        <b val="true"/>
        <sz val="10"/>
        <rFont val="WenQuanYi Zen Hei"/>
        <family val="2"/>
      </rPr>
      <t xml:space="preserve">매 겨울</t>
    </r>
    <r>
      <rPr>
        <b val="true"/>
        <sz val="10"/>
        <rFont val="Arial"/>
        <family val="0"/>
        <charset val="1"/>
      </rPr>
      <t xml:space="preserve">)</t>
    </r>
  </si>
  <si>
    <r>
      <rPr>
        <sz val="10"/>
        <rFont val="Arial"/>
        <family val="0"/>
        <charset val="1"/>
      </rPr>
      <t xml:space="preserve">'</t>
    </r>
    <r>
      <rPr>
        <sz val="10"/>
        <rFont val="WenQuanYi Zen Hei"/>
        <family val="2"/>
      </rPr>
      <t xml:space="preserve">마지막 겨울</t>
    </r>
    <r>
      <rPr>
        <sz val="10"/>
        <rFont val="Arial"/>
        <family val="0"/>
        <charset val="1"/>
      </rPr>
      <t xml:space="preserve">' </t>
    </r>
    <r>
      <rPr>
        <sz val="10"/>
        <rFont val="WenQuanYi Zen Hei"/>
        <family val="2"/>
      </rPr>
      <t xml:space="preserve">선언과 유언장 수정</t>
    </r>
    <r>
      <rPr>
        <sz val="10"/>
        <rFont val="Arial"/>
        <family val="0"/>
        <charset val="1"/>
      </rPr>
      <t xml:space="preserve">. 1</t>
    </r>
    <r>
      <rPr>
        <sz val="10"/>
        <rFont val="WenQuanYi Zen Hei"/>
        <family val="2"/>
      </rPr>
      <t xml:space="preserve">부 </t>
    </r>
    <r>
      <rPr>
        <sz val="10"/>
        <rFont val="Arial"/>
        <family val="0"/>
        <charset val="1"/>
      </rPr>
      <t xml:space="preserve">1</t>
    </r>
    <r>
      <rPr>
        <sz val="10"/>
        <rFont val="WenQuanYi Zen Hei"/>
        <family val="2"/>
      </rPr>
      <t xml:space="preserve">화</t>
    </r>
    <r>
      <rPr>
        <sz val="10"/>
        <rFont val="Arial"/>
        <family val="0"/>
        <charset val="1"/>
      </rPr>
      <t xml:space="preserve">(</t>
    </r>
    <r>
      <rPr>
        <sz val="10"/>
        <rFont val="WenQuanYi Zen Hei"/>
        <family val="2"/>
      </rPr>
      <t xml:space="preserve">개소 </t>
    </r>
    <r>
      <rPr>
        <sz val="10"/>
        <rFont val="Arial"/>
        <family val="0"/>
        <charset val="1"/>
      </rPr>
      <t xml:space="preserve">1</t>
    </r>
    <r>
      <rPr>
        <sz val="10"/>
        <rFont val="WenQuanYi Zen Hei"/>
        <family val="2"/>
      </rPr>
      <t xml:space="preserve">개월 시점</t>
    </r>
    <r>
      <rPr>
        <sz val="10"/>
        <rFont val="Arial"/>
        <family val="0"/>
        <charset val="1"/>
      </rPr>
      <t xml:space="preserve">)</t>
    </r>
    <r>
      <rPr>
        <sz val="10"/>
        <rFont val="WenQuanYi Zen Hei"/>
        <family val="2"/>
      </rPr>
      <t xml:space="preserve">부터 이미 반복되어 온 농담으로 등장한다</t>
    </r>
    <r>
      <rPr>
        <sz val="10"/>
        <rFont val="Arial"/>
        <family val="0"/>
        <charset val="1"/>
      </rPr>
      <t xml:space="preserve">.</t>
    </r>
  </si>
  <si>
    <t xml:space="preserve">본인이 선언하고 주변이 «Di nuovo…»로 받는다.</t>
  </si>
  <si>
    <t xml:space="preserve">Questo sarà il mio ultimo inverno. Lo scrivano nel mio testamento.</t>
  </si>
  <si>
    <t xml:space="preserve">testamento, lasciare in eredità, inverno</t>
  </si>
  <si>
    <r>
      <rPr>
        <b val="true"/>
        <sz val="10"/>
        <rFont val="Arial"/>
        <family val="0"/>
        <charset val="1"/>
      </rPr>
      <t xml:space="preserve">1~11</t>
    </r>
    <r>
      <rPr>
        <b val="true"/>
        <sz val="10"/>
        <rFont val="WenQuanYi Zen Hei"/>
        <family val="2"/>
      </rPr>
      <t xml:space="preserve">부</t>
    </r>
  </si>
  <si>
    <t xml:space="preserve">가짜 병 (무릎·소화·불면)</t>
  </si>
  <si>
    <r>
      <rPr>
        <sz val="10"/>
        <rFont val="Arial"/>
        <family val="0"/>
        <charset val="1"/>
      </rPr>
      <t xml:space="preserve">Giulia</t>
    </r>
    <r>
      <rPr>
        <sz val="10"/>
        <rFont val="WenQuanYi Zen Hei"/>
        <family val="2"/>
      </rPr>
      <t xml:space="preserve">가 </t>
    </r>
    <r>
      <rPr>
        <sz val="10"/>
        <rFont val="Arial"/>
        <family val="0"/>
        <charset val="1"/>
      </rPr>
      <t xml:space="preserve">«Non ha niente.»</t>
    </r>
    <r>
      <rPr>
        <sz val="10"/>
        <rFont val="WenQuanYi Zen Hei"/>
        <family val="2"/>
      </rPr>
      <t xml:space="preserve">로 넘긴다</t>
    </r>
    <r>
      <rPr>
        <sz val="10"/>
        <rFont val="Arial"/>
        <family val="0"/>
        <charset val="1"/>
      </rPr>
      <t xml:space="preserve">.</t>
    </r>
  </si>
  <si>
    <t xml:space="preserve">Mi fa male il ginocchio. È la fine.</t>
  </si>
  <si>
    <t xml:space="preserve">ginocchio, digestione, insonnia, acciacco</t>
  </si>
  <si>
    <r>
      <rPr>
        <sz val="10"/>
        <rFont val="Arial"/>
        <family val="0"/>
        <charset val="1"/>
      </rPr>
      <t xml:space="preserve">«Puoi darmi del tu.» </t>
    </r>
    <r>
      <rPr>
        <sz val="10"/>
        <rFont val="WenQuanYi Zen Hei"/>
        <family val="2"/>
      </rPr>
      <t xml:space="preserve">허락 — </t>
    </r>
    <r>
      <rPr>
        <sz val="10"/>
        <rFont val="Arial"/>
        <family val="0"/>
        <charset val="1"/>
      </rPr>
      <t xml:space="preserve">Sofia</t>
    </r>
    <r>
      <rPr>
        <sz val="10"/>
        <rFont val="WenQuanYi Zen Hei"/>
        <family val="2"/>
      </rPr>
      <t xml:space="preserve">는 습관 때문에 </t>
    </r>
    <r>
      <rPr>
        <sz val="10"/>
        <rFont val="Arial"/>
        <family val="0"/>
        <charset val="1"/>
      </rPr>
      <t xml:space="preserve">Lei </t>
    </r>
    <r>
      <rPr>
        <sz val="10"/>
        <rFont val="WenQuanYi Zen Hei"/>
        <family val="2"/>
      </rPr>
      <t xml:space="preserve">유지</t>
    </r>
  </si>
  <si>
    <t xml:space="preserve">허락과 거절이 모두 대사로 나온다.</t>
  </si>
  <si>
    <t xml:space="preserve">Puoi darmi del tu, ragazza. / Mi scusi, è l'abitudine.</t>
  </si>
  <si>
    <t xml:space="preserve">dare del tu, abitudine</t>
  </si>
  <si>
    <r>
      <rPr>
        <sz val="10"/>
        <rFont val="Arial"/>
        <family val="0"/>
        <charset val="1"/>
      </rPr>
      <t xml:space="preserve">Sofia 2</t>
    </r>
    <r>
      <rPr>
        <sz val="10"/>
        <rFont val="WenQuanYi Zen Hei"/>
        <family val="2"/>
      </rPr>
      <t xml:space="preserve">차 폭발에서 </t>
    </r>
    <r>
      <rPr>
        <sz val="10"/>
        <rFont val="Arial"/>
        <family val="0"/>
        <charset val="1"/>
      </rPr>
      <t xml:space="preserve">Cesare</t>
    </r>
    <r>
      <rPr>
        <sz val="10"/>
        <rFont val="WenQuanYi Zen Hei"/>
        <family val="2"/>
      </rPr>
      <t xml:space="preserve">가 선을 넘음 → </t>
    </r>
    <r>
      <rPr>
        <sz val="10"/>
        <rFont val="Arial"/>
        <family val="0"/>
        <charset val="1"/>
      </rPr>
      <t xml:space="preserve">Garibaldi·Rosa</t>
    </r>
    <r>
      <rPr>
        <sz val="10"/>
        <rFont val="WenQuanYi Zen Hei"/>
        <family val="2"/>
      </rPr>
      <t xml:space="preserve">가 나무람</t>
    </r>
  </si>
  <si>
    <t xml:space="preserve">선을 넘는 말과 사과 모두 대사로.</t>
  </si>
  <si>
    <t xml:space="preserve">Ritiro quello che ho detto… in parte.</t>
  </si>
  <si>
    <t xml:space="preserve">ritirare, scusarsi</t>
  </si>
  <si>
    <r>
      <rPr>
        <b val="true"/>
        <sz val="10"/>
        <rFont val="Arial"/>
        <family val="0"/>
        <charset val="1"/>
      </rPr>
      <t xml:space="preserve">11</t>
    </r>
    <r>
      <rPr>
        <b val="true"/>
        <sz val="10"/>
        <rFont val="WenQuanYi Zen Hei"/>
        <family val="2"/>
      </rPr>
      <t xml:space="preserve">부 </t>
    </r>
    <r>
      <rPr>
        <b val="true"/>
        <sz val="10"/>
        <rFont val="Arial"/>
        <family val="0"/>
        <charset val="1"/>
      </rPr>
      <t xml:space="preserve">6</t>
    </r>
    <r>
      <rPr>
        <b val="true"/>
        <sz val="10"/>
        <rFont val="WenQuanYi Zen Hei"/>
        <family val="2"/>
      </rPr>
      <t xml:space="preserve">화</t>
    </r>
  </si>
  <si>
    <t xml:space="preserve">청년 고용 협상에서 좋은 조언을 하지만 계단에서 숨이 가쁜 게 처음으로 드러남 (죽음은 아직 아님)</t>
  </si>
  <si>
    <r>
      <rPr>
        <sz val="10"/>
        <rFont val="Arial"/>
        <family val="0"/>
        <charset val="1"/>
      </rPr>
      <t xml:space="preserve">«Non ha niente»</t>
    </r>
    <r>
      <rPr>
        <sz val="10"/>
        <rFont val="WenQuanYi Zen Hei"/>
        <family val="2"/>
      </rPr>
      <t xml:space="preserve">가 아니라 </t>
    </r>
    <r>
      <rPr>
        <sz val="10"/>
        <rFont val="Arial"/>
        <family val="0"/>
        <charset val="1"/>
      </rPr>
      <t xml:space="preserve">«Sto bene, sono solo le scale»</t>
    </r>
    <r>
      <rPr>
        <sz val="10"/>
        <rFont val="WenQuanYi Zen Hei"/>
        <family val="2"/>
      </rPr>
      <t xml:space="preserve">로 처음 균열</t>
    </r>
    <r>
      <rPr>
        <sz val="10"/>
        <rFont val="Arial"/>
        <family val="0"/>
        <charset val="1"/>
      </rPr>
      <t xml:space="preserve">.</t>
    </r>
  </si>
  <si>
    <t xml:space="preserve">Sto bene. Sono solo le scale, ragazza.</t>
  </si>
  <si>
    <t xml:space="preserve">scale, fiato, affanno, stanchezza</t>
  </si>
  <si>
    <r>
      <rPr>
        <b val="true"/>
        <sz val="10"/>
        <rFont val="Arial"/>
        <family val="0"/>
        <charset val="1"/>
      </rPr>
      <t xml:space="preserve">11</t>
    </r>
    <r>
      <rPr>
        <b val="true"/>
        <sz val="10"/>
        <rFont val="WenQuanYi Zen Hei"/>
        <family val="2"/>
      </rPr>
      <t xml:space="preserve">부 </t>
    </r>
    <r>
      <rPr>
        <b val="true"/>
        <sz val="10"/>
        <rFont val="Arial"/>
        <family val="0"/>
        <charset val="1"/>
      </rPr>
      <t xml:space="preserve">9</t>
    </r>
    <r>
      <rPr>
        <b val="true"/>
        <sz val="10"/>
        <rFont val="WenQuanYi Zen Hei"/>
        <family val="2"/>
      </rPr>
      <t xml:space="preserve">화</t>
    </r>
  </si>
  <si>
    <t xml:space="preserve">브뤼셀行 자원(«Cesare andrà.»). Dante에게 짐을 싸며 두 지도자를 특징으로만 묘사 — 건물에 금박 이름을 새긴 사업가 출신과, 정보기관 출신으로 이웃 나라 땅을 가져간 인물. 이름·국가는 끝내 말하지 않는다.</t>
  </si>
  <si>
    <t xml:space="preserve">실명 대신 행동·이력의 특징만 나열. 실존 인물 실명 미사용.</t>
  </si>
  <si>
    <t xml:space="preserve">Uno ha scritto il suo nome in lettere d'oro sui suoi palazzi. Ora vende dazi allo stesso modo, urlando. / Somiglierà a chi vuole Lei, giovanotto. Io descrivo solo il paesaggio.</t>
  </si>
  <si>
    <t xml:space="preserve">dazi, servizi segreti, regime, discrezione diplomatica</t>
  </si>
  <si>
    <r>
      <rPr>
        <b val="true"/>
        <sz val="10"/>
        <rFont val="Arial"/>
        <family val="0"/>
        <charset val="1"/>
      </rPr>
      <t xml:space="preserve">11</t>
    </r>
    <r>
      <rPr>
        <b val="true"/>
        <sz val="10"/>
        <rFont val="WenQuanYi Zen Hei"/>
        <family val="2"/>
      </rPr>
      <t xml:space="preserve">부 </t>
    </r>
    <r>
      <rPr>
        <b val="true"/>
        <sz val="10"/>
        <rFont val="Arial"/>
        <family val="0"/>
        <charset val="1"/>
      </rPr>
      <t xml:space="preserve">10</t>
    </r>
    <r>
      <rPr>
        <b val="true"/>
        <sz val="10"/>
        <rFont val="WenQuanYi Zen Hei"/>
        <family val="2"/>
      </rPr>
      <t xml:space="preserve">화</t>
    </r>
  </si>
  <si>
    <t xml:space="preserve">직접 협상. 상대의 과장·거짓 주장을 합의문의 날짜·조항으로 정확히 반박. 벨가이 인용으로 긴장을 푼다.</t>
  </si>
  <si>
    <r>
      <rPr>
        <sz val="10"/>
        <rFont val="Arial"/>
        <family val="0"/>
        <charset val="1"/>
      </rPr>
      <t xml:space="preserve">«Mi permetta di correggerLa»</t>
    </r>
    <r>
      <rPr>
        <sz val="10"/>
        <rFont val="WenQuanYi Zen Hei"/>
        <family val="2"/>
      </rPr>
      <t xml:space="preserve">로 시작하는 반박 대사</t>
    </r>
    <r>
      <rPr>
        <sz val="10"/>
        <rFont val="Arial"/>
        <family val="0"/>
        <charset val="1"/>
      </rPr>
      <t xml:space="preserve">.</t>
    </r>
  </si>
  <si>
    <t xml:space="preserve">Horum omnium fortissimi sunt Belgae. / Cesare ricorda le date meglio dei vostri archivi, giovanotto. Li rilegga con più attenzione.</t>
  </si>
  <si>
    <t xml:space="preserve">correggere, archivio, precisione diplomatica</t>
  </si>
  <si>
    <r>
      <rPr>
        <b val="true"/>
        <sz val="10"/>
        <rFont val="Arial"/>
        <family val="0"/>
        <charset val="1"/>
      </rPr>
      <t xml:space="preserve">11</t>
    </r>
    <r>
      <rPr>
        <b val="true"/>
        <sz val="10"/>
        <rFont val="WenQuanYi Zen Hei"/>
        <family val="2"/>
      </rPr>
      <t xml:space="preserve">부 </t>
    </r>
    <r>
      <rPr>
        <b val="true"/>
        <sz val="10"/>
        <rFont val="Arial"/>
        <family val="0"/>
        <charset val="1"/>
      </rPr>
      <t xml:space="preserve">11</t>
    </r>
    <r>
      <rPr>
        <b val="true"/>
        <sz val="10"/>
        <rFont val="WenQuanYi Zen Hei"/>
        <family val="2"/>
      </rPr>
      <t xml:space="preserve">화</t>
    </r>
  </si>
  <si>
    <t xml:space="preserve">타결. 귀국길에 피로를 숨기고 Alessandro에게 메모를 남기라고 지시</t>
  </si>
  <si>
    <t xml:space="preserve">직접 증상을 말하지 않고 '메모를 남기라'는 명령으로 암시.</t>
  </si>
  <si>
    <t xml:space="preserve">Per sicurezza, annota anche questo, Alessandro.</t>
  </si>
  <si>
    <t xml:space="preserve">per sicurezza, eredità, istruzione</t>
  </si>
  <si>
    <r>
      <rPr>
        <b val="true"/>
        <sz val="10"/>
        <rFont val="Arial"/>
        <family val="0"/>
        <charset val="1"/>
      </rPr>
      <t xml:space="preserve">11</t>
    </r>
    <r>
      <rPr>
        <b val="true"/>
        <sz val="10"/>
        <rFont val="WenQuanYi Zen Hei"/>
        <family val="2"/>
      </rPr>
      <t xml:space="preserve">부 </t>
    </r>
    <r>
      <rPr>
        <b val="true"/>
        <sz val="10"/>
        <rFont val="Arial"/>
        <family val="0"/>
        <charset val="1"/>
      </rPr>
      <t xml:space="preserve">12</t>
    </r>
    <r>
      <rPr>
        <b val="true"/>
        <sz val="10"/>
        <rFont val="WenQuanYi Zen Hei"/>
        <family val="2"/>
      </rPr>
      <t xml:space="preserve">화 </t>
    </r>
    <r>
      <rPr>
        <b val="true"/>
        <sz val="10"/>
        <rFont val="Arial"/>
        <family val="0"/>
        <charset val="1"/>
      </rPr>
      <t xml:space="preserve">(</t>
    </r>
    <r>
      <rPr>
        <b val="true"/>
        <sz val="10"/>
        <rFont val="WenQuanYi Zen Hei"/>
        <family val="2"/>
      </rPr>
      <t xml:space="preserve">사망</t>
    </r>
    <r>
      <rPr>
        <b val="true"/>
        <sz val="10"/>
        <rFont val="Arial"/>
        <family val="0"/>
        <charset val="1"/>
      </rPr>
      <t xml:space="preserve">)</t>
    </r>
  </si>
  <si>
    <t xml:space="preserve">귀국 직후 Testaccio 자택에서 심부전으로 두 번째 죽음. Sofia가 서명을 받으러 왔다가 발견</t>
  </si>
  <si>
    <t xml:space="preserve">사망은 지문 없이 호명과 확인 대사로: Sofia가 부르고 Giulia가 «Non c'è più.»라고 말한다.</t>
  </si>
  <si>
    <t xml:space="preserve">Niente male.  /  Cesare? — Non c'è più, Sofia.</t>
  </si>
  <si>
    <t xml:space="preserve">polso, arresto cardiaco, rianimazione, morire</t>
  </si>
  <si>
    <r>
      <rPr>
        <b val="true"/>
        <sz val="10"/>
        <rFont val="Arial"/>
        <family val="0"/>
        <charset val="1"/>
      </rPr>
      <t xml:space="preserve">12</t>
    </r>
    <r>
      <rPr>
        <b val="true"/>
        <sz val="10"/>
        <rFont val="WenQuanYi Zen Hei"/>
        <family val="2"/>
      </rPr>
      <t xml:space="preserve">부 </t>
    </r>
    <r>
      <rPr>
        <b val="true"/>
        <sz val="10"/>
        <rFont val="Arial"/>
        <family val="0"/>
        <charset val="1"/>
      </rPr>
      <t xml:space="preserve">1</t>
    </r>
    <r>
      <rPr>
        <b val="true"/>
        <sz val="10"/>
        <rFont val="WenQuanYi Zen Hei"/>
        <family val="2"/>
      </rPr>
      <t xml:space="preserve">화</t>
    </r>
  </si>
  <si>
    <t xml:space="preserve">장례식이 첫 화. Trattoria da Rosa에 빈자리, Rosa가 커피 한 잔을 계속 내놓음. Sofia가 조사에서 처음으로 tu 사용</t>
  </si>
  <si>
    <t xml:space="preserve">장소·상황은 Rosa·Sofia의 대사로.</t>
  </si>
  <si>
    <t xml:space="preserve">Un caffè per Cesare. Come sempre. / Per te, "niente male" era il complimento più grande.</t>
  </si>
  <si>
    <r>
      <rPr>
        <b val="true"/>
        <sz val="10"/>
        <rFont val="Arial"/>
        <family val="0"/>
        <charset val="1"/>
      </rPr>
      <t xml:space="preserve">12</t>
    </r>
    <r>
      <rPr>
        <b val="true"/>
        <sz val="10"/>
        <rFont val="WenQuanYi Zen Hei"/>
        <family val="2"/>
      </rPr>
      <t xml:space="preserve">부 </t>
    </r>
    <r>
      <rPr>
        <b val="true"/>
        <sz val="10"/>
        <rFont val="Arial"/>
        <family val="0"/>
        <charset val="1"/>
      </rPr>
      <t xml:space="preserve">2~3</t>
    </r>
    <r>
      <rPr>
        <b val="true"/>
        <sz val="10"/>
        <rFont val="WenQuanYi Zen Hei"/>
        <family val="2"/>
      </rPr>
      <t xml:space="preserve">화</t>
    </r>
  </si>
  <si>
    <t xml:space="preserve">유작 메모 발견 → 2차 브뤼셀 협상에서 Dante가 다듬은 그의 문장을 인용</t>
  </si>
  <si>
    <r>
      <rPr>
        <sz val="10"/>
        <rFont val="Arial"/>
        <family val="0"/>
        <charset val="1"/>
      </rPr>
      <t xml:space="preserve">Dante</t>
    </r>
    <r>
      <rPr>
        <sz val="10"/>
        <rFont val="WenQuanYi Zen Hei"/>
        <family val="2"/>
      </rPr>
      <t xml:space="preserve">가 메모를 소리 내어 읽고 </t>
    </r>
    <r>
      <rPr>
        <sz val="10"/>
        <rFont val="Arial"/>
        <family val="0"/>
        <charset val="1"/>
      </rPr>
      <t xml:space="preserve">Alessandro</t>
    </r>
    <r>
      <rPr>
        <sz val="10"/>
        <rFont val="WenQuanYi Zen Hei"/>
        <family val="2"/>
      </rPr>
      <t xml:space="preserve">가 협상장에서 그 문장을 인용한다</t>
    </r>
    <r>
      <rPr>
        <sz val="10"/>
        <rFont val="Arial"/>
        <family val="0"/>
        <charset val="1"/>
      </rPr>
      <t xml:space="preserve">.</t>
    </r>
  </si>
  <si>
    <t xml:space="preserve">Mi permettano un'ultima precisazione: non è stato niente male.</t>
  </si>
  <si>
    <t xml:space="preserve">promemoria, eredità, precisazione, ECOFIN</t>
  </si>
  <si>
    <r>
      <rPr>
        <b val="true"/>
        <sz val="10"/>
        <rFont val="Arial"/>
        <family val="0"/>
        <charset val="1"/>
      </rPr>
      <t xml:space="preserve">12</t>
    </r>
    <r>
      <rPr>
        <b val="true"/>
        <sz val="10"/>
        <rFont val="WenQuanYi Zen Hei"/>
        <family val="2"/>
      </rPr>
      <t xml:space="preserve">부 </t>
    </r>
    <r>
      <rPr>
        <b val="true"/>
        <sz val="10"/>
        <rFont val="Arial"/>
        <family val="0"/>
        <charset val="1"/>
      </rPr>
      <t xml:space="preserve">10</t>
    </r>
    <r>
      <rPr>
        <b val="true"/>
        <sz val="10"/>
        <rFont val="WenQuanYi Zen Hei"/>
        <family val="2"/>
      </rPr>
      <t xml:space="preserve">화</t>
    </r>
  </si>
  <si>
    <r>
      <rPr>
        <sz val="10"/>
        <rFont val="Arial"/>
        <family val="0"/>
        <charset val="1"/>
      </rPr>
      <t xml:space="preserve">'</t>
    </r>
    <r>
      <rPr>
        <sz val="10"/>
        <rFont val="WenQuanYi Zen Hei"/>
        <family val="2"/>
      </rPr>
      <t xml:space="preserve">올드 가드의 빈자리</t>
    </r>
    <r>
      <rPr>
        <sz val="10"/>
        <rFont val="Arial"/>
        <family val="0"/>
        <charset val="1"/>
      </rPr>
      <t xml:space="preserve">' — Garibaldi·Gramsci·Machiavelli</t>
    </r>
    <r>
      <rPr>
        <sz val="10"/>
        <rFont val="WenQuanYi Zen Hei"/>
        <family val="2"/>
      </rPr>
      <t xml:space="preserve">가 그의 커피 불평을 그리워한다고 인정</t>
    </r>
  </si>
  <si>
    <t xml:space="preserve">회상은 Rosa·Garibaldi·Gramsci의 대사로.</t>
  </si>
  <si>
    <t xml:space="preserve">Manca qualcuno a questo tavolo, e manca il suo caffè freddo.</t>
  </si>
  <si>
    <t xml:space="preserve">ricordare, vuoto, assenza</t>
  </si>
  <si>
    <r>
      <rPr>
        <b val="true"/>
        <sz val="10"/>
        <rFont val="Arial"/>
        <family val="0"/>
        <charset val="1"/>
      </rPr>
      <t xml:space="preserve">13</t>
    </r>
    <r>
      <rPr>
        <b val="true"/>
        <sz val="10"/>
        <rFont val="WenQuanYi Zen Hei"/>
        <family val="2"/>
      </rPr>
      <t xml:space="preserve">부 </t>
    </r>
    <r>
      <rPr>
        <b val="true"/>
        <sz val="10"/>
        <rFont val="Arial"/>
        <family val="0"/>
        <charset val="1"/>
      </rPr>
      <t xml:space="preserve">2</t>
    </r>
    <r>
      <rPr>
        <b val="true"/>
        <sz val="10"/>
        <rFont val="WenQuanYi Zen Hei"/>
        <family val="2"/>
      </rPr>
      <t xml:space="preserve">화</t>
    </r>
  </si>
  <si>
    <t xml:space="preserve">유언장: 공증인 앞에서 우산이 Sofia에게 간다 (양치기 소년 개그의 회수). Garibaldi가 유언집행자(esecutore testamentario). 공증인은 '부활자의 유언'에 곤혹스러워한다.</t>
  </si>
  <si>
    <t xml:space="preserve">공증인(NOTAIO)이 유언 내용을 낭독하고 Sofia가 되묻는다.</t>
  </si>
  <si>
    <t xml:space="preserve">A Sofia, il mio ombrello. Lo scrivano nel mio testamento.</t>
  </si>
  <si>
    <t xml:space="preserve">testamento, esecutore testamentario, notaio, pubblicazione del testamento</t>
  </si>
  <si>
    <r>
      <rPr>
        <b val="true"/>
        <sz val="10"/>
        <rFont val="Arial"/>
        <family val="0"/>
        <charset val="1"/>
      </rPr>
      <t xml:space="preserve">12</t>
    </r>
    <r>
      <rPr>
        <b val="true"/>
        <sz val="10"/>
        <rFont val="WenQuanYi Zen Hei"/>
        <family val="2"/>
      </rPr>
      <t xml:space="preserve">부 </t>
    </r>
    <r>
      <rPr>
        <b val="true"/>
        <sz val="10"/>
        <rFont val="Arial"/>
        <family val="0"/>
        <charset val="1"/>
      </rPr>
      <t xml:space="preserve">(</t>
    </r>
    <r>
      <rPr>
        <b val="true"/>
        <sz val="10"/>
        <rFont val="WenQuanYi Zen Hei"/>
        <family val="2"/>
      </rPr>
      <t xml:space="preserve">선택</t>
    </r>
    <r>
      <rPr>
        <b val="true"/>
        <sz val="10"/>
        <rFont val="Arial"/>
        <family val="0"/>
        <charset val="1"/>
      </rPr>
      <t xml:space="preserve">)</t>
    </r>
  </si>
  <si>
    <r>
      <rPr>
        <sz val="10"/>
        <rFont val="Arial"/>
        <family val="0"/>
        <charset val="1"/>
      </rPr>
      <t xml:space="preserve">Montessori</t>
    </r>
    <r>
      <rPr>
        <sz val="10"/>
        <rFont val="WenQuanYi Zen Hei"/>
        <family val="2"/>
      </rPr>
      <t xml:space="preserve">의 애도 상담</t>
    </r>
  </si>
  <si>
    <t xml:space="preserve">다들 질색하던 «E questo come ti fa sentire?»가 처음으로 진지하게 쓰인다.</t>
  </si>
  <si>
    <t xml:space="preserve">E questo come ti fa sentire?</t>
  </si>
  <si>
    <t xml:space="preserve">lutto, perdita, dolore</t>
  </si>
  <si>
    <r>
      <rPr>
        <b val="true"/>
        <sz val="14"/>
        <color rgb="FF1F3864"/>
        <rFont val="Arial"/>
        <family val="0"/>
        <charset val="1"/>
      </rPr>
      <t xml:space="preserve">Gramsci — </t>
    </r>
    <r>
      <rPr>
        <b val="true"/>
        <sz val="14"/>
        <color rgb="FF1F3864"/>
        <rFont val="WenQuanYi Zen Hei"/>
        <family val="2"/>
      </rPr>
      <t xml:space="preserve">결론 대신 출처를 가리키는 사람</t>
    </r>
  </si>
  <si>
    <t xml:space="preserve">직접 답하지 않고 '어디를 찾을지'만 알려 준다. 감옥에서 노트(Quaderni)로 세상을 읽던 사람의 논리: 정보의 대부분은 공개 출처에 있다. 평생 정치경찰에게 감시당해 감시의 흔적도 알아본다.</t>
  </si>
  <si>
    <r>
      <rPr>
        <b val="true"/>
        <sz val="10"/>
        <rFont val="Arial"/>
        <family val="0"/>
        <charset val="1"/>
      </rPr>
      <t xml:space="preserve">1. </t>
    </r>
    <r>
      <rPr>
        <b val="true"/>
        <sz val="10"/>
        <rFont val="WenQuanYi Zen Hei"/>
        <family val="2"/>
      </rPr>
      <t xml:space="preserve">설정 변경</t>
    </r>
  </si>
  <si>
    <t xml:space="preserve">답하는 방식</t>
  </si>
  <si>
    <t xml:space="preserve">침묵 → 결론은 말하지 않고 출처만 가리킨다.</t>
  </si>
  <si>
    <t xml:space="preserve">시그니처</t>
  </si>
  <si>
    <t xml:space="preserve">«Io non ho detto niente. Ma guarda in…» / «Non te lo dico. Ti dico dov'è.» / «Quasi tutto è nelle fonti aperte. Basta saper leggere.»</t>
  </si>
  <si>
    <t xml:space="preserve">도구 (대화문 처리)</t>
  </si>
  <si>
    <t xml:space="preserve">책을 꺼내 건네거나 카드에 적어 주는 행동은 지문 대신 대사로 말한다: «Terzo ripiano, a sinistra.» / «Annota. Cerca: …»</t>
  </si>
  <si>
    <t xml:space="preserve">전원에게 tu — «Cercalo tu.»가 명령조라 더 단호하다.</t>
  </si>
  <si>
    <r>
      <rPr>
        <b val="true"/>
        <sz val="10"/>
        <rFont val="Arial"/>
        <family val="0"/>
        <charset val="1"/>
      </rPr>
      <t xml:space="preserve">Sofia</t>
    </r>
    <r>
      <rPr>
        <b val="true"/>
        <sz val="10"/>
        <rFont val="WenQuanYi Zen Hei"/>
        <family val="2"/>
      </rPr>
      <t xml:space="preserve">와의 관계</t>
    </r>
  </si>
  <si>
    <r>
      <rPr>
        <sz val="10"/>
        <rFont val="Arial"/>
        <family val="0"/>
        <charset val="1"/>
      </rPr>
      <t xml:space="preserve">Sofia</t>
    </r>
    <r>
      <rPr>
        <sz val="10"/>
        <rFont val="WenQuanYi Zen Hei"/>
        <family val="2"/>
      </rPr>
      <t xml:space="preserve">가 </t>
    </r>
    <r>
      <rPr>
        <sz val="10"/>
        <rFont val="Arial"/>
        <family val="0"/>
        <charset val="1"/>
      </rPr>
      <t xml:space="preserve">«Dimmi la risposta!» </t>
    </r>
    <r>
      <rPr>
        <sz val="10"/>
        <rFont val="WenQuanYi Zen Hei"/>
        <family val="2"/>
      </rPr>
      <t xml:space="preserve">하면 서가 위치만 말한다</t>
    </r>
    <r>
      <rPr>
        <sz val="10"/>
        <rFont val="Arial"/>
        <family val="0"/>
        <charset val="1"/>
      </rPr>
      <t xml:space="preserve">. </t>
    </r>
    <r>
      <rPr>
        <sz val="10"/>
        <rFont val="WenQuanYi Zen Hei"/>
        <family val="2"/>
      </rPr>
      <t xml:space="preserve">짜증 나지만 정답을 떠먹이지 않는 이 교재의 태도와 같다</t>
    </r>
    <r>
      <rPr>
        <sz val="10"/>
        <rFont val="Arial"/>
        <family val="0"/>
        <charset val="1"/>
      </rPr>
      <t xml:space="preserve">.</t>
    </r>
  </si>
  <si>
    <t xml:space="preserve">현실 요소</t>
  </si>
  <si>
    <r>
      <rPr>
        <sz val="10"/>
        <rFont val="Arial"/>
        <family val="0"/>
        <charset val="1"/>
      </rPr>
      <t xml:space="preserve">Piazza Borghese</t>
    </r>
    <r>
      <rPr>
        <sz val="10"/>
        <rFont val="WenQuanYi Zen Hei"/>
        <family val="2"/>
      </rPr>
      <t xml:space="preserve">의 고서</t>
    </r>
    <r>
      <rPr>
        <sz val="10"/>
        <rFont val="Arial"/>
        <family val="0"/>
        <charset val="1"/>
      </rPr>
      <t xml:space="preserve">·</t>
    </r>
    <r>
      <rPr>
        <sz val="10"/>
        <rFont val="WenQuanYi Zen Hei"/>
        <family val="2"/>
      </rPr>
      <t xml:space="preserve">판화 노점</t>
    </r>
    <r>
      <rPr>
        <sz val="10"/>
        <rFont val="Arial"/>
        <family val="0"/>
        <charset val="1"/>
      </rPr>
      <t xml:space="preserve">(Mercato delle stampe), </t>
    </r>
    <r>
      <rPr>
        <sz val="10"/>
        <rFont val="WenQuanYi Zen Hei"/>
        <family val="2"/>
      </rPr>
      <t xml:space="preserve">일요일 </t>
    </r>
    <r>
      <rPr>
        <sz val="10"/>
        <rFont val="Arial"/>
        <family val="0"/>
        <charset val="1"/>
      </rPr>
      <t xml:space="preserve">Porta Portese </t>
    </r>
    <r>
      <rPr>
        <sz val="10"/>
        <rFont val="WenQuanYi Zen Hei"/>
        <family val="2"/>
      </rPr>
      <t xml:space="preserve">벼룩시장의 헌책 좌판</t>
    </r>
    <r>
      <rPr>
        <sz val="10"/>
        <rFont val="Arial"/>
        <family val="0"/>
        <charset val="1"/>
      </rPr>
      <t xml:space="preserve">, </t>
    </r>
    <r>
      <rPr>
        <sz val="10"/>
        <rFont val="WenQuanYi Zen Hei"/>
        <family val="2"/>
      </rPr>
      <t xml:space="preserve">국립중앙도서관</t>
    </r>
    <r>
      <rPr>
        <sz val="10"/>
        <rFont val="Arial"/>
        <family val="0"/>
        <charset val="1"/>
      </rPr>
      <t xml:space="preserve">(Biblioteca Nazionale Centrale di Roma, Castro Pretorio)</t>
    </r>
    <r>
      <rPr>
        <sz val="10"/>
        <rFont val="WenQuanYi Zen Hei"/>
        <family val="2"/>
      </rPr>
      <t xml:space="preserve">을 단골 출처로</t>
    </r>
    <r>
      <rPr>
        <sz val="10"/>
        <rFont val="Arial"/>
        <family val="0"/>
        <charset val="1"/>
      </rPr>
      <t xml:space="preserve">. </t>
    </r>
    <r>
      <rPr>
        <sz val="10"/>
        <rFont val="WenQuanYi Zen Hei"/>
        <family val="2"/>
      </rPr>
      <t xml:space="preserve">학습자가 실제 로마에서 따라 걸어 볼 수 있다</t>
    </r>
    <r>
      <rPr>
        <sz val="10"/>
        <rFont val="Arial"/>
        <family val="0"/>
        <charset val="1"/>
      </rPr>
      <t xml:space="preserve">. </t>
    </r>
    <r>
      <rPr>
        <sz val="10"/>
        <rFont val="WenQuanYi Zen Hei"/>
        <family val="2"/>
      </rPr>
      <t xml:space="preserve">국립중앙문서고</t>
    </r>
    <r>
      <rPr>
        <sz val="10"/>
        <rFont val="Arial"/>
        <family val="0"/>
        <charset val="1"/>
      </rPr>
      <t xml:space="preserve">(Archivio Centrale dello Stato, EUR)</t>
    </r>
    <r>
      <rPr>
        <sz val="10"/>
        <rFont val="WenQuanYi Zen Hei"/>
        <family val="2"/>
      </rPr>
      <t xml:space="preserve">에는 그 자신의 감시 파일도 있다</t>
    </r>
    <r>
      <rPr>
        <sz val="10"/>
        <rFont val="Arial"/>
        <family val="0"/>
        <charset val="1"/>
      </rPr>
      <t xml:space="preserve">.</t>
    </r>
  </si>
  <si>
    <t xml:space="preserve">서점 원칙</t>
  </si>
  <si>
    <t xml:space="preserve">손님이 찾던 답이 든 책일 때만 값을 받지 않는다.</t>
  </si>
  <si>
    <r>
      <rPr>
        <b val="true"/>
        <sz val="10"/>
        <rFont val="Arial"/>
        <family val="0"/>
        <charset val="1"/>
      </rPr>
      <t xml:space="preserve">2. </t>
    </r>
    <r>
      <rPr>
        <b val="true"/>
        <sz val="10"/>
        <rFont val="WenQuanYi Zen Hei"/>
        <family val="2"/>
      </rPr>
      <t xml:space="preserve">그의 서가 </t>
    </r>
    <r>
      <rPr>
        <b val="true"/>
        <sz val="10"/>
        <rFont val="Arial"/>
        <family val="0"/>
        <charset val="1"/>
      </rPr>
      <t xml:space="preserve">4</t>
    </r>
    <r>
      <rPr>
        <b val="true"/>
        <sz val="10"/>
        <rFont val="WenQuanYi Zen Hei"/>
        <family val="2"/>
      </rPr>
      <t xml:space="preserve">칸</t>
    </r>
  </si>
  <si>
    <t xml:space="preserve">칸</t>
  </si>
  <si>
    <t xml:space="preserve">대표 출처</t>
  </si>
  <si>
    <t xml:space="preserve">법령칸</t>
  </si>
  <si>
    <t xml:space="preserve">법과 조문</t>
  </si>
  <si>
    <r>
      <rPr>
        <sz val="10"/>
        <rFont val="Arial"/>
        <family val="0"/>
        <charset val="1"/>
      </rPr>
      <t xml:space="preserve">Normattiva(normattiva.it), </t>
    </r>
    <r>
      <rPr>
        <sz val="10"/>
        <rFont val="WenQuanYi Zen Hei"/>
        <family val="2"/>
      </rPr>
      <t xml:space="preserve">관보</t>
    </r>
    <r>
      <rPr>
        <sz val="10"/>
        <rFont val="Arial"/>
        <family val="0"/>
        <charset val="1"/>
      </rPr>
      <t xml:space="preserve">(gazzettaufficiale.it), </t>
    </r>
    <r>
      <rPr>
        <sz val="10"/>
        <rFont val="WenQuanYi Zen Hei"/>
        <family val="2"/>
      </rPr>
      <t xml:space="preserve">헌법</t>
    </r>
    <r>
      <rPr>
        <sz val="10"/>
        <rFont val="Arial"/>
        <family val="0"/>
        <charset val="1"/>
      </rPr>
      <t xml:space="preserve">, </t>
    </r>
    <r>
      <rPr>
        <sz val="10"/>
        <rFont val="WenQuanYi Zen Hei"/>
        <family val="2"/>
      </rPr>
      <t xml:space="preserve">각 법률</t>
    </r>
  </si>
  <si>
    <t xml:space="preserve">문서칸</t>
  </si>
  <si>
    <t xml:space="preserve">기록과 자료</t>
  </si>
  <si>
    <t xml:space="preserve">국립중앙문서고(ACS)의 정치범 기록(Casellario Politico Centrale), 로마 시 역사 문서고(Archivio Storico Capitolino), 양원 속기록(resoconti stenografici)</t>
  </si>
  <si>
    <t xml:space="preserve">신문칸</t>
  </si>
  <si>
    <t xml:space="preserve">과거 기사</t>
  </si>
  <si>
    <t xml:space="preserve">국립중앙도서관 디지털 신문 자료, 신문사 온라인 아카이브(예: La Stampa 역사 아카이브)</t>
  </si>
  <si>
    <t xml:space="preserve">사전칸</t>
  </si>
  <si>
    <t xml:space="preserve">용어</t>
  </si>
  <si>
    <r>
      <rPr>
        <sz val="10"/>
        <rFont val="Arial"/>
        <family val="0"/>
        <charset val="1"/>
      </rPr>
      <t xml:space="preserve">Treccani(treccani.it) </t>
    </r>
    <r>
      <rPr>
        <sz val="10"/>
        <rFont val="WenQuanYi Zen Hei"/>
        <family val="2"/>
      </rPr>
      <t xml:space="preserve">사전</t>
    </r>
    <r>
      <rPr>
        <sz val="10"/>
        <rFont val="Arial"/>
        <family val="0"/>
        <charset val="1"/>
      </rPr>
      <t xml:space="preserve">·</t>
    </r>
    <r>
      <rPr>
        <sz val="10"/>
        <rFont val="WenQuanYi Zen Hei"/>
        <family val="2"/>
      </rPr>
      <t xml:space="preserve">백과</t>
    </r>
    <r>
      <rPr>
        <sz val="10"/>
        <rFont val="Arial"/>
        <family val="0"/>
        <charset val="1"/>
      </rPr>
      <t xml:space="preserve">, Accademia della Crusca </t>
    </r>
    <r>
      <rPr>
        <sz val="10"/>
        <rFont val="WenQuanYi Zen Hei"/>
        <family val="2"/>
      </rPr>
      <t xml:space="preserve">언어 상담</t>
    </r>
  </si>
  <si>
    <r>
      <rPr>
        <b val="true"/>
        <sz val="10"/>
        <rFont val="Arial"/>
        <family val="0"/>
        <charset val="1"/>
      </rPr>
      <t xml:space="preserve">3. </t>
    </r>
    <r>
      <rPr>
        <b val="true"/>
        <sz val="10"/>
        <rFont val="WenQuanYi Zen Hei"/>
        <family val="2"/>
      </rPr>
      <t xml:space="preserve">주제별 출처표 </t>
    </r>
    <r>
      <rPr>
        <b val="true"/>
        <sz val="10"/>
        <rFont val="Arial"/>
        <family val="0"/>
        <charset val="1"/>
      </rPr>
      <t xml:space="preserve">(</t>
    </r>
    <r>
      <rPr>
        <b val="true"/>
        <sz val="10"/>
        <rFont val="WenQuanYi Zen Hei"/>
        <family val="2"/>
      </rPr>
      <t xml:space="preserve">기획한 에피소드 기준</t>
    </r>
    <r>
      <rPr>
        <b val="true"/>
        <sz val="10"/>
        <rFont val="Arial"/>
        <family val="0"/>
        <charset val="1"/>
      </rPr>
      <t xml:space="preserve">)</t>
    </r>
  </si>
  <si>
    <t xml:space="preserve">상황</t>
  </si>
  <si>
    <t xml:space="preserve">관련 부·화</t>
  </si>
  <si>
    <r>
      <rPr>
        <b val="true"/>
        <sz val="10"/>
        <color rgb="FFFFFFFF"/>
        <rFont val="Arial"/>
        <family val="0"/>
        <charset val="1"/>
      </rPr>
      <t xml:space="preserve">Gramsci</t>
    </r>
    <r>
      <rPr>
        <b val="true"/>
        <sz val="10"/>
        <color rgb="FFFFFFFF"/>
        <rFont val="WenQuanYi Zen Hei"/>
        <family val="2"/>
      </rPr>
      <t xml:space="preserve">의 대사 </t>
    </r>
    <r>
      <rPr>
        <b val="true"/>
        <sz val="10"/>
        <color rgb="FFFFFFFF"/>
        <rFont val="Arial"/>
        <family val="0"/>
        <charset val="1"/>
      </rPr>
      <t xml:space="preserve">(IT)</t>
    </r>
  </si>
  <si>
    <t xml:space="preserve">찾을 곳</t>
  </si>
  <si>
    <t xml:space="preserve">검색어·키워드</t>
  </si>
  <si>
    <t xml:space="preserve">서가칸</t>
  </si>
  <si>
    <r>
      <rPr>
        <sz val="10"/>
        <rFont val="Arial"/>
        <family val="0"/>
        <charset val="1"/>
      </rPr>
      <t xml:space="preserve">12</t>
    </r>
    <r>
      <rPr>
        <sz val="10"/>
        <rFont val="WenQuanYi Zen Hei"/>
        <family val="2"/>
      </rPr>
      <t xml:space="preserve">부 </t>
    </r>
    <r>
      <rPr>
        <sz val="10"/>
        <rFont val="Arial"/>
        <family val="0"/>
        <charset val="1"/>
      </rPr>
      <t xml:space="preserve">5</t>
    </r>
    <r>
      <rPr>
        <sz val="10"/>
        <rFont val="WenQuanYi Zen Hei"/>
        <family val="2"/>
      </rPr>
      <t xml:space="preserve">화 </t>
    </r>
    <r>
      <rPr>
        <sz val="10"/>
        <rFont val="Arial"/>
        <family val="0"/>
        <charset val="1"/>
      </rPr>
      <t xml:space="preserve">(</t>
    </r>
    <r>
      <rPr>
        <sz val="10"/>
        <rFont val="WenQuanYi Zen Hei"/>
        <family val="2"/>
      </rPr>
      <t xml:space="preserve">스파이웨어</t>
    </r>
    <r>
      <rPr>
        <sz val="10"/>
        <rFont val="Arial"/>
        <family val="0"/>
        <charset val="1"/>
      </rPr>
      <t xml:space="preserve">)</t>
    </r>
  </si>
  <si>
    <t xml:space="preserve">Comincia dalla legge che li ha creati.</t>
  </si>
  <si>
    <r>
      <rPr>
        <sz val="10"/>
        <rFont val="Arial"/>
        <family val="0"/>
        <charset val="1"/>
      </rPr>
      <t xml:space="preserve">legge 124/2007 (</t>
    </r>
    <r>
      <rPr>
        <sz val="10"/>
        <rFont val="WenQuanYi Zen Hei"/>
        <family val="2"/>
      </rPr>
      <t xml:space="preserve">정보기관 체계</t>
    </r>
    <r>
      <rPr>
        <sz val="10"/>
        <rFont val="Arial"/>
        <family val="0"/>
        <charset val="1"/>
      </rPr>
      <t xml:space="preserve">·</t>
    </r>
    <r>
      <rPr>
        <sz val="10"/>
        <rFont val="WenQuanYi Zen Hei"/>
        <family val="2"/>
      </rPr>
      <t xml:space="preserve">국가 기밀</t>
    </r>
    <r>
      <rPr>
        <sz val="10"/>
        <rFont val="Arial"/>
        <family val="0"/>
        <charset val="1"/>
      </rPr>
      <t xml:space="preserve">), COPASIR </t>
    </r>
    <r>
      <rPr>
        <sz val="10"/>
        <rFont val="WenQuanYi Zen Hei"/>
        <family val="2"/>
      </rPr>
      <t xml:space="preserve">연례 보고서 — </t>
    </r>
    <r>
      <rPr>
        <sz val="10"/>
        <rFont val="Arial"/>
        <family val="0"/>
        <charset val="1"/>
      </rPr>
      <t xml:space="preserve">Normattiva·</t>
    </r>
    <r>
      <rPr>
        <sz val="10"/>
        <rFont val="WenQuanYi Zen Hei"/>
        <family val="2"/>
      </rPr>
      <t xml:space="preserve">의회 사이트에서 검색</t>
    </r>
  </si>
  <si>
    <t xml:space="preserve">legge 124/2007; COPASIR relazione annuale</t>
  </si>
  <si>
    <t xml:space="preserve">도청의 합법성</t>
  </si>
  <si>
    <t xml:space="preserve">Una prova vietata non vale. Cercalo.</t>
  </si>
  <si>
    <t xml:space="preserve">헌법 제15조(통신의 비밀), 형사소송법 제191조(사용할 수 없는 증거)·제266조 이하(감청)</t>
  </si>
  <si>
    <t xml:space="preserve">intercettazioni, autorizzazione del GIP, catena di custodia, prove inutilizzabili</t>
  </si>
  <si>
    <t xml:space="preserve">국가 기밀과 공개</t>
  </si>
  <si>
    <t xml:space="preserve">스파이웨어 관련</t>
  </si>
  <si>
    <t xml:space="preserve">C'è un segreto di Stato, e c'è una legge che lo limita.</t>
  </si>
  <si>
    <r>
      <rPr>
        <sz val="10"/>
        <rFont val="Arial"/>
        <family val="0"/>
        <charset val="1"/>
      </rPr>
      <t xml:space="preserve">legge 124/2007 </t>
    </r>
    <r>
      <rPr>
        <sz val="10"/>
        <rFont val="WenQuanYi Zen Hei"/>
        <family val="2"/>
      </rPr>
      <t xml:space="preserve">제</t>
    </r>
    <r>
      <rPr>
        <sz val="10"/>
        <rFont val="Arial"/>
        <family val="0"/>
        <charset val="1"/>
      </rPr>
      <t xml:space="preserve">39</t>
    </r>
    <r>
      <rPr>
        <sz val="10"/>
        <rFont val="WenQuanYi Zen Hei"/>
        <family val="2"/>
      </rPr>
      <t xml:space="preserve">조 이하</t>
    </r>
    <r>
      <rPr>
        <sz val="10"/>
        <rFont val="Arial"/>
        <family val="0"/>
        <charset val="1"/>
      </rPr>
      <t xml:space="preserve">(</t>
    </r>
    <r>
      <rPr>
        <sz val="10"/>
        <rFont val="WenQuanYi Zen Hei"/>
        <family val="2"/>
      </rPr>
      <t xml:space="preserve">국가 기밀</t>
    </r>
    <r>
      <rPr>
        <sz val="10"/>
        <rFont val="Arial"/>
        <family val="0"/>
        <charset val="1"/>
      </rPr>
      <t xml:space="preserve">), d.lgs. 33/2013·97/2016(</t>
    </r>
    <r>
      <rPr>
        <sz val="10"/>
        <rFont val="WenQuanYi Zen Hei"/>
        <family val="2"/>
      </rPr>
      <t xml:space="preserve">정보공개 </t>
    </r>
    <r>
      <rPr>
        <sz val="10"/>
        <rFont val="Arial"/>
        <family val="0"/>
        <charset val="1"/>
      </rPr>
      <t xml:space="preserve">FOIA)</t>
    </r>
  </si>
  <si>
    <t xml:space="preserve">segreto di Stato, accesso civico generalizzato</t>
  </si>
  <si>
    <t xml:space="preserve">의사의 비밀유지</t>
  </si>
  <si>
    <r>
      <rPr>
        <sz val="10"/>
        <rFont val="Arial"/>
        <family val="0"/>
        <charset val="1"/>
      </rPr>
      <t xml:space="preserve">11</t>
    </r>
    <r>
      <rPr>
        <sz val="10"/>
        <rFont val="WenQuanYi Zen Hei"/>
        <family val="2"/>
      </rPr>
      <t xml:space="preserve">부 </t>
    </r>
    <r>
      <rPr>
        <sz val="10"/>
        <rFont val="Arial"/>
        <family val="0"/>
        <charset val="1"/>
      </rPr>
      <t xml:space="preserve">4~6</t>
    </r>
    <r>
      <rPr>
        <sz val="10"/>
        <rFont val="WenQuanYi Zen Hei"/>
        <family val="2"/>
      </rPr>
      <t xml:space="preserve">화 </t>
    </r>
    <r>
      <rPr>
        <sz val="10"/>
        <rFont val="Arial"/>
        <family val="0"/>
        <charset val="1"/>
      </rPr>
      <t xml:space="preserve">(Cesare </t>
    </r>
    <r>
      <rPr>
        <sz val="10"/>
        <rFont val="WenQuanYi Zen Hei"/>
        <family val="2"/>
      </rPr>
      <t xml:space="preserve">복선</t>
    </r>
    <r>
      <rPr>
        <sz val="10"/>
        <rFont val="Arial"/>
        <family val="0"/>
        <charset val="1"/>
      </rPr>
      <t xml:space="preserve">)</t>
    </r>
  </si>
  <si>
    <t xml:space="preserve">Chiedi alla dottoressa cosa dice il suo codice.</t>
  </si>
  <si>
    <t xml:space="preserve">형법 제622조(직업상 비밀 누설), 의사 윤리강령(FNOMCeO Codice di deontologia medica)</t>
  </si>
  <si>
    <t xml:space="preserve">segreto professionale, cartella clinica</t>
  </si>
  <si>
    <t xml:space="preserve">자금 세탁</t>
  </si>
  <si>
    <r>
      <rPr>
        <sz val="10"/>
        <rFont val="Arial"/>
        <family val="0"/>
        <charset val="1"/>
      </rPr>
      <t xml:space="preserve">4</t>
    </r>
    <r>
      <rPr>
        <sz val="10"/>
        <rFont val="WenQuanYi Zen Hei"/>
        <family val="2"/>
      </rPr>
      <t xml:space="preserve">부</t>
    </r>
    <r>
      <rPr>
        <sz val="10"/>
        <rFont val="Arial"/>
        <family val="0"/>
        <charset val="1"/>
      </rPr>
      <t xml:space="preserve">, 11</t>
    </r>
    <r>
      <rPr>
        <sz val="10"/>
        <rFont val="WenQuanYi Zen Hei"/>
        <family val="2"/>
      </rPr>
      <t xml:space="preserve">부 </t>
    </r>
    <r>
      <rPr>
        <sz val="10"/>
        <rFont val="Arial"/>
        <family val="0"/>
        <charset val="1"/>
      </rPr>
      <t xml:space="preserve">(</t>
    </r>
    <r>
      <rPr>
        <sz val="10"/>
        <rFont val="WenQuanYi Zen Hei"/>
        <family val="2"/>
      </rPr>
      <t xml:space="preserve">주거</t>
    </r>
    <r>
      <rPr>
        <sz val="10"/>
        <rFont val="Arial"/>
        <family val="0"/>
        <charset val="1"/>
      </rPr>
      <t xml:space="preserve">·</t>
    </r>
    <r>
      <rPr>
        <sz val="10"/>
        <rFont val="WenQuanYi Zen Hei"/>
        <family val="2"/>
      </rPr>
      <t xml:space="preserve">금융 전투</t>
    </r>
    <r>
      <rPr>
        <sz val="10"/>
        <rFont val="Arial"/>
        <family val="0"/>
        <charset val="1"/>
      </rPr>
      <t xml:space="preserve">)</t>
    </r>
  </si>
  <si>
    <t xml:space="preserve">Ogni denaro ha una legge che lo sorveglia. Cercala.</t>
  </si>
  <si>
    <r>
      <rPr>
        <sz val="10"/>
        <rFont val="Arial"/>
        <family val="0"/>
        <charset val="1"/>
      </rPr>
      <t xml:space="preserve">d.lgs. 231/2007 (</t>
    </r>
    <r>
      <rPr>
        <sz val="10"/>
        <rFont val="WenQuanYi Zen Hei"/>
        <family val="2"/>
      </rPr>
      <t xml:space="preserve">자금세탁방지</t>
    </r>
    <r>
      <rPr>
        <sz val="10"/>
        <rFont val="Arial"/>
        <family val="0"/>
        <charset val="1"/>
      </rPr>
      <t xml:space="preserve">), </t>
    </r>
    <r>
      <rPr>
        <sz val="10"/>
        <rFont val="WenQuanYi Zen Hei"/>
        <family val="2"/>
      </rPr>
      <t xml:space="preserve">금융정보분석원</t>
    </r>
    <r>
      <rPr>
        <sz val="10"/>
        <rFont val="Arial"/>
        <family val="0"/>
        <charset val="1"/>
      </rPr>
      <t xml:space="preserve">(UIF, Banca d'Italia </t>
    </r>
    <r>
      <rPr>
        <sz val="10"/>
        <rFont val="WenQuanYi Zen Hei"/>
        <family val="2"/>
      </rPr>
      <t xml:space="preserve">소속</t>
    </r>
    <r>
      <rPr>
        <sz val="10"/>
        <rFont val="Arial"/>
        <family val="0"/>
        <charset val="1"/>
      </rPr>
      <t xml:space="preserve">), </t>
    </r>
    <r>
      <rPr>
        <sz val="10"/>
        <rFont val="WenQuanYi Zen Hei"/>
        <family val="2"/>
      </rPr>
      <t xml:space="preserve">기업 등록부</t>
    </r>
  </si>
  <si>
    <t xml:space="preserve">riciclaggio, titolare effettivo, paradiso fiscale</t>
  </si>
  <si>
    <t xml:space="preserve">문서칸·법령칸</t>
  </si>
  <si>
    <t xml:space="preserve">주거·퇴거</t>
  </si>
  <si>
    <r>
      <rPr>
        <sz val="10"/>
        <rFont val="Arial"/>
        <family val="0"/>
        <charset val="1"/>
      </rPr>
      <t xml:space="preserve">1·2·11</t>
    </r>
    <r>
      <rPr>
        <sz val="10"/>
        <rFont val="WenQuanYi Zen Hei"/>
        <family val="2"/>
      </rPr>
      <t xml:space="preserve">부</t>
    </r>
  </si>
  <si>
    <t xml:space="preserve">Confronta quello che dicono con quello che esiste.</t>
  </si>
  <si>
    <r>
      <rPr>
        <sz val="10"/>
        <rFont val="Arial"/>
        <family val="0"/>
        <charset val="1"/>
      </rPr>
      <t xml:space="preserve">legge 431/1998(</t>
    </r>
    <r>
      <rPr>
        <sz val="10"/>
        <rFont val="WenQuanYi Zen Hei"/>
        <family val="2"/>
      </rPr>
      <t xml:space="preserve">주거 임대차</t>
    </r>
    <r>
      <rPr>
        <sz val="10"/>
        <rFont val="Arial"/>
        <family val="0"/>
        <charset val="1"/>
      </rPr>
      <t xml:space="preserve">), </t>
    </r>
    <r>
      <rPr>
        <sz val="10"/>
        <rFont val="WenQuanYi Zen Hei"/>
        <family val="2"/>
      </rPr>
      <t xml:space="preserve">민사소송법 제</t>
    </r>
    <r>
      <rPr>
        <sz val="10"/>
        <rFont val="Arial"/>
        <family val="0"/>
        <charset val="1"/>
      </rPr>
      <t xml:space="preserve">657</t>
    </r>
    <r>
      <rPr>
        <sz val="10"/>
        <rFont val="WenQuanYi Zen Hei"/>
        <family val="2"/>
      </rPr>
      <t xml:space="preserve">조 이하</t>
    </r>
    <r>
      <rPr>
        <sz val="10"/>
        <rFont val="Arial"/>
        <family val="0"/>
        <charset val="1"/>
      </rPr>
      <t xml:space="preserve">(</t>
    </r>
    <r>
      <rPr>
        <sz val="10"/>
        <rFont val="WenQuanYi Zen Hei"/>
        <family val="2"/>
      </rPr>
      <t xml:space="preserve">퇴거 확인 절차</t>
    </r>
    <r>
      <rPr>
        <sz val="10"/>
        <rFont val="Arial"/>
        <family val="0"/>
        <charset val="1"/>
      </rPr>
      <t xml:space="preserve">), d.l. 145/2023(</t>
    </r>
    <r>
      <rPr>
        <sz val="10"/>
        <rFont val="WenQuanYi Zen Hei"/>
        <family val="2"/>
      </rPr>
      <t xml:space="preserve">단기임대 </t>
    </r>
    <r>
      <rPr>
        <sz val="10"/>
        <rFont val="Arial"/>
        <family val="0"/>
        <charset val="1"/>
      </rPr>
      <t xml:space="preserve">CIN)</t>
    </r>
  </si>
  <si>
    <t xml:space="preserve">sfratto, locazione, diniego di rinnovo</t>
  </si>
  <si>
    <t xml:space="preserve">가격 담합</t>
  </si>
  <si>
    <r>
      <rPr>
        <sz val="10"/>
        <rFont val="Arial"/>
        <family val="0"/>
        <charset val="1"/>
      </rPr>
      <t xml:space="preserve">11</t>
    </r>
    <r>
      <rPr>
        <sz val="10"/>
        <rFont val="WenQuanYi Zen Hei"/>
        <family val="2"/>
      </rPr>
      <t xml:space="preserve">부 </t>
    </r>
    <r>
      <rPr>
        <sz val="10"/>
        <rFont val="Arial"/>
        <family val="0"/>
        <charset val="1"/>
      </rPr>
      <t xml:space="preserve">7</t>
    </r>
    <r>
      <rPr>
        <sz val="10"/>
        <rFont val="WenQuanYi Zen Hei"/>
        <family val="2"/>
      </rPr>
      <t xml:space="preserve">화</t>
    </r>
  </si>
  <si>
    <t xml:space="preserve">Guarda nella Concorrenza.</t>
  </si>
  <si>
    <r>
      <rPr>
        <sz val="10"/>
        <rFont val="Arial"/>
        <family val="0"/>
        <charset val="1"/>
      </rPr>
      <t xml:space="preserve">legge 287/1990(</t>
    </r>
    <r>
      <rPr>
        <sz val="10"/>
        <rFont val="WenQuanYi Zen Hei"/>
        <family val="2"/>
      </rPr>
      <t xml:space="preserve">경쟁법</t>
    </r>
    <r>
      <rPr>
        <sz val="10"/>
        <rFont val="Arial"/>
        <family val="0"/>
        <charset val="1"/>
      </rPr>
      <t xml:space="preserve">), </t>
    </r>
    <r>
      <rPr>
        <sz val="10"/>
        <rFont val="WenQuanYi Zen Hei"/>
        <family val="2"/>
      </rPr>
      <t xml:space="preserve">공정거래위원회</t>
    </r>
    <r>
      <rPr>
        <sz val="10"/>
        <rFont val="Arial"/>
        <family val="0"/>
        <charset val="1"/>
      </rPr>
      <t xml:space="preserve">(AGCM, agcm.it)</t>
    </r>
    <r>
      <rPr>
        <sz val="10"/>
        <rFont val="WenQuanYi Zen Hei"/>
        <family val="2"/>
      </rPr>
      <t xml:space="preserve">의 제재 결정</t>
    </r>
  </si>
  <si>
    <t xml:space="preserve">cartello, istruttoria, concorrenza</t>
  </si>
  <si>
    <t xml:space="preserve">법령칸·문서칸</t>
  </si>
  <si>
    <t xml:space="preserve">횡재세</t>
  </si>
  <si>
    <t xml:space="preserve">Non l'hai inventato tu. È già stato fatto.</t>
  </si>
  <si>
    <r>
      <rPr>
        <sz val="10"/>
        <rFont val="Arial"/>
        <family val="0"/>
        <charset val="1"/>
      </rPr>
      <t xml:space="preserve">d.l. 104/2023(</t>
    </r>
    <r>
      <rPr>
        <sz val="10"/>
        <rFont val="WenQuanYi Zen Hei"/>
        <family val="2"/>
      </rPr>
      <t xml:space="preserve">은행 특별 부담금</t>
    </r>
    <r>
      <rPr>
        <sz val="10"/>
        <rFont val="Arial"/>
        <family val="0"/>
        <charset val="1"/>
      </rPr>
      <t xml:space="preserve">), d.l. 21/2022(</t>
    </r>
    <r>
      <rPr>
        <sz val="10"/>
        <rFont val="WenQuanYi Zen Hei"/>
        <family val="2"/>
      </rPr>
      <t xml:space="preserve">에너지 기업 특별 부담금</t>
    </r>
    <r>
      <rPr>
        <sz val="10"/>
        <rFont val="Arial"/>
        <family val="0"/>
        <charset val="1"/>
      </rPr>
      <t xml:space="preserve">)</t>
    </r>
    <r>
      <rPr>
        <sz val="10"/>
        <rFont val="WenQuanYi Zen Hei"/>
        <family val="2"/>
      </rPr>
      <t xml:space="preserve">와 관련 헌법재판소 판결</t>
    </r>
  </si>
  <si>
    <t xml:space="preserve">contributo straordinario, extraprofitti</t>
  </si>
  <si>
    <r>
      <rPr>
        <b val="true"/>
        <sz val="10"/>
        <rFont val="Arial"/>
        <family val="0"/>
        <charset val="1"/>
      </rPr>
      <t xml:space="preserve">EU </t>
    </r>
    <r>
      <rPr>
        <b val="true"/>
        <sz val="10"/>
        <rFont val="WenQuanYi Zen Hei"/>
        <family val="2"/>
      </rPr>
      <t xml:space="preserve">긴축 압박</t>
    </r>
  </si>
  <si>
    <t xml:space="preserve">Quell'articolo non dice quello che ti hanno detto.</t>
  </si>
  <si>
    <t xml:space="preserve">유럽연합기능조약(TFUE) 제126조(과도한 재정적자 절차), EUR-Lex(eur-lex.europa.eu)</t>
  </si>
  <si>
    <t xml:space="preserve">procedura per deficit eccessivo</t>
  </si>
  <si>
    <t xml:space="preserve">과거 감시 스캔들</t>
  </si>
  <si>
    <r>
      <rPr>
        <sz val="10"/>
        <rFont val="Arial"/>
        <family val="0"/>
        <charset val="1"/>
      </rPr>
      <t xml:space="preserve">6~7</t>
    </r>
    <r>
      <rPr>
        <sz val="10"/>
        <rFont val="WenQuanYi Zen Hei"/>
        <family val="2"/>
      </rPr>
      <t xml:space="preserve">부</t>
    </r>
  </si>
  <si>
    <t xml:space="preserve">Gli archivi ricordano quello che la gente dimentica.</t>
  </si>
  <si>
    <t xml:space="preserve">국립중앙문서고의 정치범 기록(Casellario Politico Centrale), 신문 아카이브</t>
  </si>
  <si>
    <r>
      <rPr>
        <sz val="10"/>
        <rFont val="Arial"/>
        <family val="0"/>
        <charset val="1"/>
      </rPr>
      <t xml:space="preserve">'fascicoli SIFAR'</t>
    </r>
    <r>
      <rPr>
        <sz val="10"/>
        <rFont val="WenQuanYi Zen Hei"/>
        <family val="2"/>
      </rPr>
      <t xml:space="preserve">로 검색</t>
    </r>
    <r>
      <rPr>
        <sz val="10"/>
        <rFont val="Arial"/>
        <family val="0"/>
        <charset val="1"/>
      </rPr>
      <t xml:space="preserve">, Casellario Politico Centrale</t>
    </r>
  </si>
  <si>
    <t xml:space="preserve">신문칸·문서칸</t>
  </si>
  <si>
    <t xml:space="preserve">의회 발언 확인</t>
  </si>
  <si>
    <t xml:space="preserve">Tutto quello che si è detto in aula è scritto.</t>
  </si>
  <si>
    <t xml:space="preserve">양원 속기록(camera.it, senato.it), 로마 시의회 회의록</t>
  </si>
  <si>
    <t xml:space="preserve">resoconto stenografico, intervento</t>
  </si>
  <si>
    <t xml:space="preserve">정당 창당</t>
  </si>
  <si>
    <r>
      <rPr>
        <sz val="10"/>
        <rFont val="Arial"/>
        <family val="0"/>
        <charset val="1"/>
      </rPr>
      <t xml:space="preserve">8</t>
    </r>
    <r>
      <rPr>
        <sz val="10"/>
        <rFont val="WenQuanYi Zen Hei"/>
        <family val="2"/>
      </rPr>
      <t xml:space="preserve">부 </t>
    </r>
    <r>
      <rPr>
        <sz val="10"/>
        <rFont val="Arial"/>
        <family val="0"/>
        <charset val="1"/>
      </rPr>
      <t xml:space="preserve">5~6</t>
    </r>
    <r>
      <rPr>
        <sz val="10"/>
        <rFont val="WenQuanYi Zen Hei"/>
        <family val="2"/>
      </rPr>
      <t xml:space="preserve">화</t>
    </r>
  </si>
  <si>
    <t xml:space="preserve">Un partito comincia su un foglio pubblico. Cercalo.</t>
  </si>
  <si>
    <t xml:space="preserve">헌법 제49조, d.l. 149/2013(정당 등록부·정관 요건)</t>
  </si>
  <si>
    <t xml:space="preserve">atto costitutivo, statuto, registro dei partiti</t>
  </si>
  <si>
    <t xml:space="preserve">Chi conta i soldi di un partito lascia anche lui una traccia.</t>
  </si>
  <si>
    <r>
      <rPr>
        <sz val="10"/>
        <rFont val="Arial"/>
        <family val="0"/>
        <charset val="1"/>
      </rPr>
      <t xml:space="preserve">legge 3/2019(</t>
    </r>
    <r>
      <rPr>
        <sz val="10"/>
        <rFont val="WenQuanYi Zen Hei"/>
        <family val="2"/>
      </rPr>
      <t xml:space="preserve">후원 공개</t>
    </r>
    <r>
      <rPr>
        <sz val="10"/>
        <rFont val="Arial"/>
        <family val="0"/>
        <charset val="1"/>
      </rPr>
      <t xml:space="preserve">), </t>
    </r>
    <r>
      <rPr>
        <sz val="10"/>
        <rFont val="WenQuanYi Zen Hei"/>
        <family val="2"/>
      </rPr>
      <t xml:space="preserve">정당 회계 감독위원회 보고서</t>
    </r>
  </si>
  <si>
    <t xml:space="preserve">finanziamento dei partiti, rendiconto</t>
  </si>
  <si>
    <t xml:space="preserve">선거 규칙</t>
  </si>
  <si>
    <r>
      <rPr>
        <sz val="10"/>
        <rFont val="Arial"/>
        <family val="0"/>
        <charset val="1"/>
      </rPr>
      <t xml:space="preserve">8</t>
    </r>
    <r>
      <rPr>
        <sz val="10"/>
        <rFont val="WenQuanYi Zen Hei"/>
        <family val="2"/>
      </rPr>
      <t xml:space="preserve">부</t>
    </r>
    <r>
      <rPr>
        <sz val="10"/>
        <rFont val="Arial"/>
        <family val="0"/>
        <charset val="1"/>
      </rPr>
      <t xml:space="preserve">·10</t>
    </r>
    <r>
      <rPr>
        <sz val="10"/>
        <rFont val="WenQuanYi Zen Hei"/>
        <family val="2"/>
      </rPr>
      <t xml:space="preserve">부</t>
    </r>
  </si>
  <si>
    <t xml:space="preserve">Le regole del gioco sono nella legge elettorale.</t>
  </si>
  <si>
    <r>
      <rPr>
        <sz val="10"/>
        <rFont val="Arial"/>
        <family val="0"/>
        <charset val="1"/>
      </rPr>
      <t xml:space="preserve">legge 165/2017(</t>
    </r>
    <r>
      <rPr>
        <sz val="10"/>
        <rFont val="WenQuanYi Zen Hei"/>
        <family val="2"/>
      </rPr>
      <t xml:space="preserve">총선</t>
    </r>
    <r>
      <rPr>
        <sz val="10"/>
        <rFont val="Arial"/>
        <family val="0"/>
        <charset val="1"/>
      </rPr>
      <t xml:space="preserve">), TUEL(</t>
    </r>
    <r>
      <rPr>
        <sz val="10"/>
        <rFont val="WenQuanYi Zen Hei"/>
        <family val="2"/>
      </rPr>
      <t xml:space="preserve">지방선거</t>
    </r>
    <r>
      <rPr>
        <sz val="10"/>
        <rFont val="Arial"/>
        <family val="0"/>
        <charset val="1"/>
      </rPr>
      <t xml:space="preserve">), legge 28/2000(</t>
    </r>
    <r>
      <rPr>
        <sz val="10"/>
        <rFont val="WenQuanYi Zen Hei"/>
        <family val="2"/>
      </rPr>
      <t xml:space="preserve">방송 균등 노출</t>
    </r>
    <r>
      <rPr>
        <sz val="10"/>
        <rFont val="Arial"/>
        <family val="0"/>
        <charset val="1"/>
      </rPr>
      <t xml:space="preserve">)</t>
    </r>
  </si>
  <si>
    <t xml:space="preserve">presentazione delle liste, soglia, par condicio</t>
  </si>
  <si>
    <t xml:space="preserve">정부 구성·해산</t>
  </si>
  <si>
    <t xml:space="preserve">Articolo 94. Leggilo piano, due volte.</t>
  </si>
  <si>
    <t xml:space="preserve">헌법 제88조(해산), 제92~94조(조각·선서·신임)</t>
  </si>
  <si>
    <t xml:space="preserve">incarico, fiducia, scioglimento, mozione di sfiducia</t>
  </si>
  <si>
    <t xml:space="preserve">권한 배분</t>
  </si>
  <si>
    <r>
      <rPr>
        <sz val="10"/>
        <rFont val="Arial"/>
        <family val="0"/>
        <charset val="1"/>
      </rPr>
      <t xml:space="preserve">9</t>
    </r>
    <r>
      <rPr>
        <sz val="10"/>
        <rFont val="WenQuanYi Zen Hei"/>
        <family val="2"/>
      </rPr>
      <t xml:space="preserve">부</t>
    </r>
    <r>
      <rPr>
        <sz val="10"/>
        <rFont val="Arial"/>
        <family val="0"/>
        <charset val="1"/>
      </rPr>
      <t xml:space="preserve">·11</t>
    </r>
    <r>
      <rPr>
        <sz val="10"/>
        <rFont val="WenQuanYi Zen Hei"/>
        <family val="2"/>
      </rPr>
      <t xml:space="preserve">부</t>
    </r>
  </si>
  <si>
    <t xml:space="preserve">Chi comanda qui? Guarda il Titolo V.</t>
  </si>
  <si>
    <t xml:space="preserve">헌법 제5장(제114~133조), 특히 제117조, 라치오 주 헌장</t>
  </si>
  <si>
    <t xml:space="preserve">competenza concorrente, Regione, Titolo V</t>
  </si>
  <si>
    <r>
      <rPr>
        <sz val="10"/>
        <rFont val="Arial"/>
        <family val="0"/>
        <charset val="1"/>
      </rPr>
      <t xml:space="preserve">7</t>
    </r>
    <r>
      <rPr>
        <sz val="10"/>
        <rFont val="WenQuanYi Zen Hei"/>
        <family val="2"/>
      </rPr>
      <t xml:space="preserve">부</t>
    </r>
    <r>
      <rPr>
        <sz val="10"/>
        <rFont val="Arial"/>
        <family val="0"/>
        <charset val="1"/>
      </rPr>
      <t xml:space="preserve">·9</t>
    </r>
    <r>
      <rPr>
        <sz val="10"/>
        <rFont val="WenQuanYi Zen Hei"/>
        <family val="2"/>
      </rPr>
      <t xml:space="preserve">부</t>
    </r>
  </si>
  <si>
    <t xml:space="preserve">C'è una legge per chi avvisa.</t>
  </si>
  <si>
    <r>
      <rPr>
        <sz val="10"/>
        <rFont val="Arial"/>
        <family val="0"/>
        <charset val="1"/>
      </rPr>
      <t xml:space="preserve">d.lgs. 24/2023 (</t>
    </r>
    <r>
      <rPr>
        <sz val="10"/>
        <rFont val="WenQuanYi Zen Hei"/>
        <family val="2"/>
      </rPr>
      <t xml:space="preserve">내부고발자 보호</t>
    </r>
    <r>
      <rPr>
        <sz val="10"/>
        <rFont val="Arial"/>
        <family val="0"/>
        <charset val="1"/>
      </rPr>
      <t xml:space="preserve">), ANAC </t>
    </r>
    <r>
      <rPr>
        <sz val="10"/>
        <rFont val="WenQuanYi Zen Hei"/>
        <family val="2"/>
      </rPr>
      <t xml:space="preserve">신고 채널</t>
    </r>
  </si>
  <si>
    <t xml:space="preserve">whistleblowing, segnalazione, ritorsione</t>
  </si>
  <si>
    <t xml:space="preserve">의회 표결 확인</t>
  </si>
  <si>
    <t xml:space="preserve">Ogni voto resta scritto.</t>
  </si>
  <si>
    <t xml:space="preserve">양원 속기록과 호명 투표 결과(camera.it, senato.it)</t>
  </si>
  <si>
    <t xml:space="preserve">appello nominale, votazione, fiducia</t>
  </si>
  <si>
    <t xml:space="preserve">모르는 단어</t>
  </si>
  <si>
    <t xml:space="preserve">전 부</t>
  </si>
  <si>
    <t xml:space="preserve">Se non sai la parola, non sai la legge.</t>
  </si>
  <si>
    <t xml:space="preserve">Treccani, Accademia della Crusca</t>
  </si>
  <si>
    <t xml:space="preserve">※ 법령 번호와 조항은 기획 시점 지식으로 정리한 것입니다. 교재에 넣기 전에 Normattiva(normattiva.it)의 현행 통합본(testo vigente)으로 반드시 확인하세요. 참고 도서 제목은 지어낼 위험이 있어 제외하고 검색어만 적었습니다.</t>
  </si>
  <si>
    <r>
      <rPr>
        <b val="true"/>
        <sz val="10"/>
        <rFont val="Arial"/>
        <family val="0"/>
        <charset val="1"/>
      </rPr>
      <t xml:space="preserve">4. </t>
    </r>
    <r>
      <rPr>
        <b val="true"/>
        <sz val="10"/>
        <rFont val="WenQuanYi Zen Hei"/>
        <family val="2"/>
      </rPr>
      <t xml:space="preserve">카드</t>
    </r>
    <r>
      <rPr>
        <b val="true"/>
        <sz val="10"/>
        <rFont val="Arial"/>
        <family val="0"/>
        <charset val="1"/>
      </rPr>
      <t xml:space="preserve">(FICHA) </t>
    </r>
    <r>
      <rPr>
        <b val="true"/>
        <sz val="10"/>
        <rFont val="WenQuanYi Zen Hei"/>
        <family val="2"/>
      </rPr>
      <t xml:space="preserve">구술 템플릿 — 지문 없이 대사로만</t>
    </r>
  </si>
  <si>
    <t xml:space="preserve">화자</t>
  </si>
  <si>
    <t xml:space="preserve">기능</t>
  </si>
  <si>
    <t xml:space="preserve">GRAMSCI</t>
  </si>
  <si>
    <t xml:space="preserve">검색어 (Cerca)</t>
  </si>
  <si>
    <t xml:space="preserve">Annota. Cerca: «prove inutilizzabili».</t>
  </si>
  <si>
    <t xml:space="preserve">적어. 찾을 것: «사용할 수 없는 증거».</t>
  </si>
  <si>
    <t xml:space="preserve">SOFIA</t>
  </si>
  <si>
    <t xml:space="preserve">질문으로 다음 항목을 끌어냄</t>
  </si>
  <si>
    <t xml:space="preserve">Va bene. Dove?</t>
  </si>
  <si>
    <t xml:space="preserve">알겠어요. 어디서요?</t>
  </si>
  <si>
    <t xml:space="preserve">출처 (Dove)</t>
  </si>
  <si>
    <t xml:space="preserve">Normattiva. Codice di procedura penale, articolo 191.</t>
  </si>
  <si>
    <t xml:space="preserve">노르마티바. 형사소송법 제191조.</t>
  </si>
  <si>
    <t xml:space="preserve">질문</t>
  </si>
  <si>
    <t xml:space="preserve">E che parole cerco?</t>
  </si>
  <si>
    <t xml:space="preserve">그럼 어떤 단어를 찾죠?</t>
  </si>
  <si>
    <t xml:space="preserve">키워드 (Parole chiave)</t>
  </si>
  <si>
    <t xml:space="preserve">Intercettazioni. Autorizzazione del giudice. Catena di custodia.</t>
  </si>
  <si>
    <t xml:space="preserve">감청. 판사의 허가. 증거 보관 연속성.</t>
  </si>
  <si>
    <r>
      <rPr>
        <sz val="10"/>
        <rFont val="Arial"/>
        <family val="0"/>
        <charset val="1"/>
      </rPr>
      <t xml:space="preserve">Sofia</t>
    </r>
    <r>
      <rPr>
        <sz val="10"/>
        <rFont val="WenQuanYi Zen Hei"/>
        <family val="2"/>
      </rPr>
      <t xml:space="preserve">의 조급함</t>
    </r>
  </si>
  <si>
    <t xml:space="preserve">E la risposta?</t>
  </si>
  <si>
    <t xml:space="preserve">그럼 답은요?</t>
  </si>
  <si>
    <t xml:space="preserve">시그니처 + 서가 위치 (손짓 지문 대체)</t>
  </si>
  <si>
    <t xml:space="preserve">Io non ho detto niente. Terzo ripiano, a sinistra.</t>
  </si>
  <si>
    <t xml:space="preserve">나는 아무 말도 안 했어. 세 번째 선반, 왼쪽이야.</t>
  </si>
  <si>
    <t xml:space="preserve">카드는 3줄(검색어·출처·키워드)과 마지막 시그니처로 짧게 유지한다. 이 카드가 모이면 교재 전체의 이탈리아어 자료 색인이 된다(Gramsci의 '수첩'). 카드를 넣을 화의 범위(전 화 vs Gramsci 등장 화)는 미결사항 참고.</t>
  </si>
  <si>
    <t xml:space="preserve">대화문 규칙 — 모든 것은 대화문으로 풀어간다</t>
  </si>
  <si>
    <t xml:space="preserve">이전 안(상황 30% + 대화 70%)을 폐기하고, 전 화를 「화자명: 대사」만으로 구성한다.</t>
  </si>
  <si>
    <r>
      <rPr>
        <b val="true"/>
        <sz val="10"/>
        <rFont val="Arial"/>
        <family val="0"/>
        <charset val="1"/>
      </rPr>
      <t xml:space="preserve">1. </t>
    </r>
    <r>
      <rPr>
        <b val="true"/>
        <sz val="10"/>
        <rFont val="WenQuanYi Zen Hei"/>
        <family val="2"/>
      </rPr>
      <t xml:space="preserve">원칙</t>
    </r>
  </si>
  <si>
    <t xml:space="preserve">예시</t>
  </si>
  <si>
    <t xml:space="preserve">전 화 100% 대화문</t>
  </si>
  <si>
    <t xml:space="preserve">지문(narrazione)은 0%. 각 화는 화자명 + 대사로만 구성한다.</t>
  </si>
  <si>
    <t xml:space="preserve">ROSA: Sono le cinque. Comincia la riunione.</t>
  </si>
  <si>
    <t xml:space="preserve">화 머리 표기</t>
  </si>
  <si>
    <t xml:space="preserve">부·화 번호, 제목, 장소·날짜는 낭독하지 않는 표기 전용 한 줄(메타). 낭독 본문에는 넣지 않는다.</t>
  </si>
  <si>
    <r>
      <rPr>
        <sz val="10"/>
        <rFont val="Arial"/>
        <family val="0"/>
        <charset val="1"/>
      </rPr>
      <t xml:space="preserve">[11</t>
    </r>
    <r>
      <rPr>
        <sz val="10"/>
        <rFont val="WenQuanYi Zen Hei"/>
        <family val="2"/>
      </rPr>
      <t xml:space="preserve">부 </t>
    </r>
    <r>
      <rPr>
        <sz val="10"/>
        <rFont val="Arial"/>
        <family val="0"/>
        <charset val="1"/>
      </rPr>
      <t xml:space="preserve">4</t>
    </r>
    <r>
      <rPr>
        <sz val="10"/>
        <rFont val="WenQuanYi Zen Hei"/>
        <family val="2"/>
      </rPr>
      <t xml:space="preserve">화 </t>
    </r>
    <r>
      <rPr>
        <sz val="10"/>
        <rFont val="Arial"/>
        <family val="0"/>
        <charset val="1"/>
      </rPr>
      <t xml:space="preserve">· Pronto soccorso al collasso]</t>
    </r>
  </si>
  <si>
    <t xml:space="preserve">괄호 무대지시 금지</t>
  </si>
  <si>
    <t xml:space="preserve">행동·표정·침묵은 괄호 지문이 아니라 대사로 표현한다.</t>
  </si>
  <si>
    <t xml:space="preserve">(Rosa posa il piatto) → ROSA: Poso 'sto piatto prima che voli.</t>
  </si>
  <si>
    <t xml:space="preserve">장소·시간 소개</t>
  </si>
  <si>
    <t xml:space="preserve">지정 화자가 대사로 알린다: Rosa(식사·장소), Sofia(질문), Garibaldi(보고).</t>
  </si>
  <si>
    <t xml:space="preserve">ROSA: Sono le cinque. Riunione al mio tavolo.</t>
  </si>
  <si>
    <t xml:space="preserve">시간 경과·장면 전환</t>
  </si>
  <si>
    <t xml:space="preserve">인물이 말로 알린다. 전환은 화자 교체 + 장소 언급으로.</t>
  </si>
  <si>
    <t xml:space="preserve">GALILEO: Sono passati tre mesi dallo sfratto, vero?</t>
  </si>
  <si>
    <t xml:space="preserve">문서·기사·메모</t>
  </si>
  <si>
    <t xml:space="preserve">소리 내어 읽는다: Marco=조항, Galileo=기사·뉴스레터, Dante=초고·메모, Gramsci=카드.</t>
  </si>
  <si>
    <t xml:space="preserve">MARCO: Articolo 3: «Tutti i cittadini hanno pari dignità sociale…»</t>
  </si>
  <si>
    <t xml:space="preserve">무거운 장면 (죽음·침묵)</t>
  </si>
  <si>
    <t xml:space="preserve">짧은 호명·확인 대사로 처리한다.</t>
  </si>
  <si>
    <t xml:space="preserve">SOFIA: Cesare? / GIULIA: Non c'è più, Sofia.</t>
  </si>
  <si>
    <t xml:space="preserve">내면·감정</t>
  </si>
  <si>
    <t xml:space="preserve">독백은 '소리 내어 하는 말'로만 허용. 감정 노출은 Montessori의 되받기 화법을 활용.</t>
  </si>
  <si>
    <t xml:space="preserve">MONTESSORI: Allora ti senti sola. È così?</t>
  </si>
  <si>
    <t xml:space="preserve">문장 길이</t>
  </si>
  <si>
    <r>
      <rPr>
        <sz val="10"/>
        <rFont val="Arial"/>
        <family val="0"/>
        <charset val="1"/>
      </rPr>
      <t xml:space="preserve">1</t>
    </r>
    <r>
      <rPr>
        <sz val="10"/>
        <rFont val="WenQuanYi Zen Hei"/>
        <family val="2"/>
      </rPr>
      <t xml:space="preserve">부</t>
    </r>
    <r>
      <rPr>
        <sz val="10"/>
        <rFont val="Arial"/>
        <family val="0"/>
        <charset val="1"/>
      </rPr>
      <t xml:space="preserve">(B1): </t>
    </r>
    <r>
      <rPr>
        <sz val="10"/>
        <rFont val="WenQuanYi Zen Hei"/>
        <family val="2"/>
      </rPr>
      <t xml:space="preserve">대사 한 줄 </t>
    </r>
    <r>
      <rPr>
        <sz val="10"/>
        <rFont val="Arial"/>
        <family val="0"/>
        <charset val="1"/>
      </rPr>
      <t xml:space="preserve">15</t>
    </r>
    <r>
      <rPr>
        <sz val="10"/>
        <rFont val="WenQuanYi Zen Hei"/>
        <family val="2"/>
      </rPr>
      <t xml:space="preserve">단어 이내</t>
    </r>
    <r>
      <rPr>
        <sz val="10"/>
        <rFont val="Arial"/>
        <family val="0"/>
        <charset val="1"/>
      </rPr>
      <t xml:space="preserve">. Cesare·Marco</t>
    </r>
    <r>
      <rPr>
        <sz val="10"/>
        <rFont val="WenQuanYi Zen Hei"/>
        <family val="2"/>
      </rPr>
      <t xml:space="preserve">의 격식체는 한두 줄만 </t>
    </r>
    <r>
      <rPr>
        <sz val="10"/>
        <rFont val="Arial"/>
        <family val="0"/>
        <charset val="1"/>
      </rPr>
      <t xml:space="preserve">'</t>
    </r>
    <r>
      <rPr>
        <sz val="10"/>
        <rFont val="WenQuanYi Zen Hei"/>
        <family val="2"/>
      </rPr>
      <t xml:space="preserve">어른들 말투 맛보기</t>
    </r>
    <r>
      <rPr>
        <sz val="10"/>
        <rFont val="Arial"/>
        <family val="0"/>
        <charset val="1"/>
      </rPr>
      <t xml:space="preserve">'. </t>
    </r>
    <r>
      <rPr>
        <sz val="10"/>
        <rFont val="WenQuanYi Zen Hei"/>
        <family val="2"/>
      </rPr>
      <t xml:space="preserve">부가 올라갈수록 인물별 허용 길이 확대</t>
    </r>
    <r>
      <rPr>
        <sz val="10"/>
        <rFont val="Arial"/>
        <family val="0"/>
        <charset val="1"/>
      </rPr>
      <t xml:space="preserve">. Sofia</t>
    </r>
    <r>
      <rPr>
        <sz val="10"/>
        <rFont val="WenQuanYi Zen Hei"/>
        <family val="2"/>
      </rPr>
      <t xml:space="preserve">의 질문은 끝까지 짧게</t>
    </r>
    <r>
      <rPr>
        <sz val="10"/>
        <rFont val="Arial"/>
        <family val="0"/>
        <charset val="1"/>
      </rPr>
      <t xml:space="preserve">.</t>
    </r>
  </si>
  <si>
    <r>
      <rPr>
        <sz val="10"/>
        <rFont val="Arial"/>
        <family val="0"/>
        <charset val="1"/>
      </rPr>
      <t xml:space="preserve">1</t>
    </r>
    <r>
      <rPr>
        <sz val="10"/>
        <rFont val="WenQuanYi Zen Hei"/>
        <family val="2"/>
      </rPr>
      <t xml:space="preserve">부 </t>
    </r>
    <r>
      <rPr>
        <sz val="10"/>
        <rFont val="Arial"/>
        <family val="0"/>
        <charset val="1"/>
      </rPr>
      <t xml:space="preserve">1</t>
    </r>
    <r>
      <rPr>
        <sz val="10"/>
        <rFont val="WenQuanYi Zen Hei"/>
        <family val="2"/>
      </rPr>
      <t xml:space="preserve">화 대본</t>
    </r>
    <r>
      <rPr>
        <sz val="10"/>
        <rFont val="Arial"/>
        <family val="0"/>
        <charset val="1"/>
      </rPr>
      <t xml:space="preserve">(1</t>
    </r>
    <r>
      <rPr>
        <sz val="10"/>
        <rFont val="WenQuanYi Zen Hei"/>
        <family val="2"/>
      </rPr>
      <t xml:space="preserve">부</t>
    </r>
    <r>
      <rPr>
        <sz val="10"/>
        <rFont val="Arial"/>
        <family val="0"/>
        <charset val="1"/>
      </rPr>
      <t xml:space="preserve">1</t>
    </r>
    <r>
      <rPr>
        <sz val="10"/>
        <rFont val="WenQuanYi Zen Hei"/>
        <family val="2"/>
      </rPr>
      <t xml:space="preserve">화</t>
    </r>
    <r>
      <rPr>
        <sz val="10"/>
        <rFont val="Arial"/>
        <family val="0"/>
        <charset val="1"/>
      </rPr>
      <t xml:space="preserve">_Un_altra_lettera.docx)</t>
    </r>
    <r>
      <rPr>
        <sz val="10"/>
        <rFont val="WenQuanYi Zen Hei"/>
        <family val="2"/>
      </rPr>
      <t xml:space="preserve">으로 한 줄 </t>
    </r>
    <r>
      <rPr>
        <sz val="10"/>
        <rFont val="Arial"/>
        <family val="0"/>
        <charset val="1"/>
      </rPr>
      <t xml:space="preserve">15</t>
    </r>
    <r>
      <rPr>
        <sz val="10"/>
        <rFont val="WenQuanYi Zen Hei"/>
        <family val="2"/>
      </rPr>
      <t xml:space="preserve">단어 이내 점검</t>
    </r>
  </si>
  <si>
    <t xml:space="preserve">화당 분량 = 120턴</t>
  </si>
  <si>
    <t xml:space="preserve">한 화는 대화 120턴(화자 교대 1회 = 1턴)으로 구성한다. 한 턴은 1부 15단어 이내, 연설·조항·기사 낭독은 긴 턴 1개로 세되 화당 3개까지. 화 유형별 도입·장면·절정·마무리 배분과 화자 점유율은 '턴_설계' 시트.</t>
  </si>
  <si>
    <r>
      <rPr>
        <sz val="10"/>
        <rFont val="Arial"/>
        <family val="0"/>
        <charset val="1"/>
      </rPr>
      <t xml:space="preserve">120</t>
    </r>
    <r>
      <rPr>
        <sz val="10"/>
        <rFont val="WenQuanYi Zen Hei"/>
        <family val="2"/>
      </rPr>
      <t xml:space="preserve">턴 중 장면 전환</t>
    </r>
    <r>
      <rPr>
        <sz val="10"/>
        <rFont val="Arial"/>
        <family val="0"/>
        <charset val="1"/>
      </rPr>
      <t xml:space="preserve">·</t>
    </r>
    <r>
      <rPr>
        <sz val="10"/>
        <rFont val="WenQuanYi Zen Hei"/>
        <family val="2"/>
      </rPr>
      <t xml:space="preserve">시간</t>
    </r>
    <r>
      <rPr>
        <sz val="10"/>
        <rFont val="Arial"/>
        <family val="0"/>
        <charset val="1"/>
      </rPr>
      <t xml:space="preserve">·</t>
    </r>
    <r>
      <rPr>
        <sz val="10"/>
        <rFont val="WenQuanYi Zen Hei"/>
        <family val="2"/>
      </rPr>
      <t xml:space="preserve">장소 안내 </t>
    </r>
    <r>
      <rPr>
        <sz val="10"/>
        <rFont val="Arial"/>
        <family val="0"/>
        <charset val="1"/>
      </rPr>
      <t xml:space="preserve">5~10</t>
    </r>
    <r>
      <rPr>
        <sz val="10"/>
        <rFont val="WenQuanYi Zen Hei"/>
        <family val="2"/>
      </rPr>
      <t xml:space="preserve">턴</t>
    </r>
    <r>
      <rPr>
        <sz val="10"/>
        <rFont val="Arial"/>
        <family val="0"/>
        <charset val="1"/>
      </rPr>
      <t xml:space="preserve">, Sofia </t>
    </r>
    <r>
      <rPr>
        <sz val="10"/>
        <rFont val="WenQuanYi Zen Hei"/>
        <family val="2"/>
      </rPr>
      <t xml:space="preserve">질문→재설명 </t>
    </r>
    <r>
      <rPr>
        <sz val="10"/>
        <rFont val="Arial"/>
        <family val="0"/>
        <charset val="1"/>
      </rPr>
      <t xml:space="preserve">6~12</t>
    </r>
    <r>
      <rPr>
        <sz val="10"/>
        <rFont val="WenQuanYi Zen Hei"/>
        <family val="2"/>
      </rPr>
      <t xml:space="preserve">턴</t>
    </r>
  </si>
  <si>
    <t xml:space="preserve">화자 식별 장치이자 반복 학습 문장. 한 화에 화자당 1~2회까지.</t>
  </si>
  <si>
    <r>
      <rPr>
        <sz val="10"/>
        <rFont val="Arial"/>
        <family val="0"/>
        <charset val="1"/>
      </rPr>
      <t xml:space="preserve">Sofia</t>
    </r>
    <r>
      <rPr>
        <sz val="10"/>
        <rFont val="WenQuanYi Zen Hei"/>
        <family val="2"/>
      </rPr>
      <t xml:space="preserve">의 질문 장치</t>
    </r>
  </si>
  <si>
    <t xml:space="preserve">어려운 용어 뒤에는 Sofia의 질문 → 쉬운 재설명이 온다 (전문 표현 → 쉬운 표현 짝).</t>
  </si>
  <si>
    <t xml:space="preserve">SOFIA: Scusi, cosa significa?</t>
  </si>
  <si>
    <r>
      <rPr>
        <sz val="10"/>
        <rFont val="Arial"/>
        <family val="0"/>
        <charset val="1"/>
      </rPr>
      <t xml:space="preserve">Gramsci</t>
    </r>
    <r>
      <rPr>
        <sz val="10"/>
        <rFont val="WenQuanYi Zen Hei"/>
        <family val="2"/>
      </rPr>
      <t xml:space="preserve">의 카드</t>
    </r>
  </si>
  <si>
    <t xml:space="preserve">카드는 구술로 처리한다 (Gramsci_출처 시트 템플릿).</t>
  </si>
  <si>
    <t xml:space="preserve">GRAMSCI: Annota. Cerca: …</t>
  </si>
  <si>
    <t xml:space="preserve">욕설 수위</t>
  </si>
  <si>
    <r>
      <rPr>
        <sz val="10"/>
        <rFont val="Arial"/>
        <family val="0"/>
        <charset val="1"/>
      </rPr>
      <t xml:space="preserve">cazzo, vaffanculo </t>
    </r>
    <r>
      <rPr>
        <sz val="10"/>
        <rFont val="WenQuanYi Zen Hei"/>
        <family val="2"/>
      </rPr>
      <t xml:space="preserve">등은 교재 제외</t>
    </r>
    <r>
      <rPr>
        <sz val="10"/>
        <rFont val="Arial"/>
        <family val="0"/>
        <charset val="1"/>
      </rPr>
      <t xml:space="preserve">. </t>
    </r>
    <r>
      <rPr>
        <sz val="10"/>
        <rFont val="WenQuanYi Zen Hei"/>
        <family val="2"/>
      </rPr>
      <t xml:space="preserve">순한 표현만 </t>
    </r>
    <r>
      <rPr>
        <sz val="10"/>
        <rFont val="Arial"/>
        <family val="0"/>
        <charset val="1"/>
      </rPr>
      <t xml:space="preserve">(Sofia_</t>
    </r>
    <r>
      <rPr>
        <sz val="10"/>
        <rFont val="WenQuanYi Zen Hei"/>
        <family val="2"/>
      </rPr>
      <t xml:space="preserve">폭발과욕 시트</t>
    </r>
    <r>
      <rPr>
        <sz val="10"/>
        <rFont val="Arial"/>
        <family val="0"/>
        <charset val="1"/>
      </rPr>
      <t xml:space="preserve">).</t>
    </r>
  </si>
  <si>
    <t xml:space="preserve">호칭 전환</t>
  </si>
  <si>
    <r>
      <rPr>
        <sz val="10"/>
        <rFont val="Arial"/>
        <family val="0"/>
        <charset val="1"/>
      </rPr>
      <t xml:space="preserve">tu/Lei </t>
    </r>
    <r>
      <rPr>
        <sz val="10"/>
        <rFont val="WenQuanYi Zen Hei"/>
        <family val="2"/>
      </rPr>
      <t xml:space="preserve">전환은 대사로 명시한다 </t>
    </r>
    <r>
      <rPr>
        <sz val="10"/>
        <rFont val="Arial"/>
        <family val="0"/>
        <charset val="1"/>
      </rPr>
      <t xml:space="preserve">(</t>
    </r>
    <r>
      <rPr>
        <sz val="10"/>
        <rFont val="WenQuanYi Zen Hei"/>
        <family val="2"/>
      </rPr>
      <t xml:space="preserve">호칭규칙 시트</t>
    </r>
    <r>
      <rPr>
        <sz val="10"/>
        <rFont val="Arial"/>
        <family val="0"/>
        <charset val="1"/>
      </rPr>
      <t xml:space="preserve">).</t>
    </r>
  </si>
  <si>
    <t xml:space="preserve">CESARE: Puoi darmi del tu.</t>
  </si>
  <si>
    <t xml:space="preserve">가상 정치 세계</t>
  </si>
  <si>
    <t xml:space="preserve">정당·정치인은 전부 가상. 실존 정치인·정당명을 쓰지 않고, 대통령은 직접 대사를 주지 않는다 (절차 결과는 양원 의장 대사나 공식 발표문으로).</t>
  </si>
  <si>
    <t xml:space="preserve">PRESIDENTE DEL SENATO: Favorevoli: centodue. Contrari: centouno.</t>
  </si>
  <si>
    <t xml:space="preserve">현안을 다루는 법</t>
  </si>
  <si>
    <t xml:space="preserve">시사 현안은 가상 설정으로 각색하고 실존 인물·참사 희생자를 특정하지 않는다. 찬반 양측이 각자의 가장 강한 논거를 말하게 하고, 결론은 화 안에서 제도의 결과(표결·판결·협약)로만 닫는다. 수치는 Gramsci의 카드로 출처를 안내한다.</t>
  </si>
  <si>
    <t xml:space="preserve">SOFIA: Scusi, cosa sono gli «affitti brevi»? / ALESSANDRO: Case affittate ai turisti per pochi giorni.</t>
  </si>
  <si>
    <t xml:space="preserve">화자 표기</t>
  </si>
  <si>
    <t xml:space="preserve">화자명은 대문자 + 콜론. 이탈리아어 본문과 한국어 번역은 열(또는 파일)을 분리해 낭독 시 번역이 섞이지 않게 한다.</t>
  </si>
  <si>
    <t xml:space="preserve">SOFIA: BASTA!</t>
  </si>
  <si>
    <t xml:space="preserve">고전 인용</t>
  </si>
  <si>
    <t xml:space="preserve">인물마다 다른 이탈리아 고전 출처를 맡겨 화마다 1~2명이 짧게 인용한다. 부활한 인물은 주로 자기 자신의 글을 인용한다(자기 인용 개그). 전부 저작권 만료 공유 저작물만 쓰고, 원문을 정확히 인용한다 (배정표는 아래 3번).</t>
  </si>
  <si>
    <t xml:space="preserve">DANTE: Fatti non foste a viver come bruti, ma per seguir virtute e canoscenza.</t>
  </si>
  <si>
    <r>
      <rPr>
        <b val="true"/>
        <sz val="10"/>
        <rFont val="Arial"/>
        <family val="0"/>
        <charset val="1"/>
      </rPr>
      <t xml:space="preserve">2. </t>
    </r>
    <r>
      <rPr>
        <b val="true"/>
        <sz val="10"/>
        <rFont val="WenQuanYi Zen Hei"/>
        <family val="2"/>
      </rPr>
      <t xml:space="preserve">지문 → 대사 대체표</t>
    </r>
  </si>
  <si>
    <t xml:space="preserve">기존 지문</t>
  </si>
  <si>
    <t xml:space="preserve">대사 처리 (IT)</t>
  </si>
  <si>
    <t xml:space="preserve">담당 화자</t>
  </si>
  <si>
    <r>
      <rPr>
        <sz val="10"/>
        <rFont val="Noto Sans CJK SC"/>
        <family val="2"/>
        <charset val="1"/>
      </rPr>
      <t xml:space="preserve">(Silenzio.) </t>
    </r>
    <r>
      <rPr>
        <sz val="10"/>
        <rFont val="WenQuanYi Zen Hei"/>
        <family val="2"/>
      </rPr>
      <t xml:space="preserve">폭발 직후 정적</t>
    </r>
  </si>
  <si>
    <r>
      <rPr>
        <sz val="10"/>
        <rFont val="Arial"/>
        <family val="0"/>
        <charset val="1"/>
      </rPr>
      <t xml:space="preserve">«Uh.» — </t>
    </r>
    <r>
      <rPr>
        <sz val="10"/>
        <rFont val="WenQuanYi Zen Hei"/>
        <family val="2"/>
      </rPr>
      <t xml:space="preserve">정적 대신 짧은 감탄으로 멈춤을 표현</t>
    </r>
  </si>
  <si>
    <r>
      <rPr>
        <sz val="10"/>
        <rFont val="Noto Sans CJK SC"/>
        <family val="2"/>
        <charset val="1"/>
      </rPr>
      <t xml:space="preserve">(Posa il piatto.) </t>
    </r>
    <r>
      <rPr>
        <sz val="10"/>
        <rFont val="WenQuanYi Zen Hei"/>
        <family val="2"/>
      </rPr>
      <t xml:space="preserve">행동</t>
    </r>
  </si>
  <si>
    <t xml:space="preserve">«Poso 'sto piatto prima che voli.»</t>
  </si>
  <si>
    <t xml:space="preserve">장소 도입</t>
  </si>
  <si>
    <t xml:space="preserve">«Sono le cinque. Riunione al mio tavolo.»</t>
  </si>
  <si>
    <t xml:space="preserve">보고·상황 정리</t>
  </si>
  <si>
    <r>
      <rPr>
        <sz val="10"/>
        <rFont val="Arial"/>
        <family val="0"/>
        <charset val="1"/>
      </rPr>
      <t xml:space="preserve">«Nulla da segnalare.» / «C'è da segnalare.»(12</t>
    </r>
    <r>
      <rPr>
        <sz val="10"/>
        <rFont val="WenQuanYi Zen Hei"/>
        <family val="2"/>
      </rPr>
      <t xml:space="preserve">부 </t>
    </r>
    <r>
      <rPr>
        <sz val="10"/>
        <rFont val="Arial"/>
        <family val="0"/>
        <charset val="1"/>
      </rPr>
      <t xml:space="preserve">8</t>
    </r>
    <r>
      <rPr>
        <sz val="10"/>
        <rFont val="WenQuanYi Zen Hei"/>
        <family val="2"/>
      </rPr>
      <t xml:space="preserve">화</t>
    </r>
    <r>
      <rPr>
        <sz val="10"/>
        <rFont val="Arial"/>
        <family val="0"/>
        <charset val="1"/>
      </rPr>
      <t xml:space="preserve">)</t>
    </r>
  </si>
  <si>
    <t xml:space="preserve">서류를 건넴</t>
  </si>
  <si>
    <t xml:space="preserve">«Terzo ripiano, a sinistra.»</t>
  </si>
  <si>
    <t xml:space="preserve">숫자 제시</t>
  </si>
  <si>
    <t xml:space="preserve">«Tre milioni duecentomila, in quattordici bonifici.»</t>
  </si>
  <si>
    <t xml:space="preserve">감정 드러내기</t>
  </si>
  <si>
    <t xml:space="preserve">«Allora ti senti arrabbiata. È così?»</t>
  </si>
  <si>
    <t xml:space="preserve">시간 경과</t>
  </si>
  <si>
    <t xml:space="preserve">«Sono passati tre mesi dallo sfratto, vero?»</t>
  </si>
  <si>
    <r>
      <rPr>
        <sz val="10"/>
        <rFont val="Noto Sans CJK SC"/>
        <family val="2"/>
        <charset val="1"/>
      </rPr>
      <t xml:space="preserve">Galileo (</t>
    </r>
    <r>
      <rPr>
        <sz val="10"/>
        <rFont val="WenQuanYi Zen Hei"/>
        <family val="2"/>
      </rPr>
      <t xml:space="preserve">질문 형태</t>
    </r>
    <r>
      <rPr>
        <sz val="10"/>
        <rFont val="Noto Sans CJK SC"/>
        <family val="2"/>
        <charset val="1"/>
      </rPr>
      <t xml:space="preserve">)</t>
    </r>
  </si>
  <si>
    <t xml:space="preserve">신문 기사 삽입</t>
  </si>
  <si>
    <r>
      <rPr>
        <sz val="10"/>
        <rFont val="Arial"/>
        <family val="0"/>
        <charset val="1"/>
      </rPr>
      <t xml:space="preserve">Galileo</t>
    </r>
    <r>
      <rPr>
        <sz val="10"/>
        <rFont val="WenQuanYi Zen Hei"/>
        <family val="2"/>
      </rPr>
      <t xml:space="preserve">가 뉴스레터 </t>
    </r>
    <r>
      <rPr>
        <sz val="10"/>
        <rFont val="Arial"/>
        <family val="0"/>
        <charset val="1"/>
      </rPr>
      <t xml:space="preserve">«Nuncius» </t>
    </r>
    <r>
      <rPr>
        <sz val="10"/>
        <rFont val="WenQuanYi Zen Hei"/>
        <family val="2"/>
      </rPr>
      <t xml:space="preserve">첫 문단을 소리 내어 읽는다</t>
    </r>
  </si>
  <si>
    <t xml:space="preserve">연설문 초고 삽입</t>
  </si>
  <si>
    <r>
      <rPr>
        <sz val="10"/>
        <rFont val="Arial"/>
        <family val="0"/>
        <charset val="1"/>
      </rPr>
      <t xml:space="preserve">Dante</t>
    </r>
    <r>
      <rPr>
        <sz val="10"/>
        <rFont val="WenQuanYi Zen Hei"/>
        <family val="2"/>
      </rPr>
      <t xml:space="preserve">가 초고를 읽고 </t>
    </r>
    <r>
      <rPr>
        <sz val="10"/>
        <rFont val="Arial"/>
        <family val="0"/>
        <charset val="1"/>
      </rPr>
      <t xml:space="preserve">Marco</t>
    </r>
    <r>
      <rPr>
        <sz val="10"/>
        <rFont val="WenQuanYi Zen Hei"/>
        <family val="2"/>
      </rPr>
      <t xml:space="preserve">가 고친다</t>
    </r>
  </si>
  <si>
    <t xml:space="preserve">Dante, Marco</t>
  </si>
  <si>
    <t xml:space="preserve">투표 결과 전광판·자막</t>
  </si>
  <si>
    <t xml:space="preserve">양원 의장이 표결 결과를 낭독한다: «Presenti: quattrocento. Votanti… Favorevoli…»</t>
  </si>
  <si>
    <t xml:space="preserve">PRESIDENTE DELLA CAMERA / DEL SENATO</t>
  </si>
  <si>
    <t xml:space="preserve">대통령 협의·선서</t>
  </si>
  <si>
    <t xml:space="preserve">대통령은 대사 없이, 협의 결과는 공식 발표문으로 전달하고 Marco가 선서 문구(«Giuro di essere fedele alla Repubblica…»)를 말한다</t>
  </si>
  <si>
    <t xml:space="preserve">발표문(가상), Marco</t>
  </si>
  <si>
    <r>
      <rPr>
        <b val="true"/>
        <sz val="10"/>
        <rFont val="Arial"/>
        <family val="0"/>
        <charset val="1"/>
      </rPr>
      <t xml:space="preserve">3. </t>
    </r>
    <r>
      <rPr>
        <b val="true"/>
        <sz val="10"/>
        <rFont val="WenQuanYi Zen Hei"/>
        <family val="2"/>
      </rPr>
      <t xml:space="preserve">고전 인용 배정 </t>
    </r>
    <r>
      <rPr>
        <b val="true"/>
        <sz val="10"/>
        <rFont val="Arial"/>
        <family val="0"/>
        <charset val="1"/>
      </rPr>
      <t xml:space="preserve">(</t>
    </r>
    <r>
      <rPr>
        <b val="true"/>
        <sz val="10"/>
        <rFont val="WenQuanYi Zen Hei"/>
        <family val="2"/>
      </rPr>
      <t xml:space="preserve">화마다 </t>
    </r>
    <r>
      <rPr>
        <b val="true"/>
        <sz val="10"/>
        <rFont val="Arial"/>
        <family val="0"/>
        <charset val="1"/>
      </rPr>
      <t xml:space="preserve">1~2</t>
    </r>
    <r>
      <rPr>
        <b val="true"/>
        <sz val="10"/>
        <rFont val="WenQuanYi Zen Hei"/>
        <family val="2"/>
      </rPr>
      <t xml:space="preserve">명</t>
    </r>
    <r>
      <rPr>
        <b val="true"/>
        <sz val="10"/>
        <rFont val="Arial"/>
        <family val="0"/>
        <charset val="1"/>
      </rPr>
      <t xml:space="preserve">)</t>
    </r>
  </si>
  <si>
    <t xml:space="preserve">인물마다 다른 출처를 맡겨 반복되지 않게 하고, Rosa가 거의 전 화에 등장하므로 로테이션 캐스트인 1부에서도 대부분의 화가 커버된다. 전부 저작권 만료 공유 저작물(단테·마키아벨리·갈릴레이·베카리아·만초니 등은 수백 년 전, 그람시는 1937년·몬테소리는 1952년 사망으로 사후 70년 경과)과 헌법 조문만 쓰고, 원문을 정확히 인용한다. 출처가 불확실한 '명언'(예: 가리발디의 «Qui si fa l'Italia o si muore»는 전언)은 '전해지는 말'임을 대사로 밝히거나 쓰지 않는다.</t>
  </si>
  <si>
    <t xml:space="preserve">출처</t>
  </si>
  <si>
    <t xml:space="preserve">쓰는 방식</t>
  </si>
  <si>
    <t xml:space="preserve">실제 인용 예시 (IT·라틴어)</t>
  </si>
  <si>
    <t xml:space="preserve">등장 부</t>
  </si>
  <si>
    <t xml:space="preserve">로마·이탈리아 속담(proverbi)</t>
  </si>
  <si>
    <t xml:space="preserve">인용이 아니라 그냥 말버릇처럼 자연스럽게 섞인다. 따뜻하고 실용적. 로마 사투리 버전도 가끔.</t>
  </si>
  <si>
    <t xml:space="preserve">Roma non fu fatta in un giorno. / Chi va piano va sano e va lontano.</t>
  </si>
  <si>
    <t xml:space="preserve">거의 전 화</t>
  </si>
  <si>
    <t xml:space="preserve">자신의 『갈리아 전기』, 수에토니우스가 전한 말</t>
  </si>
  <si>
    <t xml:space="preserve">정중하게 비꼬는 코미디로(평소), 죽음 앞에서는 무겁게(11부). 자기 책을 인용하며 3인칭으로 자랑한다.</t>
  </si>
  <si>
    <t xml:space="preserve">Gallia est omnis divisa in partes tres. / Horum omnium fortissimi sunt Belgae. (De bello Gallico I, 1)</t>
  </si>
  <si>
    <r>
      <rPr>
        <sz val="10"/>
        <rFont val="Noto Sans CJK SC"/>
        <family val="2"/>
        <charset val="1"/>
      </rPr>
      <t xml:space="preserve">1</t>
    </r>
    <r>
      <rPr>
        <sz val="10"/>
        <rFont val="WenQuanYi Zen Hei"/>
        <family val="2"/>
      </rPr>
      <t xml:space="preserve">부</t>
    </r>
    <r>
      <rPr>
        <sz val="10"/>
        <rFont val="Noto Sans CJK SC"/>
        <family val="2"/>
        <charset val="1"/>
      </rPr>
      <t xml:space="preserve">, 11</t>
    </r>
    <r>
      <rPr>
        <sz val="10"/>
        <rFont val="WenQuanYi Zen Hei"/>
        <family val="2"/>
      </rPr>
      <t xml:space="preserve">부</t>
    </r>
  </si>
  <si>
    <t xml:space="preserve">자신의 글(『옥중수고』·『옥중서간』, 1917년 기사 등)</t>
  </si>
  <si>
    <t xml:space="preserve">감정으로 낭송하지 않고 서지 정보처럼 인용한다 — 「몇 번째 선반」식 습관과 같은 화법.</t>
  </si>
  <si>
    <t xml:space="preserve">Odio gli indifferenti. (La città futura, 1917) / Istruitevi, perché avremo bisogno di tutta la vostra intelligenza. (L'Ordine Nuovo, 1919)</t>
  </si>
  <si>
    <r>
      <rPr>
        <sz val="10"/>
        <rFont val="Noto Sans CJK SC"/>
        <family val="2"/>
        <charset val="1"/>
      </rPr>
      <t xml:space="preserve">1·2·6·11·12·13</t>
    </r>
    <r>
      <rPr>
        <sz val="10"/>
        <rFont val="WenQuanYi Zen Hei"/>
        <family val="2"/>
      </rPr>
      <t xml:space="preserve">부</t>
    </r>
  </si>
  <si>
    <t xml:space="preserve">자신의 『신곡』</t>
  </si>
  <si>
    <t xml:space="preserve">자기 글이 부끄러운 척하며 결국 인용으로 도피한다. 시적이고 머뭇거리는 톤.</t>
  </si>
  <si>
    <t xml:space="preserve">Nel mezzo del cammin di nostra vita… (Inf. I) / Fatti non foste a viver come bruti, ma per seguir virtute e canoscenza. (Inf. XXVI)</t>
  </si>
  <si>
    <r>
      <rPr>
        <sz val="10"/>
        <rFont val="Noto Sans CJK SC"/>
        <family val="2"/>
        <charset val="1"/>
      </rPr>
      <t xml:space="preserve">6</t>
    </r>
    <r>
      <rPr>
        <sz val="10"/>
        <rFont val="WenQuanYi Zen Hei"/>
        <family val="2"/>
      </rPr>
      <t xml:space="preserve">부 이후</t>
    </r>
  </si>
  <si>
    <t xml:space="preserve">베카리아 『범죄와 형벌』, 이탈리아 헌법</t>
  </si>
  <si>
    <t xml:space="preserve">총리가 되어 가며 연설에 섞어 쓴다.</t>
  </si>
  <si>
    <t xml:space="preserve">È meglio prevenire i delitti che punirgli. (Beccaria, cap. XLI) / Costituzione, art. 3: «Tutti i cittadini hanno pari dignità sociale…»</t>
  </si>
  <si>
    <r>
      <rPr>
        <sz val="10"/>
        <rFont val="Noto Sans CJK SC"/>
        <family val="2"/>
        <charset val="1"/>
      </rPr>
      <t xml:space="preserve">8~13</t>
    </r>
    <r>
      <rPr>
        <sz val="10"/>
        <rFont val="WenQuanYi Zen Hei"/>
        <family val="2"/>
      </rPr>
      <t xml:space="preserve">부</t>
    </r>
  </si>
  <si>
    <t xml:space="preserve">자신의 『군주론』</t>
  </si>
  <si>
    <t xml:space="preserve">현실 분석의 근거로 건조하게 인용하고, 오독에 대해 투덜댄다.</t>
  </si>
  <si>
    <t xml:space="preserve">…è molto più sicuro essere temuto che amato, quando si abbia a mancare dell'uno de' dua. (Il Principe, XVII)</t>
  </si>
  <si>
    <r>
      <rPr>
        <sz val="10"/>
        <rFont val="Noto Sans CJK SC"/>
        <family val="2"/>
        <charset val="1"/>
      </rPr>
      <t xml:space="preserve">7</t>
    </r>
    <r>
      <rPr>
        <sz val="10"/>
        <rFont val="WenQuanYi Zen Hei"/>
        <family val="2"/>
      </rPr>
      <t xml:space="preserve">부 이후</t>
    </r>
  </si>
  <si>
    <t xml:space="preserve">자신의 『시금석(Il Saggiatore)』</t>
  </si>
  <si>
    <t xml:space="preserve">관찰과 증거를 강조할 때 한 줄.</t>
  </si>
  <si>
    <t xml:space="preserve">La filosofia è scritta in questo grandissimo libro che continuamente ci sta aperto innanzi a gli occhi (io dico l'universo)… (Il Saggiatore)</t>
  </si>
  <si>
    <r>
      <rPr>
        <sz val="10"/>
        <rFont val="Noto Sans CJK SC"/>
        <family val="2"/>
        <charset val="1"/>
      </rPr>
      <t xml:space="preserve">1</t>
    </r>
    <r>
      <rPr>
        <sz val="10"/>
        <rFont val="WenQuanYi Zen Hei"/>
        <family val="2"/>
      </rPr>
      <t xml:space="preserve">부 이후</t>
    </r>
  </si>
  <si>
    <t xml:space="preserve">자신의 전보·회고록</t>
  </si>
  <si>
    <t xml:space="preserve">짧고 군인답게. «Obbedisco»(1866년 전보)는 명령에 따를 때의 개그로.</t>
  </si>
  <si>
    <t xml:space="preserve">Obbedisco. (1866)</t>
  </si>
  <si>
    <t xml:space="preserve">변경 이력과 미결 사항</t>
  </si>
  <si>
    <r>
      <rPr>
        <b val="true"/>
        <sz val="10"/>
        <rFont val="Arial"/>
        <family val="0"/>
        <charset val="1"/>
      </rPr>
      <t xml:space="preserve">1. </t>
    </r>
    <r>
      <rPr>
        <b val="true"/>
        <sz val="10"/>
        <rFont val="WenQuanYi Zen Hei"/>
        <family val="2"/>
      </rPr>
      <t xml:space="preserve">변경 이력</t>
    </r>
  </si>
  <si>
    <t xml:space="preserve">이전</t>
  </si>
  <si>
    <t xml:space="preserve">이후</t>
  </si>
  <si>
    <t xml:space="preserve">반영 시트</t>
  </si>
  <si>
    <t xml:space="preserve">인원</t>
  </si>
  <si>
    <r>
      <rPr>
        <sz val="10"/>
        <rFont val="Noto Sans CJK SC"/>
        <family val="2"/>
        <charset val="1"/>
      </rPr>
      <t xml:space="preserve">13</t>
    </r>
    <r>
      <rPr>
        <sz val="10"/>
        <rFont val="WenQuanYi Zen Hei"/>
        <family val="2"/>
      </rPr>
      <t xml:space="preserve">인 </t>
    </r>
    <r>
      <rPr>
        <sz val="10"/>
        <rFont val="Noto Sans CJK SC"/>
        <family val="2"/>
        <charset val="1"/>
      </rPr>
      <t xml:space="preserve">(</t>
    </r>
    <r>
      <rPr>
        <sz val="10"/>
        <rFont val="WenQuanYi Zen Hei"/>
        <family val="2"/>
      </rPr>
      <t xml:space="preserve">내각</t>
    </r>
    <r>
      <rPr>
        <sz val="10"/>
        <rFont val="Noto Sans CJK SC"/>
        <family val="2"/>
        <charset val="1"/>
      </rPr>
      <t xml:space="preserve">)</t>
    </r>
  </si>
  <si>
    <r>
      <rPr>
        <sz val="10"/>
        <rFont val="Noto Sans CJK SC"/>
        <family val="2"/>
        <charset val="1"/>
      </rPr>
      <t xml:space="preserve">15</t>
    </r>
    <r>
      <rPr>
        <sz val="10"/>
        <rFont val="WenQuanYi Zen Hei"/>
        <family val="2"/>
      </rPr>
      <t xml:space="preserve">인 — 주력 </t>
    </r>
    <r>
      <rPr>
        <sz val="10"/>
        <rFont val="Noto Sans CJK SC"/>
        <family val="2"/>
        <charset val="1"/>
      </rPr>
      <t xml:space="preserve">4</t>
    </r>
    <r>
      <rPr>
        <sz val="10"/>
        <rFont val="WenQuanYi Zen Hei"/>
        <family val="2"/>
      </rPr>
      <t xml:space="preserve">인 </t>
    </r>
    <r>
      <rPr>
        <sz val="10"/>
        <rFont val="Noto Sans CJK SC"/>
        <family val="2"/>
        <charset val="1"/>
      </rPr>
      <t xml:space="preserve">+ </t>
    </r>
    <r>
      <rPr>
        <sz val="10"/>
        <rFont val="WenQuanYi Zen Hei"/>
        <family val="2"/>
      </rPr>
      <t xml:space="preserve">부활 </t>
    </r>
    <r>
      <rPr>
        <sz val="10"/>
        <rFont val="Noto Sans CJK SC"/>
        <family val="2"/>
        <charset val="1"/>
      </rPr>
      <t xml:space="preserve">7</t>
    </r>
    <r>
      <rPr>
        <sz val="10"/>
        <rFont val="WenQuanYi Zen Hei"/>
        <family val="2"/>
      </rPr>
      <t xml:space="preserve">인 </t>
    </r>
    <r>
      <rPr>
        <sz val="10"/>
        <rFont val="Noto Sans CJK SC"/>
        <family val="2"/>
        <charset val="1"/>
      </rPr>
      <t xml:space="preserve">+ </t>
    </r>
    <r>
      <rPr>
        <sz val="10"/>
        <rFont val="WenQuanYi Zen Hei"/>
        <family val="2"/>
      </rPr>
      <t xml:space="preserve">서민</t>
    </r>
    <r>
      <rPr>
        <sz val="10"/>
        <rFont val="Noto Sans CJK SC"/>
        <family val="2"/>
        <charset val="1"/>
      </rPr>
      <t xml:space="preserve">·</t>
    </r>
    <r>
      <rPr>
        <sz val="10"/>
        <rFont val="WenQuanYi Zen Hei"/>
        <family val="2"/>
      </rPr>
      <t xml:space="preserve">청년 </t>
    </r>
    <r>
      <rPr>
        <sz val="10"/>
        <rFont val="Noto Sans CJK SC"/>
        <family val="2"/>
        <charset val="1"/>
      </rPr>
      <t xml:space="preserve">3</t>
    </r>
    <r>
      <rPr>
        <sz val="10"/>
        <rFont val="WenQuanYi Zen Hei"/>
        <family val="2"/>
      </rPr>
      <t xml:space="preserve">인 </t>
    </r>
    <r>
      <rPr>
        <sz val="10"/>
        <rFont val="Noto Sans CJK SC"/>
        <family val="2"/>
        <charset val="1"/>
      </rPr>
      <t xml:space="preserve">+ </t>
    </r>
    <r>
      <rPr>
        <sz val="10"/>
        <rFont val="WenQuanYi Zen Hei"/>
        <family val="2"/>
      </rPr>
      <t xml:space="preserve">금융 </t>
    </r>
    <r>
      <rPr>
        <sz val="10"/>
        <rFont val="Noto Sans CJK SC"/>
        <family val="2"/>
        <charset val="1"/>
      </rPr>
      <t xml:space="preserve">1</t>
    </r>
    <r>
      <rPr>
        <sz val="10"/>
        <rFont val="WenQuanYi Zen Hei"/>
        <family val="2"/>
      </rPr>
      <t xml:space="preserve">인</t>
    </r>
    <r>
      <rPr>
        <sz val="10"/>
        <rFont val="Noto Sans CJK SC"/>
        <family val="2"/>
        <charset val="1"/>
      </rPr>
      <t xml:space="preserve">. 15</t>
    </r>
    <r>
      <rPr>
        <sz val="10"/>
        <rFont val="WenQuanYi Zen Hei"/>
        <family val="2"/>
      </rPr>
      <t xml:space="preserve">인 모두가 장관은 아니므로 </t>
    </r>
    <r>
      <rPr>
        <sz val="10"/>
        <rFont val="Noto Sans CJK SC"/>
        <family val="2"/>
        <charset val="1"/>
      </rPr>
      <t xml:space="preserve">'</t>
    </r>
    <r>
      <rPr>
        <sz val="10"/>
        <rFont val="WenQuanYi Zen Hei"/>
        <family val="2"/>
      </rPr>
      <t xml:space="preserve">내각</t>
    </r>
    <r>
      <rPr>
        <sz val="10"/>
        <rFont val="Noto Sans CJK SC"/>
        <family val="2"/>
        <charset val="1"/>
      </rPr>
      <t xml:space="preserve">'</t>
    </r>
    <r>
      <rPr>
        <sz val="10"/>
        <rFont val="WenQuanYi Zen Hei"/>
        <family val="2"/>
      </rPr>
      <t xml:space="preserve">보다 핵심 그룹</t>
    </r>
    <r>
      <rPr>
        <sz val="10"/>
        <rFont val="Noto Sans CJK SC"/>
        <family val="2"/>
        <charset val="1"/>
      </rPr>
      <t xml:space="preserve">(Il Cerchio di Testaccio) </t>
    </r>
    <r>
      <rPr>
        <sz val="10"/>
        <rFont val="WenQuanYi Zen Hei"/>
        <family val="2"/>
      </rPr>
      <t xml:space="preserve">개념 사용</t>
    </r>
  </si>
  <si>
    <t xml:space="preserve">개요, 캐릭터</t>
  </si>
  <si>
    <t xml:space="preserve">부활자 설정</t>
  </si>
  <si>
    <t xml:space="preserve">현대 인물만의 원로 그룹</t>
  </si>
  <si>
    <t xml:space="preserve">각자의 시대에 죽었다가 이유 없이 현재 로마에 되살아난 역사 인물 7인(Cesare·Machiavelli·Garibaldi·Dante·Gramsci·Galileo·Montessori). 부활의 이유는 끝내 설명하지 않는다</t>
  </si>
  <si>
    <t xml:space="preserve">가상 상호명</t>
  </si>
  <si>
    <t xml:space="preserve">실존 로펌·회계법인명</t>
  </si>
  <si>
    <r>
      <rPr>
        <sz val="10"/>
        <rFont val="Noto Sans CJK SC"/>
        <family val="2"/>
        <charset val="1"/>
      </rPr>
      <t xml:space="preserve">Ferrari &amp; Colombo Studio Legale / Conti Revisori / Zenit Consulting (</t>
    </r>
    <r>
      <rPr>
        <sz val="10"/>
        <rFont val="WenQuanYi Zen Hei"/>
        <family val="2"/>
      </rPr>
      <t xml:space="preserve">가상</t>
    </r>
    <r>
      <rPr>
        <sz val="10"/>
        <rFont val="Noto Sans CJK SC"/>
        <family val="2"/>
        <charset val="1"/>
      </rPr>
      <t xml:space="preserve">)</t>
    </r>
  </si>
  <si>
    <t xml:space="preserve">기관 실명</t>
  </si>
  <si>
    <t xml:space="preserve">실존 은행·병원명</t>
  </si>
  <si>
    <r>
      <rPr>
        <sz val="10"/>
        <rFont val="Noto Sans CJK SC"/>
        <family val="2"/>
        <charset val="1"/>
      </rPr>
      <t xml:space="preserve">Banca Adriatica(</t>
    </r>
    <r>
      <rPr>
        <sz val="10"/>
        <rFont val="WenQuanYi Zen Hei"/>
        <family val="2"/>
      </rPr>
      <t xml:space="preserve">가상</t>
    </r>
    <r>
      <rPr>
        <sz val="10"/>
        <rFont val="Noto Sans CJK SC"/>
        <family val="2"/>
        <charset val="1"/>
      </rPr>
      <t xml:space="preserve">), San Camillo </t>
    </r>
    <r>
      <rPr>
        <sz val="10"/>
        <rFont val="WenQuanYi Zen Hei"/>
        <family val="2"/>
      </rPr>
      <t xml:space="preserve">응급실은 </t>
    </r>
    <r>
      <rPr>
        <sz val="10"/>
        <rFont val="Noto Sans CJK SC"/>
        <family val="2"/>
        <charset val="1"/>
      </rPr>
      <t xml:space="preserve">'</t>
    </r>
    <r>
      <rPr>
        <sz val="10"/>
        <rFont val="WenQuanYi Zen Hei"/>
        <family val="2"/>
      </rPr>
      <t xml:space="preserve">가상 설정</t>
    </r>
    <r>
      <rPr>
        <sz val="10"/>
        <rFont val="Noto Sans CJK SC"/>
        <family val="2"/>
        <charset val="1"/>
      </rPr>
      <t xml:space="preserve">'</t>
    </r>
    <r>
      <rPr>
        <sz val="10"/>
        <rFont val="WenQuanYi Zen Hei"/>
        <family val="2"/>
      </rPr>
      <t xml:space="preserve">으로 운영</t>
    </r>
    <r>
      <rPr>
        <sz val="10"/>
        <rFont val="Noto Sans CJK SC"/>
        <family val="2"/>
        <charset val="1"/>
      </rPr>
      <t xml:space="preserve">·</t>
    </r>
    <r>
      <rPr>
        <sz val="10"/>
        <rFont val="WenQuanYi Zen Hei"/>
        <family val="2"/>
      </rPr>
      <t xml:space="preserve">인물 모두 허구 </t>
    </r>
    <r>
      <rPr>
        <sz val="10"/>
        <rFont val="Noto Sans CJK SC"/>
        <family val="2"/>
        <charset val="1"/>
      </rPr>
      <t xml:space="preserve">(</t>
    </r>
    <r>
      <rPr>
        <sz val="10"/>
        <rFont val="WenQuanYi Zen Hei"/>
        <family val="2"/>
      </rPr>
      <t xml:space="preserve">이야기 속에서 부패와 얽히기 때문</t>
    </r>
    <r>
      <rPr>
        <sz val="10"/>
        <rFont val="Noto Sans CJK SC"/>
        <family val="2"/>
        <charset val="1"/>
      </rPr>
      <t xml:space="preserve">)</t>
    </r>
  </si>
  <si>
    <t xml:space="preserve">우아한 원로</t>
  </si>
  <si>
    <t xml:space="preserve">가장 까칠한 심술 영감 + 시한부 (11부 12화 두 번째 죽음). 가짜 병은 엄살, 진짜 병은 만성 심부전</t>
  </si>
  <si>
    <r>
      <rPr>
        <sz val="10"/>
        <rFont val="Noto Sans CJK SC"/>
        <family val="2"/>
        <charset val="1"/>
      </rPr>
      <t xml:space="preserve">Cesare_</t>
    </r>
    <r>
      <rPr>
        <sz val="10"/>
        <rFont val="WenQuanYi Zen Hei"/>
        <family val="2"/>
      </rPr>
      <t xml:space="preserve">죽음</t>
    </r>
  </si>
  <si>
    <r>
      <rPr>
        <sz val="10"/>
        <rFont val="Noto Sans CJK SC"/>
        <family val="2"/>
        <charset val="1"/>
      </rPr>
      <t xml:space="preserve">Sofia </t>
    </r>
    <r>
      <rPr>
        <sz val="10"/>
        <rFont val="WenQuanYi Zen Hei"/>
        <family val="2"/>
      </rPr>
      <t xml:space="preserve">폭발</t>
    </r>
  </si>
  <si>
    <t xml:space="preserve">자주 폭발하는 인물 (안)</t>
  </si>
  <si>
    <t xml:space="preserve">폭발은 1부·9부 딱 2회. 욕은 폭발 장면 한정</t>
  </si>
  <si>
    <r>
      <rPr>
        <sz val="10"/>
        <rFont val="Noto Sans CJK SC"/>
        <family val="2"/>
        <charset val="1"/>
      </rPr>
      <t xml:space="preserve">Sofia_</t>
    </r>
    <r>
      <rPr>
        <sz val="10"/>
        <rFont val="WenQuanYi Zen Hei"/>
        <family val="2"/>
      </rPr>
      <t xml:space="preserve">폭발과욕</t>
    </r>
  </si>
  <si>
    <t xml:space="preserve">침묵으로 대답</t>
  </si>
  <si>
    <t xml:space="preserve">결론 대신 출처(서가 위치·법령·검색어)를 가리킴 — 『옥중수고』의 수첩 습관</t>
  </si>
  <si>
    <r>
      <rPr>
        <sz val="10"/>
        <rFont val="Noto Sans CJK SC"/>
        <family val="2"/>
        <charset val="1"/>
      </rPr>
      <t xml:space="preserve">Gramsci_</t>
    </r>
    <r>
      <rPr>
        <sz val="10"/>
        <rFont val="WenQuanYi Zen Hei"/>
        <family val="2"/>
      </rPr>
      <t xml:space="preserve">출처</t>
    </r>
  </si>
  <si>
    <r>
      <rPr>
        <sz val="10"/>
        <rFont val="Noto Sans CJK SC"/>
        <family val="2"/>
        <charset val="1"/>
      </rPr>
      <t xml:space="preserve">Gramsci </t>
    </r>
    <r>
      <rPr>
        <sz val="10"/>
        <rFont val="WenQuanYi Zen Hei"/>
        <family val="2"/>
      </rPr>
      <t xml:space="preserve">대사</t>
    </r>
  </si>
  <si>
    <t xml:space="preserve">«Segui il denaro. E la legge che lo sorveglia.»</t>
  </si>
  <si>
    <r>
      <rPr>
        <sz val="10"/>
        <rFont val="Noto Sans CJK SC"/>
        <family val="2"/>
        <charset val="1"/>
      </rPr>
      <t xml:space="preserve">«Ogni denaro ha una legge che lo sorveglia. Cercala.» — Francesco</t>
    </r>
    <r>
      <rPr>
        <sz val="10"/>
        <rFont val="WenQuanYi Zen Hei"/>
        <family val="2"/>
      </rPr>
      <t xml:space="preserve">의 시그니처 </t>
    </r>
    <r>
      <rPr>
        <sz val="10"/>
        <rFont val="Noto Sans CJK SC"/>
        <family val="2"/>
        <charset val="1"/>
      </rPr>
      <t xml:space="preserve">«Segui il denaro.»</t>
    </r>
    <r>
      <rPr>
        <sz val="10"/>
        <rFont val="WenQuanYi Zen Hei"/>
        <family val="2"/>
      </rPr>
      <t xml:space="preserve">와 중복 방지</t>
    </r>
  </si>
  <si>
    <t xml:space="preserve">상황 설명 30% + 대화 70%</t>
  </si>
  <si>
    <t xml:space="preserve">전 화 100% 대화문 (지문 없음)</t>
  </si>
  <si>
    <r>
      <rPr>
        <sz val="10"/>
        <rFont val="Noto Sans CJK SC"/>
        <family val="2"/>
        <charset val="1"/>
      </rPr>
      <t xml:space="preserve">1</t>
    </r>
    <r>
      <rPr>
        <sz val="10"/>
        <rFont val="WenQuanYi Zen Hei"/>
        <family val="2"/>
      </rPr>
      <t xml:space="preserve">부 시범 장면</t>
    </r>
  </si>
  <si>
    <t xml:space="preserve">괄호 지문 포함</t>
  </si>
  <si>
    <t xml:space="preserve">모든 지문을 대사로 대체. 이후 '1부_시범대사' 시트는 삭제하고 1부 1화 전체 대본(1부1화_Un_altra_lettera.docx)으로 대체 (2026-09-25)</t>
  </si>
  <si>
    <r>
      <rPr>
        <sz val="10"/>
        <rFont val="Noto Sans CJK SC"/>
        <family val="2"/>
        <charset val="1"/>
      </rPr>
      <t xml:space="preserve">1</t>
    </r>
    <r>
      <rPr>
        <sz val="10"/>
        <rFont val="WenQuanYi Zen Hei"/>
        <family val="2"/>
      </rPr>
      <t xml:space="preserve">부 </t>
    </r>
    <r>
      <rPr>
        <sz val="10"/>
        <rFont val="Noto Sans CJK SC"/>
        <family val="2"/>
        <charset val="1"/>
      </rPr>
      <t xml:space="preserve">1</t>
    </r>
    <r>
      <rPr>
        <sz val="10"/>
        <rFont val="WenQuanYi Zen Hei"/>
        <family val="2"/>
      </rPr>
      <t xml:space="preserve">화 대본</t>
    </r>
  </si>
  <si>
    <r>
      <rPr>
        <sz val="10"/>
        <rFont val="Noto Sans CJK SC"/>
        <family val="2"/>
        <charset val="1"/>
      </rPr>
      <t xml:space="preserve">11</t>
    </r>
    <r>
      <rPr>
        <sz val="10"/>
        <rFont val="WenQuanYi Zen Hei"/>
        <family val="2"/>
      </rPr>
      <t xml:space="preserve">부작 </t>
    </r>
    <r>
      <rPr>
        <sz val="10"/>
        <rFont val="Noto Sans CJK SC"/>
        <family val="2"/>
        <charset val="1"/>
      </rPr>
      <t xml:space="preserve">(132</t>
    </r>
    <r>
      <rPr>
        <sz val="10"/>
        <rFont val="WenQuanYi Zen Hei"/>
        <family val="2"/>
      </rPr>
      <t xml:space="preserve">화</t>
    </r>
    <r>
      <rPr>
        <sz val="10"/>
        <rFont val="Noto Sans CJK SC"/>
        <family val="2"/>
        <charset val="1"/>
      </rPr>
      <t xml:space="preserve">) → 12</t>
    </r>
    <r>
      <rPr>
        <sz val="10"/>
        <rFont val="WenQuanYi Zen Hei"/>
        <family val="2"/>
      </rPr>
      <t xml:space="preserve">부작 </t>
    </r>
    <r>
      <rPr>
        <sz val="10"/>
        <rFont val="Noto Sans CJK SC"/>
        <family val="2"/>
        <charset val="1"/>
      </rPr>
      <t xml:space="preserve">(144</t>
    </r>
    <r>
      <rPr>
        <sz val="10"/>
        <rFont val="WenQuanYi Zen Hei"/>
        <family val="2"/>
      </rPr>
      <t xml:space="preserve">화</t>
    </r>
    <r>
      <rPr>
        <sz val="10"/>
        <rFont val="Noto Sans CJK SC"/>
        <family val="2"/>
        <charset val="1"/>
      </rPr>
      <t xml:space="preserve">)</t>
    </r>
  </si>
  <si>
    <r>
      <rPr>
        <sz val="10"/>
        <rFont val="Noto Sans CJK SC"/>
        <family val="2"/>
        <charset val="1"/>
      </rPr>
      <t xml:space="preserve">13</t>
    </r>
    <r>
      <rPr>
        <sz val="10"/>
        <rFont val="WenQuanYi Zen Hei"/>
        <family val="2"/>
      </rPr>
      <t xml:space="preserve">부작 </t>
    </r>
    <r>
      <rPr>
        <sz val="10"/>
        <rFont val="Noto Sans CJK SC"/>
        <family val="2"/>
        <charset val="1"/>
      </rPr>
      <t xml:space="preserve">(156</t>
    </r>
    <r>
      <rPr>
        <sz val="10"/>
        <rFont val="WenQuanYi Zen Hei"/>
        <family val="2"/>
      </rPr>
      <t xml:space="preserve">화</t>
    </r>
    <r>
      <rPr>
        <sz val="10"/>
        <rFont val="Noto Sans CJK SC"/>
        <family val="2"/>
        <charset val="1"/>
      </rPr>
      <t xml:space="preserve">). 11</t>
    </r>
    <r>
      <rPr>
        <sz val="10"/>
        <rFont val="WenQuanYi Zen Hei"/>
        <family val="2"/>
      </rPr>
      <t xml:space="preserve">부를 </t>
    </r>
    <r>
      <rPr>
        <sz val="10"/>
        <rFont val="Noto Sans CJK SC"/>
        <family val="2"/>
        <charset val="1"/>
      </rPr>
      <t xml:space="preserve">'</t>
    </r>
    <r>
      <rPr>
        <sz val="10"/>
        <rFont val="WenQuanYi Zen Hei"/>
        <family val="2"/>
      </rPr>
      <t xml:space="preserve">국정 </t>
    </r>
    <r>
      <rPr>
        <sz val="10"/>
        <rFont val="Noto Sans CJK SC"/>
        <family val="2"/>
        <charset val="1"/>
      </rPr>
      <t xml:space="preserve">I'</t>
    </r>
    <r>
      <rPr>
        <sz val="10"/>
        <rFont val="WenQuanYi Zen Hei"/>
        <family val="2"/>
      </rPr>
      <t xml:space="preserve">과 </t>
    </r>
    <r>
      <rPr>
        <sz val="10"/>
        <rFont val="Noto Sans CJK SC"/>
        <family val="2"/>
        <charset val="1"/>
      </rPr>
      <t xml:space="preserve">'</t>
    </r>
    <r>
      <rPr>
        <sz val="10"/>
        <rFont val="WenQuanYi Zen Hei"/>
        <family val="2"/>
      </rPr>
      <t xml:space="preserve">국정 </t>
    </r>
    <r>
      <rPr>
        <sz val="10"/>
        <rFont val="Noto Sans CJK SC"/>
        <family val="2"/>
        <charset val="1"/>
      </rPr>
      <t xml:space="preserve">II'</t>
    </r>
    <r>
      <rPr>
        <sz val="10"/>
        <rFont val="WenQuanYi Zen Hei"/>
        <family val="2"/>
      </rPr>
      <t xml:space="preserve">로 분리하고 귀환 부를 </t>
    </r>
    <r>
      <rPr>
        <sz val="10"/>
        <rFont val="Noto Sans CJK SC"/>
        <family val="2"/>
        <charset val="1"/>
      </rPr>
      <t xml:space="preserve">13</t>
    </r>
    <r>
      <rPr>
        <sz val="10"/>
        <rFont val="WenQuanYi Zen Hei"/>
        <family val="2"/>
      </rPr>
      <t xml:space="preserve">부로</t>
    </r>
  </si>
  <si>
    <t xml:space="preserve">개요, 13부_구성, 아크_구성계획, 화별목차_전체</t>
  </si>
  <si>
    <t xml:space="preserve">정치 파트 구성</t>
  </si>
  <si>
    <r>
      <rPr>
        <sz val="10"/>
        <rFont val="Noto Sans CJK SC"/>
        <family val="2"/>
        <charset val="1"/>
      </rPr>
      <t xml:space="preserve">8 </t>
    </r>
    <r>
      <rPr>
        <sz val="10"/>
        <rFont val="WenQuanYi Zen Hei"/>
        <family val="2"/>
      </rPr>
      <t xml:space="preserve">정치 입문 </t>
    </r>
    <r>
      <rPr>
        <sz val="10"/>
        <rFont val="Noto Sans CJK SC"/>
        <family val="2"/>
        <charset val="1"/>
      </rPr>
      <t xml:space="preserve">· 9 </t>
    </r>
    <r>
      <rPr>
        <sz val="10"/>
        <rFont val="WenQuanYi Zen Hei"/>
        <family val="2"/>
      </rPr>
      <t xml:space="preserve">의회 </t>
    </r>
    <r>
      <rPr>
        <sz val="10"/>
        <rFont val="Noto Sans CJK SC"/>
        <family val="2"/>
        <charset val="1"/>
      </rPr>
      <t xml:space="preserve">· 10 </t>
    </r>
    <r>
      <rPr>
        <sz val="10"/>
        <rFont val="WenQuanYi Zen Hei"/>
        <family val="2"/>
      </rPr>
      <t xml:space="preserve">정부 </t>
    </r>
    <r>
      <rPr>
        <sz val="10"/>
        <rFont val="Noto Sans CJK SC"/>
        <family val="2"/>
        <charset val="1"/>
      </rPr>
      <t xml:space="preserve">· 11 </t>
    </r>
    <r>
      <rPr>
        <sz val="10"/>
        <rFont val="WenQuanYi Zen Hei"/>
        <family val="2"/>
      </rPr>
      <t xml:space="preserve">사회 현안</t>
    </r>
  </si>
  <si>
    <r>
      <rPr>
        <sz val="10"/>
        <rFont val="Noto Sans CJK SC"/>
        <family val="2"/>
        <charset val="1"/>
      </rPr>
      <t xml:space="preserve">8 </t>
    </r>
    <r>
      <rPr>
        <sz val="10"/>
        <rFont val="WenQuanYi Zen Hei"/>
        <family val="2"/>
      </rPr>
      <t xml:space="preserve">창당 </t>
    </r>
    <r>
      <rPr>
        <sz val="10"/>
        <rFont val="Noto Sans CJK SC"/>
        <family val="2"/>
        <charset val="1"/>
      </rPr>
      <t xml:space="preserve">· 9 </t>
    </r>
    <r>
      <rPr>
        <sz val="10"/>
        <rFont val="WenQuanYi Zen Hei"/>
        <family val="2"/>
      </rPr>
      <t xml:space="preserve">시의회</t>
    </r>
    <r>
      <rPr>
        <sz val="10"/>
        <rFont val="Noto Sans CJK SC"/>
        <family val="2"/>
        <charset val="1"/>
      </rPr>
      <t xml:space="preserve">·</t>
    </r>
    <r>
      <rPr>
        <sz val="10"/>
        <rFont val="WenQuanYi Zen Hei"/>
        <family val="2"/>
      </rPr>
      <t xml:space="preserve">주의회 </t>
    </r>
    <r>
      <rPr>
        <sz val="10"/>
        <rFont val="Noto Sans CJK SC"/>
        <family val="2"/>
        <charset val="1"/>
      </rPr>
      <t xml:space="preserve">· 10 </t>
    </r>
    <r>
      <rPr>
        <sz val="10"/>
        <rFont val="WenQuanYi Zen Hei"/>
        <family val="2"/>
      </rPr>
      <t xml:space="preserve">총선</t>
    </r>
    <r>
      <rPr>
        <sz val="10"/>
        <rFont val="Noto Sans CJK SC"/>
        <family val="2"/>
        <charset val="1"/>
      </rPr>
      <t xml:space="preserve">~</t>
    </r>
    <r>
      <rPr>
        <sz val="10"/>
        <rFont val="WenQuanYi Zen Hei"/>
        <family val="2"/>
      </rPr>
      <t xml:space="preserve">총리 취임 </t>
    </r>
    <r>
      <rPr>
        <sz val="10"/>
        <rFont val="Noto Sans CJK SC"/>
        <family val="2"/>
        <charset val="1"/>
      </rPr>
      <t xml:space="preserve">· 11~12 </t>
    </r>
    <r>
      <rPr>
        <sz val="10"/>
        <rFont val="WenQuanYi Zen Hei"/>
        <family val="2"/>
      </rPr>
      <t xml:space="preserve">국정 </t>
    </r>
    <r>
      <rPr>
        <sz val="10"/>
        <rFont val="Noto Sans CJK SC"/>
        <family val="2"/>
        <charset val="1"/>
      </rPr>
      <t xml:space="preserve">· 13 </t>
    </r>
    <r>
      <rPr>
        <sz val="10"/>
        <rFont val="WenQuanYi Zen Hei"/>
        <family val="2"/>
      </rPr>
      <t xml:space="preserve">귀환</t>
    </r>
  </si>
  <si>
    <r>
      <rPr>
        <sz val="10"/>
        <rFont val="Noto Sans CJK SC"/>
        <family val="2"/>
        <charset val="1"/>
      </rPr>
      <t xml:space="preserve">13</t>
    </r>
    <r>
      <rPr>
        <sz val="10"/>
        <rFont val="WenQuanYi Zen Hei"/>
        <family val="2"/>
      </rPr>
      <t xml:space="preserve">부</t>
    </r>
    <r>
      <rPr>
        <sz val="10"/>
        <rFont val="Noto Sans CJK SC"/>
        <family val="2"/>
        <charset val="1"/>
      </rPr>
      <t xml:space="preserve">_</t>
    </r>
    <r>
      <rPr>
        <sz val="10"/>
        <rFont val="WenQuanYi Zen Hei"/>
        <family val="2"/>
      </rPr>
      <t xml:space="preserve">구성</t>
    </r>
    <r>
      <rPr>
        <sz val="10"/>
        <rFont val="Noto Sans CJK SC"/>
        <family val="2"/>
        <charset val="1"/>
      </rPr>
      <t xml:space="preserve">, </t>
    </r>
    <r>
      <rPr>
        <sz val="10"/>
        <rFont val="WenQuanYi Zen Hei"/>
        <family val="2"/>
      </rPr>
      <t xml:space="preserve">화별목차</t>
    </r>
    <r>
      <rPr>
        <sz val="10"/>
        <rFont val="Noto Sans CJK SC"/>
        <family val="2"/>
        <charset val="1"/>
      </rPr>
      <t xml:space="preserve">_</t>
    </r>
    <r>
      <rPr>
        <sz val="10"/>
        <rFont val="WenQuanYi Zen Hei"/>
        <family val="2"/>
      </rPr>
      <t xml:space="preserve">전체</t>
    </r>
  </si>
  <si>
    <t xml:space="preserve">권한 배분 반영</t>
  </si>
  <si>
    <t xml:space="preserve">총리가 병원 외주·임대료 규제를 직접 결정</t>
  </si>
  <si>
    <t xml:space="preserve">보건·도시계획은 국가–주 공동 권한, 관광은 주 권한 → 협의체, 법 개정, 기금 배분 조건, 헌법재판소 다툼으로 재구성</t>
  </si>
  <si>
    <t xml:space="preserve">화별목차_전체 (11부 3~5화)</t>
  </si>
  <si>
    <t xml:space="preserve">정당·정치인 전부 가상 (Casa Comune, UCN, PPS 등), 실명 금지</t>
  </si>
  <si>
    <r>
      <rPr>
        <sz val="10"/>
        <rFont val="Noto Sans CJK SC"/>
        <family val="2"/>
        <charset val="1"/>
      </rPr>
      <t xml:space="preserve">Cesare </t>
    </r>
    <r>
      <rPr>
        <sz val="10"/>
        <rFont val="WenQuanYi Zen Hei"/>
        <family val="2"/>
      </rPr>
      <t xml:space="preserve">사망 시점</t>
    </r>
  </si>
  <si>
    <r>
      <rPr>
        <sz val="10"/>
        <rFont val="Noto Sans CJK SC"/>
        <family val="2"/>
        <charset val="1"/>
      </rPr>
      <t xml:space="preserve">11</t>
    </r>
    <r>
      <rPr>
        <sz val="10"/>
        <rFont val="WenQuanYi Zen Hei"/>
        <family val="2"/>
      </rPr>
      <t xml:space="preserve">부 </t>
    </r>
    <r>
      <rPr>
        <sz val="10"/>
        <rFont val="Noto Sans CJK SC"/>
        <family val="2"/>
        <charset val="1"/>
      </rPr>
      <t xml:space="preserve">6</t>
    </r>
    <r>
      <rPr>
        <sz val="10"/>
        <rFont val="WenQuanYi Zen Hei"/>
        <family val="2"/>
      </rPr>
      <t xml:space="preserve">화</t>
    </r>
    <r>
      <rPr>
        <sz val="10"/>
        <rFont val="Noto Sans CJK SC"/>
        <family val="2"/>
        <charset val="1"/>
      </rPr>
      <t xml:space="preserve">(</t>
    </r>
    <r>
      <rPr>
        <sz val="10"/>
        <rFont val="WenQuanYi Zen Hei"/>
        <family val="2"/>
      </rPr>
      <t xml:space="preserve">청년 고용 협상 화</t>
    </r>
    <r>
      <rPr>
        <sz val="10"/>
        <rFont val="Noto Sans CJK SC"/>
        <family val="2"/>
        <charset val="1"/>
      </rPr>
      <t xml:space="preserve">)</t>
    </r>
  </si>
  <si>
    <r>
      <rPr>
        <sz val="10"/>
        <rFont val="Noto Sans CJK SC"/>
        <family val="2"/>
        <charset val="1"/>
      </rPr>
      <t xml:space="preserve">11</t>
    </r>
    <r>
      <rPr>
        <sz val="10"/>
        <rFont val="WenQuanYi Zen Hei"/>
        <family val="2"/>
      </rPr>
      <t xml:space="preserve">부 </t>
    </r>
    <r>
      <rPr>
        <sz val="10"/>
        <rFont val="Noto Sans CJK SC"/>
        <family val="2"/>
        <charset val="1"/>
      </rPr>
      <t xml:space="preserve">9~11</t>
    </r>
    <r>
      <rPr>
        <sz val="10"/>
        <rFont val="WenQuanYi Zen Hei"/>
        <family val="2"/>
      </rPr>
      <t xml:space="preserve">화에서 직접 브뤼셀 협상에 나서 승리한 뒤 </t>
    </r>
    <r>
      <rPr>
        <sz val="10"/>
        <rFont val="Noto Sans CJK SC"/>
        <family val="2"/>
        <charset val="1"/>
      </rPr>
      <t xml:space="preserve">11</t>
    </r>
    <r>
      <rPr>
        <sz val="10"/>
        <rFont val="WenQuanYi Zen Hei"/>
        <family val="2"/>
      </rPr>
      <t xml:space="preserve">부 </t>
    </r>
    <r>
      <rPr>
        <sz val="10"/>
        <rFont val="Noto Sans CJK SC"/>
        <family val="2"/>
        <charset val="1"/>
      </rPr>
      <t xml:space="preserve">12</t>
    </r>
    <r>
      <rPr>
        <sz val="10"/>
        <rFont val="WenQuanYi Zen Hei"/>
        <family val="2"/>
      </rPr>
      <t xml:space="preserve">화</t>
    </r>
    <r>
      <rPr>
        <sz val="10"/>
        <rFont val="Noto Sans CJK SC"/>
        <family val="2"/>
        <charset val="1"/>
      </rPr>
      <t xml:space="preserve">(</t>
    </r>
    <r>
      <rPr>
        <sz val="10"/>
        <rFont val="WenQuanYi Zen Hei"/>
        <family val="2"/>
      </rPr>
      <t xml:space="preserve">귀국 직후</t>
    </r>
    <r>
      <rPr>
        <sz val="10"/>
        <rFont val="Noto Sans CJK SC"/>
        <family val="2"/>
        <charset val="1"/>
      </rPr>
      <t xml:space="preserve">)</t>
    </r>
    <r>
      <rPr>
        <sz val="10"/>
        <rFont val="WenQuanYi Zen Hei"/>
        <family val="2"/>
      </rPr>
      <t xml:space="preserve">에 사망</t>
    </r>
    <r>
      <rPr>
        <sz val="10"/>
        <rFont val="Noto Sans CJK SC"/>
        <family val="2"/>
        <charset val="1"/>
      </rPr>
      <t xml:space="preserve">. 12</t>
    </r>
    <r>
      <rPr>
        <sz val="10"/>
        <rFont val="WenQuanYi Zen Hei"/>
        <family val="2"/>
      </rPr>
      <t xml:space="preserve">부는 장례식으로 열고 유작 메모로 </t>
    </r>
    <r>
      <rPr>
        <sz val="10"/>
        <rFont val="Noto Sans CJK SC"/>
        <family val="2"/>
        <charset val="1"/>
      </rPr>
      <t xml:space="preserve">2</t>
    </r>
    <r>
      <rPr>
        <sz val="10"/>
        <rFont val="WenQuanYi Zen Hei"/>
        <family val="2"/>
      </rPr>
      <t xml:space="preserve">차 협상을 잇는다</t>
    </r>
  </si>
  <si>
    <t xml:space="preserve">아크_구성계획, Cesare_죽음, 화별목차_전체</t>
  </si>
  <si>
    <t xml:space="preserve">실존 지도자 표현</t>
  </si>
  <si>
    <t xml:space="preserve">실존 정치 지도자는 실명으로 쓰지 않고 Cesare가 «이름은 말하지 않겠다»고 스스로 선을 긋는 대사로 처리(11부 9화)</t>
  </si>
  <si>
    <t xml:space="preserve">화별목차_전체, Cesare_죽음</t>
  </si>
  <si>
    <t xml:space="preserve">신규 현안 3개</t>
  </si>
  <si>
    <r>
      <rPr>
        <sz val="10"/>
        <rFont val="Noto Sans CJK SC"/>
        <family val="2"/>
        <charset val="1"/>
      </rPr>
      <t xml:space="preserve">15</t>
    </r>
    <r>
      <rPr>
        <sz val="10"/>
        <rFont val="WenQuanYi Zen Hei"/>
        <family val="2"/>
      </rPr>
      <t xml:space="preserve">개 현안</t>
    </r>
  </si>
  <si>
    <r>
      <rPr>
        <sz val="10"/>
        <rFont val="Noto Sans CJK SC"/>
        <family val="2"/>
        <charset val="1"/>
      </rPr>
      <t xml:space="preserve">N6 </t>
    </r>
    <r>
      <rPr>
        <sz val="10"/>
        <rFont val="WenQuanYi Zen Hei"/>
        <family val="2"/>
      </rPr>
      <t xml:space="preserve">플랫폼 노동 </t>
    </r>
    <r>
      <rPr>
        <sz val="10"/>
        <rFont val="Noto Sans CJK SC"/>
        <family val="2"/>
        <charset val="1"/>
      </rPr>
      <t xml:space="preserve">· N7 </t>
    </r>
    <r>
      <rPr>
        <sz val="10"/>
        <rFont val="WenQuanYi Zen Hei"/>
        <family val="2"/>
      </rPr>
      <t xml:space="preserve">스파이웨어 스캔들</t>
    </r>
    <r>
      <rPr>
        <sz val="10"/>
        <rFont val="Noto Sans CJK SC"/>
        <family val="2"/>
        <charset val="1"/>
      </rPr>
      <t xml:space="preserve">(7</t>
    </r>
    <r>
      <rPr>
        <sz val="10"/>
        <rFont val="WenQuanYi Zen Hei"/>
        <family val="2"/>
      </rPr>
      <t xml:space="preserve">부 도청 논쟁과 연결</t>
    </r>
    <r>
      <rPr>
        <sz val="10"/>
        <rFont val="Noto Sans CJK SC"/>
        <family val="2"/>
        <charset val="1"/>
      </rPr>
      <t xml:space="preserve">) · N8 </t>
    </r>
    <r>
      <rPr>
        <sz val="10"/>
        <rFont val="WenQuanYi Zen Hei"/>
        <family val="2"/>
      </rPr>
      <t xml:space="preserve">청년 정신건강</t>
    </r>
    <r>
      <rPr>
        <sz val="10"/>
        <rFont val="Noto Sans CJK SC"/>
        <family val="2"/>
        <charset val="1"/>
      </rPr>
      <t xml:space="preserve">, </t>
    </r>
    <r>
      <rPr>
        <sz val="10"/>
        <rFont val="WenQuanYi Zen Hei"/>
        <family val="2"/>
      </rPr>
      <t xml:space="preserve">모두 </t>
    </r>
    <r>
      <rPr>
        <sz val="10"/>
        <rFont val="Noto Sans CJK SC"/>
        <family val="2"/>
        <charset val="1"/>
      </rPr>
      <t xml:space="preserve">12</t>
    </r>
    <r>
      <rPr>
        <sz val="10"/>
        <rFont val="WenQuanYi Zen Hei"/>
        <family val="2"/>
      </rPr>
      <t xml:space="preserve">부에 전용 화</t>
    </r>
  </si>
  <si>
    <t xml:space="preserve">현안_배치, 현안_분포</t>
  </si>
  <si>
    <t xml:space="preserve">화당 분량 확정</t>
  </si>
  <si>
    <t xml:space="preserve">화당 250~400단어(제안)</t>
  </si>
  <si>
    <t xml:space="preserve">화당 120턴 (부당 1,440턴, 전체 18,720턴). 낭독 시간은 부별 난이도 배율로 추정</t>
  </si>
  <si>
    <t xml:space="preserve">턴_설계, 대화문규칙</t>
  </si>
  <si>
    <r>
      <rPr>
        <sz val="10"/>
        <rFont val="Noto Sans CJK SC"/>
        <family val="2"/>
        <charset val="1"/>
      </rPr>
      <t xml:space="preserve">1</t>
    </r>
    <r>
      <rPr>
        <sz val="10"/>
        <rFont val="WenQuanYi Zen Hei"/>
        <family val="2"/>
      </rPr>
      <t xml:space="preserve">부 재설계</t>
    </r>
  </si>
  <si>
    <t xml:space="preserve">소개 중심 12화</t>
  </si>
  <si>
    <t xml:space="preserve">개소 1개월 후 시점, 사건 6개 × 2화(도입→해결): ①Fatima 임대료 ②퇴거 집행 ③Davide 위장 인턴·Sofia 1차 폭발 ④의료 접근(Amina·Noa) ⑤금융 사기·Francesco ⑥오래된 서류·Marco 훅</t>
  </si>
  <si>
    <t xml:space="preserve">아크_구성계획, 화별목차_전체</t>
  </si>
  <si>
    <t xml:space="preserve">20</t>
  </si>
  <si>
    <t xml:space="preserve">운영 방침</t>
  </si>
  <si>
    <t xml:space="preserve">화 완성마다 즉시 갱신</t>
  </si>
  <si>
    <t xml:space="preserve">부(시즌)가 끝날 때만, 또는 별도 요청 시에만 워크북 갱신 (2026-09-22부터)</t>
  </si>
  <si>
    <t xml:space="preserve">21</t>
  </si>
  <si>
    <t xml:space="preserve">스페인판 → 이탈리아판 전환 (2026-09-24)</t>
  </si>
  <si>
    <t xml:space="preserve">스페인(마드리드) 배경 워크북</t>
  </si>
  <si>
    <t xml:space="preserve">로마 배경으로 전면 현지화: 인물·지명·제목·대사·정치 제도·사회 현안·법령·호칭·욕·고전 인용을 모두 이탈리아 기준으로 교체. 대응표는 아래 22~27번</t>
  </si>
  <si>
    <t xml:space="preserve">전 시트</t>
  </si>
  <si>
    <t xml:space="preserve">22</t>
  </si>
  <si>
    <t xml:space="preserve">인물 대응</t>
  </si>
  <si>
    <t xml:space="preserve">Mateo·Javier·Sofía·Diego / Carmen·Pepa·Nieves·Gonzalo / Anselmo·Raimundo·Ramón·Inés·Lucía·Tomás</t>
  </si>
  <si>
    <r>
      <rPr>
        <sz val="10"/>
        <rFont val="Noto Sans CJK SC"/>
        <family val="2"/>
        <charset val="1"/>
      </rPr>
      <t xml:space="preserve">Marco·Giulia(</t>
    </r>
    <r>
      <rPr>
        <sz val="10"/>
        <rFont val="WenQuanYi Zen Hei"/>
        <family val="2"/>
      </rPr>
      <t xml:space="preserve">여</t>
    </r>
    <r>
      <rPr>
        <sz val="10"/>
        <rFont val="Noto Sans CJK SC"/>
        <family val="2"/>
        <charset val="1"/>
      </rPr>
      <t xml:space="preserve">)·Alessandro(</t>
    </r>
    <r>
      <rPr>
        <sz val="10"/>
        <rFont val="WenQuanYi Zen Hei"/>
        <family val="2"/>
      </rPr>
      <t xml:space="preserve">남</t>
    </r>
    <r>
      <rPr>
        <sz val="10"/>
        <rFont val="Noto Sans CJK SC"/>
        <family val="2"/>
        <charset val="1"/>
      </rPr>
      <t xml:space="preserve">)·Chiara(</t>
    </r>
    <r>
      <rPr>
        <sz val="10"/>
        <rFont val="WenQuanYi Zen Hei"/>
        <family val="2"/>
      </rPr>
      <t xml:space="preserve">여</t>
    </r>
    <r>
      <rPr>
        <sz val="10"/>
        <rFont val="Noto Sans CJK SC"/>
        <family val="2"/>
        <charset val="1"/>
      </rPr>
      <t xml:space="preserve">) / Sofia·Rosa·Paolo·Francesco / Cesare·Gramsci·Garibaldi·Galileo·Montessori·Dante. Machiavelli</t>
    </r>
    <r>
      <rPr>
        <sz val="10"/>
        <rFont val="WenQuanYi Zen Hei"/>
        <family val="2"/>
      </rPr>
      <t xml:space="preserve">는 신규</t>
    </r>
    <r>
      <rPr>
        <sz val="10"/>
        <rFont val="Noto Sans CJK SC"/>
        <family val="2"/>
        <charset val="1"/>
      </rPr>
      <t xml:space="preserve">(</t>
    </r>
    <r>
      <rPr>
        <sz val="10"/>
        <rFont val="WenQuanYi Zen Hei"/>
        <family val="2"/>
      </rPr>
      <t xml:space="preserve">정치 전략</t>
    </r>
    <r>
      <rPr>
        <sz val="10"/>
        <rFont val="Noto Sans CJK SC"/>
        <family val="2"/>
        <charset val="1"/>
      </rPr>
      <t xml:space="preserve">). </t>
    </r>
    <r>
      <rPr>
        <sz val="10"/>
        <rFont val="WenQuanYi Zen Hei"/>
        <family val="2"/>
      </rPr>
      <t xml:space="preserve">의사</t>
    </r>
    <r>
      <rPr>
        <sz val="10"/>
        <rFont val="Noto Sans CJK SC"/>
        <family val="2"/>
        <charset val="1"/>
      </rPr>
      <t xml:space="preserve">·</t>
    </r>
    <r>
      <rPr>
        <sz val="10"/>
        <rFont val="WenQuanYi Zen Hei"/>
        <family val="2"/>
      </rPr>
      <t xml:space="preserve">회계사</t>
    </r>
    <r>
      <rPr>
        <sz val="10"/>
        <rFont val="Noto Sans CJK SC"/>
        <family val="2"/>
        <charset val="1"/>
      </rPr>
      <t xml:space="preserve">·</t>
    </r>
    <r>
      <rPr>
        <sz val="10"/>
        <rFont val="WenQuanYi Zen Hei"/>
        <family val="2"/>
      </rPr>
      <t xml:space="preserve">컨설턴트의 성별이 바뀌어 대사</t>
    </r>
    <r>
      <rPr>
        <sz val="10"/>
        <rFont val="Noto Sans CJK SC"/>
        <family val="2"/>
        <charset val="1"/>
      </rPr>
      <t xml:space="preserve">·</t>
    </r>
    <r>
      <rPr>
        <sz val="10"/>
        <rFont val="WenQuanYi Zen Hei"/>
        <family val="2"/>
      </rPr>
      <t xml:space="preserve">호칭</t>
    </r>
    <r>
      <rPr>
        <sz val="10"/>
        <rFont val="Noto Sans CJK SC"/>
        <family val="2"/>
        <charset val="1"/>
      </rPr>
      <t xml:space="preserve">(dottoressa </t>
    </r>
    <r>
      <rPr>
        <sz val="10"/>
        <rFont val="WenQuanYi Zen Hei"/>
        <family val="2"/>
      </rPr>
      <t xml:space="preserve">등</t>
    </r>
    <r>
      <rPr>
        <sz val="10"/>
        <rFont val="Noto Sans CJK SC"/>
        <family val="2"/>
        <charset val="1"/>
      </rPr>
      <t xml:space="preserve">)</t>
    </r>
    <r>
      <rPr>
        <sz val="10"/>
        <rFont val="WenQuanYi Zen Hei"/>
        <family val="2"/>
      </rPr>
      <t xml:space="preserve">을 조정</t>
    </r>
  </si>
  <si>
    <t xml:space="preserve">캐릭터, 전 시트</t>
  </si>
  <si>
    <t xml:space="preserve">23</t>
  </si>
  <si>
    <t xml:space="preserve">지명 대응</t>
  </si>
  <si>
    <t xml:space="preserve">Lavapiés·Vallecas·Castellana·Salamanca·Sol·Cibeles·Asamblea de Madrid·Moncloa·Zarzuela·Congreso</t>
  </si>
  <si>
    <r>
      <rPr>
        <sz val="10"/>
        <rFont val="Noto Sans CJK SC"/>
        <family val="2"/>
        <charset val="1"/>
      </rPr>
      <t xml:space="preserve">Testaccio·Quarticciolo·Prati·Parioli·Piazza San Giovanni·Campidoglio·</t>
    </r>
    <r>
      <rPr>
        <sz val="10"/>
        <rFont val="WenQuanYi Zen Hei"/>
        <family val="2"/>
      </rPr>
      <t xml:space="preserve">라치오 주의회</t>
    </r>
    <r>
      <rPr>
        <sz val="10"/>
        <rFont val="Noto Sans CJK SC"/>
        <family val="2"/>
        <charset val="1"/>
      </rPr>
      <t xml:space="preserve">(Via della Pisana)·Palazzo Chigi·Quirinale·Montecitorio/Palazzo Madama</t>
    </r>
  </si>
  <si>
    <t xml:space="preserve">24</t>
  </si>
  <si>
    <t xml:space="preserve">제도 대응</t>
  </si>
  <si>
    <t xml:space="preserve">국왕·investidura(2개월 시계)·건설적 불신임안·Real Decreto-ley·LOREG·acusación popular·BOE</t>
  </si>
  <si>
    <t xml:space="preserve">대통령·조각 위임과 양원 신임(탐색 위임·재해산)·불신임안(제94조)·decreto-legge(60일 전환)·legge 165/2017·검찰 고발과 parte civile·Gazzetta Ufficiale/Normattiva</t>
  </si>
  <si>
    <t xml:space="preserve">정치제도, 정치경로_의석, 화별목차_전체</t>
  </si>
  <si>
    <t xml:space="preserve">25</t>
  </si>
  <si>
    <t xml:space="preserve">현안 대응</t>
  </si>
  <si>
    <t xml:space="preserve">사면·재정 분권 / 텅 빈 스페인 / DANA / 라이더법 / CNI / PRTR</t>
  </si>
  <si>
    <t xml:space="preserve">차등 자치·남북 격차 / 내륙 과소지역 / 홍수·지반 취약성 / 라이더 보호·EU 지침 / 정보기관·COPASIR·스파이웨어 / PNRR. 기준값을 ISTAT·NATO 자료로 다시 확인(2026-09-24)</t>
  </si>
  <si>
    <t xml:space="preserve">26</t>
  </si>
  <si>
    <t xml:space="preserve">시뮬레이션 재설계</t>
  </si>
  <si>
    <t xml:space="preserve">하원 350석, investidura 1·2차 표결, 건설적 불신임안(176표)</t>
  </si>
  <si>
    <t xml:space="preserve">하원 400석·상원 200석, UCN 정부 하원 신임 부결 → 재선거 → Marco 정부 하원 통과·상원 102:101(종신 상원의원 포함), 불신임안은 단순다수</t>
  </si>
  <si>
    <t xml:space="preserve">27</t>
  </si>
  <si>
    <t xml:space="preserve">언어 장치</t>
  </si>
  <si>
    <r>
      <rPr>
        <sz val="10"/>
        <rFont val="Noto Sans CJK SC"/>
        <family val="2"/>
        <charset val="1"/>
      </rPr>
      <t xml:space="preserve">tú/usted/vosotros/ustedes, </t>
    </r>
    <r>
      <rPr>
        <sz val="10"/>
        <rFont val="WenQuanYi Zen Hei"/>
        <family val="2"/>
      </rPr>
      <t xml:space="preserve">스페인 고전</t>
    </r>
    <r>
      <rPr>
        <sz val="10"/>
        <rFont val="Noto Sans CJK SC"/>
        <family val="2"/>
        <charset val="1"/>
      </rPr>
      <t xml:space="preserve">(</t>
    </r>
    <r>
      <rPr>
        <sz val="10"/>
        <rFont val="WenQuanYi Zen Hei"/>
        <family val="2"/>
      </rPr>
      <t xml:space="preserve">세르반테스 등</t>
    </r>
    <r>
      <rPr>
        <sz val="10"/>
        <rFont val="Noto Sans CJK SC"/>
        <family val="2"/>
        <charset val="1"/>
      </rPr>
      <t xml:space="preserve">), </t>
    </r>
    <r>
      <rPr>
        <sz val="10"/>
        <rFont val="WenQuanYi Zen Hei"/>
        <family val="2"/>
      </rPr>
      <t xml:space="preserve">스페인어 욕</t>
    </r>
  </si>
  <si>
    <r>
      <rPr>
        <sz val="10"/>
        <rFont val="Noto Sans CJK SC"/>
        <family val="2"/>
        <charset val="1"/>
      </rPr>
      <t xml:space="preserve">tu/Lei/voi/Loro(Cesare</t>
    </r>
    <r>
      <rPr>
        <sz val="10"/>
        <rFont val="WenQuanYi Zen Hei"/>
        <family val="2"/>
      </rPr>
      <t xml:space="preserve">의 고풍 격식 복수</t>
    </r>
    <r>
      <rPr>
        <sz val="10"/>
        <rFont val="Noto Sans CJK SC"/>
        <family val="2"/>
        <charset val="1"/>
      </rPr>
      <t xml:space="preserve">), </t>
    </r>
    <r>
      <rPr>
        <sz val="10"/>
        <rFont val="WenQuanYi Zen Hei"/>
        <family val="2"/>
      </rPr>
      <t xml:space="preserve">부활자의 자기 인용</t>
    </r>
    <r>
      <rPr>
        <sz val="10"/>
        <rFont val="Noto Sans CJK SC"/>
        <family val="2"/>
        <charset val="1"/>
      </rPr>
      <t xml:space="preserve">(</t>
    </r>
    <r>
      <rPr>
        <sz val="10"/>
        <rFont val="WenQuanYi Zen Hei"/>
        <family val="2"/>
      </rPr>
      <t xml:space="preserve">단테</t>
    </r>
    <r>
      <rPr>
        <sz val="10"/>
        <rFont val="Noto Sans CJK SC"/>
        <family val="2"/>
        <charset val="1"/>
      </rPr>
      <t xml:space="preserve">·</t>
    </r>
    <r>
      <rPr>
        <sz val="10"/>
        <rFont val="WenQuanYi Zen Hei"/>
        <family val="2"/>
      </rPr>
      <t xml:space="preserve">마키아벨리</t>
    </r>
    <r>
      <rPr>
        <sz val="10"/>
        <rFont val="Noto Sans CJK SC"/>
        <family val="2"/>
        <charset val="1"/>
      </rPr>
      <t xml:space="preserve">·</t>
    </r>
    <r>
      <rPr>
        <sz val="10"/>
        <rFont val="WenQuanYi Zen Hei"/>
        <family val="2"/>
      </rPr>
      <t xml:space="preserve">갈릴레이</t>
    </r>
    <r>
      <rPr>
        <sz val="10"/>
        <rFont val="Noto Sans CJK SC"/>
        <family val="2"/>
        <charset val="1"/>
      </rPr>
      <t xml:space="preserve">·</t>
    </r>
    <r>
      <rPr>
        <sz val="10"/>
        <rFont val="WenQuanYi Zen Hei"/>
        <family val="2"/>
      </rPr>
      <t xml:space="preserve">카이사르</t>
    </r>
    <r>
      <rPr>
        <sz val="10"/>
        <rFont val="Noto Sans CJK SC"/>
        <family val="2"/>
        <charset val="1"/>
      </rPr>
      <t xml:space="preserve">), </t>
    </r>
    <r>
      <rPr>
        <sz val="10"/>
        <rFont val="WenQuanYi Zen Hei"/>
        <family val="2"/>
      </rPr>
      <t xml:space="preserve">순한 이탈리아어</t>
    </r>
    <r>
      <rPr>
        <sz val="10"/>
        <rFont val="Noto Sans CJK SC"/>
        <family val="2"/>
        <charset val="1"/>
      </rPr>
      <t xml:space="preserve">·</t>
    </r>
    <r>
      <rPr>
        <sz val="10"/>
        <rFont val="WenQuanYi Zen Hei"/>
        <family val="2"/>
      </rPr>
      <t xml:space="preserve">로마 사투리 욕</t>
    </r>
  </si>
  <si>
    <t xml:space="preserve">호칭규칙, 대화문규칙, Sofia_폭발과욕</t>
  </si>
  <si>
    <t xml:space="preserve">28</t>
  </si>
  <si>
    <t xml:space="preserve">시트명 변경</t>
  </si>
  <si>
    <r>
      <rPr>
        <sz val="10"/>
        <rFont val="Noto Sans CJK SC"/>
        <family val="2"/>
        <charset val="1"/>
      </rPr>
      <t xml:space="preserve">Carmen_</t>
    </r>
    <r>
      <rPr>
        <sz val="10"/>
        <rFont val="WenQuanYi Zen Hei"/>
        <family val="2"/>
      </rPr>
      <t xml:space="preserve">폭발과욕 </t>
    </r>
    <r>
      <rPr>
        <sz val="10"/>
        <rFont val="Noto Sans CJK SC"/>
        <family val="2"/>
        <charset val="1"/>
      </rPr>
      <t xml:space="preserve">/ Anselmo_</t>
    </r>
    <r>
      <rPr>
        <sz val="10"/>
        <rFont val="WenQuanYi Zen Hei"/>
        <family val="2"/>
      </rPr>
      <t xml:space="preserve">죽음 </t>
    </r>
    <r>
      <rPr>
        <sz val="10"/>
        <rFont val="Noto Sans CJK SC"/>
        <family val="2"/>
        <charset val="1"/>
      </rPr>
      <t xml:space="preserve">/ Raimundo_</t>
    </r>
    <r>
      <rPr>
        <sz val="10"/>
        <rFont val="WenQuanYi Zen Hei"/>
        <family val="2"/>
      </rPr>
      <t xml:space="preserve">출처 </t>
    </r>
    <r>
      <rPr>
        <sz val="10"/>
        <rFont val="Noto Sans CJK SC"/>
        <family val="2"/>
        <charset val="1"/>
      </rPr>
      <t xml:space="preserve">/ 12</t>
    </r>
    <r>
      <rPr>
        <sz val="10"/>
        <rFont val="WenQuanYi Zen Hei"/>
        <family val="2"/>
      </rPr>
      <t xml:space="preserve">부</t>
    </r>
    <r>
      <rPr>
        <sz val="10"/>
        <rFont val="Noto Sans CJK SC"/>
        <family val="2"/>
        <charset val="1"/>
      </rPr>
      <t xml:space="preserve">_</t>
    </r>
    <r>
      <rPr>
        <sz val="10"/>
        <rFont val="WenQuanYi Zen Hei"/>
        <family val="2"/>
      </rPr>
      <t xml:space="preserve">구성</t>
    </r>
  </si>
  <si>
    <r>
      <rPr>
        <sz val="10"/>
        <rFont val="Noto Sans CJK SC"/>
        <family val="2"/>
        <charset val="1"/>
      </rPr>
      <t xml:space="preserve">Sofia_</t>
    </r>
    <r>
      <rPr>
        <sz val="10"/>
        <rFont val="WenQuanYi Zen Hei"/>
        <family val="2"/>
      </rPr>
      <t xml:space="preserve">폭발과욕 </t>
    </r>
    <r>
      <rPr>
        <sz val="10"/>
        <rFont val="Noto Sans CJK SC"/>
        <family val="2"/>
        <charset val="1"/>
      </rPr>
      <t xml:space="preserve">/ Cesare_</t>
    </r>
    <r>
      <rPr>
        <sz val="10"/>
        <rFont val="WenQuanYi Zen Hei"/>
        <family val="2"/>
      </rPr>
      <t xml:space="preserve">죽음 </t>
    </r>
    <r>
      <rPr>
        <sz val="10"/>
        <rFont val="Noto Sans CJK SC"/>
        <family val="2"/>
        <charset val="1"/>
      </rPr>
      <t xml:space="preserve">/ Gramsci_</t>
    </r>
    <r>
      <rPr>
        <sz val="10"/>
        <rFont val="WenQuanYi Zen Hei"/>
        <family val="2"/>
      </rPr>
      <t xml:space="preserve">출처 </t>
    </r>
    <r>
      <rPr>
        <sz val="10"/>
        <rFont val="Noto Sans CJK SC"/>
        <family val="2"/>
        <charset val="1"/>
      </rPr>
      <t xml:space="preserve">/ 13</t>
    </r>
    <r>
      <rPr>
        <sz val="10"/>
        <rFont val="WenQuanYi Zen Hei"/>
        <family val="2"/>
      </rPr>
      <t xml:space="preserve">부</t>
    </r>
    <r>
      <rPr>
        <sz val="10"/>
        <rFont val="Noto Sans CJK SC"/>
        <family val="2"/>
        <charset val="1"/>
      </rPr>
      <t xml:space="preserve">_</t>
    </r>
    <r>
      <rPr>
        <sz val="10"/>
        <rFont val="WenQuanYi Zen Hei"/>
        <family val="2"/>
      </rPr>
      <t xml:space="preserve">구성</t>
    </r>
  </si>
  <si>
    <t xml:space="preserve">개요</t>
  </si>
  <si>
    <t xml:space="preserve">29</t>
  </si>
  <si>
    <t xml:space="preserve">턴_설계 13부 확장</t>
  </si>
  <si>
    <r>
      <rPr>
        <sz val="10"/>
        <rFont val="Noto Sans CJK SC"/>
        <family val="2"/>
        <charset val="1"/>
      </rPr>
      <t xml:space="preserve">12</t>
    </r>
    <r>
      <rPr>
        <sz val="10"/>
        <rFont val="WenQuanYi Zen Hei"/>
        <family val="2"/>
      </rPr>
      <t xml:space="preserve">부 </t>
    </r>
    <r>
      <rPr>
        <sz val="10"/>
        <rFont val="Noto Sans CJK SC"/>
        <family val="2"/>
        <charset val="1"/>
      </rPr>
      <t xml:space="preserve">× 14</t>
    </r>
    <r>
      <rPr>
        <sz val="10"/>
        <rFont val="WenQuanYi Zen Hei"/>
        <family val="2"/>
      </rPr>
      <t xml:space="preserve">인 표</t>
    </r>
    <r>
      <rPr>
        <sz val="10"/>
        <rFont val="Noto Sans CJK SC"/>
        <family val="2"/>
        <charset val="1"/>
      </rPr>
      <t xml:space="preserve">, 13</t>
    </r>
    <r>
      <rPr>
        <sz val="10"/>
        <rFont val="WenQuanYi Zen Hei"/>
        <family val="2"/>
      </rPr>
      <t xml:space="preserve">부 대화량이 </t>
    </r>
    <r>
      <rPr>
        <sz val="10"/>
        <rFont val="Noto Sans CJK SC"/>
        <family val="2"/>
        <charset val="1"/>
      </rPr>
      <t xml:space="preserve">'</t>
    </r>
    <r>
      <rPr>
        <sz val="10"/>
        <rFont val="WenQuanYi Zen Hei"/>
        <family val="2"/>
      </rPr>
      <t xml:space="preserve">전체</t>
    </r>
    <r>
      <rPr>
        <sz val="10"/>
        <rFont val="Noto Sans CJK SC"/>
        <family val="2"/>
        <charset val="1"/>
      </rPr>
      <t xml:space="preserve">' </t>
    </r>
    <r>
      <rPr>
        <sz val="10"/>
        <rFont val="WenQuanYi Zen Hei"/>
        <family val="2"/>
      </rPr>
      <t xml:space="preserve">행을 참조하던 오류</t>
    </r>
  </si>
  <si>
    <r>
      <rPr>
        <sz val="10"/>
        <rFont val="Noto Sans CJK SC"/>
        <family val="2"/>
        <charset val="1"/>
      </rPr>
      <t xml:space="preserve">13</t>
    </r>
    <r>
      <rPr>
        <sz val="10"/>
        <rFont val="WenQuanYi Zen Hei"/>
        <family val="2"/>
      </rPr>
      <t xml:space="preserve">부 </t>
    </r>
    <r>
      <rPr>
        <sz val="10"/>
        <rFont val="Noto Sans CJK SC"/>
        <family val="2"/>
        <charset val="1"/>
      </rPr>
      <t xml:space="preserve">× 15</t>
    </r>
    <r>
      <rPr>
        <sz val="10"/>
        <rFont val="WenQuanYi Zen Hei"/>
        <family val="2"/>
      </rPr>
      <t xml:space="preserve">인</t>
    </r>
    <r>
      <rPr>
        <sz val="10"/>
        <rFont val="Noto Sans CJK SC"/>
        <family val="2"/>
        <charset val="1"/>
      </rPr>
      <t xml:space="preserve">(+</t>
    </r>
    <r>
      <rPr>
        <sz val="10"/>
        <rFont val="WenQuanYi Zen Hei"/>
        <family val="2"/>
      </rPr>
      <t xml:space="preserve">엑스트라</t>
    </r>
    <r>
      <rPr>
        <sz val="10"/>
        <rFont val="Noto Sans CJK SC"/>
        <family val="2"/>
        <charset val="1"/>
      </rPr>
      <t xml:space="preserve">)</t>
    </r>
    <r>
      <rPr>
        <sz val="10"/>
        <rFont val="WenQuanYi Zen Hei"/>
        <family val="2"/>
      </rPr>
      <t xml:space="preserve">으로 확장</t>
    </r>
    <r>
      <rPr>
        <sz val="10"/>
        <rFont val="Noto Sans CJK SC"/>
        <family val="2"/>
        <charset val="1"/>
      </rPr>
      <t xml:space="preserve">, </t>
    </r>
    <r>
      <rPr>
        <sz val="10"/>
        <rFont val="WenQuanYi Zen Hei"/>
        <family val="2"/>
      </rPr>
      <t xml:space="preserve">신규 </t>
    </r>
    <r>
      <rPr>
        <sz val="10"/>
        <rFont val="Noto Sans CJK SC"/>
        <family val="2"/>
        <charset val="1"/>
      </rPr>
      <t xml:space="preserve">12</t>
    </r>
    <r>
      <rPr>
        <sz val="10"/>
        <rFont val="WenQuanYi Zen Hei"/>
        <family val="2"/>
      </rPr>
      <t xml:space="preserve">부</t>
    </r>
    <r>
      <rPr>
        <sz val="10"/>
        <rFont val="Noto Sans CJK SC"/>
        <family val="2"/>
        <charset val="1"/>
      </rPr>
      <t xml:space="preserve">(</t>
    </r>
    <r>
      <rPr>
        <sz val="10"/>
        <rFont val="WenQuanYi Zen Hei"/>
        <family val="2"/>
      </rPr>
      <t xml:space="preserve">국정 </t>
    </r>
    <r>
      <rPr>
        <sz val="10"/>
        <rFont val="Noto Sans CJK SC"/>
        <family val="2"/>
        <charset val="1"/>
      </rPr>
      <t xml:space="preserve">II) </t>
    </r>
    <r>
      <rPr>
        <sz val="10"/>
        <rFont val="WenQuanYi Zen Hei"/>
        <family val="2"/>
      </rPr>
      <t xml:space="preserve">점유율 추가</t>
    </r>
    <r>
      <rPr>
        <sz val="10"/>
        <rFont val="Noto Sans CJK SC"/>
        <family val="2"/>
        <charset val="1"/>
      </rPr>
      <t xml:space="preserve">, </t>
    </r>
    <r>
      <rPr>
        <sz val="10"/>
        <rFont val="WenQuanYi Zen Hei"/>
        <family val="2"/>
      </rPr>
      <t xml:space="preserve">아크</t>
    </r>
    <r>
      <rPr>
        <sz val="10"/>
        <rFont val="Noto Sans CJK SC"/>
        <family val="2"/>
        <charset val="1"/>
      </rPr>
      <t xml:space="preserve">_</t>
    </r>
    <r>
      <rPr>
        <sz val="10"/>
        <rFont val="WenQuanYi Zen Hei"/>
        <family val="2"/>
      </rPr>
      <t xml:space="preserve">구성계획의 대화량 수식을 부별 행에 맞게 재연결</t>
    </r>
  </si>
  <si>
    <t xml:space="preserve">턴_설계, 아크_구성계획</t>
  </si>
  <si>
    <t xml:space="preserve">30</t>
  </si>
  <si>
    <t xml:space="preserve">현안_분포 재집계</t>
  </si>
  <si>
    <t xml:space="preserve">화별 목차와 어긋난 기호 배치</t>
  </si>
  <si>
    <t xml:space="preserve">현안_배치의 주요(●)·곁가지(○) 배치를 기준으로 부별 기호를 다시 채움</t>
  </si>
  <si>
    <r>
      <rPr>
        <b val="true"/>
        <sz val="10"/>
        <rFont val="Arial"/>
        <family val="0"/>
        <charset val="1"/>
      </rPr>
      <t xml:space="preserve">2. </t>
    </r>
    <r>
      <rPr>
        <b val="true"/>
        <sz val="10"/>
        <rFont val="WenQuanYi Zen Hei"/>
        <family val="2"/>
      </rPr>
      <t xml:space="preserve">미결 사항 </t>
    </r>
    <r>
      <rPr>
        <b val="true"/>
        <sz val="10"/>
        <rFont val="Arial"/>
        <family val="0"/>
        <charset val="1"/>
      </rPr>
      <t xml:space="preserve">(</t>
    </r>
    <r>
      <rPr>
        <b val="true"/>
        <sz val="10"/>
        <rFont val="WenQuanYi Zen Hei"/>
        <family val="2"/>
      </rPr>
      <t xml:space="preserve">확정 필요</t>
    </r>
    <r>
      <rPr>
        <b val="true"/>
        <sz val="10"/>
        <rFont val="Arial"/>
        <family val="0"/>
        <charset val="1"/>
      </rPr>
      <t xml:space="preserve">)</t>
    </r>
  </si>
  <si>
    <t xml:space="preserve">제안</t>
  </si>
  <si>
    <t xml:space="preserve">관련 시트</t>
  </si>
  <si>
    <t xml:space="preserve">부활의 규칙</t>
  </si>
  <si>
    <t xml:space="preserve">부활자 7인의 신분(서류·국적·나이)과 부활 이유를 어디까지 설명할지.</t>
  </si>
  <si>
    <t xml:space="preserve">끝까지 설명하지 않고 개그로만 처리(공증인의 곤혹, 선거 출마 자격 등은 피해 간다)</t>
  </si>
  <si>
    <r>
      <rPr>
        <sz val="10"/>
        <rFont val="Noto Sans CJK SC"/>
        <family val="2"/>
        <charset val="1"/>
      </rPr>
      <t xml:space="preserve">Gramsci </t>
    </r>
    <r>
      <rPr>
        <sz val="10"/>
        <rFont val="WenQuanYi Zen Hei"/>
        <family val="2"/>
      </rPr>
      <t xml:space="preserve">카드의 범위</t>
    </r>
  </si>
  <si>
    <t xml:space="preserve">카드를 전 화(156화)에 넣을지, Gramsci 등장 화에만 넣을지.</t>
  </si>
  <si>
    <t xml:space="preserve">등장 화에만 넣고, 미등장 화는 Sofia가 사전(Treccani)을 찾는 짧은 대사로 대체</t>
  </si>
  <si>
    <r>
      <rPr>
        <sz val="10"/>
        <rFont val="Noto Sans CJK SC"/>
        <family val="2"/>
        <charset val="1"/>
      </rPr>
      <t xml:space="preserve">Sofia → </t>
    </r>
    <r>
      <rPr>
        <sz val="10"/>
        <rFont val="WenQuanYi Zen Hei"/>
        <family val="2"/>
      </rPr>
      <t xml:space="preserve">주력 </t>
    </r>
    <r>
      <rPr>
        <sz val="10"/>
        <rFont val="Noto Sans CJK SC"/>
        <family val="2"/>
        <charset val="1"/>
      </rPr>
      <t xml:space="preserve">4</t>
    </r>
    <r>
      <rPr>
        <sz val="10"/>
        <rFont val="WenQuanYi Zen Hei"/>
        <family val="2"/>
      </rPr>
      <t xml:space="preserve">인 호칭 전환</t>
    </r>
  </si>
  <si>
    <r>
      <rPr>
        <sz val="10"/>
        <rFont val="Noto Sans CJK SC"/>
        <family val="2"/>
        <charset val="1"/>
      </rPr>
      <t xml:space="preserve">Cesare</t>
    </r>
    <r>
      <rPr>
        <sz val="10"/>
        <rFont val="WenQuanYi Zen Hei"/>
        <family val="2"/>
      </rPr>
      <t xml:space="preserve">에게만 </t>
    </r>
    <r>
      <rPr>
        <sz val="10"/>
        <rFont val="Noto Sans CJK SC"/>
        <family val="2"/>
        <charset val="1"/>
      </rPr>
      <t xml:space="preserve">12</t>
    </r>
    <r>
      <rPr>
        <sz val="10"/>
        <rFont val="WenQuanYi Zen Hei"/>
        <family val="2"/>
      </rPr>
      <t xml:space="preserve">부 </t>
    </r>
    <r>
      <rPr>
        <sz val="10"/>
        <rFont val="Noto Sans CJK SC"/>
        <family val="2"/>
        <charset val="1"/>
      </rPr>
      <t xml:space="preserve">1</t>
    </r>
    <r>
      <rPr>
        <sz val="10"/>
        <rFont val="WenQuanYi Zen Hei"/>
        <family val="2"/>
      </rPr>
      <t xml:space="preserve">화에서 </t>
    </r>
    <r>
      <rPr>
        <sz val="10"/>
        <rFont val="Noto Sans CJK SC"/>
        <family val="2"/>
        <charset val="1"/>
      </rPr>
      <t xml:space="preserve">tu</t>
    </r>
    <r>
      <rPr>
        <sz val="10"/>
        <rFont val="WenQuanYi Zen Hei"/>
        <family val="2"/>
      </rPr>
      <t xml:space="preserve">로 전환한다는 것 외에</t>
    </r>
    <r>
      <rPr>
        <sz val="10"/>
        <rFont val="Noto Sans CJK SC"/>
        <family val="2"/>
        <charset val="1"/>
      </rPr>
      <t xml:space="preserve">, </t>
    </r>
    <r>
      <rPr>
        <sz val="10"/>
        <rFont val="WenQuanYi Zen Hei"/>
        <family val="2"/>
      </rPr>
      <t xml:space="preserve">다른 인물에게 언제 </t>
    </r>
    <r>
      <rPr>
        <sz val="10"/>
        <rFont val="Noto Sans CJK SC"/>
        <family val="2"/>
        <charset val="1"/>
      </rPr>
      <t xml:space="preserve">tu</t>
    </r>
    <r>
      <rPr>
        <sz val="10"/>
        <rFont val="WenQuanYi Zen Hei"/>
        <family val="2"/>
      </rPr>
      <t xml:space="preserve">로 넘어가는지 미정</t>
    </r>
    <r>
      <rPr>
        <sz val="10"/>
        <rFont val="Noto Sans CJK SC"/>
        <family val="2"/>
        <charset val="1"/>
      </rPr>
      <t xml:space="preserve">.</t>
    </r>
  </si>
  <si>
    <r>
      <rPr>
        <sz val="10"/>
        <rFont val="Noto Sans CJK SC"/>
        <family val="2"/>
        <charset val="1"/>
      </rPr>
      <t xml:space="preserve">6</t>
    </r>
    <r>
      <rPr>
        <sz val="10"/>
        <rFont val="WenQuanYi Zen Hei"/>
        <family val="2"/>
      </rPr>
      <t xml:space="preserve">부 만남 이후 자연스럽게 </t>
    </r>
    <r>
      <rPr>
        <sz val="10"/>
        <rFont val="Noto Sans CJK SC"/>
        <family val="2"/>
        <charset val="1"/>
      </rPr>
      <t xml:space="preserve">tu (Cesare·Garibaldi·Francesco</t>
    </r>
    <r>
      <rPr>
        <sz val="10"/>
        <rFont val="WenQuanYi Zen Hei"/>
        <family val="2"/>
      </rPr>
      <t xml:space="preserve">는 </t>
    </r>
    <r>
      <rPr>
        <sz val="10"/>
        <rFont val="Noto Sans CJK SC"/>
        <family val="2"/>
        <charset val="1"/>
      </rPr>
      <t xml:space="preserve">Lei </t>
    </r>
    <r>
      <rPr>
        <sz val="10"/>
        <rFont val="WenQuanYi Zen Hei"/>
        <family val="2"/>
      </rPr>
      <t xml:space="preserve">유지</t>
    </r>
    <r>
      <rPr>
        <sz val="10"/>
        <rFont val="Noto Sans CJK SC"/>
        <family val="2"/>
        <charset val="1"/>
      </rPr>
      <t xml:space="preserve">)</t>
    </r>
  </si>
  <si>
    <t xml:space="preserve">경과 연수 가정</t>
  </si>
  <si>
    <r>
      <rPr>
        <sz val="10"/>
        <rFont val="Noto Sans CJK SC"/>
        <family val="2"/>
        <charset val="1"/>
      </rPr>
      <t xml:space="preserve">1</t>
    </r>
    <r>
      <rPr>
        <sz val="10"/>
        <rFont val="WenQuanYi Zen Hei"/>
        <family val="2"/>
      </rPr>
      <t xml:space="preserve">부→</t>
    </r>
    <r>
      <rPr>
        <sz val="10"/>
        <rFont val="Noto Sans CJK SC"/>
        <family val="2"/>
        <charset val="1"/>
      </rPr>
      <t xml:space="preserve">11</t>
    </r>
    <r>
      <rPr>
        <sz val="10"/>
        <rFont val="WenQuanYi Zen Hei"/>
        <family val="2"/>
      </rPr>
      <t xml:space="preserve">부 </t>
    </r>
    <r>
      <rPr>
        <sz val="10"/>
        <rFont val="Noto Sans CJK SC"/>
        <family val="2"/>
        <charset val="1"/>
      </rPr>
      <t xml:space="preserve">6</t>
    </r>
    <r>
      <rPr>
        <sz val="10"/>
        <rFont val="WenQuanYi Zen Hei"/>
        <family val="2"/>
      </rPr>
      <t xml:space="preserve">년 가정</t>
    </r>
    <r>
      <rPr>
        <sz val="10"/>
        <rFont val="Noto Sans CJK SC"/>
        <family val="2"/>
        <charset val="1"/>
      </rPr>
      <t xml:space="preserve">(Cesare 55→61</t>
    </r>
    <r>
      <rPr>
        <sz val="10"/>
        <rFont val="WenQuanYi Zen Hei"/>
        <family val="2"/>
      </rPr>
      <t xml:space="preserve">세</t>
    </r>
    <r>
      <rPr>
        <sz val="10"/>
        <rFont val="Noto Sans CJK SC"/>
        <family val="2"/>
        <charset val="1"/>
      </rPr>
      <t xml:space="preserve">). 13</t>
    </r>
    <r>
      <rPr>
        <sz val="10"/>
        <rFont val="WenQuanYi Zen Hei"/>
        <family val="2"/>
      </rPr>
      <t xml:space="preserve">부는 그 이후 시점</t>
    </r>
    <r>
      <rPr>
        <sz val="10"/>
        <rFont val="Noto Sans CJK SC"/>
        <family val="2"/>
        <charset val="1"/>
      </rPr>
      <t xml:space="preserve">.</t>
    </r>
  </si>
  <si>
    <t xml:space="preserve">확정 시 개요!C11만 수정</t>
  </si>
  <si>
    <t xml:space="preserve">정치 직책</t>
  </si>
  <si>
    <r>
      <rPr>
        <sz val="10"/>
        <rFont val="Noto Sans CJK SC"/>
        <family val="2"/>
        <charset val="1"/>
      </rPr>
      <t xml:space="preserve">15</t>
    </r>
    <r>
      <rPr>
        <sz val="10"/>
        <rFont val="WenQuanYi Zen Hei"/>
        <family val="2"/>
      </rPr>
      <t xml:space="preserve">인의 직책은 제안 단계</t>
    </r>
    <r>
      <rPr>
        <sz val="10"/>
        <rFont val="Noto Sans CJK SC"/>
        <family val="2"/>
        <charset val="1"/>
      </rPr>
      <t xml:space="preserve">. Galileo(</t>
    </r>
    <r>
      <rPr>
        <sz val="10"/>
        <rFont val="WenQuanYi Zen Hei"/>
        <family val="2"/>
      </rPr>
      <t xml:space="preserve">정부 대변인</t>
    </r>
    <r>
      <rPr>
        <sz val="10"/>
        <rFont val="Noto Sans CJK SC"/>
        <family val="2"/>
        <charset val="1"/>
      </rPr>
      <t xml:space="preserve">)·Montessori(</t>
    </r>
    <r>
      <rPr>
        <sz val="10"/>
        <rFont val="WenQuanYi Zen Hei"/>
        <family val="2"/>
      </rPr>
      <t xml:space="preserve">청년 정신건강</t>
    </r>
    <r>
      <rPr>
        <sz val="10"/>
        <rFont val="Noto Sans CJK SC"/>
        <family val="2"/>
        <charset val="1"/>
      </rPr>
      <t xml:space="preserve">) </t>
    </r>
    <r>
      <rPr>
        <sz val="10"/>
        <rFont val="WenQuanYi Zen Hei"/>
        <family val="2"/>
      </rPr>
      <t xml:space="preserve">역할을 캐릭터 시트에 반영함</t>
    </r>
    <r>
      <rPr>
        <sz val="10"/>
        <rFont val="Noto Sans CJK SC"/>
        <family val="2"/>
        <charset val="1"/>
      </rPr>
      <t xml:space="preserve">.</t>
    </r>
  </si>
  <si>
    <t xml:space="preserve">부활자는 정식 장관보다 '자문'으로 두는 안 유지 (Garibaldi만 장관)</t>
  </si>
  <si>
    <t xml:space="preserve">법령·조항 확인</t>
  </si>
  <si>
    <t xml:space="preserve">출처표·제도표의 법령 번호·조항은 기획 시점 지식 기준.</t>
  </si>
  <si>
    <t xml:space="preserve">교재 반영 전 Normattiva 현행 통합본으로 확인. 선거 서명 요건·교섭단체 인원·TUEL 제73조는 특히 확인</t>
  </si>
  <si>
    <r>
      <rPr>
        <sz val="10"/>
        <rFont val="Noto Sans CJK SC"/>
        <family val="2"/>
        <charset val="1"/>
      </rPr>
      <t xml:space="preserve">Gramsci_</t>
    </r>
    <r>
      <rPr>
        <sz val="10"/>
        <rFont val="WenQuanYi Zen Hei"/>
        <family val="2"/>
      </rPr>
      <t xml:space="preserve">출처</t>
    </r>
    <r>
      <rPr>
        <sz val="10"/>
        <rFont val="Noto Sans CJK SC"/>
        <family val="2"/>
        <charset val="1"/>
      </rPr>
      <t xml:space="preserve">, </t>
    </r>
    <r>
      <rPr>
        <sz val="10"/>
        <rFont val="WenQuanYi Zen Hei"/>
        <family val="2"/>
      </rPr>
      <t xml:space="preserve">정치제도</t>
    </r>
  </si>
  <si>
    <t xml:space="preserve">대화량 실측 교정</t>
  </si>
  <si>
    <t xml:space="preserve">화당 120턴은 확정. 화자 점유율·평균 단어/턴·낭독 속도(130단어/분)는 가정값이다. 이탈리아어는 스페인어와 단어 길이가 비슷해 기존 값 유지.</t>
  </si>
  <si>
    <r>
      <rPr>
        <sz val="10"/>
        <rFont val="Noto Sans CJK SC"/>
        <family val="2"/>
        <charset val="1"/>
      </rPr>
      <t xml:space="preserve">1</t>
    </r>
    <r>
      <rPr>
        <sz val="10"/>
        <rFont val="WenQuanYi Zen Hei"/>
        <family val="2"/>
      </rPr>
      <t xml:space="preserve">부 </t>
    </r>
    <r>
      <rPr>
        <sz val="10"/>
        <rFont val="Noto Sans CJK SC"/>
        <family val="2"/>
        <charset val="1"/>
      </rPr>
      <t xml:space="preserve">1~3</t>
    </r>
    <r>
      <rPr>
        <sz val="10"/>
        <rFont val="WenQuanYi Zen Hei"/>
        <family val="2"/>
      </rPr>
      <t xml:space="preserve">화 대본을 쓴 뒤 실제 턴</t>
    </r>
    <r>
      <rPr>
        <sz val="10"/>
        <rFont val="Noto Sans CJK SC"/>
        <family val="2"/>
        <charset val="1"/>
      </rPr>
      <t xml:space="preserve">·</t>
    </r>
    <r>
      <rPr>
        <sz val="10"/>
        <rFont val="WenQuanYi Zen Hei"/>
        <family val="2"/>
      </rPr>
      <t xml:space="preserve">단어를 재서 </t>
    </r>
    <r>
      <rPr>
        <sz val="10"/>
        <rFont val="Noto Sans CJK SC"/>
        <family val="2"/>
        <charset val="1"/>
      </rPr>
      <t xml:space="preserve">'</t>
    </r>
    <r>
      <rPr>
        <sz val="10"/>
        <rFont val="WenQuanYi Zen Hei"/>
        <family val="2"/>
      </rPr>
      <t xml:space="preserve">턴</t>
    </r>
    <r>
      <rPr>
        <sz val="10"/>
        <rFont val="Noto Sans CJK SC"/>
        <family val="2"/>
        <charset val="1"/>
      </rPr>
      <t xml:space="preserve">_</t>
    </r>
    <r>
      <rPr>
        <sz val="10"/>
        <rFont val="WenQuanYi Zen Hei"/>
        <family val="2"/>
      </rPr>
      <t xml:space="preserve">설계</t>
    </r>
    <r>
      <rPr>
        <sz val="10"/>
        <rFont val="Noto Sans CJK SC"/>
        <family val="2"/>
        <charset val="1"/>
      </rPr>
      <t xml:space="preserve">'</t>
    </r>
    <r>
      <rPr>
        <sz val="10"/>
        <rFont val="WenQuanYi Zen Hei"/>
        <family val="2"/>
      </rPr>
      <t xml:space="preserve">의 파란 값을 교정</t>
    </r>
  </si>
  <si>
    <r>
      <rPr>
        <sz val="10"/>
        <rFont val="Noto Sans CJK SC"/>
        <family val="2"/>
        <charset val="1"/>
      </rPr>
      <t xml:space="preserve">Montessori·Galileo </t>
    </r>
    <r>
      <rPr>
        <sz val="10"/>
        <rFont val="WenQuanYi Zen Hei"/>
        <family val="2"/>
      </rPr>
      <t xml:space="preserve">비중 보강</t>
    </r>
  </si>
  <si>
    <t xml:space="preserve">가장 얇은 조연.</t>
  </si>
  <si>
    <r>
      <rPr>
        <sz val="10"/>
        <rFont val="Noto Sans CJK SC"/>
        <family val="2"/>
        <charset val="1"/>
      </rPr>
      <t xml:space="preserve">3·5</t>
    </r>
    <r>
      <rPr>
        <sz val="10"/>
        <rFont val="WenQuanYi Zen Hei"/>
        <family val="2"/>
      </rPr>
      <t xml:space="preserve">부 상담 장면 확대</t>
    </r>
    <r>
      <rPr>
        <sz val="10"/>
        <rFont val="Noto Sans CJK SC"/>
        <family val="2"/>
        <charset val="1"/>
      </rPr>
      <t xml:space="preserve">, 12</t>
    </r>
    <r>
      <rPr>
        <sz val="10"/>
        <rFont val="WenQuanYi Zen Hei"/>
        <family val="2"/>
      </rPr>
      <t xml:space="preserve">부 애도 상담</t>
    </r>
    <r>
      <rPr>
        <sz val="10"/>
        <rFont val="Noto Sans CJK SC"/>
        <family val="2"/>
        <charset val="1"/>
      </rPr>
      <t xml:space="preserve">·</t>
    </r>
    <r>
      <rPr>
        <sz val="10"/>
        <rFont val="WenQuanYi Zen Hei"/>
        <family val="2"/>
      </rPr>
      <t xml:space="preserve">스파이웨어 검증 배정</t>
    </r>
  </si>
  <si>
    <t xml:space="preserve">등장비중, Cesare_죽음</t>
  </si>
  <si>
    <t xml:space="preserve">정부 형태</t>
  </si>
  <si>
    <r>
      <rPr>
        <sz val="10"/>
        <rFont val="Noto Sans CJK SC"/>
        <family val="2"/>
        <charset val="1"/>
      </rPr>
      <t xml:space="preserve">CC </t>
    </r>
    <r>
      <rPr>
        <sz val="10"/>
        <rFont val="WenQuanYi Zen Hei"/>
        <family val="2"/>
      </rPr>
      <t xml:space="preserve">주도 연립</t>
    </r>
    <r>
      <rPr>
        <sz val="10"/>
        <rFont val="Noto Sans CJK SC"/>
        <family val="2"/>
        <charset val="1"/>
      </rPr>
      <t xml:space="preserve">(PPS·TA) + TB </t>
    </r>
    <r>
      <rPr>
        <sz val="10"/>
        <rFont val="WenQuanYi Zen Hei"/>
        <family val="2"/>
      </rPr>
      <t xml:space="preserve">사안별 지지 </t>
    </r>
    <r>
      <rPr>
        <sz val="10"/>
        <rFont val="Noto Sans CJK SC"/>
        <family val="2"/>
        <charset val="1"/>
      </rPr>
      <t xml:space="preserve">(</t>
    </r>
    <r>
      <rPr>
        <sz val="10"/>
        <rFont val="WenQuanYi Zen Hei"/>
        <family val="2"/>
      </rPr>
      <t xml:space="preserve">현재 설정</t>
    </r>
    <r>
      <rPr>
        <sz val="10"/>
        <rFont val="Noto Sans CJK SC"/>
        <family val="2"/>
        <charset val="1"/>
      </rPr>
      <t xml:space="preserve">)</t>
    </r>
  </si>
  <si>
    <r>
      <rPr>
        <sz val="10"/>
        <rFont val="Noto Sans CJK SC"/>
        <family val="2"/>
        <charset val="1"/>
      </rPr>
      <t xml:space="preserve">PPS </t>
    </r>
    <r>
      <rPr>
        <sz val="10"/>
        <rFont val="WenQuanYi Zen Hei"/>
        <family val="2"/>
      </rPr>
      <t xml:space="preserve">장관 포함 여부와 연정 협약 문서의 대사화 결정</t>
    </r>
  </si>
  <si>
    <t xml:space="preserve">겸직 규정 확인</t>
  </si>
  <si>
    <r>
      <rPr>
        <sz val="10"/>
        <rFont val="Noto Sans CJK SC"/>
        <family val="2"/>
        <charset val="1"/>
      </rPr>
      <t xml:space="preserve">Alessandro</t>
    </r>
    <r>
      <rPr>
        <sz val="10"/>
        <rFont val="WenQuanYi Zen Hei"/>
        <family val="2"/>
      </rPr>
      <t xml:space="preserve">는 시의원</t>
    </r>
    <r>
      <rPr>
        <sz val="10"/>
        <rFont val="Noto Sans CJK SC"/>
        <family val="2"/>
        <charset val="1"/>
      </rPr>
      <t xml:space="preserve">, Giulia</t>
    </r>
    <r>
      <rPr>
        <sz val="10"/>
        <rFont val="WenQuanYi Zen Hei"/>
        <family val="2"/>
      </rPr>
      <t xml:space="preserve">는 주의원으로 직책을 분리하고 </t>
    </r>
    <r>
      <rPr>
        <sz val="10"/>
        <rFont val="Noto Sans CJK SC"/>
        <family val="2"/>
        <charset val="1"/>
      </rPr>
      <t xml:space="preserve">Marco</t>
    </r>
    <r>
      <rPr>
        <sz val="10"/>
        <rFont val="WenQuanYi Zen Hei"/>
        <family val="2"/>
      </rPr>
      <t xml:space="preserve">만 하원에 출마시키는 설정</t>
    </r>
    <r>
      <rPr>
        <sz val="10"/>
        <rFont val="Noto Sans CJK SC"/>
        <family val="2"/>
        <charset val="1"/>
      </rPr>
      <t xml:space="preserve">. </t>
    </r>
    <r>
      <rPr>
        <sz val="10"/>
        <rFont val="WenQuanYi Zen Hei"/>
        <family val="2"/>
      </rPr>
      <t xml:space="preserve">이후 장관 임명 시 지방 의원직 처리</t>
    </r>
    <r>
      <rPr>
        <sz val="10"/>
        <rFont val="Noto Sans CJK SC"/>
        <family val="2"/>
        <charset val="1"/>
      </rPr>
      <t xml:space="preserve">.</t>
    </r>
  </si>
  <si>
    <t xml:space="preserve">지방 의원과 국회의원·장관의 겸직 불가 규정을 확인한 뒤 사퇴 장면을 넣을지 결정</t>
  </si>
  <si>
    <t xml:space="preserve">의석 수(70·130 등)와 상원 1표 차 설정은 교육용 가상 수치.</t>
  </si>
  <si>
    <t xml:space="preserve">드라마 효과에 맞춰 조정 가능 (정치경로_의석의 파란 셀)</t>
  </si>
  <si>
    <t xml:space="preserve">대통령 표현 방침</t>
  </si>
  <si>
    <t xml:space="preserve">대통령은 직접 대사 없이 공식 발표문·인물 대사로 절차 전달.</t>
  </si>
  <si>
    <t xml:space="preserve">확정 필요</t>
  </si>
  <si>
    <t xml:space="preserve">법안 형태·협의체 세부</t>
  </si>
  <si>
    <r>
      <rPr>
        <sz val="10"/>
        <rFont val="Noto Sans CJK SC"/>
        <family val="2"/>
        <charset val="1"/>
      </rPr>
      <t xml:space="preserve">11</t>
    </r>
    <r>
      <rPr>
        <sz val="10"/>
        <rFont val="WenQuanYi Zen Hei"/>
        <family val="2"/>
      </rPr>
      <t xml:space="preserve">부의 법안 형태</t>
    </r>
    <r>
      <rPr>
        <sz val="10"/>
        <rFont val="Noto Sans CJK SC"/>
        <family val="2"/>
        <charset val="1"/>
      </rPr>
      <t xml:space="preserve">(</t>
    </r>
    <r>
      <rPr>
        <sz val="10"/>
        <rFont val="WenQuanYi Zen Hei"/>
        <family val="2"/>
      </rPr>
      <t xml:space="preserve">주거법</t>
    </r>
    <r>
      <rPr>
        <sz val="10"/>
        <rFont val="Noto Sans CJK SC"/>
        <family val="2"/>
        <charset val="1"/>
      </rPr>
      <t xml:space="preserve">: </t>
    </r>
    <r>
      <rPr>
        <sz val="10"/>
        <rFont val="WenQuanYi Zen Hei"/>
        <family val="2"/>
      </rPr>
      <t xml:space="preserve">법률 </t>
    </r>
    <r>
      <rPr>
        <sz val="10"/>
        <rFont val="Noto Sans CJK SC"/>
        <family val="2"/>
        <charset val="1"/>
      </rPr>
      <t xml:space="preserve">vs decreto-legge), </t>
    </r>
    <r>
      <rPr>
        <sz val="10"/>
        <rFont val="WenQuanYi Zen Hei"/>
        <family val="2"/>
      </rPr>
      <t xml:space="preserve">국가–주 협의회 세부</t>
    </r>
    <r>
      <rPr>
        <sz val="10"/>
        <rFont val="Noto Sans CJK SC"/>
        <family val="2"/>
        <charset val="1"/>
      </rPr>
      <t xml:space="preserve">.</t>
    </r>
  </si>
  <si>
    <r>
      <rPr>
        <sz val="10"/>
        <rFont val="Noto Sans CJK SC"/>
        <family val="2"/>
        <charset val="1"/>
      </rPr>
      <t xml:space="preserve">Normattiva·</t>
    </r>
    <r>
      <rPr>
        <sz val="10"/>
        <rFont val="WenQuanYi Zen Hei"/>
        <family val="2"/>
      </rPr>
      <t xml:space="preserve">의회 자료로 확인 후 집필</t>
    </r>
  </si>
  <si>
    <t xml:space="preserve">등장비중 재조정</t>
  </si>
  <si>
    <t xml:space="preserve">화별 목차의 카메오·교차 출연과 등장비중 표 사이에 미세한 차이가 있다(특히 Machiavelli 신규 배치).</t>
  </si>
  <si>
    <t xml:space="preserve">화별 대본 집필 전에 표를 화별 목차 기준으로 재집계</t>
  </si>
  <si>
    <t xml:space="preserve">등장비중, 화별목차_전체</t>
  </si>
  <si>
    <t xml:space="preserve">가상 인물 목록</t>
  </si>
  <si>
    <r>
      <rPr>
        <sz val="10"/>
        <rFont val="Noto Sans CJK SC"/>
        <family val="2"/>
        <charset val="1"/>
      </rPr>
      <t xml:space="preserve">Santoro(GM </t>
    </r>
    <r>
      <rPr>
        <sz val="10"/>
        <rFont val="WenQuanYi Zen Hei"/>
        <family val="2"/>
      </rPr>
      <t xml:space="preserve">회장</t>
    </r>
    <r>
      <rPr>
        <sz val="10"/>
        <rFont val="Noto Sans CJK SC"/>
        <family val="2"/>
        <charset val="1"/>
      </rPr>
      <t xml:space="preserve">), Colombo·Bassi(</t>
    </r>
    <r>
      <rPr>
        <sz val="10"/>
        <rFont val="WenQuanYi Zen Hei"/>
        <family val="2"/>
      </rPr>
      <t xml:space="preserve">파트너</t>
    </r>
    <r>
      <rPr>
        <sz val="10"/>
        <rFont val="Noto Sans CJK SC"/>
        <family val="2"/>
        <charset val="1"/>
      </rPr>
      <t xml:space="preserve">), Assunta·Marina, Loredana(</t>
    </r>
    <r>
      <rPr>
        <sz val="10"/>
        <rFont val="WenQuanYi Zen Hei"/>
        <family val="2"/>
      </rPr>
      <t xml:space="preserve">간호사</t>
    </r>
    <r>
      <rPr>
        <sz val="10"/>
        <rFont val="Noto Sans CJK SC"/>
        <family val="2"/>
        <charset val="1"/>
      </rPr>
      <t xml:space="preserve">), Ruggeri(</t>
    </r>
    <r>
      <rPr>
        <sz val="10"/>
        <rFont val="WenQuanYi Zen Hei"/>
        <family val="2"/>
      </rPr>
      <t xml:space="preserve">공방</t>
    </r>
    <r>
      <rPr>
        <sz val="10"/>
        <rFont val="Noto Sans CJK SC"/>
        <family val="2"/>
        <charset val="1"/>
      </rPr>
      <t xml:space="preserve">), Luca(</t>
    </r>
    <r>
      <rPr>
        <sz val="10"/>
        <rFont val="WenQuanYi Zen Hei"/>
        <family val="2"/>
      </rPr>
      <t xml:space="preserve">새 인턴</t>
    </r>
    <r>
      <rPr>
        <sz val="10"/>
        <rFont val="Noto Sans CJK SC"/>
        <family val="2"/>
        <charset val="1"/>
      </rPr>
      <t xml:space="preserve">), Fatima·Karim, Davide, Iolanda, Amina·Noa </t>
    </r>
    <r>
      <rPr>
        <sz val="10"/>
        <rFont val="WenQuanYi Zen Hei"/>
        <family val="2"/>
      </rPr>
      <t xml:space="preserve">등</t>
    </r>
    <r>
      <rPr>
        <sz val="10"/>
        <rFont val="Noto Sans CJK SC"/>
        <family val="2"/>
        <charset val="1"/>
      </rPr>
      <t xml:space="preserve">.</t>
    </r>
  </si>
  <si>
    <t xml:space="preserve">이름·나이·말투를 캐릭터 바이블 부록으로 확정</t>
  </si>
  <si>
    <r>
      <rPr>
        <sz val="10"/>
        <rFont val="Noto Sans CJK SC"/>
        <family val="2"/>
        <charset val="1"/>
      </rPr>
      <t xml:space="preserve">Gruppo Meridiano</t>
    </r>
    <r>
      <rPr>
        <sz val="10"/>
        <rFont val="WenQuanYi Zen Hei"/>
        <family val="2"/>
      </rPr>
      <t xml:space="preserve">의 결말</t>
    </r>
  </si>
  <si>
    <r>
      <rPr>
        <sz val="10"/>
        <rFont val="Noto Sans CJK SC"/>
        <family val="2"/>
        <charset val="1"/>
      </rPr>
      <t xml:space="preserve">12</t>
    </r>
    <r>
      <rPr>
        <sz val="10"/>
        <rFont val="WenQuanYi Zen Hei"/>
        <family val="2"/>
      </rPr>
      <t xml:space="preserve">부 </t>
    </r>
    <r>
      <rPr>
        <sz val="10"/>
        <rFont val="Noto Sans CJK SC"/>
        <family val="2"/>
        <charset val="1"/>
      </rPr>
      <t xml:space="preserve">7</t>
    </r>
    <r>
      <rPr>
        <sz val="10"/>
        <rFont val="WenQuanYi Zen Hei"/>
        <family val="2"/>
      </rPr>
      <t xml:space="preserve">화 즈음 재판 시작만 언급하고 판결은 열어 두는 안</t>
    </r>
    <r>
      <rPr>
        <sz val="10"/>
        <rFont val="Noto Sans CJK SC"/>
        <family val="2"/>
        <charset val="1"/>
      </rPr>
      <t xml:space="preserve">.</t>
    </r>
  </si>
  <si>
    <t xml:space="preserve">판결 여부를 정할지(열린 결말 vs 유죄/무죄)</t>
  </si>
  <si>
    <r>
      <rPr>
        <sz val="10"/>
        <rFont val="Noto Sans CJK SC"/>
        <family val="2"/>
        <charset val="1"/>
      </rPr>
      <t xml:space="preserve">7</t>
    </r>
    <r>
      <rPr>
        <sz val="10"/>
        <rFont val="WenQuanYi Zen Hei"/>
        <family val="2"/>
      </rPr>
      <t xml:space="preserve">부 </t>
    </r>
    <r>
      <rPr>
        <sz val="10"/>
        <rFont val="Noto Sans CJK SC"/>
        <family val="2"/>
        <charset val="1"/>
      </rPr>
      <t xml:space="preserve">3</t>
    </r>
    <r>
      <rPr>
        <sz val="10"/>
        <rFont val="WenQuanYi Zen Hei"/>
        <family val="2"/>
      </rPr>
      <t xml:space="preserve">화의 톤</t>
    </r>
  </si>
  <si>
    <t xml:space="preserve">성폭력 사건 화는 피해자 중심으로, '동의' 명문화와 절차 개혁 양측 논거를 함께 담아야 한다.</t>
  </si>
  <si>
    <t xml:space="preserve">집필 전 톤 가이드 별도 확정</t>
  </si>
  <si>
    <r>
      <rPr>
        <sz val="10"/>
        <rFont val="Noto Sans CJK SC"/>
        <family val="2"/>
        <charset val="1"/>
      </rPr>
      <t xml:space="preserve">1</t>
    </r>
    <r>
      <rPr>
        <sz val="10"/>
        <rFont val="WenQuanYi Zen Hei"/>
        <family val="2"/>
      </rPr>
      <t xml:space="preserve">부 대본 현지화</t>
    </r>
  </si>
  <si>
    <t xml:space="preserve">스페인판 1부 12화 대본이 완성되어 있다.</t>
  </si>
  <si>
    <t xml:space="preserve">대본을 이 워크북의 인물·지명·제도 대응표에 맞춰 이탈리아어로 다시 쓴다 (직역 금지, 1부 B1 기준 재집필)</t>
  </si>
  <si>
    <t xml:space="preserve">차등 자치 수위</t>
  </si>
  <si>
    <r>
      <rPr>
        <sz val="10"/>
        <rFont val="Noto Sans CJK SC"/>
        <family val="2"/>
        <charset val="1"/>
      </rPr>
      <t xml:space="preserve">P2</t>
    </r>
    <r>
      <rPr>
        <sz val="10"/>
        <rFont val="WenQuanYi Zen Hei"/>
        <family val="2"/>
      </rPr>
      <t xml:space="preserve">는 가장 민감한 현안</t>
    </r>
    <r>
      <rPr>
        <sz val="10"/>
        <rFont val="Noto Sans CJK SC"/>
        <family val="2"/>
        <charset val="1"/>
      </rPr>
      <t xml:space="preserve">. </t>
    </r>
    <r>
      <rPr>
        <sz val="10"/>
        <rFont val="WenQuanYi Zen Hei"/>
        <family val="2"/>
      </rPr>
      <t xml:space="preserve">남북 어느 쪽도 악역이 되지 않게</t>
    </r>
    <r>
      <rPr>
        <sz val="10"/>
        <rFont val="Noto Sans CJK SC"/>
        <family val="2"/>
        <charset val="1"/>
      </rPr>
      <t xml:space="preserve">.</t>
    </r>
  </si>
  <si>
    <r>
      <rPr>
        <sz val="10"/>
        <rFont val="Noto Sans CJK SC"/>
        <family val="2"/>
        <charset val="1"/>
      </rPr>
      <t xml:space="preserve">Garibaldi</t>
    </r>
    <r>
      <rPr>
        <sz val="10"/>
        <rFont val="WenQuanYi Zen Hei"/>
        <family val="2"/>
      </rPr>
      <t xml:space="preserve">의 대사를 </t>
    </r>
    <r>
      <rPr>
        <sz val="10"/>
        <rFont val="Noto Sans CJK SC"/>
        <family val="2"/>
        <charset val="1"/>
      </rPr>
      <t xml:space="preserve">'</t>
    </r>
    <r>
      <rPr>
        <sz val="10"/>
        <rFont val="WenQuanYi Zen Hei"/>
        <family val="2"/>
      </rPr>
      <t xml:space="preserve">통일의 가치</t>
    </r>
    <r>
      <rPr>
        <sz val="10"/>
        <rFont val="Noto Sans CJK SC"/>
        <family val="2"/>
        <charset val="1"/>
      </rPr>
      <t xml:space="preserve">'</t>
    </r>
    <r>
      <rPr>
        <sz val="10"/>
        <rFont val="WenQuanYi Zen Hei"/>
        <family val="2"/>
      </rPr>
      <t xml:space="preserve">로만 두고 결론은 열어 둔다</t>
    </r>
  </si>
  <si>
    <r>
      <rPr>
        <sz val="10"/>
        <rFont val="Noto Sans CJK SC"/>
        <family val="2"/>
        <charset val="1"/>
      </rPr>
      <t xml:space="preserve">11~12</t>
    </r>
    <r>
      <rPr>
        <sz val="10"/>
        <rFont val="WenQuanYi Zen Hei"/>
        <family val="2"/>
      </rPr>
      <t xml:space="preserve">부 대본</t>
    </r>
  </si>
  <si>
    <r>
      <rPr>
        <sz val="10"/>
        <rFont val="Noto Sans CJK SC"/>
        <family val="2"/>
        <charset val="1"/>
      </rPr>
      <t xml:space="preserve">11</t>
    </r>
    <r>
      <rPr>
        <sz val="10"/>
        <rFont val="WenQuanYi Zen Hei"/>
        <family val="2"/>
      </rPr>
      <t xml:space="preserve">부 후반</t>
    </r>
    <r>
      <rPr>
        <sz val="10"/>
        <rFont val="Noto Sans CJK SC"/>
        <family val="2"/>
        <charset val="1"/>
      </rPr>
      <t xml:space="preserve">(9~12</t>
    </r>
    <r>
      <rPr>
        <sz val="10"/>
        <rFont val="WenQuanYi Zen Hei"/>
        <family val="2"/>
      </rPr>
      <t xml:space="preserve">화</t>
    </r>
    <r>
      <rPr>
        <sz val="10"/>
        <rFont val="Noto Sans CJK SC"/>
        <family val="2"/>
        <charset val="1"/>
      </rPr>
      <t xml:space="preserve">)·12</t>
    </r>
    <r>
      <rPr>
        <sz val="10"/>
        <rFont val="WenQuanYi Zen Hei"/>
        <family val="2"/>
      </rPr>
      <t xml:space="preserve">부 모두 화별 목차만 있고 실제 대본은 미작성</t>
    </r>
    <r>
      <rPr>
        <sz val="10"/>
        <rFont val="Noto Sans CJK SC"/>
        <family val="2"/>
        <charset val="1"/>
      </rPr>
      <t xml:space="preserve">.</t>
    </r>
  </si>
  <si>
    <t xml:space="preserve">극적 중요도가 높아 우선 집필을 검토</t>
  </si>
  <si>
    <t xml:space="preserve">가상 외교 인사</t>
  </si>
  <si>
    <t xml:space="preserve">브뤼셀 협상의 NATO·EU 상대역(가상)의 이름·직급 미정.</t>
  </si>
  <si>
    <t xml:space="preserve">실명 조직(NATO, 유럽집행위원회)은 실제 기구명을 쓰되, 개인 인사는 전부 가상으로</t>
  </si>
  <si>
    <t xml:space="preserve">화별목차_전체 11부 9~10화</t>
  </si>
  <si>
    <t xml:space="preserve">로마 사투리 비율</t>
  </si>
  <si>
    <r>
      <rPr>
        <sz val="10"/>
        <rFont val="Noto Sans CJK SC"/>
        <family val="2"/>
        <charset val="1"/>
      </rPr>
      <t xml:space="preserve">Rosa·Paolo</t>
    </r>
    <r>
      <rPr>
        <sz val="10"/>
        <rFont val="WenQuanYi Zen Hei"/>
        <family val="2"/>
      </rPr>
      <t xml:space="preserve">의 </t>
    </r>
    <r>
      <rPr>
        <sz val="10"/>
        <rFont val="Noto Sans CJK SC"/>
        <family val="2"/>
        <charset val="1"/>
      </rPr>
      <t xml:space="preserve">romanesco</t>
    </r>
    <r>
      <rPr>
        <sz val="10"/>
        <rFont val="WenQuanYi Zen Hei"/>
        <family val="2"/>
      </rPr>
      <t xml:space="preserve">를 어느 정도 쓸지</t>
    </r>
    <r>
      <rPr>
        <sz val="10"/>
        <rFont val="Noto Sans CJK SC"/>
        <family val="2"/>
        <charset val="1"/>
      </rPr>
      <t xml:space="preserve">.</t>
    </r>
  </si>
  <si>
    <r>
      <rPr>
        <sz val="10"/>
        <rFont val="Noto Sans CJK SC"/>
        <family val="2"/>
        <charset val="1"/>
      </rPr>
      <t xml:space="preserve">B1 </t>
    </r>
    <r>
      <rPr>
        <sz val="10"/>
        <rFont val="WenQuanYi Zen Hei"/>
        <family val="2"/>
      </rPr>
      <t xml:space="preserve">부</t>
    </r>
    <r>
      <rPr>
        <sz val="10"/>
        <rFont val="Noto Sans CJK SC"/>
        <family val="2"/>
        <charset val="1"/>
      </rPr>
      <t xml:space="preserve">(1·13</t>
    </r>
    <r>
      <rPr>
        <sz val="10"/>
        <rFont val="WenQuanYi Zen Hei"/>
        <family val="2"/>
      </rPr>
      <t xml:space="preserve">부</t>
    </r>
    <r>
      <rPr>
        <sz val="10"/>
        <rFont val="Noto Sans CJK SC"/>
        <family val="2"/>
        <charset val="1"/>
      </rPr>
      <t xml:space="preserve">)</t>
    </r>
    <r>
      <rPr>
        <sz val="10"/>
        <rFont val="WenQuanYi Zen Hei"/>
        <family val="2"/>
      </rPr>
      <t xml:space="preserve">는 화당 </t>
    </r>
    <r>
      <rPr>
        <sz val="10"/>
        <rFont val="Noto Sans CJK SC"/>
        <family val="2"/>
        <charset val="1"/>
      </rPr>
      <t xml:space="preserve">1~2</t>
    </r>
    <r>
      <rPr>
        <sz val="10"/>
        <rFont val="WenQuanYi Zen Hei"/>
        <family val="2"/>
      </rPr>
      <t xml:space="preserve">마디</t>
    </r>
    <r>
      <rPr>
        <sz val="10"/>
        <rFont val="Noto Sans CJK SC"/>
        <family val="2"/>
        <charset val="1"/>
      </rPr>
      <t xml:space="preserve">, </t>
    </r>
    <r>
      <rPr>
        <sz val="10"/>
        <rFont val="WenQuanYi Zen Hei"/>
        <family val="2"/>
      </rPr>
      <t xml:space="preserve">표준어 병기</t>
    </r>
  </si>
</sst>
</file>

<file path=xl/styles.xml><?xml version="1.0" encoding="utf-8"?>
<styleSheet xmlns="http://schemas.openxmlformats.org/spreadsheetml/2006/main">
  <numFmts count="6">
    <numFmt numFmtId="164" formatCode="General"/>
    <numFmt numFmtId="165" formatCode="General"/>
    <numFmt numFmtId="166" formatCode="0.0%"/>
    <numFmt numFmtId="167" formatCode="0%"/>
    <numFmt numFmtId="168" formatCode="#,##0"/>
    <numFmt numFmtId="169" formatCode="0.0"/>
  </numFmts>
  <fonts count="2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WenQuanYi Zen Hei"/>
      <family val="2"/>
    </font>
    <font>
      <i val="true"/>
      <sz val="9"/>
      <color rgb="FF595959"/>
      <name val="Arial"/>
      <family val="0"/>
      <charset val="1"/>
    </font>
    <font>
      <i val="true"/>
      <sz val="9"/>
      <color rgb="FF595959"/>
      <name val="WenQuanYi Zen Hei"/>
      <family val="2"/>
    </font>
    <font>
      <b val="true"/>
      <sz val="10"/>
      <name val="WenQuanYi Zen Hei"/>
      <family val="2"/>
      <charset val="1"/>
    </font>
    <font>
      <sz val="10"/>
      <color rgb="FF0000FF"/>
      <name val="Arial"/>
      <family val="0"/>
      <charset val="1"/>
    </font>
    <font>
      <sz val="10"/>
      <name val="Arial"/>
      <family val="0"/>
      <charset val="1"/>
    </font>
    <font>
      <sz val="10"/>
      <name val="WenQuanYi Zen Hei"/>
      <family val="2"/>
    </font>
    <font>
      <sz val="10"/>
      <name val="WenQuanYi Zen Hei"/>
      <family val="2"/>
      <charset val="1"/>
    </font>
    <font>
      <b val="true"/>
      <sz val="10"/>
      <name val="Arial"/>
      <family val="0"/>
      <charset val="1"/>
    </font>
    <font>
      <b val="true"/>
      <sz val="10"/>
      <name val="WenQuanYi Zen Hei"/>
      <family val="2"/>
    </font>
    <font>
      <u val="single"/>
      <sz val="10"/>
      <color rgb="FF0563C1"/>
      <name val="WenQuanYi Zen Hei"/>
      <family val="2"/>
      <charset val="1"/>
    </font>
    <font>
      <u val="single"/>
      <sz val="10"/>
      <color rgb="FF0563C1"/>
      <name val="Arial"/>
      <family val="0"/>
      <charset val="1"/>
    </font>
    <font>
      <sz val="10"/>
      <color rgb="FF0000FF"/>
      <name val="WenQuanYi Zen Hei"/>
      <family val="2"/>
      <charset val="1"/>
    </font>
    <font>
      <i val="true"/>
      <sz val="9"/>
      <color rgb="FF595959"/>
      <name val="WenQuanYi Zen Hei"/>
      <family val="2"/>
      <charset val="1"/>
    </font>
    <font>
      <b val="true"/>
      <sz val="14"/>
      <color rgb="FF1F3864"/>
      <name val="WenQuanYi Zen Hei"/>
      <family val="2"/>
      <charset val="1"/>
    </font>
    <font>
      <b val="true"/>
      <sz val="10"/>
      <color rgb="FFFFFFFF"/>
      <name val="Arial"/>
      <family val="0"/>
      <charset val="1"/>
    </font>
    <font>
      <b val="true"/>
      <sz val="10"/>
      <color rgb="FFFFFFFF"/>
      <name val="WenQuanYi Zen Hei"/>
      <family val="2"/>
      <charset val="1"/>
    </font>
    <font>
      <b val="true"/>
      <sz val="10"/>
      <color rgb="FFFFFFFF"/>
      <name val="WenQuanYi Zen Hei"/>
      <family val="2"/>
    </font>
    <font>
      <sz val="10"/>
      <name val="Noto Sans CJK SC"/>
      <family val="2"/>
      <charset val="1"/>
    </font>
    <font>
      <sz val="11"/>
      <color theme="1"/>
      <name val="WenQuanYi Zen Hei"/>
      <family val="2"/>
      <charset val="1"/>
    </font>
    <font>
      <sz val="11"/>
      <color theme="1"/>
      <name val="WenQuanYi Zen Hei"/>
      <family val="2"/>
    </font>
    <font>
      <b val="true"/>
      <sz val="10"/>
      <name val="Noto Sans CJK SC"/>
      <family val="2"/>
      <charset val="1"/>
    </font>
  </fonts>
  <fills count="6">
    <fill>
      <patternFill patternType="none"/>
    </fill>
    <fill>
      <patternFill patternType="gray125"/>
    </fill>
    <fill>
      <patternFill patternType="solid">
        <fgColor rgb="FFD9E2F3"/>
        <bgColor rgb="FFDDEBF7"/>
      </patternFill>
    </fill>
    <fill>
      <patternFill patternType="solid">
        <fgColor rgb="FFFFFF00"/>
        <bgColor rgb="FFFFFF00"/>
      </patternFill>
    </fill>
    <fill>
      <patternFill patternType="solid">
        <fgColor rgb="FF1F3864"/>
        <bgColor rgb="FF333333"/>
      </patternFill>
    </fill>
    <fill>
      <patternFill patternType="solid">
        <fgColor rgb="FFF2F2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4" fontId="26" fillId="5" borderId="1" xfId="0" applyFont="true" applyBorder="true" applyAlignment="tru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bottom" textRotation="0" wrapText="false" indent="0" shrinkToFit="false"/>
      <protection locked="true" hidden="false"/>
    </xf>
    <xf numFmtId="165" fontId="13" fillId="5" borderId="1" xfId="0" applyFont="true" applyBorder="true" applyAlignment="true" applyProtection="false">
      <alignment horizontal="center" vertical="bottom" textRotation="0" wrapText="false" indent="0" shrinkToFit="false"/>
      <protection locked="true" hidden="false"/>
    </xf>
    <xf numFmtId="165" fontId="0" fillId="5" borderId="1" xfId="0" applyFont="false" applyBorder="true" applyAlignment="true" applyProtection="false">
      <alignment horizontal="center" vertical="bottom" textRotation="0" wrapText="false" indent="0" shrinkToFit="false"/>
      <protection locked="true" hidden="false"/>
    </xf>
    <xf numFmtId="167" fontId="9" fillId="3"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7" fontId="10" fillId="5"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8" fontId="13" fillId="5" borderId="1" xfId="0" applyFont="true" applyBorder="true" applyAlignment="true" applyProtection="false">
      <alignment horizontal="center" vertical="center" textRotation="0" wrapText="false" indent="0" shrinkToFit="false"/>
      <protection locked="true" hidden="false"/>
    </xf>
    <xf numFmtId="169" fontId="13" fillId="5"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20" fillId="4" borderId="1" xfId="0" applyFont="true" applyBorder="true" applyAlignment="true" applyProtection="false">
      <alignment horizontal="center" vertical="center" textRotation="0" wrapText="false" indent="0" shrinkToFit="false"/>
      <protection locked="true" hidden="false"/>
    </xf>
    <xf numFmtId="164" fontId="20" fillId="4"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23" fillId="0" borderId="1" xfId="0" applyFont="true" applyBorder="true" applyAlignment="true" applyProtection="false">
      <alignment horizontal="left" vertical="center" textRotation="0" wrapText="false" indent="0" shrinkToFit="false"/>
      <protection locked="true" hidden="false"/>
    </xf>
    <xf numFmtId="164" fontId="0" fillId="5" borderId="1" xfId="0" applyFont="fals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5" fontId="10"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bgColor rgb="FF9DC3E6"/>
        </patternFill>
      </fill>
    </dxf>
    <dxf>
      <fill>
        <patternFill>
          <bgColor rgb="FFDDEBF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2F2F2"/>
      <rgbColor rgb="FFDDEB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BF8F00"/>
      <rgbColor rgb="FFC55A11"/>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24"/>
    <col collapsed="false" customWidth="true" hidden="false" outlineLevel="0" max="4" min="4" style="1" width="78"/>
  </cols>
  <sheetData>
    <row r="1" customFormat="false" ht="24"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B4" s="4" t="s">
        <v>2</v>
      </c>
      <c r="C4" s="5"/>
      <c r="D4" s="5"/>
    </row>
    <row r="5" customFormat="false" ht="42" hidden="false" customHeight="true" outlineLevel="0" collapsed="false">
      <c r="B5" s="6" t="s">
        <v>3</v>
      </c>
      <c r="C5" s="7" t="n">
        <v>13</v>
      </c>
      <c r="D5" s="8" t="s">
        <v>4</v>
      </c>
    </row>
    <row r="6" customFormat="false" ht="16.5" hidden="false" customHeight="true" outlineLevel="0" collapsed="false">
      <c r="B6" s="6" t="s">
        <v>5</v>
      </c>
      <c r="C6" s="7" t="n">
        <v>12</v>
      </c>
      <c r="D6" s="9" t="s">
        <v>6</v>
      </c>
    </row>
    <row r="7" customFormat="false" ht="16.5" hidden="false" customHeight="true" outlineLevel="0" collapsed="false">
      <c r="B7" s="6" t="s">
        <v>7</v>
      </c>
      <c r="C7" s="10" t="n">
        <f aca="false">C5*C6</f>
        <v>156</v>
      </c>
      <c r="D7" s="9" t="s">
        <v>8</v>
      </c>
    </row>
    <row r="8" customFormat="false" ht="16.5" hidden="false" customHeight="true" outlineLevel="0" collapsed="false">
      <c r="B8" s="6" t="s">
        <v>9</v>
      </c>
      <c r="C8" s="10" t="n">
        <f aca="false">COUNTA(캐릭터!$D$5:$D$19)</f>
        <v>15</v>
      </c>
      <c r="D8" s="9" t="s">
        <v>10</v>
      </c>
    </row>
    <row r="9" customFormat="false" ht="16.5" hidden="false" customHeight="true" outlineLevel="0" collapsed="false">
      <c r="B9" s="6" t="s">
        <v>11</v>
      </c>
      <c r="C9" s="10" t="n">
        <f aca="false">COUNTIF(캐릭터!$G$5:$G$19,"남")</f>
        <v>10</v>
      </c>
      <c r="D9" s="9" t="s">
        <v>12</v>
      </c>
    </row>
    <row r="10" customFormat="false" ht="16.5" hidden="false" customHeight="true" outlineLevel="0" collapsed="false">
      <c r="B10" s="6" t="s">
        <v>13</v>
      </c>
      <c r="C10" s="10" t="n">
        <f aca="false">COUNTIF(캐릭터!$G$5:$G$19,"여")</f>
        <v>5</v>
      </c>
      <c r="D10" s="8"/>
    </row>
    <row r="11" customFormat="false" ht="29.25" hidden="false" customHeight="true" outlineLevel="0" collapsed="false">
      <c r="B11" s="11" t="s">
        <v>14</v>
      </c>
      <c r="C11" s="12" t="n">
        <v>6</v>
      </c>
      <c r="D11" s="9" t="s">
        <v>15</v>
      </c>
    </row>
    <row r="12" customFormat="false" ht="16.5" hidden="false" customHeight="true" outlineLevel="0" collapsed="false">
      <c r="B12" s="6" t="s">
        <v>16</v>
      </c>
      <c r="C12" s="9" t="s">
        <v>17</v>
      </c>
      <c r="D12" s="9" t="s">
        <v>18</v>
      </c>
    </row>
    <row r="13" customFormat="false" ht="29.25" hidden="false" customHeight="true" outlineLevel="0" collapsed="false">
      <c r="B13" s="6" t="s">
        <v>19</v>
      </c>
      <c r="C13" s="9" t="s">
        <v>20</v>
      </c>
      <c r="D13" s="8" t="str">
        <f aca="false">"지문(narrazione) 없음. 화당 "&amp;턴_설계!$B$5&amp;"턴 × "&amp;C7&amp;"화 = "&amp;TEXT(C7*턴_설계!$B$5,"#,##0")&amp;"턴. 상세는 '대화문규칙'·'턴_설계' 시트."</f>
        <v>지문(narrazione) 없음. 화당 120턴 × 156화 = 18,720턴. 상세는 '대화문규칙'·'턴_설계' 시트.</v>
      </c>
    </row>
    <row r="15" customFormat="false" ht="15" hidden="false" customHeight="true" outlineLevel="0" collapsed="false">
      <c r="B15" s="4" t="s">
        <v>21</v>
      </c>
      <c r="C15" s="5"/>
      <c r="D15" s="5"/>
    </row>
    <row r="16" customFormat="false" ht="16.5" hidden="false" customHeight="true" outlineLevel="0" collapsed="false">
      <c r="B16" s="13" t="s">
        <v>22</v>
      </c>
      <c r="C16" s="10" t="n">
        <f aca="false">COUNTIF(캐릭터!$B$5:$B$19,B16)</f>
        <v>4</v>
      </c>
      <c r="D16" s="8" t="s">
        <v>23</v>
      </c>
    </row>
    <row r="17" customFormat="false" ht="29.25" hidden="false" customHeight="true" outlineLevel="0" collapsed="false">
      <c r="B17" s="13" t="s">
        <v>24</v>
      </c>
      <c r="C17" s="10" t="n">
        <f aca="false">COUNTIF(캐릭터!$B$5:$B$19,B17)</f>
        <v>7</v>
      </c>
      <c r="D17" s="8" t="s">
        <v>25</v>
      </c>
    </row>
    <row r="18" customFormat="false" ht="16.5" hidden="false" customHeight="true" outlineLevel="0" collapsed="false">
      <c r="B18" s="13" t="s">
        <v>26</v>
      </c>
      <c r="C18" s="10" t="n">
        <f aca="false">COUNTIF(캐릭터!$B$5:$B$19,B18)</f>
        <v>3</v>
      </c>
      <c r="D18" s="8" t="s">
        <v>27</v>
      </c>
    </row>
    <row r="19" customFormat="false" ht="16.5" hidden="false" customHeight="true" outlineLevel="0" collapsed="false">
      <c r="B19" s="13" t="s">
        <v>28</v>
      </c>
      <c r="C19" s="10" t="n">
        <f aca="false">COUNTIF(캐릭터!$B$5:$B$19,B19)</f>
        <v>1</v>
      </c>
      <c r="D19" s="8" t="s">
        <v>29</v>
      </c>
    </row>
    <row r="22" customFormat="false" ht="15" hidden="false" customHeight="true" outlineLevel="0" collapsed="false">
      <c r="B22" s="4" t="s">
        <v>30</v>
      </c>
      <c r="C22" s="5"/>
      <c r="D22" s="5"/>
    </row>
    <row r="23" customFormat="false" ht="15" hidden="false" customHeight="true" outlineLevel="0" collapsed="false">
      <c r="B23" s="14" t="s">
        <v>31</v>
      </c>
      <c r="C23" s="15" t="s">
        <v>32</v>
      </c>
      <c r="D23" s="8" t="s">
        <v>33</v>
      </c>
    </row>
    <row r="24" customFormat="false" ht="15" hidden="false" customHeight="true" outlineLevel="0" collapsed="false">
      <c r="B24" s="14" t="s">
        <v>34</v>
      </c>
      <c r="C24" s="15" t="s">
        <v>32</v>
      </c>
      <c r="D24" s="8" t="s">
        <v>35</v>
      </c>
    </row>
    <row r="25" customFormat="false" ht="29.25" hidden="false" customHeight="true" outlineLevel="0" collapsed="false">
      <c r="B25" s="14" t="s">
        <v>36</v>
      </c>
      <c r="C25" s="15" t="s">
        <v>32</v>
      </c>
      <c r="D25" s="9" t="s">
        <v>37</v>
      </c>
    </row>
    <row r="26" customFormat="false" ht="15" hidden="false" customHeight="true" outlineLevel="0" collapsed="false">
      <c r="B26" s="16" t="s">
        <v>38</v>
      </c>
      <c r="C26" s="15" t="s">
        <v>39</v>
      </c>
      <c r="D26" s="8" t="s">
        <v>40</v>
      </c>
    </row>
    <row r="27" customFormat="false" ht="15" hidden="false" customHeight="true" outlineLevel="0" collapsed="false">
      <c r="B27" s="14" t="s">
        <v>41</v>
      </c>
      <c r="C27" s="15" t="s">
        <v>42</v>
      </c>
      <c r="D27" s="8" t="s">
        <v>43</v>
      </c>
    </row>
    <row r="28" customFormat="false" ht="15" hidden="false" customHeight="true" outlineLevel="0" collapsed="false">
      <c r="B28" s="14" t="s">
        <v>44</v>
      </c>
      <c r="C28" s="15" t="s">
        <v>45</v>
      </c>
      <c r="D28" s="8" t="s">
        <v>46</v>
      </c>
    </row>
    <row r="29" customFormat="false" ht="15" hidden="false" customHeight="true" outlineLevel="0" collapsed="false">
      <c r="B29" s="14" t="s">
        <v>47</v>
      </c>
      <c r="C29" s="15" t="s">
        <v>42</v>
      </c>
      <c r="D29" s="9" t="s">
        <v>48</v>
      </c>
    </row>
    <row r="30" customFormat="false" ht="15" hidden="false" customHeight="true" outlineLevel="0" collapsed="false">
      <c r="B30" s="14" t="s">
        <v>49</v>
      </c>
      <c r="C30" s="15" t="s">
        <v>50</v>
      </c>
      <c r="D30" s="9" t="s">
        <v>51</v>
      </c>
    </row>
    <row r="31" customFormat="false" ht="15" hidden="false" customHeight="true" outlineLevel="0" collapsed="false">
      <c r="B31" s="14" t="s">
        <v>52</v>
      </c>
      <c r="C31" s="15" t="s">
        <v>50</v>
      </c>
      <c r="D31" s="9" t="s">
        <v>53</v>
      </c>
    </row>
    <row r="32" customFormat="false" ht="15" hidden="false" customHeight="true" outlineLevel="0" collapsed="false">
      <c r="B32" s="14" t="s">
        <v>54</v>
      </c>
      <c r="C32" s="15" t="s">
        <v>55</v>
      </c>
      <c r="D32" s="9" t="s">
        <v>56</v>
      </c>
    </row>
    <row r="33" customFormat="false" ht="15" hidden="false" customHeight="true" outlineLevel="0" collapsed="false">
      <c r="B33" s="14" t="s">
        <v>57</v>
      </c>
      <c r="C33" s="15" t="s">
        <v>55</v>
      </c>
      <c r="D33" s="9" t="s">
        <v>58</v>
      </c>
    </row>
    <row r="34" customFormat="false" ht="15" hidden="false" customHeight="true" outlineLevel="0" collapsed="false">
      <c r="B34" s="14" t="s">
        <v>59</v>
      </c>
      <c r="C34" s="15" t="s">
        <v>60</v>
      </c>
      <c r="D34" s="8" t="s">
        <v>61</v>
      </c>
    </row>
    <row r="35" customFormat="false" ht="15" hidden="false" customHeight="true" outlineLevel="0" collapsed="false">
      <c r="B35" s="16" t="s">
        <v>62</v>
      </c>
      <c r="C35" s="15" t="s">
        <v>60</v>
      </c>
      <c r="D35" s="9" t="s">
        <v>63</v>
      </c>
    </row>
    <row r="36" customFormat="false" ht="15" hidden="false" customHeight="true" outlineLevel="0" collapsed="false">
      <c r="B36" s="16" t="s">
        <v>64</v>
      </c>
      <c r="C36" s="15" t="s">
        <v>65</v>
      </c>
      <c r="D36" s="9" t="s">
        <v>66</v>
      </c>
    </row>
    <row r="37" customFormat="false" ht="15" hidden="false" customHeight="true" outlineLevel="0" collapsed="false">
      <c r="B37" s="16" t="s">
        <v>67</v>
      </c>
      <c r="C37" s="15" t="s">
        <v>65</v>
      </c>
      <c r="D37" s="9" t="s">
        <v>68</v>
      </c>
    </row>
    <row r="38" customFormat="false" ht="15" hidden="false" customHeight="true" outlineLevel="0" collapsed="false">
      <c r="B38" s="14" t="s">
        <v>69</v>
      </c>
      <c r="C38" s="15" t="s">
        <v>60</v>
      </c>
      <c r="D38" s="9" t="s">
        <v>70</v>
      </c>
    </row>
    <row r="39" customFormat="false" ht="15" hidden="false" customHeight="true" outlineLevel="0" collapsed="false">
      <c r="B39" s="14" t="s">
        <v>71</v>
      </c>
      <c r="C39" s="15" t="s">
        <v>72</v>
      </c>
      <c r="D39" s="9" t="s">
        <v>73</v>
      </c>
    </row>
    <row r="40" customFormat="false" ht="15" hidden="false" customHeight="true" outlineLevel="0" collapsed="false"/>
    <row r="42" customFormat="false" ht="15" hidden="false" customHeight="true" outlineLevel="0" collapsed="false">
      <c r="B42" s="4" t="s">
        <v>74</v>
      </c>
      <c r="C42" s="5"/>
      <c r="D42" s="5"/>
    </row>
    <row r="43" customFormat="false" ht="15" hidden="false" customHeight="true" outlineLevel="0" collapsed="false">
      <c r="B43" s="17" t="s">
        <v>75</v>
      </c>
      <c r="C43" s="15" t="s">
        <v>76</v>
      </c>
      <c r="D43" s="18"/>
    </row>
    <row r="44" customFormat="false" ht="15" hidden="false" customHeight="true" outlineLevel="0" collapsed="false">
      <c r="B44" s="19" t="s">
        <v>77</v>
      </c>
      <c r="C44" s="15" t="s">
        <v>78</v>
      </c>
      <c r="D44" s="18"/>
    </row>
    <row r="45" customFormat="false" ht="15" hidden="false" customHeight="true" outlineLevel="0" collapsed="false">
      <c r="B45" s="15" t="s">
        <v>79</v>
      </c>
      <c r="C45" s="15" t="s">
        <v>80</v>
      </c>
      <c r="D45" s="18"/>
    </row>
    <row r="47" customFormat="false" ht="15" hidden="false" customHeight="true" outlineLevel="0" collapsed="false">
      <c r="B47" s="20" t="s">
        <v>81</v>
      </c>
    </row>
  </sheetData>
  <hyperlinks>
    <hyperlink ref="B23" location="'캐릭터'!A1" display="캐릭터"/>
    <hyperlink ref="B24" location="'등장비중'!A1" display="등장비중"/>
    <hyperlink ref="B25" location="'턴_설계'!A1" display="턴_설계"/>
    <hyperlink ref="B26" location="'13부_구성'!A1" display="13부_구성"/>
    <hyperlink ref="B27" location="'아크_구성계획'!A1" display="아크_구성계획"/>
    <hyperlink ref="B28" location="'화별목차_전체'!A1" display="화별목차_전체"/>
    <hyperlink ref="B29" location="'복선_회수'!A1" display="복선_회수"/>
    <hyperlink ref="B30" location="'현안_배치'!A1" display="현안_배치"/>
    <hyperlink ref="B31" location="'현안_분포'!A1" display="현안_분포"/>
    <hyperlink ref="B32" location="'정치제도'!A1" display="정치제도"/>
    <hyperlink ref="B33" location="'정치경로_의석'!A1" display="정치경로_의석"/>
    <hyperlink ref="B34" location="'호칭규칙'!A1" display="호칭규칙"/>
    <hyperlink ref="B35" location="'Sofia_폭발과욕'!A1" display="Sofia_폭발과욕"/>
    <hyperlink ref="B36" location="'Cesare_죽음'!A1" display="Cesare_죽음"/>
    <hyperlink ref="B37" location="'Gramsci_출처'!A1" display="Gramsci_출처"/>
    <hyperlink ref="B38" location="'대화문규칙'!A1" display="대화문규칙"/>
    <hyperlink ref="B39" location="'변경이력_미결'!A1" display="변경이력_미결"/>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S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24"/>
    <col collapsed="false" customWidth="true" hidden="false" outlineLevel="0" max="4" min="4" style="1" width="10"/>
    <col collapsed="false" customWidth="true" hidden="false" outlineLevel="0" max="5" min="5" style="1" width="8"/>
    <col collapsed="false" customWidth="true" hidden="false" outlineLevel="0" max="6" min="6" style="1" width="10"/>
    <col collapsed="false" customWidth="true" hidden="false" outlineLevel="0" max="7" min="7" style="1" width="6"/>
    <col collapsed="false" customWidth="true" hidden="false" outlineLevel="0" max="8" min="8" style="1" width="22"/>
    <col collapsed="false" customWidth="true" hidden="false" outlineLevel="0" max="9" min="9" style="1" width="26"/>
    <col collapsed="false" customWidth="true" hidden="false" outlineLevel="0" max="10" min="10" style="1" width="30"/>
    <col collapsed="false" customWidth="true" hidden="false" outlineLevel="0" max="11" min="11" style="1" width="34"/>
    <col collapsed="false" customWidth="true" hidden="false" outlineLevel="0" max="12" min="12" style="1" width="44"/>
    <col collapsed="false" customWidth="true" hidden="false" outlineLevel="0" max="13" min="13" style="1" width="30"/>
    <col collapsed="false" customWidth="true" hidden="false" outlineLevel="0" max="14" min="14" style="1" width="36"/>
    <col collapsed="false" customWidth="true" hidden="false" outlineLevel="0" max="15" min="15" style="1" width="24"/>
    <col collapsed="false" customWidth="true" hidden="false" outlineLevel="0" max="16" min="16" style="1" width="20"/>
    <col collapsed="false" customWidth="true" hidden="false" outlineLevel="0" max="17" min="17" style="1" width="9"/>
    <col collapsed="false" customWidth="true" hidden="false" outlineLevel="0" max="18" min="18" style="1" width="11"/>
    <col collapsed="false" customWidth="true" hidden="false" outlineLevel="0" max="19" min="19" style="1" width="16"/>
  </cols>
  <sheetData>
    <row r="1" customFormat="false" ht="24" hidden="false" customHeight="true" outlineLevel="0" collapsed="false">
      <c r="A1" s="21" t="s">
        <v>82</v>
      </c>
    </row>
    <row r="2" customFormat="false" ht="15" hidden="false" customHeight="true" outlineLevel="0" collapsed="false">
      <c r="A2" s="3" t="s">
        <v>1</v>
      </c>
    </row>
    <row r="4" customFormat="false" ht="31.5" hidden="false" customHeight="true" outlineLevel="0" collapsed="false">
      <c r="A4" s="22" t="s">
        <v>83</v>
      </c>
      <c r="B4" s="23" t="s">
        <v>84</v>
      </c>
      <c r="C4" s="23" t="s">
        <v>85</v>
      </c>
      <c r="D4" s="23" t="s">
        <v>86</v>
      </c>
      <c r="E4" s="23" t="s">
        <v>87</v>
      </c>
      <c r="F4" s="23" t="s">
        <v>88</v>
      </c>
      <c r="G4" s="23" t="s">
        <v>89</v>
      </c>
      <c r="H4" s="23" t="s">
        <v>90</v>
      </c>
      <c r="I4" s="23" t="s">
        <v>91</v>
      </c>
      <c r="J4" s="23" t="s">
        <v>92</v>
      </c>
      <c r="K4" s="23" t="s">
        <v>93</v>
      </c>
      <c r="L4" s="23" t="s">
        <v>94</v>
      </c>
      <c r="M4" s="23" t="s">
        <v>95</v>
      </c>
      <c r="N4" s="23" t="s">
        <v>96</v>
      </c>
      <c r="O4" s="23" t="s">
        <v>97</v>
      </c>
      <c r="P4" s="22" t="s">
        <v>98</v>
      </c>
      <c r="Q4" s="23" t="s">
        <v>99</v>
      </c>
      <c r="R4" s="23" t="s">
        <v>100</v>
      </c>
      <c r="S4" s="23" t="s">
        <v>101</v>
      </c>
    </row>
    <row r="5" customFormat="false" ht="93" hidden="false" customHeight="true" outlineLevel="0" collapsed="false">
      <c r="A5" s="24" t="n">
        <v>1</v>
      </c>
      <c r="B5" s="9" t="s">
        <v>22</v>
      </c>
      <c r="C5" s="11" t="s">
        <v>102</v>
      </c>
      <c r="D5" s="11" t="s">
        <v>103</v>
      </c>
      <c r="E5" s="25" t="n">
        <v>39</v>
      </c>
      <c r="F5" s="24" t="n">
        <f aca="false">E5+개요!$C$11</f>
        <v>45</v>
      </c>
      <c r="G5" s="26" t="s">
        <v>104</v>
      </c>
      <c r="H5" s="9" t="s">
        <v>105</v>
      </c>
      <c r="I5" s="8" t="s">
        <v>106</v>
      </c>
      <c r="J5" s="9" t="s">
        <v>107</v>
      </c>
      <c r="K5" s="9" t="s">
        <v>108</v>
      </c>
      <c r="L5" s="8" t="s">
        <v>109</v>
      </c>
      <c r="M5" s="9" t="s">
        <v>110</v>
      </c>
      <c r="N5" s="9" t="s">
        <v>111</v>
      </c>
      <c r="O5" s="9" t="s">
        <v>112</v>
      </c>
      <c r="P5" s="9" t="s">
        <v>113</v>
      </c>
      <c r="Q5" s="24" t="n">
        <f aca="false">INDEX(등장비중!$O$5:$O$19,MATCH($D5,등장비중!$A$5:$A$19,0))</f>
        <v>108</v>
      </c>
      <c r="R5" s="24" t="str">
        <f aca="false">INDEX(등장비중!$Q$5:$Q$19,MATCH($D5,등장비중!$A$5:$A$19,0))</f>
        <v>주연</v>
      </c>
      <c r="S5" s="24" t="s">
        <v>114</v>
      </c>
    </row>
    <row r="6" customFormat="false" ht="54.75" hidden="false" customHeight="true" outlineLevel="0" collapsed="false">
      <c r="A6" s="24" t="n">
        <v>2</v>
      </c>
      <c r="B6" s="9" t="s">
        <v>22</v>
      </c>
      <c r="C6" s="11" t="s">
        <v>115</v>
      </c>
      <c r="D6" s="11" t="s">
        <v>116</v>
      </c>
      <c r="E6" s="25" t="n">
        <v>41</v>
      </c>
      <c r="F6" s="24" t="n">
        <f aca="false">E6+개요!$C$11</f>
        <v>47</v>
      </c>
      <c r="G6" s="26" t="s">
        <v>117</v>
      </c>
      <c r="H6" s="9" t="s">
        <v>118</v>
      </c>
      <c r="I6" s="8" t="s">
        <v>119</v>
      </c>
      <c r="J6" s="9" t="s">
        <v>120</v>
      </c>
      <c r="K6" s="9" t="s">
        <v>121</v>
      </c>
      <c r="L6" s="8" t="s">
        <v>122</v>
      </c>
      <c r="M6" s="9" t="s">
        <v>123</v>
      </c>
      <c r="N6" s="9" t="s">
        <v>124</v>
      </c>
      <c r="O6" s="9" t="s">
        <v>125</v>
      </c>
      <c r="P6" s="9" t="s">
        <v>113</v>
      </c>
      <c r="Q6" s="24" t="n">
        <f aca="false">INDEX(등장비중!$O$5:$O$19,MATCH($D6,등장비중!$A$5:$A$19,0))</f>
        <v>98</v>
      </c>
      <c r="R6" s="24" t="str">
        <f aca="false">INDEX(등장비중!$Q$5:$Q$19,MATCH($D6,등장비중!$A$5:$A$19,0))</f>
        <v>준주연</v>
      </c>
      <c r="S6" s="24" t="s">
        <v>126</v>
      </c>
    </row>
    <row r="7" customFormat="false" ht="42" hidden="false" customHeight="true" outlineLevel="0" collapsed="false">
      <c r="A7" s="24" t="n">
        <v>3</v>
      </c>
      <c r="B7" s="9" t="s">
        <v>22</v>
      </c>
      <c r="C7" s="11" t="s">
        <v>127</v>
      </c>
      <c r="D7" s="11" t="s">
        <v>128</v>
      </c>
      <c r="E7" s="25" t="n">
        <v>37</v>
      </c>
      <c r="F7" s="24" t="n">
        <f aca="false">E7+개요!$C$11</f>
        <v>43</v>
      </c>
      <c r="G7" s="26" t="s">
        <v>104</v>
      </c>
      <c r="H7" s="9" t="s">
        <v>129</v>
      </c>
      <c r="I7" s="8" t="s">
        <v>130</v>
      </c>
      <c r="J7" s="9" t="s">
        <v>131</v>
      </c>
      <c r="K7" s="9" t="s">
        <v>132</v>
      </c>
      <c r="L7" s="8" t="s">
        <v>133</v>
      </c>
      <c r="M7" s="9" t="s">
        <v>134</v>
      </c>
      <c r="N7" s="9" t="s">
        <v>135</v>
      </c>
      <c r="O7" s="9" t="s">
        <v>136</v>
      </c>
      <c r="P7" s="9" t="s">
        <v>113</v>
      </c>
      <c r="Q7" s="24" t="n">
        <f aca="false">INDEX(등장비중!$O$5:$O$19,MATCH($D7,등장비중!$A$5:$A$19,0))</f>
        <v>109</v>
      </c>
      <c r="R7" s="24" t="str">
        <f aca="false">INDEX(등장비중!$Q$5:$Q$19,MATCH($D7,등장비중!$A$5:$A$19,0))</f>
        <v>주연</v>
      </c>
      <c r="S7" s="24" t="s">
        <v>137</v>
      </c>
    </row>
    <row r="8" customFormat="false" ht="67.5" hidden="false" customHeight="true" outlineLevel="0" collapsed="false">
      <c r="A8" s="24" t="n">
        <v>4</v>
      </c>
      <c r="B8" s="9" t="s">
        <v>22</v>
      </c>
      <c r="C8" s="11" t="s">
        <v>138</v>
      </c>
      <c r="D8" s="11" t="s">
        <v>139</v>
      </c>
      <c r="E8" s="25" t="n">
        <v>36</v>
      </c>
      <c r="F8" s="24" t="n">
        <f aca="false">E8+개요!$C$11</f>
        <v>42</v>
      </c>
      <c r="G8" s="26" t="s">
        <v>117</v>
      </c>
      <c r="H8" s="9" t="s">
        <v>140</v>
      </c>
      <c r="I8" s="8" t="s">
        <v>141</v>
      </c>
      <c r="J8" s="9" t="s">
        <v>142</v>
      </c>
      <c r="K8" s="9" t="s">
        <v>143</v>
      </c>
      <c r="L8" s="8" t="s">
        <v>144</v>
      </c>
      <c r="M8" s="9" t="s">
        <v>145</v>
      </c>
      <c r="N8" s="9" t="s">
        <v>146</v>
      </c>
      <c r="O8" s="9" t="s">
        <v>147</v>
      </c>
      <c r="P8" s="9" t="s">
        <v>113</v>
      </c>
      <c r="Q8" s="24" t="n">
        <f aca="false">INDEX(등장비중!$O$5:$O$19,MATCH($D8,등장비중!$A$5:$A$19,0))</f>
        <v>101</v>
      </c>
      <c r="R8" s="24" t="str">
        <f aca="false">INDEX(등장비중!$Q$5:$Q$19,MATCH($D8,등장비중!$A$5:$A$19,0))</f>
        <v>준주연</v>
      </c>
      <c r="S8" s="24" t="s">
        <v>148</v>
      </c>
    </row>
    <row r="9" customFormat="false" ht="170.25" hidden="false" customHeight="true" outlineLevel="0" collapsed="false">
      <c r="A9" s="24" t="n">
        <v>5</v>
      </c>
      <c r="B9" s="9" t="s">
        <v>24</v>
      </c>
      <c r="C9" s="11" t="s">
        <v>149</v>
      </c>
      <c r="D9" s="11" t="s">
        <v>150</v>
      </c>
      <c r="E9" s="25" t="n">
        <v>55</v>
      </c>
      <c r="F9" s="24" t="n">
        <f aca="false">E9+개요!$C$11</f>
        <v>61</v>
      </c>
      <c r="G9" s="26" t="s">
        <v>104</v>
      </c>
      <c r="H9" s="9" t="s">
        <v>151</v>
      </c>
      <c r="I9" s="9" t="s">
        <v>152</v>
      </c>
      <c r="J9" s="9" t="s">
        <v>153</v>
      </c>
      <c r="K9" s="9" t="s">
        <v>154</v>
      </c>
      <c r="L9" s="8" t="s">
        <v>155</v>
      </c>
      <c r="M9" s="9" t="s">
        <v>156</v>
      </c>
      <c r="N9" s="8" t="s">
        <v>157</v>
      </c>
      <c r="O9" s="9" t="s">
        <v>158</v>
      </c>
      <c r="P9" s="9" t="s">
        <v>159</v>
      </c>
      <c r="Q9" s="24" t="n">
        <f aca="false">INDEX(등장비중!$O$5:$O$19,MATCH($D9,등장비중!$A$5:$A$19,0))</f>
        <v>65</v>
      </c>
      <c r="R9" s="24" t="str">
        <f aca="false">INDEX(등장비중!$Q$5:$Q$19,MATCH($D9,등장비중!$A$5:$A$19,0))</f>
        <v>핵심 조연</v>
      </c>
      <c r="S9" s="24" t="s">
        <v>160</v>
      </c>
    </row>
    <row r="10" customFormat="false" ht="54.75" hidden="false" customHeight="true" outlineLevel="0" collapsed="false">
      <c r="A10" s="24" t="n">
        <v>6</v>
      </c>
      <c r="B10" s="9" t="s">
        <v>24</v>
      </c>
      <c r="C10" s="11" t="s">
        <v>161</v>
      </c>
      <c r="D10" s="11" t="s">
        <v>162</v>
      </c>
      <c r="E10" s="25" t="n">
        <v>58</v>
      </c>
      <c r="F10" s="24" t="n">
        <f aca="false">E10+개요!$C$11</f>
        <v>64</v>
      </c>
      <c r="G10" s="26" t="s">
        <v>104</v>
      </c>
      <c r="H10" s="9" t="s">
        <v>163</v>
      </c>
      <c r="I10" s="9" t="s">
        <v>164</v>
      </c>
      <c r="J10" s="9" t="s">
        <v>165</v>
      </c>
      <c r="K10" s="9" t="s">
        <v>166</v>
      </c>
      <c r="L10" s="8" t="s">
        <v>167</v>
      </c>
      <c r="M10" s="9" t="s">
        <v>168</v>
      </c>
      <c r="N10" s="9" t="s">
        <v>169</v>
      </c>
      <c r="O10" s="9" t="s">
        <v>170</v>
      </c>
      <c r="P10" s="9" t="s">
        <v>171</v>
      </c>
      <c r="Q10" s="24" t="n">
        <f aca="false">INDEX(등장비중!$O$5:$O$19,MATCH($D10,등장비중!$A$5:$A$19,0))</f>
        <v>64</v>
      </c>
      <c r="R10" s="24" t="str">
        <f aca="false">INDEX(등장비중!$Q$5:$Q$19,MATCH($D10,등장비중!$A$5:$A$19,0))</f>
        <v>핵심 조연</v>
      </c>
      <c r="S10" s="24" t="s">
        <v>172</v>
      </c>
    </row>
    <row r="11" customFormat="false" ht="132" hidden="false" customHeight="true" outlineLevel="0" collapsed="false">
      <c r="A11" s="24" t="n">
        <v>7</v>
      </c>
      <c r="B11" s="9" t="s">
        <v>24</v>
      </c>
      <c r="C11" s="11" t="s">
        <v>173</v>
      </c>
      <c r="D11" s="11" t="s">
        <v>174</v>
      </c>
      <c r="E11" s="25" t="n">
        <v>74</v>
      </c>
      <c r="F11" s="24" t="n">
        <f aca="false">E11+개요!$C$11</f>
        <v>80</v>
      </c>
      <c r="G11" s="26" t="s">
        <v>104</v>
      </c>
      <c r="H11" s="9" t="s">
        <v>175</v>
      </c>
      <c r="I11" s="9" t="s">
        <v>176</v>
      </c>
      <c r="J11" s="9" t="s">
        <v>177</v>
      </c>
      <c r="K11" s="9" t="s">
        <v>178</v>
      </c>
      <c r="L11" s="8" t="s">
        <v>179</v>
      </c>
      <c r="M11" s="9" t="s">
        <v>180</v>
      </c>
      <c r="N11" s="9" t="s">
        <v>181</v>
      </c>
      <c r="O11" s="9" t="s">
        <v>182</v>
      </c>
      <c r="P11" s="9" t="s">
        <v>171</v>
      </c>
      <c r="Q11" s="24" t="n">
        <f aca="false">INDEX(등장비중!$O$5:$O$19,MATCH($D11,등장비중!$A$5:$A$19,0))</f>
        <v>63</v>
      </c>
      <c r="R11" s="24" t="str">
        <f aca="false">INDEX(등장비중!$Q$5:$Q$19,MATCH($D11,등장비중!$A$5:$A$19,0))</f>
        <v>핵심 조연</v>
      </c>
      <c r="S11" s="24" t="s">
        <v>183</v>
      </c>
    </row>
    <row r="12" customFormat="false" ht="42" hidden="false" customHeight="true" outlineLevel="0" collapsed="false">
      <c r="A12" s="24" t="n">
        <v>8</v>
      </c>
      <c r="B12" s="9" t="s">
        <v>24</v>
      </c>
      <c r="C12" s="11" t="s">
        <v>184</v>
      </c>
      <c r="D12" s="11" t="s">
        <v>185</v>
      </c>
      <c r="E12" s="25" t="n">
        <v>56</v>
      </c>
      <c r="F12" s="24" t="n">
        <f aca="false">E12+개요!$C$11</f>
        <v>62</v>
      </c>
      <c r="G12" s="26" t="s">
        <v>104</v>
      </c>
      <c r="H12" s="9" t="s">
        <v>186</v>
      </c>
      <c r="I12" s="9" t="s">
        <v>187</v>
      </c>
      <c r="J12" s="9" t="s">
        <v>188</v>
      </c>
      <c r="K12" s="9" t="s">
        <v>189</v>
      </c>
      <c r="L12" s="8" t="s">
        <v>190</v>
      </c>
      <c r="M12" s="9" t="s">
        <v>191</v>
      </c>
      <c r="N12" s="9" t="s">
        <v>192</v>
      </c>
      <c r="O12" s="9" t="s">
        <v>193</v>
      </c>
      <c r="P12" s="9" t="s">
        <v>171</v>
      </c>
      <c r="Q12" s="24" t="n">
        <f aca="false">INDEX(등장비중!$O$5:$O$19,MATCH($D12,등장비중!$A$5:$A$19,0))</f>
        <v>54</v>
      </c>
      <c r="R12" s="24" t="str">
        <f aca="false">INDEX(등장비중!$Q$5:$Q$19,MATCH($D12,등장비중!$A$5:$A$19,0))</f>
        <v>조연</v>
      </c>
      <c r="S12" s="24" t="s">
        <v>194</v>
      </c>
    </row>
    <row r="13" customFormat="false" ht="42" hidden="false" customHeight="true" outlineLevel="0" collapsed="false">
      <c r="A13" s="24" t="n">
        <v>9</v>
      </c>
      <c r="B13" s="9" t="s">
        <v>24</v>
      </c>
      <c r="C13" s="11" t="s">
        <v>195</v>
      </c>
      <c r="D13" s="11" t="s">
        <v>196</v>
      </c>
      <c r="E13" s="25" t="n">
        <v>46</v>
      </c>
      <c r="F13" s="24" t="n">
        <f aca="false">E13+개요!$C$11</f>
        <v>52</v>
      </c>
      <c r="G13" s="26" t="s">
        <v>104</v>
      </c>
      <c r="H13" s="9" t="s">
        <v>197</v>
      </c>
      <c r="I13" s="9" t="s">
        <v>198</v>
      </c>
      <c r="J13" s="9" t="s">
        <v>199</v>
      </c>
      <c r="K13" s="9" t="s">
        <v>200</v>
      </c>
      <c r="L13" s="8" t="s">
        <v>201</v>
      </c>
      <c r="M13" s="9" t="s">
        <v>202</v>
      </c>
      <c r="N13" s="9" t="s">
        <v>203</v>
      </c>
      <c r="O13" s="9" t="s">
        <v>204</v>
      </c>
      <c r="P13" s="9" t="s">
        <v>205</v>
      </c>
      <c r="Q13" s="24" t="n">
        <f aca="false">INDEX(등장비중!$O$5:$O$19,MATCH($D13,등장비중!$A$5:$A$19,0))</f>
        <v>58</v>
      </c>
      <c r="R13" s="24" t="str">
        <f aca="false">INDEX(등장비중!$Q$5:$Q$19,MATCH($D13,등장비중!$A$5:$A$19,0))</f>
        <v>조연</v>
      </c>
      <c r="S13" s="24" t="s">
        <v>206</v>
      </c>
    </row>
    <row r="14" customFormat="false" ht="93" hidden="false" customHeight="true" outlineLevel="0" collapsed="false">
      <c r="A14" s="24" t="n">
        <v>10</v>
      </c>
      <c r="B14" s="9" t="s">
        <v>24</v>
      </c>
      <c r="C14" s="11" t="s">
        <v>207</v>
      </c>
      <c r="D14" s="11" t="s">
        <v>208</v>
      </c>
      <c r="E14" s="25" t="n">
        <v>77</v>
      </c>
      <c r="F14" s="24" t="n">
        <f aca="false">E14+개요!$C$11</f>
        <v>83</v>
      </c>
      <c r="G14" s="26" t="s">
        <v>104</v>
      </c>
      <c r="H14" s="9" t="s">
        <v>209</v>
      </c>
      <c r="I14" s="9" t="s">
        <v>210</v>
      </c>
      <c r="J14" s="9" t="s">
        <v>211</v>
      </c>
      <c r="K14" s="9" t="s">
        <v>212</v>
      </c>
      <c r="L14" s="8" t="s">
        <v>213</v>
      </c>
      <c r="M14" s="9" t="s">
        <v>214</v>
      </c>
      <c r="N14" s="9" t="s">
        <v>215</v>
      </c>
      <c r="O14" s="9" t="s">
        <v>216</v>
      </c>
      <c r="P14" s="9" t="s">
        <v>171</v>
      </c>
      <c r="Q14" s="24" t="n">
        <f aca="false">INDEX(등장비중!$O$5:$O$19,MATCH($D14,등장비중!$A$5:$A$19,0))</f>
        <v>46</v>
      </c>
      <c r="R14" s="24" t="str">
        <f aca="false">INDEX(등장비중!$Q$5:$Q$19,MATCH($D14,등장비중!$A$5:$A$19,0))</f>
        <v>조연</v>
      </c>
      <c r="S14" s="24" t="s">
        <v>217</v>
      </c>
    </row>
    <row r="15" customFormat="false" ht="42" hidden="false" customHeight="true" outlineLevel="0" collapsed="false">
      <c r="A15" s="24" t="n">
        <v>11</v>
      </c>
      <c r="B15" s="9" t="s">
        <v>26</v>
      </c>
      <c r="C15" s="11" t="s">
        <v>218</v>
      </c>
      <c r="D15" s="11" t="s">
        <v>219</v>
      </c>
      <c r="E15" s="25" t="n">
        <v>63</v>
      </c>
      <c r="F15" s="24" t="n">
        <f aca="false">E15+개요!$C$11</f>
        <v>69</v>
      </c>
      <c r="G15" s="26" t="s">
        <v>117</v>
      </c>
      <c r="H15" s="9" t="s">
        <v>220</v>
      </c>
      <c r="I15" s="27" t="s">
        <v>221</v>
      </c>
      <c r="J15" s="9" t="s">
        <v>222</v>
      </c>
      <c r="K15" s="9" t="s">
        <v>223</v>
      </c>
      <c r="L15" s="8" t="s">
        <v>224</v>
      </c>
      <c r="M15" s="9" t="s">
        <v>225</v>
      </c>
      <c r="N15" s="9" t="s">
        <v>226</v>
      </c>
      <c r="O15" s="9" t="s">
        <v>227</v>
      </c>
      <c r="P15" s="9" t="s">
        <v>113</v>
      </c>
      <c r="Q15" s="24" t="n">
        <f aca="false">INDEX(등장비중!$O$5:$O$19,MATCH($D15,등장비중!$A$5:$A$19,0))</f>
        <v>69</v>
      </c>
      <c r="R15" s="24" t="str">
        <f aca="false">INDEX(등장비중!$Q$5:$Q$19,MATCH($D15,등장비중!$A$5:$A$19,0))</f>
        <v>핵심 조연</v>
      </c>
      <c r="S15" s="24" t="s">
        <v>228</v>
      </c>
    </row>
    <row r="16" customFormat="false" ht="67.5" hidden="false" customHeight="true" outlineLevel="0" collapsed="false">
      <c r="A16" s="24" t="n">
        <v>12</v>
      </c>
      <c r="B16" s="9" t="s">
        <v>26</v>
      </c>
      <c r="C16" s="11" t="s">
        <v>229</v>
      </c>
      <c r="D16" s="11" t="s">
        <v>230</v>
      </c>
      <c r="E16" s="25" t="n">
        <v>55</v>
      </c>
      <c r="F16" s="24" t="n">
        <f aca="false">E16+개요!$C$11</f>
        <v>61</v>
      </c>
      <c r="G16" s="26" t="s">
        <v>104</v>
      </c>
      <c r="H16" s="9" t="s">
        <v>231</v>
      </c>
      <c r="I16" s="9" t="s">
        <v>232</v>
      </c>
      <c r="J16" s="9" t="s">
        <v>233</v>
      </c>
      <c r="K16" s="9" t="s">
        <v>234</v>
      </c>
      <c r="L16" s="8" t="s">
        <v>235</v>
      </c>
      <c r="M16" s="9" t="s">
        <v>236</v>
      </c>
      <c r="N16" s="9" t="s">
        <v>237</v>
      </c>
      <c r="O16" s="9" t="s">
        <v>238</v>
      </c>
      <c r="P16" s="9" t="s">
        <v>171</v>
      </c>
      <c r="Q16" s="24" t="n">
        <f aca="false">INDEX(등장비중!$O$5:$O$19,MATCH($D16,등장비중!$A$5:$A$19,0))</f>
        <v>58</v>
      </c>
      <c r="R16" s="24" t="str">
        <f aca="false">INDEX(등장비중!$Q$5:$Q$19,MATCH($D16,등장비중!$A$5:$A$19,0))</f>
        <v>조연</v>
      </c>
      <c r="S16" s="24" t="s">
        <v>239</v>
      </c>
    </row>
    <row r="17" customFormat="false" ht="67.5" hidden="false" customHeight="true" outlineLevel="0" collapsed="false">
      <c r="A17" s="24" t="n">
        <v>13</v>
      </c>
      <c r="B17" s="9" t="s">
        <v>26</v>
      </c>
      <c r="C17" s="11" t="s">
        <v>240</v>
      </c>
      <c r="D17" s="11" t="s">
        <v>241</v>
      </c>
      <c r="E17" s="25" t="n">
        <v>23</v>
      </c>
      <c r="F17" s="24" t="n">
        <f aca="false">E17+개요!$C$11</f>
        <v>29</v>
      </c>
      <c r="G17" s="26" t="s">
        <v>117</v>
      </c>
      <c r="H17" s="9" t="s">
        <v>242</v>
      </c>
      <c r="I17" s="9" t="s">
        <v>243</v>
      </c>
      <c r="J17" s="9" t="s">
        <v>244</v>
      </c>
      <c r="K17" s="8" t="s">
        <v>245</v>
      </c>
      <c r="L17" s="8" t="s">
        <v>246</v>
      </c>
      <c r="M17" s="9" t="s">
        <v>247</v>
      </c>
      <c r="N17" s="9" t="s">
        <v>248</v>
      </c>
      <c r="O17" s="9" t="s">
        <v>249</v>
      </c>
      <c r="P17" s="9" t="s">
        <v>113</v>
      </c>
      <c r="Q17" s="24" t="n">
        <f aca="false">INDEX(등장비중!$O$5:$O$19,MATCH($D17,등장비중!$A$5:$A$19,0))</f>
        <v>99</v>
      </c>
      <c r="R17" s="24" t="str">
        <f aca="false">INDEX(등장비중!$Q$5:$Q$19,MATCH($D17,등장비중!$A$5:$A$19,0))</f>
        <v>준주연</v>
      </c>
      <c r="S17" s="24" t="s">
        <v>250</v>
      </c>
    </row>
    <row r="18" customFormat="false" ht="42" hidden="false" customHeight="true" outlineLevel="0" collapsed="false">
      <c r="A18" s="24" t="n">
        <v>14</v>
      </c>
      <c r="B18" s="9" t="s">
        <v>28</v>
      </c>
      <c r="C18" s="11" t="s">
        <v>251</v>
      </c>
      <c r="D18" s="11" t="s">
        <v>252</v>
      </c>
      <c r="E18" s="25" t="n">
        <v>58</v>
      </c>
      <c r="F18" s="24" t="n">
        <f aca="false">E18+개요!$C$11</f>
        <v>64</v>
      </c>
      <c r="G18" s="26" t="s">
        <v>104</v>
      </c>
      <c r="H18" s="9" t="s">
        <v>253</v>
      </c>
      <c r="I18" s="8" t="s">
        <v>254</v>
      </c>
      <c r="J18" s="9" t="s">
        <v>255</v>
      </c>
      <c r="K18" s="9" t="s">
        <v>256</v>
      </c>
      <c r="L18" s="8" t="s">
        <v>257</v>
      </c>
      <c r="M18" s="9" t="s">
        <v>258</v>
      </c>
      <c r="N18" s="9" t="s">
        <v>259</v>
      </c>
      <c r="O18" s="9" t="s">
        <v>260</v>
      </c>
      <c r="P18" s="9" t="s">
        <v>261</v>
      </c>
      <c r="Q18" s="24" t="n">
        <f aca="false">INDEX(등장비중!$O$5:$O$19,MATCH($D18,등장비중!$A$5:$A$19,0))</f>
        <v>56</v>
      </c>
      <c r="R18" s="24" t="str">
        <f aca="false">INDEX(등장비중!$Q$5:$Q$19,MATCH($D18,등장비중!$A$5:$A$19,0))</f>
        <v>조연</v>
      </c>
      <c r="S18" s="24" t="s">
        <v>262</v>
      </c>
    </row>
    <row r="19" customFormat="false" ht="16.5" hidden="false" customHeight="true" outlineLevel="0" collapsed="false">
      <c r="A19" s="1" t="n">
        <v>15</v>
      </c>
      <c r="B19" s="28" t="s">
        <v>24</v>
      </c>
      <c r="C19" s="1" t="s">
        <v>263</v>
      </c>
      <c r="D19" s="1" t="s">
        <v>264</v>
      </c>
      <c r="E19" s="1" t="n">
        <v>81</v>
      </c>
      <c r="F19" s="1" t="n">
        <f aca="false">E19+개요!$C$11</f>
        <v>87</v>
      </c>
      <c r="G19" s="28" t="s">
        <v>117</v>
      </c>
      <c r="H19" s="28" t="s">
        <v>265</v>
      </c>
      <c r="I19" s="28" t="s">
        <v>266</v>
      </c>
      <c r="J19" s="28" t="s">
        <v>267</v>
      </c>
      <c r="K19" s="28" t="s">
        <v>268</v>
      </c>
      <c r="L19" s="1" t="s">
        <v>269</v>
      </c>
      <c r="M19" s="28" t="s">
        <v>270</v>
      </c>
      <c r="N19" s="28" t="s">
        <v>271</v>
      </c>
      <c r="O19" s="28" t="s">
        <v>272</v>
      </c>
      <c r="P19" s="28" t="s">
        <v>171</v>
      </c>
      <c r="Q19" s="1" t="n">
        <f aca="false">INDEX(등장비중!$O$5:$O$19,MATCH($D19,등장비중!$A$5:$A$19,0))</f>
        <v>53</v>
      </c>
      <c r="R19" s="1" t="str">
        <f aca="false">INDEX(등장비중!$Q$5:$Q$19,MATCH($D19,등장비중!$A$5:$A$19,0))</f>
        <v>조연</v>
      </c>
      <c r="S19" s="1" t="s">
        <v>273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S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14" min="2" style="1" width="9"/>
    <col collapsed="false" customWidth="true" hidden="false" outlineLevel="0" max="16" min="15" style="1" width="8"/>
    <col collapsed="false" customWidth="true" hidden="false" outlineLevel="0" max="17" min="17" style="1" width="11"/>
    <col collapsed="false" customWidth="true" hidden="false" outlineLevel="0" max="18" min="18" style="1" width="9"/>
    <col collapsed="false" customWidth="true" hidden="false" outlineLevel="0" max="19" min="19" style="1" width="12"/>
  </cols>
  <sheetData>
    <row r="1" customFormat="false" ht="24" hidden="false" customHeight="true" outlineLevel="0" collapsed="false">
      <c r="A1" s="21" t="s">
        <v>274</v>
      </c>
    </row>
    <row r="2" customFormat="false" ht="15" hidden="false" customHeight="true" outlineLevel="0" collapsed="false">
      <c r="A2" s="20" t="s">
        <v>275</v>
      </c>
    </row>
    <row r="4" customFormat="false" ht="43.5" hidden="false" customHeight="true" outlineLevel="0" collapsed="false">
      <c r="A4" s="23" t="s">
        <v>276</v>
      </c>
      <c r="B4" s="22" t="s">
        <v>277</v>
      </c>
      <c r="C4" s="22" t="s">
        <v>278</v>
      </c>
      <c r="D4" s="22" t="s">
        <v>279</v>
      </c>
      <c r="E4" s="22" t="s">
        <v>280</v>
      </c>
      <c r="F4" s="22" t="s">
        <v>281</v>
      </c>
      <c r="G4" s="22" t="s">
        <v>282</v>
      </c>
      <c r="H4" s="22" t="s">
        <v>283</v>
      </c>
      <c r="I4" s="22" t="s">
        <v>284</v>
      </c>
      <c r="J4" s="22" t="s">
        <v>285</v>
      </c>
      <c r="K4" s="22" t="s">
        <v>286</v>
      </c>
      <c r="L4" s="22" t="s">
        <v>287</v>
      </c>
      <c r="M4" s="22" t="s">
        <v>288</v>
      </c>
      <c r="N4" s="22" t="s">
        <v>289</v>
      </c>
      <c r="O4" s="23" t="s">
        <v>290</v>
      </c>
      <c r="P4" s="23" t="s">
        <v>291</v>
      </c>
      <c r="Q4" s="23" t="s">
        <v>100</v>
      </c>
      <c r="R4" s="23" t="s">
        <v>292</v>
      </c>
      <c r="S4" s="23" t="s">
        <v>293</v>
      </c>
    </row>
    <row r="5" customFormat="false" ht="15" hidden="false" customHeight="true" outlineLevel="0" collapsed="false">
      <c r="A5" s="29" t="s">
        <v>103</v>
      </c>
      <c r="B5" s="30" t="n">
        <v>7</v>
      </c>
      <c r="C5" s="30" t="n">
        <v>12</v>
      </c>
      <c r="D5" s="30" t="n">
        <v>3</v>
      </c>
      <c r="E5" s="30" t="n">
        <v>3</v>
      </c>
      <c r="F5" s="30" t="n">
        <v>3</v>
      </c>
      <c r="G5" s="30" t="n">
        <v>12</v>
      </c>
      <c r="H5" s="30" t="n">
        <v>11</v>
      </c>
      <c r="I5" s="30" t="n">
        <v>12</v>
      </c>
      <c r="J5" s="30" t="n">
        <v>11</v>
      </c>
      <c r="K5" s="30" t="n">
        <v>11</v>
      </c>
      <c r="L5" s="30" t="n">
        <v>10</v>
      </c>
      <c r="M5" s="30" t="n">
        <v>3</v>
      </c>
      <c r="N5" s="30" t="n">
        <v>10</v>
      </c>
      <c r="O5" s="31" t="n">
        <f aca="false">SUM(B5:N5)</f>
        <v>108</v>
      </c>
      <c r="P5" s="32" t="n">
        <f aca="false">O5/개요!$C$7</f>
        <v>0.692307692307692</v>
      </c>
      <c r="Q5" s="31" t="str">
        <f aca="false">IF(P5&gt;=$B$23,"주연",IF(P5&gt;=$B$24,"준주연",IF(P5&gt;=$B$25,"핵심 조연","조연")))</f>
        <v>주연</v>
      </c>
      <c r="R5" s="31" t="str">
        <f aca="false">IF(MAX(B5:N5)&lt;=개요!$C$6,"OK","확인")</f>
        <v>OK</v>
      </c>
      <c r="S5" s="31" t="s">
        <v>294</v>
      </c>
    </row>
    <row r="6" customFormat="false" ht="15" hidden="false" customHeight="true" outlineLevel="0" collapsed="false">
      <c r="A6" s="29" t="s">
        <v>116</v>
      </c>
      <c r="B6" s="30" t="n">
        <v>6</v>
      </c>
      <c r="C6" s="30" t="n">
        <v>3</v>
      </c>
      <c r="D6" s="30" t="n">
        <v>12</v>
      </c>
      <c r="E6" s="30" t="n">
        <v>3</v>
      </c>
      <c r="F6" s="30" t="n">
        <v>3</v>
      </c>
      <c r="G6" s="30" t="n">
        <v>12</v>
      </c>
      <c r="H6" s="30" t="n">
        <v>10</v>
      </c>
      <c r="I6" s="30" t="n">
        <v>10</v>
      </c>
      <c r="J6" s="30" t="n">
        <v>8</v>
      </c>
      <c r="K6" s="30" t="n">
        <v>10</v>
      </c>
      <c r="L6" s="30" t="n">
        <v>10</v>
      </c>
      <c r="M6" s="30" t="n">
        <v>2</v>
      </c>
      <c r="N6" s="30" t="n">
        <v>9</v>
      </c>
      <c r="O6" s="31" t="n">
        <f aca="false">SUM(B6:N6)</f>
        <v>98</v>
      </c>
      <c r="P6" s="32" t="n">
        <f aca="false">O6/개요!$C$7</f>
        <v>0.628205128205128</v>
      </c>
      <c r="Q6" s="31" t="str">
        <f aca="false">IF(P6&gt;=$B$23,"주연",IF(P6&gt;=$B$24,"준주연",IF(P6&gt;=$B$25,"핵심 조연","조연")))</f>
        <v>준주연</v>
      </c>
      <c r="R6" s="31" t="str">
        <f aca="false">IF(MAX(B6:N6)&lt;=개요!$C$6,"OK","확인")</f>
        <v>OK</v>
      </c>
      <c r="S6" s="31" t="s">
        <v>294</v>
      </c>
    </row>
    <row r="7" customFormat="false" ht="15" hidden="false" customHeight="true" outlineLevel="0" collapsed="false">
      <c r="A7" s="29" t="s">
        <v>128</v>
      </c>
      <c r="B7" s="30" t="n">
        <v>7</v>
      </c>
      <c r="C7" s="30" t="n">
        <v>3</v>
      </c>
      <c r="D7" s="30" t="n">
        <v>3</v>
      </c>
      <c r="E7" s="30" t="n">
        <v>12</v>
      </c>
      <c r="F7" s="30" t="n">
        <v>3</v>
      </c>
      <c r="G7" s="30" t="n">
        <v>12</v>
      </c>
      <c r="H7" s="30" t="n">
        <v>11</v>
      </c>
      <c r="I7" s="30" t="n">
        <v>10</v>
      </c>
      <c r="J7" s="30" t="n">
        <v>10</v>
      </c>
      <c r="K7" s="30" t="n">
        <v>11</v>
      </c>
      <c r="L7" s="30" t="n">
        <v>10</v>
      </c>
      <c r="M7" s="30" t="n">
        <v>8</v>
      </c>
      <c r="N7" s="30" t="n">
        <v>9</v>
      </c>
      <c r="O7" s="31" t="n">
        <f aca="false">SUM(B7:N7)</f>
        <v>109</v>
      </c>
      <c r="P7" s="32" t="n">
        <f aca="false">O7/개요!$C$7</f>
        <v>0.698717948717949</v>
      </c>
      <c r="Q7" s="31" t="str">
        <f aca="false">IF(P7&gt;=$B$23,"주연",IF(P7&gt;=$B$24,"준주연",IF(P7&gt;=$B$25,"핵심 조연","조연")))</f>
        <v>주연</v>
      </c>
      <c r="R7" s="31" t="str">
        <f aca="false">IF(MAX(B7:N7)&lt;=개요!$C$6,"OK","확인")</f>
        <v>OK</v>
      </c>
      <c r="S7" s="31" t="s">
        <v>294</v>
      </c>
    </row>
    <row r="8" customFormat="false" ht="15" hidden="false" customHeight="true" outlineLevel="0" collapsed="false">
      <c r="A8" s="29" t="s">
        <v>139</v>
      </c>
      <c r="B8" s="30" t="n">
        <v>6</v>
      </c>
      <c r="C8" s="30" t="n">
        <v>3</v>
      </c>
      <c r="D8" s="30" t="n">
        <v>3</v>
      </c>
      <c r="E8" s="30" t="n">
        <v>3</v>
      </c>
      <c r="F8" s="30" t="n">
        <v>12</v>
      </c>
      <c r="G8" s="30" t="n">
        <v>12</v>
      </c>
      <c r="H8" s="30" t="n">
        <v>10</v>
      </c>
      <c r="I8" s="30" t="n">
        <v>11</v>
      </c>
      <c r="J8" s="30" t="n">
        <v>10</v>
      </c>
      <c r="K8" s="30" t="n">
        <v>10</v>
      </c>
      <c r="L8" s="30" t="n">
        <v>9</v>
      </c>
      <c r="M8" s="30" t="n">
        <v>3</v>
      </c>
      <c r="N8" s="30" t="n">
        <v>9</v>
      </c>
      <c r="O8" s="31" t="n">
        <f aca="false">SUM(B8:N8)</f>
        <v>101</v>
      </c>
      <c r="P8" s="32" t="n">
        <f aca="false">O8/개요!$C$7</f>
        <v>0.647435897435898</v>
      </c>
      <c r="Q8" s="31" t="str">
        <f aca="false">IF(P8&gt;=$B$23,"주연",IF(P8&gt;=$B$24,"준주연",IF(P8&gt;=$B$25,"핵심 조연","조연")))</f>
        <v>준주연</v>
      </c>
      <c r="R8" s="31" t="str">
        <f aca="false">IF(MAX(B8:N8)&lt;=개요!$C$6,"OK","확인")</f>
        <v>OK</v>
      </c>
      <c r="S8" s="31" t="s">
        <v>294</v>
      </c>
    </row>
    <row r="9" customFormat="false" ht="15" hidden="false" customHeight="true" outlineLevel="0" collapsed="false">
      <c r="A9" s="29" t="s">
        <v>150</v>
      </c>
      <c r="B9" s="30" t="n">
        <v>4</v>
      </c>
      <c r="C9" s="30" t="n">
        <v>2</v>
      </c>
      <c r="D9" s="30" t="n">
        <v>2</v>
      </c>
      <c r="E9" s="30" t="n">
        <v>2</v>
      </c>
      <c r="F9" s="30" t="n">
        <v>2</v>
      </c>
      <c r="G9" s="30" t="n">
        <v>7</v>
      </c>
      <c r="H9" s="30" t="n">
        <v>9</v>
      </c>
      <c r="I9" s="30" t="n">
        <v>7</v>
      </c>
      <c r="J9" s="30" t="n">
        <v>9</v>
      </c>
      <c r="K9" s="30" t="n">
        <v>9</v>
      </c>
      <c r="L9" s="30" t="n">
        <v>9</v>
      </c>
      <c r="M9" s="30" t="n">
        <v>0</v>
      </c>
      <c r="N9" s="30" t="n">
        <v>3</v>
      </c>
      <c r="O9" s="31" t="n">
        <f aca="false">SUM(B9:N9)</f>
        <v>65</v>
      </c>
      <c r="P9" s="32" t="n">
        <f aca="false">O9/개요!$C$7</f>
        <v>0.416666666666667</v>
      </c>
      <c r="Q9" s="31" t="str">
        <f aca="false">IF(P9&gt;=$B$23,"주연",IF(P9&gt;=$B$24,"준주연",IF(P9&gt;=$B$25,"핵심 조연","조연")))</f>
        <v>핵심 조연</v>
      </c>
      <c r="R9" s="31" t="str">
        <f aca="false">IF(MAX(B9:N9)&lt;=개요!$C$6,"OK","확인")</f>
        <v>OK</v>
      </c>
      <c r="S9" s="30" t="s">
        <v>294</v>
      </c>
    </row>
    <row r="10" customFormat="false" ht="15" hidden="false" customHeight="true" outlineLevel="0" collapsed="false">
      <c r="A10" s="29" t="s">
        <v>162</v>
      </c>
      <c r="B10" s="30" t="n">
        <v>3</v>
      </c>
      <c r="C10" s="30" t="n">
        <v>1</v>
      </c>
      <c r="D10" s="30" t="n">
        <v>1</v>
      </c>
      <c r="E10" s="30" t="n">
        <v>1</v>
      </c>
      <c r="F10" s="30" t="n">
        <v>1</v>
      </c>
      <c r="G10" s="30" t="n">
        <v>6</v>
      </c>
      <c r="H10" s="30" t="n">
        <v>8</v>
      </c>
      <c r="I10" s="30" t="n">
        <v>9</v>
      </c>
      <c r="J10" s="30" t="n">
        <v>8</v>
      </c>
      <c r="K10" s="30" t="n">
        <v>8</v>
      </c>
      <c r="L10" s="30" t="n">
        <v>7</v>
      </c>
      <c r="M10" s="30" t="n">
        <v>4</v>
      </c>
      <c r="N10" s="30" t="n">
        <v>7</v>
      </c>
      <c r="O10" s="31" t="n">
        <f aca="false">SUM(B10:N10)</f>
        <v>64</v>
      </c>
      <c r="P10" s="32" t="n">
        <f aca="false">O10/개요!$C$7</f>
        <v>0.41025641025641</v>
      </c>
      <c r="Q10" s="31" t="str">
        <f aca="false">IF(P10&gt;=$B$23,"주연",IF(P10&gt;=$B$24,"준주연",IF(P10&gt;=$B$25,"핵심 조연","조연")))</f>
        <v>핵심 조연</v>
      </c>
      <c r="R10" s="31" t="str">
        <f aca="false">IF(MAX(B10:N10)&lt;=개요!$C$6,"OK","확인")</f>
        <v>OK</v>
      </c>
      <c r="S10" s="30" t="s">
        <v>294</v>
      </c>
    </row>
    <row r="11" customFormat="false" ht="15" hidden="false" customHeight="true" outlineLevel="0" collapsed="false">
      <c r="A11" s="29" t="s">
        <v>174</v>
      </c>
      <c r="B11" s="30" t="n">
        <v>2</v>
      </c>
      <c r="C11" s="30" t="n">
        <v>1</v>
      </c>
      <c r="D11" s="30" t="n">
        <v>1</v>
      </c>
      <c r="E11" s="30" t="n">
        <v>3</v>
      </c>
      <c r="F11" s="30" t="n">
        <v>1</v>
      </c>
      <c r="G11" s="30" t="n">
        <v>5</v>
      </c>
      <c r="H11" s="30" t="n">
        <v>10</v>
      </c>
      <c r="I11" s="30" t="n">
        <v>7</v>
      </c>
      <c r="J11" s="30" t="n">
        <v>8</v>
      </c>
      <c r="K11" s="30" t="n">
        <v>8</v>
      </c>
      <c r="L11" s="30" t="n">
        <v>7</v>
      </c>
      <c r="M11" s="30" t="n">
        <v>3</v>
      </c>
      <c r="N11" s="30" t="n">
        <v>7</v>
      </c>
      <c r="O11" s="31" t="n">
        <f aca="false">SUM(B11:N11)</f>
        <v>63</v>
      </c>
      <c r="P11" s="32" t="n">
        <f aca="false">O11/개요!$C$7</f>
        <v>0.403846153846154</v>
      </c>
      <c r="Q11" s="31" t="str">
        <f aca="false">IF(P11&gt;=$B$23,"주연",IF(P11&gt;=$B$24,"준주연",IF(P11&gt;=$B$25,"핵심 조연","조연")))</f>
        <v>핵심 조연</v>
      </c>
      <c r="R11" s="31" t="str">
        <f aca="false">IF(MAX(B11:N11)&lt;=개요!$C$6,"OK","확인")</f>
        <v>OK</v>
      </c>
      <c r="S11" s="30" t="s">
        <v>294</v>
      </c>
    </row>
    <row r="12" customFormat="false" ht="15" hidden="false" customHeight="true" outlineLevel="0" collapsed="false">
      <c r="A12" s="29" t="s">
        <v>185</v>
      </c>
      <c r="B12" s="30" t="n">
        <v>1</v>
      </c>
      <c r="C12" s="30" t="n">
        <v>1</v>
      </c>
      <c r="D12" s="30" t="n">
        <v>2</v>
      </c>
      <c r="E12" s="30" t="n">
        <v>1</v>
      </c>
      <c r="F12" s="30" t="n">
        <v>2</v>
      </c>
      <c r="G12" s="30" t="n">
        <v>4</v>
      </c>
      <c r="H12" s="30" t="n">
        <v>7</v>
      </c>
      <c r="I12" s="30" t="n">
        <v>8</v>
      </c>
      <c r="J12" s="30" t="n">
        <v>6</v>
      </c>
      <c r="K12" s="30" t="n">
        <v>7</v>
      </c>
      <c r="L12" s="30" t="n">
        <v>6</v>
      </c>
      <c r="M12" s="30" t="n">
        <v>2</v>
      </c>
      <c r="N12" s="30" t="n">
        <v>7</v>
      </c>
      <c r="O12" s="31" t="n">
        <f aca="false">SUM(B12:N12)</f>
        <v>54</v>
      </c>
      <c r="P12" s="32" t="n">
        <f aca="false">O12/개요!$C$7</f>
        <v>0.346153846153846</v>
      </c>
      <c r="Q12" s="31" t="str">
        <f aca="false">IF(P12&gt;=$B$23,"주연",IF(P12&gt;=$B$24,"준주연",IF(P12&gt;=$B$25,"핵심 조연","조연")))</f>
        <v>조연</v>
      </c>
      <c r="R12" s="31" t="str">
        <f aca="false">IF(MAX(B12:N12)&lt;=개요!$C$6,"OK","확인")</f>
        <v>OK</v>
      </c>
      <c r="S12" s="30" t="s">
        <v>294</v>
      </c>
    </row>
    <row r="13" customFormat="false" ht="15" hidden="false" customHeight="true" outlineLevel="0" collapsed="false">
      <c r="A13" s="29" t="s">
        <v>196</v>
      </c>
      <c r="B13" s="30" t="n">
        <v>1</v>
      </c>
      <c r="C13" s="30" t="n">
        <v>1</v>
      </c>
      <c r="D13" s="30" t="n">
        <v>1</v>
      </c>
      <c r="E13" s="30" t="n">
        <v>1</v>
      </c>
      <c r="F13" s="30" t="n">
        <v>1</v>
      </c>
      <c r="G13" s="30" t="n">
        <v>4</v>
      </c>
      <c r="H13" s="30" t="n">
        <v>6</v>
      </c>
      <c r="I13" s="30" t="n">
        <v>9</v>
      </c>
      <c r="J13" s="30" t="n">
        <v>7</v>
      </c>
      <c r="K13" s="30" t="n">
        <v>9</v>
      </c>
      <c r="L13" s="30" t="n">
        <v>7</v>
      </c>
      <c r="M13" s="30" t="n">
        <v>4</v>
      </c>
      <c r="N13" s="30" t="n">
        <v>7</v>
      </c>
      <c r="O13" s="31" t="n">
        <f aca="false">SUM(B13:N13)</f>
        <v>58</v>
      </c>
      <c r="P13" s="32" t="n">
        <f aca="false">O13/개요!$C$7</f>
        <v>0.371794871794872</v>
      </c>
      <c r="Q13" s="31" t="str">
        <f aca="false">IF(P13&gt;=$B$23,"주연",IF(P13&gt;=$B$24,"준주연",IF(P13&gt;=$B$25,"핵심 조연","조연")))</f>
        <v>조연</v>
      </c>
      <c r="R13" s="31" t="str">
        <f aca="false">IF(MAX(B13:N13)&lt;=개요!$C$6,"OK","확인")</f>
        <v>OK</v>
      </c>
      <c r="S13" s="30" t="s">
        <v>294</v>
      </c>
    </row>
    <row r="14" customFormat="false" ht="15" hidden="false" customHeight="true" outlineLevel="0" collapsed="false">
      <c r="A14" s="29" t="s">
        <v>208</v>
      </c>
      <c r="B14" s="30" t="n">
        <v>2</v>
      </c>
      <c r="C14" s="30" t="n">
        <v>1</v>
      </c>
      <c r="D14" s="30" t="n">
        <v>1</v>
      </c>
      <c r="E14" s="30" t="n">
        <v>2</v>
      </c>
      <c r="F14" s="30" t="n">
        <v>1</v>
      </c>
      <c r="G14" s="30" t="n">
        <v>4</v>
      </c>
      <c r="H14" s="30" t="n">
        <v>6</v>
      </c>
      <c r="I14" s="30" t="n">
        <v>6</v>
      </c>
      <c r="J14" s="30" t="n">
        <v>5</v>
      </c>
      <c r="K14" s="30" t="n">
        <v>6</v>
      </c>
      <c r="L14" s="30" t="n">
        <v>6</v>
      </c>
      <c r="M14" s="30" t="n">
        <v>1</v>
      </c>
      <c r="N14" s="30" t="n">
        <v>5</v>
      </c>
      <c r="O14" s="31" t="n">
        <f aca="false">SUM(B14:N14)</f>
        <v>46</v>
      </c>
      <c r="P14" s="32" t="n">
        <f aca="false">O14/개요!$C$7</f>
        <v>0.294871794871795</v>
      </c>
      <c r="Q14" s="31" t="str">
        <f aca="false">IF(P14&gt;=$B$23,"주연",IF(P14&gt;=$B$24,"준주연",IF(P14&gt;=$B$25,"핵심 조연","조연")))</f>
        <v>조연</v>
      </c>
      <c r="R14" s="31" t="str">
        <f aca="false">IF(MAX(B14:N14)&lt;=개요!$C$6,"OK","확인")</f>
        <v>OK</v>
      </c>
      <c r="S14" s="30" t="s">
        <v>294</v>
      </c>
    </row>
    <row r="15" customFormat="false" ht="15" hidden="false" customHeight="true" outlineLevel="0" collapsed="false">
      <c r="A15" s="29" t="s">
        <v>219</v>
      </c>
      <c r="B15" s="30" t="n">
        <v>12</v>
      </c>
      <c r="C15" s="30" t="n">
        <v>2</v>
      </c>
      <c r="D15" s="30" t="n">
        <v>2</v>
      </c>
      <c r="E15" s="30" t="n">
        <v>2</v>
      </c>
      <c r="F15" s="30" t="n">
        <v>2</v>
      </c>
      <c r="G15" s="30" t="n">
        <v>5</v>
      </c>
      <c r="H15" s="30" t="n">
        <v>8</v>
      </c>
      <c r="I15" s="30" t="n">
        <v>6</v>
      </c>
      <c r="J15" s="30" t="n">
        <v>4</v>
      </c>
      <c r="K15" s="30" t="n">
        <v>5</v>
      </c>
      <c r="L15" s="30" t="n">
        <v>8</v>
      </c>
      <c r="M15" s="30" t="n">
        <v>3</v>
      </c>
      <c r="N15" s="30" t="n">
        <v>10</v>
      </c>
      <c r="O15" s="31" t="n">
        <f aca="false">SUM(B15:N15)</f>
        <v>69</v>
      </c>
      <c r="P15" s="32" t="n">
        <f aca="false">O15/개요!$C$7</f>
        <v>0.442307692307692</v>
      </c>
      <c r="Q15" s="31" t="str">
        <f aca="false">IF(P15&gt;=$B$23,"주연",IF(P15&gt;=$B$24,"준주연",IF(P15&gt;=$B$25,"핵심 조연","조연")))</f>
        <v>핵심 조연</v>
      </c>
      <c r="R15" s="31" t="str">
        <f aca="false">IF(MAX(B15:N15)&lt;=개요!$C$6,"OK","확인")</f>
        <v>OK</v>
      </c>
      <c r="S15" s="30" t="s">
        <v>294</v>
      </c>
    </row>
    <row r="16" customFormat="false" ht="15" hidden="false" customHeight="true" outlineLevel="0" collapsed="false">
      <c r="A16" s="29" t="s">
        <v>230</v>
      </c>
      <c r="B16" s="30" t="n">
        <v>2</v>
      </c>
      <c r="C16" s="30" t="n">
        <v>1</v>
      </c>
      <c r="D16" s="30" t="n">
        <v>2</v>
      </c>
      <c r="E16" s="30" t="n">
        <v>1</v>
      </c>
      <c r="F16" s="30" t="n">
        <v>3</v>
      </c>
      <c r="G16" s="30" t="n">
        <v>5</v>
      </c>
      <c r="H16" s="30" t="n">
        <v>9</v>
      </c>
      <c r="I16" s="30" t="n">
        <v>8</v>
      </c>
      <c r="J16" s="30" t="n">
        <v>6</v>
      </c>
      <c r="K16" s="30" t="n">
        <v>6</v>
      </c>
      <c r="L16" s="30" t="n">
        <v>7</v>
      </c>
      <c r="M16" s="30" t="n">
        <v>2</v>
      </c>
      <c r="N16" s="30" t="n">
        <v>6</v>
      </c>
      <c r="O16" s="31" t="n">
        <f aca="false">SUM(B16:N16)</f>
        <v>58</v>
      </c>
      <c r="P16" s="32" t="n">
        <f aca="false">O16/개요!$C$7</f>
        <v>0.371794871794872</v>
      </c>
      <c r="Q16" s="31" t="str">
        <f aca="false">IF(P16&gt;=$B$23,"주연",IF(P16&gt;=$B$24,"준주연",IF(P16&gt;=$B$25,"핵심 조연","조연")))</f>
        <v>조연</v>
      </c>
      <c r="R16" s="31" t="str">
        <f aca="false">IF(MAX(B16:N16)&lt;=개요!$C$6,"OK","확인")</f>
        <v>OK</v>
      </c>
      <c r="S16" s="30" t="s">
        <v>294</v>
      </c>
    </row>
    <row r="17" customFormat="false" ht="15" hidden="false" customHeight="true" outlineLevel="0" collapsed="false">
      <c r="A17" s="29" t="s">
        <v>241</v>
      </c>
      <c r="B17" s="30" t="n">
        <v>12</v>
      </c>
      <c r="C17" s="30" t="n">
        <v>4</v>
      </c>
      <c r="D17" s="30" t="n">
        <v>4</v>
      </c>
      <c r="E17" s="30" t="n">
        <v>4</v>
      </c>
      <c r="F17" s="30" t="n">
        <v>4</v>
      </c>
      <c r="G17" s="30" t="n">
        <v>8</v>
      </c>
      <c r="H17" s="30" t="n">
        <v>10</v>
      </c>
      <c r="I17" s="30" t="n">
        <v>10</v>
      </c>
      <c r="J17" s="30" t="n">
        <v>9</v>
      </c>
      <c r="K17" s="30" t="n">
        <v>9</v>
      </c>
      <c r="L17" s="30" t="n">
        <v>10</v>
      </c>
      <c r="M17" s="30" t="n">
        <v>3</v>
      </c>
      <c r="N17" s="30" t="n">
        <v>12</v>
      </c>
      <c r="O17" s="31" t="n">
        <f aca="false">SUM(B17:N17)</f>
        <v>99</v>
      </c>
      <c r="P17" s="32" t="n">
        <f aca="false">O17/개요!$C$7</f>
        <v>0.634615384615385</v>
      </c>
      <c r="Q17" s="31" t="str">
        <f aca="false">IF(P17&gt;=$B$23,"주연",IF(P17&gt;=$B$24,"준주연",IF(P17&gt;=$B$25,"핵심 조연","조연")))</f>
        <v>준주연</v>
      </c>
      <c r="R17" s="31" t="str">
        <f aca="false">IF(MAX(B17:N17)&lt;=개요!$C$6,"OK","확인")</f>
        <v>OK</v>
      </c>
      <c r="S17" s="31" t="s">
        <v>294</v>
      </c>
    </row>
    <row r="18" customFormat="false" ht="15" hidden="false" customHeight="true" outlineLevel="0" collapsed="false">
      <c r="A18" s="29" t="s">
        <v>252</v>
      </c>
      <c r="B18" s="30" t="n">
        <v>2</v>
      </c>
      <c r="C18" s="30" t="n">
        <v>1</v>
      </c>
      <c r="D18" s="30" t="n">
        <v>1</v>
      </c>
      <c r="E18" s="30" t="n">
        <v>3</v>
      </c>
      <c r="F18" s="30" t="n">
        <v>1</v>
      </c>
      <c r="G18" s="30" t="n">
        <v>5</v>
      </c>
      <c r="H18" s="30" t="n">
        <v>8</v>
      </c>
      <c r="I18" s="30" t="n">
        <v>5</v>
      </c>
      <c r="J18" s="30" t="n">
        <v>7</v>
      </c>
      <c r="K18" s="30" t="n">
        <v>7</v>
      </c>
      <c r="L18" s="30" t="n">
        <v>9</v>
      </c>
      <c r="M18" s="30" t="n">
        <v>1</v>
      </c>
      <c r="N18" s="30" t="n">
        <v>6</v>
      </c>
      <c r="O18" s="31" t="n">
        <f aca="false">SUM(B18:N18)</f>
        <v>56</v>
      </c>
      <c r="P18" s="32" t="n">
        <f aca="false">O18/개요!$C$7</f>
        <v>0.358974358974359</v>
      </c>
      <c r="Q18" s="31" t="str">
        <f aca="false">IF(P18&gt;=$B$23,"주연",IF(P18&gt;=$B$24,"준주연",IF(P18&gt;=$B$25,"핵심 조연","조연")))</f>
        <v>조연</v>
      </c>
      <c r="R18" s="31" t="str">
        <f aca="false">IF(MAX(B18:N18)&lt;=개요!$C$6,"OK","확인")</f>
        <v>OK</v>
      </c>
      <c r="S18" s="30" t="s">
        <v>294</v>
      </c>
    </row>
    <row r="19" customFormat="false" ht="15" hidden="false" customHeight="true" outlineLevel="0" collapsed="false">
      <c r="A19" s="33" t="s">
        <v>264</v>
      </c>
      <c r="B19" s="34" t="n">
        <v>1</v>
      </c>
      <c r="C19" s="34" t="n">
        <v>1</v>
      </c>
      <c r="D19" s="34" t="n">
        <v>1</v>
      </c>
      <c r="E19" s="34" t="n">
        <v>3</v>
      </c>
      <c r="F19" s="34" t="n">
        <v>1</v>
      </c>
      <c r="G19" s="34" t="n">
        <v>5</v>
      </c>
      <c r="H19" s="34" t="n">
        <v>8</v>
      </c>
      <c r="I19" s="34" t="n">
        <v>5</v>
      </c>
      <c r="J19" s="34" t="n">
        <v>6</v>
      </c>
      <c r="K19" s="34" t="n">
        <v>6</v>
      </c>
      <c r="L19" s="34" t="n">
        <v>9</v>
      </c>
      <c r="M19" s="34" t="n">
        <v>1</v>
      </c>
      <c r="N19" s="34" t="n">
        <v>6</v>
      </c>
      <c r="O19" s="35" t="n">
        <f aca="false">SUM(B19:N19)</f>
        <v>53</v>
      </c>
      <c r="P19" s="36" t="n">
        <f aca="false">O19/개요!$C$7</f>
        <v>0.33974358974359</v>
      </c>
      <c r="Q19" s="36" t="str">
        <f aca="false">IF(P19&gt;=$B$23,"주연",IF(P19&gt;=$B$24,"준주연",IF(P19&gt;=$B$25,"핵심 조연","조연")))</f>
        <v>조연</v>
      </c>
      <c r="R19" s="36" t="str">
        <f aca="false">IF(MAX(B19:N19)&lt;=개요!$C$6,"OK","확인")</f>
        <v>OK</v>
      </c>
      <c r="S19" s="35" t="s">
        <v>294</v>
      </c>
    </row>
    <row r="20" customFormat="false" ht="16.5" hidden="false" customHeight="true" outlineLevel="0" collapsed="false">
      <c r="A20" s="28" t="s">
        <v>295</v>
      </c>
      <c r="B20" s="1" t="n">
        <f aca="false">SUM(B5:B19)</f>
        <v>68</v>
      </c>
      <c r="C20" s="1" t="n">
        <f aca="false">SUM(C5:C19)</f>
        <v>37</v>
      </c>
      <c r="D20" s="1" t="n">
        <f aca="false">SUM(D5:D19)</f>
        <v>39</v>
      </c>
      <c r="E20" s="1" t="n">
        <f aca="false">SUM(E5:E19)</f>
        <v>44</v>
      </c>
      <c r="F20" s="1" t="n">
        <f aca="false">SUM(F5:F19)</f>
        <v>40</v>
      </c>
      <c r="G20" s="1" t="n">
        <f aca="false">SUM(G5:G19)</f>
        <v>106</v>
      </c>
      <c r="H20" s="1" t="n">
        <f aca="false">SUM(H5:H19)</f>
        <v>131</v>
      </c>
      <c r="I20" s="1" t="n">
        <f aca="false">SUM(I5:I19)</f>
        <v>123</v>
      </c>
      <c r="J20" s="1" t="n">
        <f aca="false">SUM(J5:J19)</f>
        <v>114</v>
      </c>
      <c r="K20" s="1" t="n">
        <f aca="false">SUM(K5:K19)</f>
        <v>122</v>
      </c>
      <c r="L20" s="1" t="n">
        <f aca="false">SUM(L5:L19)</f>
        <v>124</v>
      </c>
      <c r="M20" s="1" t="n">
        <f aca="false">SUM(M5:M19)</f>
        <v>40</v>
      </c>
      <c r="N20" s="1" t="n">
        <f aca="false">SUM(N5:N19)</f>
        <v>113</v>
      </c>
      <c r="O20" s="1" t="n">
        <f aca="false">SUM(O5:O19)</f>
        <v>1101</v>
      </c>
      <c r="S20" s="1" t="n">
        <f aca="false">SUM(S5:S19)</f>
        <v>0</v>
      </c>
    </row>
    <row r="22" customFormat="false" ht="15" hidden="false" customHeight="true" outlineLevel="0" collapsed="false">
      <c r="A22" s="4"/>
      <c r="B22" s="5"/>
      <c r="C22" s="5"/>
    </row>
    <row r="23" customFormat="false" ht="15" hidden="false" customHeight="true" outlineLevel="0" collapsed="false">
      <c r="A23" s="13" t="s">
        <v>296</v>
      </c>
      <c r="B23" s="37" t="n">
        <v>0.69</v>
      </c>
      <c r="C23" s="20" t="str">
        <f aca="false">"← 기준값은 제안값입니다. 현재 구분: 주연 "&amp;COUNTIF($Q$5:$Q$19,"주연")&amp;" / 준주연 "&amp;COUNTIF($Q$5:$Q$19,"준주연")&amp;" / 핵심 조연 "&amp;COUNTIF($Q$5:$Q$19,"핵심 조연")&amp;" / 조연 "&amp;COUNTIF($Q$5:$Q$19,"조연")&amp;" (자동 계산)"</f>
        <v>← 기준값은 제안값입니다. 현재 구분: 주연 2 / 준주연 3 / 핵심 조연 4 / 조연 6 (자동 계산)</v>
      </c>
    </row>
    <row r="24" customFormat="false" ht="15" hidden="false" customHeight="true" outlineLevel="0" collapsed="false">
      <c r="A24" s="13" t="s">
        <v>297</v>
      </c>
      <c r="B24" s="37" t="n">
        <v>0.6</v>
      </c>
    </row>
    <row r="25" customFormat="false" ht="15" hidden="false" customHeight="true" outlineLevel="0" collapsed="false">
      <c r="A25" s="13" t="s">
        <v>298</v>
      </c>
      <c r="B25" s="37" t="n">
        <v>0.4</v>
      </c>
    </row>
    <row r="26" customFormat="false" ht="15" hidden="false" customHeight="true" outlineLevel="0" collapsed="false">
      <c r="A26" s="13" t="s">
        <v>299</v>
      </c>
      <c r="B26" s="15" t="s">
        <v>300</v>
      </c>
    </row>
    <row r="28" customFormat="false" ht="18" hidden="false" customHeight="true" outlineLevel="0" collapsed="false">
      <c r="A28" s="4" t="s">
        <v>301</v>
      </c>
      <c r="B28" s="5"/>
      <c r="C28" s="5"/>
      <c r="D28" s="5"/>
      <c r="E28" s="5"/>
      <c r="F28" s="5"/>
      <c r="G28" s="5"/>
      <c r="H28" s="5"/>
      <c r="I28" s="5"/>
      <c r="J28" s="5"/>
      <c r="K28" s="5"/>
      <c r="L28" s="5"/>
      <c r="M28" s="5"/>
      <c r="N28" s="5"/>
      <c r="O28" s="5"/>
      <c r="P28" s="5"/>
      <c r="Q28" s="5"/>
      <c r="R28" s="5"/>
    </row>
    <row r="29" customFormat="false" ht="29.25" hidden="false" customHeight="true" outlineLevel="0" collapsed="false">
      <c r="A29" s="38" t="s">
        <v>302</v>
      </c>
      <c r="B29" s="38"/>
      <c r="C29" s="38"/>
      <c r="D29" s="38"/>
      <c r="E29" s="38"/>
      <c r="F29" s="38"/>
      <c r="G29" s="38"/>
      <c r="H29" s="38"/>
      <c r="I29" s="38"/>
      <c r="J29" s="38"/>
      <c r="K29" s="38"/>
      <c r="L29" s="38"/>
      <c r="M29" s="38"/>
      <c r="N29" s="38"/>
      <c r="O29" s="38"/>
      <c r="P29" s="38"/>
      <c r="Q29" s="38"/>
      <c r="R29" s="38"/>
    </row>
    <row r="30" customFormat="false" ht="16.5" hidden="false" customHeight="true" outlineLevel="0" collapsed="false">
      <c r="A30" s="38" t="s">
        <v>303</v>
      </c>
      <c r="B30" s="38"/>
      <c r="C30" s="38"/>
      <c r="D30" s="38"/>
      <c r="E30" s="38"/>
      <c r="F30" s="38"/>
      <c r="G30" s="38"/>
      <c r="H30" s="38"/>
      <c r="I30" s="38"/>
      <c r="J30" s="38"/>
      <c r="K30" s="38"/>
      <c r="L30" s="38"/>
      <c r="M30" s="38"/>
      <c r="N30" s="38"/>
      <c r="O30" s="38"/>
      <c r="P30" s="38"/>
      <c r="Q30" s="38"/>
      <c r="R30" s="38"/>
    </row>
    <row r="31" customFormat="false" ht="16.5" hidden="false" customHeight="true" outlineLevel="0" collapsed="false">
      <c r="A31" s="38" t="s">
        <v>304</v>
      </c>
      <c r="B31" s="38"/>
      <c r="C31" s="38"/>
      <c r="D31" s="38"/>
      <c r="E31" s="38"/>
      <c r="F31" s="38"/>
      <c r="G31" s="38"/>
      <c r="H31" s="38"/>
      <c r="I31" s="38"/>
      <c r="J31" s="38"/>
      <c r="K31" s="38"/>
      <c r="L31" s="38"/>
      <c r="M31" s="38"/>
      <c r="N31" s="38"/>
      <c r="O31" s="38"/>
      <c r="P31" s="38"/>
      <c r="Q31" s="38"/>
      <c r="R31" s="38"/>
    </row>
    <row r="32" customFormat="false" ht="16.5" hidden="false" customHeight="true" outlineLevel="0" collapsed="false">
      <c r="A32" s="38" t="s">
        <v>305</v>
      </c>
      <c r="B32" s="38"/>
      <c r="C32" s="38"/>
      <c r="D32" s="38"/>
      <c r="E32" s="38"/>
      <c r="F32" s="38"/>
      <c r="G32" s="38"/>
      <c r="H32" s="38"/>
      <c r="I32" s="38"/>
      <c r="J32" s="38"/>
      <c r="K32" s="38"/>
      <c r="L32" s="38"/>
      <c r="M32" s="38"/>
      <c r="N32" s="38"/>
      <c r="O32" s="38"/>
      <c r="P32" s="38"/>
      <c r="Q32" s="38"/>
      <c r="R32" s="38"/>
    </row>
    <row r="33" customFormat="false" ht="16.5" hidden="false" customHeight="true" outlineLevel="0" collapsed="false">
      <c r="A33" s="38" t="s">
        <v>306</v>
      </c>
      <c r="B33" s="38"/>
      <c r="C33" s="38"/>
      <c r="D33" s="38"/>
      <c r="E33" s="38"/>
      <c r="F33" s="38"/>
      <c r="G33" s="38"/>
      <c r="H33" s="38"/>
      <c r="I33" s="38"/>
      <c r="J33" s="38"/>
      <c r="K33" s="38"/>
      <c r="L33" s="38"/>
      <c r="M33" s="38"/>
      <c r="N33" s="38"/>
      <c r="O33" s="38"/>
      <c r="P33" s="38"/>
      <c r="Q33" s="38"/>
      <c r="R33" s="38"/>
    </row>
    <row r="34" customFormat="false" ht="16.5" hidden="false" customHeight="true" outlineLevel="0" collapsed="false">
      <c r="A34" s="38" t="s">
        <v>307</v>
      </c>
      <c r="B34" s="38"/>
      <c r="C34" s="38"/>
      <c r="D34" s="38"/>
      <c r="E34" s="38"/>
      <c r="F34" s="38"/>
      <c r="G34" s="38"/>
      <c r="H34" s="38"/>
      <c r="I34" s="38"/>
      <c r="J34" s="38"/>
      <c r="K34" s="38"/>
      <c r="L34" s="38"/>
      <c r="M34" s="38"/>
      <c r="N34" s="38"/>
      <c r="O34" s="38"/>
      <c r="P34" s="38"/>
      <c r="Q34" s="38"/>
      <c r="R34" s="38"/>
    </row>
    <row r="35" customFormat="false" ht="16.5" hidden="false" customHeight="true" outlineLevel="0" collapsed="false">
      <c r="A35" s="38" t="s">
        <v>308</v>
      </c>
      <c r="B35" s="38"/>
      <c r="C35" s="38"/>
      <c r="D35" s="38"/>
      <c r="E35" s="38"/>
      <c r="F35" s="38"/>
      <c r="G35" s="38"/>
      <c r="H35" s="38"/>
      <c r="I35" s="38"/>
      <c r="J35" s="38"/>
      <c r="K35" s="38"/>
      <c r="L35" s="38"/>
      <c r="M35" s="38"/>
      <c r="N35" s="38"/>
      <c r="O35" s="38"/>
      <c r="P35" s="38"/>
      <c r="Q35" s="38"/>
      <c r="R35" s="38"/>
    </row>
    <row r="36" customFormat="false" ht="16.5" hidden="false" customHeight="true" outlineLevel="0" collapsed="false">
      <c r="A36" s="38" t="s">
        <v>309</v>
      </c>
      <c r="B36" s="38"/>
      <c r="C36" s="38"/>
      <c r="D36" s="38"/>
      <c r="E36" s="38"/>
      <c r="F36" s="38"/>
      <c r="G36" s="38"/>
      <c r="H36" s="38"/>
      <c r="I36" s="38"/>
      <c r="J36" s="38"/>
      <c r="K36" s="38"/>
      <c r="L36" s="38"/>
      <c r="M36" s="38"/>
      <c r="N36" s="38"/>
      <c r="O36" s="38"/>
      <c r="P36" s="38"/>
      <c r="Q36" s="38"/>
      <c r="R36" s="38"/>
    </row>
    <row r="37" customFormat="false" ht="16.5" hidden="false" customHeight="true" outlineLevel="0" collapsed="false">
      <c r="A37" s="38" t="s">
        <v>310</v>
      </c>
      <c r="B37" s="38"/>
      <c r="C37" s="38"/>
      <c r="D37" s="38"/>
      <c r="E37" s="38"/>
      <c r="F37" s="38"/>
      <c r="G37" s="38"/>
      <c r="H37" s="38"/>
      <c r="I37" s="38"/>
      <c r="J37" s="38"/>
      <c r="K37" s="38"/>
      <c r="L37" s="38"/>
      <c r="M37" s="38"/>
      <c r="N37" s="38"/>
      <c r="O37" s="38"/>
      <c r="P37" s="38"/>
      <c r="Q37" s="38"/>
      <c r="R37" s="38"/>
    </row>
    <row r="38" customFormat="false" ht="16.5" hidden="false" customHeight="true" outlineLevel="0" collapsed="false">
      <c r="A38" s="38" t="s">
        <v>311</v>
      </c>
      <c r="B38" s="38"/>
      <c r="C38" s="38"/>
      <c r="D38" s="38"/>
      <c r="E38" s="38"/>
      <c r="F38" s="38"/>
      <c r="G38" s="38"/>
      <c r="H38" s="38"/>
      <c r="I38" s="38"/>
      <c r="J38" s="38"/>
      <c r="K38" s="38"/>
      <c r="L38" s="38"/>
      <c r="M38" s="38"/>
      <c r="N38" s="38"/>
      <c r="O38" s="38"/>
      <c r="P38" s="38"/>
      <c r="Q38" s="38"/>
      <c r="R38" s="38"/>
    </row>
    <row r="39" customFormat="false" ht="16.5" hidden="false" customHeight="true" outlineLevel="0" collapsed="false">
      <c r="A39" s="38" t="s">
        <v>312</v>
      </c>
      <c r="B39" s="38"/>
      <c r="C39" s="38"/>
      <c r="D39" s="38"/>
      <c r="E39" s="38"/>
      <c r="F39" s="38"/>
      <c r="G39" s="38"/>
      <c r="H39" s="38"/>
      <c r="I39" s="38"/>
      <c r="J39" s="38"/>
      <c r="K39" s="38"/>
      <c r="L39" s="38"/>
      <c r="M39" s="38"/>
      <c r="N39" s="38"/>
      <c r="O39" s="38"/>
      <c r="P39" s="38"/>
      <c r="Q39" s="38"/>
      <c r="R39" s="38"/>
    </row>
  </sheetData>
  <mergeCells count="11">
    <mergeCell ref="A29:R29"/>
    <mergeCell ref="A30:R30"/>
    <mergeCell ref="A31:R31"/>
    <mergeCell ref="A32:R32"/>
    <mergeCell ref="A33:R33"/>
    <mergeCell ref="A34:R34"/>
    <mergeCell ref="A35:R35"/>
    <mergeCell ref="A36:R36"/>
    <mergeCell ref="A37:R37"/>
    <mergeCell ref="A38:R38"/>
    <mergeCell ref="A39:R39"/>
  </mergeCells>
  <conditionalFormatting sqref="B5:N19">
    <cfRule type="colorScale" priority="2">
      <colorScale>
        <cfvo type="num" val="0"/>
        <cfvo type="num" val="12"/>
        <color rgb="FFFFFFFF"/>
        <color rgb="FF9DC3E6"/>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15" min="3" style="1" width="9"/>
  </cols>
  <sheetData>
    <row r="1" customFormat="false" ht="24" hidden="false" customHeight="true" outlineLevel="0" collapsed="false">
      <c r="A1" s="21" t="s">
        <v>313</v>
      </c>
    </row>
    <row r="2" customFormat="false" ht="15" hidden="false" customHeight="true" outlineLevel="0" collapsed="false">
      <c r="A2" s="20" t="s">
        <v>314</v>
      </c>
    </row>
    <row r="4" customFormat="false" ht="18" hidden="false" customHeight="true" outlineLevel="0" collapsed="false">
      <c r="A4" s="39" t="s">
        <v>315</v>
      </c>
      <c r="B4" s="5"/>
      <c r="C4" s="5"/>
      <c r="D4" s="5"/>
      <c r="E4" s="5"/>
      <c r="F4" s="5"/>
      <c r="G4" s="5"/>
      <c r="H4" s="5"/>
      <c r="I4" s="5"/>
      <c r="J4" s="5"/>
      <c r="K4" s="5"/>
      <c r="L4" s="5"/>
      <c r="M4" s="5"/>
      <c r="N4" s="5"/>
    </row>
    <row r="5" customFormat="false" ht="15" hidden="false" customHeight="true" outlineLevel="0" collapsed="false">
      <c r="A5" s="13" t="s">
        <v>316</v>
      </c>
      <c r="B5" s="30" t="n">
        <v>120</v>
      </c>
    </row>
    <row r="6" customFormat="false" ht="15" hidden="false" customHeight="true" outlineLevel="0" collapsed="false">
      <c r="A6" s="13" t="s">
        <v>317</v>
      </c>
      <c r="B6" s="40" t="n">
        <v>130</v>
      </c>
    </row>
    <row r="7" customFormat="false" ht="15" hidden="false" customHeight="true" outlineLevel="0" collapsed="false">
      <c r="A7" s="13" t="s">
        <v>7</v>
      </c>
      <c r="B7" s="31" t="n">
        <f aca="false">개요!$C$7</f>
        <v>156</v>
      </c>
    </row>
    <row r="8" customFormat="false" ht="15" hidden="false" customHeight="true" outlineLevel="0" collapsed="false">
      <c r="A8" s="13" t="s">
        <v>318</v>
      </c>
      <c r="B8" s="41" t="n">
        <f aca="false">B5*B7</f>
        <v>18720</v>
      </c>
    </row>
    <row r="9" customFormat="false" ht="15" hidden="false" customHeight="true" outlineLevel="0" collapsed="false">
      <c r="A9" s="13" t="s">
        <v>319</v>
      </c>
      <c r="B9" s="42" t="s">
        <v>320</v>
      </c>
    </row>
    <row r="11" customFormat="false" ht="15" hidden="false" customHeight="true" outlineLevel="0" collapsed="false">
      <c r="A11" s="39" t="s">
        <v>321</v>
      </c>
      <c r="P11" s="1"/>
    </row>
    <row r="12" customFormat="false" ht="31.5" hidden="false" customHeight="true" outlineLevel="0" collapsed="false">
      <c r="A12" s="23" t="s">
        <v>322</v>
      </c>
      <c r="B12" s="23" t="s">
        <v>323</v>
      </c>
      <c r="C12" s="22" t="s">
        <v>324</v>
      </c>
      <c r="D12" s="22" t="s">
        <v>325</v>
      </c>
      <c r="E12" s="22" t="s">
        <v>326</v>
      </c>
      <c r="F12" s="22" t="s">
        <v>327</v>
      </c>
      <c r="G12" s="22" t="s">
        <v>328</v>
      </c>
      <c r="H12" s="22" t="s">
        <v>329</v>
      </c>
      <c r="I12" s="22" t="s">
        <v>330</v>
      </c>
      <c r="J12" s="22" t="s">
        <v>331</v>
      </c>
      <c r="K12" s="22" t="s">
        <v>332</v>
      </c>
      <c r="L12" s="22" t="s">
        <v>333</v>
      </c>
      <c r="M12" s="22" t="s">
        <v>334</v>
      </c>
      <c r="N12" s="22" t="s">
        <v>335</v>
      </c>
      <c r="O12" s="22" t="s">
        <v>336</v>
      </c>
      <c r="P12" s="1"/>
    </row>
    <row r="13" customFormat="false" ht="15" hidden="false" customHeight="true" outlineLevel="0" collapsed="false">
      <c r="A13" s="43" t="s">
        <v>103</v>
      </c>
      <c r="B13" s="30" t="n">
        <v>13</v>
      </c>
      <c r="C13" s="44" t="n">
        <v>0.13</v>
      </c>
      <c r="D13" s="44" t="n">
        <v>0.48</v>
      </c>
      <c r="E13" s="44" t="n">
        <v>0.03</v>
      </c>
      <c r="F13" s="44" t="n">
        <v>0.02</v>
      </c>
      <c r="G13" s="44" t="n">
        <v>0.02</v>
      </c>
      <c r="H13" s="44" t="n">
        <v>0.13</v>
      </c>
      <c r="I13" s="44" t="n">
        <v>0.14</v>
      </c>
      <c r="J13" s="44" t="n">
        <v>0.14</v>
      </c>
      <c r="K13" s="44" t="n">
        <v>0.08</v>
      </c>
      <c r="L13" s="44" t="n">
        <v>0.17</v>
      </c>
      <c r="M13" s="44" t="n">
        <v>0.14</v>
      </c>
      <c r="N13" s="44" t="n">
        <v>0.15</v>
      </c>
      <c r="O13" s="44" t="n">
        <v>0.07</v>
      </c>
      <c r="P13" s="1"/>
    </row>
    <row r="14" customFormat="false" ht="15" hidden="false" customHeight="true" outlineLevel="0" collapsed="false">
      <c r="A14" s="43" t="s">
        <v>116</v>
      </c>
      <c r="B14" s="30" t="n">
        <v>8</v>
      </c>
      <c r="C14" s="44" t="n">
        <v>0.12</v>
      </c>
      <c r="D14" s="44" t="n">
        <v>0.03</v>
      </c>
      <c r="E14" s="44" t="n">
        <v>0.46</v>
      </c>
      <c r="F14" s="44" t="n">
        <v>0.04</v>
      </c>
      <c r="G14" s="44" t="n">
        <v>0.03</v>
      </c>
      <c r="H14" s="44" t="n">
        <v>0.12</v>
      </c>
      <c r="I14" s="44" t="n">
        <v>0.07</v>
      </c>
      <c r="J14" s="44" t="n">
        <v>0.07</v>
      </c>
      <c r="K14" s="44" t="n">
        <v>0.11</v>
      </c>
      <c r="L14" s="44" t="n">
        <v>0.06</v>
      </c>
      <c r="M14" s="44" t="n">
        <v>0.09</v>
      </c>
      <c r="N14" s="44" t="n">
        <v>0.09</v>
      </c>
      <c r="O14" s="44" t="n">
        <v>0.06</v>
      </c>
      <c r="P14" s="1"/>
    </row>
    <row r="15" customFormat="false" ht="15" hidden="false" customHeight="true" outlineLevel="0" collapsed="false">
      <c r="A15" s="43" t="s">
        <v>128</v>
      </c>
      <c r="B15" s="30" t="n">
        <v>11</v>
      </c>
      <c r="C15" s="44" t="n">
        <v>0.12</v>
      </c>
      <c r="D15" s="44" t="n">
        <v>0.04</v>
      </c>
      <c r="E15" s="44" t="n">
        <v>0.04</v>
      </c>
      <c r="F15" s="44" t="n">
        <v>0.46</v>
      </c>
      <c r="G15" s="44" t="n">
        <v>0.04</v>
      </c>
      <c r="H15" s="44" t="n">
        <v>0.12</v>
      </c>
      <c r="I15" s="44" t="n">
        <v>0.1</v>
      </c>
      <c r="J15" s="44" t="n">
        <v>0.08</v>
      </c>
      <c r="K15" s="44" t="n">
        <v>0.14</v>
      </c>
      <c r="L15" s="44" t="n">
        <v>0.07</v>
      </c>
      <c r="M15" s="44" t="n">
        <v>0.1</v>
      </c>
      <c r="N15" s="44" t="n">
        <v>0.11</v>
      </c>
      <c r="O15" s="44" t="n">
        <v>0.07</v>
      </c>
      <c r="P15" s="1"/>
    </row>
    <row r="16" customFormat="false" ht="15" hidden="false" customHeight="true" outlineLevel="0" collapsed="false">
      <c r="A16" s="43" t="s">
        <v>139</v>
      </c>
      <c r="B16" s="30" t="n">
        <v>12</v>
      </c>
      <c r="C16" s="44" t="n">
        <v>0.12</v>
      </c>
      <c r="D16" s="44" t="n">
        <v>0.05</v>
      </c>
      <c r="E16" s="44" t="n">
        <v>0.03</v>
      </c>
      <c r="F16" s="44" t="n">
        <v>0.03</v>
      </c>
      <c r="G16" s="44" t="n">
        <v>0.46</v>
      </c>
      <c r="H16" s="44" t="n">
        <v>0.12</v>
      </c>
      <c r="I16" s="44" t="n">
        <v>0.06</v>
      </c>
      <c r="J16" s="44" t="n">
        <v>0.08</v>
      </c>
      <c r="K16" s="44" t="n">
        <v>0.08</v>
      </c>
      <c r="L16" s="44" t="n">
        <v>0.1</v>
      </c>
      <c r="M16" s="44" t="n">
        <v>0.08</v>
      </c>
      <c r="N16" s="44" t="n">
        <v>0.08</v>
      </c>
      <c r="O16" s="44" t="n">
        <v>0.07</v>
      </c>
      <c r="P16" s="1"/>
    </row>
    <row r="17" customFormat="false" ht="15" hidden="false" customHeight="true" outlineLevel="0" collapsed="false">
      <c r="A17" s="43" t="s">
        <v>150</v>
      </c>
      <c r="B17" s="30" t="n">
        <v>14</v>
      </c>
      <c r="C17" s="44" t="n">
        <v>0.08</v>
      </c>
      <c r="D17" s="44" t="n">
        <v>0.04</v>
      </c>
      <c r="E17" s="44" t="n">
        <v>0.04</v>
      </c>
      <c r="F17" s="44" t="n">
        <v>0.04</v>
      </c>
      <c r="G17" s="44" t="n">
        <v>0.04</v>
      </c>
      <c r="H17" s="44" t="n">
        <v>0.04</v>
      </c>
      <c r="I17" s="44" t="n">
        <v>0.06</v>
      </c>
      <c r="J17" s="44" t="n">
        <v>0.05</v>
      </c>
      <c r="K17" s="44" t="n">
        <v>0.04</v>
      </c>
      <c r="L17" s="44" t="n">
        <v>0.06</v>
      </c>
      <c r="M17" s="44" t="n">
        <v>0.04</v>
      </c>
      <c r="N17" s="44" t="n">
        <v>0</v>
      </c>
      <c r="O17" s="44" t="n">
        <v>0.02</v>
      </c>
      <c r="P17" s="1"/>
    </row>
    <row r="18" customFormat="false" ht="15" hidden="false" customHeight="true" outlineLevel="0" collapsed="false">
      <c r="A18" s="43" t="s">
        <v>162</v>
      </c>
      <c r="B18" s="30" t="n">
        <v>11</v>
      </c>
      <c r="C18" s="44" t="n">
        <v>0.02</v>
      </c>
      <c r="D18" s="44" t="n">
        <v>0.01</v>
      </c>
      <c r="E18" s="44" t="n">
        <v>0.01</v>
      </c>
      <c r="F18" s="44" t="n">
        <v>0.01</v>
      </c>
      <c r="G18" s="44" t="n">
        <v>0.01</v>
      </c>
      <c r="H18" s="44" t="n">
        <v>0.03</v>
      </c>
      <c r="I18" s="44" t="n">
        <v>0.04</v>
      </c>
      <c r="J18" s="44" t="n">
        <v>0.06</v>
      </c>
      <c r="K18" s="44" t="n">
        <v>0.04</v>
      </c>
      <c r="L18" s="44" t="n">
        <v>0.06</v>
      </c>
      <c r="M18" s="44" t="n">
        <v>0.04</v>
      </c>
      <c r="N18" s="44" t="n">
        <v>0.05</v>
      </c>
      <c r="O18" s="44" t="n">
        <v>0.03</v>
      </c>
      <c r="P18" s="1"/>
    </row>
    <row r="19" customFormat="false" ht="15" hidden="false" customHeight="true" outlineLevel="0" collapsed="false">
      <c r="A19" s="43" t="s">
        <v>174</v>
      </c>
      <c r="B19" s="30" t="n">
        <v>7</v>
      </c>
      <c r="C19" s="44" t="n">
        <v>0.02</v>
      </c>
      <c r="D19" s="44" t="n">
        <v>0.01</v>
      </c>
      <c r="E19" s="44" t="n">
        <v>0.01</v>
      </c>
      <c r="F19" s="44" t="n">
        <v>0.01</v>
      </c>
      <c r="G19" s="44" t="n">
        <v>0.01</v>
      </c>
      <c r="H19" s="44" t="n">
        <v>0.05</v>
      </c>
      <c r="I19" s="44" t="n">
        <v>0.06</v>
      </c>
      <c r="J19" s="44" t="n">
        <v>0.06</v>
      </c>
      <c r="K19" s="44" t="n">
        <v>0.04</v>
      </c>
      <c r="L19" s="44" t="n">
        <v>0.08</v>
      </c>
      <c r="M19" s="44" t="n">
        <v>0.07</v>
      </c>
      <c r="N19" s="44" t="n">
        <v>0.07</v>
      </c>
      <c r="O19" s="44" t="n">
        <v>0.06</v>
      </c>
      <c r="P19" s="1"/>
    </row>
    <row r="20" customFormat="false" ht="15" hidden="false" customHeight="true" outlineLevel="0" collapsed="false">
      <c r="A20" s="43" t="s">
        <v>185</v>
      </c>
      <c r="B20" s="30" t="n">
        <v>12</v>
      </c>
      <c r="C20" s="44" t="n">
        <v>0.02</v>
      </c>
      <c r="D20" s="44" t="n">
        <v>0.01</v>
      </c>
      <c r="E20" s="44" t="n">
        <v>0.01</v>
      </c>
      <c r="F20" s="44" t="n">
        <v>0.01</v>
      </c>
      <c r="G20" s="44" t="n">
        <v>0.01</v>
      </c>
      <c r="H20" s="44" t="n">
        <v>0.03</v>
      </c>
      <c r="I20" s="44" t="n">
        <v>0.03</v>
      </c>
      <c r="J20" s="44" t="n">
        <v>0.07</v>
      </c>
      <c r="K20" s="44" t="n">
        <v>0.05</v>
      </c>
      <c r="L20" s="44" t="n">
        <v>0.07</v>
      </c>
      <c r="M20" s="44" t="n">
        <v>0.05</v>
      </c>
      <c r="N20" s="44" t="n">
        <v>0.05</v>
      </c>
      <c r="O20" s="44" t="n">
        <v>0.05</v>
      </c>
      <c r="P20" s="1"/>
    </row>
    <row r="21" customFormat="false" ht="15" hidden="false" customHeight="true" outlineLevel="0" collapsed="false">
      <c r="A21" s="43" t="s">
        <v>196</v>
      </c>
      <c r="B21" s="30" t="n">
        <v>9</v>
      </c>
      <c r="C21" s="44" t="n">
        <v>0.02</v>
      </c>
      <c r="D21" s="44" t="n">
        <v>0.01</v>
      </c>
      <c r="E21" s="44" t="n">
        <v>0.01</v>
      </c>
      <c r="F21" s="44" t="n">
        <v>0.01</v>
      </c>
      <c r="G21" s="44" t="n">
        <v>0.01</v>
      </c>
      <c r="H21" s="44" t="n">
        <v>0.03</v>
      </c>
      <c r="I21" s="44" t="n">
        <v>0.06</v>
      </c>
      <c r="J21" s="44" t="n">
        <v>0.03</v>
      </c>
      <c r="K21" s="44" t="n">
        <v>0.04</v>
      </c>
      <c r="L21" s="44" t="n">
        <v>0.03</v>
      </c>
      <c r="M21" s="44" t="n">
        <v>0.05</v>
      </c>
      <c r="N21" s="44" t="n">
        <v>0.05</v>
      </c>
      <c r="O21" s="44" t="n">
        <v>0.08</v>
      </c>
      <c r="P21" s="1"/>
    </row>
    <row r="22" customFormat="false" ht="15" hidden="false" customHeight="true" outlineLevel="0" collapsed="false">
      <c r="A22" s="43" t="s">
        <v>208</v>
      </c>
      <c r="B22" s="30" t="n">
        <v>10</v>
      </c>
      <c r="C22" s="44" t="n">
        <v>0.02</v>
      </c>
      <c r="D22" s="44" t="n">
        <v>0.01</v>
      </c>
      <c r="E22" s="44" t="n">
        <v>0.03</v>
      </c>
      <c r="F22" s="44" t="n">
        <v>0.04</v>
      </c>
      <c r="G22" s="44" t="n">
        <v>0.01</v>
      </c>
      <c r="H22" s="44" t="n">
        <v>0.03</v>
      </c>
      <c r="I22" s="44" t="n">
        <v>0.08</v>
      </c>
      <c r="J22" s="44" t="n">
        <v>0.06</v>
      </c>
      <c r="K22" s="44" t="n">
        <v>0.07</v>
      </c>
      <c r="L22" s="44" t="n">
        <v>0.05</v>
      </c>
      <c r="M22" s="44" t="n">
        <v>0.06</v>
      </c>
      <c r="N22" s="44" t="n">
        <v>0.06</v>
      </c>
      <c r="O22" s="44" t="n">
        <v>0.05</v>
      </c>
      <c r="P22" s="1"/>
    </row>
    <row r="23" customFormat="false" ht="15" hidden="false" customHeight="true" outlineLevel="0" collapsed="false">
      <c r="A23" s="43" t="s">
        <v>219</v>
      </c>
      <c r="B23" s="30" t="n">
        <v>9</v>
      </c>
      <c r="C23" s="44" t="n">
        <v>0.12</v>
      </c>
      <c r="D23" s="44" t="n">
        <v>0.04</v>
      </c>
      <c r="E23" s="44" t="n">
        <v>0.03</v>
      </c>
      <c r="F23" s="44" t="n">
        <v>0.03</v>
      </c>
      <c r="G23" s="44" t="n">
        <v>0.03</v>
      </c>
      <c r="H23" s="44" t="n">
        <v>0.05</v>
      </c>
      <c r="I23" s="44" t="n">
        <v>0.04</v>
      </c>
      <c r="J23" s="44" t="n">
        <v>0.05</v>
      </c>
      <c r="K23" s="44" t="n">
        <v>0.03</v>
      </c>
      <c r="L23" s="44" t="n">
        <v>0.04</v>
      </c>
      <c r="M23" s="44" t="n">
        <v>0.04</v>
      </c>
      <c r="N23" s="44" t="n">
        <v>0.04</v>
      </c>
      <c r="O23" s="44" t="n">
        <v>0.13</v>
      </c>
      <c r="P23" s="1"/>
    </row>
    <row r="24" customFormat="false" ht="15" hidden="false" customHeight="true" outlineLevel="0" collapsed="false">
      <c r="A24" s="43" t="s">
        <v>230</v>
      </c>
      <c r="B24" s="30" t="n">
        <v>10</v>
      </c>
      <c r="C24" s="44" t="n">
        <v>0.01</v>
      </c>
      <c r="D24" s="44" t="n">
        <v>0.02</v>
      </c>
      <c r="E24" s="44" t="n">
        <v>0.01</v>
      </c>
      <c r="F24" s="44" t="n">
        <v>0.01</v>
      </c>
      <c r="G24" s="44" t="n">
        <v>0.09</v>
      </c>
      <c r="H24" s="44" t="n">
        <v>0.05</v>
      </c>
      <c r="I24" s="44" t="n">
        <v>0.06</v>
      </c>
      <c r="J24" s="44" t="n">
        <v>0.08</v>
      </c>
      <c r="K24" s="44" t="n">
        <v>0.08</v>
      </c>
      <c r="L24" s="44" t="n">
        <v>0.06</v>
      </c>
      <c r="M24" s="44" t="n">
        <v>0.05</v>
      </c>
      <c r="N24" s="44" t="n">
        <v>0.05</v>
      </c>
      <c r="O24" s="44" t="n">
        <v>0.05</v>
      </c>
      <c r="P24" s="1"/>
    </row>
    <row r="25" customFormat="false" ht="15" hidden="false" customHeight="true" outlineLevel="0" collapsed="false">
      <c r="A25" s="43" t="s">
        <v>241</v>
      </c>
      <c r="B25" s="30" t="n">
        <v>7</v>
      </c>
      <c r="C25" s="44" t="n">
        <v>0.16</v>
      </c>
      <c r="D25" s="44" t="n">
        <v>0.08</v>
      </c>
      <c r="E25" s="44" t="n">
        <v>0.08</v>
      </c>
      <c r="F25" s="44" t="n">
        <v>0.08</v>
      </c>
      <c r="G25" s="44" t="n">
        <v>0.08</v>
      </c>
      <c r="H25" s="44" t="n">
        <v>0.11</v>
      </c>
      <c r="I25" s="44" t="n">
        <v>0.06</v>
      </c>
      <c r="J25" s="44" t="n">
        <v>0.06</v>
      </c>
      <c r="K25" s="44" t="n">
        <v>0.09</v>
      </c>
      <c r="L25" s="44" t="n">
        <v>0.05</v>
      </c>
      <c r="M25" s="44" t="n">
        <v>0.08</v>
      </c>
      <c r="N25" s="44" t="n">
        <v>0.08</v>
      </c>
      <c r="O25" s="44" t="n">
        <v>0.17</v>
      </c>
      <c r="P25" s="1"/>
    </row>
    <row r="26" customFormat="false" ht="15" hidden="false" customHeight="true" outlineLevel="0" collapsed="false">
      <c r="A26" s="43" t="s">
        <v>252</v>
      </c>
      <c r="B26" s="30" t="n">
        <v>11</v>
      </c>
      <c r="C26" s="44" t="n">
        <v>0.01</v>
      </c>
      <c r="D26" s="44" t="n">
        <v>0.02</v>
      </c>
      <c r="E26" s="44" t="n">
        <v>0.01</v>
      </c>
      <c r="F26" s="44" t="n">
        <v>0.08</v>
      </c>
      <c r="G26" s="44" t="n">
        <v>0.01</v>
      </c>
      <c r="H26" s="44" t="n">
        <v>0.02</v>
      </c>
      <c r="I26" s="44" t="n">
        <v>0.06</v>
      </c>
      <c r="J26" s="44" t="n">
        <v>0.03</v>
      </c>
      <c r="K26" s="44" t="n">
        <v>0.05</v>
      </c>
      <c r="L26" s="44" t="n">
        <v>0.03</v>
      </c>
      <c r="M26" s="44" t="n">
        <v>0.05</v>
      </c>
      <c r="N26" s="44" t="n">
        <v>0.05</v>
      </c>
      <c r="O26" s="44" t="n">
        <v>0.02</v>
      </c>
      <c r="P26" s="1"/>
    </row>
    <row r="27" customFormat="false" ht="15" hidden="false" customHeight="true" outlineLevel="0" collapsed="false">
      <c r="A27" s="43" t="s">
        <v>264</v>
      </c>
      <c r="B27" s="30" t="n">
        <v>9</v>
      </c>
      <c r="C27" s="44" t="n">
        <v>0.01</v>
      </c>
      <c r="D27" s="44" t="n">
        <v>0.01</v>
      </c>
      <c r="E27" s="44" t="n">
        <v>0.04</v>
      </c>
      <c r="F27" s="44" t="n">
        <v>0.01</v>
      </c>
      <c r="G27" s="44" t="n">
        <v>0.04</v>
      </c>
      <c r="H27" s="44" t="n">
        <v>0.03</v>
      </c>
      <c r="I27" s="44" t="n">
        <v>0.05</v>
      </c>
      <c r="J27" s="44" t="n">
        <v>0.06</v>
      </c>
      <c r="K27" s="44" t="n">
        <v>0.04</v>
      </c>
      <c r="L27" s="44" t="n">
        <v>0.05</v>
      </c>
      <c r="M27" s="44" t="n">
        <v>0.04</v>
      </c>
      <c r="N27" s="44" t="n">
        <v>0.04</v>
      </c>
      <c r="O27" s="44" t="n">
        <v>0.05</v>
      </c>
      <c r="P27" s="1"/>
    </row>
    <row r="28" customFormat="false" ht="15" hidden="false" customHeight="true" outlineLevel="0" collapsed="false">
      <c r="A28" s="45" t="s">
        <v>337</v>
      </c>
      <c r="B28" s="30" t="n">
        <v>10</v>
      </c>
      <c r="C28" s="44" t="n">
        <v>0.02</v>
      </c>
      <c r="D28" s="44" t="n">
        <v>0.14</v>
      </c>
      <c r="E28" s="44" t="n">
        <v>0.16</v>
      </c>
      <c r="F28" s="44" t="n">
        <v>0.12</v>
      </c>
      <c r="G28" s="44" t="n">
        <v>0.11</v>
      </c>
      <c r="H28" s="44" t="n">
        <v>0.04</v>
      </c>
      <c r="I28" s="44" t="n">
        <v>0.03</v>
      </c>
      <c r="J28" s="44" t="n">
        <v>0.02</v>
      </c>
      <c r="K28" s="44" t="n">
        <v>0.02</v>
      </c>
      <c r="L28" s="44" t="n">
        <v>0.02</v>
      </c>
      <c r="M28" s="44" t="n">
        <v>0.02</v>
      </c>
      <c r="N28" s="44" t="n">
        <v>0.03</v>
      </c>
      <c r="O28" s="44" t="n">
        <v>0.02</v>
      </c>
      <c r="P28" s="1"/>
    </row>
    <row r="29" customFormat="false" ht="15" hidden="false" customHeight="true" outlineLevel="0" collapsed="false">
      <c r="A29" s="46" t="s">
        <v>290</v>
      </c>
      <c r="B29" s="47"/>
      <c r="C29" s="48" t="n">
        <f aca="false">SUM(C13:C28)</f>
        <v>1</v>
      </c>
      <c r="D29" s="48" t="n">
        <f aca="false">SUM(D13:D28)</f>
        <v>1</v>
      </c>
      <c r="E29" s="48" t="n">
        <f aca="false">SUM(E13:E28)</f>
        <v>1</v>
      </c>
      <c r="F29" s="48" t="n">
        <f aca="false">SUM(F13:F28)</f>
        <v>1</v>
      </c>
      <c r="G29" s="48" t="n">
        <f aca="false">SUM(G13:G28)</f>
        <v>1</v>
      </c>
      <c r="H29" s="48" t="n">
        <f aca="false">SUM(H13:H28)</f>
        <v>1</v>
      </c>
      <c r="I29" s="48" t="n">
        <f aca="false">SUM(I13:I28)</f>
        <v>1</v>
      </c>
      <c r="J29" s="48" t="n">
        <f aca="false">SUM(J13:J28)</f>
        <v>1</v>
      </c>
      <c r="K29" s="48" t="n">
        <f aca="false">SUM(K13:K28)</f>
        <v>1</v>
      </c>
      <c r="L29" s="48" t="n">
        <f aca="false">SUM(L13:L28)</f>
        <v>1</v>
      </c>
      <c r="M29" s="48" t="n">
        <f aca="false">SUM(M13:M28)</f>
        <v>1</v>
      </c>
      <c r="N29" s="48" t="n">
        <f aca="false">SUM(N13:N28)</f>
        <v>1</v>
      </c>
      <c r="O29" s="48" t="n">
        <f aca="false">SUM(O13:O28)</f>
        <v>1</v>
      </c>
      <c r="P29" s="1"/>
    </row>
    <row r="30" customFormat="false" ht="15" hidden="false" customHeight="true" outlineLevel="0" collapsed="false">
      <c r="A30" s="46" t="s">
        <v>338</v>
      </c>
      <c r="B30" s="47"/>
      <c r="C30" s="47" t="str">
        <f aca="false">IF(ROUND(C29,4)=1,"OK","확인")</f>
        <v>OK</v>
      </c>
      <c r="D30" s="47" t="str">
        <f aca="false">IF(ROUND(D29,4)=1,"OK","확인")</f>
        <v>OK</v>
      </c>
      <c r="E30" s="47" t="str">
        <f aca="false">IF(ROUND(E29,4)=1,"OK","확인")</f>
        <v>OK</v>
      </c>
      <c r="F30" s="47" t="str">
        <f aca="false">IF(ROUND(F29,4)=1,"OK","확인")</f>
        <v>OK</v>
      </c>
      <c r="G30" s="47" t="str">
        <f aca="false">IF(ROUND(G29,4)=1,"OK","확인")</f>
        <v>OK</v>
      </c>
      <c r="H30" s="47" t="str">
        <f aca="false">IF(ROUND(H29,4)=1,"OK","확인")</f>
        <v>OK</v>
      </c>
      <c r="I30" s="47" t="str">
        <f aca="false">IF(ROUND(I29,4)=1,"OK","확인")</f>
        <v>OK</v>
      </c>
      <c r="J30" s="47" t="str">
        <f aca="false">IF(ROUND(J29,4)=1,"OK","확인")</f>
        <v>OK</v>
      </c>
      <c r="K30" s="47" t="str">
        <f aca="false">IF(ROUND(K29,4)=1,"OK","확인")</f>
        <v>OK</v>
      </c>
      <c r="L30" s="47" t="str">
        <f aca="false">IF(ROUND(L29,4)=1,"OK","확인")</f>
        <v>OK</v>
      </c>
      <c r="M30" s="47" t="str">
        <f aca="false">IF(ROUND(M29,4)=1,"OK","확인")</f>
        <v>OK</v>
      </c>
      <c r="N30" s="47" t="str">
        <f aca="false">IF(ROUND(N29,4)=1,"OK","확인")</f>
        <v>OK</v>
      </c>
      <c r="O30" s="47" t="str">
        <f aca="false">IF(ROUND(O29,4)=1,"OK","확인")</f>
        <v>OK</v>
      </c>
      <c r="P30" s="1"/>
    </row>
    <row r="31" customFormat="false" ht="15" hidden="false" customHeight="true" outlineLevel="0" collapsed="false">
      <c r="P31" s="1"/>
    </row>
    <row r="32" customFormat="false" ht="15" hidden="false" customHeight="true" outlineLevel="0" collapsed="false">
      <c r="A32" s="39" t="s">
        <v>339</v>
      </c>
      <c r="P32" s="1"/>
    </row>
    <row r="33" customFormat="false" ht="31.5" hidden="false" customHeight="true" outlineLevel="0" collapsed="false">
      <c r="A33" s="23" t="s">
        <v>340</v>
      </c>
      <c r="B33" s="23" t="s">
        <v>341</v>
      </c>
      <c r="C33" s="23" t="s">
        <v>342</v>
      </c>
      <c r="D33" s="23" t="s">
        <v>343</v>
      </c>
      <c r="E33" s="23" t="s">
        <v>323</v>
      </c>
      <c r="F33" s="23" t="s">
        <v>344</v>
      </c>
      <c r="G33" s="23" t="s">
        <v>345</v>
      </c>
      <c r="H33" s="23" t="s">
        <v>346</v>
      </c>
      <c r="I33" s="23" t="s">
        <v>347</v>
      </c>
      <c r="P33" s="1"/>
    </row>
    <row r="34" customFormat="false" ht="15" hidden="false" customHeight="true" outlineLevel="0" collapsed="false">
      <c r="A34" s="49" t="s">
        <v>348</v>
      </c>
      <c r="B34" s="50" t="n">
        <v>0.8</v>
      </c>
      <c r="C34" s="31" t="n">
        <f aca="false">$B$5</f>
        <v>120</v>
      </c>
      <c r="D34" s="41" t="n">
        <f aca="false">C34*개요!$C$6</f>
        <v>1440</v>
      </c>
      <c r="E34" s="51" t="n">
        <f aca="false">SUMPRODUCT(C$13:C$28,$B$13:$B$28)*B34</f>
        <v>8.168</v>
      </c>
      <c r="F34" s="41" t="n">
        <f aca="false">C34*E34</f>
        <v>980.16</v>
      </c>
      <c r="G34" s="41" t="n">
        <f aca="false">F34*개요!$C$6</f>
        <v>11761.92</v>
      </c>
      <c r="H34" s="51" t="n">
        <f aca="false">F34/$B$6</f>
        <v>7.53969230769231</v>
      </c>
      <c r="I34" s="51" t="n">
        <f aca="false">H34*개요!$C$6/60</f>
        <v>1.50793846153846</v>
      </c>
      <c r="P34" s="1"/>
    </row>
    <row r="35" customFormat="false" ht="15" hidden="false" customHeight="true" outlineLevel="0" collapsed="false">
      <c r="A35" s="49" t="s">
        <v>349</v>
      </c>
      <c r="B35" s="50" t="n">
        <v>1</v>
      </c>
      <c r="C35" s="31" t="n">
        <f aca="false">$B$5</f>
        <v>120</v>
      </c>
      <c r="D35" s="41" t="n">
        <f aca="false">C35*개요!$C$6</f>
        <v>1440</v>
      </c>
      <c r="E35" s="51" t="n">
        <f aca="false">SUMPRODUCT(D$13:D$28,$B$13:$B$28)*B35</f>
        <v>11.4</v>
      </c>
      <c r="F35" s="41" t="n">
        <f aca="false">C35*E35</f>
        <v>1368</v>
      </c>
      <c r="G35" s="41" t="n">
        <f aca="false">F35*개요!$C$6</f>
        <v>16416</v>
      </c>
      <c r="H35" s="51" t="n">
        <f aca="false">F35/$B$6</f>
        <v>10.5230769230769</v>
      </c>
      <c r="I35" s="51" t="n">
        <f aca="false">H35*개요!$C$6/60</f>
        <v>2.10461538461538</v>
      </c>
      <c r="P35" s="1"/>
    </row>
    <row r="36" customFormat="false" ht="15" hidden="false" customHeight="true" outlineLevel="0" collapsed="false">
      <c r="A36" s="49" t="s">
        <v>350</v>
      </c>
      <c r="B36" s="50" t="n">
        <v>1</v>
      </c>
      <c r="C36" s="31" t="n">
        <f aca="false">$B$5</f>
        <v>120</v>
      </c>
      <c r="D36" s="41" t="n">
        <f aca="false">C36*개요!$C$6</f>
        <v>1440</v>
      </c>
      <c r="E36" s="51" t="n">
        <f aca="false">SUMPRODUCT(E$13:E$28,$B$13:$B$28)*B36</f>
        <v>9.12</v>
      </c>
      <c r="F36" s="41" t="n">
        <f aca="false">C36*E36</f>
        <v>1094.4</v>
      </c>
      <c r="G36" s="41" t="n">
        <f aca="false">F36*개요!$C$6</f>
        <v>13132.8</v>
      </c>
      <c r="H36" s="51" t="n">
        <f aca="false">F36/$B$6</f>
        <v>8.41846153846154</v>
      </c>
      <c r="I36" s="51" t="n">
        <f aca="false">H36*개요!$C$6/60</f>
        <v>1.68369230769231</v>
      </c>
      <c r="P36" s="1"/>
    </row>
    <row r="37" customFormat="false" ht="15" hidden="false" customHeight="true" outlineLevel="0" collapsed="false">
      <c r="A37" s="49" t="s">
        <v>351</v>
      </c>
      <c r="B37" s="50" t="n">
        <v>1</v>
      </c>
      <c r="C37" s="31" t="n">
        <f aca="false">$B$5</f>
        <v>120</v>
      </c>
      <c r="D37" s="41" t="n">
        <f aca="false">C37*개요!$C$6</f>
        <v>1440</v>
      </c>
      <c r="E37" s="51" t="n">
        <f aca="false">SUMPRODUCT(F$13:F$28,$B$13:$B$28)*B37</f>
        <v>10.45</v>
      </c>
      <c r="F37" s="41" t="n">
        <f aca="false">C37*E37</f>
        <v>1254</v>
      </c>
      <c r="G37" s="41" t="n">
        <f aca="false">F37*개요!$C$6</f>
        <v>15048</v>
      </c>
      <c r="H37" s="51" t="n">
        <f aca="false">F37/$B$6</f>
        <v>9.64615384615385</v>
      </c>
      <c r="I37" s="51" t="n">
        <f aca="false">H37*개요!$C$6/60</f>
        <v>1.92923076923077</v>
      </c>
      <c r="P37" s="1"/>
    </row>
    <row r="38" customFormat="false" ht="15" hidden="false" customHeight="true" outlineLevel="0" collapsed="false">
      <c r="A38" s="49" t="s">
        <v>352</v>
      </c>
      <c r="B38" s="50" t="n">
        <v>1</v>
      </c>
      <c r="C38" s="31" t="n">
        <f aca="false">$B$5</f>
        <v>120</v>
      </c>
      <c r="D38" s="41" t="n">
        <f aca="false">C38*개요!$C$6</f>
        <v>1440</v>
      </c>
      <c r="E38" s="51" t="n">
        <f aca="false">SUMPRODUCT(G$13:G$28,$B$13:$B$28)*B38</f>
        <v>10.81</v>
      </c>
      <c r="F38" s="41" t="n">
        <f aca="false">C38*E38</f>
        <v>1297.2</v>
      </c>
      <c r="G38" s="41" t="n">
        <f aca="false">F38*개요!$C$6</f>
        <v>15566.4</v>
      </c>
      <c r="H38" s="51" t="n">
        <f aca="false">F38/$B$6</f>
        <v>9.97846153846154</v>
      </c>
      <c r="I38" s="51" t="n">
        <f aca="false">H38*개요!$C$6/60</f>
        <v>1.99569230769231</v>
      </c>
      <c r="P38" s="1"/>
    </row>
    <row r="39" customFormat="false" ht="15" hidden="false" customHeight="true" outlineLevel="0" collapsed="false">
      <c r="A39" s="49" t="s">
        <v>353</v>
      </c>
      <c r="B39" s="50" t="n">
        <v>1</v>
      </c>
      <c r="C39" s="31" t="n">
        <f aca="false">$B$5</f>
        <v>120</v>
      </c>
      <c r="D39" s="41" t="n">
        <f aca="false">C39*개요!$C$6</f>
        <v>1440</v>
      </c>
      <c r="E39" s="51" t="n">
        <f aca="false">SUMPRODUCT(H$13:H$28,$B$13:$B$28)*B39</f>
        <v>10.19</v>
      </c>
      <c r="F39" s="41" t="n">
        <f aca="false">C39*E39</f>
        <v>1222.8</v>
      </c>
      <c r="G39" s="41" t="n">
        <f aca="false">F39*개요!$C$6</f>
        <v>14673.6</v>
      </c>
      <c r="H39" s="51" t="n">
        <f aca="false">F39/$B$6</f>
        <v>9.40615384615385</v>
      </c>
      <c r="I39" s="51" t="n">
        <f aca="false">H39*개요!$C$6/60</f>
        <v>1.88123076923077</v>
      </c>
      <c r="P39" s="1"/>
    </row>
    <row r="40" customFormat="false" ht="15" hidden="false" customHeight="true" outlineLevel="0" collapsed="false">
      <c r="A40" s="49" t="s">
        <v>354</v>
      </c>
      <c r="B40" s="50" t="n">
        <v>1</v>
      </c>
      <c r="C40" s="31" t="n">
        <f aca="false">$B$5</f>
        <v>120</v>
      </c>
      <c r="D40" s="41" t="n">
        <f aca="false">C40*개요!$C$6</f>
        <v>1440</v>
      </c>
      <c r="E40" s="51" t="n">
        <f aca="false">SUMPRODUCT(I$13:I$28,$B$13:$B$28)*B40</f>
        <v>10.39</v>
      </c>
      <c r="F40" s="41" t="n">
        <f aca="false">C40*E40</f>
        <v>1246.8</v>
      </c>
      <c r="G40" s="41" t="n">
        <f aca="false">F40*개요!$C$6</f>
        <v>14961.6</v>
      </c>
      <c r="H40" s="51" t="n">
        <f aca="false">F40/$B$6</f>
        <v>9.59076923076923</v>
      </c>
      <c r="I40" s="51" t="n">
        <f aca="false">H40*개요!$C$6/60</f>
        <v>1.91815384615385</v>
      </c>
      <c r="P40" s="1"/>
    </row>
    <row r="41" customFormat="false" ht="15" hidden="false" customHeight="true" outlineLevel="0" collapsed="false">
      <c r="A41" s="49" t="s">
        <v>355</v>
      </c>
      <c r="B41" s="50" t="n">
        <v>1.1</v>
      </c>
      <c r="C41" s="31" t="n">
        <f aca="false">$B$5</f>
        <v>120</v>
      </c>
      <c r="D41" s="41" t="n">
        <f aca="false">C41*개요!$C$6</f>
        <v>1440</v>
      </c>
      <c r="E41" s="51" t="n">
        <f aca="false">SUMPRODUCT(J$13:J$28,$B$13:$B$28)*B41</f>
        <v>11.495</v>
      </c>
      <c r="F41" s="41" t="n">
        <f aca="false">C41*E41</f>
        <v>1379.4</v>
      </c>
      <c r="G41" s="41" t="n">
        <f aca="false">F41*개요!$C$6</f>
        <v>16552.8</v>
      </c>
      <c r="H41" s="51" t="n">
        <f aca="false">F41/$B$6</f>
        <v>10.6107692307692</v>
      </c>
      <c r="I41" s="51" t="n">
        <f aca="false">H41*개요!$C$6/60</f>
        <v>2.12215384615385</v>
      </c>
      <c r="P41" s="1"/>
    </row>
    <row r="42" customFormat="false" ht="15" hidden="false" customHeight="true" outlineLevel="0" collapsed="false">
      <c r="A42" s="49" t="s">
        <v>356</v>
      </c>
      <c r="B42" s="50" t="n">
        <v>1.1</v>
      </c>
      <c r="C42" s="31" t="n">
        <f aca="false">$B$5</f>
        <v>120</v>
      </c>
      <c r="D42" s="41" t="n">
        <f aca="false">C42*개요!$C$6</f>
        <v>1440</v>
      </c>
      <c r="E42" s="51" t="n">
        <f aca="false">SUMPRODUCT(K$13:K$28,$B$13:$B$28)*B42</f>
        <v>11.187</v>
      </c>
      <c r="F42" s="41" t="n">
        <f aca="false">C42*E42</f>
        <v>1342.44</v>
      </c>
      <c r="G42" s="41" t="n">
        <f aca="false">F42*개요!$C$6</f>
        <v>16109.28</v>
      </c>
      <c r="H42" s="51" t="n">
        <f aca="false">F42/$B$6</f>
        <v>10.3264615384615</v>
      </c>
      <c r="I42" s="51" t="n">
        <f aca="false">H42*개요!$C$6/60</f>
        <v>2.06529230769231</v>
      </c>
      <c r="P42" s="1"/>
    </row>
    <row r="43" customFormat="false" ht="15" hidden="false" customHeight="true" outlineLevel="0" collapsed="false">
      <c r="A43" s="49" t="s">
        <v>357</v>
      </c>
      <c r="B43" s="50" t="n">
        <v>1.2</v>
      </c>
      <c r="C43" s="31" t="n">
        <f aca="false">$B$5</f>
        <v>120</v>
      </c>
      <c r="D43" s="41" t="n">
        <f aca="false">C43*개요!$C$6</f>
        <v>1440</v>
      </c>
      <c r="E43" s="51" t="n">
        <f aca="false">SUMPRODUCT(L$13:L$28,$B$13:$B$28)*B43</f>
        <v>12.744</v>
      </c>
      <c r="F43" s="41" t="n">
        <f aca="false">C43*E43</f>
        <v>1529.28</v>
      </c>
      <c r="G43" s="41" t="n">
        <f aca="false">F43*개요!$C$6</f>
        <v>18351.36</v>
      </c>
      <c r="H43" s="51" t="n">
        <f aca="false">F43/$B$6</f>
        <v>11.7636923076923</v>
      </c>
      <c r="I43" s="51" t="n">
        <f aca="false">H43*개요!$C$6/60</f>
        <v>2.35273846153846</v>
      </c>
      <c r="P43" s="1"/>
    </row>
    <row r="44" customFormat="false" ht="15" hidden="false" customHeight="true" outlineLevel="0" collapsed="false">
      <c r="A44" s="49" t="s">
        <v>358</v>
      </c>
      <c r="B44" s="50" t="n">
        <v>1.2</v>
      </c>
      <c r="C44" s="31" t="n">
        <f aca="false">$B$5</f>
        <v>120</v>
      </c>
      <c r="D44" s="41" t="n">
        <f aca="false">C44*개요!$C$6</f>
        <v>1440</v>
      </c>
      <c r="E44" s="51" t="n">
        <f aca="false">SUMPRODUCT(M$13:M$28,$B$13:$B$28)*B44</f>
        <v>12.324</v>
      </c>
      <c r="F44" s="41" t="n">
        <f aca="false">C44*E44</f>
        <v>1478.88</v>
      </c>
      <c r="G44" s="41" t="n">
        <f aca="false">F44*개요!$C$6</f>
        <v>17746.56</v>
      </c>
      <c r="H44" s="51" t="n">
        <f aca="false">F44/$B$6</f>
        <v>11.376</v>
      </c>
      <c r="I44" s="51" t="n">
        <f aca="false">H44*개요!$C$6/60</f>
        <v>2.2752</v>
      </c>
      <c r="P44" s="1"/>
    </row>
    <row r="45" customFormat="false" ht="15" hidden="false" customHeight="true" outlineLevel="0" collapsed="false">
      <c r="A45" s="49" t="s">
        <v>359</v>
      </c>
      <c r="B45" s="50" t="n">
        <v>1.2</v>
      </c>
      <c r="C45" s="31" t="n">
        <f aca="false">$B$5</f>
        <v>120</v>
      </c>
      <c r="D45" s="41" t="n">
        <f aca="false">C45*개요!$C$6</f>
        <v>1440</v>
      </c>
      <c r="E45" s="51" t="n">
        <f aca="false">SUMPRODUCT(N$13:N$28,$B$13:$B$28)*B45</f>
        <v>12.192</v>
      </c>
      <c r="F45" s="41" t="n">
        <f aca="false">C45*E45</f>
        <v>1463.04</v>
      </c>
      <c r="G45" s="41" t="n">
        <f aca="false">F45*개요!$C$6</f>
        <v>17556.48</v>
      </c>
      <c r="H45" s="51" t="n">
        <f aca="false">F45/$B$6</f>
        <v>11.2541538461538</v>
      </c>
      <c r="I45" s="51" t="n">
        <f aca="false">H45*개요!$C$6/60</f>
        <v>2.25083076923077</v>
      </c>
      <c r="P45" s="1"/>
    </row>
    <row r="46" customFormat="false" ht="15" hidden="false" customHeight="true" outlineLevel="0" collapsed="false">
      <c r="A46" s="49" t="s">
        <v>360</v>
      </c>
      <c r="B46" s="50" t="n">
        <v>0.8</v>
      </c>
      <c r="C46" s="31" t="n">
        <f aca="false">$B$5</f>
        <v>120</v>
      </c>
      <c r="D46" s="41" t="n">
        <f aca="false">C46*개요!$C$6</f>
        <v>1440</v>
      </c>
      <c r="E46" s="51" t="n">
        <f aca="false">SUMPRODUCT(O$13:O$28,$B$13:$B$28)*B46</f>
        <v>7.664</v>
      </c>
      <c r="F46" s="41" t="n">
        <f aca="false">C46*E46</f>
        <v>919.68</v>
      </c>
      <c r="G46" s="41" t="n">
        <f aca="false">F46*개요!$C$6</f>
        <v>11036.16</v>
      </c>
      <c r="H46" s="51" t="n">
        <f aca="false">F46/$B$6</f>
        <v>7.07446153846154</v>
      </c>
      <c r="I46" s="51" t="n">
        <f aca="false">H46*개요!$C$6/60</f>
        <v>1.41489230769231</v>
      </c>
      <c r="P46" s="1"/>
    </row>
    <row r="47" customFormat="false" ht="15" hidden="false" customHeight="true" outlineLevel="0" collapsed="false">
      <c r="A47" s="52" t="s">
        <v>361</v>
      </c>
      <c r="B47" s="53"/>
      <c r="C47" s="53"/>
      <c r="D47" s="53" t="n">
        <f aca="false">SUM(D34:D46)</f>
        <v>18720</v>
      </c>
      <c r="E47" s="54" t="n">
        <f aca="false">G47/D47</f>
        <v>10.6256923076923</v>
      </c>
      <c r="F47" s="53" t="n">
        <f aca="false">AVERAGE(F34:F46)</f>
        <v>1275.08307692308</v>
      </c>
      <c r="G47" s="53" t="n">
        <f aca="false">SUM(G34:G46)</f>
        <v>198912.96</v>
      </c>
      <c r="H47" s="54" t="n">
        <f aca="false">AVERAGE(H34:H46)</f>
        <v>9.80833136094675</v>
      </c>
      <c r="I47" s="54" t="n">
        <f aca="false">SUM(I34:I46)</f>
        <v>25.5016615384615</v>
      </c>
      <c r="P47" s="1"/>
    </row>
    <row r="48" customFormat="false" ht="15" hidden="false" customHeight="true" outlineLevel="0" collapsed="false">
      <c r="A48" s="20" t="s">
        <v>362</v>
      </c>
      <c r="P48" s="1"/>
    </row>
    <row r="49" customFormat="false" ht="15" hidden="false" customHeight="true" outlineLevel="0" collapsed="false">
      <c r="P49" s="1"/>
    </row>
    <row r="50" customFormat="false" ht="15" hidden="false" customHeight="true" outlineLevel="0" collapsed="false">
      <c r="A50" s="39" t="s">
        <v>363</v>
      </c>
      <c r="P50" s="1"/>
    </row>
    <row r="51" customFormat="false" ht="15" hidden="false" customHeight="true" outlineLevel="0" collapsed="false">
      <c r="A51" s="23" t="s">
        <v>364</v>
      </c>
      <c r="B51" s="23" t="s">
        <v>365</v>
      </c>
      <c r="C51" s="23" t="s">
        <v>366</v>
      </c>
      <c r="D51" s="23" t="s">
        <v>367</v>
      </c>
      <c r="E51" s="23" t="s">
        <v>368</v>
      </c>
      <c r="F51" s="23" t="s">
        <v>369</v>
      </c>
      <c r="G51" s="23" t="s">
        <v>290</v>
      </c>
      <c r="H51" s="23" t="s">
        <v>338</v>
      </c>
      <c r="I51" s="23" t="s">
        <v>370</v>
      </c>
      <c r="J51" s="23"/>
      <c r="K51" s="23"/>
      <c r="L51" s="23"/>
      <c r="M51" s="23"/>
      <c r="N51" s="23"/>
      <c r="O51" s="23"/>
      <c r="P51" s="1"/>
    </row>
    <row r="52" customFormat="false" ht="15" hidden="false" customHeight="true" outlineLevel="0" collapsed="false">
      <c r="A52" s="55" t="s">
        <v>371</v>
      </c>
      <c r="B52" s="56" t="n">
        <v>15</v>
      </c>
      <c r="C52" s="56" t="n">
        <v>35</v>
      </c>
      <c r="D52" s="56" t="n">
        <v>30</v>
      </c>
      <c r="E52" s="56" t="n">
        <v>25</v>
      </c>
      <c r="F52" s="56" t="n">
        <v>15</v>
      </c>
      <c r="G52" s="57" t="n">
        <f aca="false">SUM(B52:F52)</f>
        <v>120</v>
      </c>
      <c r="H52" s="57" t="str">
        <f aca="false">IF(G52=$B$5,"OK","확인")</f>
        <v>OK</v>
      </c>
      <c r="I52" s="58" t="s">
        <v>372</v>
      </c>
      <c r="J52" s="58"/>
      <c r="K52" s="58"/>
      <c r="L52" s="58"/>
      <c r="M52" s="58"/>
      <c r="N52" s="58"/>
      <c r="O52" s="58"/>
      <c r="P52" s="1"/>
    </row>
    <row r="53" customFormat="false" ht="15" hidden="false" customHeight="true" outlineLevel="0" collapsed="false">
      <c r="A53" s="55" t="s">
        <v>373</v>
      </c>
      <c r="B53" s="56" t="n">
        <v>15</v>
      </c>
      <c r="C53" s="56" t="n">
        <v>30</v>
      </c>
      <c r="D53" s="56" t="n">
        <v>30</v>
      </c>
      <c r="E53" s="56" t="n">
        <v>25</v>
      </c>
      <c r="F53" s="56" t="n">
        <v>20</v>
      </c>
      <c r="G53" s="57" t="n">
        <f aca="false">SUM(B53:F53)</f>
        <v>120</v>
      </c>
      <c r="H53" s="57" t="str">
        <f aca="false">IF(G53=$B$5,"OK","확인")</f>
        <v>OK</v>
      </c>
      <c r="I53" s="59" t="s">
        <v>374</v>
      </c>
      <c r="J53" s="59"/>
      <c r="K53" s="59"/>
      <c r="L53" s="59"/>
      <c r="M53" s="59"/>
      <c r="N53" s="59"/>
      <c r="O53" s="59"/>
      <c r="P53" s="1"/>
    </row>
    <row r="54" customFormat="false" ht="15" hidden="false" customHeight="true" outlineLevel="0" collapsed="false">
      <c r="A54" s="55" t="s">
        <v>375</v>
      </c>
      <c r="B54" s="56" t="n">
        <v>15</v>
      </c>
      <c r="C54" s="56" t="n">
        <v>30</v>
      </c>
      <c r="D54" s="56" t="n">
        <v>25</v>
      </c>
      <c r="E54" s="56" t="n">
        <v>35</v>
      </c>
      <c r="F54" s="56" t="n">
        <v>15</v>
      </c>
      <c r="G54" s="57" t="n">
        <f aca="false">SUM(B54:F54)</f>
        <v>120</v>
      </c>
      <c r="H54" s="57" t="str">
        <f aca="false">IF(G54=$B$5,"OK","확인")</f>
        <v>OK</v>
      </c>
      <c r="I54" s="59" t="s">
        <v>376</v>
      </c>
      <c r="J54" s="59"/>
      <c r="K54" s="59"/>
      <c r="L54" s="59"/>
      <c r="M54" s="59"/>
      <c r="N54" s="59"/>
      <c r="O54" s="59"/>
      <c r="P54" s="1"/>
    </row>
    <row r="55" customFormat="false" ht="15" hidden="false" customHeight="true" outlineLevel="0" collapsed="false">
      <c r="A55" s="55" t="s">
        <v>377</v>
      </c>
      <c r="B55" s="56" t="n">
        <v>15</v>
      </c>
      <c r="C55" s="56" t="n">
        <v>30</v>
      </c>
      <c r="D55" s="56" t="n">
        <v>25</v>
      </c>
      <c r="E55" s="56" t="n">
        <v>35</v>
      </c>
      <c r="F55" s="56" t="n">
        <v>15</v>
      </c>
      <c r="G55" s="57" t="n">
        <f aca="false">SUM(B55:F55)</f>
        <v>120</v>
      </c>
      <c r="H55" s="57" t="str">
        <f aca="false">IF(G55=$B$5,"OK","확인")</f>
        <v>OK</v>
      </c>
      <c r="I55" s="59" t="s">
        <v>378</v>
      </c>
      <c r="J55" s="59"/>
      <c r="K55" s="59"/>
      <c r="L55" s="59"/>
      <c r="M55" s="59"/>
      <c r="N55" s="59"/>
      <c r="O55" s="59"/>
      <c r="P55" s="1"/>
    </row>
    <row r="56" customFormat="false" ht="15" hidden="false" customHeight="true" outlineLevel="0" collapsed="false">
      <c r="A56" s="55" t="s">
        <v>379</v>
      </c>
      <c r="B56" s="56" t="n">
        <v>10</v>
      </c>
      <c r="C56" s="56" t="n">
        <v>30</v>
      </c>
      <c r="D56" s="56" t="n">
        <v>30</v>
      </c>
      <c r="E56" s="56" t="n">
        <v>40</v>
      </c>
      <c r="F56" s="56" t="n">
        <v>10</v>
      </c>
      <c r="G56" s="57" t="n">
        <f aca="false">SUM(B56:F56)</f>
        <v>120</v>
      </c>
      <c r="H56" s="57" t="str">
        <f aca="false">IF(G56=$B$5,"OK","확인")</f>
        <v>OK</v>
      </c>
      <c r="I56" s="59" t="s">
        <v>380</v>
      </c>
      <c r="J56" s="59"/>
      <c r="K56" s="59"/>
      <c r="L56" s="59"/>
      <c r="M56" s="59"/>
      <c r="N56" s="59"/>
      <c r="O56" s="59"/>
      <c r="P56" s="1"/>
    </row>
    <row r="57" customFormat="false" ht="15" hidden="false" customHeight="true" outlineLevel="0" collapsed="false">
      <c r="A57" s="55" t="s">
        <v>381</v>
      </c>
      <c r="B57" s="56" t="n">
        <v>20</v>
      </c>
      <c r="C57" s="56" t="n">
        <v>25</v>
      </c>
      <c r="D57" s="56" t="n">
        <v>25</v>
      </c>
      <c r="E57" s="56" t="n">
        <v>25</v>
      </c>
      <c r="F57" s="56" t="n">
        <v>25</v>
      </c>
      <c r="G57" s="57" t="n">
        <f aca="false">SUM(B57:F57)</f>
        <v>120</v>
      </c>
      <c r="H57" s="57" t="str">
        <f aca="false">IF(G57=$B$5,"OK","확인")</f>
        <v>OK</v>
      </c>
      <c r="I57" s="59" t="s">
        <v>382</v>
      </c>
      <c r="J57" s="59"/>
      <c r="K57" s="59"/>
      <c r="L57" s="59"/>
      <c r="M57" s="59"/>
      <c r="N57" s="59"/>
      <c r="O57" s="59"/>
      <c r="P57" s="1"/>
    </row>
    <row r="58" customFormat="false" ht="15" hidden="false" customHeight="true" outlineLevel="0" collapsed="false">
      <c r="P58" s="1"/>
    </row>
    <row r="59" customFormat="false" ht="15" hidden="false" customHeight="true" outlineLevel="0" collapsed="false">
      <c r="A59" s="39" t="s">
        <v>383</v>
      </c>
      <c r="P59" s="1"/>
    </row>
    <row r="60" customFormat="false" ht="15" hidden="false" customHeight="true" outlineLevel="0" collapsed="false">
      <c r="A60" s="38" t="s">
        <v>384</v>
      </c>
      <c r="B60" s="38"/>
      <c r="C60" s="38"/>
      <c r="D60" s="38"/>
      <c r="E60" s="38"/>
      <c r="F60" s="38"/>
      <c r="G60" s="38"/>
      <c r="H60" s="38"/>
      <c r="I60" s="38"/>
      <c r="J60" s="38"/>
      <c r="K60" s="38"/>
      <c r="L60" s="38"/>
      <c r="M60" s="38"/>
      <c r="N60" s="38"/>
      <c r="O60" s="38"/>
      <c r="P60" s="1"/>
    </row>
    <row r="61" customFormat="false" ht="15" hidden="false" customHeight="true" outlineLevel="0" collapsed="false">
      <c r="A61" s="38" t="s">
        <v>385</v>
      </c>
      <c r="B61" s="38"/>
      <c r="C61" s="38"/>
      <c r="D61" s="38"/>
      <c r="E61" s="38"/>
      <c r="F61" s="38"/>
      <c r="G61" s="38"/>
      <c r="H61" s="38"/>
      <c r="I61" s="38"/>
      <c r="J61" s="38"/>
      <c r="K61" s="38"/>
      <c r="L61" s="38"/>
      <c r="M61" s="38"/>
      <c r="N61" s="38"/>
      <c r="O61" s="38"/>
      <c r="P61" s="1"/>
    </row>
    <row r="62" customFormat="false" ht="15" hidden="false" customHeight="true" outlineLevel="0" collapsed="false">
      <c r="A62" s="38" t="s">
        <v>386</v>
      </c>
      <c r="B62" s="38"/>
      <c r="C62" s="38"/>
      <c r="D62" s="38"/>
      <c r="E62" s="38"/>
      <c r="F62" s="38"/>
      <c r="G62" s="38"/>
      <c r="H62" s="38"/>
      <c r="I62" s="38"/>
      <c r="J62" s="38"/>
      <c r="K62" s="38"/>
      <c r="L62" s="38"/>
      <c r="M62" s="38"/>
      <c r="N62" s="38"/>
      <c r="O62" s="38"/>
      <c r="P62" s="1"/>
    </row>
    <row r="63" customFormat="false" ht="15" hidden="false" customHeight="true" outlineLevel="0" collapsed="false">
      <c r="A63" s="38" t="s">
        <v>387</v>
      </c>
      <c r="B63" s="38"/>
      <c r="C63" s="38"/>
      <c r="D63" s="38"/>
      <c r="E63" s="38"/>
      <c r="F63" s="38"/>
      <c r="G63" s="38"/>
      <c r="H63" s="38"/>
      <c r="I63" s="38"/>
      <c r="J63" s="38"/>
      <c r="K63" s="38"/>
      <c r="L63" s="38"/>
      <c r="M63" s="38"/>
      <c r="N63" s="38"/>
      <c r="O63" s="38"/>
      <c r="P63" s="1"/>
    </row>
    <row r="64" customFormat="false" ht="15" hidden="false" customHeight="true" outlineLevel="0" collapsed="false">
      <c r="A64" s="38" t="s">
        <v>388</v>
      </c>
      <c r="B64" s="38"/>
      <c r="C64" s="38"/>
      <c r="D64" s="38"/>
      <c r="E64" s="38"/>
      <c r="F64" s="38"/>
      <c r="G64" s="38"/>
      <c r="H64" s="38"/>
      <c r="I64" s="38"/>
      <c r="J64" s="38"/>
      <c r="K64" s="38"/>
      <c r="L64" s="38"/>
      <c r="M64" s="38"/>
      <c r="N64" s="38"/>
      <c r="O64" s="38"/>
      <c r="P64" s="1"/>
    </row>
    <row r="65" customFormat="false" ht="15" hidden="false" customHeight="true" outlineLevel="0" collapsed="false">
      <c r="A65" s="38" t="s">
        <v>389</v>
      </c>
      <c r="B65" s="38"/>
      <c r="C65" s="38"/>
      <c r="D65" s="38"/>
      <c r="E65" s="38"/>
      <c r="F65" s="38"/>
      <c r="G65" s="38"/>
      <c r="H65" s="38"/>
      <c r="I65" s="38"/>
      <c r="J65" s="38"/>
      <c r="K65" s="38"/>
      <c r="L65" s="38"/>
      <c r="M65" s="38"/>
      <c r="N65" s="38"/>
      <c r="O65" s="38"/>
      <c r="P65" s="1"/>
    </row>
    <row r="66" customFormat="false" ht="15" hidden="false" customHeight="true" outlineLevel="0" collapsed="false">
      <c r="P66" s="1"/>
    </row>
    <row r="67" customFormat="false" ht="15" hidden="false" customHeight="true" outlineLevel="0" collapsed="false">
      <c r="P67" s="1"/>
    </row>
    <row r="68" customFormat="false" ht="15" hidden="false" customHeight="true" outlineLevel="0" collapsed="false">
      <c r="P68" s="1"/>
    </row>
    <row r="69" customFormat="false" ht="15" hidden="false" customHeight="true" outlineLevel="0" collapsed="false">
      <c r="P69" s="1"/>
    </row>
    <row r="70" customFormat="false" ht="15" hidden="false" customHeight="true" outlineLevel="0" collapsed="false">
      <c r="P70" s="1"/>
    </row>
  </sheetData>
  <mergeCells count="13">
    <mergeCell ref="I51:O51"/>
    <mergeCell ref="I52:O52"/>
    <mergeCell ref="I53:O53"/>
    <mergeCell ref="I54:O54"/>
    <mergeCell ref="I55:O55"/>
    <mergeCell ref="I56:O56"/>
    <mergeCell ref="I57:O57"/>
    <mergeCell ref="A60:O60"/>
    <mergeCell ref="A61:O61"/>
    <mergeCell ref="A62:O62"/>
    <mergeCell ref="A63:O63"/>
    <mergeCell ref="A64:O64"/>
    <mergeCell ref="A65:O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22"/>
    <col collapsed="false" customWidth="true" hidden="false" outlineLevel="0" max="4" min="4" style="1" width="32"/>
    <col collapsed="false" customWidth="true" hidden="false" outlineLevel="0" max="5" min="5" style="1" width="56"/>
    <col collapsed="false" customWidth="true" hidden="false" outlineLevel="0" max="6" min="6" style="1" width="11"/>
    <col collapsed="false" customWidth="true" hidden="false" outlineLevel="0" max="7" min="7" style="1" width="48"/>
    <col collapsed="false" customWidth="true" hidden="false" outlineLevel="0" max="8" min="8" style="1" width="10"/>
  </cols>
  <sheetData>
    <row r="1" customFormat="false" ht="24" hidden="false" customHeight="true" outlineLevel="0" collapsed="false">
      <c r="A1" s="2" t="s">
        <v>390</v>
      </c>
    </row>
    <row r="2" customFormat="false" ht="15" hidden="false" customHeight="true" outlineLevel="0" collapsed="false">
      <c r="A2" s="20" t="s">
        <v>391</v>
      </c>
    </row>
    <row r="4" customFormat="false" ht="29.25" hidden="false" customHeight="true" outlineLevel="0" collapsed="false">
      <c r="A4" s="23" t="s">
        <v>340</v>
      </c>
      <c r="B4" s="23" t="s">
        <v>392</v>
      </c>
      <c r="C4" s="23" t="s">
        <v>393</v>
      </c>
      <c r="D4" s="23" t="s">
        <v>394</v>
      </c>
      <c r="E4" s="23" t="s">
        <v>395</v>
      </c>
      <c r="F4" s="23" t="s">
        <v>396</v>
      </c>
      <c r="G4" s="23" t="s">
        <v>397</v>
      </c>
      <c r="H4" s="23" t="s">
        <v>398</v>
      </c>
    </row>
    <row r="5" customFormat="false" ht="42" hidden="false" customHeight="true" outlineLevel="0" collapsed="false">
      <c r="A5" s="24" t="n">
        <v>1</v>
      </c>
      <c r="B5" s="8" t="s">
        <v>399</v>
      </c>
      <c r="C5" s="9" t="s">
        <v>400</v>
      </c>
      <c r="D5" s="8" t="s">
        <v>401</v>
      </c>
      <c r="E5" s="9" t="s">
        <v>402</v>
      </c>
      <c r="F5" s="24" t="s">
        <v>403</v>
      </c>
      <c r="G5" s="9" t="s">
        <v>404</v>
      </c>
      <c r="H5" s="26" t="s">
        <v>405</v>
      </c>
    </row>
    <row r="6" customFormat="false" ht="29.25" hidden="false" customHeight="true" outlineLevel="0" collapsed="false">
      <c r="A6" s="24" t="n">
        <v>2</v>
      </c>
      <c r="B6" s="8" t="s">
        <v>406</v>
      </c>
      <c r="C6" s="9" t="s">
        <v>407</v>
      </c>
      <c r="D6" s="8" t="s">
        <v>408</v>
      </c>
      <c r="E6" s="9" t="s">
        <v>409</v>
      </c>
      <c r="F6" s="24" t="s">
        <v>410</v>
      </c>
      <c r="G6" s="9" t="s">
        <v>411</v>
      </c>
      <c r="H6" s="26" t="s">
        <v>412</v>
      </c>
    </row>
    <row r="7" customFormat="false" ht="29.25" hidden="false" customHeight="true" outlineLevel="0" collapsed="false">
      <c r="A7" s="24" t="n">
        <v>3</v>
      </c>
      <c r="B7" s="8" t="s">
        <v>413</v>
      </c>
      <c r="C7" s="9" t="s">
        <v>414</v>
      </c>
      <c r="D7" s="8" t="s">
        <v>415</v>
      </c>
      <c r="E7" s="9" t="s">
        <v>416</v>
      </c>
      <c r="F7" s="24" t="s">
        <v>410</v>
      </c>
      <c r="G7" s="9" t="s">
        <v>417</v>
      </c>
      <c r="H7" s="26" t="s">
        <v>412</v>
      </c>
    </row>
    <row r="8" customFormat="false" ht="29.25" hidden="false" customHeight="true" outlineLevel="0" collapsed="false">
      <c r="A8" s="24" t="n">
        <v>4</v>
      </c>
      <c r="B8" s="8" t="s">
        <v>418</v>
      </c>
      <c r="C8" s="9" t="s">
        <v>419</v>
      </c>
      <c r="D8" s="8" t="s">
        <v>420</v>
      </c>
      <c r="E8" s="9" t="s">
        <v>421</v>
      </c>
      <c r="F8" s="24" t="s">
        <v>410</v>
      </c>
      <c r="G8" s="9" t="s">
        <v>422</v>
      </c>
      <c r="H8" s="26" t="s">
        <v>412</v>
      </c>
    </row>
    <row r="9" customFormat="false" ht="29.25" hidden="false" customHeight="true" outlineLevel="0" collapsed="false">
      <c r="A9" s="24" t="n">
        <v>5</v>
      </c>
      <c r="B9" s="8" t="s">
        <v>423</v>
      </c>
      <c r="C9" s="9" t="s">
        <v>424</v>
      </c>
      <c r="D9" s="8" t="s">
        <v>425</v>
      </c>
      <c r="E9" s="9" t="s">
        <v>426</v>
      </c>
      <c r="F9" s="24" t="s">
        <v>410</v>
      </c>
      <c r="G9" s="9" t="s">
        <v>427</v>
      </c>
      <c r="H9" s="26" t="s">
        <v>412</v>
      </c>
    </row>
    <row r="10" customFormat="false" ht="29.25" hidden="false" customHeight="true" outlineLevel="0" collapsed="false">
      <c r="A10" s="24" t="n">
        <v>6</v>
      </c>
      <c r="B10" s="8" t="s">
        <v>428</v>
      </c>
      <c r="C10" s="9" t="s">
        <v>429</v>
      </c>
      <c r="D10" s="8" t="s">
        <v>430</v>
      </c>
      <c r="E10" s="9" t="s">
        <v>431</v>
      </c>
      <c r="F10" s="24" t="s">
        <v>432</v>
      </c>
      <c r="G10" s="9" t="s">
        <v>433</v>
      </c>
      <c r="H10" s="26" t="s">
        <v>434</v>
      </c>
    </row>
    <row r="11" customFormat="false" ht="29.25" hidden="false" customHeight="true" outlineLevel="0" collapsed="false">
      <c r="A11" s="24" t="n">
        <v>7</v>
      </c>
      <c r="B11" s="8" t="s">
        <v>435</v>
      </c>
      <c r="C11" s="9" t="s">
        <v>436</v>
      </c>
      <c r="D11" s="9" t="s">
        <v>437</v>
      </c>
      <c r="E11" s="9" t="s">
        <v>438</v>
      </c>
      <c r="F11" s="24" t="s">
        <v>410</v>
      </c>
      <c r="G11" s="9" t="s">
        <v>439</v>
      </c>
      <c r="H11" s="26" t="s">
        <v>440</v>
      </c>
    </row>
    <row r="12" customFormat="false" ht="29.25" hidden="false" customHeight="true" outlineLevel="0" collapsed="false">
      <c r="A12" s="24" t="n">
        <v>8</v>
      </c>
      <c r="B12" s="8" t="s">
        <v>441</v>
      </c>
      <c r="C12" s="9" t="s">
        <v>442</v>
      </c>
      <c r="D12" s="8" t="s">
        <v>443</v>
      </c>
      <c r="E12" s="9" t="s">
        <v>444</v>
      </c>
      <c r="F12" s="24" t="s">
        <v>410</v>
      </c>
      <c r="G12" s="9" t="s">
        <v>445</v>
      </c>
      <c r="H12" s="26" t="s">
        <v>446</v>
      </c>
    </row>
    <row r="13" customFormat="false" ht="29.25" hidden="false" customHeight="true" outlineLevel="0" collapsed="false">
      <c r="A13" s="24" t="n">
        <v>9</v>
      </c>
      <c r="B13" s="8" t="s">
        <v>447</v>
      </c>
      <c r="C13" s="9" t="s">
        <v>448</v>
      </c>
      <c r="D13" s="8" t="s">
        <v>449</v>
      </c>
      <c r="E13" s="8" t="s">
        <v>450</v>
      </c>
      <c r="F13" s="24" t="s">
        <v>451</v>
      </c>
      <c r="G13" s="9" t="s">
        <v>452</v>
      </c>
      <c r="H13" s="26" t="s">
        <v>446</v>
      </c>
    </row>
    <row r="14" customFormat="false" ht="29.25" hidden="false" customHeight="true" outlineLevel="0" collapsed="false">
      <c r="A14" s="24" t="n">
        <v>10</v>
      </c>
      <c r="B14" s="8" t="s">
        <v>453</v>
      </c>
      <c r="C14" s="9" t="s">
        <v>454</v>
      </c>
      <c r="D14" s="8" t="s">
        <v>455</v>
      </c>
      <c r="E14" s="9" t="s">
        <v>456</v>
      </c>
      <c r="F14" s="24" t="s">
        <v>457</v>
      </c>
      <c r="G14" s="9" t="s">
        <v>458</v>
      </c>
      <c r="H14" s="26" t="s">
        <v>446</v>
      </c>
    </row>
    <row r="15" customFormat="false" ht="42" hidden="false" customHeight="true" outlineLevel="0" collapsed="false">
      <c r="A15" s="24" t="n">
        <v>11</v>
      </c>
      <c r="B15" s="8" t="s">
        <v>459</v>
      </c>
      <c r="C15" s="9" t="s">
        <v>460</v>
      </c>
      <c r="D15" s="8" t="s">
        <v>461</v>
      </c>
      <c r="E15" s="9" t="s">
        <v>462</v>
      </c>
      <c r="F15" s="24" t="s">
        <v>457</v>
      </c>
      <c r="G15" s="8" t="s">
        <v>463</v>
      </c>
      <c r="H15" s="26" t="s">
        <v>446</v>
      </c>
    </row>
    <row r="16" customFormat="false" ht="42" hidden="false" customHeight="true" outlineLevel="0" collapsed="false">
      <c r="A16" s="24" t="n">
        <v>12</v>
      </c>
      <c r="B16" s="8" t="s">
        <v>464</v>
      </c>
      <c r="C16" s="9" t="s">
        <v>465</v>
      </c>
      <c r="D16" s="8" t="s">
        <v>466</v>
      </c>
      <c r="E16" s="9" t="s">
        <v>467</v>
      </c>
      <c r="F16" s="24" t="s">
        <v>457</v>
      </c>
      <c r="G16" s="9" t="s">
        <v>468</v>
      </c>
      <c r="H16" s="26" t="s">
        <v>446</v>
      </c>
    </row>
    <row r="17" customFormat="false" ht="29.25" hidden="false" customHeight="true" outlineLevel="0" collapsed="false">
      <c r="A17" s="24" t="n">
        <v>13</v>
      </c>
      <c r="B17" s="8" t="s">
        <v>469</v>
      </c>
      <c r="C17" s="9" t="s">
        <v>470</v>
      </c>
      <c r="D17" s="8" t="s">
        <v>471</v>
      </c>
      <c r="E17" s="8" t="s">
        <v>472</v>
      </c>
      <c r="F17" s="24" t="s">
        <v>473</v>
      </c>
      <c r="G17" s="9" t="s">
        <v>474</v>
      </c>
      <c r="H17" s="26" t="s">
        <v>470</v>
      </c>
    </row>
    <row r="19" customFormat="false" ht="29.25" hidden="false" customHeight="true" outlineLevel="0" collapsed="false">
      <c r="A19" s="60" t="s">
        <v>475</v>
      </c>
      <c r="B19" s="60"/>
      <c r="C19" s="60"/>
      <c r="D19" s="60"/>
      <c r="E19" s="60"/>
      <c r="F19" s="60"/>
      <c r="G19" s="60"/>
      <c r="H19" s="60"/>
    </row>
  </sheetData>
  <mergeCells count="1">
    <mergeCell ref="A19:H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2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8"/>
  </cols>
  <sheetData>
    <row r="1" customFormat="false" ht="24" hidden="false" customHeight="true" outlineLevel="0" collapsed="false">
      <c r="A1" s="21" t="s">
        <v>476</v>
      </c>
    </row>
    <row r="2" customFormat="false" ht="15" hidden="false" customHeight="true" outlineLevel="0" collapsed="false">
      <c r="A2" s="20" t="s">
        <v>477</v>
      </c>
    </row>
    <row r="4" customFormat="false" ht="30" hidden="false" customHeight="true" outlineLevel="0" collapsed="false">
      <c r="A4" s="61" t="s">
        <v>324</v>
      </c>
      <c r="B4" s="62" t="s">
        <v>478</v>
      </c>
    </row>
    <row r="5" customFormat="false" ht="29.25" hidden="false" customHeight="true" outlineLevel="0" collapsed="false">
      <c r="A5" s="6" t="s">
        <v>479</v>
      </c>
      <c r="B5" s="9" t="s">
        <v>480</v>
      </c>
    </row>
    <row r="6" customFormat="false" ht="29.25" hidden="false" customHeight="true" outlineLevel="0" collapsed="false">
      <c r="A6" s="6" t="s">
        <v>481</v>
      </c>
      <c r="B6" s="9" t="s">
        <v>482</v>
      </c>
    </row>
    <row r="7" customFormat="false" ht="29.25" hidden="false" customHeight="true" outlineLevel="0" collapsed="false">
      <c r="A7" s="6" t="s">
        <v>483</v>
      </c>
      <c r="B7" s="8" t="s">
        <v>484</v>
      </c>
    </row>
    <row r="8" customFormat="false" ht="16.5" hidden="false" customHeight="true" outlineLevel="0" collapsed="false">
      <c r="A8" s="6" t="s">
        <v>485</v>
      </c>
      <c r="B8" s="9" t="s">
        <v>486</v>
      </c>
    </row>
    <row r="9" customFormat="false" ht="29.25" hidden="false" customHeight="true" outlineLevel="0" collapsed="false">
      <c r="A9" s="6" t="s">
        <v>487</v>
      </c>
      <c r="B9" s="9" t="s">
        <v>488</v>
      </c>
    </row>
    <row r="10" customFormat="false" ht="29.25" hidden="false" customHeight="true" outlineLevel="0" collapsed="false">
      <c r="A10" s="6" t="s">
        <v>489</v>
      </c>
      <c r="B10" s="9" t="s">
        <v>490</v>
      </c>
    </row>
    <row r="11" customFormat="false" ht="29.25" hidden="false" customHeight="true" outlineLevel="0" collapsed="false">
      <c r="A11" s="6" t="s">
        <v>491</v>
      </c>
      <c r="B11" s="9" t="s">
        <v>492</v>
      </c>
    </row>
    <row r="12" customFormat="false" ht="29.25" hidden="false" customHeight="true" outlineLevel="0" collapsed="false">
      <c r="A12" s="6" t="s">
        <v>493</v>
      </c>
      <c r="B12" s="9" t="s">
        <v>494</v>
      </c>
    </row>
    <row r="13" customFormat="false" ht="29.25" hidden="false" customHeight="true" outlineLevel="0" collapsed="false">
      <c r="A13" s="6" t="s">
        <v>495</v>
      </c>
      <c r="B13" s="9" t="s">
        <v>496</v>
      </c>
    </row>
    <row r="14" customFormat="false" ht="29.25" hidden="false" customHeight="true" outlineLevel="0" collapsed="false">
      <c r="A14" s="6" t="s">
        <v>497</v>
      </c>
      <c r="B14" s="9" t="s">
        <v>498</v>
      </c>
    </row>
    <row r="15" customFormat="false" ht="42" hidden="false" customHeight="true" outlineLevel="0" collapsed="false">
      <c r="A15" s="6" t="s">
        <v>499</v>
      </c>
      <c r="B15" s="8" t="s">
        <v>500</v>
      </c>
    </row>
    <row r="16" customFormat="false" ht="42" hidden="false" customHeight="true" outlineLevel="0" collapsed="false">
      <c r="A16" s="6" t="s">
        <v>501</v>
      </c>
      <c r="B16" s="8" t="s">
        <v>502</v>
      </c>
    </row>
    <row r="17" customFormat="false" ht="16.5" hidden="false" customHeight="true" outlineLevel="0" collapsed="false">
      <c r="A17" s="6" t="s">
        <v>503</v>
      </c>
      <c r="B17" s="8" t="s">
        <v>504</v>
      </c>
    </row>
    <row r="18" customFormat="false" ht="29.25" hidden="false" customHeight="true" outlineLevel="0" collapsed="false">
      <c r="A18" s="6" t="s">
        <v>505</v>
      </c>
      <c r="B18" s="9" t="s">
        <v>506</v>
      </c>
    </row>
    <row r="19" customFormat="false" ht="29.25" hidden="false" customHeight="true" outlineLevel="0" collapsed="false">
      <c r="A19" s="6" t="s">
        <v>507</v>
      </c>
      <c r="B19" s="8" t="s">
        <v>508</v>
      </c>
    </row>
    <row r="20" customFormat="false" ht="18" hidden="false" customHeight="true" outlineLevel="0" collapsed="false">
      <c r="A20" s="6" t="s">
        <v>509</v>
      </c>
      <c r="B20" s="8" t="str">
        <f aca="false">"화당 "&amp;턴_설계!$B$5&amp;"턴 · 부 총 "&amp;TEXT(턴_설계!D34,"#,##0")&amp;"턴 · 화당 약 "&amp;TEXT(턴_설계!F34,"#,##0")&amp;"단어 · 낭독 약 "&amp;TEXT(턴_설계!H34,"0.0")&amp;"분 (평균 "&amp;TEXT(턴_설계!E34,"0.0")&amp;"단어/턴)"</f>
        <v>화당 120턴 · 부 총 1,440턴 · 화당 약 980단어 · 낭독 약 7.5분 (평균 8.2단어/턴)</v>
      </c>
    </row>
    <row r="21" customFormat="false" ht="29.25" hidden="false" customHeight="true" outlineLevel="0" collapsed="false">
      <c r="A21" s="11" t="s">
        <v>510</v>
      </c>
      <c r="B21" s="8" t="s">
        <v>511</v>
      </c>
    </row>
    <row r="22" customFormat="false" ht="16.5" hidden="false" customHeight="true" outlineLevel="0" collapsed="false">
      <c r="A22" s="6" t="s">
        <v>512</v>
      </c>
      <c r="B22" s="8" t="s">
        <v>513</v>
      </c>
    </row>
    <row r="24" customFormat="false" ht="30" hidden="false" customHeight="true" outlineLevel="0" collapsed="false">
      <c r="A24" s="61" t="s">
        <v>325</v>
      </c>
      <c r="B24" s="62" t="s">
        <v>514</v>
      </c>
    </row>
    <row r="25" customFormat="false" ht="29.25" hidden="false" customHeight="true" outlineLevel="0" collapsed="false">
      <c r="A25" s="6" t="s">
        <v>479</v>
      </c>
      <c r="B25" s="9" t="s">
        <v>515</v>
      </c>
    </row>
    <row r="26" customFormat="false" ht="29.25" hidden="false" customHeight="true" outlineLevel="0" collapsed="false">
      <c r="A26" s="6" t="s">
        <v>481</v>
      </c>
      <c r="B26" s="9" t="s">
        <v>516</v>
      </c>
    </row>
    <row r="27" customFormat="false" ht="16.5" hidden="false" customHeight="true" outlineLevel="0" collapsed="false">
      <c r="A27" s="6" t="s">
        <v>483</v>
      </c>
      <c r="B27" s="9" t="s">
        <v>517</v>
      </c>
    </row>
    <row r="28" customFormat="false" ht="16.5" hidden="false" customHeight="true" outlineLevel="0" collapsed="false">
      <c r="A28" s="6" t="s">
        <v>485</v>
      </c>
      <c r="B28" s="9" t="s">
        <v>518</v>
      </c>
    </row>
    <row r="29" customFormat="false" ht="16.5" hidden="false" customHeight="true" outlineLevel="0" collapsed="false">
      <c r="A29" s="6" t="s">
        <v>487</v>
      </c>
      <c r="B29" s="9" t="s">
        <v>519</v>
      </c>
    </row>
    <row r="30" customFormat="false" ht="16.5" hidden="false" customHeight="true" outlineLevel="0" collapsed="false">
      <c r="A30" s="6" t="s">
        <v>489</v>
      </c>
      <c r="B30" s="9" t="s">
        <v>520</v>
      </c>
    </row>
    <row r="31" customFormat="false" ht="16.5" hidden="false" customHeight="true" outlineLevel="0" collapsed="false">
      <c r="A31" s="6" t="s">
        <v>491</v>
      </c>
      <c r="B31" s="9" t="s">
        <v>521</v>
      </c>
    </row>
    <row r="32" customFormat="false" ht="16.5" hidden="false" customHeight="true" outlineLevel="0" collapsed="false">
      <c r="A32" s="6" t="s">
        <v>493</v>
      </c>
      <c r="B32" s="9" t="s">
        <v>522</v>
      </c>
    </row>
    <row r="33" customFormat="false" ht="16.5" hidden="false" customHeight="true" outlineLevel="0" collapsed="false">
      <c r="A33" s="6" t="s">
        <v>495</v>
      </c>
      <c r="B33" s="9" t="s">
        <v>523</v>
      </c>
    </row>
    <row r="34" customFormat="false" ht="16.5" hidden="false" customHeight="true" outlineLevel="0" collapsed="false">
      <c r="A34" s="6" t="s">
        <v>497</v>
      </c>
      <c r="B34" s="9" t="s">
        <v>524</v>
      </c>
    </row>
    <row r="35" customFormat="false" ht="29.25" hidden="false" customHeight="true" outlineLevel="0" collapsed="false">
      <c r="A35" s="6" t="s">
        <v>499</v>
      </c>
      <c r="B35" s="8" t="s">
        <v>525</v>
      </c>
    </row>
    <row r="36" customFormat="false" ht="29.25" hidden="false" customHeight="true" outlineLevel="0" collapsed="false">
      <c r="A36" s="6" t="s">
        <v>501</v>
      </c>
      <c r="B36" s="8" t="s">
        <v>526</v>
      </c>
    </row>
    <row r="37" customFormat="false" ht="16.5" hidden="false" customHeight="true" outlineLevel="0" collapsed="false">
      <c r="A37" s="6" t="s">
        <v>503</v>
      </c>
      <c r="B37" s="8" t="s">
        <v>527</v>
      </c>
    </row>
    <row r="38" customFormat="false" ht="16.5" hidden="false" customHeight="true" outlineLevel="0" collapsed="false">
      <c r="A38" s="6" t="s">
        <v>505</v>
      </c>
      <c r="B38" s="9" t="s">
        <v>528</v>
      </c>
    </row>
    <row r="39" customFormat="false" ht="29.25" hidden="false" customHeight="true" outlineLevel="0" collapsed="false">
      <c r="A39" s="6" t="s">
        <v>507</v>
      </c>
      <c r="B39" s="8" t="s">
        <v>529</v>
      </c>
    </row>
    <row r="40" customFormat="false" ht="18" hidden="false" customHeight="true" outlineLevel="0" collapsed="false">
      <c r="A40" s="6" t="s">
        <v>509</v>
      </c>
      <c r="B40" s="8" t="str">
        <f aca="false">"화당 "&amp;턴_설계!$B$5&amp;"턴 · 부 총 "&amp;TEXT(턴_설계!D35,"#,##0")&amp;"턴 · 화당 약 "&amp;TEXT(턴_설계!F35,"#,##0")&amp;"단어 · 낭독 약 "&amp;TEXT(턴_설계!H35,"0.0")&amp;"분 (평균 "&amp;TEXT(턴_설계!E35,"0.0")&amp;"단어/턴)"</f>
        <v>화당 120턴 · 부 총 1,440턴 · 화당 약 1,368단어 · 낭독 약 10.5분 (평균 11.4단어/턴)</v>
      </c>
    </row>
    <row r="41" customFormat="false" ht="16.5" hidden="false" customHeight="true" outlineLevel="0" collapsed="false">
      <c r="A41" s="11" t="s">
        <v>510</v>
      </c>
      <c r="B41" s="8" t="s">
        <v>530</v>
      </c>
    </row>
    <row r="42" customFormat="false" ht="16.5" hidden="false" customHeight="true" outlineLevel="0" collapsed="false">
      <c r="A42" s="6" t="s">
        <v>512</v>
      </c>
      <c r="B42" s="8" t="s">
        <v>531</v>
      </c>
    </row>
    <row r="44" customFormat="false" ht="30" hidden="false" customHeight="true" outlineLevel="0" collapsed="false">
      <c r="A44" s="61" t="s">
        <v>326</v>
      </c>
      <c r="B44" s="62" t="s">
        <v>532</v>
      </c>
    </row>
    <row r="45" customFormat="false" ht="29.25" hidden="false" customHeight="true" outlineLevel="0" collapsed="false">
      <c r="A45" s="6" t="s">
        <v>479</v>
      </c>
      <c r="B45" s="9" t="s">
        <v>533</v>
      </c>
    </row>
    <row r="46" customFormat="false" ht="16.5" hidden="false" customHeight="true" outlineLevel="0" collapsed="false">
      <c r="A46" s="6" t="s">
        <v>481</v>
      </c>
      <c r="B46" s="9" t="s">
        <v>534</v>
      </c>
    </row>
    <row r="47" customFormat="false" ht="16.5" hidden="false" customHeight="true" outlineLevel="0" collapsed="false">
      <c r="A47" s="6" t="s">
        <v>483</v>
      </c>
      <c r="B47" s="9" t="s">
        <v>535</v>
      </c>
    </row>
    <row r="48" customFormat="false" ht="16.5" hidden="false" customHeight="true" outlineLevel="0" collapsed="false">
      <c r="A48" s="6" t="s">
        <v>485</v>
      </c>
      <c r="B48" s="9" t="s">
        <v>536</v>
      </c>
    </row>
    <row r="49" customFormat="false" ht="16.5" hidden="false" customHeight="true" outlineLevel="0" collapsed="false">
      <c r="A49" s="6" t="s">
        <v>487</v>
      </c>
      <c r="B49" s="9" t="s">
        <v>537</v>
      </c>
    </row>
    <row r="50" customFormat="false" ht="16.5" hidden="false" customHeight="true" outlineLevel="0" collapsed="false">
      <c r="A50" s="6" t="s">
        <v>489</v>
      </c>
      <c r="B50" s="9" t="s">
        <v>538</v>
      </c>
    </row>
    <row r="51" customFormat="false" ht="16.5" hidden="false" customHeight="true" outlineLevel="0" collapsed="false">
      <c r="A51" s="6" t="s">
        <v>491</v>
      </c>
      <c r="B51" s="9" t="s">
        <v>539</v>
      </c>
    </row>
    <row r="52" customFormat="false" ht="16.5" hidden="false" customHeight="true" outlineLevel="0" collapsed="false">
      <c r="A52" s="6" t="s">
        <v>493</v>
      </c>
      <c r="B52" s="9" t="s">
        <v>540</v>
      </c>
    </row>
    <row r="53" customFormat="false" ht="16.5" hidden="false" customHeight="true" outlineLevel="0" collapsed="false">
      <c r="A53" s="6" t="s">
        <v>495</v>
      </c>
      <c r="B53" s="9" t="s">
        <v>541</v>
      </c>
    </row>
    <row r="54" customFormat="false" ht="16.5" hidden="false" customHeight="true" outlineLevel="0" collapsed="false">
      <c r="A54" s="6" t="s">
        <v>497</v>
      </c>
      <c r="B54" s="9" t="s">
        <v>542</v>
      </c>
    </row>
    <row r="55" customFormat="false" ht="29.25" hidden="false" customHeight="true" outlineLevel="0" collapsed="false">
      <c r="A55" s="6" t="s">
        <v>499</v>
      </c>
      <c r="B55" s="8" t="s">
        <v>543</v>
      </c>
    </row>
    <row r="56" customFormat="false" ht="16.5" hidden="false" customHeight="true" outlineLevel="0" collapsed="false">
      <c r="A56" s="6" t="s">
        <v>501</v>
      </c>
      <c r="B56" s="8" t="s">
        <v>544</v>
      </c>
    </row>
    <row r="57" customFormat="false" ht="16.5" hidden="false" customHeight="true" outlineLevel="0" collapsed="false">
      <c r="A57" s="6" t="s">
        <v>503</v>
      </c>
      <c r="B57" s="8" t="s">
        <v>545</v>
      </c>
    </row>
    <row r="58" customFormat="false" ht="16.5" hidden="false" customHeight="true" outlineLevel="0" collapsed="false">
      <c r="A58" s="6" t="s">
        <v>505</v>
      </c>
      <c r="B58" s="9" t="s">
        <v>546</v>
      </c>
    </row>
    <row r="59" customFormat="false" ht="16.5" hidden="false" customHeight="true" outlineLevel="0" collapsed="false">
      <c r="A59" s="6" t="s">
        <v>507</v>
      </c>
      <c r="B59" s="8" t="s">
        <v>547</v>
      </c>
    </row>
    <row r="60" customFormat="false" ht="18" hidden="false" customHeight="true" outlineLevel="0" collapsed="false">
      <c r="A60" s="6" t="s">
        <v>509</v>
      </c>
      <c r="B60" s="8" t="str">
        <f aca="false">"화당 "&amp;턴_설계!$B$5&amp;"턴 · 부 총 "&amp;TEXT(턴_설계!D36,"#,##0")&amp;"턴 · 화당 약 "&amp;TEXT(턴_설계!F36,"#,##0")&amp;"단어 · 낭독 약 "&amp;TEXT(턴_설계!H36,"0.0")&amp;"분 (평균 "&amp;TEXT(턴_설계!E36,"0.0")&amp;"단어/턴)"</f>
        <v>화당 120턴 · 부 총 1,440턴 · 화당 약 1,094단어 · 낭독 약 8.4분 (평균 9.1단어/턴)</v>
      </c>
    </row>
    <row r="61" customFormat="false" ht="16.5" hidden="false" customHeight="true" outlineLevel="0" collapsed="false">
      <c r="A61" s="11" t="s">
        <v>510</v>
      </c>
      <c r="B61" s="8" t="s">
        <v>548</v>
      </c>
    </row>
    <row r="62" customFormat="false" ht="16.5" hidden="false" customHeight="true" outlineLevel="0" collapsed="false">
      <c r="A62" s="6" t="s">
        <v>512</v>
      </c>
      <c r="B62" s="8" t="s">
        <v>549</v>
      </c>
    </row>
    <row r="64" customFormat="false" ht="30" hidden="false" customHeight="true" outlineLevel="0" collapsed="false">
      <c r="A64" s="61" t="s">
        <v>327</v>
      </c>
      <c r="B64" s="62" t="s">
        <v>550</v>
      </c>
    </row>
    <row r="65" customFormat="false" ht="16.5" hidden="false" customHeight="true" outlineLevel="0" collapsed="false">
      <c r="A65" s="6" t="s">
        <v>479</v>
      </c>
      <c r="B65" s="9" t="s">
        <v>551</v>
      </c>
    </row>
    <row r="66" customFormat="false" ht="29.25" hidden="false" customHeight="true" outlineLevel="0" collapsed="false">
      <c r="A66" s="6" t="s">
        <v>481</v>
      </c>
      <c r="B66" s="9" t="s">
        <v>552</v>
      </c>
    </row>
    <row r="67" customFormat="false" ht="16.5" hidden="false" customHeight="true" outlineLevel="0" collapsed="false">
      <c r="A67" s="6" t="s">
        <v>483</v>
      </c>
      <c r="B67" s="9" t="s">
        <v>553</v>
      </c>
    </row>
    <row r="68" customFormat="false" ht="16.5" hidden="false" customHeight="true" outlineLevel="0" collapsed="false">
      <c r="A68" s="6" t="s">
        <v>485</v>
      </c>
      <c r="B68" s="9" t="s">
        <v>554</v>
      </c>
    </row>
    <row r="69" customFormat="false" ht="16.5" hidden="false" customHeight="true" outlineLevel="0" collapsed="false">
      <c r="A69" s="6" t="s">
        <v>487</v>
      </c>
      <c r="B69" s="9" t="s">
        <v>555</v>
      </c>
    </row>
    <row r="70" customFormat="false" ht="16.5" hidden="false" customHeight="true" outlineLevel="0" collapsed="false">
      <c r="A70" s="6" t="s">
        <v>489</v>
      </c>
      <c r="B70" s="9" t="s">
        <v>556</v>
      </c>
    </row>
    <row r="71" customFormat="false" ht="16.5" hidden="false" customHeight="true" outlineLevel="0" collapsed="false">
      <c r="A71" s="6" t="s">
        <v>491</v>
      </c>
      <c r="B71" s="9" t="s">
        <v>557</v>
      </c>
    </row>
    <row r="72" customFormat="false" ht="16.5" hidden="false" customHeight="true" outlineLevel="0" collapsed="false">
      <c r="A72" s="6" t="s">
        <v>493</v>
      </c>
      <c r="B72" s="9" t="s">
        <v>558</v>
      </c>
    </row>
    <row r="73" customFormat="false" ht="16.5" hidden="false" customHeight="true" outlineLevel="0" collapsed="false">
      <c r="A73" s="6" t="s">
        <v>495</v>
      </c>
      <c r="B73" s="9" t="s">
        <v>559</v>
      </c>
    </row>
    <row r="74" customFormat="false" ht="16.5" hidden="false" customHeight="true" outlineLevel="0" collapsed="false">
      <c r="A74" s="6" t="s">
        <v>497</v>
      </c>
      <c r="B74" s="9" t="s">
        <v>560</v>
      </c>
    </row>
    <row r="75" customFormat="false" ht="29.25" hidden="false" customHeight="true" outlineLevel="0" collapsed="false">
      <c r="A75" s="6" t="s">
        <v>499</v>
      </c>
      <c r="B75" s="8" t="s">
        <v>561</v>
      </c>
    </row>
    <row r="76" customFormat="false" ht="16.5" hidden="false" customHeight="true" outlineLevel="0" collapsed="false">
      <c r="A76" s="6" t="s">
        <v>501</v>
      </c>
      <c r="B76" s="9" t="s">
        <v>562</v>
      </c>
    </row>
    <row r="77" customFormat="false" ht="16.5" hidden="false" customHeight="true" outlineLevel="0" collapsed="false">
      <c r="A77" s="6" t="s">
        <v>503</v>
      </c>
      <c r="B77" s="8" t="s">
        <v>563</v>
      </c>
    </row>
    <row r="78" customFormat="false" ht="29.25" hidden="false" customHeight="true" outlineLevel="0" collapsed="false">
      <c r="A78" s="6" t="s">
        <v>505</v>
      </c>
      <c r="B78" s="9" t="s">
        <v>564</v>
      </c>
    </row>
    <row r="79" customFormat="false" ht="16.5" hidden="false" customHeight="true" outlineLevel="0" collapsed="false">
      <c r="A79" s="6" t="s">
        <v>507</v>
      </c>
      <c r="B79" s="8" t="s">
        <v>565</v>
      </c>
    </row>
    <row r="80" customFormat="false" ht="18" hidden="false" customHeight="true" outlineLevel="0" collapsed="false">
      <c r="A80" s="6" t="s">
        <v>509</v>
      </c>
      <c r="B80" s="8" t="str">
        <f aca="false">"화당 "&amp;턴_설계!$B$5&amp;"턴 · 부 총 "&amp;TEXT(턴_설계!D37,"#,##0")&amp;"턴 · 화당 약 "&amp;TEXT(턴_설계!F37,"#,##0")&amp;"단어 · 낭독 약 "&amp;TEXT(턴_설계!H37,"0.0")&amp;"분 (평균 "&amp;TEXT(턴_설계!E37,"0.0")&amp;"단어/턴)"</f>
        <v>화당 120턴 · 부 총 1,440턴 · 화당 약 1,254단어 · 낭독 약 9.6분 (평균 10.5단어/턴)</v>
      </c>
    </row>
    <row r="81" customFormat="false" ht="16.5" hidden="false" customHeight="true" outlineLevel="0" collapsed="false">
      <c r="A81" s="11" t="s">
        <v>510</v>
      </c>
      <c r="B81" s="8" t="s">
        <v>566</v>
      </c>
    </row>
    <row r="82" customFormat="false" ht="16.5" hidden="false" customHeight="true" outlineLevel="0" collapsed="false">
      <c r="A82" s="6" t="s">
        <v>512</v>
      </c>
      <c r="B82" s="8" t="s">
        <v>567</v>
      </c>
    </row>
    <row r="84" customFormat="false" ht="30" hidden="false" customHeight="true" outlineLevel="0" collapsed="false">
      <c r="A84" s="61" t="s">
        <v>328</v>
      </c>
      <c r="B84" s="62" t="s">
        <v>568</v>
      </c>
    </row>
    <row r="85" customFormat="false" ht="29.25" hidden="false" customHeight="true" outlineLevel="0" collapsed="false">
      <c r="A85" s="6" t="s">
        <v>479</v>
      </c>
      <c r="B85" s="9" t="s">
        <v>569</v>
      </c>
    </row>
    <row r="86" customFormat="false" ht="16.5" hidden="false" customHeight="true" outlineLevel="0" collapsed="false">
      <c r="A86" s="6" t="s">
        <v>481</v>
      </c>
      <c r="B86" s="9" t="s">
        <v>570</v>
      </c>
    </row>
    <row r="87" customFormat="false" ht="16.5" hidden="false" customHeight="true" outlineLevel="0" collapsed="false">
      <c r="A87" s="6" t="s">
        <v>483</v>
      </c>
      <c r="B87" s="8" t="s">
        <v>571</v>
      </c>
    </row>
    <row r="88" customFormat="false" ht="16.5" hidden="false" customHeight="true" outlineLevel="0" collapsed="false">
      <c r="A88" s="6" t="s">
        <v>485</v>
      </c>
      <c r="B88" s="9" t="s">
        <v>572</v>
      </c>
    </row>
    <row r="89" customFormat="false" ht="16.5" hidden="false" customHeight="true" outlineLevel="0" collapsed="false">
      <c r="A89" s="6" t="s">
        <v>487</v>
      </c>
      <c r="B89" s="9" t="s">
        <v>573</v>
      </c>
    </row>
    <row r="90" customFormat="false" ht="16.5" hidden="false" customHeight="true" outlineLevel="0" collapsed="false">
      <c r="A90" s="6" t="s">
        <v>489</v>
      </c>
      <c r="B90" s="9" t="s">
        <v>574</v>
      </c>
    </row>
    <row r="91" customFormat="false" ht="16.5" hidden="false" customHeight="true" outlineLevel="0" collapsed="false">
      <c r="A91" s="6" t="s">
        <v>491</v>
      </c>
      <c r="B91" s="9" t="s">
        <v>575</v>
      </c>
    </row>
    <row r="92" customFormat="false" ht="16.5" hidden="false" customHeight="true" outlineLevel="0" collapsed="false">
      <c r="A92" s="6" t="s">
        <v>493</v>
      </c>
      <c r="B92" s="9" t="s">
        <v>576</v>
      </c>
    </row>
    <row r="93" customFormat="false" ht="16.5" hidden="false" customHeight="true" outlineLevel="0" collapsed="false">
      <c r="A93" s="6" t="s">
        <v>495</v>
      </c>
      <c r="B93" s="9" t="s">
        <v>577</v>
      </c>
    </row>
    <row r="94" customFormat="false" ht="16.5" hidden="false" customHeight="true" outlineLevel="0" collapsed="false">
      <c r="A94" s="6" t="s">
        <v>497</v>
      </c>
      <c r="B94" s="9" t="s">
        <v>578</v>
      </c>
    </row>
    <row r="95" customFormat="false" ht="29.25" hidden="false" customHeight="true" outlineLevel="0" collapsed="false">
      <c r="A95" s="6" t="s">
        <v>499</v>
      </c>
      <c r="B95" s="8" t="s">
        <v>579</v>
      </c>
    </row>
    <row r="96" customFormat="false" ht="29.25" hidden="false" customHeight="true" outlineLevel="0" collapsed="false">
      <c r="A96" s="6" t="s">
        <v>501</v>
      </c>
      <c r="B96" s="8" t="s">
        <v>580</v>
      </c>
    </row>
    <row r="97" customFormat="false" ht="16.5" hidden="false" customHeight="true" outlineLevel="0" collapsed="false">
      <c r="A97" s="6" t="s">
        <v>503</v>
      </c>
      <c r="B97" s="8" t="s">
        <v>581</v>
      </c>
    </row>
    <row r="98" customFormat="false" ht="16.5" hidden="false" customHeight="true" outlineLevel="0" collapsed="false">
      <c r="A98" s="6" t="s">
        <v>505</v>
      </c>
      <c r="B98" s="9" t="s">
        <v>582</v>
      </c>
    </row>
    <row r="99" customFormat="false" ht="16.5" hidden="false" customHeight="true" outlineLevel="0" collapsed="false">
      <c r="A99" s="6" t="s">
        <v>507</v>
      </c>
      <c r="B99" s="8" t="s">
        <v>583</v>
      </c>
    </row>
    <row r="100" customFormat="false" ht="18" hidden="false" customHeight="true" outlineLevel="0" collapsed="false">
      <c r="A100" s="6" t="s">
        <v>509</v>
      </c>
      <c r="B100" s="8" t="str">
        <f aca="false">"화당 "&amp;턴_설계!$B$5&amp;"턴 · 부 총 "&amp;TEXT(턴_설계!D38,"#,##0")&amp;"턴 · 화당 약 "&amp;TEXT(턴_설계!F38,"#,##0")&amp;"단어 · 낭독 약 "&amp;TEXT(턴_설계!H38,"0.0")&amp;"분 (평균 "&amp;TEXT(턴_설계!E38,"0.0")&amp;"단어/턴)"</f>
        <v>화당 120턴 · 부 총 1,440턴 · 화당 약 1,297단어 · 낭독 약 10.0분 (평균 10.8단어/턴)</v>
      </c>
    </row>
    <row r="101" customFormat="false" ht="16.5" hidden="false" customHeight="true" outlineLevel="0" collapsed="false">
      <c r="A101" s="11" t="s">
        <v>510</v>
      </c>
      <c r="B101" s="8" t="s">
        <v>584</v>
      </c>
    </row>
    <row r="102" customFormat="false" ht="16.5" hidden="false" customHeight="true" outlineLevel="0" collapsed="false">
      <c r="A102" s="6" t="s">
        <v>512</v>
      </c>
      <c r="B102" s="8" t="s">
        <v>585</v>
      </c>
    </row>
    <row r="104" customFormat="false" ht="30" hidden="false" customHeight="true" outlineLevel="0" collapsed="false">
      <c r="A104" s="61" t="s">
        <v>329</v>
      </c>
      <c r="B104" s="62" t="s">
        <v>586</v>
      </c>
    </row>
    <row r="105" customFormat="false" ht="29.25" hidden="false" customHeight="true" outlineLevel="0" collapsed="false">
      <c r="A105" s="6" t="s">
        <v>479</v>
      </c>
      <c r="B105" s="9" t="s">
        <v>587</v>
      </c>
    </row>
    <row r="106" customFormat="false" ht="29.25" hidden="false" customHeight="true" outlineLevel="0" collapsed="false">
      <c r="A106" s="6" t="s">
        <v>481</v>
      </c>
      <c r="B106" s="9" t="s">
        <v>588</v>
      </c>
    </row>
    <row r="107" customFormat="false" ht="16.5" hidden="false" customHeight="true" outlineLevel="0" collapsed="false">
      <c r="A107" s="6" t="s">
        <v>483</v>
      </c>
      <c r="B107" s="9" t="s">
        <v>589</v>
      </c>
    </row>
    <row r="108" customFormat="false" ht="16.5" hidden="false" customHeight="true" outlineLevel="0" collapsed="false">
      <c r="A108" s="6" t="s">
        <v>485</v>
      </c>
      <c r="B108" s="9" t="s">
        <v>590</v>
      </c>
    </row>
    <row r="109" customFormat="false" ht="16.5" hidden="false" customHeight="true" outlineLevel="0" collapsed="false">
      <c r="A109" s="6" t="s">
        <v>487</v>
      </c>
      <c r="B109" s="9" t="s">
        <v>591</v>
      </c>
    </row>
    <row r="110" customFormat="false" ht="16.5" hidden="false" customHeight="true" outlineLevel="0" collapsed="false">
      <c r="A110" s="6" t="s">
        <v>489</v>
      </c>
      <c r="B110" s="9" t="s">
        <v>592</v>
      </c>
    </row>
    <row r="111" customFormat="false" ht="16.5" hidden="false" customHeight="true" outlineLevel="0" collapsed="false">
      <c r="A111" s="6" t="s">
        <v>491</v>
      </c>
      <c r="B111" s="9" t="s">
        <v>593</v>
      </c>
    </row>
    <row r="112" customFormat="false" ht="16.5" hidden="false" customHeight="true" outlineLevel="0" collapsed="false">
      <c r="A112" s="6" t="s">
        <v>493</v>
      </c>
      <c r="B112" s="9" t="s">
        <v>594</v>
      </c>
    </row>
    <row r="113" customFormat="false" ht="16.5" hidden="false" customHeight="true" outlineLevel="0" collapsed="false">
      <c r="A113" s="6" t="s">
        <v>495</v>
      </c>
      <c r="B113" s="9" t="s">
        <v>595</v>
      </c>
    </row>
    <row r="114" customFormat="false" ht="16.5" hidden="false" customHeight="true" outlineLevel="0" collapsed="false">
      <c r="A114" s="6" t="s">
        <v>497</v>
      </c>
      <c r="B114" s="9" t="s">
        <v>596</v>
      </c>
    </row>
    <row r="115" customFormat="false" ht="29.25" hidden="false" customHeight="true" outlineLevel="0" collapsed="false">
      <c r="A115" s="6" t="s">
        <v>499</v>
      </c>
      <c r="B115" s="9" t="s">
        <v>597</v>
      </c>
    </row>
    <row r="116" customFormat="false" ht="16.5" hidden="false" customHeight="true" outlineLevel="0" collapsed="false">
      <c r="A116" s="6" t="s">
        <v>501</v>
      </c>
      <c r="B116" s="9" t="s">
        <v>598</v>
      </c>
    </row>
    <row r="117" customFormat="false" ht="16.5" hidden="false" customHeight="true" outlineLevel="0" collapsed="false">
      <c r="A117" s="6" t="s">
        <v>503</v>
      </c>
      <c r="B117" s="8" t="s">
        <v>599</v>
      </c>
    </row>
    <row r="118" customFormat="false" ht="16.5" hidden="false" customHeight="true" outlineLevel="0" collapsed="false">
      <c r="A118" s="6" t="s">
        <v>505</v>
      </c>
      <c r="B118" s="9" t="s">
        <v>600</v>
      </c>
    </row>
    <row r="119" customFormat="false" ht="16.5" hidden="false" customHeight="true" outlineLevel="0" collapsed="false">
      <c r="A119" s="6" t="s">
        <v>507</v>
      </c>
      <c r="B119" s="8" t="s">
        <v>601</v>
      </c>
    </row>
    <row r="120" customFormat="false" ht="18" hidden="false" customHeight="true" outlineLevel="0" collapsed="false">
      <c r="A120" s="6" t="s">
        <v>509</v>
      </c>
      <c r="B120" s="8" t="str">
        <f aca="false">"화당 "&amp;턴_설계!$B$5&amp;"턴 · 부 총 "&amp;TEXT(턴_설계!D39,"#,##0")&amp;"턴 · 화당 약 "&amp;TEXT(턴_설계!F39,"#,##0")&amp;"단어 · 낭독 약 "&amp;TEXT(턴_설계!H39,"0.0")&amp;"분 (평균 "&amp;TEXT(턴_설계!E39,"0.0")&amp;"단어/턴)"</f>
        <v>화당 120턴 · 부 총 1,440턴 · 화당 약 1,223단어 · 낭독 약 9.4분 (평균 10.2단어/턴)</v>
      </c>
    </row>
    <row r="121" customFormat="false" ht="16.5" hidden="false" customHeight="true" outlineLevel="0" collapsed="false">
      <c r="A121" s="11" t="s">
        <v>510</v>
      </c>
      <c r="B121" s="8" t="s">
        <v>602</v>
      </c>
    </row>
    <row r="122" customFormat="false" ht="16.5" hidden="false" customHeight="true" outlineLevel="0" collapsed="false">
      <c r="A122" s="6" t="s">
        <v>512</v>
      </c>
      <c r="B122" s="8" t="s">
        <v>603</v>
      </c>
    </row>
    <row r="124" customFormat="false" ht="30" hidden="false" customHeight="true" outlineLevel="0" collapsed="false">
      <c r="A124" s="61" t="s">
        <v>330</v>
      </c>
      <c r="B124" s="62" t="s">
        <v>604</v>
      </c>
    </row>
    <row r="125" customFormat="false" ht="16.5" hidden="false" customHeight="true" outlineLevel="0" collapsed="false">
      <c r="A125" s="6" t="s">
        <v>479</v>
      </c>
      <c r="B125" s="9" t="s">
        <v>605</v>
      </c>
    </row>
    <row r="126" customFormat="false" ht="29.25" hidden="false" customHeight="true" outlineLevel="0" collapsed="false">
      <c r="A126" s="6" t="s">
        <v>481</v>
      </c>
      <c r="B126" s="9" t="s">
        <v>606</v>
      </c>
    </row>
    <row r="127" customFormat="false" ht="16.5" hidden="false" customHeight="true" outlineLevel="0" collapsed="false">
      <c r="A127" s="6" t="s">
        <v>483</v>
      </c>
      <c r="B127" s="9" t="s">
        <v>607</v>
      </c>
    </row>
    <row r="128" customFormat="false" ht="16.5" hidden="false" customHeight="true" outlineLevel="0" collapsed="false">
      <c r="A128" s="6" t="s">
        <v>485</v>
      </c>
      <c r="B128" s="9" t="s">
        <v>608</v>
      </c>
    </row>
    <row r="129" customFormat="false" ht="16.5" hidden="false" customHeight="true" outlineLevel="0" collapsed="false">
      <c r="A129" s="6" t="s">
        <v>487</v>
      </c>
      <c r="B129" s="9" t="s">
        <v>609</v>
      </c>
    </row>
    <row r="130" customFormat="false" ht="16.5" hidden="false" customHeight="true" outlineLevel="0" collapsed="false">
      <c r="A130" s="6" t="s">
        <v>489</v>
      </c>
      <c r="B130" s="9" t="s">
        <v>610</v>
      </c>
    </row>
    <row r="131" customFormat="false" ht="16.5" hidden="false" customHeight="true" outlineLevel="0" collapsed="false">
      <c r="A131" s="6" t="s">
        <v>491</v>
      </c>
      <c r="B131" s="9" t="s">
        <v>611</v>
      </c>
    </row>
    <row r="132" customFormat="false" ht="16.5" hidden="false" customHeight="true" outlineLevel="0" collapsed="false">
      <c r="A132" s="6" t="s">
        <v>493</v>
      </c>
      <c r="B132" s="9" t="s">
        <v>612</v>
      </c>
    </row>
    <row r="133" customFormat="false" ht="16.5" hidden="false" customHeight="true" outlineLevel="0" collapsed="false">
      <c r="A133" s="6" t="s">
        <v>495</v>
      </c>
      <c r="B133" s="9" t="s">
        <v>613</v>
      </c>
    </row>
    <row r="134" customFormat="false" ht="16.5" hidden="false" customHeight="true" outlineLevel="0" collapsed="false">
      <c r="A134" s="6" t="s">
        <v>497</v>
      </c>
      <c r="B134" s="9" t="s">
        <v>614</v>
      </c>
    </row>
    <row r="135" customFormat="false" ht="16.5" hidden="false" customHeight="true" outlineLevel="0" collapsed="false">
      <c r="A135" s="6" t="s">
        <v>499</v>
      </c>
      <c r="B135" s="8" t="s">
        <v>615</v>
      </c>
    </row>
    <row r="136" customFormat="false" ht="16.5" hidden="false" customHeight="true" outlineLevel="0" collapsed="false">
      <c r="A136" s="6" t="s">
        <v>501</v>
      </c>
      <c r="B136" s="8" t="s">
        <v>616</v>
      </c>
    </row>
    <row r="137" customFormat="false" ht="16.5" hidden="false" customHeight="true" outlineLevel="0" collapsed="false">
      <c r="A137" s="6" t="s">
        <v>503</v>
      </c>
      <c r="B137" s="8" t="s">
        <v>617</v>
      </c>
    </row>
    <row r="138" customFormat="false" ht="29.25" hidden="false" customHeight="true" outlineLevel="0" collapsed="false">
      <c r="A138" s="6" t="s">
        <v>505</v>
      </c>
      <c r="B138" s="9" t="s">
        <v>618</v>
      </c>
    </row>
    <row r="139" customFormat="false" ht="16.5" hidden="false" customHeight="true" outlineLevel="0" collapsed="false">
      <c r="A139" s="6" t="s">
        <v>507</v>
      </c>
      <c r="B139" s="8" t="s">
        <v>619</v>
      </c>
    </row>
    <row r="140" customFormat="false" ht="18" hidden="false" customHeight="true" outlineLevel="0" collapsed="false">
      <c r="A140" s="6" t="s">
        <v>509</v>
      </c>
      <c r="B140" s="8" t="str">
        <f aca="false">"화당 "&amp;턴_설계!$B$5&amp;"턴 · 부 총 "&amp;TEXT(턴_설계!D40,"#,##0")&amp;"턴 · 화당 약 "&amp;TEXT(턴_설계!F40,"#,##0")&amp;"단어 · 낭독 약 "&amp;TEXT(턴_설계!H40,"0.0")&amp;"분 (평균 "&amp;TEXT(턴_설계!E40,"0.0")&amp;"단어/턴)"</f>
        <v>화당 120턴 · 부 총 1,440턴 · 화당 약 1,247단어 · 낭독 약 9.6분 (평균 10.4단어/턴)</v>
      </c>
    </row>
    <row r="141" customFormat="false" ht="16.5" hidden="false" customHeight="true" outlineLevel="0" collapsed="false">
      <c r="A141" s="11" t="s">
        <v>510</v>
      </c>
      <c r="B141" s="8" t="s">
        <v>620</v>
      </c>
    </row>
    <row r="142" customFormat="false" ht="16.5" hidden="false" customHeight="true" outlineLevel="0" collapsed="false">
      <c r="A142" s="6" t="s">
        <v>512</v>
      </c>
      <c r="B142" s="8" t="s">
        <v>621</v>
      </c>
    </row>
    <row r="144" customFormat="false" ht="30" hidden="false" customHeight="true" outlineLevel="0" collapsed="false">
      <c r="A144" s="61" t="s">
        <v>331</v>
      </c>
      <c r="B144" s="62" t="s">
        <v>622</v>
      </c>
    </row>
    <row r="145" customFormat="false" ht="29.25" hidden="false" customHeight="true" outlineLevel="0" collapsed="false">
      <c r="A145" s="6" t="s">
        <v>479</v>
      </c>
      <c r="B145" s="9" t="s">
        <v>623</v>
      </c>
    </row>
    <row r="146" customFormat="false" ht="29.25" hidden="false" customHeight="true" outlineLevel="0" collapsed="false">
      <c r="A146" s="6" t="s">
        <v>481</v>
      </c>
      <c r="B146" s="9" t="s">
        <v>624</v>
      </c>
    </row>
    <row r="147" customFormat="false" ht="16.5" hidden="false" customHeight="true" outlineLevel="0" collapsed="false">
      <c r="A147" s="6" t="s">
        <v>483</v>
      </c>
      <c r="B147" s="9" t="s">
        <v>625</v>
      </c>
    </row>
    <row r="148" customFormat="false" ht="16.5" hidden="false" customHeight="true" outlineLevel="0" collapsed="false">
      <c r="A148" s="6" t="s">
        <v>485</v>
      </c>
      <c r="B148" s="9" t="s">
        <v>626</v>
      </c>
    </row>
    <row r="149" customFormat="false" ht="16.5" hidden="false" customHeight="true" outlineLevel="0" collapsed="false">
      <c r="A149" s="6" t="s">
        <v>487</v>
      </c>
      <c r="B149" s="9" t="s">
        <v>627</v>
      </c>
    </row>
    <row r="150" customFormat="false" ht="16.5" hidden="false" customHeight="true" outlineLevel="0" collapsed="false">
      <c r="A150" s="6" t="s">
        <v>489</v>
      </c>
      <c r="B150" s="9" t="s">
        <v>628</v>
      </c>
    </row>
    <row r="151" customFormat="false" ht="16.5" hidden="false" customHeight="true" outlineLevel="0" collapsed="false">
      <c r="A151" s="6" t="s">
        <v>491</v>
      </c>
      <c r="B151" s="9" t="s">
        <v>629</v>
      </c>
    </row>
    <row r="152" customFormat="false" ht="16.5" hidden="false" customHeight="true" outlineLevel="0" collapsed="false">
      <c r="A152" s="6" t="s">
        <v>493</v>
      </c>
      <c r="B152" s="9" t="s">
        <v>630</v>
      </c>
    </row>
    <row r="153" customFormat="false" ht="16.5" hidden="false" customHeight="true" outlineLevel="0" collapsed="false">
      <c r="A153" s="6" t="s">
        <v>495</v>
      </c>
      <c r="B153" s="9" t="s">
        <v>631</v>
      </c>
    </row>
    <row r="154" customFormat="false" ht="16.5" hidden="false" customHeight="true" outlineLevel="0" collapsed="false">
      <c r="A154" s="6" t="s">
        <v>497</v>
      </c>
      <c r="B154" s="9" t="s">
        <v>632</v>
      </c>
    </row>
    <row r="155" customFormat="false" ht="29.25" hidden="false" customHeight="true" outlineLevel="0" collapsed="false">
      <c r="A155" s="6" t="s">
        <v>499</v>
      </c>
      <c r="B155" s="8" t="s">
        <v>633</v>
      </c>
    </row>
    <row r="156" customFormat="false" ht="16.5" hidden="false" customHeight="true" outlineLevel="0" collapsed="false">
      <c r="A156" s="6" t="s">
        <v>501</v>
      </c>
      <c r="B156" s="8" t="s">
        <v>634</v>
      </c>
    </row>
    <row r="157" customFormat="false" ht="16.5" hidden="false" customHeight="true" outlineLevel="0" collapsed="false">
      <c r="A157" s="6" t="s">
        <v>503</v>
      </c>
      <c r="B157" s="8" t="s">
        <v>635</v>
      </c>
    </row>
    <row r="158" customFormat="false" ht="16.5" hidden="false" customHeight="true" outlineLevel="0" collapsed="false">
      <c r="A158" s="6" t="s">
        <v>505</v>
      </c>
      <c r="B158" s="9" t="s">
        <v>636</v>
      </c>
    </row>
    <row r="159" customFormat="false" ht="16.5" hidden="false" customHeight="true" outlineLevel="0" collapsed="false">
      <c r="A159" s="6" t="s">
        <v>507</v>
      </c>
      <c r="B159" s="8" t="s">
        <v>637</v>
      </c>
    </row>
    <row r="160" customFormat="false" ht="18" hidden="false" customHeight="true" outlineLevel="0" collapsed="false">
      <c r="A160" s="6" t="s">
        <v>509</v>
      </c>
      <c r="B160" s="8" t="str">
        <f aca="false">"화당 "&amp;턴_설계!$B$5&amp;"턴 · 부 총 "&amp;TEXT(턴_설계!D41,"#,##0")&amp;"턴 · 화당 약 "&amp;TEXT(턴_설계!F41,"#,##0")&amp;"단어 · 낭독 약 "&amp;TEXT(턴_설계!H41,"0.0")&amp;"분 (평균 "&amp;TEXT(턴_설계!E41,"0.0")&amp;"단어/턴)"</f>
        <v>화당 120턴 · 부 총 1,440턴 · 화당 약 1,379단어 · 낭독 약 10.6분 (평균 11.5단어/턴)</v>
      </c>
    </row>
    <row r="161" customFormat="false" ht="16.5" hidden="false" customHeight="true" outlineLevel="0" collapsed="false">
      <c r="A161" s="11" t="s">
        <v>510</v>
      </c>
      <c r="B161" s="8" t="s">
        <v>638</v>
      </c>
    </row>
    <row r="162" customFormat="false" ht="16.5" hidden="false" customHeight="true" outlineLevel="0" collapsed="false">
      <c r="A162" s="6" t="s">
        <v>512</v>
      </c>
      <c r="B162" s="8" t="s">
        <v>639</v>
      </c>
    </row>
    <row r="164" customFormat="false" ht="30" hidden="false" customHeight="true" outlineLevel="0" collapsed="false">
      <c r="A164" s="61" t="s">
        <v>332</v>
      </c>
      <c r="B164" s="62" t="s">
        <v>640</v>
      </c>
    </row>
    <row r="165" customFormat="false" ht="16.5" hidden="false" customHeight="true" outlineLevel="0" collapsed="false">
      <c r="A165" s="6" t="s">
        <v>479</v>
      </c>
      <c r="B165" s="9" t="s">
        <v>641</v>
      </c>
    </row>
    <row r="166" customFormat="false" ht="29.25" hidden="false" customHeight="true" outlineLevel="0" collapsed="false">
      <c r="A166" s="6" t="s">
        <v>481</v>
      </c>
      <c r="B166" s="9" t="s">
        <v>642</v>
      </c>
    </row>
    <row r="167" customFormat="false" ht="16.5" hidden="false" customHeight="true" outlineLevel="0" collapsed="false">
      <c r="A167" s="6" t="s">
        <v>483</v>
      </c>
      <c r="B167" s="9" t="s">
        <v>643</v>
      </c>
    </row>
    <row r="168" customFormat="false" ht="16.5" hidden="false" customHeight="true" outlineLevel="0" collapsed="false">
      <c r="A168" s="6" t="s">
        <v>485</v>
      </c>
      <c r="B168" s="9" t="s">
        <v>644</v>
      </c>
    </row>
    <row r="169" customFormat="false" ht="16.5" hidden="false" customHeight="true" outlineLevel="0" collapsed="false">
      <c r="A169" s="6" t="s">
        <v>487</v>
      </c>
      <c r="B169" s="9" t="s">
        <v>645</v>
      </c>
    </row>
    <row r="170" customFormat="false" ht="16.5" hidden="false" customHeight="true" outlineLevel="0" collapsed="false">
      <c r="A170" s="6" t="s">
        <v>489</v>
      </c>
      <c r="B170" s="9" t="s">
        <v>646</v>
      </c>
    </row>
    <row r="171" customFormat="false" ht="16.5" hidden="false" customHeight="true" outlineLevel="0" collapsed="false">
      <c r="A171" s="6" t="s">
        <v>491</v>
      </c>
      <c r="B171" s="9" t="s">
        <v>647</v>
      </c>
    </row>
    <row r="172" customFormat="false" ht="16.5" hidden="false" customHeight="true" outlineLevel="0" collapsed="false">
      <c r="A172" s="6" t="s">
        <v>493</v>
      </c>
      <c r="B172" s="9" t="s">
        <v>648</v>
      </c>
    </row>
    <row r="173" customFormat="false" ht="16.5" hidden="false" customHeight="true" outlineLevel="0" collapsed="false">
      <c r="A173" s="6" t="s">
        <v>495</v>
      </c>
      <c r="B173" s="9" t="s">
        <v>649</v>
      </c>
    </row>
    <row r="174" customFormat="false" ht="16.5" hidden="false" customHeight="true" outlineLevel="0" collapsed="false">
      <c r="A174" s="6" t="s">
        <v>497</v>
      </c>
      <c r="B174" s="9" t="s">
        <v>650</v>
      </c>
    </row>
    <row r="175" customFormat="false" ht="29.25" hidden="false" customHeight="true" outlineLevel="0" collapsed="false">
      <c r="A175" s="6" t="s">
        <v>499</v>
      </c>
      <c r="B175" s="8" t="s">
        <v>651</v>
      </c>
    </row>
    <row r="176" customFormat="false" ht="16.5" hidden="false" customHeight="true" outlineLevel="0" collapsed="false">
      <c r="A176" s="6" t="s">
        <v>501</v>
      </c>
      <c r="B176" s="8" t="s">
        <v>652</v>
      </c>
    </row>
    <row r="177" customFormat="false" ht="16.5" hidden="false" customHeight="true" outlineLevel="0" collapsed="false">
      <c r="A177" s="6" t="s">
        <v>503</v>
      </c>
      <c r="B177" s="8" t="s">
        <v>653</v>
      </c>
    </row>
    <row r="178" customFormat="false" ht="16.5" hidden="false" customHeight="true" outlineLevel="0" collapsed="false">
      <c r="A178" s="6" t="s">
        <v>505</v>
      </c>
      <c r="B178" s="9" t="s">
        <v>654</v>
      </c>
    </row>
    <row r="179" customFormat="false" ht="16.5" hidden="false" customHeight="true" outlineLevel="0" collapsed="false">
      <c r="A179" s="6" t="s">
        <v>507</v>
      </c>
      <c r="B179" s="8" t="s">
        <v>655</v>
      </c>
    </row>
    <row r="180" customFormat="false" ht="18" hidden="false" customHeight="true" outlineLevel="0" collapsed="false">
      <c r="A180" s="6" t="s">
        <v>509</v>
      </c>
      <c r="B180" s="8" t="str">
        <f aca="false">"화당 "&amp;턴_설계!$B$5&amp;"턴 · 부 총 "&amp;TEXT(턴_설계!D42,"#,##0")&amp;"턴 · 화당 약 "&amp;TEXT(턴_설계!F42,"#,##0")&amp;"단어 · 낭독 약 "&amp;TEXT(턴_설계!H42,"0.0")&amp;"분 (평균 "&amp;TEXT(턴_설계!E42,"0.0")&amp;"단어/턴)"</f>
        <v>화당 120턴 · 부 총 1,440턴 · 화당 약 1,342단어 · 낭독 약 10.3분 (평균 11.2단어/턴)</v>
      </c>
    </row>
    <row r="181" customFormat="false" ht="16.5" hidden="false" customHeight="true" outlineLevel="0" collapsed="false">
      <c r="A181" s="11" t="s">
        <v>510</v>
      </c>
      <c r="B181" s="8" t="s">
        <v>656</v>
      </c>
    </row>
    <row r="182" customFormat="false" ht="16.5" hidden="false" customHeight="true" outlineLevel="0" collapsed="false">
      <c r="A182" s="6" t="s">
        <v>512</v>
      </c>
      <c r="B182" s="8" t="s">
        <v>657</v>
      </c>
    </row>
    <row r="184" customFormat="false" ht="30" hidden="false" customHeight="true" outlineLevel="0" collapsed="false">
      <c r="A184" s="61" t="s">
        <v>333</v>
      </c>
      <c r="B184" s="62" t="s">
        <v>658</v>
      </c>
    </row>
    <row r="185" customFormat="false" ht="16.5" hidden="false" customHeight="true" outlineLevel="0" collapsed="false">
      <c r="A185" s="6" t="s">
        <v>479</v>
      </c>
      <c r="B185" s="9" t="s">
        <v>659</v>
      </c>
    </row>
    <row r="186" customFormat="false" ht="16.5" hidden="false" customHeight="true" outlineLevel="0" collapsed="false">
      <c r="A186" s="6" t="s">
        <v>481</v>
      </c>
      <c r="B186" s="9" t="s">
        <v>660</v>
      </c>
    </row>
    <row r="187" customFormat="false" ht="16.5" hidden="false" customHeight="true" outlineLevel="0" collapsed="false">
      <c r="A187" s="6" t="s">
        <v>483</v>
      </c>
      <c r="B187" s="9" t="s">
        <v>661</v>
      </c>
    </row>
    <row r="188" customFormat="false" ht="16.5" hidden="false" customHeight="true" outlineLevel="0" collapsed="false">
      <c r="A188" s="6" t="s">
        <v>485</v>
      </c>
      <c r="B188" s="9" t="s">
        <v>662</v>
      </c>
    </row>
    <row r="189" customFormat="false" ht="16.5" hidden="false" customHeight="true" outlineLevel="0" collapsed="false">
      <c r="A189" s="6" t="s">
        <v>487</v>
      </c>
      <c r="B189" s="9" t="s">
        <v>663</v>
      </c>
    </row>
    <row r="190" customFormat="false" ht="16.5" hidden="false" customHeight="true" outlineLevel="0" collapsed="false">
      <c r="A190" s="6" t="s">
        <v>489</v>
      </c>
      <c r="B190" s="9" t="s">
        <v>664</v>
      </c>
    </row>
    <row r="191" customFormat="false" ht="16.5" hidden="false" customHeight="true" outlineLevel="0" collapsed="false">
      <c r="A191" s="6" t="s">
        <v>491</v>
      </c>
      <c r="B191" s="9" t="s">
        <v>665</v>
      </c>
    </row>
    <row r="192" customFormat="false" ht="16.5" hidden="false" customHeight="true" outlineLevel="0" collapsed="false">
      <c r="A192" s="6" t="s">
        <v>493</v>
      </c>
      <c r="B192" s="9" t="s">
        <v>666</v>
      </c>
    </row>
    <row r="193" customFormat="false" ht="16.5" hidden="false" customHeight="true" outlineLevel="0" collapsed="false">
      <c r="A193" s="6" t="s">
        <v>495</v>
      </c>
      <c r="B193" s="9" t="s">
        <v>667</v>
      </c>
    </row>
    <row r="194" customFormat="false" ht="16.5" hidden="false" customHeight="true" outlineLevel="0" collapsed="false">
      <c r="A194" s="6" t="s">
        <v>497</v>
      </c>
      <c r="B194" s="9" t="s">
        <v>668</v>
      </c>
    </row>
    <row r="195" customFormat="false" ht="29.25" hidden="false" customHeight="true" outlineLevel="0" collapsed="false">
      <c r="A195" s="6" t="s">
        <v>499</v>
      </c>
      <c r="B195" s="8" t="s">
        <v>669</v>
      </c>
    </row>
    <row r="196" customFormat="false" ht="16.5" hidden="false" customHeight="true" outlineLevel="0" collapsed="false">
      <c r="A196" s="6" t="s">
        <v>501</v>
      </c>
      <c r="B196" s="8" t="s">
        <v>670</v>
      </c>
    </row>
    <row r="197" customFormat="false" ht="16.5" hidden="false" customHeight="true" outlineLevel="0" collapsed="false">
      <c r="A197" s="6" t="s">
        <v>503</v>
      </c>
      <c r="B197" s="8" t="s">
        <v>671</v>
      </c>
    </row>
    <row r="198" customFormat="false" ht="16.5" hidden="false" customHeight="true" outlineLevel="0" collapsed="false">
      <c r="A198" s="6" t="s">
        <v>505</v>
      </c>
      <c r="B198" s="9" t="s">
        <v>672</v>
      </c>
    </row>
    <row r="199" customFormat="false" ht="16.5" hidden="false" customHeight="true" outlineLevel="0" collapsed="false">
      <c r="A199" s="6" t="s">
        <v>507</v>
      </c>
      <c r="B199" s="8" t="s">
        <v>673</v>
      </c>
    </row>
    <row r="200" customFormat="false" ht="18" hidden="false" customHeight="true" outlineLevel="0" collapsed="false">
      <c r="A200" s="6" t="s">
        <v>509</v>
      </c>
      <c r="B200" s="8" t="str">
        <f aca="false">"화당 "&amp;턴_설계!$B$5&amp;"턴 · 부 총 "&amp;TEXT(턴_설계!D43,"#,##0")&amp;"턴 · 화당 약 "&amp;TEXT(턴_설계!F43,"#,##0")&amp;"단어 · 낭독 약 "&amp;TEXT(턴_설계!H43,"0.0")&amp;"분 (평균 "&amp;TEXT(턴_설계!E43,"0.0")&amp;"단어/턴)"</f>
        <v>화당 120턴 · 부 총 1,440턴 · 화당 약 1,529단어 · 낭독 약 11.8분 (평균 12.7단어/턴)</v>
      </c>
    </row>
    <row r="201" customFormat="false" ht="16.5" hidden="false" customHeight="true" outlineLevel="0" collapsed="false">
      <c r="A201" s="11" t="s">
        <v>510</v>
      </c>
      <c r="B201" s="8" t="s">
        <v>674</v>
      </c>
    </row>
    <row r="202" customFormat="false" ht="16.5" hidden="false" customHeight="true" outlineLevel="0" collapsed="false">
      <c r="A202" s="6" t="s">
        <v>512</v>
      </c>
      <c r="B202" s="8" t="s">
        <v>675</v>
      </c>
    </row>
    <row r="204" customFormat="false" ht="30" hidden="false" customHeight="true" outlineLevel="0" collapsed="false">
      <c r="A204" s="61" t="s">
        <v>334</v>
      </c>
      <c r="B204" s="62" t="s">
        <v>676</v>
      </c>
    </row>
    <row r="205" customFormat="false" ht="29.25" hidden="false" customHeight="true" outlineLevel="0" collapsed="false">
      <c r="A205" s="6" t="s">
        <v>479</v>
      </c>
      <c r="B205" s="9" t="s">
        <v>677</v>
      </c>
    </row>
    <row r="206" customFormat="false" ht="29.25" hidden="false" customHeight="true" outlineLevel="0" collapsed="false">
      <c r="A206" s="6" t="s">
        <v>481</v>
      </c>
      <c r="B206" s="9" t="s">
        <v>678</v>
      </c>
    </row>
    <row r="207" customFormat="false" ht="16.5" hidden="false" customHeight="true" outlineLevel="0" collapsed="false">
      <c r="A207" s="6" t="s">
        <v>483</v>
      </c>
      <c r="B207" s="9" t="s">
        <v>679</v>
      </c>
    </row>
    <row r="208" customFormat="false" ht="16.5" hidden="false" customHeight="true" outlineLevel="0" collapsed="false">
      <c r="A208" s="6" t="s">
        <v>485</v>
      </c>
      <c r="B208" s="9" t="s">
        <v>680</v>
      </c>
    </row>
    <row r="209" customFormat="false" ht="16.5" hidden="false" customHeight="true" outlineLevel="0" collapsed="false">
      <c r="A209" s="6" t="s">
        <v>487</v>
      </c>
      <c r="B209" s="9" t="s">
        <v>681</v>
      </c>
    </row>
    <row r="210" customFormat="false" ht="16.5" hidden="false" customHeight="true" outlineLevel="0" collapsed="false">
      <c r="A210" s="6" t="s">
        <v>489</v>
      </c>
      <c r="B210" s="9" t="s">
        <v>682</v>
      </c>
    </row>
    <row r="211" customFormat="false" ht="16.5" hidden="false" customHeight="true" outlineLevel="0" collapsed="false">
      <c r="A211" s="6" t="s">
        <v>491</v>
      </c>
      <c r="B211" s="9" t="s">
        <v>683</v>
      </c>
    </row>
    <row r="212" customFormat="false" ht="16.5" hidden="false" customHeight="true" outlineLevel="0" collapsed="false">
      <c r="A212" s="6" t="s">
        <v>493</v>
      </c>
      <c r="B212" s="9" t="s">
        <v>684</v>
      </c>
    </row>
    <row r="213" customFormat="false" ht="29.25" hidden="false" customHeight="true" outlineLevel="0" collapsed="false">
      <c r="A213" s="6" t="s">
        <v>495</v>
      </c>
      <c r="B213" s="9" t="s">
        <v>685</v>
      </c>
    </row>
    <row r="214" customFormat="false" ht="16.5" hidden="false" customHeight="true" outlineLevel="0" collapsed="false">
      <c r="A214" s="6" t="s">
        <v>497</v>
      </c>
      <c r="B214" s="9" t="s">
        <v>686</v>
      </c>
    </row>
    <row r="215" customFormat="false" ht="16.5" hidden="false" customHeight="true" outlineLevel="0" collapsed="false">
      <c r="A215" s="6" t="s">
        <v>687</v>
      </c>
      <c r="B215" s="9" t="s">
        <v>688</v>
      </c>
    </row>
    <row r="216" customFormat="false" ht="29.25" hidden="false" customHeight="true" outlineLevel="0" collapsed="false">
      <c r="A216" s="6" t="s">
        <v>499</v>
      </c>
      <c r="B216" s="8" t="s">
        <v>689</v>
      </c>
    </row>
    <row r="217" customFormat="false" ht="29.25" hidden="false" customHeight="true" outlineLevel="0" collapsed="false">
      <c r="A217" s="6" t="s">
        <v>501</v>
      </c>
      <c r="B217" s="8" t="s">
        <v>690</v>
      </c>
    </row>
    <row r="218" customFormat="false" ht="16.5" hidden="false" customHeight="true" outlineLevel="0" collapsed="false">
      <c r="A218" s="6" t="s">
        <v>503</v>
      </c>
      <c r="B218" s="8" t="s">
        <v>691</v>
      </c>
    </row>
    <row r="219" customFormat="false" ht="16.5" hidden="false" customHeight="true" outlineLevel="0" collapsed="false">
      <c r="A219" s="6" t="s">
        <v>505</v>
      </c>
      <c r="B219" s="9" t="s">
        <v>692</v>
      </c>
    </row>
    <row r="220" customFormat="false" ht="29.25" hidden="false" customHeight="true" outlineLevel="0" collapsed="false">
      <c r="A220" s="6" t="s">
        <v>507</v>
      </c>
      <c r="B220" s="8" t="s">
        <v>693</v>
      </c>
    </row>
    <row r="221" customFormat="false" ht="18" hidden="false" customHeight="true" outlineLevel="0" collapsed="false">
      <c r="A221" s="6" t="s">
        <v>509</v>
      </c>
      <c r="B221" s="8" t="str">
        <f aca="false">"화당 "&amp;턴_설계!$B$5&amp;"턴 · 부 총 "&amp;TEXT(턴_설계!D44,"#,##0")&amp;"턴 · 화당 약 "&amp;TEXT(턴_설계!F44,"#,##0")&amp;"단어 · 낭독 약 "&amp;TEXT(턴_설계!H44,"0.0")&amp;"분 (평균 "&amp;TEXT(턴_설계!E44,"0.0")&amp;"단어/턴)"</f>
        <v>화당 120턴 · 부 총 1,440턴 · 화당 약 1,479단어 · 낭독 약 11.4분 (평균 12.3단어/턴)</v>
      </c>
    </row>
    <row r="222" customFormat="false" ht="16.5" hidden="false" customHeight="true" outlineLevel="0" collapsed="false">
      <c r="A222" s="11" t="s">
        <v>510</v>
      </c>
      <c r="B222" s="8" t="s">
        <v>694</v>
      </c>
    </row>
    <row r="223" customFormat="false" ht="16.5" hidden="false" customHeight="true" outlineLevel="0" collapsed="false">
      <c r="A223" s="6" t="s">
        <v>512</v>
      </c>
      <c r="B223" s="8" t="s">
        <v>695</v>
      </c>
    </row>
    <row r="225" customFormat="false" ht="30" hidden="false" customHeight="true" outlineLevel="0" collapsed="false">
      <c r="A225" s="61" t="s">
        <v>335</v>
      </c>
      <c r="B225" s="62" t="s">
        <v>696</v>
      </c>
    </row>
    <row r="226" customFormat="false" ht="29.25" hidden="false" customHeight="true" outlineLevel="0" collapsed="false">
      <c r="A226" s="6" t="s">
        <v>479</v>
      </c>
      <c r="B226" s="9" t="s">
        <v>697</v>
      </c>
    </row>
    <row r="227" customFormat="false" ht="29.25" hidden="false" customHeight="true" outlineLevel="0" collapsed="false">
      <c r="A227" s="6" t="s">
        <v>481</v>
      </c>
      <c r="B227" s="9" t="s">
        <v>698</v>
      </c>
    </row>
    <row r="228" customFormat="false" ht="16.5" hidden="false" customHeight="true" outlineLevel="0" collapsed="false">
      <c r="A228" s="6" t="s">
        <v>483</v>
      </c>
      <c r="B228" s="9" t="s">
        <v>699</v>
      </c>
    </row>
    <row r="229" customFormat="false" ht="16.5" hidden="false" customHeight="true" outlineLevel="0" collapsed="false">
      <c r="A229" s="6" t="s">
        <v>485</v>
      </c>
      <c r="B229" s="9" t="s">
        <v>700</v>
      </c>
    </row>
    <row r="230" customFormat="false" ht="16.5" hidden="false" customHeight="true" outlineLevel="0" collapsed="false">
      <c r="A230" s="6" t="s">
        <v>487</v>
      </c>
      <c r="B230" s="9" t="s">
        <v>701</v>
      </c>
    </row>
    <row r="231" customFormat="false" ht="16.5" hidden="false" customHeight="true" outlineLevel="0" collapsed="false">
      <c r="A231" s="6" t="s">
        <v>489</v>
      </c>
      <c r="B231" s="9" t="s">
        <v>702</v>
      </c>
    </row>
    <row r="232" customFormat="false" ht="16.5" hidden="false" customHeight="true" outlineLevel="0" collapsed="false">
      <c r="A232" s="6" t="s">
        <v>491</v>
      </c>
      <c r="B232" s="9" t="s">
        <v>703</v>
      </c>
    </row>
    <row r="233" customFormat="false" ht="16.5" hidden="false" customHeight="true" outlineLevel="0" collapsed="false">
      <c r="A233" s="6" t="s">
        <v>493</v>
      </c>
      <c r="B233" s="9" t="s">
        <v>704</v>
      </c>
    </row>
    <row r="234" customFormat="false" ht="16.5" hidden="false" customHeight="true" outlineLevel="0" collapsed="false">
      <c r="A234" s="6" t="s">
        <v>495</v>
      </c>
      <c r="B234" s="9" t="s">
        <v>705</v>
      </c>
    </row>
    <row r="235" customFormat="false" ht="16.5" hidden="false" customHeight="true" outlineLevel="0" collapsed="false">
      <c r="A235" s="6" t="s">
        <v>497</v>
      </c>
      <c r="B235" s="9" t="s">
        <v>706</v>
      </c>
    </row>
    <row r="236" customFormat="false" ht="29.25" hidden="false" customHeight="true" outlineLevel="0" collapsed="false">
      <c r="A236" s="6" t="s">
        <v>499</v>
      </c>
      <c r="B236" s="8" t="s">
        <v>707</v>
      </c>
    </row>
    <row r="237" customFormat="false" ht="16.5" hidden="false" customHeight="true" outlineLevel="0" collapsed="false">
      <c r="A237" s="6" t="s">
        <v>501</v>
      </c>
      <c r="B237" s="8" t="s">
        <v>708</v>
      </c>
    </row>
    <row r="238" customFormat="false" ht="16.5" hidden="false" customHeight="true" outlineLevel="0" collapsed="false">
      <c r="A238" s="6" t="s">
        <v>503</v>
      </c>
      <c r="B238" s="8" t="s">
        <v>709</v>
      </c>
    </row>
    <row r="239" customFormat="false" ht="29.25" hidden="false" customHeight="true" outlineLevel="0" collapsed="false">
      <c r="A239" s="6" t="s">
        <v>505</v>
      </c>
      <c r="B239" s="9" t="s">
        <v>710</v>
      </c>
    </row>
    <row r="240" customFormat="false" ht="16.5" hidden="false" customHeight="true" outlineLevel="0" collapsed="false">
      <c r="A240" s="6" t="s">
        <v>507</v>
      </c>
      <c r="B240" s="8" t="s">
        <v>711</v>
      </c>
    </row>
    <row r="241" customFormat="false" ht="18" hidden="false" customHeight="true" outlineLevel="0" collapsed="false">
      <c r="A241" s="6" t="s">
        <v>509</v>
      </c>
      <c r="B241" s="8" t="str">
        <f aca="false">"화당 "&amp;턴_설계!$B$5&amp;"턴 · 부 총 "&amp;TEXT(턴_설계!D45,"#,##0")&amp;"턴 · 화당 약 "&amp;TEXT(턴_설계!F45,"#,##0")&amp;"단어 · 낭독 약 "&amp;TEXT(턴_설계!H45,"0.0")&amp;"분 (평균 "&amp;TEXT(턴_설계!E45,"0.0")&amp;"단어/턴)"</f>
        <v>화당 120턴 · 부 총 1,440턴 · 화당 약 1,463단어 · 낭독 약 11.3분 (평균 12.2단어/턴)</v>
      </c>
    </row>
    <row r="242" customFormat="false" ht="16.5" hidden="false" customHeight="true" outlineLevel="0" collapsed="false">
      <c r="A242" s="11" t="s">
        <v>510</v>
      </c>
      <c r="B242" s="8" t="s">
        <v>712</v>
      </c>
    </row>
    <row r="243" customFormat="false" ht="16.5" hidden="false" customHeight="true" outlineLevel="0" collapsed="false">
      <c r="A243" s="6" t="s">
        <v>512</v>
      </c>
      <c r="B243" s="8" t="s">
        <v>713</v>
      </c>
    </row>
    <row r="245" customFormat="false" ht="30" hidden="false" customHeight="true" outlineLevel="0" collapsed="false">
      <c r="A245" s="61" t="s">
        <v>336</v>
      </c>
      <c r="B245" s="62" t="s">
        <v>714</v>
      </c>
    </row>
    <row r="246" customFormat="false" ht="16.5" hidden="false" customHeight="true" outlineLevel="0" collapsed="false">
      <c r="A246" s="6" t="s">
        <v>479</v>
      </c>
      <c r="B246" s="9" t="s">
        <v>715</v>
      </c>
    </row>
    <row r="247" customFormat="false" ht="16.5" hidden="false" customHeight="true" outlineLevel="0" collapsed="false">
      <c r="A247" s="6" t="s">
        <v>481</v>
      </c>
      <c r="B247" s="9" t="s">
        <v>716</v>
      </c>
    </row>
    <row r="248" customFormat="false" ht="16.5" hidden="false" customHeight="true" outlineLevel="0" collapsed="false">
      <c r="A248" s="6" t="s">
        <v>483</v>
      </c>
      <c r="B248" s="9" t="s">
        <v>717</v>
      </c>
    </row>
    <row r="249" customFormat="false" ht="16.5" hidden="false" customHeight="true" outlineLevel="0" collapsed="false">
      <c r="A249" s="6" t="s">
        <v>485</v>
      </c>
      <c r="B249" s="9" t="s">
        <v>718</v>
      </c>
    </row>
    <row r="250" customFormat="false" ht="16.5" hidden="false" customHeight="true" outlineLevel="0" collapsed="false">
      <c r="A250" s="6" t="s">
        <v>487</v>
      </c>
      <c r="B250" s="9" t="s">
        <v>719</v>
      </c>
    </row>
    <row r="251" customFormat="false" ht="16.5" hidden="false" customHeight="true" outlineLevel="0" collapsed="false">
      <c r="A251" s="6" t="s">
        <v>489</v>
      </c>
      <c r="B251" s="9" t="s">
        <v>720</v>
      </c>
    </row>
    <row r="252" customFormat="false" ht="16.5" hidden="false" customHeight="true" outlineLevel="0" collapsed="false">
      <c r="A252" s="6" t="s">
        <v>491</v>
      </c>
      <c r="B252" s="9" t="s">
        <v>721</v>
      </c>
    </row>
    <row r="253" customFormat="false" ht="16.5" hidden="false" customHeight="true" outlineLevel="0" collapsed="false">
      <c r="A253" s="6" t="s">
        <v>493</v>
      </c>
      <c r="B253" s="9" t="s">
        <v>722</v>
      </c>
    </row>
    <row r="254" customFormat="false" ht="16.5" hidden="false" customHeight="true" outlineLevel="0" collapsed="false">
      <c r="A254" s="6" t="s">
        <v>495</v>
      </c>
      <c r="B254" s="9" t="s">
        <v>723</v>
      </c>
    </row>
    <row r="255" customFormat="false" ht="16.5" hidden="false" customHeight="true" outlineLevel="0" collapsed="false">
      <c r="A255" s="6" t="s">
        <v>497</v>
      </c>
      <c r="B255" s="9" t="s">
        <v>724</v>
      </c>
    </row>
    <row r="256" customFormat="false" ht="16.5" hidden="false" customHeight="true" outlineLevel="0" collapsed="false">
      <c r="A256" s="6" t="s">
        <v>499</v>
      </c>
      <c r="B256" s="8" t="s">
        <v>725</v>
      </c>
    </row>
    <row r="257" customFormat="false" ht="16.5" hidden="false" customHeight="true" outlineLevel="0" collapsed="false">
      <c r="A257" s="6" t="s">
        <v>501</v>
      </c>
      <c r="B257" s="8" t="s">
        <v>726</v>
      </c>
    </row>
    <row r="258" customFormat="false" ht="16.5" hidden="false" customHeight="true" outlineLevel="0" collapsed="false">
      <c r="A258" s="6" t="s">
        <v>503</v>
      </c>
      <c r="B258" s="8" t="s">
        <v>727</v>
      </c>
    </row>
    <row r="259" customFormat="false" ht="16.5" hidden="false" customHeight="true" outlineLevel="0" collapsed="false">
      <c r="A259" s="6" t="s">
        <v>505</v>
      </c>
      <c r="B259" s="9" t="s">
        <v>728</v>
      </c>
    </row>
    <row r="260" customFormat="false" ht="16.5" hidden="false" customHeight="true" outlineLevel="0" collapsed="false">
      <c r="A260" s="6" t="s">
        <v>507</v>
      </c>
      <c r="B260" s="8" t="s">
        <v>729</v>
      </c>
    </row>
    <row r="261" customFormat="false" ht="18" hidden="false" customHeight="true" outlineLevel="0" collapsed="false">
      <c r="A261" s="6" t="s">
        <v>509</v>
      </c>
      <c r="B261" s="8" t="str">
        <f aca="false">"화당 "&amp;턴_설계!$B$5&amp;"턴 · 부 총 "&amp;TEXT(턴_설계!D46,"#,##0")&amp;"턴 · 화당 약 "&amp;TEXT(턴_설계!F46,"#,##0")&amp;"단어 · 낭독 약 "&amp;TEXT(턴_설계!H46,"0.0")&amp;"분 (평균 "&amp;TEXT(턴_설계!E46,"0.0")&amp;"단어/턴)"</f>
        <v>화당 120턴 · 부 총 1,440턴 · 화당 약 920단어 · 낭독 약 7.1분 (평균 7.7단어/턴)</v>
      </c>
    </row>
    <row r="262" customFormat="false" ht="16.5" hidden="false" customHeight="true" outlineLevel="0" collapsed="false">
      <c r="A262" s="11" t="s">
        <v>510</v>
      </c>
      <c r="B262" s="8" t="s">
        <v>730</v>
      </c>
    </row>
    <row r="263" customFormat="false" ht="16.5" hidden="false" customHeight="true" outlineLevel="0" collapsed="false">
      <c r="A263" s="6" t="s">
        <v>512</v>
      </c>
      <c r="B263" s="9" t="s">
        <v>731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J1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6"/>
    <col collapsed="false" customWidth="true" hidden="false" outlineLevel="0" max="3" min="3" style="1" width="13"/>
    <col collapsed="false" customWidth="true" hidden="false" outlineLevel="0" max="4" min="4" style="1" width="32"/>
    <col collapsed="false" customWidth="true" hidden="false" outlineLevel="0" max="5" min="5" style="1" width="24"/>
    <col collapsed="false" customWidth="true" hidden="false" outlineLevel="0" max="6" min="6" style="1" width="62"/>
    <col collapsed="false" customWidth="true" hidden="false" outlineLevel="0" max="7" min="7" style="1" width="46"/>
    <col collapsed="false" customWidth="true" hidden="false" outlineLevel="0" max="8" min="8" style="1" width="28"/>
    <col collapsed="false" customWidth="true" hidden="false" outlineLevel="0" max="9" min="9" style="1" width="16"/>
    <col collapsed="false" customWidth="true" hidden="false" outlineLevel="0" max="10" min="10" style="1" width="8"/>
  </cols>
  <sheetData>
    <row r="1" customFormat="false" ht="24" hidden="false" customHeight="true" outlineLevel="0" collapsed="false">
      <c r="A1" s="21" t="s">
        <v>732</v>
      </c>
    </row>
    <row r="2" customFormat="false" ht="15" hidden="false" customHeight="true" outlineLevel="0" collapsed="false">
      <c r="A2" s="20" t="s">
        <v>733</v>
      </c>
    </row>
    <row r="4" customFormat="false" ht="29.25" hidden="false" customHeight="true" outlineLevel="0" collapsed="false">
      <c r="A4" s="23" t="s">
        <v>340</v>
      </c>
      <c r="B4" s="23" t="s">
        <v>734</v>
      </c>
      <c r="C4" s="23" t="s">
        <v>479</v>
      </c>
      <c r="D4" s="23" t="s">
        <v>392</v>
      </c>
      <c r="E4" s="23" t="s">
        <v>393</v>
      </c>
      <c r="F4" s="23" t="s">
        <v>735</v>
      </c>
      <c r="G4" s="23" t="s">
        <v>397</v>
      </c>
      <c r="H4" s="23" t="s">
        <v>736</v>
      </c>
      <c r="I4" s="23" t="s">
        <v>737</v>
      </c>
      <c r="J4" s="23" t="s">
        <v>738</v>
      </c>
    </row>
    <row r="5" customFormat="false" ht="67.5" hidden="false" customHeight="true" outlineLevel="0" collapsed="false">
      <c r="A5" s="24" t="n">
        <v>1</v>
      </c>
      <c r="B5" s="24" t="n">
        <v>1</v>
      </c>
      <c r="C5" s="26" t="s">
        <v>739</v>
      </c>
      <c r="D5" s="8" t="s">
        <v>740</v>
      </c>
      <c r="E5" s="9" t="s">
        <v>741</v>
      </c>
      <c r="F5" s="9" t="s">
        <v>742</v>
      </c>
      <c r="G5" s="9" t="s">
        <v>743</v>
      </c>
      <c r="H5" s="8" t="s">
        <v>744</v>
      </c>
      <c r="I5" s="24" t="s">
        <v>745</v>
      </c>
      <c r="J5" s="24" t="n">
        <f aca="false">턴_설계!$B$5</f>
        <v>120</v>
      </c>
    </row>
    <row r="6" customFormat="false" ht="54.75" hidden="false" customHeight="true" outlineLevel="0" collapsed="false">
      <c r="A6" s="24" t="n">
        <v>1</v>
      </c>
      <c r="B6" s="24" t="n">
        <v>2</v>
      </c>
      <c r="C6" s="26" t="s">
        <v>746</v>
      </c>
      <c r="D6" s="8" t="s">
        <v>747</v>
      </c>
      <c r="E6" s="9" t="s">
        <v>748</v>
      </c>
      <c r="F6" s="8" t="s">
        <v>749</v>
      </c>
      <c r="G6" s="9" t="s">
        <v>750</v>
      </c>
      <c r="H6" s="8" t="s">
        <v>751</v>
      </c>
      <c r="I6" s="24" t="s">
        <v>745</v>
      </c>
      <c r="J6" s="24" t="n">
        <f aca="false">턴_설계!$B$5</f>
        <v>120</v>
      </c>
    </row>
    <row r="7" customFormat="false" ht="54.75" hidden="false" customHeight="true" outlineLevel="0" collapsed="false">
      <c r="A7" s="24" t="n">
        <v>1</v>
      </c>
      <c r="B7" s="24" t="n">
        <v>3</v>
      </c>
      <c r="C7" s="26" t="s">
        <v>752</v>
      </c>
      <c r="D7" s="8" t="s">
        <v>753</v>
      </c>
      <c r="E7" s="9" t="s">
        <v>754</v>
      </c>
      <c r="F7" s="8" t="s">
        <v>755</v>
      </c>
      <c r="G7" s="9" t="s">
        <v>756</v>
      </c>
      <c r="H7" s="8" t="s">
        <v>757</v>
      </c>
      <c r="I7" s="24" t="s">
        <v>745</v>
      </c>
      <c r="J7" s="24" t="n">
        <f aca="false">턴_설계!$B$5</f>
        <v>120</v>
      </c>
    </row>
    <row r="8" customFormat="false" ht="42" hidden="false" customHeight="true" outlineLevel="0" collapsed="false">
      <c r="A8" s="24" t="n">
        <v>1</v>
      </c>
      <c r="B8" s="24" t="n">
        <v>4</v>
      </c>
      <c r="C8" s="26" t="s">
        <v>758</v>
      </c>
      <c r="D8" s="8" t="s">
        <v>759</v>
      </c>
      <c r="E8" s="9" t="s">
        <v>760</v>
      </c>
      <c r="F8" s="8" t="s">
        <v>761</v>
      </c>
      <c r="G8" s="9" t="s">
        <v>762</v>
      </c>
      <c r="H8" s="8" t="s">
        <v>757</v>
      </c>
      <c r="I8" s="24" t="s">
        <v>745</v>
      </c>
      <c r="J8" s="24" t="n">
        <f aca="false">턴_설계!$B$5</f>
        <v>120</v>
      </c>
    </row>
    <row r="9" customFormat="false" ht="42" hidden="false" customHeight="true" outlineLevel="0" collapsed="false">
      <c r="A9" s="24" t="n">
        <v>1</v>
      </c>
      <c r="B9" s="24" t="n">
        <v>5</v>
      </c>
      <c r="C9" s="26" t="s">
        <v>763</v>
      </c>
      <c r="D9" s="8" t="s">
        <v>764</v>
      </c>
      <c r="E9" s="9" t="s">
        <v>765</v>
      </c>
      <c r="F9" s="8" t="s">
        <v>766</v>
      </c>
      <c r="G9" s="9" t="s">
        <v>767</v>
      </c>
      <c r="H9" s="8" t="s">
        <v>768</v>
      </c>
      <c r="I9" s="24" t="s">
        <v>769</v>
      </c>
      <c r="J9" s="24" t="n">
        <f aca="false">턴_설계!$B$5</f>
        <v>120</v>
      </c>
    </row>
    <row r="10" customFormat="false" ht="54.75" hidden="false" customHeight="true" outlineLevel="0" collapsed="false">
      <c r="A10" s="24" t="n">
        <v>1</v>
      </c>
      <c r="B10" s="24" t="n">
        <v>6</v>
      </c>
      <c r="C10" s="26" t="s">
        <v>770</v>
      </c>
      <c r="D10" s="8" t="s">
        <v>771</v>
      </c>
      <c r="E10" s="9" t="s">
        <v>772</v>
      </c>
      <c r="F10" s="8" t="s">
        <v>773</v>
      </c>
      <c r="G10" s="9" t="s">
        <v>774</v>
      </c>
      <c r="H10" s="8" t="s">
        <v>775</v>
      </c>
      <c r="I10" s="24" t="s">
        <v>769</v>
      </c>
      <c r="J10" s="24" t="n">
        <f aca="false">턴_설계!$B$5</f>
        <v>120</v>
      </c>
    </row>
    <row r="11" customFormat="false" ht="67.5" hidden="false" customHeight="true" outlineLevel="0" collapsed="false">
      <c r="A11" s="24" t="n">
        <v>1</v>
      </c>
      <c r="B11" s="24" t="n">
        <v>7</v>
      </c>
      <c r="C11" s="26" t="s">
        <v>776</v>
      </c>
      <c r="D11" s="8" t="s">
        <v>777</v>
      </c>
      <c r="E11" s="9" t="s">
        <v>778</v>
      </c>
      <c r="F11" s="8" t="s">
        <v>779</v>
      </c>
      <c r="G11" s="9" t="s">
        <v>780</v>
      </c>
      <c r="H11" s="8" t="s">
        <v>781</v>
      </c>
      <c r="I11" s="24" t="s">
        <v>782</v>
      </c>
      <c r="J11" s="24" t="n">
        <f aca="false">턴_설계!$B$5</f>
        <v>120</v>
      </c>
    </row>
    <row r="12" customFormat="false" ht="42" hidden="false" customHeight="true" outlineLevel="0" collapsed="false">
      <c r="A12" s="24" t="n">
        <v>1</v>
      </c>
      <c r="B12" s="24" t="n">
        <v>8</v>
      </c>
      <c r="C12" s="26" t="s">
        <v>783</v>
      </c>
      <c r="D12" s="8" t="s">
        <v>784</v>
      </c>
      <c r="E12" s="9" t="s">
        <v>785</v>
      </c>
      <c r="F12" s="8" t="s">
        <v>786</v>
      </c>
      <c r="G12" s="27" t="s">
        <v>787</v>
      </c>
      <c r="H12" s="8" t="s">
        <v>788</v>
      </c>
      <c r="I12" s="24" t="s">
        <v>782</v>
      </c>
      <c r="J12" s="24" t="n">
        <f aca="false">턴_설계!$B$5</f>
        <v>120</v>
      </c>
    </row>
    <row r="13" customFormat="false" ht="54.75" hidden="false" customHeight="true" outlineLevel="0" collapsed="false">
      <c r="A13" s="24" t="n">
        <v>1</v>
      </c>
      <c r="B13" s="24" t="n">
        <v>9</v>
      </c>
      <c r="C13" s="26" t="s">
        <v>789</v>
      </c>
      <c r="D13" s="8" t="s">
        <v>790</v>
      </c>
      <c r="E13" s="8" t="s">
        <v>791</v>
      </c>
      <c r="F13" s="8" t="s">
        <v>792</v>
      </c>
      <c r="G13" s="9" t="s">
        <v>793</v>
      </c>
      <c r="H13" s="8" t="s">
        <v>794</v>
      </c>
      <c r="I13" s="24" t="s">
        <v>795</v>
      </c>
      <c r="J13" s="24" t="n">
        <f aca="false">턴_설계!$B$5</f>
        <v>120</v>
      </c>
    </row>
    <row r="14" customFormat="false" ht="42" hidden="false" customHeight="true" outlineLevel="0" collapsed="false">
      <c r="A14" s="24" t="n">
        <v>1</v>
      </c>
      <c r="B14" s="24" t="n">
        <v>10</v>
      </c>
      <c r="C14" s="26" t="s">
        <v>796</v>
      </c>
      <c r="D14" s="8" t="s">
        <v>797</v>
      </c>
      <c r="E14" s="9" t="s">
        <v>798</v>
      </c>
      <c r="F14" s="8" t="s">
        <v>799</v>
      </c>
      <c r="G14" s="9" t="s">
        <v>800</v>
      </c>
      <c r="H14" s="8" t="s">
        <v>801</v>
      </c>
      <c r="I14" s="24" t="s">
        <v>795</v>
      </c>
      <c r="J14" s="24" t="n">
        <f aca="false">턴_설계!$B$5</f>
        <v>120</v>
      </c>
    </row>
    <row r="15" customFormat="false" ht="42" hidden="false" customHeight="true" outlineLevel="0" collapsed="false">
      <c r="A15" s="24" t="n">
        <v>1</v>
      </c>
      <c r="B15" s="24" t="n">
        <v>11</v>
      </c>
      <c r="C15" s="26" t="s">
        <v>802</v>
      </c>
      <c r="D15" s="8" t="s">
        <v>803</v>
      </c>
      <c r="E15" s="9" t="s">
        <v>804</v>
      </c>
      <c r="F15" s="8" t="s">
        <v>805</v>
      </c>
      <c r="G15" s="9" t="s">
        <v>806</v>
      </c>
      <c r="H15" s="8" t="s">
        <v>807</v>
      </c>
      <c r="I15" s="24" t="s">
        <v>745</v>
      </c>
      <c r="J15" s="24" t="n">
        <f aca="false">턴_설계!$B$5</f>
        <v>120</v>
      </c>
    </row>
    <row r="16" customFormat="false" ht="54.75" hidden="false" customHeight="true" outlineLevel="0" collapsed="false">
      <c r="A16" s="24" t="n">
        <v>1</v>
      </c>
      <c r="B16" s="24" t="n">
        <v>12</v>
      </c>
      <c r="C16" s="26" t="s">
        <v>808</v>
      </c>
      <c r="D16" s="8" t="s">
        <v>809</v>
      </c>
      <c r="E16" s="9" t="s">
        <v>810</v>
      </c>
      <c r="F16" s="8" t="s">
        <v>811</v>
      </c>
      <c r="G16" s="9" t="s">
        <v>812</v>
      </c>
      <c r="H16" s="8" t="s">
        <v>813</v>
      </c>
      <c r="I16" s="24" t="s">
        <v>745</v>
      </c>
      <c r="J16" s="24" t="n">
        <f aca="false">턴_설계!$B$5</f>
        <v>120</v>
      </c>
    </row>
    <row r="17" customFormat="false" ht="42" hidden="false" customHeight="true" outlineLevel="0" collapsed="false">
      <c r="A17" s="24" t="n">
        <v>2</v>
      </c>
      <c r="B17" s="24" t="n">
        <v>1</v>
      </c>
      <c r="C17" s="26" t="s">
        <v>814</v>
      </c>
      <c r="D17" s="8" t="s">
        <v>815</v>
      </c>
      <c r="E17" s="9" t="s">
        <v>816</v>
      </c>
      <c r="F17" s="8" t="s">
        <v>817</v>
      </c>
      <c r="G17" s="9" t="s">
        <v>818</v>
      </c>
      <c r="H17" s="8" t="s">
        <v>819</v>
      </c>
      <c r="I17" s="24" t="s">
        <v>745</v>
      </c>
      <c r="J17" s="24" t="n">
        <f aca="false">턴_설계!$B$5</f>
        <v>120</v>
      </c>
    </row>
    <row r="18" customFormat="false" ht="42" hidden="false" customHeight="true" outlineLevel="0" collapsed="false">
      <c r="A18" s="24" t="n">
        <v>2</v>
      </c>
      <c r="B18" s="24" t="n">
        <v>2</v>
      </c>
      <c r="C18" s="26" t="s">
        <v>814</v>
      </c>
      <c r="D18" s="8" t="s">
        <v>820</v>
      </c>
      <c r="E18" s="9" t="s">
        <v>821</v>
      </c>
      <c r="F18" s="8" t="s">
        <v>822</v>
      </c>
      <c r="G18" s="9" t="s">
        <v>823</v>
      </c>
      <c r="H18" s="8" t="s">
        <v>824</v>
      </c>
      <c r="I18" s="24"/>
      <c r="J18" s="24" t="n">
        <f aca="false">턴_설계!$B$5</f>
        <v>120</v>
      </c>
    </row>
    <row r="19" customFormat="false" ht="42" hidden="false" customHeight="true" outlineLevel="0" collapsed="false">
      <c r="A19" s="24" t="n">
        <v>2</v>
      </c>
      <c r="B19" s="24" t="n">
        <v>3</v>
      </c>
      <c r="C19" s="26" t="s">
        <v>814</v>
      </c>
      <c r="D19" s="8" t="s">
        <v>825</v>
      </c>
      <c r="E19" s="8" t="s">
        <v>826</v>
      </c>
      <c r="F19" s="9" t="s">
        <v>827</v>
      </c>
      <c r="G19" s="9" t="s">
        <v>828</v>
      </c>
      <c r="H19" s="8" t="s">
        <v>829</v>
      </c>
      <c r="I19" s="24" t="s">
        <v>745</v>
      </c>
      <c r="J19" s="24" t="n">
        <f aca="false">턴_설계!$B$5</f>
        <v>120</v>
      </c>
    </row>
    <row r="20" customFormat="false" ht="42" hidden="false" customHeight="true" outlineLevel="0" collapsed="false">
      <c r="A20" s="24" t="n">
        <v>2</v>
      </c>
      <c r="B20" s="24" t="n">
        <v>4</v>
      </c>
      <c r="C20" s="26" t="s">
        <v>830</v>
      </c>
      <c r="D20" s="8" t="s">
        <v>831</v>
      </c>
      <c r="E20" s="9" t="s">
        <v>832</v>
      </c>
      <c r="F20" s="9" t="s">
        <v>833</v>
      </c>
      <c r="G20" s="9" t="s">
        <v>834</v>
      </c>
      <c r="H20" s="8" t="s">
        <v>835</v>
      </c>
      <c r="I20" s="24" t="s">
        <v>745</v>
      </c>
      <c r="J20" s="24" t="n">
        <f aca="false">턴_설계!$B$5</f>
        <v>120</v>
      </c>
    </row>
    <row r="21" customFormat="false" ht="42" hidden="false" customHeight="true" outlineLevel="0" collapsed="false">
      <c r="A21" s="24" t="n">
        <v>2</v>
      </c>
      <c r="B21" s="24" t="n">
        <v>5</v>
      </c>
      <c r="C21" s="26" t="s">
        <v>830</v>
      </c>
      <c r="D21" s="8" t="s">
        <v>836</v>
      </c>
      <c r="E21" s="9" t="s">
        <v>837</v>
      </c>
      <c r="F21" s="8" t="s">
        <v>838</v>
      </c>
      <c r="G21" s="9" t="s">
        <v>839</v>
      </c>
      <c r="H21" s="8" t="s">
        <v>840</v>
      </c>
      <c r="I21" s="24" t="s">
        <v>745</v>
      </c>
      <c r="J21" s="24" t="n">
        <f aca="false">턴_설계!$B$5</f>
        <v>120</v>
      </c>
    </row>
    <row r="22" customFormat="false" ht="42" hidden="false" customHeight="true" outlineLevel="0" collapsed="false">
      <c r="A22" s="24" t="n">
        <v>2</v>
      </c>
      <c r="B22" s="24" t="n">
        <v>6</v>
      </c>
      <c r="C22" s="26" t="s">
        <v>841</v>
      </c>
      <c r="D22" s="8" t="s">
        <v>842</v>
      </c>
      <c r="E22" s="9" t="s">
        <v>843</v>
      </c>
      <c r="F22" s="9" t="s">
        <v>844</v>
      </c>
      <c r="G22" s="9" t="s">
        <v>845</v>
      </c>
      <c r="H22" s="8" t="s">
        <v>846</v>
      </c>
      <c r="I22" s="24" t="s">
        <v>745</v>
      </c>
      <c r="J22" s="24" t="n">
        <f aca="false">턴_설계!$B$5</f>
        <v>120</v>
      </c>
    </row>
    <row r="23" customFormat="false" ht="42" hidden="false" customHeight="true" outlineLevel="0" collapsed="false">
      <c r="A23" s="24" t="n">
        <v>2</v>
      </c>
      <c r="B23" s="24" t="n">
        <v>7</v>
      </c>
      <c r="C23" s="26" t="s">
        <v>847</v>
      </c>
      <c r="D23" s="8" t="s">
        <v>848</v>
      </c>
      <c r="E23" s="9" t="s">
        <v>849</v>
      </c>
      <c r="F23" s="9" t="s">
        <v>850</v>
      </c>
      <c r="G23" s="9" t="s">
        <v>851</v>
      </c>
      <c r="H23" s="8" t="s">
        <v>852</v>
      </c>
      <c r="I23" s="24" t="s">
        <v>745</v>
      </c>
      <c r="J23" s="24" t="n">
        <f aca="false">턴_설계!$B$5</f>
        <v>120</v>
      </c>
    </row>
    <row r="24" customFormat="false" ht="42" hidden="false" customHeight="true" outlineLevel="0" collapsed="false">
      <c r="A24" s="24" t="n">
        <v>2</v>
      </c>
      <c r="B24" s="24" t="n">
        <v>8</v>
      </c>
      <c r="C24" s="26" t="s">
        <v>847</v>
      </c>
      <c r="D24" s="8" t="s">
        <v>853</v>
      </c>
      <c r="E24" s="9" t="s">
        <v>854</v>
      </c>
      <c r="F24" s="9" t="s">
        <v>855</v>
      </c>
      <c r="G24" s="9" t="s">
        <v>856</v>
      </c>
      <c r="H24" s="8" t="s">
        <v>857</v>
      </c>
      <c r="I24" s="24" t="s">
        <v>858</v>
      </c>
      <c r="J24" s="24" t="n">
        <f aca="false">턴_설계!$B$5</f>
        <v>120</v>
      </c>
    </row>
    <row r="25" customFormat="false" ht="42" hidden="false" customHeight="true" outlineLevel="0" collapsed="false">
      <c r="A25" s="24" t="n">
        <v>2</v>
      </c>
      <c r="B25" s="24" t="n">
        <v>9</v>
      </c>
      <c r="C25" s="26" t="s">
        <v>847</v>
      </c>
      <c r="D25" s="8" t="s">
        <v>859</v>
      </c>
      <c r="E25" s="9" t="s">
        <v>860</v>
      </c>
      <c r="F25" s="8" t="s">
        <v>861</v>
      </c>
      <c r="G25" s="9" t="s">
        <v>862</v>
      </c>
      <c r="H25" s="8" t="s">
        <v>863</v>
      </c>
      <c r="I25" s="24"/>
      <c r="J25" s="24" t="n">
        <f aca="false">턴_설계!$B$5</f>
        <v>120</v>
      </c>
    </row>
    <row r="26" customFormat="false" ht="29.25" hidden="false" customHeight="true" outlineLevel="0" collapsed="false">
      <c r="A26" s="24" t="n">
        <v>2</v>
      </c>
      <c r="B26" s="24" t="n">
        <v>10</v>
      </c>
      <c r="C26" s="26" t="s">
        <v>864</v>
      </c>
      <c r="D26" s="8" t="s">
        <v>865</v>
      </c>
      <c r="E26" s="9" t="s">
        <v>866</v>
      </c>
      <c r="F26" s="9" t="s">
        <v>867</v>
      </c>
      <c r="G26" s="9" t="s">
        <v>868</v>
      </c>
      <c r="H26" s="8" t="s">
        <v>869</v>
      </c>
      <c r="I26" s="24"/>
      <c r="J26" s="24" t="n">
        <f aca="false">턴_설계!$B$5</f>
        <v>120</v>
      </c>
    </row>
    <row r="27" customFormat="false" ht="29.25" hidden="false" customHeight="true" outlineLevel="0" collapsed="false">
      <c r="A27" s="24" t="n">
        <v>2</v>
      </c>
      <c r="B27" s="24" t="n">
        <v>11</v>
      </c>
      <c r="C27" s="26" t="s">
        <v>864</v>
      </c>
      <c r="D27" s="8" t="s">
        <v>870</v>
      </c>
      <c r="E27" s="8" t="s">
        <v>871</v>
      </c>
      <c r="F27" s="8" t="s">
        <v>872</v>
      </c>
      <c r="G27" s="9" t="s">
        <v>873</v>
      </c>
      <c r="H27" s="8" t="s">
        <v>874</v>
      </c>
      <c r="I27" s="24" t="s">
        <v>745</v>
      </c>
      <c r="J27" s="24" t="n">
        <f aca="false">턴_설계!$B$5</f>
        <v>120</v>
      </c>
    </row>
    <row r="28" customFormat="false" ht="42" hidden="false" customHeight="true" outlineLevel="0" collapsed="false">
      <c r="A28" s="24" t="n">
        <v>2</v>
      </c>
      <c r="B28" s="24" t="n">
        <v>12</v>
      </c>
      <c r="C28" s="26" t="s">
        <v>875</v>
      </c>
      <c r="D28" s="8" t="s">
        <v>876</v>
      </c>
      <c r="E28" s="9" t="s">
        <v>877</v>
      </c>
      <c r="F28" s="8" t="s">
        <v>878</v>
      </c>
      <c r="G28" s="9" t="s">
        <v>879</v>
      </c>
      <c r="H28" s="8" t="s">
        <v>880</v>
      </c>
      <c r="I28" s="24"/>
      <c r="J28" s="24" t="n">
        <f aca="false">턴_설계!$B$5</f>
        <v>120</v>
      </c>
    </row>
    <row r="29" customFormat="false" ht="42" hidden="false" customHeight="true" outlineLevel="0" collapsed="false">
      <c r="A29" s="24" t="n">
        <v>3</v>
      </c>
      <c r="B29" s="24" t="n">
        <v>1</v>
      </c>
      <c r="C29" s="26" t="s">
        <v>814</v>
      </c>
      <c r="D29" s="8" t="s">
        <v>881</v>
      </c>
      <c r="E29" s="9" t="s">
        <v>882</v>
      </c>
      <c r="F29" s="8" t="s">
        <v>883</v>
      </c>
      <c r="G29" s="9" t="s">
        <v>884</v>
      </c>
      <c r="H29" s="8" t="s">
        <v>885</v>
      </c>
      <c r="I29" s="24"/>
      <c r="J29" s="24" t="n">
        <f aca="false">턴_설계!$B$5</f>
        <v>120</v>
      </c>
    </row>
    <row r="30" customFormat="false" ht="42" hidden="false" customHeight="true" outlineLevel="0" collapsed="false">
      <c r="A30" s="24" t="n">
        <v>3</v>
      </c>
      <c r="B30" s="24" t="n">
        <v>2</v>
      </c>
      <c r="C30" s="26" t="s">
        <v>814</v>
      </c>
      <c r="D30" s="8" t="s">
        <v>886</v>
      </c>
      <c r="E30" s="9" t="s">
        <v>887</v>
      </c>
      <c r="F30" s="8" t="s">
        <v>888</v>
      </c>
      <c r="G30" s="8" t="s">
        <v>889</v>
      </c>
      <c r="H30" s="8" t="s">
        <v>890</v>
      </c>
      <c r="I30" s="24"/>
      <c r="J30" s="24" t="n">
        <f aca="false">턴_설계!$B$5</f>
        <v>120</v>
      </c>
    </row>
    <row r="31" customFormat="false" ht="29.25" hidden="false" customHeight="true" outlineLevel="0" collapsed="false">
      <c r="A31" s="24" t="n">
        <v>3</v>
      </c>
      <c r="B31" s="24" t="n">
        <v>3</v>
      </c>
      <c r="C31" s="26" t="s">
        <v>814</v>
      </c>
      <c r="D31" s="8" t="s">
        <v>891</v>
      </c>
      <c r="E31" s="9" t="s">
        <v>892</v>
      </c>
      <c r="F31" s="9" t="s">
        <v>893</v>
      </c>
      <c r="G31" s="9" t="s">
        <v>894</v>
      </c>
      <c r="H31" s="8" t="s">
        <v>895</v>
      </c>
      <c r="I31" s="24" t="s">
        <v>896</v>
      </c>
      <c r="J31" s="24" t="n">
        <f aca="false">턴_설계!$B$5</f>
        <v>120</v>
      </c>
    </row>
    <row r="32" customFormat="false" ht="29.25" hidden="false" customHeight="true" outlineLevel="0" collapsed="false">
      <c r="A32" s="24" t="n">
        <v>3</v>
      </c>
      <c r="B32" s="24" t="n">
        <v>4</v>
      </c>
      <c r="C32" s="26" t="s">
        <v>830</v>
      </c>
      <c r="D32" s="8" t="s">
        <v>897</v>
      </c>
      <c r="E32" s="9" t="s">
        <v>898</v>
      </c>
      <c r="F32" s="9" t="s">
        <v>899</v>
      </c>
      <c r="G32" s="9" t="s">
        <v>900</v>
      </c>
      <c r="H32" s="8" t="s">
        <v>901</v>
      </c>
      <c r="I32" s="24" t="s">
        <v>902</v>
      </c>
      <c r="J32" s="24" t="n">
        <f aca="false">턴_설계!$B$5</f>
        <v>120</v>
      </c>
    </row>
    <row r="33" customFormat="false" ht="42" hidden="false" customHeight="true" outlineLevel="0" collapsed="false">
      <c r="A33" s="24" t="n">
        <v>3</v>
      </c>
      <c r="B33" s="24" t="n">
        <v>5</v>
      </c>
      <c r="C33" s="26" t="s">
        <v>830</v>
      </c>
      <c r="D33" s="8" t="s">
        <v>903</v>
      </c>
      <c r="E33" s="9" t="s">
        <v>904</v>
      </c>
      <c r="F33" s="8" t="s">
        <v>905</v>
      </c>
      <c r="G33" s="9" t="s">
        <v>906</v>
      </c>
      <c r="H33" s="8" t="s">
        <v>907</v>
      </c>
      <c r="I33" s="24"/>
      <c r="J33" s="24" t="n">
        <f aca="false">턴_설계!$B$5</f>
        <v>120</v>
      </c>
    </row>
    <row r="34" customFormat="false" ht="42" hidden="false" customHeight="true" outlineLevel="0" collapsed="false">
      <c r="A34" s="24" t="n">
        <v>3</v>
      </c>
      <c r="B34" s="24" t="n">
        <v>6</v>
      </c>
      <c r="C34" s="26" t="s">
        <v>841</v>
      </c>
      <c r="D34" s="8" t="s">
        <v>908</v>
      </c>
      <c r="E34" s="9" t="s">
        <v>909</v>
      </c>
      <c r="F34" s="9" t="s">
        <v>910</v>
      </c>
      <c r="G34" s="9" t="s">
        <v>911</v>
      </c>
      <c r="H34" s="8" t="s">
        <v>912</v>
      </c>
      <c r="I34" s="24" t="s">
        <v>913</v>
      </c>
      <c r="J34" s="24" t="n">
        <f aca="false">턴_설계!$B$5</f>
        <v>120</v>
      </c>
    </row>
    <row r="35" customFormat="false" ht="42" hidden="false" customHeight="true" outlineLevel="0" collapsed="false">
      <c r="A35" s="24" t="n">
        <v>3</v>
      </c>
      <c r="B35" s="24" t="n">
        <v>7</v>
      </c>
      <c r="C35" s="26" t="s">
        <v>847</v>
      </c>
      <c r="D35" s="8" t="s">
        <v>914</v>
      </c>
      <c r="E35" s="9" t="s">
        <v>915</v>
      </c>
      <c r="F35" s="9" t="s">
        <v>916</v>
      </c>
      <c r="G35" s="9" t="s">
        <v>917</v>
      </c>
      <c r="H35" s="8" t="s">
        <v>918</v>
      </c>
      <c r="I35" s="24" t="s">
        <v>919</v>
      </c>
      <c r="J35" s="24" t="n">
        <f aca="false">턴_설계!$B$5</f>
        <v>120</v>
      </c>
    </row>
    <row r="36" customFormat="false" ht="29.25" hidden="false" customHeight="true" outlineLevel="0" collapsed="false">
      <c r="A36" s="24" t="n">
        <v>3</v>
      </c>
      <c r="B36" s="24" t="n">
        <v>8</v>
      </c>
      <c r="C36" s="26" t="s">
        <v>847</v>
      </c>
      <c r="D36" s="8" t="s">
        <v>920</v>
      </c>
      <c r="E36" s="9" t="s">
        <v>921</v>
      </c>
      <c r="F36" s="9" t="s">
        <v>922</v>
      </c>
      <c r="G36" s="9" t="s">
        <v>923</v>
      </c>
      <c r="H36" s="8" t="s">
        <v>924</v>
      </c>
      <c r="I36" s="24" t="s">
        <v>919</v>
      </c>
      <c r="J36" s="24" t="n">
        <f aca="false">턴_설계!$B$5</f>
        <v>120</v>
      </c>
    </row>
    <row r="37" customFormat="false" ht="29.25" hidden="false" customHeight="true" outlineLevel="0" collapsed="false">
      <c r="A37" s="24" t="n">
        <v>3</v>
      </c>
      <c r="B37" s="24" t="n">
        <v>9</v>
      </c>
      <c r="C37" s="26" t="s">
        <v>847</v>
      </c>
      <c r="D37" s="8" t="s">
        <v>925</v>
      </c>
      <c r="E37" s="9" t="s">
        <v>926</v>
      </c>
      <c r="F37" s="8" t="s">
        <v>927</v>
      </c>
      <c r="G37" s="9" t="s">
        <v>928</v>
      </c>
      <c r="H37" s="8" t="s">
        <v>929</v>
      </c>
      <c r="I37" s="24"/>
      <c r="J37" s="24" t="n">
        <f aca="false">턴_설계!$B$5</f>
        <v>120</v>
      </c>
    </row>
    <row r="38" customFormat="false" ht="29.25" hidden="false" customHeight="true" outlineLevel="0" collapsed="false">
      <c r="A38" s="24" t="n">
        <v>3</v>
      </c>
      <c r="B38" s="24" t="n">
        <v>10</v>
      </c>
      <c r="C38" s="26" t="s">
        <v>864</v>
      </c>
      <c r="D38" s="8" t="s">
        <v>930</v>
      </c>
      <c r="E38" s="9" t="s">
        <v>931</v>
      </c>
      <c r="F38" s="9" t="s">
        <v>932</v>
      </c>
      <c r="G38" s="9" t="s">
        <v>933</v>
      </c>
      <c r="H38" s="8" t="s">
        <v>895</v>
      </c>
      <c r="I38" s="24" t="s">
        <v>934</v>
      </c>
      <c r="J38" s="24" t="n">
        <f aca="false">턴_설계!$B$5</f>
        <v>120</v>
      </c>
    </row>
    <row r="39" customFormat="false" ht="29.25" hidden="false" customHeight="true" outlineLevel="0" collapsed="false">
      <c r="A39" s="24" t="n">
        <v>3</v>
      </c>
      <c r="B39" s="24" t="n">
        <v>11</v>
      </c>
      <c r="C39" s="26" t="s">
        <v>864</v>
      </c>
      <c r="D39" s="8" t="s">
        <v>935</v>
      </c>
      <c r="E39" s="9" t="s">
        <v>936</v>
      </c>
      <c r="F39" s="9" t="s">
        <v>937</v>
      </c>
      <c r="G39" s="9" t="s">
        <v>938</v>
      </c>
      <c r="H39" s="8" t="s">
        <v>912</v>
      </c>
      <c r="I39" s="24"/>
      <c r="J39" s="24" t="n">
        <f aca="false">턴_설계!$B$5</f>
        <v>120</v>
      </c>
    </row>
    <row r="40" customFormat="false" ht="29.25" hidden="false" customHeight="true" outlineLevel="0" collapsed="false">
      <c r="A40" s="24" t="n">
        <v>3</v>
      </c>
      <c r="B40" s="24" t="n">
        <v>12</v>
      </c>
      <c r="C40" s="26" t="s">
        <v>875</v>
      </c>
      <c r="D40" s="8" t="s">
        <v>939</v>
      </c>
      <c r="E40" s="9" t="s">
        <v>940</v>
      </c>
      <c r="F40" s="8" t="s">
        <v>941</v>
      </c>
      <c r="G40" s="9" t="s">
        <v>942</v>
      </c>
      <c r="H40" s="8" t="s">
        <v>943</v>
      </c>
      <c r="I40" s="24"/>
      <c r="J40" s="24" t="n">
        <f aca="false">턴_설계!$B$5</f>
        <v>120</v>
      </c>
    </row>
    <row r="41" customFormat="false" ht="29.25" hidden="false" customHeight="true" outlineLevel="0" collapsed="false">
      <c r="A41" s="24" t="n">
        <v>4</v>
      </c>
      <c r="B41" s="24" t="n">
        <v>1</v>
      </c>
      <c r="C41" s="26" t="s">
        <v>814</v>
      </c>
      <c r="D41" s="8" t="s">
        <v>944</v>
      </c>
      <c r="E41" s="9" t="s">
        <v>945</v>
      </c>
      <c r="F41" s="8" t="s">
        <v>946</v>
      </c>
      <c r="G41" s="9" t="s">
        <v>947</v>
      </c>
      <c r="H41" s="8" t="s">
        <v>948</v>
      </c>
      <c r="I41" s="24"/>
      <c r="J41" s="24" t="n">
        <f aca="false">턴_설계!$B$5</f>
        <v>120</v>
      </c>
    </row>
    <row r="42" customFormat="false" ht="29.25" hidden="false" customHeight="true" outlineLevel="0" collapsed="false">
      <c r="A42" s="24" t="n">
        <v>4</v>
      </c>
      <c r="B42" s="24" t="n">
        <v>2</v>
      </c>
      <c r="C42" s="26" t="s">
        <v>814</v>
      </c>
      <c r="D42" s="8" t="s">
        <v>949</v>
      </c>
      <c r="E42" s="9" t="s">
        <v>950</v>
      </c>
      <c r="F42" s="8" t="s">
        <v>951</v>
      </c>
      <c r="G42" s="9" t="s">
        <v>952</v>
      </c>
      <c r="H42" s="8" t="s">
        <v>953</v>
      </c>
      <c r="I42" s="24"/>
      <c r="J42" s="24" t="n">
        <f aca="false">턴_설계!$B$5</f>
        <v>120</v>
      </c>
    </row>
    <row r="43" customFormat="false" ht="29.25" hidden="false" customHeight="true" outlineLevel="0" collapsed="false">
      <c r="A43" s="24" t="n">
        <v>4</v>
      </c>
      <c r="B43" s="24" t="n">
        <v>3</v>
      </c>
      <c r="C43" s="26" t="s">
        <v>814</v>
      </c>
      <c r="D43" s="8" t="s">
        <v>954</v>
      </c>
      <c r="E43" s="9" t="s">
        <v>955</v>
      </c>
      <c r="F43" s="8" t="s">
        <v>956</v>
      </c>
      <c r="G43" s="9" t="s">
        <v>957</v>
      </c>
      <c r="H43" s="8" t="s">
        <v>958</v>
      </c>
      <c r="I43" s="24"/>
      <c r="J43" s="24" t="n">
        <f aca="false">턴_설계!$B$5</f>
        <v>120</v>
      </c>
    </row>
    <row r="44" customFormat="false" ht="29.25" hidden="false" customHeight="true" outlineLevel="0" collapsed="false">
      <c r="A44" s="24" t="n">
        <v>4</v>
      </c>
      <c r="B44" s="24" t="n">
        <v>4</v>
      </c>
      <c r="C44" s="26" t="s">
        <v>830</v>
      </c>
      <c r="D44" s="8" t="s">
        <v>959</v>
      </c>
      <c r="E44" s="9" t="s">
        <v>960</v>
      </c>
      <c r="F44" s="9" t="s">
        <v>961</v>
      </c>
      <c r="G44" s="9" t="s">
        <v>962</v>
      </c>
      <c r="H44" s="8" t="s">
        <v>963</v>
      </c>
      <c r="I44" s="24"/>
      <c r="J44" s="24" t="n">
        <f aca="false">턴_설계!$B$5</f>
        <v>120</v>
      </c>
    </row>
    <row r="45" customFormat="false" ht="29.25" hidden="false" customHeight="true" outlineLevel="0" collapsed="false">
      <c r="A45" s="24" t="n">
        <v>4</v>
      </c>
      <c r="B45" s="24" t="n">
        <v>5</v>
      </c>
      <c r="C45" s="26" t="s">
        <v>830</v>
      </c>
      <c r="D45" s="8" t="s">
        <v>964</v>
      </c>
      <c r="E45" s="9" t="s">
        <v>965</v>
      </c>
      <c r="F45" s="8" t="s">
        <v>966</v>
      </c>
      <c r="G45" s="9" t="s">
        <v>967</v>
      </c>
      <c r="H45" s="8" t="s">
        <v>968</v>
      </c>
      <c r="I45" s="24"/>
      <c r="J45" s="24" t="n">
        <f aca="false">턴_설계!$B$5</f>
        <v>120</v>
      </c>
    </row>
    <row r="46" customFormat="false" ht="42" hidden="false" customHeight="true" outlineLevel="0" collapsed="false">
      <c r="A46" s="24" t="n">
        <v>4</v>
      </c>
      <c r="B46" s="24" t="n">
        <v>6</v>
      </c>
      <c r="C46" s="26" t="s">
        <v>841</v>
      </c>
      <c r="D46" s="8" t="s">
        <v>969</v>
      </c>
      <c r="E46" s="9" t="s">
        <v>970</v>
      </c>
      <c r="F46" s="8" t="s">
        <v>971</v>
      </c>
      <c r="G46" s="9" t="s">
        <v>972</v>
      </c>
      <c r="H46" s="8" t="s">
        <v>973</v>
      </c>
      <c r="I46" s="24"/>
      <c r="J46" s="24" t="n">
        <f aca="false">턴_설계!$B$5</f>
        <v>120</v>
      </c>
    </row>
    <row r="47" customFormat="false" ht="29.25" hidden="false" customHeight="true" outlineLevel="0" collapsed="false">
      <c r="A47" s="24" t="n">
        <v>4</v>
      </c>
      <c r="B47" s="24" t="n">
        <v>7</v>
      </c>
      <c r="C47" s="26" t="s">
        <v>847</v>
      </c>
      <c r="D47" s="8" t="s">
        <v>974</v>
      </c>
      <c r="E47" s="9" t="s">
        <v>975</v>
      </c>
      <c r="F47" s="8" t="s">
        <v>976</v>
      </c>
      <c r="G47" s="9" t="s">
        <v>977</v>
      </c>
      <c r="H47" s="8" t="s">
        <v>978</v>
      </c>
      <c r="I47" s="24" t="s">
        <v>919</v>
      </c>
      <c r="J47" s="24" t="n">
        <f aca="false">턴_설계!$B$5</f>
        <v>120</v>
      </c>
    </row>
    <row r="48" customFormat="false" ht="29.25" hidden="false" customHeight="true" outlineLevel="0" collapsed="false">
      <c r="A48" s="24" t="n">
        <v>4</v>
      </c>
      <c r="B48" s="24" t="n">
        <v>8</v>
      </c>
      <c r="C48" s="26" t="s">
        <v>847</v>
      </c>
      <c r="D48" s="8" t="s">
        <v>979</v>
      </c>
      <c r="E48" s="9" t="s">
        <v>980</v>
      </c>
      <c r="F48" s="8" t="s">
        <v>981</v>
      </c>
      <c r="G48" s="9" t="s">
        <v>982</v>
      </c>
      <c r="H48" s="8" t="s">
        <v>983</v>
      </c>
      <c r="I48" s="24"/>
      <c r="J48" s="24" t="n">
        <f aca="false">턴_설계!$B$5</f>
        <v>120</v>
      </c>
    </row>
    <row r="49" customFormat="false" ht="42" hidden="false" customHeight="true" outlineLevel="0" collapsed="false">
      <c r="A49" s="24" t="n">
        <v>4</v>
      </c>
      <c r="B49" s="24" t="n">
        <v>9</v>
      </c>
      <c r="C49" s="26" t="s">
        <v>847</v>
      </c>
      <c r="D49" s="8" t="s">
        <v>984</v>
      </c>
      <c r="E49" s="9" t="s">
        <v>985</v>
      </c>
      <c r="F49" s="8" t="s">
        <v>986</v>
      </c>
      <c r="G49" s="9" t="s">
        <v>987</v>
      </c>
      <c r="H49" s="8" t="s">
        <v>988</v>
      </c>
      <c r="I49" s="24"/>
      <c r="J49" s="24" t="n">
        <f aca="false">턴_설계!$B$5</f>
        <v>120</v>
      </c>
    </row>
    <row r="50" customFormat="false" ht="29.25" hidden="false" customHeight="true" outlineLevel="0" collapsed="false">
      <c r="A50" s="24" t="n">
        <v>4</v>
      </c>
      <c r="B50" s="24" t="n">
        <v>10</v>
      </c>
      <c r="C50" s="26" t="s">
        <v>864</v>
      </c>
      <c r="D50" s="8" t="s">
        <v>809</v>
      </c>
      <c r="E50" s="9" t="s">
        <v>810</v>
      </c>
      <c r="F50" s="8" t="s">
        <v>989</v>
      </c>
      <c r="G50" s="9" t="s">
        <v>990</v>
      </c>
      <c r="H50" s="8" t="s">
        <v>958</v>
      </c>
      <c r="I50" s="24"/>
      <c r="J50" s="24" t="n">
        <f aca="false">턴_설계!$B$5</f>
        <v>120</v>
      </c>
    </row>
    <row r="51" customFormat="false" ht="42" hidden="false" customHeight="true" outlineLevel="0" collapsed="false">
      <c r="A51" s="24" t="n">
        <v>4</v>
      </c>
      <c r="B51" s="24" t="n">
        <v>11</v>
      </c>
      <c r="C51" s="26" t="s">
        <v>864</v>
      </c>
      <c r="D51" s="8" t="s">
        <v>991</v>
      </c>
      <c r="E51" s="9" t="s">
        <v>992</v>
      </c>
      <c r="F51" s="9" t="s">
        <v>993</v>
      </c>
      <c r="G51" s="9" t="s">
        <v>994</v>
      </c>
      <c r="H51" s="8" t="s">
        <v>995</v>
      </c>
      <c r="I51" s="24"/>
      <c r="J51" s="24" t="n">
        <f aca="false">턴_설계!$B$5</f>
        <v>120</v>
      </c>
    </row>
    <row r="52" customFormat="false" ht="29.25" hidden="false" customHeight="true" outlineLevel="0" collapsed="false">
      <c r="A52" s="24" t="n">
        <v>4</v>
      </c>
      <c r="B52" s="24" t="n">
        <v>12</v>
      </c>
      <c r="C52" s="26" t="s">
        <v>875</v>
      </c>
      <c r="D52" s="8" t="s">
        <v>996</v>
      </c>
      <c r="E52" s="9" t="s">
        <v>997</v>
      </c>
      <c r="F52" s="8" t="s">
        <v>998</v>
      </c>
      <c r="G52" s="9" t="s">
        <v>999</v>
      </c>
      <c r="H52" s="8" t="s">
        <v>1000</v>
      </c>
      <c r="I52" s="24"/>
      <c r="J52" s="24" t="n">
        <f aca="false">턴_설계!$B$5</f>
        <v>120</v>
      </c>
    </row>
    <row r="53" customFormat="false" ht="29.25" hidden="false" customHeight="true" outlineLevel="0" collapsed="false">
      <c r="A53" s="24" t="n">
        <v>5</v>
      </c>
      <c r="B53" s="24" t="n">
        <v>1</v>
      </c>
      <c r="C53" s="26" t="s">
        <v>814</v>
      </c>
      <c r="D53" s="8" t="s">
        <v>1001</v>
      </c>
      <c r="E53" s="9" t="s">
        <v>1002</v>
      </c>
      <c r="F53" s="8" t="s">
        <v>1003</v>
      </c>
      <c r="G53" s="9" t="s">
        <v>1004</v>
      </c>
      <c r="H53" s="8" t="s">
        <v>1005</v>
      </c>
      <c r="I53" s="24"/>
      <c r="J53" s="24" t="n">
        <f aca="false">턴_설계!$B$5</f>
        <v>120</v>
      </c>
    </row>
    <row r="54" customFormat="false" ht="29.25" hidden="false" customHeight="true" outlineLevel="0" collapsed="false">
      <c r="A54" s="24" t="n">
        <v>5</v>
      </c>
      <c r="B54" s="24" t="n">
        <v>2</v>
      </c>
      <c r="C54" s="26" t="s">
        <v>814</v>
      </c>
      <c r="D54" s="8" t="s">
        <v>1006</v>
      </c>
      <c r="E54" s="8" t="s">
        <v>1007</v>
      </c>
      <c r="F54" s="8" t="s">
        <v>1008</v>
      </c>
      <c r="G54" s="8" t="s">
        <v>1009</v>
      </c>
      <c r="H54" s="8" t="s">
        <v>1010</v>
      </c>
      <c r="I54" s="24"/>
      <c r="J54" s="24" t="n">
        <f aca="false">턴_설계!$B$5</f>
        <v>120</v>
      </c>
    </row>
    <row r="55" customFormat="false" ht="42" hidden="false" customHeight="true" outlineLevel="0" collapsed="false">
      <c r="A55" s="24" t="n">
        <v>5</v>
      </c>
      <c r="B55" s="24" t="n">
        <v>3</v>
      </c>
      <c r="C55" s="26" t="s">
        <v>814</v>
      </c>
      <c r="D55" s="8" t="s">
        <v>1011</v>
      </c>
      <c r="E55" s="8" t="s">
        <v>1012</v>
      </c>
      <c r="F55" s="9" t="s">
        <v>1013</v>
      </c>
      <c r="G55" s="9" t="s">
        <v>1014</v>
      </c>
      <c r="H55" s="8" t="s">
        <v>1015</v>
      </c>
      <c r="I55" s="24" t="s">
        <v>1016</v>
      </c>
      <c r="J55" s="24" t="n">
        <f aca="false">턴_설계!$B$5</f>
        <v>120</v>
      </c>
    </row>
    <row r="56" customFormat="false" ht="29.25" hidden="false" customHeight="true" outlineLevel="0" collapsed="false">
      <c r="A56" s="24" t="n">
        <v>5</v>
      </c>
      <c r="B56" s="24" t="n">
        <v>4</v>
      </c>
      <c r="C56" s="26" t="s">
        <v>830</v>
      </c>
      <c r="D56" s="8" t="s">
        <v>1017</v>
      </c>
      <c r="E56" s="9" t="s">
        <v>1018</v>
      </c>
      <c r="F56" s="8" t="s">
        <v>1019</v>
      </c>
      <c r="G56" s="9" t="s">
        <v>1020</v>
      </c>
      <c r="H56" s="8" t="s">
        <v>1021</v>
      </c>
      <c r="I56" s="24"/>
      <c r="J56" s="24" t="n">
        <f aca="false">턴_설계!$B$5</f>
        <v>120</v>
      </c>
    </row>
    <row r="57" customFormat="false" ht="29.25" hidden="false" customHeight="true" outlineLevel="0" collapsed="false">
      <c r="A57" s="24" t="n">
        <v>5</v>
      </c>
      <c r="B57" s="24" t="n">
        <v>5</v>
      </c>
      <c r="C57" s="26" t="s">
        <v>830</v>
      </c>
      <c r="D57" s="8" t="s">
        <v>1022</v>
      </c>
      <c r="E57" s="9" t="s">
        <v>1023</v>
      </c>
      <c r="F57" s="8" t="s">
        <v>1024</v>
      </c>
      <c r="G57" s="9" t="s">
        <v>1025</v>
      </c>
      <c r="H57" s="8" t="s">
        <v>1026</v>
      </c>
      <c r="I57" s="24"/>
      <c r="J57" s="24" t="n">
        <f aca="false">턴_설계!$B$5</f>
        <v>120</v>
      </c>
    </row>
    <row r="58" customFormat="false" ht="29.25" hidden="false" customHeight="true" outlineLevel="0" collapsed="false">
      <c r="A58" s="24" t="n">
        <v>5</v>
      </c>
      <c r="B58" s="24" t="n">
        <v>6</v>
      </c>
      <c r="C58" s="26" t="s">
        <v>841</v>
      </c>
      <c r="D58" s="8" t="s">
        <v>1027</v>
      </c>
      <c r="E58" s="8" t="s">
        <v>1028</v>
      </c>
      <c r="F58" s="9" t="s">
        <v>1029</v>
      </c>
      <c r="G58" s="9" t="s">
        <v>1030</v>
      </c>
      <c r="H58" s="8" t="s">
        <v>1031</v>
      </c>
      <c r="I58" s="24" t="s">
        <v>769</v>
      </c>
      <c r="J58" s="24" t="n">
        <f aca="false">턴_설계!$B$5</f>
        <v>120</v>
      </c>
    </row>
    <row r="59" customFormat="false" ht="29.25" hidden="false" customHeight="true" outlineLevel="0" collapsed="false">
      <c r="A59" s="24" t="n">
        <v>5</v>
      </c>
      <c r="B59" s="24" t="n">
        <v>7</v>
      </c>
      <c r="C59" s="26" t="s">
        <v>847</v>
      </c>
      <c r="D59" s="8" t="s">
        <v>1032</v>
      </c>
      <c r="E59" s="9" t="s">
        <v>1033</v>
      </c>
      <c r="F59" s="9" t="s">
        <v>1034</v>
      </c>
      <c r="G59" s="9" t="s">
        <v>1035</v>
      </c>
      <c r="H59" s="8" t="s">
        <v>1036</v>
      </c>
      <c r="I59" s="24" t="s">
        <v>769</v>
      </c>
      <c r="J59" s="24" t="n">
        <f aca="false">턴_설계!$B$5</f>
        <v>120</v>
      </c>
    </row>
    <row r="60" customFormat="false" ht="29.25" hidden="false" customHeight="true" outlineLevel="0" collapsed="false">
      <c r="A60" s="24" t="n">
        <v>5</v>
      </c>
      <c r="B60" s="24" t="n">
        <v>8</v>
      </c>
      <c r="C60" s="26" t="s">
        <v>847</v>
      </c>
      <c r="D60" s="8" t="s">
        <v>1037</v>
      </c>
      <c r="E60" s="9" t="s">
        <v>1038</v>
      </c>
      <c r="F60" s="8" t="s">
        <v>1039</v>
      </c>
      <c r="G60" s="9" t="s">
        <v>1040</v>
      </c>
      <c r="H60" s="8" t="s">
        <v>1041</v>
      </c>
      <c r="I60" s="24" t="s">
        <v>769</v>
      </c>
      <c r="J60" s="24" t="n">
        <f aca="false">턴_설계!$B$5</f>
        <v>120</v>
      </c>
    </row>
    <row r="61" customFormat="false" ht="29.25" hidden="false" customHeight="true" outlineLevel="0" collapsed="false">
      <c r="A61" s="24" t="n">
        <v>5</v>
      </c>
      <c r="B61" s="24" t="n">
        <v>9</v>
      </c>
      <c r="C61" s="26" t="s">
        <v>847</v>
      </c>
      <c r="D61" s="8" t="s">
        <v>1042</v>
      </c>
      <c r="E61" s="9" t="s">
        <v>1043</v>
      </c>
      <c r="F61" s="8" t="s">
        <v>1044</v>
      </c>
      <c r="G61" s="9" t="s">
        <v>1045</v>
      </c>
      <c r="H61" s="8" t="s">
        <v>1005</v>
      </c>
      <c r="I61" s="24"/>
      <c r="J61" s="24" t="n">
        <f aca="false">턴_설계!$B$5</f>
        <v>120</v>
      </c>
    </row>
    <row r="62" customFormat="false" ht="29.25" hidden="false" customHeight="true" outlineLevel="0" collapsed="false">
      <c r="A62" s="24" t="n">
        <v>5</v>
      </c>
      <c r="B62" s="24" t="n">
        <v>10</v>
      </c>
      <c r="C62" s="26" t="s">
        <v>864</v>
      </c>
      <c r="D62" s="8" t="s">
        <v>1046</v>
      </c>
      <c r="E62" s="9" t="s">
        <v>1047</v>
      </c>
      <c r="F62" s="9" t="s">
        <v>1048</v>
      </c>
      <c r="G62" s="9" t="s">
        <v>1049</v>
      </c>
      <c r="H62" s="8" t="s">
        <v>1050</v>
      </c>
      <c r="I62" s="24" t="s">
        <v>769</v>
      </c>
      <c r="J62" s="24" t="n">
        <f aca="false">턴_설계!$B$5</f>
        <v>120</v>
      </c>
    </row>
    <row r="63" customFormat="false" ht="16.5" hidden="false" customHeight="true" outlineLevel="0" collapsed="false">
      <c r="A63" s="24" t="n">
        <v>5</v>
      </c>
      <c r="B63" s="24" t="n">
        <v>11</v>
      </c>
      <c r="C63" s="26" t="s">
        <v>864</v>
      </c>
      <c r="D63" s="8" t="s">
        <v>1051</v>
      </c>
      <c r="E63" s="9" t="s">
        <v>1052</v>
      </c>
      <c r="F63" s="9" t="s">
        <v>1053</v>
      </c>
      <c r="G63" s="9" t="s">
        <v>1054</v>
      </c>
      <c r="H63" s="8" t="s">
        <v>1010</v>
      </c>
      <c r="I63" s="24"/>
      <c r="J63" s="24" t="n">
        <f aca="false">턴_설계!$B$5</f>
        <v>120</v>
      </c>
    </row>
    <row r="64" customFormat="false" ht="29.25" hidden="false" customHeight="true" outlineLevel="0" collapsed="false">
      <c r="A64" s="24" t="n">
        <v>5</v>
      </c>
      <c r="B64" s="24" t="n">
        <v>12</v>
      </c>
      <c r="C64" s="26" t="s">
        <v>875</v>
      </c>
      <c r="D64" s="8" t="s">
        <v>1055</v>
      </c>
      <c r="E64" s="9" t="s">
        <v>1056</v>
      </c>
      <c r="F64" s="8" t="s">
        <v>1057</v>
      </c>
      <c r="G64" s="9" t="s">
        <v>1058</v>
      </c>
      <c r="H64" s="8" t="s">
        <v>1059</v>
      </c>
      <c r="I64" s="24"/>
      <c r="J64" s="24" t="n">
        <f aca="false">턴_설계!$B$5</f>
        <v>120</v>
      </c>
    </row>
    <row r="65" customFormat="false" ht="29.25" hidden="false" customHeight="true" outlineLevel="0" collapsed="false">
      <c r="A65" s="24" t="n">
        <v>6</v>
      </c>
      <c r="B65" s="24" t="n">
        <v>1</v>
      </c>
      <c r="C65" s="26" t="s">
        <v>814</v>
      </c>
      <c r="D65" s="8" t="s">
        <v>1060</v>
      </c>
      <c r="E65" s="9" t="s">
        <v>1061</v>
      </c>
      <c r="F65" s="9" t="s">
        <v>1062</v>
      </c>
      <c r="G65" s="9" t="s">
        <v>1063</v>
      </c>
      <c r="H65" s="8" t="s">
        <v>1064</v>
      </c>
      <c r="I65" s="24" t="s">
        <v>745</v>
      </c>
      <c r="J65" s="24" t="n">
        <f aca="false">턴_설계!$B$5</f>
        <v>120</v>
      </c>
    </row>
    <row r="66" customFormat="false" ht="29.25" hidden="false" customHeight="true" outlineLevel="0" collapsed="false">
      <c r="A66" s="24" t="n">
        <v>6</v>
      </c>
      <c r="B66" s="24" t="n">
        <v>2</v>
      </c>
      <c r="C66" s="26" t="s">
        <v>814</v>
      </c>
      <c r="D66" s="8" t="s">
        <v>1065</v>
      </c>
      <c r="E66" s="9" t="s">
        <v>1066</v>
      </c>
      <c r="F66" s="9" t="s">
        <v>1067</v>
      </c>
      <c r="G66" s="9" t="s">
        <v>1068</v>
      </c>
      <c r="H66" s="8" t="s">
        <v>1069</v>
      </c>
      <c r="I66" s="24"/>
      <c r="J66" s="24" t="n">
        <f aca="false">턴_설계!$B$5</f>
        <v>120</v>
      </c>
    </row>
    <row r="67" customFormat="false" ht="29.25" hidden="false" customHeight="true" outlineLevel="0" collapsed="false">
      <c r="A67" s="24" t="n">
        <v>6</v>
      </c>
      <c r="B67" s="24" t="n">
        <v>3</v>
      </c>
      <c r="C67" s="26" t="s">
        <v>814</v>
      </c>
      <c r="D67" s="8" t="s">
        <v>1070</v>
      </c>
      <c r="E67" s="8" t="s">
        <v>1071</v>
      </c>
      <c r="F67" s="9" t="s">
        <v>1072</v>
      </c>
      <c r="G67" s="9" t="s">
        <v>1073</v>
      </c>
      <c r="H67" s="8" t="s">
        <v>1074</v>
      </c>
      <c r="I67" s="24" t="s">
        <v>745</v>
      </c>
      <c r="J67" s="24" t="n">
        <f aca="false">턴_설계!$B$5</f>
        <v>120</v>
      </c>
    </row>
    <row r="68" customFormat="false" ht="29.25" hidden="false" customHeight="true" outlineLevel="0" collapsed="false">
      <c r="A68" s="24" t="n">
        <v>6</v>
      </c>
      <c r="B68" s="24" t="n">
        <v>4</v>
      </c>
      <c r="C68" s="26" t="s">
        <v>830</v>
      </c>
      <c r="D68" s="8" t="s">
        <v>1075</v>
      </c>
      <c r="E68" s="9" t="s">
        <v>1076</v>
      </c>
      <c r="F68" s="9" t="s">
        <v>1077</v>
      </c>
      <c r="G68" s="9" t="s">
        <v>1078</v>
      </c>
      <c r="H68" s="8" t="s">
        <v>1079</v>
      </c>
      <c r="I68" s="24"/>
      <c r="J68" s="24" t="n">
        <f aca="false">턴_설계!$B$5</f>
        <v>120</v>
      </c>
    </row>
    <row r="69" customFormat="false" ht="29.25" hidden="false" customHeight="true" outlineLevel="0" collapsed="false">
      <c r="A69" s="24" t="n">
        <v>6</v>
      </c>
      <c r="B69" s="24" t="n">
        <v>5</v>
      </c>
      <c r="C69" s="26" t="s">
        <v>830</v>
      </c>
      <c r="D69" s="8" t="s">
        <v>1080</v>
      </c>
      <c r="E69" s="8" t="s">
        <v>1081</v>
      </c>
      <c r="F69" s="8" t="s">
        <v>1082</v>
      </c>
      <c r="G69" s="9" t="s">
        <v>1083</v>
      </c>
      <c r="H69" s="8" t="s">
        <v>1084</v>
      </c>
      <c r="I69" s="24"/>
      <c r="J69" s="24" t="n">
        <f aca="false">턴_설계!$B$5</f>
        <v>120</v>
      </c>
    </row>
    <row r="70" customFormat="false" ht="42" hidden="false" customHeight="true" outlineLevel="0" collapsed="false">
      <c r="A70" s="24" t="n">
        <v>6</v>
      </c>
      <c r="B70" s="24" t="n">
        <v>6</v>
      </c>
      <c r="C70" s="26" t="s">
        <v>841</v>
      </c>
      <c r="D70" s="8" t="s">
        <v>1085</v>
      </c>
      <c r="E70" s="9" t="s">
        <v>1086</v>
      </c>
      <c r="F70" s="8" t="s">
        <v>1087</v>
      </c>
      <c r="G70" s="9" t="s">
        <v>1088</v>
      </c>
      <c r="H70" s="8" t="s">
        <v>1089</v>
      </c>
      <c r="I70" s="24" t="s">
        <v>745</v>
      </c>
      <c r="J70" s="24" t="n">
        <f aca="false">턴_설계!$B$5</f>
        <v>120</v>
      </c>
    </row>
    <row r="71" customFormat="false" ht="29.25" hidden="false" customHeight="true" outlineLevel="0" collapsed="false">
      <c r="A71" s="24" t="n">
        <v>6</v>
      </c>
      <c r="B71" s="24" t="n">
        <v>7</v>
      </c>
      <c r="C71" s="26" t="s">
        <v>847</v>
      </c>
      <c r="D71" s="8" t="s">
        <v>1090</v>
      </c>
      <c r="E71" s="9" t="s">
        <v>1091</v>
      </c>
      <c r="F71" s="9" t="s">
        <v>1092</v>
      </c>
      <c r="G71" s="9" t="s">
        <v>1093</v>
      </c>
      <c r="H71" s="8" t="s">
        <v>1069</v>
      </c>
      <c r="I71" s="24"/>
      <c r="J71" s="24" t="n">
        <f aca="false">턴_설계!$B$5</f>
        <v>120</v>
      </c>
    </row>
    <row r="72" customFormat="false" ht="42" hidden="false" customHeight="true" outlineLevel="0" collapsed="false">
      <c r="A72" s="24" t="n">
        <v>6</v>
      </c>
      <c r="B72" s="24" t="n">
        <v>8</v>
      </c>
      <c r="C72" s="26" t="s">
        <v>847</v>
      </c>
      <c r="D72" s="8" t="s">
        <v>1094</v>
      </c>
      <c r="E72" s="9" t="s">
        <v>1095</v>
      </c>
      <c r="F72" s="9" t="s">
        <v>1096</v>
      </c>
      <c r="G72" s="9" t="s">
        <v>1097</v>
      </c>
      <c r="H72" s="8" t="s">
        <v>1098</v>
      </c>
      <c r="I72" s="24" t="s">
        <v>1099</v>
      </c>
      <c r="J72" s="24" t="n">
        <f aca="false">턴_설계!$B$5</f>
        <v>120</v>
      </c>
    </row>
    <row r="73" customFormat="false" ht="42" hidden="false" customHeight="true" outlineLevel="0" collapsed="false">
      <c r="A73" s="24" t="n">
        <v>6</v>
      </c>
      <c r="B73" s="24" t="n">
        <v>9</v>
      </c>
      <c r="C73" s="26" t="s">
        <v>847</v>
      </c>
      <c r="D73" s="8" t="s">
        <v>1100</v>
      </c>
      <c r="E73" s="9" t="s">
        <v>1101</v>
      </c>
      <c r="F73" s="9" t="s">
        <v>1102</v>
      </c>
      <c r="G73" s="9" t="s">
        <v>1103</v>
      </c>
      <c r="H73" s="8" t="s">
        <v>1104</v>
      </c>
      <c r="I73" s="24" t="s">
        <v>1105</v>
      </c>
      <c r="J73" s="24" t="n">
        <f aca="false">턴_설계!$B$5</f>
        <v>120</v>
      </c>
    </row>
    <row r="74" customFormat="false" ht="29.25" hidden="false" customHeight="true" outlineLevel="0" collapsed="false">
      <c r="A74" s="24" t="n">
        <v>6</v>
      </c>
      <c r="B74" s="24" t="n">
        <v>10</v>
      </c>
      <c r="C74" s="26" t="s">
        <v>864</v>
      </c>
      <c r="D74" s="8" t="s">
        <v>1106</v>
      </c>
      <c r="E74" s="9" t="s">
        <v>1107</v>
      </c>
      <c r="F74" s="9" t="s">
        <v>1108</v>
      </c>
      <c r="G74" s="9" t="s">
        <v>1109</v>
      </c>
      <c r="H74" s="8" t="s">
        <v>1110</v>
      </c>
      <c r="I74" s="24" t="s">
        <v>745</v>
      </c>
      <c r="J74" s="24" t="n">
        <f aca="false">턴_설계!$B$5</f>
        <v>120</v>
      </c>
    </row>
    <row r="75" customFormat="false" ht="42" hidden="false" customHeight="true" outlineLevel="0" collapsed="false">
      <c r="A75" s="24" t="n">
        <v>6</v>
      </c>
      <c r="B75" s="24" t="n">
        <v>11</v>
      </c>
      <c r="C75" s="26" t="s">
        <v>864</v>
      </c>
      <c r="D75" s="8" t="s">
        <v>1111</v>
      </c>
      <c r="E75" s="9" t="s">
        <v>1112</v>
      </c>
      <c r="F75" s="9" t="s">
        <v>1113</v>
      </c>
      <c r="G75" s="9" t="s">
        <v>1114</v>
      </c>
      <c r="H75" s="9" t="s">
        <v>1115</v>
      </c>
      <c r="I75" s="24" t="s">
        <v>769</v>
      </c>
      <c r="J75" s="24" t="n">
        <f aca="false">턴_설계!$B$5</f>
        <v>120</v>
      </c>
    </row>
    <row r="76" customFormat="false" ht="29.25" hidden="false" customHeight="true" outlineLevel="0" collapsed="false">
      <c r="A76" s="24" t="n">
        <v>6</v>
      </c>
      <c r="B76" s="24" t="n">
        <v>12</v>
      </c>
      <c r="C76" s="26" t="s">
        <v>875</v>
      </c>
      <c r="D76" s="8" t="s">
        <v>1116</v>
      </c>
      <c r="E76" s="9" t="s">
        <v>1117</v>
      </c>
      <c r="F76" s="9" t="s">
        <v>1118</v>
      </c>
      <c r="G76" s="9" t="s">
        <v>1119</v>
      </c>
      <c r="H76" s="9" t="s">
        <v>1115</v>
      </c>
      <c r="I76" s="24"/>
      <c r="J76" s="24" t="n">
        <f aca="false">턴_설계!$B$5</f>
        <v>120</v>
      </c>
    </row>
    <row r="77" customFormat="false" ht="42" hidden="false" customHeight="true" outlineLevel="0" collapsed="false">
      <c r="A77" s="24" t="n">
        <v>7</v>
      </c>
      <c r="B77" s="24" t="n">
        <v>1</v>
      </c>
      <c r="C77" s="26" t="s">
        <v>814</v>
      </c>
      <c r="D77" s="8" t="s">
        <v>1120</v>
      </c>
      <c r="E77" s="8" t="s">
        <v>1121</v>
      </c>
      <c r="F77" s="9" t="s">
        <v>1122</v>
      </c>
      <c r="G77" s="9" t="s">
        <v>1123</v>
      </c>
      <c r="H77" s="9" t="s">
        <v>1115</v>
      </c>
      <c r="I77" s="24"/>
      <c r="J77" s="24" t="n">
        <f aca="false">턴_설계!$B$5</f>
        <v>120</v>
      </c>
    </row>
    <row r="78" customFormat="false" ht="29.25" hidden="false" customHeight="true" outlineLevel="0" collapsed="false">
      <c r="A78" s="24" t="n">
        <v>7</v>
      </c>
      <c r="B78" s="24" t="n">
        <v>2</v>
      </c>
      <c r="C78" s="26" t="s">
        <v>814</v>
      </c>
      <c r="D78" s="8" t="s">
        <v>1124</v>
      </c>
      <c r="E78" s="9" t="s">
        <v>1125</v>
      </c>
      <c r="F78" s="9" t="s">
        <v>1126</v>
      </c>
      <c r="G78" s="9" t="s">
        <v>1127</v>
      </c>
      <c r="H78" s="8" t="s">
        <v>1128</v>
      </c>
      <c r="I78" s="24" t="s">
        <v>1129</v>
      </c>
      <c r="J78" s="24" t="n">
        <f aca="false">턴_설계!$B$5</f>
        <v>120</v>
      </c>
    </row>
    <row r="79" customFormat="false" ht="42" hidden="false" customHeight="true" outlineLevel="0" collapsed="false">
      <c r="A79" s="24" t="n">
        <v>7</v>
      </c>
      <c r="B79" s="24" t="n">
        <v>3</v>
      </c>
      <c r="C79" s="26" t="s">
        <v>814</v>
      </c>
      <c r="D79" s="8" t="s">
        <v>1130</v>
      </c>
      <c r="E79" s="9" t="s">
        <v>1131</v>
      </c>
      <c r="F79" s="9" t="s">
        <v>1132</v>
      </c>
      <c r="G79" s="9" t="s">
        <v>1133</v>
      </c>
      <c r="H79" s="8" t="s">
        <v>1134</v>
      </c>
      <c r="I79" s="24" t="s">
        <v>1135</v>
      </c>
      <c r="J79" s="24" t="n">
        <f aca="false">턴_설계!$B$5</f>
        <v>120</v>
      </c>
    </row>
    <row r="80" customFormat="false" ht="42" hidden="false" customHeight="true" outlineLevel="0" collapsed="false">
      <c r="A80" s="24" t="n">
        <v>7</v>
      </c>
      <c r="B80" s="24" t="n">
        <v>4</v>
      </c>
      <c r="C80" s="26" t="s">
        <v>830</v>
      </c>
      <c r="D80" s="8" t="s">
        <v>1136</v>
      </c>
      <c r="E80" s="9" t="s">
        <v>1137</v>
      </c>
      <c r="F80" s="8" t="s">
        <v>1138</v>
      </c>
      <c r="G80" s="8" t="s">
        <v>1139</v>
      </c>
      <c r="H80" s="8" t="s">
        <v>1140</v>
      </c>
      <c r="I80" s="24" t="s">
        <v>782</v>
      </c>
      <c r="J80" s="24" t="n">
        <f aca="false">턴_설계!$B$5</f>
        <v>120</v>
      </c>
    </row>
    <row r="81" customFormat="false" ht="29.25" hidden="false" customHeight="true" outlineLevel="0" collapsed="false">
      <c r="A81" s="24" t="n">
        <v>7</v>
      </c>
      <c r="B81" s="24" t="n">
        <v>5</v>
      </c>
      <c r="C81" s="26" t="s">
        <v>830</v>
      </c>
      <c r="D81" s="8" t="s">
        <v>1141</v>
      </c>
      <c r="E81" s="8" t="s">
        <v>1142</v>
      </c>
      <c r="F81" s="9" t="s">
        <v>1143</v>
      </c>
      <c r="G81" s="9" t="s">
        <v>1144</v>
      </c>
      <c r="H81" s="8" t="s">
        <v>1145</v>
      </c>
      <c r="I81" s="24" t="s">
        <v>919</v>
      </c>
      <c r="J81" s="24" t="n">
        <f aca="false">턴_설계!$B$5</f>
        <v>120</v>
      </c>
    </row>
    <row r="82" customFormat="false" ht="29.25" hidden="false" customHeight="true" outlineLevel="0" collapsed="false">
      <c r="A82" s="24" t="n">
        <v>7</v>
      </c>
      <c r="B82" s="24" t="n">
        <v>6</v>
      </c>
      <c r="C82" s="26" t="s">
        <v>841</v>
      </c>
      <c r="D82" s="8" t="s">
        <v>1146</v>
      </c>
      <c r="E82" s="9" t="s">
        <v>1147</v>
      </c>
      <c r="F82" s="8" t="s">
        <v>1148</v>
      </c>
      <c r="G82" s="8" t="s">
        <v>1149</v>
      </c>
      <c r="H82" s="8" t="s">
        <v>1150</v>
      </c>
      <c r="I82" s="24" t="s">
        <v>919</v>
      </c>
      <c r="J82" s="24" t="n">
        <f aca="false">턴_설계!$B$5</f>
        <v>120</v>
      </c>
    </row>
    <row r="83" customFormat="false" ht="29.25" hidden="false" customHeight="true" outlineLevel="0" collapsed="false">
      <c r="A83" s="24" t="n">
        <v>7</v>
      </c>
      <c r="B83" s="24" t="n">
        <v>7</v>
      </c>
      <c r="C83" s="26" t="s">
        <v>847</v>
      </c>
      <c r="D83" s="8" t="s">
        <v>1151</v>
      </c>
      <c r="E83" s="9" t="s">
        <v>1152</v>
      </c>
      <c r="F83" s="9" t="s">
        <v>1153</v>
      </c>
      <c r="G83" s="9" t="s">
        <v>1154</v>
      </c>
      <c r="H83" s="8" t="s">
        <v>1155</v>
      </c>
      <c r="I83" s="24" t="s">
        <v>919</v>
      </c>
      <c r="J83" s="24" t="n">
        <f aca="false">턴_설계!$B$5</f>
        <v>120</v>
      </c>
    </row>
    <row r="84" customFormat="false" ht="29.25" hidden="false" customHeight="true" outlineLevel="0" collapsed="false">
      <c r="A84" s="24" t="n">
        <v>7</v>
      </c>
      <c r="B84" s="24" t="n">
        <v>8</v>
      </c>
      <c r="C84" s="26" t="s">
        <v>847</v>
      </c>
      <c r="D84" s="8" t="s">
        <v>1156</v>
      </c>
      <c r="E84" s="9" t="s">
        <v>1157</v>
      </c>
      <c r="F84" s="8" t="s">
        <v>1158</v>
      </c>
      <c r="G84" s="9" t="s">
        <v>1159</v>
      </c>
      <c r="H84" s="8" t="s">
        <v>1160</v>
      </c>
      <c r="I84" s="24" t="s">
        <v>919</v>
      </c>
      <c r="J84" s="24" t="n">
        <f aca="false">턴_설계!$B$5</f>
        <v>120</v>
      </c>
    </row>
    <row r="85" customFormat="false" ht="29.25" hidden="false" customHeight="true" outlineLevel="0" collapsed="false">
      <c r="A85" s="24" t="n">
        <v>7</v>
      </c>
      <c r="B85" s="24" t="n">
        <v>9</v>
      </c>
      <c r="C85" s="26" t="s">
        <v>847</v>
      </c>
      <c r="D85" s="8" t="s">
        <v>1161</v>
      </c>
      <c r="E85" s="9" t="s">
        <v>1162</v>
      </c>
      <c r="F85" s="9" t="s">
        <v>1163</v>
      </c>
      <c r="G85" s="9" t="s">
        <v>1164</v>
      </c>
      <c r="H85" s="8" t="s">
        <v>1165</v>
      </c>
      <c r="I85" s="24"/>
      <c r="J85" s="24" t="n">
        <f aca="false">턴_설계!$B$5</f>
        <v>120</v>
      </c>
    </row>
    <row r="86" customFormat="false" ht="29.25" hidden="false" customHeight="true" outlineLevel="0" collapsed="false">
      <c r="A86" s="24" t="n">
        <v>7</v>
      </c>
      <c r="B86" s="24" t="n">
        <v>10</v>
      </c>
      <c r="C86" s="26" t="s">
        <v>864</v>
      </c>
      <c r="D86" s="8" t="s">
        <v>1166</v>
      </c>
      <c r="E86" s="9" t="s">
        <v>1167</v>
      </c>
      <c r="F86" s="9" t="s">
        <v>1168</v>
      </c>
      <c r="G86" s="27" t="s">
        <v>1169</v>
      </c>
      <c r="H86" s="8" t="s">
        <v>1170</v>
      </c>
      <c r="I86" s="24" t="s">
        <v>919</v>
      </c>
      <c r="J86" s="24" t="n">
        <f aca="false">턴_설계!$B$5</f>
        <v>120</v>
      </c>
    </row>
    <row r="87" customFormat="false" ht="29.25" hidden="false" customHeight="true" outlineLevel="0" collapsed="false">
      <c r="A87" s="24" t="n">
        <v>7</v>
      </c>
      <c r="B87" s="24" t="n">
        <v>11</v>
      </c>
      <c r="C87" s="26" t="s">
        <v>864</v>
      </c>
      <c r="D87" s="8" t="s">
        <v>1171</v>
      </c>
      <c r="E87" s="9" t="s">
        <v>1172</v>
      </c>
      <c r="F87" s="8" t="s">
        <v>1173</v>
      </c>
      <c r="G87" s="9" t="s">
        <v>1174</v>
      </c>
      <c r="H87" s="8" t="s">
        <v>1175</v>
      </c>
      <c r="I87" s="24" t="s">
        <v>1176</v>
      </c>
      <c r="J87" s="24" t="n">
        <f aca="false">턴_설계!$B$5</f>
        <v>120</v>
      </c>
    </row>
    <row r="88" customFormat="false" ht="29.25" hidden="false" customHeight="true" outlineLevel="0" collapsed="false">
      <c r="A88" s="24" t="n">
        <v>7</v>
      </c>
      <c r="B88" s="24" t="n">
        <v>12</v>
      </c>
      <c r="C88" s="26" t="s">
        <v>875</v>
      </c>
      <c r="D88" s="8" t="s">
        <v>1177</v>
      </c>
      <c r="E88" s="9" t="s">
        <v>1178</v>
      </c>
      <c r="F88" s="8" t="s">
        <v>1179</v>
      </c>
      <c r="G88" s="9" t="s">
        <v>1180</v>
      </c>
      <c r="H88" s="9" t="s">
        <v>1115</v>
      </c>
      <c r="I88" s="24" t="s">
        <v>1181</v>
      </c>
      <c r="J88" s="24" t="n">
        <f aca="false">턴_설계!$B$5</f>
        <v>120</v>
      </c>
    </row>
    <row r="89" customFormat="false" ht="29.25" hidden="false" customHeight="true" outlineLevel="0" collapsed="false">
      <c r="A89" s="24" t="n">
        <v>8</v>
      </c>
      <c r="B89" s="24" t="n">
        <v>1</v>
      </c>
      <c r="C89" s="26" t="s">
        <v>814</v>
      </c>
      <c r="D89" s="8" t="s">
        <v>1182</v>
      </c>
      <c r="E89" s="9" t="s">
        <v>1183</v>
      </c>
      <c r="F89" s="9" t="s">
        <v>1184</v>
      </c>
      <c r="G89" s="9" t="s">
        <v>1185</v>
      </c>
      <c r="H89" s="8" t="s">
        <v>1186</v>
      </c>
      <c r="I89" s="24" t="s">
        <v>1099</v>
      </c>
      <c r="J89" s="24" t="n">
        <f aca="false">턴_설계!$B$5</f>
        <v>120</v>
      </c>
    </row>
    <row r="90" customFormat="false" ht="29.25" hidden="false" customHeight="true" outlineLevel="0" collapsed="false">
      <c r="A90" s="24" t="n">
        <v>8</v>
      </c>
      <c r="B90" s="24" t="n">
        <v>2</v>
      </c>
      <c r="C90" s="26" t="s">
        <v>814</v>
      </c>
      <c r="D90" s="8" t="s">
        <v>1187</v>
      </c>
      <c r="E90" s="9" t="s">
        <v>1188</v>
      </c>
      <c r="F90" s="8" t="s">
        <v>1189</v>
      </c>
      <c r="G90" s="9" t="s">
        <v>1190</v>
      </c>
      <c r="H90" s="8" t="s">
        <v>1191</v>
      </c>
      <c r="I90" s="24"/>
      <c r="J90" s="24" t="n">
        <f aca="false">턴_설계!$B$5</f>
        <v>120</v>
      </c>
    </row>
    <row r="91" customFormat="false" ht="16.5" hidden="false" customHeight="true" outlineLevel="0" collapsed="false">
      <c r="A91" s="24" t="n">
        <v>8</v>
      </c>
      <c r="B91" s="24" t="n">
        <v>3</v>
      </c>
      <c r="C91" s="26" t="s">
        <v>814</v>
      </c>
      <c r="D91" s="8" t="s">
        <v>1192</v>
      </c>
      <c r="E91" s="8" t="s">
        <v>1193</v>
      </c>
      <c r="F91" s="8" t="s">
        <v>1194</v>
      </c>
      <c r="G91" s="9" t="s">
        <v>1195</v>
      </c>
      <c r="H91" s="8" t="s">
        <v>1196</v>
      </c>
      <c r="I91" s="24" t="s">
        <v>1197</v>
      </c>
      <c r="J91" s="24" t="n">
        <f aca="false">턴_설계!$B$5</f>
        <v>120</v>
      </c>
    </row>
    <row r="92" customFormat="false" ht="29.25" hidden="false" customHeight="true" outlineLevel="0" collapsed="false">
      <c r="A92" s="24" t="n">
        <v>8</v>
      </c>
      <c r="B92" s="24" t="n">
        <v>4</v>
      </c>
      <c r="C92" s="26" t="s">
        <v>1198</v>
      </c>
      <c r="D92" s="8" t="s">
        <v>1199</v>
      </c>
      <c r="E92" s="9" t="s">
        <v>1200</v>
      </c>
      <c r="F92" s="9" t="s">
        <v>1201</v>
      </c>
      <c r="G92" s="9" t="s">
        <v>1202</v>
      </c>
      <c r="H92" s="8" t="s">
        <v>1203</v>
      </c>
      <c r="I92" s="24"/>
      <c r="J92" s="24" t="n">
        <f aca="false">턴_설계!$B$5</f>
        <v>120</v>
      </c>
    </row>
    <row r="93" customFormat="false" ht="29.25" hidden="false" customHeight="true" outlineLevel="0" collapsed="false">
      <c r="A93" s="24" t="n">
        <v>8</v>
      </c>
      <c r="B93" s="24" t="n">
        <v>5</v>
      </c>
      <c r="C93" s="26" t="s">
        <v>841</v>
      </c>
      <c r="D93" s="8" t="s">
        <v>1204</v>
      </c>
      <c r="E93" s="9" t="s">
        <v>1205</v>
      </c>
      <c r="F93" s="9" t="s">
        <v>1206</v>
      </c>
      <c r="G93" s="9" t="s">
        <v>1207</v>
      </c>
      <c r="H93" s="8" t="s">
        <v>1208</v>
      </c>
      <c r="I93" s="24"/>
      <c r="J93" s="24" t="n">
        <f aca="false">턴_설계!$B$5</f>
        <v>120</v>
      </c>
    </row>
    <row r="94" customFormat="false" ht="29.25" hidden="false" customHeight="true" outlineLevel="0" collapsed="false">
      <c r="A94" s="24" t="n">
        <v>8</v>
      </c>
      <c r="B94" s="24" t="n">
        <v>6</v>
      </c>
      <c r="C94" s="26" t="s">
        <v>847</v>
      </c>
      <c r="D94" s="8" t="s">
        <v>1209</v>
      </c>
      <c r="E94" s="9" t="s">
        <v>1210</v>
      </c>
      <c r="F94" s="9" t="s">
        <v>1211</v>
      </c>
      <c r="G94" s="9" t="s">
        <v>1212</v>
      </c>
      <c r="H94" s="8" t="s">
        <v>1213</v>
      </c>
      <c r="I94" s="24" t="s">
        <v>1181</v>
      </c>
      <c r="J94" s="24" t="n">
        <f aca="false">턴_설계!$B$5</f>
        <v>120</v>
      </c>
    </row>
    <row r="95" customFormat="false" ht="29.25" hidden="false" customHeight="true" outlineLevel="0" collapsed="false">
      <c r="A95" s="24" t="n">
        <v>8</v>
      </c>
      <c r="B95" s="24" t="n">
        <v>7</v>
      </c>
      <c r="C95" s="26" t="s">
        <v>847</v>
      </c>
      <c r="D95" s="8" t="s">
        <v>1214</v>
      </c>
      <c r="E95" s="9" t="s">
        <v>1215</v>
      </c>
      <c r="F95" s="9" t="s">
        <v>1216</v>
      </c>
      <c r="G95" s="9" t="s">
        <v>1217</v>
      </c>
      <c r="H95" s="8" t="s">
        <v>963</v>
      </c>
      <c r="I95" s="24"/>
      <c r="J95" s="24" t="n">
        <f aca="false">턴_설계!$B$5</f>
        <v>120</v>
      </c>
    </row>
    <row r="96" customFormat="false" ht="29.25" hidden="false" customHeight="true" outlineLevel="0" collapsed="false">
      <c r="A96" s="24" t="n">
        <v>8</v>
      </c>
      <c r="B96" s="24" t="n">
        <v>8</v>
      </c>
      <c r="C96" s="26" t="s">
        <v>847</v>
      </c>
      <c r="D96" s="8" t="s">
        <v>1218</v>
      </c>
      <c r="E96" s="9" t="s">
        <v>1219</v>
      </c>
      <c r="F96" s="8" t="s">
        <v>1220</v>
      </c>
      <c r="G96" s="9" t="s">
        <v>1221</v>
      </c>
      <c r="H96" s="8" t="s">
        <v>1222</v>
      </c>
      <c r="I96" s="24" t="s">
        <v>1223</v>
      </c>
      <c r="J96" s="24" t="n">
        <f aca="false">턴_설계!$B$5</f>
        <v>120</v>
      </c>
    </row>
    <row r="97" customFormat="false" ht="29.25" hidden="false" customHeight="true" outlineLevel="0" collapsed="false">
      <c r="A97" s="24" t="n">
        <v>8</v>
      </c>
      <c r="B97" s="24" t="n">
        <v>9</v>
      </c>
      <c r="C97" s="26" t="s">
        <v>847</v>
      </c>
      <c r="D97" s="8" t="s">
        <v>1224</v>
      </c>
      <c r="E97" s="9" t="s">
        <v>1225</v>
      </c>
      <c r="F97" s="8" t="s">
        <v>1226</v>
      </c>
      <c r="G97" s="9" t="s">
        <v>1227</v>
      </c>
      <c r="H97" s="8" t="s">
        <v>1228</v>
      </c>
      <c r="I97" s="24" t="s">
        <v>1229</v>
      </c>
      <c r="J97" s="24" t="n">
        <f aca="false">턴_설계!$B$5</f>
        <v>120</v>
      </c>
    </row>
    <row r="98" customFormat="false" ht="16.5" hidden="false" customHeight="true" outlineLevel="0" collapsed="false">
      <c r="A98" s="24" t="n">
        <v>8</v>
      </c>
      <c r="B98" s="24" t="n">
        <v>10</v>
      </c>
      <c r="C98" s="26" t="s">
        <v>864</v>
      </c>
      <c r="D98" s="8" t="s">
        <v>1230</v>
      </c>
      <c r="E98" s="9" t="s">
        <v>1231</v>
      </c>
      <c r="F98" s="9" t="s">
        <v>1232</v>
      </c>
      <c r="G98" s="9" t="s">
        <v>1233</v>
      </c>
      <c r="H98" s="8" t="s">
        <v>1234</v>
      </c>
      <c r="I98" s="24"/>
      <c r="J98" s="24" t="n">
        <f aca="false">턴_설계!$B$5</f>
        <v>120</v>
      </c>
    </row>
    <row r="99" customFormat="false" ht="29.25" hidden="false" customHeight="true" outlineLevel="0" collapsed="false">
      <c r="A99" s="24" t="n">
        <v>8</v>
      </c>
      <c r="B99" s="24" t="n">
        <v>11</v>
      </c>
      <c r="C99" s="26" t="s">
        <v>864</v>
      </c>
      <c r="D99" s="8" t="s">
        <v>1235</v>
      </c>
      <c r="E99" s="9" t="s">
        <v>1236</v>
      </c>
      <c r="F99" s="9" t="s">
        <v>1237</v>
      </c>
      <c r="G99" s="9" t="s">
        <v>1238</v>
      </c>
      <c r="H99" s="8" t="s">
        <v>1239</v>
      </c>
      <c r="I99" s="24"/>
      <c r="J99" s="24" t="n">
        <f aca="false">턴_설계!$B$5</f>
        <v>120</v>
      </c>
    </row>
    <row r="100" customFormat="false" ht="29.25" hidden="false" customHeight="true" outlineLevel="0" collapsed="false">
      <c r="A100" s="24" t="n">
        <v>8</v>
      </c>
      <c r="B100" s="24" t="n">
        <v>12</v>
      </c>
      <c r="C100" s="26" t="s">
        <v>875</v>
      </c>
      <c r="D100" s="8" t="s">
        <v>1240</v>
      </c>
      <c r="E100" s="9" t="s">
        <v>1241</v>
      </c>
      <c r="F100" s="27" t="s">
        <v>1242</v>
      </c>
      <c r="G100" s="9" t="s">
        <v>1243</v>
      </c>
      <c r="H100" s="9" t="s">
        <v>1115</v>
      </c>
      <c r="I100" s="24"/>
      <c r="J100" s="24" t="n">
        <f aca="false">턴_설계!$B$5</f>
        <v>120</v>
      </c>
    </row>
    <row r="101" customFormat="false" ht="29.25" hidden="false" customHeight="true" outlineLevel="0" collapsed="false">
      <c r="A101" s="24" t="n">
        <v>9</v>
      </c>
      <c r="B101" s="24" t="n">
        <v>1</v>
      </c>
      <c r="C101" s="26" t="s">
        <v>814</v>
      </c>
      <c r="D101" s="8" t="s">
        <v>1244</v>
      </c>
      <c r="E101" s="9" t="s">
        <v>1245</v>
      </c>
      <c r="F101" s="8" t="s">
        <v>1246</v>
      </c>
      <c r="G101" s="9" t="s">
        <v>1247</v>
      </c>
      <c r="H101" s="8" t="s">
        <v>1248</v>
      </c>
      <c r="I101" s="24"/>
      <c r="J101" s="24" t="n">
        <f aca="false">턴_설계!$B$5</f>
        <v>120</v>
      </c>
    </row>
    <row r="102" customFormat="false" ht="29.25" hidden="false" customHeight="true" outlineLevel="0" collapsed="false">
      <c r="A102" s="24" t="n">
        <v>9</v>
      </c>
      <c r="B102" s="24" t="n">
        <v>2</v>
      </c>
      <c r="C102" s="26" t="s">
        <v>814</v>
      </c>
      <c r="D102" s="8" t="s">
        <v>1249</v>
      </c>
      <c r="E102" s="9" t="s">
        <v>1250</v>
      </c>
      <c r="F102" s="9" t="s">
        <v>1251</v>
      </c>
      <c r="G102" s="9" t="s">
        <v>1252</v>
      </c>
      <c r="H102" s="8" t="s">
        <v>1253</v>
      </c>
      <c r="I102" s="24"/>
      <c r="J102" s="24" t="n">
        <f aca="false">턴_설계!$B$5</f>
        <v>120</v>
      </c>
    </row>
    <row r="103" customFormat="false" ht="29.25" hidden="false" customHeight="true" outlineLevel="0" collapsed="false">
      <c r="A103" s="24" t="n">
        <v>9</v>
      </c>
      <c r="B103" s="24" t="n">
        <v>3</v>
      </c>
      <c r="C103" s="26" t="s">
        <v>814</v>
      </c>
      <c r="D103" s="8" t="s">
        <v>1254</v>
      </c>
      <c r="E103" s="9" t="s">
        <v>1255</v>
      </c>
      <c r="F103" s="8" t="s">
        <v>1256</v>
      </c>
      <c r="G103" s="9" t="s">
        <v>1257</v>
      </c>
      <c r="H103" s="8" t="s">
        <v>963</v>
      </c>
      <c r="I103" s="24"/>
      <c r="J103" s="24" t="n">
        <f aca="false">턴_설계!$B$5</f>
        <v>120</v>
      </c>
    </row>
    <row r="104" customFormat="false" ht="29.25" hidden="false" customHeight="true" outlineLevel="0" collapsed="false">
      <c r="A104" s="24" t="n">
        <v>9</v>
      </c>
      <c r="B104" s="24" t="n">
        <v>4</v>
      </c>
      <c r="C104" s="26" t="s">
        <v>830</v>
      </c>
      <c r="D104" s="8" t="s">
        <v>1258</v>
      </c>
      <c r="E104" s="9" t="s">
        <v>1259</v>
      </c>
      <c r="F104" s="9" t="s">
        <v>1260</v>
      </c>
      <c r="G104" s="9" t="s">
        <v>1261</v>
      </c>
      <c r="H104" s="8" t="s">
        <v>1262</v>
      </c>
      <c r="I104" s="24" t="s">
        <v>1263</v>
      </c>
      <c r="J104" s="24" t="n">
        <f aca="false">턴_설계!$B$5</f>
        <v>120</v>
      </c>
    </row>
    <row r="105" customFormat="false" ht="29.25" hidden="false" customHeight="true" outlineLevel="0" collapsed="false">
      <c r="A105" s="24" t="n">
        <v>9</v>
      </c>
      <c r="B105" s="24" t="n">
        <v>5</v>
      </c>
      <c r="C105" s="26" t="s">
        <v>830</v>
      </c>
      <c r="D105" s="8" t="s">
        <v>1264</v>
      </c>
      <c r="E105" s="9" t="s">
        <v>1265</v>
      </c>
      <c r="F105" s="9" t="s">
        <v>1266</v>
      </c>
      <c r="G105" s="9" t="s">
        <v>1267</v>
      </c>
      <c r="H105" s="8" t="s">
        <v>1213</v>
      </c>
      <c r="I105" s="24" t="s">
        <v>1181</v>
      </c>
      <c r="J105" s="24" t="n">
        <f aca="false">턴_설계!$B$5</f>
        <v>120</v>
      </c>
    </row>
    <row r="106" customFormat="false" ht="42" hidden="false" customHeight="true" outlineLevel="0" collapsed="false">
      <c r="A106" s="24" t="n">
        <v>9</v>
      </c>
      <c r="B106" s="24" t="n">
        <v>6</v>
      </c>
      <c r="C106" s="26" t="s">
        <v>841</v>
      </c>
      <c r="D106" s="8" t="s">
        <v>1268</v>
      </c>
      <c r="E106" s="9" t="s">
        <v>1269</v>
      </c>
      <c r="F106" s="9" t="s">
        <v>1270</v>
      </c>
      <c r="G106" s="9" t="s">
        <v>1271</v>
      </c>
      <c r="H106" s="8" t="s">
        <v>1272</v>
      </c>
      <c r="I106" s="24" t="s">
        <v>745</v>
      </c>
      <c r="J106" s="24" t="n">
        <f aca="false">턴_설계!$B$5</f>
        <v>120</v>
      </c>
    </row>
    <row r="107" customFormat="false" ht="29.25" hidden="false" customHeight="true" outlineLevel="0" collapsed="false">
      <c r="A107" s="24" t="n">
        <v>9</v>
      </c>
      <c r="B107" s="24" t="n">
        <v>7</v>
      </c>
      <c r="C107" s="26" t="s">
        <v>847</v>
      </c>
      <c r="D107" s="8" t="s">
        <v>1273</v>
      </c>
      <c r="E107" s="9" t="s">
        <v>1274</v>
      </c>
      <c r="F107" s="9" t="s">
        <v>1275</v>
      </c>
      <c r="G107" s="9" t="s">
        <v>1276</v>
      </c>
      <c r="H107" s="8" t="s">
        <v>1277</v>
      </c>
      <c r="I107" s="24" t="s">
        <v>902</v>
      </c>
      <c r="J107" s="24" t="n">
        <f aca="false">턴_설계!$B$5</f>
        <v>120</v>
      </c>
    </row>
    <row r="108" customFormat="false" ht="29.25" hidden="false" customHeight="true" outlineLevel="0" collapsed="false">
      <c r="A108" s="24" t="n">
        <v>9</v>
      </c>
      <c r="B108" s="24" t="n">
        <v>8</v>
      </c>
      <c r="C108" s="26" t="s">
        <v>847</v>
      </c>
      <c r="D108" s="8" t="s">
        <v>1278</v>
      </c>
      <c r="E108" s="9" t="s">
        <v>1279</v>
      </c>
      <c r="F108" s="9" t="s">
        <v>1280</v>
      </c>
      <c r="G108" s="9" t="s">
        <v>1281</v>
      </c>
      <c r="H108" s="8" t="s">
        <v>1282</v>
      </c>
      <c r="I108" s="24"/>
      <c r="J108" s="24" t="n">
        <f aca="false">턴_설계!$B$5</f>
        <v>120</v>
      </c>
    </row>
    <row r="109" customFormat="false" ht="29.25" hidden="false" customHeight="true" outlineLevel="0" collapsed="false">
      <c r="A109" s="24" t="n">
        <v>9</v>
      </c>
      <c r="B109" s="24" t="n">
        <v>9</v>
      </c>
      <c r="C109" s="26" t="s">
        <v>847</v>
      </c>
      <c r="D109" s="8" t="s">
        <v>1283</v>
      </c>
      <c r="E109" s="9" t="s">
        <v>1284</v>
      </c>
      <c r="F109" s="9" t="s">
        <v>1285</v>
      </c>
      <c r="G109" s="9" t="s">
        <v>1286</v>
      </c>
      <c r="H109" s="8" t="s">
        <v>1287</v>
      </c>
      <c r="I109" s="24" t="s">
        <v>919</v>
      </c>
      <c r="J109" s="24" t="n">
        <f aca="false">턴_설계!$B$5</f>
        <v>120</v>
      </c>
    </row>
    <row r="110" customFormat="false" ht="29.25" hidden="false" customHeight="true" outlineLevel="0" collapsed="false">
      <c r="A110" s="24" t="n">
        <v>9</v>
      </c>
      <c r="B110" s="24" t="n">
        <v>10</v>
      </c>
      <c r="C110" s="26" t="s">
        <v>864</v>
      </c>
      <c r="D110" s="8" t="s">
        <v>1288</v>
      </c>
      <c r="E110" s="9" t="s">
        <v>1289</v>
      </c>
      <c r="F110" s="9" t="s">
        <v>1290</v>
      </c>
      <c r="G110" s="9" t="s">
        <v>1291</v>
      </c>
      <c r="H110" s="8" t="s">
        <v>1292</v>
      </c>
      <c r="I110" s="24"/>
      <c r="J110" s="24" t="n">
        <f aca="false">턴_설계!$B$5</f>
        <v>120</v>
      </c>
    </row>
    <row r="111" customFormat="false" ht="16.5" hidden="false" customHeight="true" outlineLevel="0" collapsed="false">
      <c r="A111" s="24" t="n">
        <v>9</v>
      </c>
      <c r="B111" s="24" t="n">
        <v>11</v>
      </c>
      <c r="C111" s="26" t="s">
        <v>864</v>
      </c>
      <c r="D111" s="8" t="s">
        <v>1293</v>
      </c>
      <c r="E111" s="9" t="s">
        <v>1294</v>
      </c>
      <c r="F111" s="9" t="s">
        <v>1295</v>
      </c>
      <c r="G111" s="9" t="s">
        <v>1296</v>
      </c>
      <c r="H111" s="8" t="s">
        <v>1297</v>
      </c>
      <c r="I111" s="24"/>
      <c r="J111" s="24" t="n">
        <f aca="false">턴_설계!$B$5</f>
        <v>120</v>
      </c>
    </row>
    <row r="112" customFormat="false" ht="29.25" hidden="false" customHeight="true" outlineLevel="0" collapsed="false">
      <c r="A112" s="24" t="n">
        <v>9</v>
      </c>
      <c r="B112" s="24" t="n">
        <v>12</v>
      </c>
      <c r="C112" s="26" t="s">
        <v>875</v>
      </c>
      <c r="D112" s="8" t="s">
        <v>1298</v>
      </c>
      <c r="E112" s="9" t="s">
        <v>1299</v>
      </c>
      <c r="F112" s="9" t="s">
        <v>1300</v>
      </c>
      <c r="G112" s="9" t="s">
        <v>1301</v>
      </c>
      <c r="H112" s="8" t="s">
        <v>1302</v>
      </c>
      <c r="I112" s="24"/>
      <c r="J112" s="24" t="n">
        <f aca="false">턴_설계!$B$5</f>
        <v>120</v>
      </c>
    </row>
    <row r="113" customFormat="false" ht="29.25" hidden="false" customHeight="true" outlineLevel="0" collapsed="false">
      <c r="A113" s="24" t="n">
        <v>10</v>
      </c>
      <c r="B113" s="24" t="n">
        <v>1</v>
      </c>
      <c r="C113" s="26" t="s">
        <v>814</v>
      </c>
      <c r="D113" s="8" t="s">
        <v>1303</v>
      </c>
      <c r="E113" s="9" t="s">
        <v>1304</v>
      </c>
      <c r="F113" s="9" t="s">
        <v>1305</v>
      </c>
      <c r="G113" s="9" t="s">
        <v>1306</v>
      </c>
      <c r="H113" s="8" t="s">
        <v>1307</v>
      </c>
      <c r="I113" s="24"/>
      <c r="J113" s="24" t="n">
        <f aca="false">턴_설계!$B$5</f>
        <v>120</v>
      </c>
    </row>
    <row r="114" customFormat="false" ht="29.25" hidden="false" customHeight="true" outlineLevel="0" collapsed="false">
      <c r="A114" s="24" t="n">
        <v>10</v>
      </c>
      <c r="B114" s="24" t="n">
        <v>2</v>
      </c>
      <c r="C114" s="26" t="s">
        <v>814</v>
      </c>
      <c r="D114" s="8" t="s">
        <v>1308</v>
      </c>
      <c r="E114" s="9" t="s">
        <v>1309</v>
      </c>
      <c r="F114" s="9" t="s">
        <v>1310</v>
      </c>
      <c r="G114" s="9" t="s">
        <v>1311</v>
      </c>
      <c r="H114" s="8" t="s">
        <v>1312</v>
      </c>
      <c r="I114" s="24" t="s">
        <v>1313</v>
      </c>
      <c r="J114" s="24" t="n">
        <f aca="false">턴_설계!$B$5</f>
        <v>120</v>
      </c>
    </row>
    <row r="115" customFormat="false" ht="16.5" hidden="false" customHeight="true" outlineLevel="0" collapsed="false">
      <c r="A115" s="24" t="n">
        <v>10</v>
      </c>
      <c r="B115" s="24" t="n">
        <v>3</v>
      </c>
      <c r="C115" s="26" t="s">
        <v>814</v>
      </c>
      <c r="D115" s="8" t="s">
        <v>1314</v>
      </c>
      <c r="E115" s="8" t="s">
        <v>1315</v>
      </c>
      <c r="F115" s="8" t="s">
        <v>1316</v>
      </c>
      <c r="G115" s="9" t="s">
        <v>1317</v>
      </c>
      <c r="H115" s="8" t="s">
        <v>1318</v>
      </c>
      <c r="I115" s="24" t="s">
        <v>1319</v>
      </c>
      <c r="J115" s="24" t="n">
        <f aca="false">턴_설계!$B$5</f>
        <v>120</v>
      </c>
    </row>
    <row r="116" customFormat="false" ht="16.5" hidden="false" customHeight="true" outlineLevel="0" collapsed="false">
      <c r="A116" s="24" t="n">
        <v>10</v>
      </c>
      <c r="B116" s="24" t="n">
        <v>4</v>
      </c>
      <c r="C116" s="26" t="s">
        <v>1198</v>
      </c>
      <c r="D116" s="8" t="s">
        <v>1320</v>
      </c>
      <c r="E116" s="9" t="s">
        <v>1321</v>
      </c>
      <c r="F116" s="8" t="s">
        <v>1322</v>
      </c>
      <c r="G116" s="9" t="s">
        <v>1323</v>
      </c>
      <c r="H116" s="9" t="s">
        <v>1115</v>
      </c>
      <c r="I116" s="24"/>
      <c r="J116" s="24" t="n">
        <f aca="false">턴_설계!$B$5</f>
        <v>120</v>
      </c>
    </row>
    <row r="117" customFormat="false" ht="16.5" hidden="false" customHeight="true" outlineLevel="0" collapsed="false">
      <c r="A117" s="24" t="n">
        <v>10</v>
      </c>
      <c r="B117" s="24" t="n">
        <v>5</v>
      </c>
      <c r="C117" s="26" t="s">
        <v>830</v>
      </c>
      <c r="D117" s="8" t="s">
        <v>1324</v>
      </c>
      <c r="E117" s="9" t="s">
        <v>1325</v>
      </c>
      <c r="F117" s="9" t="s">
        <v>1326</v>
      </c>
      <c r="G117" s="9" t="s">
        <v>1327</v>
      </c>
      <c r="H117" s="8" t="s">
        <v>1328</v>
      </c>
      <c r="I117" s="24"/>
      <c r="J117" s="24" t="n">
        <f aca="false">턴_설계!$B$5</f>
        <v>120</v>
      </c>
    </row>
    <row r="118" customFormat="false" ht="29.25" hidden="false" customHeight="true" outlineLevel="0" collapsed="false">
      <c r="A118" s="24" t="n">
        <v>10</v>
      </c>
      <c r="B118" s="24" t="n">
        <v>6</v>
      </c>
      <c r="C118" s="26" t="s">
        <v>830</v>
      </c>
      <c r="D118" s="8" t="s">
        <v>1329</v>
      </c>
      <c r="E118" s="9" t="s">
        <v>1330</v>
      </c>
      <c r="F118" s="8" t="s">
        <v>1331</v>
      </c>
      <c r="G118" s="9" t="s">
        <v>1332</v>
      </c>
      <c r="H118" s="8" t="s">
        <v>1333</v>
      </c>
      <c r="I118" s="24"/>
      <c r="J118" s="24" t="n">
        <f aca="false">턴_설계!$B$5</f>
        <v>120</v>
      </c>
    </row>
    <row r="119" customFormat="false" ht="16.5" hidden="false" customHeight="true" outlineLevel="0" collapsed="false">
      <c r="A119" s="24" t="n">
        <v>10</v>
      </c>
      <c r="B119" s="24" t="n">
        <v>7</v>
      </c>
      <c r="C119" s="26" t="s">
        <v>841</v>
      </c>
      <c r="D119" s="8" t="s">
        <v>1334</v>
      </c>
      <c r="E119" s="9" t="s">
        <v>1335</v>
      </c>
      <c r="F119" s="8" t="s">
        <v>1336</v>
      </c>
      <c r="G119" s="9" t="s">
        <v>1337</v>
      </c>
      <c r="H119" s="8" t="s">
        <v>1338</v>
      </c>
      <c r="I119" s="24"/>
      <c r="J119" s="24" t="n">
        <f aca="false">턴_설계!$B$5</f>
        <v>120</v>
      </c>
    </row>
    <row r="120" customFormat="false" ht="29.25" hidden="false" customHeight="true" outlineLevel="0" collapsed="false">
      <c r="A120" s="24" t="n">
        <v>10</v>
      </c>
      <c r="B120" s="24" t="n">
        <v>8</v>
      </c>
      <c r="C120" s="26" t="s">
        <v>847</v>
      </c>
      <c r="D120" s="8" t="s">
        <v>1339</v>
      </c>
      <c r="E120" s="9" t="s">
        <v>1340</v>
      </c>
      <c r="F120" s="9" t="s">
        <v>1341</v>
      </c>
      <c r="G120" s="9" t="s">
        <v>1342</v>
      </c>
      <c r="H120" s="8" t="s">
        <v>1343</v>
      </c>
      <c r="I120" s="24" t="s">
        <v>1181</v>
      </c>
      <c r="J120" s="24" t="n">
        <f aca="false">턴_설계!$B$5</f>
        <v>120</v>
      </c>
    </row>
    <row r="121" customFormat="false" ht="16.5" hidden="false" customHeight="true" outlineLevel="0" collapsed="false">
      <c r="A121" s="24" t="n">
        <v>10</v>
      </c>
      <c r="B121" s="24" t="n">
        <v>9</v>
      </c>
      <c r="C121" s="26" t="s">
        <v>847</v>
      </c>
      <c r="D121" s="8" t="s">
        <v>1344</v>
      </c>
      <c r="E121" s="9" t="s">
        <v>1345</v>
      </c>
      <c r="F121" s="9" t="s">
        <v>1346</v>
      </c>
      <c r="G121" s="9" t="s">
        <v>1347</v>
      </c>
      <c r="H121" s="8" t="s">
        <v>1348</v>
      </c>
      <c r="I121" s="24"/>
      <c r="J121" s="24" t="n">
        <f aca="false">턴_설계!$B$5</f>
        <v>120</v>
      </c>
    </row>
    <row r="122" customFormat="false" ht="16.5" hidden="false" customHeight="true" outlineLevel="0" collapsed="false">
      <c r="A122" s="24" t="n">
        <v>10</v>
      </c>
      <c r="B122" s="24" t="n">
        <v>10</v>
      </c>
      <c r="C122" s="26" t="s">
        <v>1198</v>
      </c>
      <c r="D122" s="8" t="s">
        <v>1349</v>
      </c>
      <c r="E122" s="9" t="s">
        <v>1350</v>
      </c>
      <c r="F122" s="8" t="s">
        <v>1351</v>
      </c>
      <c r="G122" s="9" t="s">
        <v>1352</v>
      </c>
      <c r="H122" s="9" t="s">
        <v>1115</v>
      </c>
      <c r="I122" s="24"/>
      <c r="J122" s="24" t="n">
        <f aca="false">턴_설계!$B$5</f>
        <v>120</v>
      </c>
    </row>
    <row r="123" customFormat="false" ht="29.25" hidden="false" customHeight="true" outlineLevel="0" collapsed="false">
      <c r="A123" s="24" t="n">
        <v>10</v>
      </c>
      <c r="B123" s="24" t="n">
        <v>11</v>
      </c>
      <c r="C123" s="26" t="s">
        <v>864</v>
      </c>
      <c r="D123" s="8" t="s">
        <v>1353</v>
      </c>
      <c r="E123" s="9" t="s">
        <v>1354</v>
      </c>
      <c r="F123" s="8" t="s">
        <v>1355</v>
      </c>
      <c r="G123" s="9" t="s">
        <v>1356</v>
      </c>
      <c r="H123" s="8" t="s">
        <v>1357</v>
      </c>
      <c r="I123" s="24" t="s">
        <v>1358</v>
      </c>
      <c r="J123" s="24" t="n">
        <f aca="false">턴_설계!$B$5</f>
        <v>120</v>
      </c>
    </row>
    <row r="124" customFormat="false" ht="29.25" hidden="false" customHeight="true" outlineLevel="0" collapsed="false">
      <c r="A124" s="24" t="n">
        <v>10</v>
      </c>
      <c r="B124" s="24" t="n">
        <v>12</v>
      </c>
      <c r="C124" s="26" t="s">
        <v>875</v>
      </c>
      <c r="D124" s="8" t="s">
        <v>1359</v>
      </c>
      <c r="E124" s="9" t="s">
        <v>1360</v>
      </c>
      <c r="F124" s="9" t="s">
        <v>1361</v>
      </c>
      <c r="G124" s="9" t="s">
        <v>1362</v>
      </c>
      <c r="H124" s="8" t="s">
        <v>1363</v>
      </c>
      <c r="I124" s="24"/>
      <c r="J124" s="24" t="n">
        <f aca="false">턴_설계!$B$5</f>
        <v>120</v>
      </c>
    </row>
    <row r="125" customFormat="false" ht="29.25" hidden="false" customHeight="true" outlineLevel="0" collapsed="false">
      <c r="A125" s="24" t="n">
        <v>11</v>
      </c>
      <c r="B125" s="24" t="n">
        <v>1</v>
      </c>
      <c r="C125" s="26" t="s">
        <v>814</v>
      </c>
      <c r="D125" s="8" t="s">
        <v>1364</v>
      </c>
      <c r="E125" s="9" t="s">
        <v>1365</v>
      </c>
      <c r="F125" s="27" t="s">
        <v>1366</v>
      </c>
      <c r="G125" s="9" t="s">
        <v>1367</v>
      </c>
      <c r="H125" s="8" t="s">
        <v>1368</v>
      </c>
      <c r="I125" s="24" t="s">
        <v>1369</v>
      </c>
      <c r="J125" s="24" t="n">
        <f aca="false">턴_설계!$B$5</f>
        <v>120</v>
      </c>
    </row>
    <row r="126" customFormat="false" ht="29.25" hidden="false" customHeight="true" outlineLevel="0" collapsed="false">
      <c r="A126" s="24" t="n">
        <v>11</v>
      </c>
      <c r="B126" s="24" t="n">
        <v>2</v>
      </c>
      <c r="C126" s="26" t="s">
        <v>830</v>
      </c>
      <c r="D126" s="8" t="s">
        <v>1370</v>
      </c>
      <c r="E126" s="9" t="s">
        <v>1371</v>
      </c>
      <c r="F126" s="8" t="s">
        <v>1372</v>
      </c>
      <c r="G126" s="9" t="s">
        <v>1373</v>
      </c>
      <c r="H126" s="8" t="s">
        <v>963</v>
      </c>
      <c r="I126" s="24" t="s">
        <v>745</v>
      </c>
      <c r="J126" s="24" t="n">
        <f aca="false">턴_설계!$B$5</f>
        <v>120</v>
      </c>
    </row>
    <row r="127" customFormat="false" ht="29.25" hidden="false" customHeight="true" outlineLevel="0" collapsed="false">
      <c r="A127" s="24" t="n">
        <v>11</v>
      </c>
      <c r="B127" s="24" t="n">
        <v>3</v>
      </c>
      <c r="C127" s="26" t="s">
        <v>830</v>
      </c>
      <c r="D127" s="8" t="s">
        <v>1374</v>
      </c>
      <c r="E127" s="9" t="s">
        <v>1375</v>
      </c>
      <c r="F127" s="9" t="s">
        <v>1376</v>
      </c>
      <c r="G127" s="9" t="s">
        <v>1377</v>
      </c>
      <c r="H127" s="8" t="s">
        <v>1378</v>
      </c>
      <c r="I127" s="24" t="s">
        <v>745</v>
      </c>
      <c r="J127" s="24" t="n">
        <f aca="false">턴_설계!$B$5</f>
        <v>120</v>
      </c>
    </row>
    <row r="128" customFormat="false" ht="42" hidden="false" customHeight="true" outlineLevel="0" collapsed="false">
      <c r="A128" s="24" t="n">
        <v>11</v>
      </c>
      <c r="B128" s="24" t="n">
        <v>4</v>
      </c>
      <c r="C128" s="26" t="s">
        <v>847</v>
      </c>
      <c r="D128" s="8" t="s">
        <v>1379</v>
      </c>
      <c r="E128" s="9" t="s">
        <v>1380</v>
      </c>
      <c r="F128" s="9" t="s">
        <v>1381</v>
      </c>
      <c r="G128" s="9" t="s">
        <v>1382</v>
      </c>
      <c r="H128" s="8" t="s">
        <v>1383</v>
      </c>
      <c r="I128" s="24" t="s">
        <v>1384</v>
      </c>
      <c r="J128" s="24" t="n">
        <f aca="false">턴_설계!$B$5</f>
        <v>120</v>
      </c>
    </row>
    <row r="129" customFormat="false" ht="42" hidden="false" customHeight="true" outlineLevel="0" collapsed="false">
      <c r="A129" s="24" t="n">
        <v>11</v>
      </c>
      <c r="B129" s="24" t="n">
        <v>5</v>
      </c>
      <c r="C129" s="26" t="s">
        <v>847</v>
      </c>
      <c r="D129" s="8" t="s">
        <v>1385</v>
      </c>
      <c r="E129" s="9" t="s">
        <v>1386</v>
      </c>
      <c r="F129" s="9" t="s">
        <v>1387</v>
      </c>
      <c r="G129" s="9" t="s">
        <v>1388</v>
      </c>
      <c r="H129" s="8" t="s">
        <v>1389</v>
      </c>
      <c r="I129" s="24" t="s">
        <v>782</v>
      </c>
      <c r="J129" s="24" t="n">
        <f aca="false">턴_설계!$B$5</f>
        <v>120</v>
      </c>
    </row>
    <row r="130" customFormat="false" ht="42" hidden="false" customHeight="true" outlineLevel="0" collapsed="false">
      <c r="A130" s="24" t="n">
        <v>11</v>
      </c>
      <c r="B130" s="24" t="n">
        <v>6</v>
      </c>
      <c r="C130" s="26" t="s">
        <v>830</v>
      </c>
      <c r="D130" s="8" t="s">
        <v>1390</v>
      </c>
      <c r="E130" s="9" t="s">
        <v>1391</v>
      </c>
      <c r="F130" s="9" t="s">
        <v>1392</v>
      </c>
      <c r="G130" s="9" t="s">
        <v>1393</v>
      </c>
      <c r="H130" s="8" t="s">
        <v>1394</v>
      </c>
      <c r="I130" s="24" t="s">
        <v>769</v>
      </c>
      <c r="J130" s="24" t="n">
        <f aca="false">턴_설계!$B$5</f>
        <v>120</v>
      </c>
    </row>
    <row r="131" customFormat="false" ht="42" hidden="false" customHeight="true" outlineLevel="0" collapsed="false">
      <c r="A131" s="24" t="n">
        <v>11</v>
      </c>
      <c r="B131" s="24" t="n">
        <v>7</v>
      </c>
      <c r="C131" s="26" t="s">
        <v>847</v>
      </c>
      <c r="D131" s="8" t="s">
        <v>1395</v>
      </c>
      <c r="E131" s="9" t="s">
        <v>1396</v>
      </c>
      <c r="F131" s="9" t="s">
        <v>1397</v>
      </c>
      <c r="G131" s="9" t="s">
        <v>1398</v>
      </c>
      <c r="H131" s="8" t="s">
        <v>1399</v>
      </c>
      <c r="I131" s="24"/>
      <c r="J131" s="24" t="n">
        <f aca="false">턴_설계!$B$5</f>
        <v>120</v>
      </c>
    </row>
    <row r="132" customFormat="false" ht="54.75" hidden="false" customHeight="true" outlineLevel="0" collapsed="false">
      <c r="A132" s="24" t="n">
        <v>11</v>
      </c>
      <c r="B132" s="24" t="n">
        <v>8</v>
      </c>
      <c r="C132" s="26" t="s">
        <v>847</v>
      </c>
      <c r="D132" s="8" t="s">
        <v>1400</v>
      </c>
      <c r="E132" s="9" t="s">
        <v>1401</v>
      </c>
      <c r="F132" s="9" t="s">
        <v>1402</v>
      </c>
      <c r="G132" s="27" t="s">
        <v>1403</v>
      </c>
      <c r="H132" s="8" t="s">
        <v>1404</v>
      </c>
      <c r="I132" s="24" t="s">
        <v>1405</v>
      </c>
      <c r="J132" s="24" t="n">
        <f aca="false">턴_설계!$B$5</f>
        <v>120</v>
      </c>
    </row>
    <row r="133" customFormat="false" ht="105.75" hidden="false" customHeight="true" outlineLevel="0" collapsed="false">
      <c r="A133" s="24" t="n">
        <v>11</v>
      </c>
      <c r="B133" s="24" t="n">
        <v>9</v>
      </c>
      <c r="C133" s="26" t="s">
        <v>1198</v>
      </c>
      <c r="D133" s="8" t="s">
        <v>1406</v>
      </c>
      <c r="E133" s="9" t="s">
        <v>1407</v>
      </c>
      <c r="F133" s="8" t="s">
        <v>1408</v>
      </c>
      <c r="G133" s="8" t="s">
        <v>1409</v>
      </c>
      <c r="H133" s="8" t="s">
        <v>1410</v>
      </c>
      <c r="I133" s="24" t="s">
        <v>1411</v>
      </c>
      <c r="J133" s="24" t="n">
        <f aca="false">턴_설계!$B$5</f>
        <v>120</v>
      </c>
    </row>
    <row r="134" customFormat="false" ht="67.5" hidden="false" customHeight="true" outlineLevel="0" collapsed="false">
      <c r="A134" s="24" t="n">
        <v>11</v>
      </c>
      <c r="B134" s="24" t="n">
        <v>10</v>
      </c>
      <c r="C134" s="26" t="s">
        <v>864</v>
      </c>
      <c r="D134" s="8" t="s">
        <v>1412</v>
      </c>
      <c r="E134" s="9" t="s">
        <v>1413</v>
      </c>
      <c r="F134" s="9" t="s">
        <v>1414</v>
      </c>
      <c r="G134" s="9" t="s">
        <v>1415</v>
      </c>
      <c r="H134" s="8" t="s">
        <v>1416</v>
      </c>
      <c r="I134" s="24" t="s">
        <v>160</v>
      </c>
      <c r="J134" s="24" t="n">
        <f aca="false">턴_설계!$B$5</f>
        <v>120</v>
      </c>
    </row>
    <row r="135" customFormat="false" ht="42" hidden="false" customHeight="true" outlineLevel="0" collapsed="false">
      <c r="A135" s="24" t="n">
        <v>11</v>
      </c>
      <c r="B135" s="24" t="n">
        <v>11</v>
      </c>
      <c r="C135" s="26" t="s">
        <v>864</v>
      </c>
      <c r="D135" s="8" t="s">
        <v>1417</v>
      </c>
      <c r="E135" s="9" t="s">
        <v>1418</v>
      </c>
      <c r="F135" s="9" t="s">
        <v>1419</v>
      </c>
      <c r="G135" s="9" t="s">
        <v>1420</v>
      </c>
      <c r="H135" s="8" t="s">
        <v>1421</v>
      </c>
      <c r="I135" s="24" t="s">
        <v>160</v>
      </c>
      <c r="J135" s="24" t="n">
        <f aca="false">턴_설계!$B$5</f>
        <v>120</v>
      </c>
    </row>
    <row r="136" customFormat="false" ht="42" hidden="false" customHeight="true" outlineLevel="0" collapsed="false">
      <c r="A136" s="24" t="n">
        <v>11</v>
      </c>
      <c r="B136" s="24" t="n">
        <v>12</v>
      </c>
      <c r="C136" s="26" t="s">
        <v>1422</v>
      </c>
      <c r="D136" s="8" t="s">
        <v>1423</v>
      </c>
      <c r="E136" s="9" t="s">
        <v>1424</v>
      </c>
      <c r="F136" s="9" t="s">
        <v>1425</v>
      </c>
      <c r="G136" s="8" t="s">
        <v>1426</v>
      </c>
      <c r="H136" s="8" t="s">
        <v>1427</v>
      </c>
      <c r="I136" s="24" t="s">
        <v>1411</v>
      </c>
      <c r="J136" s="24" t="n">
        <f aca="false">턴_설계!$B$5</f>
        <v>120</v>
      </c>
    </row>
    <row r="137" customFormat="false" ht="42" hidden="false" customHeight="true" outlineLevel="0" collapsed="false">
      <c r="A137" s="24" t="n">
        <v>12</v>
      </c>
      <c r="B137" s="24" t="n">
        <v>1</v>
      </c>
      <c r="C137" s="26" t="s">
        <v>1428</v>
      </c>
      <c r="D137" s="8" t="s">
        <v>1429</v>
      </c>
      <c r="E137" s="9" t="s">
        <v>1430</v>
      </c>
      <c r="F137" s="8" t="s">
        <v>1431</v>
      </c>
      <c r="G137" s="8" t="s">
        <v>1432</v>
      </c>
      <c r="H137" s="8" t="s">
        <v>1433</v>
      </c>
      <c r="I137" s="24"/>
      <c r="J137" s="24" t="n">
        <f aca="false">턴_설계!$B$5</f>
        <v>120</v>
      </c>
    </row>
    <row r="138" customFormat="false" ht="29.25" hidden="false" customHeight="true" outlineLevel="0" collapsed="false">
      <c r="A138" s="24" t="n">
        <v>12</v>
      </c>
      <c r="B138" s="24" t="n">
        <v>2</v>
      </c>
      <c r="C138" s="26" t="s">
        <v>830</v>
      </c>
      <c r="D138" s="8" t="s">
        <v>1434</v>
      </c>
      <c r="E138" s="9" t="s">
        <v>1435</v>
      </c>
      <c r="F138" s="8" t="s">
        <v>1436</v>
      </c>
      <c r="G138" s="9" t="s">
        <v>1437</v>
      </c>
      <c r="H138" s="8" t="s">
        <v>1438</v>
      </c>
      <c r="I138" s="24"/>
      <c r="J138" s="24" t="n">
        <f aca="false">턴_설계!$B$5</f>
        <v>120</v>
      </c>
    </row>
    <row r="139" customFormat="false" ht="42" hidden="false" customHeight="true" outlineLevel="0" collapsed="false">
      <c r="A139" s="24" t="n">
        <v>12</v>
      </c>
      <c r="B139" s="24" t="n">
        <v>3</v>
      </c>
      <c r="C139" s="26" t="s">
        <v>830</v>
      </c>
      <c r="D139" s="8" t="s">
        <v>1439</v>
      </c>
      <c r="E139" s="9" t="s">
        <v>1440</v>
      </c>
      <c r="F139" s="8" t="s">
        <v>1441</v>
      </c>
      <c r="G139" s="9" t="s">
        <v>1442</v>
      </c>
      <c r="H139" s="8" t="s">
        <v>1443</v>
      </c>
      <c r="I139" s="24" t="s">
        <v>160</v>
      </c>
      <c r="J139" s="24" t="n">
        <f aca="false">턴_설계!$B$5</f>
        <v>120</v>
      </c>
    </row>
    <row r="140" customFormat="false" ht="42" hidden="false" customHeight="true" outlineLevel="0" collapsed="false">
      <c r="A140" s="24" t="n">
        <v>12</v>
      </c>
      <c r="B140" s="24" t="n">
        <v>4</v>
      </c>
      <c r="C140" s="26" t="s">
        <v>830</v>
      </c>
      <c r="D140" s="8" t="s">
        <v>1444</v>
      </c>
      <c r="E140" s="9" t="s">
        <v>1445</v>
      </c>
      <c r="F140" s="9" t="s">
        <v>1446</v>
      </c>
      <c r="G140" s="9" t="s">
        <v>1447</v>
      </c>
      <c r="H140" s="8" t="s">
        <v>1448</v>
      </c>
      <c r="I140" s="24" t="s">
        <v>1449</v>
      </c>
      <c r="J140" s="24" t="n">
        <f aca="false">턴_설계!$B$5</f>
        <v>120</v>
      </c>
    </row>
    <row r="141" customFormat="false" ht="42" hidden="false" customHeight="true" outlineLevel="0" collapsed="false">
      <c r="A141" s="24" t="n">
        <v>12</v>
      </c>
      <c r="B141" s="24" t="n">
        <v>5</v>
      </c>
      <c r="C141" s="26" t="s">
        <v>830</v>
      </c>
      <c r="D141" s="8" t="s">
        <v>1450</v>
      </c>
      <c r="E141" s="9" t="s">
        <v>1451</v>
      </c>
      <c r="F141" s="9" t="s">
        <v>1452</v>
      </c>
      <c r="G141" s="9" t="s">
        <v>1453</v>
      </c>
      <c r="H141" s="8" t="s">
        <v>1454</v>
      </c>
      <c r="I141" s="24" t="s">
        <v>1455</v>
      </c>
      <c r="J141" s="24" t="n">
        <f aca="false">턴_설계!$B$5</f>
        <v>120</v>
      </c>
    </row>
    <row r="142" customFormat="false" ht="29.25" hidden="false" customHeight="true" outlineLevel="0" collapsed="false">
      <c r="A142" s="24" t="n">
        <v>12</v>
      </c>
      <c r="B142" s="24" t="n">
        <v>6</v>
      </c>
      <c r="C142" s="26" t="s">
        <v>830</v>
      </c>
      <c r="D142" s="8" t="s">
        <v>1456</v>
      </c>
      <c r="E142" s="9" t="s">
        <v>1457</v>
      </c>
      <c r="F142" s="9" t="s">
        <v>1458</v>
      </c>
      <c r="G142" s="9" t="s">
        <v>1459</v>
      </c>
      <c r="H142" s="8" t="s">
        <v>1460</v>
      </c>
      <c r="I142" s="24" t="s">
        <v>1461</v>
      </c>
      <c r="J142" s="24" t="n">
        <f aca="false">턴_설계!$B$5</f>
        <v>120</v>
      </c>
    </row>
    <row r="143" customFormat="false" ht="42" hidden="false" customHeight="true" outlineLevel="0" collapsed="false">
      <c r="A143" s="24" t="n">
        <v>12</v>
      </c>
      <c r="B143" s="24" t="n">
        <v>7</v>
      </c>
      <c r="C143" s="26" t="s">
        <v>847</v>
      </c>
      <c r="D143" s="8" t="s">
        <v>1462</v>
      </c>
      <c r="E143" s="9" t="s">
        <v>1463</v>
      </c>
      <c r="F143" s="9" t="s">
        <v>1464</v>
      </c>
      <c r="G143" s="9" t="s">
        <v>1465</v>
      </c>
      <c r="H143" s="8" t="s">
        <v>1466</v>
      </c>
      <c r="I143" s="24" t="s">
        <v>1467</v>
      </c>
      <c r="J143" s="24" t="n">
        <f aca="false">턴_설계!$B$5</f>
        <v>120</v>
      </c>
    </row>
    <row r="144" customFormat="false" ht="42" hidden="false" customHeight="true" outlineLevel="0" collapsed="false">
      <c r="A144" s="24" t="n">
        <v>12</v>
      </c>
      <c r="B144" s="24" t="n">
        <v>8</v>
      </c>
      <c r="C144" s="26" t="s">
        <v>847</v>
      </c>
      <c r="D144" s="8" t="s">
        <v>1468</v>
      </c>
      <c r="E144" s="9" t="s">
        <v>1469</v>
      </c>
      <c r="F144" s="9" t="s">
        <v>1470</v>
      </c>
      <c r="G144" s="9" t="s">
        <v>1471</v>
      </c>
      <c r="H144" s="8" t="s">
        <v>1472</v>
      </c>
      <c r="I144" s="24" t="s">
        <v>1473</v>
      </c>
      <c r="J144" s="24" t="n">
        <f aca="false">턴_설계!$B$5</f>
        <v>120</v>
      </c>
    </row>
    <row r="145" customFormat="false" ht="16.5" hidden="false" customHeight="true" outlineLevel="0" collapsed="false">
      <c r="A145" s="24" t="n">
        <v>12</v>
      </c>
      <c r="B145" s="24" t="n">
        <v>9</v>
      </c>
      <c r="C145" s="26" t="s">
        <v>864</v>
      </c>
      <c r="D145" s="8" t="s">
        <v>1474</v>
      </c>
      <c r="E145" s="9" t="s">
        <v>1475</v>
      </c>
      <c r="F145" s="9" t="s">
        <v>1476</v>
      </c>
      <c r="G145" s="9" t="s">
        <v>1477</v>
      </c>
      <c r="H145" s="8" t="s">
        <v>1222</v>
      </c>
      <c r="I145" s="24" t="s">
        <v>1478</v>
      </c>
      <c r="J145" s="24" t="n">
        <f aca="false">턴_설계!$B$5</f>
        <v>120</v>
      </c>
    </row>
    <row r="146" customFormat="false" ht="42" hidden="false" customHeight="true" outlineLevel="0" collapsed="false">
      <c r="A146" s="24" t="n">
        <v>12</v>
      </c>
      <c r="B146" s="24" t="n">
        <v>10</v>
      </c>
      <c r="C146" s="26" t="s">
        <v>830</v>
      </c>
      <c r="D146" s="8" t="s">
        <v>1479</v>
      </c>
      <c r="E146" s="9" t="s">
        <v>1480</v>
      </c>
      <c r="F146" s="8" t="s">
        <v>1481</v>
      </c>
      <c r="G146" s="8" t="s">
        <v>294</v>
      </c>
      <c r="H146" s="8" t="s">
        <v>1482</v>
      </c>
      <c r="I146" s="24"/>
      <c r="J146" s="24" t="n">
        <f aca="false">턴_설계!$B$5</f>
        <v>120</v>
      </c>
    </row>
    <row r="147" customFormat="false" ht="29.25" hidden="false" customHeight="true" outlineLevel="0" collapsed="false">
      <c r="A147" s="24" t="n">
        <v>12</v>
      </c>
      <c r="B147" s="24" t="n">
        <v>11</v>
      </c>
      <c r="C147" s="26" t="s">
        <v>847</v>
      </c>
      <c r="D147" s="8" t="s">
        <v>1483</v>
      </c>
      <c r="E147" s="9" t="s">
        <v>1484</v>
      </c>
      <c r="F147" s="9" t="s">
        <v>1485</v>
      </c>
      <c r="G147" s="9" t="s">
        <v>1486</v>
      </c>
      <c r="H147" s="8" t="s">
        <v>1487</v>
      </c>
      <c r="I147" s="24"/>
      <c r="J147" s="24" t="n">
        <f aca="false">턴_설계!$B$5</f>
        <v>120</v>
      </c>
    </row>
    <row r="148" customFormat="false" ht="29.25" hidden="false" customHeight="true" outlineLevel="0" collapsed="false">
      <c r="A148" s="24" t="n">
        <v>12</v>
      </c>
      <c r="B148" s="24" t="n">
        <v>12</v>
      </c>
      <c r="C148" s="26" t="s">
        <v>875</v>
      </c>
      <c r="D148" s="8" t="s">
        <v>1488</v>
      </c>
      <c r="E148" s="9" t="s">
        <v>1489</v>
      </c>
      <c r="F148" s="9" t="s">
        <v>1490</v>
      </c>
      <c r="G148" s="9" t="s">
        <v>1491</v>
      </c>
      <c r="H148" s="8" t="s">
        <v>1492</v>
      </c>
      <c r="I148" s="24"/>
      <c r="J148" s="24" t="n">
        <f aca="false">턴_설계!$B$5</f>
        <v>120</v>
      </c>
    </row>
    <row r="149" customFormat="false" ht="29.25" hidden="false" customHeight="true" outlineLevel="0" collapsed="false">
      <c r="A149" s="24" t="n">
        <v>13</v>
      </c>
      <c r="B149" s="24" t="n">
        <v>1</v>
      </c>
      <c r="C149" s="26" t="s">
        <v>814</v>
      </c>
      <c r="D149" s="8" t="s">
        <v>1493</v>
      </c>
      <c r="E149" s="9" t="s">
        <v>1494</v>
      </c>
      <c r="F149" s="8" t="s">
        <v>1495</v>
      </c>
      <c r="G149" s="9" t="s">
        <v>1496</v>
      </c>
      <c r="H149" s="8" t="s">
        <v>1497</v>
      </c>
      <c r="I149" s="24"/>
      <c r="J149" s="24" t="n">
        <f aca="false">턴_설계!$B$5</f>
        <v>120</v>
      </c>
    </row>
    <row r="150" customFormat="false" ht="29.25" hidden="false" customHeight="true" outlineLevel="0" collapsed="false">
      <c r="A150" s="24" t="n">
        <v>13</v>
      </c>
      <c r="B150" s="24" t="n">
        <v>2</v>
      </c>
      <c r="C150" s="26" t="s">
        <v>814</v>
      </c>
      <c r="D150" s="8" t="s">
        <v>1498</v>
      </c>
      <c r="E150" s="9" t="s">
        <v>1499</v>
      </c>
      <c r="F150" s="8" t="s">
        <v>1500</v>
      </c>
      <c r="G150" s="9" t="s">
        <v>1501</v>
      </c>
      <c r="H150" s="8" t="s">
        <v>1502</v>
      </c>
      <c r="I150" s="24"/>
      <c r="J150" s="24" t="n">
        <f aca="false">턴_설계!$B$5</f>
        <v>120</v>
      </c>
    </row>
    <row r="151" customFormat="false" ht="16.5" hidden="false" customHeight="true" outlineLevel="0" collapsed="false">
      <c r="A151" s="24" t="n">
        <v>13</v>
      </c>
      <c r="B151" s="24" t="n">
        <v>3</v>
      </c>
      <c r="C151" s="26" t="s">
        <v>814</v>
      </c>
      <c r="D151" s="8" t="s">
        <v>1503</v>
      </c>
      <c r="E151" s="9" t="s">
        <v>1504</v>
      </c>
      <c r="F151" s="9" t="s">
        <v>1505</v>
      </c>
      <c r="G151" s="8" t="s">
        <v>294</v>
      </c>
      <c r="H151" s="8" t="s">
        <v>1506</v>
      </c>
      <c r="I151" s="24"/>
      <c r="J151" s="24" t="n">
        <f aca="false">턴_설계!$B$5</f>
        <v>120</v>
      </c>
    </row>
    <row r="152" customFormat="false" ht="29.25" hidden="false" customHeight="true" outlineLevel="0" collapsed="false">
      <c r="A152" s="24" t="n">
        <v>13</v>
      </c>
      <c r="B152" s="24" t="n">
        <v>4</v>
      </c>
      <c r="C152" s="26" t="s">
        <v>830</v>
      </c>
      <c r="D152" s="8" t="s">
        <v>1507</v>
      </c>
      <c r="E152" s="9" t="s">
        <v>1508</v>
      </c>
      <c r="F152" s="9" t="s">
        <v>1509</v>
      </c>
      <c r="G152" s="9" t="s">
        <v>1510</v>
      </c>
      <c r="H152" s="8" t="s">
        <v>1511</v>
      </c>
      <c r="I152" s="24"/>
      <c r="J152" s="24" t="n">
        <f aca="false">턴_설계!$B$5</f>
        <v>120</v>
      </c>
    </row>
    <row r="153" customFormat="false" ht="29.25" hidden="false" customHeight="true" outlineLevel="0" collapsed="false">
      <c r="A153" s="24" t="n">
        <v>13</v>
      </c>
      <c r="B153" s="24" t="n">
        <v>5</v>
      </c>
      <c r="C153" s="26" t="s">
        <v>830</v>
      </c>
      <c r="D153" s="8" t="s">
        <v>1512</v>
      </c>
      <c r="E153" s="9" t="s">
        <v>1513</v>
      </c>
      <c r="F153" s="9" t="s">
        <v>1514</v>
      </c>
      <c r="G153" s="8" t="s">
        <v>294</v>
      </c>
      <c r="H153" s="8" t="s">
        <v>1515</v>
      </c>
      <c r="I153" s="24" t="s">
        <v>769</v>
      </c>
      <c r="J153" s="24" t="n">
        <f aca="false">턴_설계!$B$5</f>
        <v>120</v>
      </c>
    </row>
    <row r="154" customFormat="false" ht="29.25" hidden="false" customHeight="true" outlineLevel="0" collapsed="false">
      <c r="A154" s="24" t="n">
        <v>13</v>
      </c>
      <c r="B154" s="24" t="n">
        <v>6</v>
      </c>
      <c r="C154" s="26" t="s">
        <v>841</v>
      </c>
      <c r="D154" s="8" t="s">
        <v>1516</v>
      </c>
      <c r="E154" s="8" t="s">
        <v>1517</v>
      </c>
      <c r="F154" s="8" t="s">
        <v>1518</v>
      </c>
      <c r="G154" s="8" t="s">
        <v>294</v>
      </c>
      <c r="H154" s="8" t="s">
        <v>1519</v>
      </c>
      <c r="I154" s="24" t="s">
        <v>769</v>
      </c>
      <c r="J154" s="24" t="n">
        <f aca="false">턴_설계!$B$5</f>
        <v>120</v>
      </c>
    </row>
    <row r="155" customFormat="false" ht="29.25" hidden="false" customHeight="true" outlineLevel="0" collapsed="false">
      <c r="A155" s="24" t="n">
        <v>13</v>
      </c>
      <c r="B155" s="24" t="n">
        <v>7</v>
      </c>
      <c r="C155" s="26" t="s">
        <v>830</v>
      </c>
      <c r="D155" s="8" t="s">
        <v>1520</v>
      </c>
      <c r="E155" s="9" t="s">
        <v>1521</v>
      </c>
      <c r="F155" s="8" t="s">
        <v>1522</v>
      </c>
      <c r="G155" s="9" t="s">
        <v>1523</v>
      </c>
      <c r="H155" s="8" t="s">
        <v>1524</v>
      </c>
      <c r="I155" s="24" t="s">
        <v>1525</v>
      </c>
      <c r="J155" s="24" t="n">
        <f aca="false">턴_설계!$B$5</f>
        <v>120</v>
      </c>
    </row>
    <row r="156" customFormat="false" ht="16.5" hidden="false" customHeight="true" outlineLevel="0" collapsed="false">
      <c r="A156" s="24" t="n">
        <v>13</v>
      </c>
      <c r="B156" s="24" t="n">
        <v>8</v>
      </c>
      <c r="C156" s="26" t="s">
        <v>830</v>
      </c>
      <c r="D156" s="8" t="s">
        <v>1526</v>
      </c>
      <c r="E156" s="9" t="s">
        <v>1527</v>
      </c>
      <c r="F156" s="8" t="s">
        <v>1528</v>
      </c>
      <c r="G156" s="8" t="s">
        <v>294</v>
      </c>
      <c r="H156" s="8" t="s">
        <v>1529</v>
      </c>
      <c r="I156" s="24"/>
      <c r="J156" s="24" t="n">
        <f aca="false">턴_설계!$B$5</f>
        <v>120</v>
      </c>
    </row>
    <row r="157" customFormat="false" ht="16.5" hidden="false" customHeight="true" outlineLevel="0" collapsed="false">
      <c r="A157" s="24" t="n">
        <v>13</v>
      </c>
      <c r="B157" s="24" t="n">
        <v>9</v>
      </c>
      <c r="C157" s="26" t="s">
        <v>847</v>
      </c>
      <c r="D157" s="8" t="s">
        <v>1530</v>
      </c>
      <c r="E157" s="9" t="s">
        <v>1531</v>
      </c>
      <c r="F157" s="8" t="s">
        <v>1532</v>
      </c>
      <c r="G157" s="8" t="s">
        <v>294</v>
      </c>
      <c r="H157" s="8" t="s">
        <v>1533</v>
      </c>
      <c r="I157" s="24"/>
      <c r="J157" s="24" t="n">
        <f aca="false">턴_설계!$B$5</f>
        <v>120</v>
      </c>
    </row>
    <row r="158" customFormat="false" ht="29.25" hidden="false" customHeight="true" outlineLevel="0" collapsed="false">
      <c r="A158" s="24" t="n">
        <v>13</v>
      </c>
      <c r="B158" s="24" t="n">
        <v>10</v>
      </c>
      <c r="C158" s="26" t="s">
        <v>864</v>
      </c>
      <c r="D158" s="8" t="s">
        <v>1534</v>
      </c>
      <c r="E158" s="9" t="s">
        <v>1535</v>
      </c>
      <c r="F158" s="9" t="s">
        <v>1536</v>
      </c>
      <c r="G158" s="8" t="s">
        <v>294</v>
      </c>
      <c r="H158" s="8" t="s">
        <v>1537</v>
      </c>
      <c r="I158" s="24"/>
      <c r="J158" s="24" t="n">
        <f aca="false">턴_설계!$B$5</f>
        <v>120</v>
      </c>
    </row>
    <row r="159" customFormat="false" ht="29.25" hidden="false" customHeight="true" outlineLevel="0" collapsed="false">
      <c r="A159" s="24" t="n">
        <v>13</v>
      </c>
      <c r="B159" s="24" t="n">
        <v>11</v>
      </c>
      <c r="C159" s="26" t="s">
        <v>864</v>
      </c>
      <c r="D159" s="8" t="s">
        <v>1538</v>
      </c>
      <c r="E159" s="9" t="s">
        <v>1539</v>
      </c>
      <c r="F159" s="8" t="s">
        <v>1540</v>
      </c>
      <c r="G159" s="8" t="s">
        <v>294</v>
      </c>
      <c r="H159" s="9" t="s">
        <v>1115</v>
      </c>
      <c r="I159" s="24"/>
      <c r="J159" s="24" t="n">
        <f aca="false">턴_설계!$B$5</f>
        <v>120</v>
      </c>
    </row>
    <row r="160" customFormat="false" ht="16.5" hidden="false" customHeight="true" outlineLevel="0" collapsed="false">
      <c r="A160" s="24" t="n">
        <v>13</v>
      </c>
      <c r="B160" s="24" t="n">
        <v>12</v>
      </c>
      <c r="C160" s="26" t="s">
        <v>1541</v>
      </c>
      <c r="D160" s="8" t="s">
        <v>1542</v>
      </c>
      <c r="E160" s="9" t="s">
        <v>1543</v>
      </c>
      <c r="F160" s="9" t="s">
        <v>1544</v>
      </c>
      <c r="G160" s="8" t="s">
        <v>294</v>
      </c>
      <c r="H160" s="8" t="s">
        <v>1545</v>
      </c>
      <c r="I160" s="24"/>
      <c r="J160" s="24" t="n">
        <f aca="false">턴_설계!$B$5</f>
        <v>120</v>
      </c>
    </row>
    <row r="161" customFormat="false" ht="15" hidden="false" customHeight="true" outlineLevel="0" collapsed="false">
      <c r="I161" s="63" t="s">
        <v>290</v>
      </c>
      <c r="J161" s="64" t="n">
        <f aca="false">SUM(J5:J160)</f>
        <v>18720</v>
      </c>
    </row>
  </sheetData>
  <autoFilter ref="A4:J160"/>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4"/>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7" min="6" style="1" width="8"/>
    <col collapsed="false" customWidth="true" hidden="false" outlineLevel="0" max="8" min="8" style="1" width="42"/>
    <col collapsed="false" customWidth="true" hidden="false" outlineLevel="0" max="9" min="9" style="1" width="20"/>
  </cols>
  <sheetData>
    <row r="1" customFormat="false" ht="24" hidden="false" customHeight="true" outlineLevel="0" collapsed="false">
      <c r="A1" s="21" t="s">
        <v>1546</v>
      </c>
    </row>
    <row r="2" customFormat="false" ht="15" hidden="false" customHeight="true" outlineLevel="0" collapsed="false">
      <c r="A2" s="20" t="s">
        <v>1547</v>
      </c>
    </row>
    <row r="4" customFormat="false" ht="30" hidden="false" customHeight="true" outlineLevel="0" collapsed="false">
      <c r="A4" s="22" t="s">
        <v>83</v>
      </c>
      <c r="B4" s="23" t="s">
        <v>1548</v>
      </c>
      <c r="C4" s="23" t="s">
        <v>1549</v>
      </c>
      <c r="D4" s="23" t="s">
        <v>1550</v>
      </c>
      <c r="E4" s="23" t="s">
        <v>1551</v>
      </c>
      <c r="F4" s="23" t="s">
        <v>1552</v>
      </c>
      <c r="G4" s="23" t="s">
        <v>1553</v>
      </c>
      <c r="H4" s="23" t="s">
        <v>1554</v>
      </c>
      <c r="I4" s="23" t="s">
        <v>1555</v>
      </c>
    </row>
    <row r="5" customFormat="false" ht="29.25" hidden="false" customHeight="true" outlineLevel="0" collapsed="false">
      <c r="A5" s="24" t="n">
        <v>1</v>
      </c>
      <c r="B5" s="8" t="s">
        <v>1556</v>
      </c>
      <c r="C5" s="26" t="s">
        <v>1557</v>
      </c>
      <c r="D5" s="25" t="n">
        <v>1</v>
      </c>
      <c r="E5" s="8" t="s">
        <v>1558</v>
      </c>
      <c r="F5" s="25" t="n">
        <v>11</v>
      </c>
      <c r="G5" s="24" t="n">
        <f aca="false">F5-D5</f>
        <v>10</v>
      </c>
      <c r="H5" s="8" t="s">
        <v>1559</v>
      </c>
      <c r="I5" s="8" t="s">
        <v>150</v>
      </c>
    </row>
    <row r="6" customFormat="false" ht="29.25" hidden="false" customHeight="true" outlineLevel="0" collapsed="false">
      <c r="A6" s="24" t="n">
        <v>2</v>
      </c>
      <c r="B6" s="8" t="s">
        <v>1560</v>
      </c>
      <c r="C6" s="26" t="s">
        <v>1561</v>
      </c>
      <c r="D6" s="25" t="n">
        <v>1</v>
      </c>
      <c r="E6" s="8" t="s">
        <v>1558</v>
      </c>
      <c r="F6" s="25" t="n">
        <v>13</v>
      </c>
      <c r="G6" s="24" t="n">
        <f aca="false">F6-D6</f>
        <v>12</v>
      </c>
      <c r="H6" s="8" t="s">
        <v>1562</v>
      </c>
      <c r="I6" s="8" t="s">
        <v>1563</v>
      </c>
    </row>
    <row r="7" customFormat="false" ht="29.25" hidden="false" customHeight="true" outlineLevel="0" collapsed="false">
      <c r="A7" s="24" t="n">
        <v>3</v>
      </c>
      <c r="B7" s="8" t="s">
        <v>1564</v>
      </c>
      <c r="C7" s="26" t="s">
        <v>1565</v>
      </c>
      <c r="D7" s="25" t="n">
        <v>3</v>
      </c>
      <c r="E7" s="8" t="s">
        <v>1566</v>
      </c>
      <c r="F7" s="25" t="n">
        <v>11</v>
      </c>
      <c r="G7" s="24" t="n">
        <f aca="false">F7-D7</f>
        <v>8</v>
      </c>
      <c r="H7" s="8" t="s">
        <v>1567</v>
      </c>
      <c r="I7" s="8" t="s">
        <v>1568</v>
      </c>
    </row>
    <row r="8" customFormat="false" ht="29.25" hidden="false" customHeight="true" outlineLevel="0" collapsed="false">
      <c r="A8" s="24" t="n">
        <v>4</v>
      </c>
      <c r="B8" s="8" t="s">
        <v>1569</v>
      </c>
      <c r="C8" s="26" t="s">
        <v>1557</v>
      </c>
      <c r="D8" s="25" t="n">
        <v>1</v>
      </c>
      <c r="E8" s="8" t="s">
        <v>1570</v>
      </c>
      <c r="F8" s="25" t="n">
        <v>11</v>
      </c>
      <c r="G8" s="24" t="n">
        <f aca="false">F8-D8</f>
        <v>10</v>
      </c>
      <c r="H8" s="8" t="s">
        <v>1571</v>
      </c>
      <c r="I8" s="8" t="s">
        <v>1563</v>
      </c>
    </row>
    <row r="9" customFormat="false" ht="29.25" hidden="false" customHeight="true" outlineLevel="0" collapsed="false">
      <c r="A9" s="24" t="n">
        <v>5</v>
      </c>
      <c r="B9" s="8" t="s">
        <v>1572</v>
      </c>
      <c r="C9" s="26" t="s">
        <v>1573</v>
      </c>
      <c r="D9" s="25" t="n">
        <v>1</v>
      </c>
      <c r="E9" s="8" t="s">
        <v>1574</v>
      </c>
      <c r="F9" s="25" t="n">
        <v>9</v>
      </c>
      <c r="G9" s="24" t="n">
        <f aca="false">F9-D9</f>
        <v>8</v>
      </c>
      <c r="H9" s="8" t="s">
        <v>1575</v>
      </c>
      <c r="I9" s="8" t="s">
        <v>1576</v>
      </c>
    </row>
    <row r="10" customFormat="false" ht="29.25" hidden="false" customHeight="true" outlineLevel="0" collapsed="false">
      <c r="A10" s="24" t="n">
        <v>6</v>
      </c>
      <c r="B10" s="8" t="s">
        <v>1577</v>
      </c>
      <c r="C10" s="26" t="s">
        <v>1578</v>
      </c>
      <c r="D10" s="25" t="n">
        <v>1</v>
      </c>
      <c r="E10" s="8" t="s">
        <v>1558</v>
      </c>
      <c r="F10" s="25" t="n">
        <v>12</v>
      </c>
      <c r="G10" s="24" t="n">
        <f aca="false">F10-D10</f>
        <v>11</v>
      </c>
      <c r="H10" s="8" t="s">
        <v>1579</v>
      </c>
      <c r="I10" s="8" t="s">
        <v>1580</v>
      </c>
    </row>
    <row r="11" customFormat="false" ht="29.25" hidden="false" customHeight="true" outlineLevel="0" collapsed="false">
      <c r="A11" s="24" t="n">
        <v>7</v>
      </c>
      <c r="B11" s="8" t="s">
        <v>1581</v>
      </c>
      <c r="C11" s="26" t="s">
        <v>1557</v>
      </c>
      <c r="D11" s="25" t="n">
        <v>1</v>
      </c>
      <c r="E11" s="8" t="s">
        <v>1582</v>
      </c>
      <c r="F11" s="25" t="n">
        <v>13</v>
      </c>
      <c r="G11" s="24" t="n">
        <f aca="false">F11-D11</f>
        <v>12</v>
      </c>
      <c r="H11" s="8" t="s">
        <v>1583</v>
      </c>
      <c r="I11" s="8" t="s">
        <v>1537</v>
      </c>
    </row>
    <row r="12" customFormat="false" ht="29.25" hidden="false" customHeight="true" outlineLevel="0" collapsed="false">
      <c r="A12" s="24" t="n">
        <v>8</v>
      </c>
      <c r="B12" s="8" t="s">
        <v>1584</v>
      </c>
      <c r="C12" s="26" t="s">
        <v>1573</v>
      </c>
      <c r="D12" s="25" t="n">
        <v>2</v>
      </c>
      <c r="E12" s="8" t="s">
        <v>1585</v>
      </c>
      <c r="F12" s="25" t="n">
        <v>11</v>
      </c>
      <c r="G12" s="24" t="n">
        <f aca="false">F12-D12</f>
        <v>9</v>
      </c>
      <c r="H12" s="8" t="s">
        <v>1586</v>
      </c>
      <c r="I12" s="8" t="s">
        <v>103</v>
      </c>
    </row>
    <row r="13" customFormat="false" ht="29.25" hidden="false" customHeight="true" outlineLevel="0" collapsed="false">
      <c r="A13" s="24" t="n">
        <v>9</v>
      </c>
      <c r="B13" s="8" t="s">
        <v>1587</v>
      </c>
      <c r="C13" s="26" t="s">
        <v>1557</v>
      </c>
      <c r="D13" s="25" t="n">
        <v>2</v>
      </c>
      <c r="E13" s="8" t="s">
        <v>1588</v>
      </c>
      <c r="F13" s="25" t="n">
        <v>4</v>
      </c>
      <c r="G13" s="24" t="n">
        <f aca="false">F13-D13</f>
        <v>2</v>
      </c>
      <c r="H13" s="8" t="s">
        <v>1589</v>
      </c>
      <c r="I13" s="8" t="s">
        <v>128</v>
      </c>
    </row>
    <row r="14" customFormat="false" ht="16.5" hidden="false" customHeight="true" outlineLevel="0" collapsed="false">
      <c r="A14" s="24" t="n">
        <v>10</v>
      </c>
      <c r="B14" s="8" t="s">
        <v>1590</v>
      </c>
      <c r="C14" s="26" t="s">
        <v>1561</v>
      </c>
      <c r="D14" s="25" t="n">
        <v>4</v>
      </c>
      <c r="E14" s="8" t="s">
        <v>1591</v>
      </c>
      <c r="F14" s="25" t="n">
        <v>7</v>
      </c>
      <c r="G14" s="24" t="n">
        <f aca="false">F14-D14</f>
        <v>3</v>
      </c>
      <c r="H14" s="8" t="s">
        <v>1592</v>
      </c>
      <c r="I14" s="8" t="s">
        <v>1248</v>
      </c>
    </row>
    <row r="15" customFormat="false" ht="29.25" hidden="false" customHeight="true" outlineLevel="0" collapsed="false">
      <c r="A15" s="24" t="n">
        <v>11</v>
      </c>
      <c r="B15" s="8" t="s">
        <v>1593</v>
      </c>
      <c r="C15" s="26" t="s">
        <v>322</v>
      </c>
      <c r="D15" s="25" t="n">
        <v>4</v>
      </c>
      <c r="E15" s="8" t="s">
        <v>1594</v>
      </c>
      <c r="F15" s="25" t="n">
        <v>11</v>
      </c>
      <c r="G15" s="24" t="n">
        <f aca="false">F15-D15</f>
        <v>7</v>
      </c>
      <c r="H15" s="8" t="s">
        <v>1595</v>
      </c>
      <c r="I15" s="8" t="s">
        <v>128</v>
      </c>
    </row>
    <row r="16" customFormat="false" ht="29.25" hidden="false" customHeight="true" outlineLevel="0" collapsed="false">
      <c r="A16" s="24" t="n">
        <v>12</v>
      </c>
      <c r="B16" s="8" t="s">
        <v>1596</v>
      </c>
      <c r="C16" s="26" t="s">
        <v>1561</v>
      </c>
      <c r="D16" s="25" t="n">
        <v>5</v>
      </c>
      <c r="E16" s="8" t="s">
        <v>1597</v>
      </c>
      <c r="F16" s="25" t="n">
        <v>11</v>
      </c>
      <c r="G16" s="24" t="n">
        <f aca="false">F16-D16</f>
        <v>6</v>
      </c>
      <c r="H16" s="8" t="s">
        <v>1598</v>
      </c>
      <c r="I16" s="8" t="s">
        <v>139</v>
      </c>
    </row>
    <row r="17" customFormat="false" ht="29.25" hidden="false" customHeight="true" outlineLevel="0" collapsed="false">
      <c r="A17" s="24" t="n">
        <v>13</v>
      </c>
      <c r="B17" s="8" t="s">
        <v>1599</v>
      </c>
      <c r="C17" s="26" t="s">
        <v>1557</v>
      </c>
      <c r="D17" s="25" t="n">
        <v>1</v>
      </c>
      <c r="E17" s="8" t="s">
        <v>1558</v>
      </c>
      <c r="F17" s="25" t="n">
        <v>13</v>
      </c>
      <c r="G17" s="24" t="n">
        <f aca="false">F17-D17</f>
        <v>12</v>
      </c>
      <c r="H17" s="8" t="s">
        <v>1600</v>
      </c>
      <c r="I17" s="8" t="s">
        <v>139</v>
      </c>
    </row>
    <row r="18" customFormat="false" ht="29.25" hidden="false" customHeight="true" outlineLevel="0" collapsed="false">
      <c r="A18" s="24" t="n">
        <v>14</v>
      </c>
      <c r="B18" s="8" t="s">
        <v>1601</v>
      </c>
      <c r="C18" s="26" t="s">
        <v>1561</v>
      </c>
      <c r="D18" s="25" t="n">
        <v>3</v>
      </c>
      <c r="E18" s="8" t="s">
        <v>1602</v>
      </c>
      <c r="F18" s="25" t="n">
        <v>13</v>
      </c>
      <c r="G18" s="24" t="n">
        <f aca="false">F18-D18</f>
        <v>10</v>
      </c>
      <c r="H18" s="8" t="s">
        <v>1603</v>
      </c>
      <c r="I18" s="8" t="s">
        <v>116</v>
      </c>
    </row>
    <row r="19" customFormat="false" ht="16.5" hidden="false" customHeight="true" outlineLevel="0" collapsed="false">
      <c r="A19" s="24" t="n">
        <v>15</v>
      </c>
      <c r="B19" s="8" t="s">
        <v>1604</v>
      </c>
      <c r="C19" s="26" t="s">
        <v>1605</v>
      </c>
      <c r="D19" s="25" t="n">
        <v>5</v>
      </c>
      <c r="E19" s="8" t="s">
        <v>1606</v>
      </c>
      <c r="F19" s="25" t="n">
        <v>10</v>
      </c>
      <c r="G19" s="24" t="n">
        <f aca="false">F19-D19</f>
        <v>5</v>
      </c>
      <c r="H19" s="8" t="s">
        <v>1607</v>
      </c>
      <c r="I19" s="8" t="s">
        <v>1608</v>
      </c>
    </row>
    <row r="20" customFormat="false" ht="29.25" hidden="false" customHeight="true" outlineLevel="0" collapsed="false">
      <c r="A20" s="24" t="n">
        <v>16</v>
      </c>
      <c r="B20" s="8" t="s">
        <v>1609</v>
      </c>
      <c r="C20" s="26" t="s">
        <v>322</v>
      </c>
      <c r="D20" s="25" t="n">
        <v>1</v>
      </c>
      <c r="E20" s="8" t="s">
        <v>1610</v>
      </c>
      <c r="F20" s="25" t="n">
        <v>9</v>
      </c>
      <c r="G20" s="24" t="n">
        <f aca="false">F20-D20</f>
        <v>8</v>
      </c>
      <c r="H20" s="8" t="s">
        <v>1611</v>
      </c>
      <c r="I20" s="8" t="s">
        <v>252</v>
      </c>
    </row>
    <row r="21" customFormat="false" ht="29.25" hidden="false" customHeight="true" outlineLevel="0" collapsed="false">
      <c r="A21" s="24" t="n">
        <v>17</v>
      </c>
      <c r="B21" s="8" t="s">
        <v>1612</v>
      </c>
      <c r="C21" s="26" t="s">
        <v>1565</v>
      </c>
      <c r="D21" s="25" t="n">
        <v>2</v>
      </c>
      <c r="E21" s="8" t="s">
        <v>1613</v>
      </c>
      <c r="F21" s="25" t="n">
        <v>12</v>
      </c>
      <c r="G21" s="24" t="n">
        <f aca="false">F21-D21</f>
        <v>10</v>
      </c>
      <c r="H21" s="8" t="s">
        <v>1614</v>
      </c>
      <c r="I21" s="9" t="s">
        <v>1115</v>
      </c>
    </row>
    <row r="22" customFormat="false" ht="29.25" hidden="false" customHeight="true" outlineLevel="0" collapsed="false">
      <c r="A22" s="24" t="n">
        <v>18</v>
      </c>
      <c r="B22" s="8" t="s">
        <v>1615</v>
      </c>
      <c r="C22" s="26" t="s">
        <v>1557</v>
      </c>
      <c r="D22" s="25" t="n">
        <v>1</v>
      </c>
      <c r="E22" s="8" t="s">
        <v>1616</v>
      </c>
      <c r="F22" s="25" t="n">
        <v>12</v>
      </c>
      <c r="G22" s="24" t="n">
        <f aca="false">F22-D22</f>
        <v>11</v>
      </c>
      <c r="H22" s="8" t="s">
        <v>1617</v>
      </c>
      <c r="I22" s="8" t="s">
        <v>264</v>
      </c>
    </row>
    <row r="23" customFormat="false" ht="29.25" hidden="false" customHeight="true" outlineLevel="0" collapsed="false">
      <c r="A23" s="24" t="n">
        <v>19</v>
      </c>
      <c r="B23" s="8" t="s">
        <v>1618</v>
      </c>
      <c r="C23" s="26" t="s">
        <v>1573</v>
      </c>
      <c r="D23" s="25" t="n">
        <v>6</v>
      </c>
      <c r="E23" s="8" t="s">
        <v>1619</v>
      </c>
      <c r="F23" s="25" t="n">
        <v>10</v>
      </c>
      <c r="G23" s="24" t="n">
        <f aca="false">F23-D23</f>
        <v>4</v>
      </c>
      <c r="H23" s="8" t="s">
        <v>1620</v>
      </c>
      <c r="I23" s="8" t="s">
        <v>185</v>
      </c>
    </row>
    <row r="24" customFormat="false" ht="29.25" hidden="false" customHeight="true" outlineLevel="0" collapsed="false">
      <c r="A24" s="24" t="n">
        <v>20</v>
      </c>
      <c r="B24" s="8" t="s">
        <v>1621</v>
      </c>
      <c r="C24" s="26" t="s">
        <v>1557</v>
      </c>
      <c r="D24" s="25" t="n">
        <v>1</v>
      </c>
      <c r="E24" s="8" t="s">
        <v>1622</v>
      </c>
      <c r="F24" s="25" t="n">
        <v>12</v>
      </c>
      <c r="G24" s="24" t="n">
        <f aca="false">F24-D24</f>
        <v>11</v>
      </c>
      <c r="H24" s="8" t="s">
        <v>1623</v>
      </c>
      <c r="I24" s="8" t="s">
        <v>174</v>
      </c>
    </row>
    <row r="25" customFormat="false" ht="29.25" hidden="false" customHeight="true" outlineLevel="0" collapsed="false">
      <c r="A25" s="24" t="n">
        <v>21</v>
      </c>
      <c r="B25" s="8" t="s">
        <v>1624</v>
      </c>
      <c r="C25" s="26" t="s">
        <v>1561</v>
      </c>
      <c r="D25" s="25" t="n">
        <v>1</v>
      </c>
      <c r="E25" s="8" t="s">
        <v>1625</v>
      </c>
      <c r="F25" s="25" t="n">
        <v>13</v>
      </c>
      <c r="G25" s="24" t="n">
        <f aca="false">F25-D25</f>
        <v>12</v>
      </c>
      <c r="H25" s="8" t="s">
        <v>1626</v>
      </c>
      <c r="I25" s="8" t="s">
        <v>219</v>
      </c>
    </row>
    <row r="26" customFormat="false" ht="29.25" hidden="false" customHeight="true" outlineLevel="0" collapsed="false">
      <c r="A26" s="24" t="n">
        <v>22</v>
      </c>
      <c r="B26" s="8" t="s">
        <v>1627</v>
      </c>
      <c r="C26" s="26" t="s">
        <v>1557</v>
      </c>
      <c r="D26" s="25" t="n">
        <v>6</v>
      </c>
      <c r="E26" s="8" t="s">
        <v>1628</v>
      </c>
      <c r="F26" s="25" t="n">
        <v>13</v>
      </c>
      <c r="G26" s="24" t="n">
        <f aca="false">F26-D26</f>
        <v>7</v>
      </c>
      <c r="H26" s="8" t="s">
        <v>1629</v>
      </c>
      <c r="I26" s="8" t="s">
        <v>1545</v>
      </c>
    </row>
    <row r="27" customFormat="false" ht="29.25" hidden="false" customHeight="true" outlineLevel="0" collapsed="false">
      <c r="A27" s="24" t="n">
        <v>23</v>
      </c>
      <c r="B27" s="8" t="s">
        <v>1630</v>
      </c>
      <c r="C27" s="26" t="s">
        <v>446</v>
      </c>
      <c r="D27" s="25" t="n">
        <v>10</v>
      </c>
      <c r="E27" s="8" t="s">
        <v>1631</v>
      </c>
      <c r="F27" s="25" t="n">
        <v>12</v>
      </c>
      <c r="G27" s="24" t="n">
        <f aca="false">F27-D27</f>
        <v>2</v>
      </c>
      <c r="H27" s="8" t="s">
        <v>1632</v>
      </c>
      <c r="I27" s="8" t="s">
        <v>1633</v>
      </c>
    </row>
    <row r="28" customFormat="false" ht="29.25" hidden="false" customHeight="true" outlineLevel="0" collapsed="false">
      <c r="A28" s="24" t="n">
        <v>24</v>
      </c>
      <c r="B28" s="9" t="s">
        <v>1634</v>
      </c>
      <c r="C28" s="26" t="s">
        <v>446</v>
      </c>
      <c r="D28" s="25" t="n">
        <v>7</v>
      </c>
      <c r="E28" s="8" t="s">
        <v>1635</v>
      </c>
      <c r="F28" s="25" t="n">
        <v>8</v>
      </c>
      <c r="G28" s="24" t="n">
        <f aca="false">F28-D28</f>
        <v>1</v>
      </c>
      <c r="H28" s="8" t="s">
        <v>1636</v>
      </c>
      <c r="I28" s="8" t="s">
        <v>1637</v>
      </c>
    </row>
    <row r="29" customFormat="false" ht="29.25" hidden="false" customHeight="true" outlineLevel="0" collapsed="false">
      <c r="A29" s="24" t="n">
        <v>25</v>
      </c>
      <c r="B29" s="8" t="s">
        <v>1638</v>
      </c>
      <c r="C29" s="26" t="s">
        <v>1573</v>
      </c>
      <c r="D29" s="25" t="n">
        <v>11</v>
      </c>
      <c r="E29" s="8" t="s">
        <v>1639</v>
      </c>
      <c r="F29" s="25" t="n">
        <v>12</v>
      </c>
      <c r="G29" s="24" t="n">
        <f aca="false">F29-D29</f>
        <v>1</v>
      </c>
      <c r="H29" s="8" t="s">
        <v>1640</v>
      </c>
      <c r="I29" s="8" t="s">
        <v>1416</v>
      </c>
    </row>
    <row r="30" customFormat="false" ht="29.25" hidden="false" customHeight="true" outlineLevel="0" collapsed="false">
      <c r="A30" s="24" t="n">
        <v>26</v>
      </c>
      <c r="B30" s="8" t="s">
        <v>1641</v>
      </c>
      <c r="C30" s="26" t="s">
        <v>1557</v>
      </c>
      <c r="D30" s="25" t="n">
        <v>11</v>
      </c>
      <c r="E30" s="8" t="s">
        <v>1642</v>
      </c>
      <c r="F30" s="25" t="n">
        <v>12</v>
      </c>
      <c r="G30" s="24" t="n">
        <f aca="false">F30-D30</f>
        <v>1</v>
      </c>
      <c r="H30" s="8" t="s">
        <v>1643</v>
      </c>
      <c r="I30" s="8" t="s">
        <v>1644</v>
      </c>
    </row>
    <row r="31" customFormat="false" ht="29.25" hidden="false" customHeight="true" outlineLevel="0" collapsed="false">
      <c r="A31" s="24" t="n">
        <v>27</v>
      </c>
      <c r="B31" s="8" t="s">
        <v>1645</v>
      </c>
      <c r="C31" s="26" t="s">
        <v>1573</v>
      </c>
      <c r="D31" s="25" t="n">
        <v>7</v>
      </c>
      <c r="E31" s="8" t="s">
        <v>1646</v>
      </c>
      <c r="F31" s="25" t="n">
        <v>12</v>
      </c>
      <c r="G31" s="24" t="n">
        <f aca="false">F31-D31</f>
        <v>5</v>
      </c>
      <c r="H31" s="8" t="s">
        <v>1647</v>
      </c>
      <c r="I31" s="8" t="s">
        <v>1648</v>
      </c>
    </row>
    <row r="32" customFormat="false" ht="29.25" hidden="false" customHeight="true" outlineLevel="0" collapsed="false">
      <c r="A32" s="24" t="n">
        <v>28</v>
      </c>
      <c r="B32" s="8" t="s">
        <v>1649</v>
      </c>
      <c r="C32" s="26" t="s">
        <v>1557</v>
      </c>
      <c r="D32" s="25" t="n">
        <v>1</v>
      </c>
      <c r="E32" s="8" t="s">
        <v>1650</v>
      </c>
      <c r="F32" s="25" t="n">
        <v>9</v>
      </c>
      <c r="G32" s="24" t="n">
        <f aca="false">F32-D32</f>
        <v>8</v>
      </c>
      <c r="H32" s="8" t="s">
        <v>1651</v>
      </c>
      <c r="I32" s="8" t="s">
        <v>1652</v>
      </c>
    </row>
    <row r="34" customFormat="false" ht="15" hidden="false" customHeight="true" outlineLevel="0" collapsed="false">
      <c r="B34" s="63" t="s">
        <v>1653</v>
      </c>
      <c r="G34" s="65" t="n">
        <f aca="false">AVERAGE(G5:G32)</f>
        <v>7.35714285714286</v>
      </c>
    </row>
    <row r="35" customFormat="false" ht="15" hidden="false" customHeight="true" outlineLevel="0" collapsed="false">
      <c r="B35" s="63" t="s">
        <v>1654</v>
      </c>
      <c r="G35" s="63" t="n">
        <f aca="false">MAX(G5:G32)</f>
        <v>12</v>
      </c>
    </row>
    <row r="36" customFormat="false" ht="15" hidden="false" customHeight="true" outlineLevel="0" collapsed="false">
      <c r="B36" s="63" t="s">
        <v>1655</v>
      </c>
      <c r="G36" s="63" t="n">
        <f aca="false">COUNTA(B5:B32)</f>
        <v>28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9"/>
    <col collapsed="false" customWidth="true" hidden="false" outlineLevel="0" max="3" min="3" style="1" width="22"/>
    <col collapsed="false" customWidth="true" hidden="false" outlineLevel="0" max="4" min="4" style="1" width="26"/>
    <col collapsed="false" customWidth="true" hidden="false" outlineLevel="0" max="5" min="5" style="1" width="46"/>
    <col collapsed="false" customWidth="true" hidden="false" outlineLevel="0" max="6" min="6" style="1" width="36"/>
    <col collapsed="false" customWidth="true" hidden="false" outlineLevel="0" max="7" min="7" style="1" width="32"/>
    <col collapsed="false" customWidth="true" hidden="false" outlineLevel="0" max="9" min="8" style="1" width="24"/>
    <col collapsed="false" customWidth="true" hidden="false" outlineLevel="0" max="10" min="10" style="1" width="42"/>
    <col collapsed="false" customWidth="true" hidden="false" outlineLevel="0" max="11" min="11" style="1" width="34"/>
    <col collapsed="false" customWidth="true" hidden="false" outlineLevel="0" max="12" min="12" style="1" width="38"/>
    <col collapsed="false" customWidth="true" hidden="false" outlineLevel="0" max="13" min="13" style="1" width="36"/>
  </cols>
  <sheetData>
    <row r="1" customFormat="false" ht="24" hidden="false" customHeight="true" outlineLevel="0" collapsed="false">
      <c r="A1" s="21" t="s">
        <v>1656</v>
      </c>
    </row>
    <row r="2" customFormat="false" ht="15" hidden="false" customHeight="true" outlineLevel="0" collapsed="false">
      <c r="A2" s="20" t="s">
        <v>1657</v>
      </c>
    </row>
    <row r="4" customFormat="false" ht="19.5" hidden="false" customHeight="true" outlineLevel="0" collapsed="false">
      <c r="A4" s="22" t="s">
        <v>1658</v>
      </c>
      <c r="B4" s="23" t="s">
        <v>1659</v>
      </c>
      <c r="C4" s="23" t="s">
        <v>50</v>
      </c>
      <c r="D4" s="23" t="s">
        <v>1660</v>
      </c>
      <c r="E4" s="23" t="s">
        <v>1661</v>
      </c>
      <c r="F4" s="23" t="s">
        <v>1662</v>
      </c>
      <c r="G4" s="23" t="s">
        <v>1663</v>
      </c>
      <c r="H4" s="23" t="s">
        <v>736</v>
      </c>
      <c r="I4" s="23" t="s">
        <v>1664</v>
      </c>
      <c r="J4" s="23" t="s">
        <v>1665</v>
      </c>
      <c r="K4" s="23" t="s">
        <v>1666</v>
      </c>
      <c r="L4" s="23" t="s">
        <v>1667</v>
      </c>
      <c r="M4" s="23" t="s">
        <v>1668</v>
      </c>
    </row>
    <row r="5" customFormat="false" ht="42" hidden="false" customHeight="true" outlineLevel="0" collapsed="false">
      <c r="A5" s="66" t="s">
        <v>1181</v>
      </c>
      <c r="B5" s="26" t="s">
        <v>446</v>
      </c>
      <c r="C5" s="9" t="s">
        <v>1669</v>
      </c>
      <c r="D5" s="8" t="s">
        <v>1670</v>
      </c>
      <c r="E5" s="9" t="s">
        <v>1671</v>
      </c>
      <c r="F5" s="8" t="s">
        <v>1672</v>
      </c>
      <c r="G5" s="8" t="s">
        <v>1673</v>
      </c>
      <c r="H5" s="8" t="s">
        <v>1674</v>
      </c>
      <c r="I5" s="9" t="s">
        <v>1675</v>
      </c>
      <c r="J5" s="9" t="s">
        <v>1676</v>
      </c>
      <c r="K5" s="8" t="s">
        <v>1677</v>
      </c>
      <c r="L5" s="9" t="s">
        <v>1678</v>
      </c>
      <c r="M5" s="9" t="s">
        <v>1679</v>
      </c>
    </row>
    <row r="6" customFormat="false" ht="54.75" hidden="false" customHeight="true" outlineLevel="0" collapsed="false">
      <c r="A6" s="66" t="s">
        <v>1680</v>
      </c>
      <c r="B6" s="26" t="s">
        <v>446</v>
      </c>
      <c r="C6" s="9" t="s">
        <v>1681</v>
      </c>
      <c r="D6" s="8" t="s">
        <v>1682</v>
      </c>
      <c r="E6" s="9" t="s">
        <v>1683</v>
      </c>
      <c r="F6" s="8" t="s">
        <v>1684</v>
      </c>
      <c r="G6" s="8" t="s">
        <v>1685</v>
      </c>
      <c r="H6" s="8" t="s">
        <v>1686</v>
      </c>
      <c r="I6" s="9" t="s">
        <v>1687</v>
      </c>
      <c r="J6" s="9" t="s">
        <v>1688</v>
      </c>
      <c r="K6" s="8" t="s">
        <v>1689</v>
      </c>
      <c r="L6" s="9" t="s">
        <v>1690</v>
      </c>
      <c r="M6" s="9" t="s">
        <v>1691</v>
      </c>
    </row>
    <row r="7" customFormat="false" ht="42" hidden="false" customHeight="true" outlineLevel="0" collapsed="false">
      <c r="A7" s="66" t="s">
        <v>919</v>
      </c>
      <c r="B7" s="26" t="s">
        <v>446</v>
      </c>
      <c r="C7" s="9" t="s">
        <v>1692</v>
      </c>
      <c r="D7" s="8" t="s">
        <v>1693</v>
      </c>
      <c r="E7" s="9" t="s">
        <v>1694</v>
      </c>
      <c r="F7" s="8" t="s">
        <v>1695</v>
      </c>
      <c r="G7" s="8" t="s">
        <v>1696</v>
      </c>
      <c r="H7" s="8" t="s">
        <v>1697</v>
      </c>
      <c r="I7" s="9" t="s">
        <v>1698</v>
      </c>
      <c r="J7" s="9" t="s">
        <v>1699</v>
      </c>
      <c r="K7" s="8" t="s">
        <v>1700</v>
      </c>
      <c r="L7" s="9" t="s">
        <v>1701</v>
      </c>
      <c r="M7" s="9" t="s">
        <v>1702</v>
      </c>
    </row>
    <row r="8" customFormat="false" ht="42" hidden="false" customHeight="true" outlineLevel="0" collapsed="false">
      <c r="A8" s="66" t="s">
        <v>745</v>
      </c>
      <c r="B8" s="26" t="s">
        <v>1703</v>
      </c>
      <c r="C8" s="9" t="s">
        <v>1704</v>
      </c>
      <c r="D8" s="8" t="s">
        <v>1705</v>
      </c>
      <c r="E8" s="9" t="s">
        <v>1706</v>
      </c>
      <c r="F8" s="8" t="s">
        <v>1707</v>
      </c>
      <c r="G8" s="8" t="s">
        <v>1708</v>
      </c>
      <c r="H8" s="8" t="s">
        <v>1709</v>
      </c>
      <c r="I8" s="9" t="s">
        <v>1710</v>
      </c>
      <c r="J8" s="8" t="s">
        <v>1711</v>
      </c>
      <c r="K8" s="8" t="s">
        <v>1712</v>
      </c>
      <c r="L8" s="9" t="s">
        <v>1713</v>
      </c>
      <c r="M8" s="9" t="s">
        <v>1714</v>
      </c>
    </row>
    <row r="9" customFormat="false" ht="42" hidden="false" customHeight="true" outlineLevel="0" collapsed="false">
      <c r="A9" s="66" t="s">
        <v>1016</v>
      </c>
      <c r="B9" s="26" t="s">
        <v>1703</v>
      </c>
      <c r="C9" s="9" t="s">
        <v>1715</v>
      </c>
      <c r="D9" s="8" t="s">
        <v>1716</v>
      </c>
      <c r="E9" s="8" t="s">
        <v>1717</v>
      </c>
      <c r="F9" s="8" t="s">
        <v>1718</v>
      </c>
      <c r="G9" s="8" t="s">
        <v>1719</v>
      </c>
      <c r="H9" s="8" t="s">
        <v>1720</v>
      </c>
      <c r="I9" s="9" t="s">
        <v>1721</v>
      </c>
      <c r="J9" s="8" t="s">
        <v>1722</v>
      </c>
      <c r="K9" s="8" t="s">
        <v>1723</v>
      </c>
      <c r="L9" s="8" t="s">
        <v>1724</v>
      </c>
      <c r="M9" s="9" t="s">
        <v>1725</v>
      </c>
    </row>
    <row r="10" customFormat="false" ht="42" hidden="false" customHeight="true" outlineLevel="0" collapsed="false">
      <c r="A10" s="66" t="s">
        <v>795</v>
      </c>
      <c r="B10" s="26" t="s">
        <v>1703</v>
      </c>
      <c r="C10" s="9" t="s">
        <v>1726</v>
      </c>
      <c r="D10" s="8" t="s">
        <v>1727</v>
      </c>
      <c r="E10" s="27" t="s">
        <v>1728</v>
      </c>
      <c r="F10" s="8" t="s">
        <v>1729</v>
      </c>
      <c r="G10" s="8" t="s">
        <v>1730</v>
      </c>
      <c r="H10" s="8" t="s">
        <v>1731</v>
      </c>
      <c r="I10" s="9" t="s">
        <v>1732</v>
      </c>
      <c r="J10" s="27" t="s">
        <v>1733</v>
      </c>
      <c r="K10" s="8" t="s">
        <v>1734</v>
      </c>
      <c r="L10" s="9" t="s">
        <v>1735</v>
      </c>
      <c r="M10" s="9" t="s">
        <v>1736</v>
      </c>
    </row>
    <row r="11" customFormat="false" ht="42" hidden="false" customHeight="true" outlineLevel="0" collapsed="false">
      <c r="A11" s="66" t="s">
        <v>769</v>
      </c>
      <c r="B11" s="26" t="s">
        <v>1737</v>
      </c>
      <c r="C11" s="9" t="s">
        <v>1738</v>
      </c>
      <c r="D11" s="8" t="s">
        <v>1739</v>
      </c>
      <c r="E11" s="9" t="s">
        <v>1740</v>
      </c>
      <c r="F11" s="8" t="s">
        <v>1741</v>
      </c>
      <c r="G11" s="8" t="s">
        <v>1742</v>
      </c>
      <c r="H11" s="8" t="s">
        <v>1743</v>
      </c>
      <c r="I11" s="9" t="s">
        <v>1744</v>
      </c>
      <c r="J11" s="9" t="s">
        <v>1745</v>
      </c>
      <c r="K11" s="8" t="s">
        <v>1746</v>
      </c>
      <c r="L11" s="9" t="s">
        <v>1747</v>
      </c>
      <c r="M11" s="9" t="s">
        <v>1748</v>
      </c>
    </row>
    <row r="12" customFormat="false" ht="42" hidden="false" customHeight="true" outlineLevel="0" collapsed="false">
      <c r="A12" s="66" t="s">
        <v>782</v>
      </c>
      <c r="B12" s="26" t="s">
        <v>1737</v>
      </c>
      <c r="C12" s="9" t="s">
        <v>1749</v>
      </c>
      <c r="D12" s="8" t="s">
        <v>1750</v>
      </c>
      <c r="E12" s="8" t="s">
        <v>1751</v>
      </c>
      <c r="F12" s="8" t="s">
        <v>1752</v>
      </c>
      <c r="G12" s="8" t="s">
        <v>1753</v>
      </c>
      <c r="H12" s="8" t="s">
        <v>1754</v>
      </c>
      <c r="I12" s="9" t="s">
        <v>1755</v>
      </c>
      <c r="J12" s="8" t="s">
        <v>1756</v>
      </c>
      <c r="K12" s="8" t="s">
        <v>1757</v>
      </c>
      <c r="L12" s="9" t="s">
        <v>1758</v>
      </c>
      <c r="M12" s="9" t="s">
        <v>1759</v>
      </c>
    </row>
    <row r="13" customFormat="false" ht="54.75" hidden="false" customHeight="true" outlineLevel="0" collapsed="false">
      <c r="A13" s="66" t="s">
        <v>902</v>
      </c>
      <c r="B13" s="26" t="s">
        <v>1737</v>
      </c>
      <c r="C13" s="9" t="s">
        <v>1760</v>
      </c>
      <c r="D13" s="8" t="s">
        <v>1761</v>
      </c>
      <c r="E13" s="9" t="s">
        <v>1762</v>
      </c>
      <c r="F13" s="8" t="s">
        <v>1763</v>
      </c>
      <c r="G13" s="8" t="s">
        <v>1764</v>
      </c>
      <c r="H13" s="8" t="s">
        <v>1765</v>
      </c>
      <c r="I13" s="9" t="s">
        <v>1766</v>
      </c>
      <c r="J13" s="9" t="s">
        <v>1767</v>
      </c>
      <c r="K13" s="8" t="s">
        <v>1768</v>
      </c>
      <c r="L13" s="8" t="s">
        <v>1769</v>
      </c>
      <c r="M13" s="9" t="s">
        <v>1770</v>
      </c>
    </row>
    <row r="14" customFormat="false" ht="42" hidden="false" customHeight="true" outlineLevel="0" collapsed="false">
      <c r="A14" s="66" t="s">
        <v>934</v>
      </c>
      <c r="B14" s="26" t="s">
        <v>1737</v>
      </c>
      <c r="C14" s="9" t="s">
        <v>1771</v>
      </c>
      <c r="D14" s="8" t="s">
        <v>1772</v>
      </c>
      <c r="E14" s="9" t="s">
        <v>1773</v>
      </c>
      <c r="F14" s="8" t="s">
        <v>1774</v>
      </c>
      <c r="G14" s="8" t="s">
        <v>1775</v>
      </c>
      <c r="H14" s="8" t="s">
        <v>1776</v>
      </c>
      <c r="I14" s="9" t="s">
        <v>1777</v>
      </c>
      <c r="J14" s="9" t="s">
        <v>1778</v>
      </c>
      <c r="K14" s="8" t="s">
        <v>1779</v>
      </c>
      <c r="L14" s="9" t="s">
        <v>1780</v>
      </c>
      <c r="M14" s="9" t="s">
        <v>1781</v>
      </c>
    </row>
    <row r="15" customFormat="false" ht="42" hidden="false" customHeight="true" outlineLevel="0" collapsed="false">
      <c r="A15" s="66" t="s">
        <v>1782</v>
      </c>
      <c r="B15" s="26" t="s">
        <v>1783</v>
      </c>
      <c r="C15" s="9" t="s">
        <v>1784</v>
      </c>
      <c r="D15" s="8" t="s">
        <v>1785</v>
      </c>
      <c r="E15" s="9" t="s">
        <v>1786</v>
      </c>
      <c r="F15" s="8" t="s">
        <v>1787</v>
      </c>
      <c r="G15" s="8" t="s">
        <v>1788</v>
      </c>
      <c r="H15" s="8" t="s">
        <v>1472</v>
      </c>
      <c r="I15" s="9" t="s">
        <v>1789</v>
      </c>
      <c r="J15" s="8" t="s">
        <v>1790</v>
      </c>
      <c r="K15" s="8" t="s">
        <v>1791</v>
      </c>
      <c r="L15" s="9" t="s">
        <v>1792</v>
      </c>
      <c r="M15" s="9" t="s">
        <v>1793</v>
      </c>
    </row>
    <row r="16" customFormat="false" ht="42" hidden="false" customHeight="true" outlineLevel="0" collapsed="false">
      <c r="A16" s="66" t="s">
        <v>1263</v>
      </c>
      <c r="B16" s="24" t="s">
        <v>1794</v>
      </c>
      <c r="C16" s="9" t="s">
        <v>1795</v>
      </c>
      <c r="D16" s="8" t="s">
        <v>1796</v>
      </c>
      <c r="E16" s="27" t="s">
        <v>1797</v>
      </c>
      <c r="F16" s="8" t="s">
        <v>1798</v>
      </c>
      <c r="G16" s="8" t="s">
        <v>1799</v>
      </c>
      <c r="H16" s="8" t="s">
        <v>1800</v>
      </c>
      <c r="I16" s="9" t="s">
        <v>1801</v>
      </c>
      <c r="J16" s="8" t="s">
        <v>1802</v>
      </c>
      <c r="K16" s="8" t="s">
        <v>1803</v>
      </c>
      <c r="L16" s="8" t="s">
        <v>1804</v>
      </c>
      <c r="M16" s="27" t="s">
        <v>1805</v>
      </c>
    </row>
    <row r="17" customFormat="false" ht="67.5" hidden="false" customHeight="true" outlineLevel="0" collapsed="false">
      <c r="A17" s="66" t="s">
        <v>1411</v>
      </c>
      <c r="B17" s="24" t="s">
        <v>1806</v>
      </c>
      <c r="C17" s="9" t="s">
        <v>1807</v>
      </c>
      <c r="D17" s="8" t="s">
        <v>1808</v>
      </c>
      <c r="E17" s="8" t="s">
        <v>1809</v>
      </c>
      <c r="F17" s="8" t="s">
        <v>1810</v>
      </c>
      <c r="G17" s="8" t="s">
        <v>1811</v>
      </c>
      <c r="H17" s="8" t="s">
        <v>1812</v>
      </c>
      <c r="I17" s="9" t="s">
        <v>1813</v>
      </c>
      <c r="J17" s="8" t="s">
        <v>1814</v>
      </c>
      <c r="K17" s="8" t="s">
        <v>1815</v>
      </c>
      <c r="L17" s="9" t="s">
        <v>1816</v>
      </c>
      <c r="M17" s="9" t="s">
        <v>1817</v>
      </c>
    </row>
    <row r="18" customFormat="false" ht="54.75" hidden="false" customHeight="true" outlineLevel="0" collapsed="false">
      <c r="A18" s="66" t="s">
        <v>1135</v>
      </c>
      <c r="B18" s="26" t="s">
        <v>1818</v>
      </c>
      <c r="C18" s="9" t="s">
        <v>1819</v>
      </c>
      <c r="D18" s="8" t="s">
        <v>1820</v>
      </c>
      <c r="E18" s="9" t="s">
        <v>1821</v>
      </c>
      <c r="F18" s="8" t="s">
        <v>1822</v>
      </c>
      <c r="G18" s="8" t="s">
        <v>1823</v>
      </c>
      <c r="H18" s="8" t="s">
        <v>1134</v>
      </c>
      <c r="I18" s="9" t="s">
        <v>1824</v>
      </c>
      <c r="J18" s="9" t="s">
        <v>1825</v>
      </c>
      <c r="K18" s="8" t="s">
        <v>1826</v>
      </c>
      <c r="L18" s="27" t="s">
        <v>1827</v>
      </c>
      <c r="M18" s="27" t="s">
        <v>1828</v>
      </c>
    </row>
    <row r="19" customFormat="false" ht="42" hidden="false" customHeight="true" outlineLevel="0" collapsed="false">
      <c r="A19" s="66" t="s">
        <v>1829</v>
      </c>
      <c r="B19" s="26" t="s">
        <v>1830</v>
      </c>
      <c r="C19" s="9" t="s">
        <v>1831</v>
      </c>
      <c r="D19" s="8" t="s">
        <v>1832</v>
      </c>
      <c r="E19" s="9" t="s">
        <v>1833</v>
      </c>
      <c r="F19" s="8" t="s">
        <v>1834</v>
      </c>
      <c r="G19" s="8" t="s">
        <v>1835</v>
      </c>
      <c r="H19" s="8" t="s">
        <v>1836</v>
      </c>
      <c r="I19" s="9" t="s">
        <v>1837</v>
      </c>
      <c r="J19" s="9" t="s">
        <v>1838</v>
      </c>
      <c r="K19" s="8" t="s">
        <v>1839</v>
      </c>
      <c r="L19" s="9" t="s">
        <v>1840</v>
      </c>
      <c r="M19" s="9" t="s">
        <v>1841</v>
      </c>
    </row>
    <row r="20" customFormat="false" ht="42" hidden="false" customHeight="true" outlineLevel="0" collapsed="false">
      <c r="A20" s="66" t="s">
        <v>1449</v>
      </c>
      <c r="B20" s="26" t="s">
        <v>1842</v>
      </c>
      <c r="C20" s="9" t="s">
        <v>1843</v>
      </c>
      <c r="D20" s="8" t="s">
        <v>1844</v>
      </c>
      <c r="E20" s="9" t="s">
        <v>1845</v>
      </c>
      <c r="F20" s="8" t="s">
        <v>1846</v>
      </c>
      <c r="G20" s="8" t="s">
        <v>1847</v>
      </c>
      <c r="H20" s="8" t="s">
        <v>1448</v>
      </c>
      <c r="I20" s="9" t="s">
        <v>1848</v>
      </c>
      <c r="J20" s="8" t="s">
        <v>1849</v>
      </c>
      <c r="K20" s="8" t="s">
        <v>1850</v>
      </c>
      <c r="L20" s="9" t="s">
        <v>1851</v>
      </c>
      <c r="M20" s="8" t="s">
        <v>1852</v>
      </c>
    </row>
    <row r="21" customFormat="false" ht="42" hidden="false" customHeight="true" outlineLevel="0" collapsed="false">
      <c r="A21" s="66" t="s">
        <v>1455</v>
      </c>
      <c r="B21" s="26" t="s">
        <v>1853</v>
      </c>
      <c r="C21" s="9" t="s">
        <v>1854</v>
      </c>
      <c r="D21" s="8" t="s">
        <v>1855</v>
      </c>
      <c r="E21" s="9" t="s">
        <v>1856</v>
      </c>
      <c r="F21" s="8" t="s">
        <v>1857</v>
      </c>
      <c r="G21" s="8" t="s">
        <v>1858</v>
      </c>
      <c r="H21" s="8" t="s">
        <v>1454</v>
      </c>
      <c r="I21" s="9" t="s">
        <v>1859</v>
      </c>
      <c r="J21" s="8" t="s">
        <v>1860</v>
      </c>
      <c r="K21" s="8" t="s">
        <v>1861</v>
      </c>
      <c r="L21" s="9" t="s">
        <v>1862</v>
      </c>
      <c r="M21" s="8" t="s">
        <v>1863</v>
      </c>
    </row>
    <row r="22" customFormat="false" ht="42" hidden="false" customHeight="true" outlineLevel="0" collapsed="false">
      <c r="A22" s="66" t="s">
        <v>1461</v>
      </c>
      <c r="B22" s="26" t="s">
        <v>1737</v>
      </c>
      <c r="C22" s="9" t="s">
        <v>1864</v>
      </c>
      <c r="D22" s="8" t="s">
        <v>1865</v>
      </c>
      <c r="E22" s="9" t="s">
        <v>1866</v>
      </c>
      <c r="F22" s="8" t="s">
        <v>1867</v>
      </c>
      <c r="G22" s="8" t="s">
        <v>1868</v>
      </c>
      <c r="H22" s="8" t="s">
        <v>1460</v>
      </c>
      <c r="I22" s="9" t="s">
        <v>1869</v>
      </c>
      <c r="J22" s="9" t="s">
        <v>1870</v>
      </c>
      <c r="K22" s="8" t="s">
        <v>1871</v>
      </c>
      <c r="L22" s="9" t="s">
        <v>1872</v>
      </c>
      <c r="M22" s="9" t="s">
        <v>1873</v>
      </c>
    </row>
    <row r="24" customFormat="false" ht="18" hidden="false" customHeight="true" outlineLevel="0" collapsed="false">
      <c r="A24" s="4" t="s">
        <v>1874</v>
      </c>
      <c r="B24" s="5"/>
      <c r="C24" s="5"/>
      <c r="D24" s="5"/>
      <c r="E24" s="5"/>
      <c r="F24" s="5"/>
      <c r="G24" s="5"/>
      <c r="H24" s="5"/>
      <c r="I24" s="5"/>
      <c r="J24" s="5"/>
      <c r="K24" s="5"/>
      <c r="L24" s="5"/>
      <c r="M24" s="5"/>
    </row>
    <row r="25" customFormat="false" ht="19.5" hidden="false" customHeight="true" outlineLevel="0" collapsed="false">
      <c r="A25" s="22" t="s">
        <v>83</v>
      </c>
      <c r="B25" s="23" t="s">
        <v>1875</v>
      </c>
      <c r="C25" s="23" t="s">
        <v>1876</v>
      </c>
      <c r="D25" s="23" t="s">
        <v>1877</v>
      </c>
      <c r="E25" s="23" t="s">
        <v>1878</v>
      </c>
    </row>
    <row r="26" customFormat="false" ht="29.25" hidden="false" customHeight="true" outlineLevel="0" collapsed="false">
      <c r="A26" s="24" t="s">
        <v>1879</v>
      </c>
      <c r="B26" s="9" t="s">
        <v>1703</v>
      </c>
      <c r="C26" s="9" t="s">
        <v>1880</v>
      </c>
      <c r="D26" s="27" t="s">
        <v>1881</v>
      </c>
      <c r="E26" s="27" t="s">
        <v>1882</v>
      </c>
    </row>
    <row r="27" customFormat="false" ht="29.25" hidden="false" customHeight="true" outlineLevel="0" collapsed="false">
      <c r="A27" s="24" t="s">
        <v>1883</v>
      </c>
      <c r="B27" s="9" t="s">
        <v>1737</v>
      </c>
      <c r="C27" s="9" t="s">
        <v>1884</v>
      </c>
      <c r="D27" s="8" t="s">
        <v>1885</v>
      </c>
      <c r="E27" s="8" t="s">
        <v>1886</v>
      </c>
    </row>
    <row r="28" customFormat="false" ht="29.25" hidden="false" customHeight="true" outlineLevel="0" collapsed="false">
      <c r="A28" s="24" t="s">
        <v>1887</v>
      </c>
      <c r="B28" s="9" t="s">
        <v>446</v>
      </c>
      <c r="C28" s="9" t="s">
        <v>1888</v>
      </c>
      <c r="D28" s="9" t="s">
        <v>1889</v>
      </c>
      <c r="E28" s="9" t="s">
        <v>1890</v>
      </c>
    </row>
    <row r="29" customFormat="false" ht="42" hidden="false" customHeight="true" outlineLevel="0" collapsed="false">
      <c r="A29" s="24" t="s">
        <v>1891</v>
      </c>
      <c r="B29" s="9" t="s">
        <v>1892</v>
      </c>
      <c r="C29" s="9" t="s">
        <v>1893</v>
      </c>
      <c r="D29" s="9" t="s">
        <v>1894</v>
      </c>
      <c r="E29" s="9" t="s">
        <v>1895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Q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15" min="3" style="1" width="6"/>
    <col collapsed="false" customWidth="true" hidden="false" outlineLevel="0" max="17" min="16" style="1" width="10"/>
  </cols>
  <sheetData>
    <row r="1" customFormat="false" ht="24" hidden="false" customHeight="true" outlineLevel="0" collapsed="false">
      <c r="A1" s="21" t="s">
        <v>1896</v>
      </c>
    </row>
    <row r="2" customFormat="false" ht="15" hidden="false" customHeight="true" outlineLevel="0" collapsed="false">
      <c r="A2" s="3" t="s">
        <v>1897</v>
      </c>
    </row>
    <row r="4" customFormat="false" ht="21.75" hidden="false" customHeight="true" outlineLevel="0" collapsed="false">
      <c r="A4" s="22" t="s">
        <v>1658</v>
      </c>
      <c r="B4" s="23" t="s">
        <v>50</v>
      </c>
      <c r="C4" s="22" t="s">
        <v>324</v>
      </c>
      <c r="D4" s="22" t="s">
        <v>325</v>
      </c>
      <c r="E4" s="22" t="s">
        <v>326</v>
      </c>
      <c r="F4" s="22" t="s">
        <v>327</v>
      </c>
      <c r="G4" s="22" t="s">
        <v>328</v>
      </c>
      <c r="H4" s="22" t="s">
        <v>329</v>
      </c>
      <c r="I4" s="22" t="s">
        <v>330</v>
      </c>
      <c r="J4" s="22" t="s">
        <v>331</v>
      </c>
      <c r="K4" s="22" t="s">
        <v>332</v>
      </c>
      <c r="L4" s="22" t="s">
        <v>333</v>
      </c>
      <c r="M4" s="22" t="s">
        <v>334</v>
      </c>
      <c r="N4" s="22" t="s">
        <v>335</v>
      </c>
      <c r="O4" s="22" t="s">
        <v>336</v>
      </c>
      <c r="P4" s="23" t="s">
        <v>1898</v>
      </c>
      <c r="Q4" s="23" t="s">
        <v>1899</v>
      </c>
    </row>
    <row r="5" customFormat="false" ht="15" hidden="false" customHeight="true" outlineLevel="0" collapsed="false">
      <c r="A5" s="49" t="s">
        <v>1181</v>
      </c>
      <c r="B5" s="67" t="s">
        <v>1900</v>
      </c>
      <c r="C5" s="30"/>
      <c r="D5" s="30"/>
      <c r="E5" s="30"/>
      <c r="F5" s="30"/>
      <c r="G5" s="30"/>
      <c r="H5" s="30"/>
      <c r="I5" s="30" t="s">
        <v>1901</v>
      </c>
      <c r="J5" s="30" t="s">
        <v>1901</v>
      </c>
      <c r="K5" s="30" t="s">
        <v>1902</v>
      </c>
      <c r="L5" s="30" t="s">
        <v>1902</v>
      </c>
      <c r="M5" s="30" t="s">
        <v>1901</v>
      </c>
      <c r="N5" s="30" t="s">
        <v>1902</v>
      </c>
      <c r="O5" s="30"/>
      <c r="P5" s="31" t="n">
        <f aca="false">COUNTIF(C5:O5,"●")</f>
        <v>3</v>
      </c>
      <c r="Q5" s="31" t="n">
        <f aca="false">COUNTIF(C5:O5,"○")</f>
        <v>3</v>
      </c>
    </row>
    <row r="6" customFormat="false" ht="15" hidden="false" customHeight="true" outlineLevel="0" collapsed="false">
      <c r="A6" s="49" t="s">
        <v>1680</v>
      </c>
      <c r="B6" s="67" t="s">
        <v>1903</v>
      </c>
      <c r="C6" s="30"/>
      <c r="D6" s="30"/>
      <c r="E6" s="30"/>
      <c r="F6" s="30"/>
      <c r="G6" s="30"/>
      <c r="H6" s="30"/>
      <c r="I6" s="30"/>
      <c r="J6" s="30"/>
      <c r="K6" s="30"/>
      <c r="L6" s="30" t="s">
        <v>1902</v>
      </c>
      <c r="M6" s="30"/>
      <c r="N6" s="30" t="s">
        <v>1901</v>
      </c>
      <c r="O6" s="30"/>
      <c r="P6" s="31" t="n">
        <f aca="false">COUNTIF(C6:O6,"●")</f>
        <v>1</v>
      </c>
      <c r="Q6" s="31" t="n">
        <f aca="false">COUNTIF(C6:O6,"○")</f>
        <v>1</v>
      </c>
    </row>
    <row r="7" customFormat="false" ht="15" hidden="false" customHeight="true" outlineLevel="0" collapsed="false">
      <c r="A7" s="49" t="s">
        <v>919</v>
      </c>
      <c r="B7" s="67" t="s">
        <v>1904</v>
      </c>
      <c r="C7" s="30"/>
      <c r="D7" s="30" t="s">
        <v>1901</v>
      </c>
      <c r="E7" s="30" t="s">
        <v>1901</v>
      </c>
      <c r="F7" s="30" t="s">
        <v>1901</v>
      </c>
      <c r="G7" s="30"/>
      <c r="H7" s="30"/>
      <c r="I7" s="30" t="s">
        <v>1902</v>
      </c>
      <c r="J7" s="30" t="s">
        <v>1901</v>
      </c>
      <c r="K7" s="30" t="s">
        <v>1902</v>
      </c>
      <c r="L7" s="30" t="s">
        <v>1901</v>
      </c>
      <c r="M7" s="30"/>
      <c r="N7" s="30" t="s">
        <v>1901</v>
      </c>
      <c r="O7" s="30"/>
      <c r="P7" s="31" t="n">
        <f aca="false">COUNTIF(C7:O7,"●")</f>
        <v>2</v>
      </c>
      <c r="Q7" s="31" t="n">
        <f aca="false">COUNTIF(C7:O7,"○")</f>
        <v>6</v>
      </c>
    </row>
    <row r="8" customFormat="false" ht="15" hidden="false" customHeight="true" outlineLevel="0" collapsed="false">
      <c r="A8" s="49" t="s">
        <v>745</v>
      </c>
      <c r="B8" s="67" t="s">
        <v>1905</v>
      </c>
      <c r="C8" s="30" t="s">
        <v>1901</v>
      </c>
      <c r="D8" s="30" t="s">
        <v>1902</v>
      </c>
      <c r="E8" s="30"/>
      <c r="F8" s="30"/>
      <c r="G8" s="30"/>
      <c r="H8" s="30" t="s">
        <v>1902</v>
      </c>
      <c r="I8" s="30"/>
      <c r="J8" s="30" t="s">
        <v>1901</v>
      </c>
      <c r="K8" s="30" t="s">
        <v>1902</v>
      </c>
      <c r="L8" s="30"/>
      <c r="M8" s="30" t="s">
        <v>1902</v>
      </c>
      <c r="N8" s="30"/>
      <c r="O8" s="30" t="s">
        <v>1901</v>
      </c>
      <c r="P8" s="31" t="n">
        <f aca="false">COUNTIF(C8:O8,"●")</f>
        <v>4</v>
      </c>
      <c r="Q8" s="31" t="n">
        <f aca="false">COUNTIF(C8:O8,"○")</f>
        <v>3</v>
      </c>
    </row>
    <row r="9" customFormat="false" ht="15" hidden="false" customHeight="true" outlineLevel="0" collapsed="false">
      <c r="A9" s="49" t="s">
        <v>1016</v>
      </c>
      <c r="B9" s="67" t="s">
        <v>1906</v>
      </c>
      <c r="C9" s="30"/>
      <c r="D9" s="30"/>
      <c r="E9" s="30"/>
      <c r="F9" s="30"/>
      <c r="G9" s="30" t="s">
        <v>1902</v>
      </c>
      <c r="H9" s="30"/>
      <c r="I9" s="30"/>
      <c r="J9" s="30" t="s">
        <v>1901</v>
      </c>
      <c r="K9" s="30"/>
      <c r="L9" s="30"/>
      <c r="M9" s="30" t="s">
        <v>1901</v>
      </c>
      <c r="N9" s="30"/>
      <c r="O9" s="30" t="s">
        <v>1901</v>
      </c>
      <c r="P9" s="31" t="n">
        <f aca="false">COUNTIF(C9:O9,"●")</f>
        <v>1</v>
      </c>
      <c r="Q9" s="31" t="n">
        <f aca="false">COUNTIF(C9:O9,"○")</f>
        <v>3</v>
      </c>
    </row>
    <row r="10" customFormat="false" ht="15" hidden="false" customHeight="true" outlineLevel="0" collapsed="false">
      <c r="A10" s="49" t="s">
        <v>795</v>
      </c>
      <c r="B10" s="67" t="s">
        <v>1907</v>
      </c>
      <c r="C10" s="30"/>
      <c r="D10" s="30"/>
      <c r="E10" s="30"/>
      <c r="F10" s="30"/>
      <c r="G10" s="30"/>
      <c r="H10" s="30"/>
      <c r="I10" s="30"/>
      <c r="J10" s="30"/>
      <c r="K10" s="30"/>
      <c r="L10" s="30"/>
      <c r="M10" s="30" t="s">
        <v>1902</v>
      </c>
      <c r="N10" s="30" t="s">
        <v>1902</v>
      </c>
      <c r="O10" s="30" t="s">
        <v>1901</v>
      </c>
      <c r="P10" s="31" t="n">
        <f aca="false">COUNTIF(C10:O10,"●")</f>
        <v>2</v>
      </c>
      <c r="Q10" s="31" t="n">
        <f aca="false">COUNTIF(C10:O10,"○")</f>
        <v>1</v>
      </c>
    </row>
    <row r="11" customFormat="false" ht="15" hidden="false" customHeight="true" outlineLevel="0" collapsed="false">
      <c r="A11" s="49" t="s">
        <v>769</v>
      </c>
      <c r="B11" s="67" t="s">
        <v>1908</v>
      </c>
      <c r="C11" s="30" t="s">
        <v>1901</v>
      </c>
      <c r="D11" s="30"/>
      <c r="E11" s="30"/>
      <c r="F11" s="30"/>
      <c r="G11" s="30" t="s">
        <v>1901</v>
      </c>
      <c r="H11" s="30"/>
      <c r="I11" s="30" t="s">
        <v>1901</v>
      </c>
      <c r="J11" s="30" t="s">
        <v>1901</v>
      </c>
      <c r="K11" s="30"/>
      <c r="L11" s="30" t="s">
        <v>1901</v>
      </c>
      <c r="M11" s="30" t="s">
        <v>1902</v>
      </c>
      <c r="N11" s="30"/>
      <c r="O11" s="30" t="s">
        <v>1902</v>
      </c>
      <c r="P11" s="31" t="n">
        <f aca="false">COUNTIF(C11:O11,"●")</f>
        <v>2</v>
      </c>
      <c r="Q11" s="31" t="n">
        <f aca="false">COUNTIF(C11:O11,"○")</f>
        <v>5</v>
      </c>
    </row>
    <row r="12" customFormat="false" ht="15" hidden="false" customHeight="true" outlineLevel="0" collapsed="false">
      <c r="A12" s="49" t="s">
        <v>782</v>
      </c>
      <c r="B12" s="67" t="s">
        <v>1909</v>
      </c>
      <c r="C12" s="30" t="s">
        <v>1901</v>
      </c>
      <c r="D12" s="30"/>
      <c r="E12" s="30" t="s">
        <v>1901</v>
      </c>
      <c r="F12" s="30"/>
      <c r="G12" s="30"/>
      <c r="H12" s="30" t="s">
        <v>1902</v>
      </c>
      <c r="I12" s="30" t="s">
        <v>1902</v>
      </c>
      <c r="J12" s="30" t="s">
        <v>1901</v>
      </c>
      <c r="K12" s="30"/>
      <c r="L12" s="30" t="s">
        <v>1901</v>
      </c>
      <c r="M12" s="30" t="s">
        <v>1902</v>
      </c>
      <c r="N12" s="30"/>
      <c r="O12" s="30"/>
      <c r="P12" s="31" t="n">
        <f aca="false">COUNTIF(C12:O12,"●")</f>
        <v>3</v>
      </c>
      <c r="Q12" s="31" t="n">
        <f aca="false">COUNTIF(C12:O12,"○")</f>
        <v>4</v>
      </c>
    </row>
    <row r="13" customFormat="false" ht="15" hidden="false" customHeight="true" outlineLevel="0" collapsed="false">
      <c r="A13" s="49" t="s">
        <v>902</v>
      </c>
      <c r="B13" s="67" t="s">
        <v>1910</v>
      </c>
      <c r="C13" s="30"/>
      <c r="D13" s="30"/>
      <c r="E13" s="30" t="s">
        <v>1901</v>
      </c>
      <c r="F13" s="30"/>
      <c r="G13" s="30"/>
      <c r="H13" s="30"/>
      <c r="I13" s="30"/>
      <c r="J13" s="30"/>
      <c r="K13" s="30" t="s">
        <v>1902</v>
      </c>
      <c r="L13" s="30" t="s">
        <v>1901</v>
      </c>
      <c r="M13" s="30" t="s">
        <v>1901</v>
      </c>
      <c r="N13" s="30"/>
      <c r="O13" s="30" t="s">
        <v>1901</v>
      </c>
      <c r="P13" s="31" t="n">
        <f aca="false">COUNTIF(C13:O13,"●")</f>
        <v>1</v>
      </c>
      <c r="Q13" s="31" t="n">
        <f aca="false">COUNTIF(C13:O13,"○")</f>
        <v>4</v>
      </c>
    </row>
    <row r="14" customFormat="false" ht="15" hidden="false" customHeight="true" outlineLevel="0" collapsed="false">
      <c r="A14" s="49" t="s">
        <v>934</v>
      </c>
      <c r="B14" s="67" t="s">
        <v>1911</v>
      </c>
      <c r="C14" s="30"/>
      <c r="D14" s="30"/>
      <c r="E14" s="30" t="s">
        <v>1902</v>
      </c>
      <c r="F14" s="30"/>
      <c r="G14" s="30"/>
      <c r="H14" s="30"/>
      <c r="I14" s="30"/>
      <c r="J14" s="30"/>
      <c r="K14" s="30"/>
      <c r="L14" s="30" t="s">
        <v>1901</v>
      </c>
      <c r="M14" s="30" t="s">
        <v>1901</v>
      </c>
      <c r="N14" s="30" t="s">
        <v>1901</v>
      </c>
      <c r="O14" s="30"/>
      <c r="P14" s="31" t="n">
        <f aca="false">COUNTIF(C14:O14,"●")</f>
        <v>1</v>
      </c>
      <c r="Q14" s="31" t="n">
        <f aca="false">COUNTIF(C14:O14,"○")</f>
        <v>3</v>
      </c>
    </row>
    <row r="15" customFormat="false" ht="15" hidden="false" customHeight="true" outlineLevel="0" collapsed="false">
      <c r="A15" s="49" t="s">
        <v>1782</v>
      </c>
      <c r="B15" s="67" t="s">
        <v>1912</v>
      </c>
      <c r="C15" s="30"/>
      <c r="D15" s="30"/>
      <c r="E15" s="30"/>
      <c r="F15" s="30"/>
      <c r="G15" s="30"/>
      <c r="H15" s="30"/>
      <c r="I15" s="30"/>
      <c r="J15" s="30"/>
      <c r="K15" s="30"/>
      <c r="L15" s="30"/>
      <c r="M15" s="30"/>
      <c r="N15" s="30" t="s">
        <v>1902</v>
      </c>
      <c r="O15" s="30" t="s">
        <v>1901</v>
      </c>
      <c r="P15" s="31" t="n">
        <f aca="false">COUNTIF(C15:O15,"●")</f>
        <v>1</v>
      </c>
      <c r="Q15" s="31" t="n">
        <f aca="false">COUNTIF(C15:O15,"○")</f>
        <v>1</v>
      </c>
    </row>
    <row r="16" customFormat="false" ht="15" hidden="false" customHeight="true" outlineLevel="0" collapsed="false">
      <c r="A16" s="49" t="s">
        <v>1263</v>
      </c>
      <c r="B16" s="68" t="s">
        <v>1913</v>
      </c>
      <c r="C16" s="30"/>
      <c r="D16" s="30"/>
      <c r="E16" s="30"/>
      <c r="F16" s="30"/>
      <c r="G16" s="30"/>
      <c r="H16" s="30"/>
      <c r="I16" s="30"/>
      <c r="J16" s="30"/>
      <c r="K16" s="30" t="s">
        <v>1902</v>
      </c>
      <c r="L16" s="30"/>
      <c r="M16" s="30" t="s">
        <v>1901</v>
      </c>
      <c r="N16" s="30" t="s">
        <v>1901</v>
      </c>
      <c r="O16" s="30"/>
      <c r="P16" s="31" t="n">
        <f aca="false">COUNTIF(C16:O16,"●")</f>
        <v>1</v>
      </c>
      <c r="Q16" s="31" t="n">
        <f aca="false">COUNTIF(C16:O16,"○")</f>
        <v>2</v>
      </c>
    </row>
    <row r="17" customFormat="false" ht="15" hidden="false" customHeight="true" outlineLevel="0" collapsed="false">
      <c r="A17" s="49" t="s">
        <v>1411</v>
      </c>
      <c r="B17" s="67" t="s">
        <v>1914</v>
      </c>
      <c r="C17" s="30"/>
      <c r="D17" s="30"/>
      <c r="E17" s="30"/>
      <c r="F17" s="30"/>
      <c r="G17" s="30"/>
      <c r="H17" s="30"/>
      <c r="I17" s="30"/>
      <c r="J17" s="30"/>
      <c r="K17" s="30"/>
      <c r="L17" s="30" t="s">
        <v>1901</v>
      </c>
      <c r="M17" s="30" t="s">
        <v>1902</v>
      </c>
      <c r="N17" s="30" t="s">
        <v>1902</v>
      </c>
      <c r="O17" s="30" t="s">
        <v>1901</v>
      </c>
      <c r="P17" s="31" t="n">
        <f aca="false">COUNTIF(C17:O17,"●")</f>
        <v>2</v>
      </c>
      <c r="Q17" s="31" t="n">
        <f aca="false">COUNTIF(C17:O17,"○")</f>
        <v>2</v>
      </c>
    </row>
    <row r="18" customFormat="false" ht="15" hidden="false" customHeight="true" outlineLevel="0" collapsed="false">
      <c r="A18" s="49" t="s">
        <v>1135</v>
      </c>
      <c r="B18" s="67" t="s">
        <v>1915</v>
      </c>
      <c r="C18" s="30"/>
      <c r="D18" s="30"/>
      <c r="E18" s="30"/>
      <c r="F18" s="30"/>
      <c r="G18" s="30"/>
      <c r="H18" s="30"/>
      <c r="I18" s="30" t="s">
        <v>1902</v>
      </c>
      <c r="J18" s="30" t="s">
        <v>1901</v>
      </c>
      <c r="K18" s="30"/>
      <c r="L18" s="30" t="s">
        <v>1901</v>
      </c>
      <c r="M18" s="30"/>
      <c r="N18" s="30"/>
      <c r="O18" s="30"/>
      <c r="P18" s="31" t="n">
        <f aca="false">COUNTIF(C18:O18,"●")</f>
        <v>1</v>
      </c>
      <c r="Q18" s="31" t="n">
        <f aca="false">COUNTIF(C18:O18,"○")</f>
        <v>2</v>
      </c>
    </row>
    <row r="19" customFormat="false" ht="15" hidden="false" customHeight="true" outlineLevel="0" collapsed="false">
      <c r="A19" s="49" t="s">
        <v>1829</v>
      </c>
      <c r="B19" s="67" t="s">
        <v>1916</v>
      </c>
      <c r="C19" s="30"/>
      <c r="D19" s="30"/>
      <c r="E19" s="30"/>
      <c r="F19" s="30"/>
      <c r="G19" s="30"/>
      <c r="H19" s="30"/>
      <c r="I19" s="30"/>
      <c r="J19" s="30"/>
      <c r="K19" s="30"/>
      <c r="L19" s="30" t="s">
        <v>1902</v>
      </c>
      <c r="M19" s="30" t="s">
        <v>1901</v>
      </c>
      <c r="N19" s="30"/>
      <c r="O19" s="30" t="s">
        <v>1901</v>
      </c>
      <c r="P19" s="31" t="n">
        <f aca="false">COUNTIF(C19:O19,"●")</f>
        <v>1</v>
      </c>
      <c r="Q19" s="31" t="n">
        <f aca="false">COUNTIF(C19:O19,"○")</f>
        <v>2</v>
      </c>
    </row>
    <row r="20" customFormat="false" ht="15" hidden="false" customHeight="true" outlineLevel="0" collapsed="false">
      <c r="A20" s="49" t="s">
        <v>1449</v>
      </c>
      <c r="B20" s="67" t="s">
        <v>1917</v>
      </c>
      <c r="C20" s="30"/>
      <c r="D20" s="30"/>
      <c r="E20" s="30"/>
      <c r="F20" s="30"/>
      <c r="G20" s="30" t="s">
        <v>1901</v>
      </c>
      <c r="H20" s="30"/>
      <c r="I20" s="30"/>
      <c r="J20" s="30"/>
      <c r="K20" s="30"/>
      <c r="L20" s="30"/>
      <c r="M20" s="30"/>
      <c r="N20" s="30" t="s">
        <v>1902</v>
      </c>
      <c r="O20" s="30"/>
      <c r="P20" s="31" t="n">
        <f aca="false">COUNTIF(C20:O20,"●")</f>
        <v>1</v>
      </c>
      <c r="Q20" s="31" t="n">
        <f aca="false">COUNTIF(C20:O20,"○")</f>
        <v>1</v>
      </c>
    </row>
    <row r="21" customFormat="false" ht="15" hidden="false" customHeight="true" outlineLevel="0" collapsed="false">
      <c r="A21" s="49" t="s">
        <v>1455</v>
      </c>
      <c r="B21" s="67" t="s">
        <v>1918</v>
      </c>
      <c r="C21" s="30"/>
      <c r="D21" s="30"/>
      <c r="E21" s="30"/>
      <c r="F21" s="30"/>
      <c r="G21" s="30"/>
      <c r="H21" s="30"/>
      <c r="I21" s="30" t="s">
        <v>1901</v>
      </c>
      <c r="J21" s="30"/>
      <c r="K21" s="30"/>
      <c r="L21" s="30"/>
      <c r="M21" s="30"/>
      <c r="N21" s="30" t="s">
        <v>1902</v>
      </c>
      <c r="O21" s="30"/>
      <c r="P21" s="31" t="n">
        <f aca="false">COUNTIF(C21:O21,"●")</f>
        <v>1</v>
      </c>
      <c r="Q21" s="31" t="n">
        <f aca="false">COUNTIF(C21:O21,"○")</f>
        <v>1</v>
      </c>
    </row>
    <row r="22" customFormat="false" ht="15" hidden="false" customHeight="true" outlineLevel="0" collapsed="false">
      <c r="A22" s="49" t="s">
        <v>1461</v>
      </c>
      <c r="B22" s="67" t="s">
        <v>1919</v>
      </c>
      <c r="C22" s="30" t="s">
        <v>1901</v>
      </c>
      <c r="D22" s="30"/>
      <c r="E22" s="30"/>
      <c r="F22" s="30"/>
      <c r="G22" s="30"/>
      <c r="H22" s="30"/>
      <c r="I22" s="30"/>
      <c r="J22" s="30"/>
      <c r="K22" s="30"/>
      <c r="L22" s="30"/>
      <c r="M22" s="30"/>
      <c r="N22" s="30" t="s">
        <v>1902</v>
      </c>
      <c r="O22" s="30"/>
      <c r="P22" s="31" t="n">
        <f aca="false">COUNTIF(C22:O22,"●")</f>
        <v>1</v>
      </c>
      <c r="Q22" s="31" t="n">
        <f aca="false">COUNTIF(C22:O22,"○")</f>
        <v>1</v>
      </c>
    </row>
    <row r="23" customFormat="false" ht="15" hidden="false" customHeight="true" outlineLevel="0" collapsed="false">
      <c r="A23" s="69"/>
      <c r="B23" s="46" t="s">
        <v>1920</v>
      </c>
      <c r="C23" s="52" t="n">
        <f aca="false">COUNTIF(C5:C22,"●")</f>
        <v>0</v>
      </c>
      <c r="D23" s="52" t="n">
        <f aca="false">COUNTIF(D5:D22,"●")</f>
        <v>1</v>
      </c>
      <c r="E23" s="52" t="n">
        <f aca="false">COUNTIF(E5:E22,"●")</f>
        <v>1</v>
      </c>
      <c r="F23" s="52" t="n">
        <f aca="false">COUNTIF(F5:F22,"●")</f>
        <v>0</v>
      </c>
      <c r="G23" s="52" t="n">
        <f aca="false">COUNTIF(G5:G22,"●")</f>
        <v>1</v>
      </c>
      <c r="H23" s="52" t="n">
        <f aca="false">COUNTIF(H5:H22,"●")</f>
        <v>2</v>
      </c>
      <c r="I23" s="52" t="n">
        <f aca="false">COUNTIF(I5:I22,"●")</f>
        <v>3</v>
      </c>
      <c r="J23" s="52" t="n">
        <f aca="false">COUNTIF(J5:J22,"●")</f>
        <v>0</v>
      </c>
      <c r="K23" s="52" t="n">
        <f aca="false">COUNTIF(K5:K22,"●")</f>
        <v>5</v>
      </c>
      <c r="L23" s="52" t="n">
        <f aca="false">COUNTIF(L5:L22,"●")</f>
        <v>3</v>
      </c>
      <c r="M23" s="52" t="n">
        <f aca="false">COUNTIF(M5:M22,"●")</f>
        <v>5</v>
      </c>
      <c r="N23" s="52" t="n">
        <f aca="false">COUNTIF(N5:N22,"●")</f>
        <v>7</v>
      </c>
      <c r="O23" s="52" t="n">
        <f aca="false">COUNTIF(O5:O22,"●")</f>
        <v>1</v>
      </c>
      <c r="P23" s="52" t="n">
        <f aca="false">SUM(P5:P22)</f>
        <v>29</v>
      </c>
      <c r="Q23" s="69"/>
    </row>
    <row r="24" customFormat="false" ht="15" hidden="false" customHeight="true" outlineLevel="0" collapsed="false">
      <c r="A24" s="69"/>
      <c r="B24" s="46" t="s">
        <v>1921</v>
      </c>
      <c r="C24" s="52" t="n">
        <f aca="false">COUNTIF(C5:C22,"○")</f>
        <v>4</v>
      </c>
      <c r="D24" s="52" t="n">
        <f aca="false">COUNTIF(D5:D22,"○")</f>
        <v>1</v>
      </c>
      <c r="E24" s="52" t="n">
        <f aca="false">COUNTIF(E5:E22,"○")</f>
        <v>3</v>
      </c>
      <c r="F24" s="52" t="n">
        <f aca="false">COUNTIF(F5:F22,"○")</f>
        <v>1</v>
      </c>
      <c r="G24" s="52" t="n">
        <f aca="false">COUNTIF(G5:G22,"○")</f>
        <v>2</v>
      </c>
      <c r="H24" s="52" t="n">
        <f aca="false">COUNTIF(H5:H22,"○")</f>
        <v>0</v>
      </c>
      <c r="I24" s="52" t="n">
        <f aca="false">COUNTIF(I5:I22,"○")</f>
        <v>3</v>
      </c>
      <c r="J24" s="52" t="n">
        <f aca="false">COUNTIF(J5:J22,"○")</f>
        <v>7</v>
      </c>
      <c r="K24" s="52" t="n">
        <f aca="false">COUNTIF(K5:K22,"○")</f>
        <v>0</v>
      </c>
      <c r="L24" s="52" t="n">
        <f aca="false">COUNTIF(L5:L22,"○")</f>
        <v>7</v>
      </c>
      <c r="M24" s="52" t="n">
        <f aca="false">COUNTIF(M5:M22,"○")</f>
        <v>6</v>
      </c>
      <c r="N24" s="52" t="n">
        <f aca="false">COUNTIF(N5:N22,"○")</f>
        <v>4</v>
      </c>
      <c r="O24" s="52" t="n">
        <f aca="false">COUNTIF(O5:O22,"○")</f>
        <v>7</v>
      </c>
      <c r="P24" s="69"/>
      <c r="Q24" s="52" t="n">
        <f aca="false">SUM(Q5:Q22)</f>
        <v>45</v>
      </c>
    </row>
    <row r="26" customFormat="false" ht="29.25" hidden="false" customHeight="true" outlineLevel="0" collapsed="false">
      <c r="A26" s="60" t="s">
        <v>1922</v>
      </c>
      <c r="B26" s="60"/>
      <c r="C26" s="60"/>
      <c r="D26" s="60"/>
      <c r="E26" s="60"/>
      <c r="F26" s="60"/>
      <c r="G26" s="60"/>
      <c r="H26" s="60"/>
      <c r="I26" s="60"/>
      <c r="J26" s="60"/>
      <c r="K26" s="60"/>
      <c r="L26" s="60"/>
      <c r="M26" s="60"/>
      <c r="N26" s="60"/>
      <c r="O26" s="60"/>
      <c r="P26" s="60"/>
      <c r="Q26" s="60"/>
    </row>
    <row r="27" customFormat="false" ht="16.5" hidden="false" customHeight="true" outlineLevel="0" collapsed="false">
      <c r="A27" s="60" t="s">
        <v>1923</v>
      </c>
      <c r="B27" s="60"/>
      <c r="C27" s="60"/>
      <c r="D27" s="60"/>
      <c r="E27" s="60"/>
      <c r="F27" s="60"/>
      <c r="G27" s="60"/>
      <c r="H27" s="60"/>
      <c r="I27" s="60"/>
      <c r="J27" s="60"/>
      <c r="K27" s="60"/>
      <c r="L27" s="60"/>
      <c r="M27" s="60"/>
      <c r="N27" s="60"/>
      <c r="O27" s="60"/>
      <c r="P27" s="60"/>
      <c r="Q27" s="60"/>
    </row>
  </sheetData>
  <mergeCells count="2">
    <mergeCell ref="A26:Q26"/>
    <mergeCell ref="A27:Q27"/>
  </mergeCells>
  <conditionalFormatting sqref="C5:O22">
    <cfRule type="cellIs" priority="2" operator="equal" aboveAverage="0" equalAverage="0" bottom="0" percent="0" rank="0" text="" dxfId="3">
      <formula>"●"</formula>
    </cfRule>
    <cfRule type="cellIs" priority="3" operator="equal" aboveAverage="0" equalAverage="0" bottom="0" percent="0" rank="0" text="" dxfId="4">
      <formul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G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62"/>
    <col collapsed="false" customWidth="true" hidden="false" outlineLevel="0" max="4" min="4" style="1" width="34"/>
    <col collapsed="false" customWidth="true" hidden="false" outlineLevel="0" max="5" min="5" style="1" width="20"/>
    <col collapsed="false" customWidth="true" hidden="false" outlineLevel="0" max="6" min="6" style="1" width="38"/>
    <col collapsed="false" customWidth="true" hidden="false" outlineLevel="0" max="7" min="7" style="1" width="18"/>
  </cols>
  <sheetData>
    <row r="1" customFormat="false" ht="24" hidden="false" customHeight="true" outlineLevel="0" collapsed="false">
      <c r="A1" s="21" t="s">
        <v>1924</v>
      </c>
    </row>
    <row r="2" customFormat="false" ht="15" hidden="false" customHeight="true" outlineLevel="0" collapsed="false">
      <c r="A2" s="3" t="s">
        <v>1925</v>
      </c>
    </row>
    <row r="4" customFormat="false" ht="19.5" hidden="false" customHeight="true" outlineLevel="0" collapsed="false">
      <c r="A4" s="23" t="s">
        <v>1926</v>
      </c>
      <c r="B4" s="23" t="s">
        <v>1927</v>
      </c>
      <c r="C4" s="23" t="s">
        <v>395</v>
      </c>
      <c r="D4" s="23" t="s">
        <v>1928</v>
      </c>
      <c r="E4" s="23" t="s">
        <v>1929</v>
      </c>
      <c r="F4" s="23" t="s">
        <v>1666</v>
      </c>
      <c r="G4" s="23" t="s">
        <v>1930</v>
      </c>
    </row>
    <row r="5" customFormat="false" ht="39" hidden="false" customHeight="true" outlineLevel="0" collapsed="false">
      <c r="A5" s="6" t="s">
        <v>1931</v>
      </c>
      <c r="B5" s="9" t="s">
        <v>1932</v>
      </c>
      <c r="C5" s="9" t="s">
        <v>1933</v>
      </c>
      <c r="D5" s="9" t="s">
        <v>1934</v>
      </c>
      <c r="E5" s="8" t="s">
        <v>1935</v>
      </c>
      <c r="F5" s="8" t="s">
        <v>1936</v>
      </c>
      <c r="G5" s="9" t="s">
        <v>1937</v>
      </c>
    </row>
    <row r="6" customFormat="false" ht="26.25" hidden="false" customHeight="true" outlineLevel="0" collapsed="false">
      <c r="A6" s="6" t="s">
        <v>1931</v>
      </c>
      <c r="B6" s="9" t="s">
        <v>1938</v>
      </c>
      <c r="C6" s="9" t="s">
        <v>1939</v>
      </c>
      <c r="D6" s="9" t="s">
        <v>1940</v>
      </c>
      <c r="E6" s="8" t="s">
        <v>1941</v>
      </c>
      <c r="F6" s="8" t="s">
        <v>1942</v>
      </c>
      <c r="G6" s="9" t="s">
        <v>1937</v>
      </c>
    </row>
    <row r="7" customFormat="false" ht="26.25" hidden="false" customHeight="true" outlineLevel="0" collapsed="false">
      <c r="A7" s="6" t="s">
        <v>1931</v>
      </c>
      <c r="B7" s="9" t="s">
        <v>1943</v>
      </c>
      <c r="C7" s="9" t="s">
        <v>1944</v>
      </c>
      <c r="D7" s="8" t="s">
        <v>1945</v>
      </c>
      <c r="E7" s="8" t="s">
        <v>1946</v>
      </c>
      <c r="F7" s="8" t="s">
        <v>1947</v>
      </c>
      <c r="G7" s="9" t="s">
        <v>1937</v>
      </c>
    </row>
    <row r="8" customFormat="false" ht="26.25" hidden="false" customHeight="true" outlineLevel="0" collapsed="false">
      <c r="A8" s="6" t="s">
        <v>1931</v>
      </c>
      <c r="B8" s="9" t="s">
        <v>1948</v>
      </c>
      <c r="C8" s="9" t="s">
        <v>1949</v>
      </c>
      <c r="D8" s="9" t="s">
        <v>1950</v>
      </c>
      <c r="E8" s="8" t="s">
        <v>1951</v>
      </c>
      <c r="F8" s="8" t="s">
        <v>1952</v>
      </c>
      <c r="G8" s="9" t="s">
        <v>1937</v>
      </c>
    </row>
    <row r="9" customFormat="false" ht="39" hidden="false" customHeight="true" outlineLevel="0" collapsed="false">
      <c r="A9" s="6" t="s">
        <v>1931</v>
      </c>
      <c r="B9" s="9" t="s">
        <v>1953</v>
      </c>
      <c r="C9" s="9" t="s">
        <v>1954</v>
      </c>
      <c r="D9" s="9" t="s">
        <v>1955</v>
      </c>
      <c r="E9" s="8" t="s">
        <v>1956</v>
      </c>
      <c r="F9" s="8" t="s">
        <v>1957</v>
      </c>
      <c r="G9" s="9" t="s">
        <v>1937</v>
      </c>
    </row>
    <row r="10" customFormat="false" ht="26.25" hidden="false" customHeight="true" outlineLevel="0" collapsed="false">
      <c r="A10" s="6" t="s">
        <v>1931</v>
      </c>
      <c r="B10" s="9" t="s">
        <v>1958</v>
      </c>
      <c r="C10" s="9" t="s">
        <v>1959</v>
      </c>
      <c r="D10" s="8" t="s">
        <v>1960</v>
      </c>
      <c r="E10" s="8" t="s">
        <v>1961</v>
      </c>
      <c r="F10" s="8" t="s">
        <v>1962</v>
      </c>
      <c r="G10" s="9" t="s">
        <v>1937</v>
      </c>
    </row>
    <row r="11" customFormat="false" ht="26.25" hidden="false" customHeight="true" outlineLevel="0" collapsed="false">
      <c r="A11" s="6" t="s">
        <v>1931</v>
      </c>
      <c r="B11" s="9" t="s">
        <v>1963</v>
      </c>
      <c r="C11" s="9" t="s">
        <v>1964</v>
      </c>
      <c r="D11" s="8" t="s">
        <v>1965</v>
      </c>
      <c r="E11" s="8" t="s">
        <v>1966</v>
      </c>
      <c r="F11" s="8" t="s">
        <v>1967</v>
      </c>
      <c r="G11" s="9" t="s">
        <v>1968</v>
      </c>
    </row>
    <row r="12" customFormat="false" ht="39" hidden="false" customHeight="true" outlineLevel="0" collapsed="false">
      <c r="A12" s="6" t="s">
        <v>1931</v>
      </c>
      <c r="B12" s="9" t="s">
        <v>1969</v>
      </c>
      <c r="C12" s="9" t="s">
        <v>1970</v>
      </c>
      <c r="D12" s="9" t="s">
        <v>1971</v>
      </c>
      <c r="E12" s="8" t="s">
        <v>1972</v>
      </c>
      <c r="F12" s="8" t="s">
        <v>1973</v>
      </c>
      <c r="G12" s="9" t="s">
        <v>1937</v>
      </c>
    </row>
    <row r="13" customFormat="false" ht="26.25" hidden="false" customHeight="true" outlineLevel="0" collapsed="false">
      <c r="A13" s="6" t="s">
        <v>1931</v>
      </c>
      <c r="B13" s="9" t="s">
        <v>1974</v>
      </c>
      <c r="C13" s="9" t="s">
        <v>1975</v>
      </c>
      <c r="D13" s="8" t="s">
        <v>1976</v>
      </c>
      <c r="E13" s="8" t="s">
        <v>1977</v>
      </c>
      <c r="F13" s="8" t="s">
        <v>1978</v>
      </c>
      <c r="G13" s="9" t="s">
        <v>1979</v>
      </c>
    </row>
    <row r="14" customFormat="false" ht="15" hidden="false" customHeight="true" outlineLevel="0" collapsed="false">
      <c r="A14" s="6" t="s">
        <v>1931</v>
      </c>
      <c r="B14" s="9" t="s">
        <v>1980</v>
      </c>
      <c r="C14" s="9" t="s">
        <v>1981</v>
      </c>
      <c r="D14" s="8" t="s">
        <v>1982</v>
      </c>
      <c r="E14" s="8" t="s">
        <v>1983</v>
      </c>
      <c r="F14" s="8" t="s">
        <v>1984</v>
      </c>
      <c r="G14" s="9" t="s">
        <v>1985</v>
      </c>
    </row>
    <row r="15" customFormat="false" ht="26.25" hidden="false" customHeight="true" outlineLevel="0" collapsed="false">
      <c r="A15" s="6" t="s">
        <v>1931</v>
      </c>
      <c r="B15" s="9" t="s">
        <v>1986</v>
      </c>
      <c r="C15" s="9" t="s">
        <v>1987</v>
      </c>
      <c r="D15" s="9" t="s">
        <v>1988</v>
      </c>
      <c r="E15" s="8" t="s">
        <v>1989</v>
      </c>
      <c r="F15" s="8" t="s">
        <v>1990</v>
      </c>
      <c r="G15" s="9" t="s">
        <v>1937</v>
      </c>
    </row>
    <row r="16" customFormat="false" ht="26.25" hidden="false" customHeight="true" outlineLevel="0" collapsed="false">
      <c r="A16" s="6" t="s">
        <v>1931</v>
      </c>
      <c r="B16" s="9" t="s">
        <v>1991</v>
      </c>
      <c r="C16" s="9" t="s">
        <v>1992</v>
      </c>
      <c r="D16" s="8" t="s">
        <v>1993</v>
      </c>
      <c r="E16" s="8" t="s">
        <v>1994</v>
      </c>
      <c r="F16" s="8" t="s">
        <v>1995</v>
      </c>
      <c r="G16" s="9" t="s">
        <v>1937</v>
      </c>
    </row>
    <row r="17" customFormat="false" ht="26.25" hidden="false" customHeight="true" outlineLevel="0" collapsed="false">
      <c r="A17" s="6" t="s">
        <v>1931</v>
      </c>
      <c r="B17" s="9" t="s">
        <v>1996</v>
      </c>
      <c r="C17" s="9" t="s">
        <v>1997</v>
      </c>
      <c r="D17" s="8" t="s">
        <v>1998</v>
      </c>
      <c r="E17" s="8" t="s">
        <v>1999</v>
      </c>
      <c r="F17" s="8" t="s">
        <v>2000</v>
      </c>
      <c r="G17" s="9" t="s">
        <v>1937</v>
      </c>
    </row>
    <row r="18" customFormat="false" ht="37.5" hidden="false" customHeight="true" outlineLevel="0" collapsed="false">
      <c r="A18" s="6" t="s">
        <v>2001</v>
      </c>
      <c r="B18" s="9" t="s">
        <v>2002</v>
      </c>
      <c r="C18" s="9" t="s">
        <v>2003</v>
      </c>
      <c r="D18" s="9" t="s">
        <v>2004</v>
      </c>
      <c r="E18" s="8" t="s">
        <v>2005</v>
      </c>
      <c r="F18" s="8" t="s">
        <v>2006</v>
      </c>
      <c r="G18" s="9" t="s">
        <v>1937</v>
      </c>
    </row>
    <row r="19" customFormat="false" ht="26.25" hidden="false" customHeight="true" outlineLevel="0" collapsed="false">
      <c r="A19" s="6" t="s">
        <v>2001</v>
      </c>
      <c r="B19" s="9" t="s">
        <v>2007</v>
      </c>
      <c r="C19" s="9" t="s">
        <v>2008</v>
      </c>
      <c r="D19" s="9" t="s">
        <v>2009</v>
      </c>
      <c r="E19" s="8" t="s">
        <v>2010</v>
      </c>
      <c r="F19" s="8" t="s">
        <v>2011</v>
      </c>
      <c r="G19" s="9" t="s">
        <v>2012</v>
      </c>
    </row>
    <row r="20" customFormat="false" ht="26.25" hidden="false" customHeight="true" outlineLevel="0" collapsed="false">
      <c r="A20" s="6" t="s">
        <v>2001</v>
      </c>
      <c r="B20" s="9" t="s">
        <v>2013</v>
      </c>
      <c r="C20" s="9" t="s">
        <v>2014</v>
      </c>
      <c r="D20" s="9" t="s">
        <v>2015</v>
      </c>
      <c r="E20" s="8" t="s">
        <v>2016</v>
      </c>
      <c r="F20" s="8" t="s">
        <v>2017</v>
      </c>
      <c r="G20" s="9" t="s">
        <v>1937</v>
      </c>
    </row>
    <row r="21" customFormat="false" ht="26.25" hidden="false" customHeight="true" outlineLevel="0" collapsed="false">
      <c r="A21" s="6" t="s">
        <v>2001</v>
      </c>
      <c r="B21" s="9" t="s">
        <v>2018</v>
      </c>
      <c r="C21" s="9" t="s">
        <v>2019</v>
      </c>
      <c r="D21" s="9" t="s">
        <v>2020</v>
      </c>
      <c r="E21" s="8" t="s">
        <v>2021</v>
      </c>
      <c r="F21" s="8" t="s">
        <v>2022</v>
      </c>
      <c r="G21" s="9" t="s">
        <v>1937</v>
      </c>
    </row>
    <row r="22" customFormat="false" ht="39" hidden="false" customHeight="true" outlineLevel="0" collapsed="false">
      <c r="A22" s="6" t="s">
        <v>2001</v>
      </c>
      <c r="B22" s="9" t="s">
        <v>2023</v>
      </c>
      <c r="C22" s="9" t="s">
        <v>2024</v>
      </c>
      <c r="D22" s="9" t="s">
        <v>2025</v>
      </c>
      <c r="E22" s="8" t="s">
        <v>2026</v>
      </c>
      <c r="F22" s="8" t="s">
        <v>2027</v>
      </c>
      <c r="G22" s="9" t="s">
        <v>1937</v>
      </c>
    </row>
    <row r="23" customFormat="false" ht="26.25" hidden="false" customHeight="true" outlineLevel="0" collapsed="false">
      <c r="A23" s="6" t="s">
        <v>2001</v>
      </c>
      <c r="B23" s="9" t="s">
        <v>2028</v>
      </c>
      <c r="C23" s="9" t="s">
        <v>2029</v>
      </c>
      <c r="D23" s="9" t="s">
        <v>2030</v>
      </c>
      <c r="E23" s="8" t="s">
        <v>2005</v>
      </c>
      <c r="F23" s="8" t="s">
        <v>2031</v>
      </c>
      <c r="G23" s="9" t="s">
        <v>1937</v>
      </c>
    </row>
    <row r="24" customFormat="false" ht="26.25" hidden="false" customHeight="true" outlineLevel="0" collapsed="false">
      <c r="A24" s="6" t="s">
        <v>2001</v>
      </c>
      <c r="B24" s="9" t="s">
        <v>2032</v>
      </c>
      <c r="C24" s="9" t="s">
        <v>2033</v>
      </c>
      <c r="D24" s="9" t="s">
        <v>2034</v>
      </c>
      <c r="E24" s="8" t="s">
        <v>2035</v>
      </c>
      <c r="F24" s="8" t="s">
        <v>2036</v>
      </c>
      <c r="G24" s="9" t="s">
        <v>1937</v>
      </c>
    </row>
    <row r="25" customFormat="false" ht="39" hidden="false" customHeight="true" outlineLevel="0" collapsed="false">
      <c r="A25" s="6" t="s">
        <v>2037</v>
      </c>
      <c r="B25" s="9" t="s">
        <v>2038</v>
      </c>
      <c r="C25" s="9" t="s">
        <v>2039</v>
      </c>
      <c r="D25" s="9" t="s">
        <v>2040</v>
      </c>
      <c r="E25" s="8" t="s">
        <v>2041</v>
      </c>
      <c r="F25" s="8" t="s">
        <v>2042</v>
      </c>
      <c r="G25" s="9" t="s">
        <v>2043</v>
      </c>
    </row>
    <row r="26" customFormat="false" ht="26.25" hidden="false" customHeight="true" outlineLevel="0" collapsed="false">
      <c r="A26" s="6" t="s">
        <v>2037</v>
      </c>
      <c r="B26" s="9" t="s">
        <v>2044</v>
      </c>
      <c r="C26" s="9" t="s">
        <v>2045</v>
      </c>
      <c r="D26" s="9" t="s">
        <v>2046</v>
      </c>
      <c r="E26" s="8" t="s">
        <v>2047</v>
      </c>
      <c r="F26" s="8" t="s">
        <v>2048</v>
      </c>
      <c r="G26" s="9" t="s">
        <v>2049</v>
      </c>
    </row>
    <row r="27" customFormat="false" ht="26.25" hidden="false" customHeight="true" outlineLevel="0" collapsed="false">
      <c r="A27" s="6" t="s">
        <v>2037</v>
      </c>
      <c r="B27" s="9" t="s">
        <v>2050</v>
      </c>
      <c r="C27" s="9" t="s">
        <v>2051</v>
      </c>
      <c r="D27" s="9" t="s">
        <v>2052</v>
      </c>
      <c r="E27" s="8" t="s">
        <v>2053</v>
      </c>
      <c r="F27" s="8" t="s">
        <v>2054</v>
      </c>
      <c r="G27" s="9" t="s">
        <v>1937</v>
      </c>
    </row>
    <row r="28" customFormat="false" ht="26.25" hidden="false" customHeight="true" outlineLevel="0" collapsed="false">
      <c r="A28" s="6" t="s">
        <v>2037</v>
      </c>
      <c r="B28" s="9" t="s">
        <v>2055</v>
      </c>
      <c r="C28" s="9" t="s">
        <v>2056</v>
      </c>
      <c r="D28" s="8" t="s">
        <v>2057</v>
      </c>
      <c r="E28" s="8" t="s">
        <v>2005</v>
      </c>
      <c r="F28" s="8" t="s">
        <v>2058</v>
      </c>
      <c r="G28" s="9" t="s">
        <v>1937</v>
      </c>
    </row>
    <row r="29" customFormat="false" ht="26.25" hidden="false" customHeight="true" outlineLevel="0" collapsed="false">
      <c r="A29" s="6" t="s">
        <v>2037</v>
      </c>
      <c r="B29" s="9" t="s">
        <v>2059</v>
      </c>
      <c r="C29" s="9" t="s">
        <v>2060</v>
      </c>
      <c r="D29" s="9" t="s">
        <v>2061</v>
      </c>
      <c r="E29" s="8" t="s">
        <v>2062</v>
      </c>
      <c r="F29" s="8" t="s">
        <v>2063</v>
      </c>
      <c r="G29" s="9" t="s">
        <v>1937</v>
      </c>
    </row>
    <row r="30" customFormat="false" ht="26.25" hidden="false" customHeight="true" outlineLevel="0" collapsed="false">
      <c r="A30" s="6" t="s">
        <v>2037</v>
      </c>
      <c r="B30" s="9" t="s">
        <v>2064</v>
      </c>
      <c r="C30" s="9" t="s">
        <v>2065</v>
      </c>
      <c r="D30" s="9" t="s">
        <v>2066</v>
      </c>
      <c r="E30" s="8" t="s">
        <v>2067</v>
      </c>
      <c r="F30" s="8" t="s">
        <v>2068</v>
      </c>
      <c r="G30" s="9" t="s">
        <v>1937</v>
      </c>
    </row>
    <row r="31" customFormat="false" ht="26.25" hidden="false" customHeight="true" outlineLevel="0" collapsed="false">
      <c r="A31" s="6" t="s">
        <v>2037</v>
      </c>
      <c r="B31" s="9" t="s">
        <v>2069</v>
      </c>
      <c r="C31" s="9" t="s">
        <v>2070</v>
      </c>
      <c r="D31" s="8" t="s">
        <v>2071</v>
      </c>
      <c r="E31" s="8" t="s">
        <v>2072</v>
      </c>
      <c r="F31" s="8" t="s">
        <v>2073</v>
      </c>
      <c r="G31" s="9" t="s">
        <v>1937</v>
      </c>
    </row>
    <row r="32" customFormat="false" ht="26.25" hidden="false" customHeight="true" outlineLevel="0" collapsed="false">
      <c r="A32" s="6" t="s">
        <v>2074</v>
      </c>
      <c r="B32" s="9" t="s">
        <v>2075</v>
      </c>
      <c r="C32" s="9" t="s">
        <v>2076</v>
      </c>
      <c r="D32" s="9" t="s">
        <v>2077</v>
      </c>
      <c r="E32" s="8" t="s">
        <v>2078</v>
      </c>
      <c r="F32" s="8" t="s">
        <v>2079</v>
      </c>
      <c r="G32" s="9" t="s">
        <v>1937</v>
      </c>
    </row>
    <row r="33" customFormat="false" ht="26.25" hidden="false" customHeight="true" outlineLevel="0" collapsed="false">
      <c r="A33" s="6" t="s">
        <v>2074</v>
      </c>
      <c r="B33" s="9" t="s">
        <v>2080</v>
      </c>
      <c r="C33" s="9" t="s">
        <v>2081</v>
      </c>
      <c r="D33" s="9" t="s">
        <v>2082</v>
      </c>
      <c r="E33" s="8" t="s">
        <v>1977</v>
      </c>
      <c r="F33" s="8" t="s">
        <v>2083</v>
      </c>
      <c r="G33" s="9" t="s">
        <v>1937</v>
      </c>
    </row>
    <row r="34" customFormat="false" ht="26.25" hidden="false" customHeight="true" outlineLevel="0" collapsed="false">
      <c r="A34" s="6" t="s">
        <v>2074</v>
      </c>
      <c r="B34" s="9" t="s">
        <v>2084</v>
      </c>
      <c r="C34" s="9" t="s">
        <v>2085</v>
      </c>
      <c r="D34" s="8" t="s">
        <v>2086</v>
      </c>
      <c r="E34" s="8" t="s">
        <v>2087</v>
      </c>
      <c r="F34" s="8" t="s">
        <v>2088</v>
      </c>
      <c r="G34" s="9" t="s">
        <v>1937</v>
      </c>
    </row>
    <row r="35" customFormat="false" ht="26.25" hidden="false" customHeight="true" outlineLevel="0" collapsed="false">
      <c r="A35" s="6" t="s">
        <v>2074</v>
      </c>
      <c r="B35" s="9" t="s">
        <v>2089</v>
      </c>
      <c r="C35" s="9" t="s">
        <v>2090</v>
      </c>
      <c r="D35" s="8" t="s">
        <v>2091</v>
      </c>
      <c r="E35" s="8" t="s">
        <v>2092</v>
      </c>
      <c r="F35" s="8" t="s">
        <v>2093</v>
      </c>
      <c r="G35" s="9" t="s">
        <v>1937</v>
      </c>
    </row>
    <row r="36" customFormat="false" ht="26.25" hidden="false" customHeight="true" outlineLevel="0" collapsed="false">
      <c r="A36" s="6" t="s">
        <v>2074</v>
      </c>
      <c r="B36" s="9" t="s">
        <v>2094</v>
      </c>
      <c r="C36" s="9" t="s">
        <v>2095</v>
      </c>
      <c r="D36" s="9" t="s">
        <v>2096</v>
      </c>
      <c r="E36" s="8" t="s">
        <v>2097</v>
      </c>
      <c r="F36" s="8" t="s">
        <v>2098</v>
      </c>
      <c r="G36" s="9" t="s">
        <v>2099</v>
      </c>
    </row>
    <row r="37" customFormat="false" ht="26.25" hidden="false" customHeight="true" outlineLevel="0" collapsed="false">
      <c r="A37" s="6" t="s">
        <v>1853</v>
      </c>
      <c r="B37" s="9" t="s">
        <v>2100</v>
      </c>
      <c r="C37" s="9" t="s">
        <v>2101</v>
      </c>
      <c r="D37" s="9" t="s">
        <v>2102</v>
      </c>
      <c r="E37" s="8" t="s">
        <v>2103</v>
      </c>
      <c r="F37" s="8" t="s">
        <v>2104</v>
      </c>
      <c r="G37" s="9" t="s">
        <v>1937</v>
      </c>
    </row>
    <row r="38" customFormat="false" ht="37.5" hidden="false" customHeight="true" outlineLevel="0" collapsed="false">
      <c r="A38" s="6" t="s">
        <v>1853</v>
      </c>
      <c r="B38" s="9" t="s">
        <v>2105</v>
      </c>
      <c r="C38" s="9" t="s">
        <v>2106</v>
      </c>
      <c r="D38" s="9" t="s">
        <v>2107</v>
      </c>
      <c r="E38" s="8" t="s">
        <v>2108</v>
      </c>
      <c r="F38" s="8" t="s">
        <v>1149</v>
      </c>
      <c r="G38" s="9" t="s">
        <v>1937</v>
      </c>
    </row>
    <row r="39" customFormat="false" ht="26.25" hidden="false" customHeight="true" outlineLevel="0" collapsed="false">
      <c r="A39" s="6" t="s">
        <v>1853</v>
      </c>
      <c r="B39" s="9" t="s">
        <v>2109</v>
      </c>
      <c r="C39" s="9" t="s">
        <v>2110</v>
      </c>
      <c r="D39" s="8" t="s">
        <v>2111</v>
      </c>
      <c r="E39" s="8" t="s">
        <v>2112</v>
      </c>
      <c r="F39" s="8" t="s">
        <v>2113</v>
      </c>
      <c r="G39" s="9" t="s">
        <v>1937</v>
      </c>
    </row>
    <row r="40" customFormat="false" ht="26.25" hidden="false" customHeight="true" outlineLevel="0" collapsed="false">
      <c r="A40" s="6" t="s">
        <v>1853</v>
      </c>
      <c r="B40" s="9" t="s">
        <v>2114</v>
      </c>
      <c r="C40" s="9" t="s">
        <v>2115</v>
      </c>
      <c r="D40" s="9" t="s">
        <v>2116</v>
      </c>
      <c r="E40" s="8" t="s">
        <v>2117</v>
      </c>
      <c r="F40" s="8" t="s">
        <v>2118</v>
      </c>
      <c r="G40" s="9" t="s">
        <v>1937</v>
      </c>
    </row>
    <row r="41" customFormat="false" ht="26.25" hidden="false" customHeight="true" outlineLevel="0" collapsed="false">
      <c r="A41" s="6" t="s">
        <v>1853</v>
      </c>
      <c r="B41" s="9" t="s">
        <v>2119</v>
      </c>
      <c r="C41" s="9" t="s">
        <v>2120</v>
      </c>
      <c r="D41" s="8" t="s">
        <v>2121</v>
      </c>
      <c r="E41" s="8" t="s">
        <v>2122</v>
      </c>
      <c r="F41" s="8" t="s">
        <v>2123</v>
      </c>
      <c r="G41" s="9" t="s">
        <v>1937</v>
      </c>
    </row>
    <row r="42" customFormat="false" ht="39" hidden="false" customHeight="true" outlineLevel="0" collapsed="false">
      <c r="A42" s="70" t="s">
        <v>1794</v>
      </c>
      <c r="B42" s="27" t="s">
        <v>2124</v>
      </c>
      <c r="C42" s="27" t="s">
        <v>2125</v>
      </c>
      <c r="D42" s="8" t="s">
        <v>2126</v>
      </c>
      <c r="E42" s="8" t="s">
        <v>2127</v>
      </c>
      <c r="F42" s="8" t="s">
        <v>2128</v>
      </c>
      <c r="G42" s="9" t="s">
        <v>2129</v>
      </c>
    </row>
    <row r="43" customFormat="false" ht="39" hidden="false" customHeight="true" outlineLevel="0" collapsed="false">
      <c r="A43" s="6" t="s">
        <v>2074</v>
      </c>
      <c r="B43" s="9" t="s">
        <v>2130</v>
      </c>
      <c r="C43" s="9" t="s">
        <v>2131</v>
      </c>
      <c r="D43" s="8" t="s">
        <v>2132</v>
      </c>
      <c r="E43" s="8" t="s">
        <v>2133</v>
      </c>
      <c r="F43" s="8" t="s">
        <v>2134</v>
      </c>
      <c r="G43" s="9" t="s">
        <v>1937</v>
      </c>
    </row>
    <row r="44" customFormat="false" ht="26.25" hidden="false" customHeight="true" outlineLevel="0" collapsed="false">
      <c r="A44" s="6" t="s">
        <v>1737</v>
      </c>
      <c r="B44" s="9" t="s">
        <v>2135</v>
      </c>
      <c r="C44" s="9" t="s">
        <v>2136</v>
      </c>
      <c r="D44" s="8" t="s">
        <v>2137</v>
      </c>
      <c r="E44" s="8" t="s">
        <v>2138</v>
      </c>
      <c r="F44" s="8" t="s">
        <v>2139</v>
      </c>
      <c r="G44" s="9" t="s">
        <v>2140</v>
      </c>
    </row>
    <row r="45" customFormat="false" ht="26.25" hidden="false" customHeight="true" outlineLevel="0" collapsed="false">
      <c r="A45" s="6" t="s">
        <v>1737</v>
      </c>
      <c r="B45" s="9" t="s">
        <v>2141</v>
      </c>
      <c r="C45" s="9" t="s">
        <v>2142</v>
      </c>
      <c r="D45" s="9" t="s">
        <v>2143</v>
      </c>
      <c r="E45" s="8" t="s">
        <v>2144</v>
      </c>
      <c r="F45" s="8" t="s">
        <v>2145</v>
      </c>
      <c r="G45" s="9" t="s">
        <v>2146</v>
      </c>
    </row>
    <row r="46" customFormat="false" ht="26.25" hidden="false" customHeight="true" outlineLevel="0" collapsed="false">
      <c r="A46" s="6" t="s">
        <v>1853</v>
      </c>
      <c r="B46" s="9" t="s">
        <v>2147</v>
      </c>
      <c r="C46" s="9" t="s">
        <v>2148</v>
      </c>
      <c r="D46" s="9" t="s">
        <v>2149</v>
      </c>
      <c r="E46" s="8" t="s">
        <v>1635</v>
      </c>
      <c r="F46" s="8" t="s">
        <v>2150</v>
      </c>
      <c r="G46" s="9" t="s">
        <v>1937</v>
      </c>
    </row>
    <row r="47" customFormat="false" ht="26.25" hidden="false" customHeight="true" outlineLevel="0" collapsed="false">
      <c r="A47" s="6" t="s">
        <v>1853</v>
      </c>
      <c r="B47" s="9" t="s">
        <v>2151</v>
      </c>
      <c r="C47" s="27" t="s">
        <v>2152</v>
      </c>
      <c r="D47" s="9" t="s">
        <v>2153</v>
      </c>
      <c r="E47" s="8" t="s">
        <v>2154</v>
      </c>
      <c r="F47" s="8" t="s">
        <v>2155</v>
      </c>
      <c r="G47" s="9" t="s">
        <v>2156</v>
      </c>
    </row>
    <row r="48" customFormat="false" ht="26.25" hidden="false" customHeight="true" outlineLevel="0" collapsed="false">
      <c r="A48" s="70" t="s">
        <v>1794</v>
      </c>
      <c r="B48" s="9" t="s">
        <v>2157</v>
      </c>
      <c r="C48" s="9" t="s">
        <v>2158</v>
      </c>
      <c r="D48" s="8" t="s">
        <v>2159</v>
      </c>
      <c r="E48" s="8" t="s">
        <v>2160</v>
      </c>
      <c r="F48" s="8" t="s">
        <v>2161</v>
      </c>
      <c r="G48" s="9" t="s">
        <v>2162</v>
      </c>
    </row>
    <row r="49" customFormat="false" ht="51.75" hidden="false" customHeight="true" outlineLevel="0" collapsed="false">
      <c r="A49" s="70" t="s">
        <v>1806</v>
      </c>
      <c r="B49" s="9" t="s">
        <v>2163</v>
      </c>
      <c r="C49" s="27" t="s">
        <v>2164</v>
      </c>
      <c r="D49" s="8" t="s">
        <v>2165</v>
      </c>
      <c r="E49" s="8" t="s">
        <v>2166</v>
      </c>
      <c r="F49" s="8" t="s">
        <v>2167</v>
      </c>
      <c r="G49" s="9" t="s">
        <v>2168</v>
      </c>
    </row>
    <row r="50" customFormat="false" ht="39" hidden="false" customHeight="true" outlineLevel="0" collapsed="false">
      <c r="A50" s="6" t="s">
        <v>2074</v>
      </c>
      <c r="B50" s="9" t="s">
        <v>2169</v>
      </c>
      <c r="C50" s="9" t="s">
        <v>2170</v>
      </c>
      <c r="D50" s="8" t="s">
        <v>2171</v>
      </c>
      <c r="E50" s="8" t="s">
        <v>2172</v>
      </c>
      <c r="F50" s="8" t="s">
        <v>2173</v>
      </c>
      <c r="G50" s="9" t="s">
        <v>2174</v>
      </c>
    </row>
    <row r="51" customFormat="false" ht="26.25" hidden="false" customHeight="true" outlineLevel="0" collapsed="false">
      <c r="A51" s="6" t="s">
        <v>1737</v>
      </c>
      <c r="B51" s="9" t="s">
        <v>2175</v>
      </c>
      <c r="C51" s="9" t="s">
        <v>2176</v>
      </c>
      <c r="D51" s="8" t="s">
        <v>2177</v>
      </c>
      <c r="E51" s="8" t="s">
        <v>2178</v>
      </c>
      <c r="F51" s="8" t="s">
        <v>2179</v>
      </c>
      <c r="G51" s="9" t="s">
        <v>1937</v>
      </c>
    </row>
    <row r="52" customFormat="false" ht="26.25" hidden="false" customHeight="true" outlineLevel="0" collapsed="false">
      <c r="A52" s="6" t="s">
        <v>2037</v>
      </c>
      <c r="B52" s="9" t="s">
        <v>2180</v>
      </c>
      <c r="C52" s="9" t="s">
        <v>2181</v>
      </c>
      <c r="D52" s="9" t="s">
        <v>2182</v>
      </c>
      <c r="E52" s="8" t="s">
        <v>2183</v>
      </c>
      <c r="F52" s="8" t="s">
        <v>2184</v>
      </c>
      <c r="G52" s="9" t="s">
        <v>1937</v>
      </c>
    </row>
    <row r="53" customFormat="false" ht="26.25" hidden="false" customHeight="true" outlineLevel="0" collapsed="false">
      <c r="A53" s="6" t="s">
        <v>2037</v>
      </c>
      <c r="B53" s="9" t="s">
        <v>2185</v>
      </c>
      <c r="C53" s="9" t="s">
        <v>2186</v>
      </c>
      <c r="D53" s="8" t="s">
        <v>2187</v>
      </c>
      <c r="E53" s="8" t="s">
        <v>2026</v>
      </c>
      <c r="F53" s="8" t="s">
        <v>2188</v>
      </c>
      <c r="G53" s="9" t="s">
        <v>1937</v>
      </c>
    </row>
    <row r="55" customFormat="false" ht="15" hidden="false" customHeight="true" outlineLevel="0" collapsed="false">
      <c r="A55" s="60" t="s">
        <v>2189</v>
      </c>
      <c r="B55" s="60"/>
      <c r="C55" s="60"/>
      <c r="D55" s="60"/>
      <c r="E55" s="60"/>
      <c r="F55" s="60"/>
      <c r="G55" s="60"/>
    </row>
  </sheetData>
  <mergeCells count="1">
    <mergeCell ref="A55:G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F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3" min="3" style="1" width="46"/>
    <col collapsed="false" customWidth="true" hidden="false" outlineLevel="0" max="4" min="4" style="1" width="30"/>
    <col collapsed="false" customWidth="true" hidden="false" outlineLevel="0" max="5" min="5" style="1" width="34"/>
    <col collapsed="false" customWidth="true" hidden="false" outlineLevel="0" max="6" min="6" style="1" width="6"/>
  </cols>
  <sheetData>
    <row r="1" customFormat="false" ht="24" hidden="false" customHeight="true" outlineLevel="0" collapsed="false">
      <c r="A1" s="21" t="s">
        <v>2190</v>
      </c>
    </row>
    <row r="2" customFormat="false" ht="15" hidden="false" customHeight="true" outlineLevel="0" collapsed="false">
      <c r="A2" s="20" t="s">
        <v>2191</v>
      </c>
    </row>
    <row r="4" customFormat="false" ht="15" hidden="false" customHeight="true" outlineLevel="0" collapsed="false">
      <c r="A4" s="39" t="s">
        <v>2192</v>
      </c>
    </row>
    <row r="5" customFormat="false" ht="15" hidden="false" customHeight="true" outlineLevel="0" collapsed="false">
      <c r="A5" s="23" t="s">
        <v>2193</v>
      </c>
      <c r="B5" s="23" t="s">
        <v>2194</v>
      </c>
      <c r="C5" s="23" t="s">
        <v>2195</v>
      </c>
      <c r="D5" s="23" t="s">
        <v>1927</v>
      </c>
      <c r="E5" s="23" t="s">
        <v>1930</v>
      </c>
    </row>
    <row r="6" customFormat="false" ht="26.25" hidden="false" customHeight="true" outlineLevel="0" collapsed="false">
      <c r="A6" s="24" t="s">
        <v>1879</v>
      </c>
      <c r="B6" s="24" t="s">
        <v>2196</v>
      </c>
      <c r="C6" s="24" t="s">
        <v>2197</v>
      </c>
      <c r="D6" s="26" t="s">
        <v>2198</v>
      </c>
      <c r="E6" s="26" t="s">
        <v>2199</v>
      </c>
    </row>
    <row r="7" customFormat="false" ht="26.25" hidden="false" customHeight="true" outlineLevel="0" collapsed="false">
      <c r="A7" s="24" t="s">
        <v>1883</v>
      </c>
      <c r="B7" s="24" t="s">
        <v>2200</v>
      </c>
      <c r="C7" s="26" t="s">
        <v>2201</v>
      </c>
      <c r="D7" s="26" t="s">
        <v>2202</v>
      </c>
      <c r="E7" s="26" t="s">
        <v>2199</v>
      </c>
    </row>
    <row r="8" customFormat="false" ht="26.25" hidden="false" customHeight="true" outlineLevel="0" collapsed="false">
      <c r="A8" s="24" t="s">
        <v>1887</v>
      </c>
      <c r="B8" s="24" t="s">
        <v>2203</v>
      </c>
      <c r="C8" s="26" t="s">
        <v>2204</v>
      </c>
      <c r="D8" s="26" t="s">
        <v>2205</v>
      </c>
      <c r="E8" s="26" t="s">
        <v>2206</v>
      </c>
    </row>
    <row r="9" customFormat="false" ht="15" hidden="false" customHeight="true" outlineLevel="0" collapsed="false">
      <c r="A9" s="24" t="s">
        <v>1891</v>
      </c>
      <c r="B9" s="24" t="s">
        <v>1983</v>
      </c>
      <c r="C9" s="26" t="s">
        <v>2207</v>
      </c>
      <c r="D9" s="24" t="s">
        <v>2208</v>
      </c>
      <c r="E9" s="26" t="s">
        <v>2209</v>
      </c>
    </row>
    <row r="10" customFormat="false" ht="26.25" hidden="false" customHeight="true" outlineLevel="0" collapsed="false">
      <c r="A10" s="24" t="s">
        <v>2210</v>
      </c>
      <c r="B10" s="24" t="s">
        <v>2211</v>
      </c>
      <c r="C10" s="24" t="s">
        <v>2212</v>
      </c>
      <c r="D10" s="26" t="s">
        <v>2213</v>
      </c>
      <c r="E10" s="26" t="s">
        <v>2199</v>
      </c>
    </row>
    <row r="11" customFormat="false" ht="26.25" hidden="false" customHeight="true" outlineLevel="0" collapsed="false">
      <c r="A11" s="24" t="s">
        <v>2214</v>
      </c>
      <c r="B11" s="24" t="s">
        <v>2215</v>
      </c>
      <c r="C11" s="24" t="s">
        <v>2216</v>
      </c>
      <c r="D11" s="26" t="s">
        <v>2217</v>
      </c>
      <c r="E11" s="26" t="s">
        <v>2199</v>
      </c>
    </row>
    <row r="12" customFormat="false" ht="26.25" hidden="false" customHeight="true" outlineLevel="0" collapsed="false">
      <c r="A12" s="24" t="s">
        <v>2218</v>
      </c>
      <c r="B12" s="24" t="s">
        <v>2219</v>
      </c>
      <c r="C12" s="26" t="s">
        <v>2220</v>
      </c>
      <c r="D12" s="26" t="s">
        <v>2221</v>
      </c>
      <c r="E12" s="26" t="s">
        <v>2199</v>
      </c>
    </row>
    <row r="13" customFormat="false" ht="15" hidden="false" customHeight="true" outlineLevel="0" collapsed="false">
      <c r="A13" s="24" t="s">
        <v>2222</v>
      </c>
      <c r="B13" s="24" t="s">
        <v>2010</v>
      </c>
      <c r="C13" s="26" t="s">
        <v>2223</v>
      </c>
      <c r="D13" s="26" t="s">
        <v>2224</v>
      </c>
      <c r="E13" s="26" t="s">
        <v>2225</v>
      </c>
    </row>
    <row r="14" customFormat="false" ht="26.25" hidden="false" customHeight="true" outlineLevel="0" collapsed="false">
      <c r="A14" s="24" t="s">
        <v>2226</v>
      </c>
      <c r="B14" s="24" t="s">
        <v>2227</v>
      </c>
      <c r="C14" s="26" t="s">
        <v>2228</v>
      </c>
      <c r="D14" s="26" t="s">
        <v>2229</v>
      </c>
      <c r="E14" s="26" t="s">
        <v>2230</v>
      </c>
    </row>
    <row r="15" customFormat="false" ht="15" hidden="false" customHeight="true" outlineLevel="0" collapsed="false">
      <c r="A15" s="24" t="s">
        <v>2231</v>
      </c>
      <c r="B15" s="24" t="s">
        <v>2232</v>
      </c>
      <c r="C15" s="26" t="s">
        <v>2233</v>
      </c>
      <c r="D15" s="26" t="s">
        <v>2234</v>
      </c>
      <c r="E15" s="26" t="s">
        <v>2199</v>
      </c>
    </row>
    <row r="16" customFormat="false" ht="15" hidden="false" customHeight="true" outlineLevel="0" collapsed="false">
      <c r="A16" s="24" t="s">
        <v>2235</v>
      </c>
      <c r="B16" s="24" t="s">
        <v>2236</v>
      </c>
      <c r="C16" s="26" t="s">
        <v>2237</v>
      </c>
      <c r="D16" s="26" t="s">
        <v>1352</v>
      </c>
      <c r="E16" s="26" t="s">
        <v>2238</v>
      </c>
    </row>
    <row r="17" customFormat="false" ht="15" hidden="false" customHeight="true" outlineLevel="0" collapsed="false">
      <c r="A17" s="24" t="s">
        <v>2239</v>
      </c>
      <c r="B17" s="24" t="s">
        <v>2240</v>
      </c>
      <c r="C17" s="24" t="s">
        <v>2241</v>
      </c>
      <c r="D17" s="26" t="s">
        <v>2242</v>
      </c>
      <c r="E17" s="24" t="s">
        <v>294</v>
      </c>
    </row>
    <row r="18" customFormat="false" ht="26.25" hidden="false" customHeight="true" outlineLevel="0" collapsed="false">
      <c r="A18" s="24" t="s">
        <v>2243</v>
      </c>
      <c r="B18" s="24" t="s">
        <v>2244</v>
      </c>
      <c r="C18" s="24" t="s">
        <v>2245</v>
      </c>
      <c r="D18" s="26" t="s">
        <v>2246</v>
      </c>
      <c r="E18" s="26" t="s">
        <v>2199</v>
      </c>
    </row>
    <row r="19" customFormat="false" ht="15" hidden="false" customHeight="true" outlineLevel="0" collapsed="false">
      <c r="A19" s="24" t="s">
        <v>2247</v>
      </c>
      <c r="B19" s="24" t="s">
        <v>2248</v>
      </c>
      <c r="C19" s="26" t="s">
        <v>2249</v>
      </c>
      <c r="D19" s="24" t="s">
        <v>2250</v>
      </c>
      <c r="E19" s="26" t="s">
        <v>2199</v>
      </c>
    </row>
    <row r="20" customFormat="false" ht="26.25" hidden="false" customHeight="true" outlineLevel="0" collapsed="false">
      <c r="A20" s="24" t="s">
        <v>2251</v>
      </c>
      <c r="B20" s="24" t="s">
        <v>2252</v>
      </c>
      <c r="C20" s="26" t="s">
        <v>2253</v>
      </c>
      <c r="D20" s="26" t="s">
        <v>2254</v>
      </c>
      <c r="E20" s="26" t="s">
        <v>2199</v>
      </c>
    </row>
    <row r="21" customFormat="false" ht="15" hidden="false" customHeight="true" outlineLevel="0" collapsed="false">
      <c r="A21" s="24" t="s">
        <v>2255</v>
      </c>
      <c r="B21" s="24" t="s">
        <v>2062</v>
      </c>
      <c r="C21" s="26" t="s">
        <v>2256</v>
      </c>
      <c r="D21" s="26" t="s">
        <v>2257</v>
      </c>
      <c r="E21" s="26" t="s">
        <v>2199</v>
      </c>
    </row>
    <row r="22" customFormat="false" ht="26.25" hidden="false" customHeight="true" outlineLevel="0" collapsed="false">
      <c r="A22" s="24" t="s">
        <v>2258</v>
      </c>
      <c r="B22" s="24" t="s">
        <v>2133</v>
      </c>
      <c r="C22" s="26" t="s">
        <v>2259</v>
      </c>
      <c r="D22" s="24" t="s">
        <v>2260</v>
      </c>
      <c r="E22" s="26" t="s">
        <v>2199</v>
      </c>
    </row>
    <row r="23" customFormat="false" ht="26.25" hidden="false" customHeight="true" outlineLevel="0" collapsed="false">
      <c r="A23" s="24" t="s">
        <v>2261</v>
      </c>
      <c r="B23" s="24" t="s">
        <v>2026</v>
      </c>
      <c r="C23" s="26" t="s">
        <v>2262</v>
      </c>
      <c r="D23" s="24" t="s">
        <v>2263</v>
      </c>
      <c r="E23" s="26" t="s">
        <v>2199</v>
      </c>
    </row>
    <row r="24" customFormat="false" ht="15" hidden="false" customHeight="true" outlineLevel="0" collapsed="false">
      <c r="A24" s="24" t="s">
        <v>2264</v>
      </c>
      <c r="B24" s="24" t="s">
        <v>2265</v>
      </c>
      <c r="C24" s="26" t="s">
        <v>2266</v>
      </c>
      <c r="D24" s="26" t="s">
        <v>2267</v>
      </c>
      <c r="E24" s="26" t="s">
        <v>2199</v>
      </c>
    </row>
    <row r="26" customFormat="false" ht="15" hidden="false" customHeight="true" outlineLevel="0" collapsed="false">
      <c r="A26" s="39" t="s">
        <v>2268</v>
      </c>
    </row>
    <row r="27" customFormat="false" ht="15" hidden="false" customHeight="true" outlineLevel="0" collapsed="false">
      <c r="A27" s="23" t="s">
        <v>86</v>
      </c>
      <c r="B27" s="23" t="s">
        <v>2269</v>
      </c>
      <c r="C27" s="23" t="s">
        <v>2270</v>
      </c>
      <c r="D27" s="23" t="s">
        <v>2271</v>
      </c>
    </row>
    <row r="28" customFormat="false" ht="15" hidden="false" customHeight="true" outlineLevel="0" collapsed="false">
      <c r="A28" s="24" t="s">
        <v>2272</v>
      </c>
      <c r="B28" s="24" t="s">
        <v>2273</v>
      </c>
      <c r="C28" s="26" t="s">
        <v>2274</v>
      </c>
      <c r="D28" s="26" t="s">
        <v>2275</v>
      </c>
    </row>
    <row r="29" customFormat="false" ht="26.25" hidden="false" customHeight="true" outlineLevel="0" collapsed="false">
      <c r="A29" s="24" t="s">
        <v>2276</v>
      </c>
      <c r="B29" s="24" t="s">
        <v>2277</v>
      </c>
      <c r="C29" s="26" t="s">
        <v>2278</v>
      </c>
      <c r="D29" s="26" t="s">
        <v>2279</v>
      </c>
    </row>
    <row r="30" customFormat="false" ht="26.25" hidden="false" customHeight="true" outlineLevel="0" collapsed="false">
      <c r="A30" s="24" t="s">
        <v>2280</v>
      </c>
      <c r="B30" s="24" t="s">
        <v>2281</v>
      </c>
      <c r="C30" s="26" t="s">
        <v>2282</v>
      </c>
      <c r="D30" s="26" t="s">
        <v>2283</v>
      </c>
    </row>
    <row r="31" customFormat="false" ht="15" hidden="false" customHeight="true" outlineLevel="0" collapsed="false">
      <c r="A31" s="24" t="s">
        <v>2284</v>
      </c>
      <c r="B31" s="24" t="s">
        <v>2285</v>
      </c>
      <c r="C31" s="26" t="s">
        <v>2286</v>
      </c>
      <c r="D31" s="24" t="s">
        <v>2287</v>
      </c>
    </row>
    <row r="32" customFormat="false" ht="15" hidden="false" customHeight="true" outlineLevel="0" collapsed="false">
      <c r="A32" s="24" t="s">
        <v>2288</v>
      </c>
      <c r="B32" s="24" t="s">
        <v>2289</v>
      </c>
      <c r="C32" s="26" t="s">
        <v>2290</v>
      </c>
      <c r="D32" s="26" t="s">
        <v>2291</v>
      </c>
    </row>
    <row r="33" customFormat="false" ht="26.25" hidden="false" customHeight="true" outlineLevel="0" collapsed="false">
      <c r="A33" s="24" t="s">
        <v>2292</v>
      </c>
      <c r="B33" s="24" t="s">
        <v>2293</v>
      </c>
      <c r="C33" s="26" t="s">
        <v>2294</v>
      </c>
      <c r="D33" s="26" t="s">
        <v>2295</v>
      </c>
    </row>
    <row r="35" customFormat="false" ht="15" hidden="false" customHeight="true" outlineLevel="0" collapsed="false">
      <c r="A35" s="39" t="s">
        <v>2296</v>
      </c>
    </row>
    <row r="36" customFormat="false" ht="15" hidden="false" customHeight="true" outlineLevel="0" collapsed="false">
      <c r="A36" s="23" t="s">
        <v>2297</v>
      </c>
      <c r="B36" s="23" t="s">
        <v>2298</v>
      </c>
      <c r="C36" s="23" t="s">
        <v>2299</v>
      </c>
      <c r="D36" s="23"/>
      <c r="E36" s="23" t="s">
        <v>2300</v>
      </c>
    </row>
    <row r="37" customFormat="false" ht="15" hidden="false" customHeight="true" outlineLevel="0" collapsed="false">
      <c r="A37" s="49" t="s">
        <v>2276</v>
      </c>
      <c r="B37" s="30" t="n">
        <v>145</v>
      </c>
      <c r="C37" s="30" t="s">
        <v>2301</v>
      </c>
      <c r="D37" s="71"/>
      <c r="E37" s="71"/>
    </row>
    <row r="38" customFormat="false" ht="15" hidden="false" customHeight="true" outlineLevel="0" collapsed="false">
      <c r="A38" s="49" t="s">
        <v>2280</v>
      </c>
      <c r="B38" s="30" t="n">
        <v>105</v>
      </c>
      <c r="C38" s="30" t="s">
        <v>83</v>
      </c>
      <c r="D38" s="71"/>
      <c r="E38" s="71"/>
    </row>
    <row r="39" customFormat="false" ht="15" hidden="false" customHeight="true" outlineLevel="0" collapsed="false">
      <c r="A39" s="49" t="s">
        <v>2272</v>
      </c>
      <c r="B39" s="30" t="n">
        <v>70</v>
      </c>
      <c r="C39" s="30" t="s">
        <v>83</v>
      </c>
      <c r="D39" s="71"/>
      <c r="E39" s="71"/>
    </row>
    <row r="40" customFormat="false" ht="15" hidden="false" customHeight="true" outlineLevel="0" collapsed="false">
      <c r="A40" s="49" t="s">
        <v>2284</v>
      </c>
      <c r="B40" s="30" t="n">
        <v>40</v>
      </c>
      <c r="C40" s="30" t="s">
        <v>2301</v>
      </c>
      <c r="D40" s="71"/>
      <c r="E40" s="71"/>
    </row>
    <row r="41" customFormat="false" ht="15" hidden="false" customHeight="true" outlineLevel="0" collapsed="false">
      <c r="A41" s="49" t="s">
        <v>2288</v>
      </c>
      <c r="B41" s="30" t="n">
        <v>15</v>
      </c>
      <c r="C41" s="30" t="s">
        <v>83</v>
      </c>
      <c r="D41" s="71"/>
      <c r="E41" s="71"/>
    </row>
    <row r="42" customFormat="false" ht="15" hidden="false" customHeight="true" outlineLevel="0" collapsed="false">
      <c r="A42" s="49" t="s">
        <v>2292</v>
      </c>
      <c r="B42" s="30" t="n">
        <v>25</v>
      </c>
      <c r="C42" s="30" t="s">
        <v>2302</v>
      </c>
      <c r="D42" s="71"/>
      <c r="E42" s="71"/>
    </row>
    <row r="43" customFormat="false" ht="15" hidden="false" customHeight="true" outlineLevel="0" collapsed="false">
      <c r="A43" s="72" t="s">
        <v>2303</v>
      </c>
      <c r="B43" s="73" t="n">
        <f aca="false">SUM(B37:B42)</f>
        <v>400</v>
      </c>
      <c r="C43" s="73"/>
      <c r="D43" s="73"/>
      <c r="E43" s="73" t="str">
        <f aca="false">IF(B43=400,"400석 OK","400석과 불일치")</f>
        <v>400석 OK</v>
      </c>
    </row>
    <row r="44" customFormat="false" ht="15" hidden="false" customHeight="true" outlineLevel="0" collapsed="false">
      <c r="A44" s="72" t="s">
        <v>2304</v>
      </c>
      <c r="B44" s="73" t="n">
        <f aca="false">INT(B43/2)+1</f>
        <v>201</v>
      </c>
      <c r="C44" s="73"/>
      <c r="D44" s="73"/>
      <c r="E44" s="73"/>
    </row>
    <row r="45" customFormat="false" ht="15" hidden="false" customHeight="true" outlineLevel="0" collapsed="false">
      <c r="A45" s="72" t="s">
        <v>2305</v>
      </c>
      <c r="B45" s="73"/>
      <c r="C45" s="73" t="n">
        <f aca="false">SUMIF(C37:C42,"Sì",$B$37:$B$42)</f>
        <v>185</v>
      </c>
      <c r="D45" s="73"/>
      <c r="E45" s="73"/>
    </row>
    <row r="46" customFormat="false" ht="15" hidden="false" customHeight="true" outlineLevel="0" collapsed="false">
      <c r="A46" s="72" t="s">
        <v>2306</v>
      </c>
      <c r="B46" s="73"/>
      <c r="C46" s="73" t="n">
        <f aca="false">SUMIF(C37:C42,"No",$B$37:$B$42)</f>
        <v>190</v>
      </c>
      <c r="D46" s="73"/>
      <c r="E46" s="73"/>
    </row>
    <row r="47" customFormat="false" ht="15" hidden="false" customHeight="true" outlineLevel="0" collapsed="false">
      <c r="A47" s="72" t="s">
        <v>2307</v>
      </c>
      <c r="B47" s="73"/>
      <c r="C47" s="73" t="n">
        <f aca="false">SUMIF(C37:C42,"Astenuto",$B$37:$B$42)</f>
        <v>25</v>
      </c>
      <c r="D47" s="73"/>
      <c r="E47" s="73"/>
    </row>
    <row r="48" customFormat="false" ht="15" hidden="false" customHeight="true" outlineLevel="0" collapsed="false">
      <c r="A48" s="72" t="s">
        <v>2308</v>
      </c>
      <c r="B48" s="73"/>
      <c r="C48" s="73" t="n">
        <f aca="false">SUMIF(C37:C42,"Assente",$B$37:$B$42)</f>
        <v>0</v>
      </c>
      <c r="D48" s="73"/>
      <c r="E48" s="73"/>
    </row>
    <row r="49" customFormat="false" ht="15" hidden="false" customHeight="true" outlineLevel="0" collapsed="false">
      <c r="A49" s="72" t="s">
        <v>2309</v>
      </c>
      <c r="B49" s="73"/>
      <c r="C49" s="73" t="str">
        <f aca="false">IF(C45&gt;C46,"신임 가결","신임 부결")</f>
        <v>신임 부결</v>
      </c>
      <c r="D49" s="73"/>
      <c r="E49" s="74" t="s">
        <v>2310</v>
      </c>
    </row>
    <row r="50" customFormat="false" ht="48" hidden="false" customHeight="true" outlineLevel="0" collapsed="false">
      <c r="A50" s="60" t="s">
        <v>2311</v>
      </c>
      <c r="B50" s="60"/>
      <c r="C50" s="60"/>
      <c r="D50" s="60"/>
      <c r="E50" s="60"/>
      <c r="F50" s="60"/>
    </row>
    <row r="52" customFormat="false" ht="15" hidden="false" customHeight="true" outlineLevel="0" collapsed="false">
      <c r="A52" s="39" t="s">
        <v>2312</v>
      </c>
    </row>
    <row r="53" customFormat="false" ht="15" hidden="false" customHeight="true" outlineLevel="0" collapsed="false">
      <c r="A53" s="23" t="s">
        <v>2297</v>
      </c>
      <c r="B53" s="23" t="s">
        <v>2313</v>
      </c>
      <c r="C53" s="23" t="s">
        <v>2314</v>
      </c>
      <c r="D53" s="23" t="s">
        <v>2315</v>
      </c>
      <c r="E53" s="23" t="s">
        <v>2316</v>
      </c>
    </row>
    <row r="54" customFormat="false" ht="15" hidden="false" customHeight="true" outlineLevel="0" collapsed="false">
      <c r="A54" s="49" t="s">
        <v>2272</v>
      </c>
      <c r="B54" s="30" t="n">
        <v>130</v>
      </c>
      <c r="C54" s="30" t="s">
        <v>2301</v>
      </c>
      <c r="D54" s="30" t="n">
        <v>64</v>
      </c>
      <c r="E54" s="30" t="s">
        <v>2301</v>
      </c>
    </row>
    <row r="55" customFormat="false" ht="15" hidden="false" customHeight="true" outlineLevel="0" collapsed="false">
      <c r="A55" s="49" t="s">
        <v>2276</v>
      </c>
      <c r="B55" s="30" t="n">
        <v>122</v>
      </c>
      <c r="C55" s="30" t="s">
        <v>83</v>
      </c>
      <c r="D55" s="30" t="n">
        <v>62</v>
      </c>
      <c r="E55" s="30" t="s">
        <v>83</v>
      </c>
    </row>
    <row r="56" customFormat="false" ht="15" hidden="false" customHeight="true" outlineLevel="0" collapsed="false">
      <c r="A56" s="49" t="s">
        <v>2280</v>
      </c>
      <c r="B56" s="30" t="n">
        <v>52</v>
      </c>
      <c r="C56" s="30" t="s">
        <v>2301</v>
      </c>
      <c r="D56" s="30" t="n">
        <v>26</v>
      </c>
      <c r="E56" s="30" t="s">
        <v>2301</v>
      </c>
    </row>
    <row r="57" customFormat="false" ht="15" hidden="false" customHeight="true" outlineLevel="0" collapsed="false">
      <c r="A57" s="49" t="s">
        <v>2284</v>
      </c>
      <c r="B57" s="30" t="n">
        <v>38</v>
      </c>
      <c r="C57" s="30" t="s">
        <v>83</v>
      </c>
      <c r="D57" s="30" t="n">
        <v>19</v>
      </c>
      <c r="E57" s="30" t="s">
        <v>83</v>
      </c>
    </row>
    <row r="58" customFormat="false" ht="15" hidden="false" customHeight="true" outlineLevel="0" collapsed="false">
      <c r="A58" s="49" t="s">
        <v>2288</v>
      </c>
      <c r="B58" s="30" t="n">
        <v>20</v>
      </c>
      <c r="C58" s="30" t="s">
        <v>2301</v>
      </c>
      <c r="D58" s="30" t="n">
        <v>10</v>
      </c>
      <c r="E58" s="30" t="s">
        <v>2301</v>
      </c>
    </row>
    <row r="59" customFormat="false" ht="15" hidden="false" customHeight="true" outlineLevel="0" collapsed="false">
      <c r="A59" s="49" t="s">
        <v>2292</v>
      </c>
      <c r="B59" s="30" t="n">
        <v>38</v>
      </c>
      <c r="C59" s="30" t="s">
        <v>2302</v>
      </c>
      <c r="D59" s="30" t="n">
        <v>19</v>
      </c>
      <c r="E59" s="30" t="s">
        <v>83</v>
      </c>
    </row>
    <row r="60" customFormat="false" ht="15" hidden="false" customHeight="true" outlineLevel="0" collapsed="false">
      <c r="A60" s="75" t="s">
        <v>2317</v>
      </c>
      <c r="B60" s="30"/>
      <c r="C60" s="30"/>
      <c r="D60" s="30" t="n">
        <v>2</v>
      </c>
      <c r="E60" s="30" t="s">
        <v>2301</v>
      </c>
    </row>
    <row r="61" customFormat="false" ht="15" hidden="false" customHeight="true" outlineLevel="0" collapsed="false">
      <c r="A61" s="75" t="s">
        <v>2318</v>
      </c>
      <c r="B61" s="30"/>
      <c r="C61" s="30"/>
      <c r="D61" s="30" t="n">
        <v>1</v>
      </c>
      <c r="E61" s="30" t="s">
        <v>83</v>
      </c>
    </row>
    <row r="62" customFormat="false" ht="15" hidden="false" customHeight="true" outlineLevel="0" collapsed="false">
      <c r="A62" s="75" t="s">
        <v>2319</v>
      </c>
      <c r="B62" s="30"/>
      <c r="C62" s="30"/>
      <c r="D62" s="30" t="n">
        <v>2</v>
      </c>
      <c r="E62" s="30" t="s">
        <v>2320</v>
      </c>
    </row>
    <row r="63" customFormat="false" ht="15" hidden="false" customHeight="true" outlineLevel="0" collapsed="false">
      <c r="A63" s="72" t="s">
        <v>2321</v>
      </c>
      <c r="B63" s="74" t="n">
        <f aca="false">SUM(B54:B62)</f>
        <v>400</v>
      </c>
      <c r="C63" s="74" t="str">
        <f aca="false">IF(B63=400,"하원 400석 OK","400석과 불일치")</f>
        <v>하원 400석 OK</v>
      </c>
      <c r="D63" s="74" t="n">
        <f aca="false">SUM(D54:D59)</f>
        <v>200</v>
      </c>
      <c r="E63" s="74" t="str">
        <f aca="false">IF(D63=200,"상원 선출 200석 OK","200석과 불일치")</f>
        <v>상원 선출 200석 OK</v>
      </c>
    </row>
    <row r="64" customFormat="false" ht="15" hidden="false" customHeight="true" outlineLevel="0" collapsed="false">
      <c r="A64" s="72" t="s">
        <v>2322</v>
      </c>
      <c r="B64" s="73" t="s">
        <v>294</v>
      </c>
      <c r="C64" s="74"/>
      <c r="D64" s="74" t="n">
        <f aca="false">SUM(D60:D62)</f>
        <v>5</v>
      </c>
      <c r="E64" s="74" t="s">
        <v>2323</v>
      </c>
    </row>
    <row r="65" customFormat="false" ht="15" hidden="false" customHeight="true" outlineLevel="0" collapsed="false">
      <c r="A65" s="72" t="s">
        <v>2305</v>
      </c>
      <c r="B65" s="74"/>
      <c r="C65" s="74" t="n">
        <f aca="false">SUMIF(C54:C62,"Sì",$B$54:$B$62)</f>
        <v>202</v>
      </c>
      <c r="D65" s="74"/>
      <c r="E65" s="74" t="n">
        <f aca="false">SUMIF(E54:E62,"Sì",$D$54:$D$62)</f>
        <v>102</v>
      </c>
    </row>
    <row r="66" customFormat="false" ht="15" hidden="false" customHeight="true" outlineLevel="0" collapsed="false">
      <c r="A66" s="72" t="s">
        <v>2306</v>
      </c>
      <c r="B66" s="74"/>
      <c r="C66" s="74" t="n">
        <f aca="false">SUMIF(C54:C62,"No",$B$54:$B$62)</f>
        <v>160</v>
      </c>
      <c r="D66" s="74"/>
      <c r="E66" s="74" t="n">
        <f aca="false">SUMIF(E54:E62,"No",$D$54:$D$62)</f>
        <v>101</v>
      </c>
    </row>
    <row r="67" customFormat="false" ht="15" hidden="false" customHeight="true" outlineLevel="0" collapsed="false">
      <c r="A67" s="72" t="s">
        <v>2307</v>
      </c>
      <c r="B67" s="74"/>
      <c r="C67" s="74" t="n">
        <f aca="false">SUMIF(C54:C62,"Astenuto",$B$54:$B$62)</f>
        <v>38</v>
      </c>
      <c r="D67" s="74"/>
      <c r="E67" s="74" t="n">
        <f aca="false">SUMIF(E54:E62,"Astenuto",$D$54:$D$62)</f>
        <v>0</v>
      </c>
    </row>
    <row r="68" customFormat="false" ht="15" hidden="false" customHeight="true" outlineLevel="0" collapsed="false">
      <c r="A68" s="72" t="s">
        <v>2308</v>
      </c>
      <c r="B68" s="74"/>
      <c r="C68" s="74" t="n">
        <f aca="false">SUMIF(C54:C62,"Assente",$B$54:$B$62)</f>
        <v>0</v>
      </c>
      <c r="D68" s="74"/>
      <c r="E68" s="74" t="n">
        <f aca="false">SUMIF(E54:E62,"Assente",$D$54:$D$62)</f>
        <v>2</v>
      </c>
    </row>
    <row r="69" customFormat="false" ht="15" hidden="false" customHeight="true" outlineLevel="0" collapsed="false">
      <c r="A69" s="72" t="s">
        <v>2309</v>
      </c>
      <c r="B69" s="74"/>
      <c r="C69" s="74" t="str">
        <f aca="false">IF(C65&gt;C66,"하원 신임 가결","하원 신임 부결")</f>
        <v>하원 신임 가결</v>
      </c>
      <c r="D69" s="74"/>
      <c r="E69" s="74" t="str">
        <f aca="false">IF(E65&gt;E66,"상원 신임 가결","상원 신임 부결")</f>
        <v>상원 신임 가결</v>
      </c>
    </row>
    <row r="70" customFormat="false" ht="15" hidden="false" customHeight="true" outlineLevel="0" collapsed="false">
      <c r="A70" s="72" t="s">
        <v>2324</v>
      </c>
      <c r="B70" s="74"/>
      <c r="C70" s="74"/>
      <c r="D70" s="74"/>
      <c r="E70" s="74" t="n">
        <f aca="false">E65-E66</f>
        <v>1</v>
      </c>
    </row>
    <row r="71" customFormat="false" ht="60" hidden="false" customHeight="true" outlineLevel="0" collapsed="false">
      <c r="A71" s="60" t="s">
        <v>2325</v>
      </c>
      <c r="B71" s="60"/>
      <c r="C71" s="60"/>
      <c r="D71" s="60"/>
      <c r="E71" s="60"/>
      <c r="F71" s="60"/>
    </row>
    <row r="73" customFormat="false" ht="15" hidden="false" customHeight="true" outlineLevel="0" collapsed="false">
      <c r="A73" s="39" t="s">
        <v>2326</v>
      </c>
    </row>
    <row r="74" customFormat="false" ht="15" hidden="false" customHeight="true" outlineLevel="0" collapsed="false">
      <c r="A74" s="23" t="s">
        <v>2297</v>
      </c>
      <c r="B74" s="23" t="s">
        <v>2298</v>
      </c>
      <c r="C74" s="23" t="s">
        <v>2299</v>
      </c>
      <c r="D74" s="23"/>
      <c r="E74" s="23" t="s">
        <v>2300</v>
      </c>
    </row>
    <row r="75" customFormat="false" ht="15" hidden="false" customHeight="true" outlineLevel="0" collapsed="false">
      <c r="A75" s="49" t="s">
        <v>2276</v>
      </c>
      <c r="B75" s="30" t="n">
        <v>122</v>
      </c>
      <c r="C75" s="30" t="s">
        <v>2301</v>
      </c>
      <c r="D75" s="71"/>
      <c r="E75" s="71"/>
    </row>
    <row r="76" customFormat="false" ht="15" hidden="false" customHeight="true" outlineLevel="0" collapsed="false">
      <c r="A76" s="49" t="s">
        <v>2284</v>
      </c>
      <c r="B76" s="30" t="n">
        <v>38</v>
      </c>
      <c r="C76" s="30" t="s">
        <v>2301</v>
      </c>
      <c r="D76" s="71"/>
      <c r="E76" s="71"/>
    </row>
    <row r="77" customFormat="false" ht="15" hidden="false" customHeight="true" outlineLevel="0" collapsed="false">
      <c r="A77" s="49" t="s">
        <v>2292</v>
      </c>
      <c r="B77" s="30" t="n">
        <v>38</v>
      </c>
      <c r="C77" s="30" t="s">
        <v>2302</v>
      </c>
      <c r="D77" s="71"/>
      <c r="E77" s="71"/>
    </row>
    <row r="78" customFormat="false" ht="15" hidden="false" customHeight="true" outlineLevel="0" collapsed="false">
      <c r="A78" s="49" t="s">
        <v>2272</v>
      </c>
      <c r="B78" s="30" t="n">
        <v>130</v>
      </c>
      <c r="C78" s="30" t="s">
        <v>83</v>
      </c>
      <c r="D78" s="71"/>
      <c r="E78" s="71"/>
    </row>
    <row r="79" customFormat="false" ht="15" hidden="false" customHeight="true" outlineLevel="0" collapsed="false">
      <c r="A79" s="49" t="s">
        <v>2280</v>
      </c>
      <c r="B79" s="30" t="n">
        <v>52</v>
      </c>
      <c r="C79" s="30" t="s">
        <v>83</v>
      </c>
      <c r="D79" s="71"/>
      <c r="E79" s="71"/>
    </row>
    <row r="80" customFormat="false" ht="15" hidden="false" customHeight="true" outlineLevel="0" collapsed="false">
      <c r="A80" s="49" t="s">
        <v>2288</v>
      </c>
      <c r="B80" s="30" t="n">
        <v>20</v>
      </c>
      <c r="C80" s="30" t="s">
        <v>83</v>
      </c>
      <c r="D80" s="71"/>
      <c r="E80" s="71"/>
    </row>
    <row r="81" customFormat="false" ht="15" hidden="false" customHeight="true" outlineLevel="0" collapsed="false">
      <c r="A81" s="72" t="s">
        <v>2303</v>
      </c>
      <c r="B81" s="74" t="n">
        <f aca="false">SUM(B75:B80)</f>
        <v>400</v>
      </c>
      <c r="C81" s="74"/>
      <c r="D81" s="74"/>
      <c r="E81" s="74" t="str">
        <f aca="false">IF(B81=400,"400석 OK","400석과 불일치")</f>
        <v>400석 OK</v>
      </c>
    </row>
    <row r="82" customFormat="false" ht="15" hidden="false" customHeight="true" outlineLevel="0" collapsed="false">
      <c r="A82" s="72" t="s">
        <v>2304</v>
      </c>
      <c r="B82" s="74" t="n">
        <f aca="false">INT(B81/2)+1</f>
        <v>201</v>
      </c>
      <c r="C82" s="74"/>
      <c r="D82" s="74"/>
      <c r="E82" s="74"/>
    </row>
    <row r="83" customFormat="false" ht="15" hidden="false" customHeight="true" outlineLevel="0" collapsed="false">
      <c r="A83" s="72" t="s">
        <v>2305</v>
      </c>
      <c r="B83" s="74"/>
      <c r="C83" s="74" t="n">
        <f aca="false">SUMIF(C75:C80,"Sì",$B$75:$B$80)</f>
        <v>160</v>
      </c>
      <c r="D83" s="74"/>
      <c r="E83" s="74"/>
    </row>
    <row r="84" customFormat="false" ht="15" hidden="false" customHeight="true" outlineLevel="0" collapsed="false">
      <c r="A84" s="72" t="s">
        <v>2306</v>
      </c>
      <c r="B84" s="74"/>
      <c r="C84" s="74" t="n">
        <f aca="false">SUMIF(C75:C80,"No",$B$75:$B$80)</f>
        <v>202</v>
      </c>
      <c r="D84" s="74"/>
      <c r="E84" s="74"/>
    </row>
    <row r="85" customFormat="false" ht="15" hidden="false" customHeight="true" outlineLevel="0" collapsed="false">
      <c r="A85" s="72" t="s">
        <v>2307</v>
      </c>
      <c r="B85" s="74"/>
      <c r="C85" s="74" t="n">
        <f aca="false">SUMIF(C75:C80,"Astenuto",$B$75:$B$80)</f>
        <v>38</v>
      </c>
      <c r="D85" s="74"/>
      <c r="E85" s="74"/>
    </row>
    <row r="86" customFormat="false" ht="15" hidden="false" customHeight="true" outlineLevel="0" collapsed="false">
      <c r="A86" s="72" t="s">
        <v>2308</v>
      </c>
      <c r="B86" s="74"/>
      <c r="C86" s="74" t="n">
        <f aca="false">SUMIF(C75:C80,"Assente",$B$75:$B$80)</f>
        <v>0</v>
      </c>
      <c r="D86" s="74"/>
      <c r="E86" s="74"/>
    </row>
    <row r="87" customFormat="false" ht="15" hidden="false" customHeight="true" outlineLevel="0" collapsed="false">
      <c r="A87" s="72" t="s">
        <v>2309</v>
      </c>
      <c r="B87" s="74"/>
      <c r="C87" s="74" t="str">
        <f aca="false">IF(C83&gt;C84,"불신임 가결","불신임 부결")</f>
        <v>불신임 부결</v>
      </c>
      <c r="D87" s="74"/>
      <c r="E87" s="74" t="s">
        <v>2327</v>
      </c>
    </row>
    <row r="88" customFormat="false" ht="15" hidden="false" customHeight="true" outlineLevel="0" collapsed="false">
      <c r="A88" s="72" t="s">
        <v>2328</v>
      </c>
      <c r="B88" s="74"/>
      <c r="C88" s="74" t="n">
        <f aca="false">ROUNDUP(B81/10,0)</f>
        <v>40</v>
      </c>
      <c r="D88" s="74"/>
      <c r="E88" s="74" t="str">
        <f aca="false">IF(B75&gt;=C88,"UCN 단독으로 서명 충족","미달")</f>
        <v>UCN 단독으로 서명 충족</v>
      </c>
    </row>
    <row r="89" customFormat="false" ht="48" hidden="false" customHeight="true" outlineLevel="0" collapsed="false">
      <c r="A89" s="60" t="s">
        <v>2329</v>
      </c>
      <c r="B89" s="60"/>
      <c r="C89" s="60"/>
      <c r="D89" s="60"/>
      <c r="E89" s="60"/>
      <c r="F89" s="60"/>
    </row>
    <row r="91" customFormat="false" ht="15" hidden="false" customHeight="true" outlineLevel="0" collapsed="false">
      <c r="A91" s="39" t="s">
        <v>2330</v>
      </c>
    </row>
    <row r="92" customFormat="false" ht="60" hidden="false" customHeight="true" outlineLevel="0" collapsed="false">
      <c r="A92" s="38" t="s">
        <v>2331</v>
      </c>
      <c r="B92" s="38"/>
      <c r="C92" s="38"/>
      <c r="D92" s="38"/>
      <c r="E92" s="38"/>
      <c r="F92" s="38"/>
    </row>
  </sheetData>
  <mergeCells count="4">
    <mergeCell ref="A50:F50"/>
    <mergeCell ref="A71:F71"/>
    <mergeCell ref="A89:F89"/>
    <mergeCell ref="A92:F9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26"/>
    <col collapsed="false" customWidth="true" hidden="false" outlineLevel="0" max="4" min="4" style="1" width="34"/>
    <col collapsed="false" customWidth="true" hidden="false" outlineLevel="0" max="5" min="5" style="1" width="52"/>
  </cols>
  <sheetData>
    <row r="1" customFormat="false" ht="24" hidden="false" customHeight="true" outlineLevel="0" collapsed="false">
      <c r="A1" s="21" t="s">
        <v>2332</v>
      </c>
    </row>
    <row r="2" customFormat="false" ht="15" hidden="false" customHeight="true" outlineLevel="0" collapsed="false">
      <c r="A2" s="20" t="s">
        <v>2333</v>
      </c>
    </row>
    <row r="4" customFormat="false" ht="19.5" hidden="false" customHeight="true" outlineLevel="0" collapsed="false">
      <c r="A4" s="23" t="s">
        <v>2334</v>
      </c>
      <c r="B4" s="22" t="s">
        <v>2335</v>
      </c>
      <c r="C4" s="22" t="s">
        <v>2336</v>
      </c>
      <c r="D4" s="22" t="s">
        <v>2337</v>
      </c>
      <c r="E4" s="23" t="s">
        <v>2300</v>
      </c>
    </row>
    <row r="5" customFormat="false" ht="26.25" hidden="false" customHeight="true" outlineLevel="0" collapsed="false">
      <c r="A5" s="6" t="s">
        <v>2338</v>
      </c>
      <c r="B5" s="8" t="s">
        <v>2339</v>
      </c>
      <c r="C5" s="8" t="s">
        <v>2340</v>
      </c>
      <c r="D5" s="8" t="s">
        <v>2339</v>
      </c>
      <c r="E5" s="8" t="s">
        <v>2341</v>
      </c>
    </row>
    <row r="6" customFormat="false" ht="15" hidden="false" customHeight="true" outlineLevel="0" collapsed="false">
      <c r="A6" s="6" t="s">
        <v>2342</v>
      </c>
      <c r="B6" s="8" t="s">
        <v>2339</v>
      </c>
      <c r="C6" s="8" t="s">
        <v>2343</v>
      </c>
      <c r="D6" s="8" t="s">
        <v>2339</v>
      </c>
      <c r="E6" s="8"/>
    </row>
    <row r="7" customFormat="false" ht="26.25" hidden="false" customHeight="true" outlineLevel="0" collapsed="false">
      <c r="A7" s="70" t="s">
        <v>2344</v>
      </c>
      <c r="B7" s="8" t="s">
        <v>2345</v>
      </c>
      <c r="C7" s="8" t="s">
        <v>2346</v>
      </c>
      <c r="D7" s="8" t="s">
        <v>2347</v>
      </c>
      <c r="E7" s="8" t="s">
        <v>2348</v>
      </c>
    </row>
    <row r="8" customFormat="false" ht="39" hidden="false" customHeight="true" outlineLevel="0" collapsed="false">
      <c r="A8" s="70" t="s">
        <v>2349</v>
      </c>
      <c r="B8" s="8" t="s">
        <v>2345</v>
      </c>
      <c r="C8" s="8" t="s">
        <v>2345</v>
      </c>
      <c r="D8" s="8" t="s">
        <v>2350</v>
      </c>
      <c r="E8" s="8" t="s">
        <v>2351</v>
      </c>
    </row>
    <row r="9" customFormat="false" ht="15" hidden="false" customHeight="true" outlineLevel="0" collapsed="false">
      <c r="A9" s="70" t="s">
        <v>2352</v>
      </c>
      <c r="B9" s="8" t="s">
        <v>2345</v>
      </c>
      <c r="C9" s="9" t="s">
        <v>2353</v>
      </c>
      <c r="D9" s="8" t="s">
        <v>2354</v>
      </c>
      <c r="E9" s="8"/>
    </row>
    <row r="10" customFormat="false" ht="15" hidden="false" customHeight="true" outlineLevel="0" collapsed="false">
      <c r="A10" s="70" t="s">
        <v>2355</v>
      </c>
      <c r="B10" s="8" t="s">
        <v>2356</v>
      </c>
      <c r="C10" s="9" t="s">
        <v>2353</v>
      </c>
      <c r="D10" s="8" t="s">
        <v>2339</v>
      </c>
      <c r="E10" s="9" t="s">
        <v>2357</v>
      </c>
    </row>
    <row r="11" customFormat="false" ht="39" hidden="false" customHeight="true" outlineLevel="0" collapsed="false">
      <c r="A11" s="70" t="s">
        <v>2358</v>
      </c>
      <c r="B11" s="8" t="s">
        <v>2359</v>
      </c>
      <c r="C11" s="8" t="s">
        <v>2360</v>
      </c>
      <c r="D11" s="8" t="s">
        <v>2360</v>
      </c>
      <c r="E11" s="9" t="s">
        <v>2361</v>
      </c>
    </row>
    <row r="12" customFormat="false" ht="15" hidden="false" customHeight="true" outlineLevel="0" collapsed="false">
      <c r="A12" s="70" t="s">
        <v>2362</v>
      </c>
      <c r="B12" s="8" t="s">
        <v>2345</v>
      </c>
      <c r="C12" s="8" t="s">
        <v>2345</v>
      </c>
      <c r="D12" s="9" t="s">
        <v>2363</v>
      </c>
      <c r="E12" s="8"/>
    </row>
    <row r="13" customFormat="false" ht="15" hidden="false" customHeight="true" outlineLevel="0" collapsed="false">
      <c r="A13" s="70" t="s">
        <v>2364</v>
      </c>
      <c r="B13" s="8" t="s">
        <v>2365</v>
      </c>
      <c r="C13" s="8" t="s">
        <v>2366</v>
      </c>
      <c r="D13" s="9" t="s">
        <v>2367</v>
      </c>
      <c r="E13" s="9" t="s">
        <v>2368</v>
      </c>
    </row>
    <row r="14" customFormat="false" ht="15" hidden="false" customHeight="true" outlineLevel="0" collapsed="false">
      <c r="A14" s="70" t="s">
        <v>2369</v>
      </c>
      <c r="B14" s="8" t="s">
        <v>2339</v>
      </c>
      <c r="C14" s="8" t="s">
        <v>2339</v>
      </c>
      <c r="D14" s="8" t="s">
        <v>2339</v>
      </c>
      <c r="E14" s="9" t="s">
        <v>2370</v>
      </c>
    </row>
    <row r="15" customFormat="false" ht="15" hidden="false" customHeight="true" outlineLevel="0" collapsed="false">
      <c r="A15" s="70" t="s">
        <v>2371</v>
      </c>
      <c r="B15" s="8" t="s">
        <v>2339</v>
      </c>
      <c r="C15" s="8" t="s">
        <v>2339</v>
      </c>
      <c r="D15" s="8" t="s">
        <v>2339</v>
      </c>
      <c r="E15" s="8" t="s">
        <v>2372</v>
      </c>
    </row>
    <row r="16" customFormat="false" ht="15" hidden="false" customHeight="true" outlineLevel="0" collapsed="false">
      <c r="A16" s="70" t="s">
        <v>2373</v>
      </c>
      <c r="B16" s="8" t="s">
        <v>2374</v>
      </c>
      <c r="C16" s="8" t="s">
        <v>2345</v>
      </c>
      <c r="D16" s="9" t="s">
        <v>2375</v>
      </c>
      <c r="E16" s="8"/>
    </row>
    <row r="17" customFormat="false" ht="26.25" hidden="false" customHeight="true" outlineLevel="0" collapsed="false">
      <c r="A17" s="70" t="s">
        <v>2376</v>
      </c>
      <c r="B17" s="8" t="s">
        <v>2345</v>
      </c>
      <c r="C17" s="8" t="s">
        <v>2345</v>
      </c>
      <c r="D17" s="9" t="s">
        <v>2377</v>
      </c>
      <c r="E17" s="9" t="s">
        <v>2378</v>
      </c>
    </row>
    <row r="18" customFormat="false" ht="15" hidden="false" customHeight="true" outlineLevel="0" collapsed="false">
      <c r="A18" s="6" t="s">
        <v>2379</v>
      </c>
      <c r="B18" s="8" t="s">
        <v>2380</v>
      </c>
      <c r="C18" s="8" t="s">
        <v>2380</v>
      </c>
      <c r="D18" s="8" t="s">
        <v>2380</v>
      </c>
      <c r="E18" s="9" t="s">
        <v>2381</v>
      </c>
    </row>
    <row r="19" customFormat="false" ht="15" hidden="false" customHeight="true" outlineLevel="0" collapsed="false">
      <c r="A19" s="6" t="s">
        <v>2382</v>
      </c>
      <c r="B19" s="8" t="s">
        <v>294</v>
      </c>
      <c r="C19" s="8" t="s">
        <v>294</v>
      </c>
      <c r="D19" s="8" t="s">
        <v>2383</v>
      </c>
      <c r="E19" s="8" t="s">
        <v>2384</v>
      </c>
    </row>
    <row r="20" customFormat="false" ht="37.5" hidden="false" customHeight="true" outlineLevel="0" collapsed="false">
      <c r="A20" s="6" t="s">
        <v>2385</v>
      </c>
      <c r="B20" s="8" t="s">
        <v>294</v>
      </c>
      <c r="C20" s="8" t="s">
        <v>294</v>
      </c>
      <c r="D20" s="8" t="s">
        <v>2386</v>
      </c>
      <c r="E20" s="9" t="s">
        <v>2387</v>
      </c>
    </row>
    <row r="21" customFormat="false" ht="23.25" hidden="false" customHeight="true" outlineLevel="0" collapsed="false">
      <c r="A21" s="6" t="s">
        <v>2388</v>
      </c>
      <c r="B21" s="8" t="s">
        <v>294</v>
      </c>
      <c r="C21" s="8" t="s">
        <v>294</v>
      </c>
      <c r="D21" s="8" t="s">
        <v>2389</v>
      </c>
      <c r="E21" s="9" t="s">
        <v>2390</v>
      </c>
    </row>
    <row r="22" customFormat="false" ht="26.25" hidden="false" customHeight="true" outlineLevel="0" collapsed="false">
      <c r="A22" s="6" t="s">
        <v>2391</v>
      </c>
      <c r="B22" s="8" t="s">
        <v>294</v>
      </c>
      <c r="C22" s="8" t="s">
        <v>294</v>
      </c>
      <c r="D22" s="8" t="s">
        <v>2392</v>
      </c>
      <c r="E22" s="9" t="s">
        <v>2393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6"/>
    <col collapsed="false" customWidth="true" hidden="false" outlineLevel="0" max="3" min="3" style="1" width="32"/>
    <col collapsed="false" customWidth="true" hidden="false" outlineLevel="0" max="4" min="4" style="1" width="34"/>
    <col collapsed="false" customWidth="true" hidden="false" outlineLevel="0" max="5" min="5" style="1" width="48"/>
  </cols>
  <sheetData>
    <row r="1" customFormat="false" ht="24" hidden="false" customHeight="true" outlineLevel="0" collapsed="false">
      <c r="A1" s="2" t="s">
        <v>2394</v>
      </c>
    </row>
    <row r="2" customFormat="false" ht="15" hidden="false" customHeight="true" outlineLevel="0" collapsed="false">
      <c r="A2" s="20" t="s">
        <v>2395</v>
      </c>
    </row>
    <row r="4" customFormat="false" ht="18" hidden="false" customHeight="true" outlineLevel="0" collapsed="false">
      <c r="A4" s="39" t="s">
        <v>2396</v>
      </c>
      <c r="B4" s="5"/>
      <c r="C4" s="5"/>
      <c r="D4" s="5"/>
      <c r="E4" s="5"/>
    </row>
    <row r="5" customFormat="false" ht="19.5" hidden="false" customHeight="true" outlineLevel="0" collapsed="false">
      <c r="A5" s="23" t="s">
        <v>2397</v>
      </c>
      <c r="B5" s="23" t="s">
        <v>2398</v>
      </c>
      <c r="C5" s="23" t="s">
        <v>2270</v>
      </c>
      <c r="D5" s="23" t="s">
        <v>2399</v>
      </c>
      <c r="E5" s="23" t="s">
        <v>2400</v>
      </c>
    </row>
    <row r="6" customFormat="false" ht="42" hidden="false" customHeight="true" outlineLevel="0" collapsed="false">
      <c r="A6" s="11" t="s">
        <v>2401</v>
      </c>
      <c r="B6" s="8" t="s">
        <v>2402</v>
      </c>
      <c r="C6" s="9" t="s">
        <v>2403</v>
      </c>
      <c r="D6" s="8" t="s">
        <v>2404</v>
      </c>
      <c r="E6" s="9" t="s">
        <v>2405</v>
      </c>
    </row>
    <row r="7" customFormat="false" ht="42" hidden="false" customHeight="true" outlineLevel="0" collapsed="false">
      <c r="A7" s="11" t="s">
        <v>2406</v>
      </c>
      <c r="B7" s="8" t="s">
        <v>2407</v>
      </c>
      <c r="C7" s="9" t="s">
        <v>2408</v>
      </c>
      <c r="D7" s="8" t="s">
        <v>2409</v>
      </c>
      <c r="E7" s="9" t="s">
        <v>2410</v>
      </c>
    </row>
    <row r="8" customFormat="false" ht="29.25" hidden="false" customHeight="true" outlineLevel="0" collapsed="false">
      <c r="A8" s="6" t="s">
        <v>2411</v>
      </c>
      <c r="B8" s="8" t="s">
        <v>2412</v>
      </c>
      <c r="C8" s="9" t="s">
        <v>2413</v>
      </c>
      <c r="D8" s="8" t="s">
        <v>2414</v>
      </c>
      <c r="E8" s="9" t="s">
        <v>2415</v>
      </c>
    </row>
    <row r="10" customFormat="false" ht="18" hidden="false" customHeight="true" outlineLevel="0" collapsed="false">
      <c r="A10" s="39" t="s">
        <v>2416</v>
      </c>
      <c r="B10" s="5"/>
      <c r="C10" s="5"/>
      <c r="D10" s="5"/>
      <c r="E10" s="5"/>
    </row>
    <row r="11" customFormat="false" ht="19.5" hidden="false" customHeight="true" outlineLevel="0" collapsed="false">
      <c r="A11" s="23" t="s">
        <v>2193</v>
      </c>
      <c r="B11" s="23" t="s">
        <v>2417</v>
      </c>
      <c r="C11" s="23" t="s">
        <v>393</v>
      </c>
      <c r="D11" s="23" t="s">
        <v>2418</v>
      </c>
      <c r="E11" s="23" t="s">
        <v>2419</v>
      </c>
    </row>
    <row r="12" customFormat="false" ht="16.5" hidden="false" customHeight="true" outlineLevel="0" collapsed="false">
      <c r="A12" s="11" t="s">
        <v>2420</v>
      </c>
      <c r="B12" s="8" t="s">
        <v>2421</v>
      </c>
      <c r="C12" s="9" t="s">
        <v>2422</v>
      </c>
      <c r="D12" s="9" t="s">
        <v>2423</v>
      </c>
      <c r="E12" s="9" t="s">
        <v>2424</v>
      </c>
    </row>
    <row r="13" customFormat="false" ht="29.25" hidden="false" customHeight="true" outlineLevel="0" collapsed="false">
      <c r="A13" s="11" t="s">
        <v>2425</v>
      </c>
      <c r="B13" s="8" t="s">
        <v>2426</v>
      </c>
      <c r="C13" s="9" t="s">
        <v>2427</v>
      </c>
      <c r="D13" s="9" t="s">
        <v>2428</v>
      </c>
      <c r="E13" s="8" t="s">
        <v>2429</v>
      </c>
    </row>
    <row r="14" customFormat="false" ht="16.5" hidden="false" customHeight="true" outlineLevel="0" collapsed="false">
      <c r="A14" s="11" t="s">
        <v>2430</v>
      </c>
      <c r="B14" s="8" t="s">
        <v>2431</v>
      </c>
      <c r="C14" s="9" t="s">
        <v>2432</v>
      </c>
      <c r="D14" s="9" t="s">
        <v>2433</v>
      </c>
      <c r="E14" s="8" t="s">
        <v>2434</v>
      </c>
    </row>
    <row r="16" customFormat="false" ht="18" hidden="false" customHeight="true" outlineLevel="0" collapsed="false">
      <c r="A16" s="39" t="s">
        <v>2435</v>
      </c>
      <c r="B16" s="5"/>
      <c r="C16" s="5"/>
      <c r="D16" s="5"/>
      <c r="E16" s="5"/>
    </row>
    <row r="17" customFormat="false" ht="19.5" hidden="false" customHeight="true" outlineLevel="0" collapsed="false">
      <c r="A17" s="23" t="s">
        <v>322</v>
      </c>
      <c r="B17" s="23" t="s">
        <v>2436</v>
      </c>
      <c r="C17" s="23" t="s">
        <v>393</v>
      </c>
      <c r="D17" s="23" t="s">
        <v>2437</v>
      </c>
      <c r="E17" s="23" t="s">
        <v>2300</v>
      </c>
    </row>
    <row r="18" customFormat="false" ht="16.5" hidden="false" customHeight="true" outlineLevel="0" collapsed="false">
      <c r="A18" s="11" t="s">
        <v>116</v>
      </c>
      <c r="B18" s="8" t="s">
        <v>2438</v>
      </c>
      <c r="C18" s="9" t="s">
        <v>2439</v>
      </c>
      <c r="D18" s="8" t="s">
        <v>294</v>
      </c>
      <c r="E18" s="8" t="s">
        <v>2440</v>
      </c>
    </row>
    <row r="19" customFormat="false" ht="29.25" hidden="false" customHeight="true" outlineLevel="0" collapsed="false">
      <c r="A19" s="11" t="s">
        <v>219</v>
      </c>
      <c r="B19" s="8" t="s">
        <v>2441</v>
      </c>
      <c r="C19" s="9" t="s">
        <v>2442</v>
      </c>
      <c r="D19" s="9" t="s">
        <v>2443</v>
      </c>
      <c r="E19" s="9" t="s">
        <v>2444</v>
      </c>
    </row>
    <row r="20" customFormat="false" ht="29.25" hidden="false" customHeight="true" outlineLevel="0" collapsed="false">
      <c r="A20" s="11" t="s">
        <v>174</v>
      </c>
      <c r="B20" s="8" t="s">
        <v>2445</v>
      </c>
      <c r="C20" s="9" t="s">
        <v>2446</v>
      </c>
      <c r="D20" s="8" t="s">
        <v>2447</v>
      </c>
      <c r="E20" s="8"/>
    </row>
    <row r="21" customFormat="false" ht="29.25" hidden="false" customHeight="true" outlineLevel="0" collapsed="false">
      <c r="A21" s="11" t="s">
        <v>196</v>
      </c>
      <c r="B21" s="8" t="s">
        <v>2448</v>
      </c>
      <c r="C21" s="9" t="s">
        <v>2449</v>
      </c>
      <c r="D21" s="9" t="s">
        <v>2450</v>
      </c>
      <c r="E21" s="9" t="s">
        <v>2451</v>
      </c>
    </row>
    <row r="23" customFormat="false" ht="18" hidden="false" customHeight="true" outlineLevel="0" collapsed="false">
      <c r="A23" s="39" t="s">
        <v>2452</v>
      </c>
      <c r="B23" s="5"/>
      <c r="C23" s="5"/>
      <c r="D23" s="5"/>
      <c r="E23" s="5"/>
    </row>
    <row r="24" customFormat="false" ht="19.5" hidden="false" customHeight="true" outlineLevel="0" collapsed="false">
      <c r="A24" s="23" t="s">
        <v>322</v>
      </c>
      <c r="B24" s="23" t="s">
        <v>2453</v>
      </c>
      <c r="C24" s="23" t="s">
        <v>2454</v>
      </c>
      <c r="D24" s="23" t="s">
        <v>2455</v>
      </c>
      <c r="E24" s="23" t="s">
        <v>2300</v>
      </c>
    </row>
    <row r="25" customFormat="false" ht="29.25" hidden="false" customHeight="true" outlineLevel="0" collapsed="false">
      <c r="A25" s="11" t="s">
        <v>150</v>
      </c>
      <c r="B25" s="8" t="s">
        <v>2456</v>
      </c>
      <c r="C25" s="9" t="s">
        <v>2457</v>
      </c>
      <c r="D25" s="8" t="s">
        <v>2458</v>
      </c>
      <c r="E25" s="8" t="s">
        <v>2459</v>
      </c>
    </row>
    <row r="26" customFormat="false" ht="29.25" hidden="false" customHeight="true" outlineLevel="0" collapsed="false">
      <c r="A26" s="11" t="s">
        <v>174</v>
      </c>
      <c r="B26" s="8" t="s">
        <v>2460</v>
      </c>
      <c r="C26" s="9" t="s">
        <v>2461</v>
      </c>
      <c r="D26" s="8" t="s">
        <v>2462</v>
      </c>
      <c r="E26" s="8" t="s">
        <v>2463</v>
      </c>
    </row>
    <row r="27" customFormat="false" ht="16.5" hidden="false" customHeight="true" outlineLevel="0" collapsed="false">
      <c r="A27" s="11" t="s">
        <v>230</v>
      </c>
      <c r="B27" s="8" t="s">
        <v>2464</v>
      </c>
      <c r="C27" s="9" t="s">
        <v>2465</v>
      </c>
      <c r="D27" s="8" t="s">
        <v>2466</v>
      </c>
      <c r="E27" s="8" t="s">
        <v>2467</v>
      </c>
    </row>
    <row r="28" customFormat="false" ht="16.5" hidden="false" customHeight="true" outlineLevel="0" collapsed="false">
      <c r="A28" s="11" t="s">
        <v>219</v>
      </c>
      <c r="B28" s="8" t="s">
        <v>2468</v>
      </c>
      <c r="C28" s="9" t="s">
        <v>2469</v>
      </c>
      <c r="D28" s="8" t="s">
        <v>2462</v>
      </c>
      <c r="E28" s="8"/>
    </row>
    <row r="29" customFormat="false" ht="16.5" hidden="false" customHeight="true" outlineLevel="0" collapsed="false">
      <c r="A29" s="11" t="s">
        <v>196</v>
      </c>
      <c r="B29" s="9" t="s">
        <v>2470</v>
      </c>
      <c r="C29" s="9" t="s">
        <v>2471</v>
      </c>
      <c r="D29" s="8" t="s">
        <v>294</v>
      </c>
      <c r="E29" s="8" t="s">
        <v>2472</v>
      </c>
    </row>
    <row r="31" customFormat="false" ht="18" hidden="false" customHeight="true" outlineLevel="0" collapsed="false">
      <c r="A31" s="39" t="s">
        <v>2473</v>
      </c>
      <c r="B31" s="5"/>
      <c r="C31" s="5"/>
      <c r="D31" s="5"/>
      <c r="E31" s="5"/>
    </row>
    <row r="32" customFormat="false" ht="29.25" hidden="false" customHeight="true" outlineLevel="0" collapsed="false">
      <c r="A32" s="38" t="s">
        <v>2474</v>
      </c>
      <c r="B32" s="38"/>
      <c r="C32" s="38"/>
      <c r="D32" s="38"/>
      <c r="E32" s="38"/>
    </row>
    <row r="33" customFormat="false" ht="16.5" hidden="false" customHeight="true" outlineLevel="0" collapsed="false">
      <c r="A33" s="38" t="s">
        <v>2475</v>
      </c>
      <c r="B33" s="38"/>
      <c r="C33" s="38"/>
      <c r="D33" s="38"/>
      <c r="E33" s="38"/>
    </row>
    <row r="34" customFormat="false" ht="16.5" hidden="false" customHeight="true" outlineLevel="0" collapsed="false">
      <c r="A34" s="38" t="s">
        <v>2476</v>
      </c>
      <c r="B34" s="38"/>
      <c r="C34" s="38"/>
      <c r="D34" s="38"/>
      <c r="E34" s="38"/>
    </row>
    <row r="35" customFormat="false" ht="16.5" hidden="false" customHeight="true" outlineLevel="0" collapsed="false">
      <c r="A35" s="38" t="s">
        <v>2477</v>
      </c>
      <c r="B35" s="38"/>
      <c r="C35" s="38"/>
      <c r="D35" s="38"/>
      <c r="E35" s="38"/>
    </row>
  </sheetData>
  <mergeCells count="4">
    <mergeCell ref="A32:E32"/>
    <mergeCell ref="A33:E33"/>
    <mergeCell ref="A34:E34"/>
    <mergeCell ref="A35:E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6"/>
    <col collapsed="false" customWidth="true" hidden="false" outlineLevel="0" max="3" min="3" style="1" width="38"/>
    <col collapsed="false" customWidth="true" hidden="false" outlineLevel="0" max="4" min="4" style="1" width="40"/>
    <col collapsed="false" customWidth="true" hidden="false" outlineLevel="0" max="5" min="5" style="1" width="34"/>
  </cols>
  <sheetData>
    <row r="1" customFormat="false" ht="24" hidden="false" customHeight="true" outlineLevel="0" collapsed="false">
      <c r="A1" s="2" t="s">
        <v>2478</v>
      </c>
    </row>
    <row r="2" customFormat="false" ht="15" hidden="false" customHeight="true" outlineLevel="0" collapsed="false">
      <c r="A2" s="3" t="s">
        <v>2479</v>
      </c>
    </row>
    <row r="4" customFormat="false" ht="18" hidden="false" customHeight="true" outlineLevel="0" collapsed="false">
      <c r="A4" s="39" t="s">
        <v>315</v>
      </c>
      <c r="B4" s="5"/>
      <c r="C4" s="5"/>
      <c r="D4" s="5"/>
      <c r="E4" s="5"/>
    </row>
    <row r="5" customFormat="false" ht="19.5" hidden="false" customHeight="true" outlineLevel="0" collapsed="false">
      <c r="A5" s="23" t="s">
        <v>1876</v>
      </c>
      <c r="B5" s="23" t="s">
        <v>2480</v>
      </c>
      <c r="C5" s="23"/>
      <c r="D5" s="23"/>
      <c r="E5" s="23"/>
    </row>
    <row r="6" customFormat="false" ht="29.25" hidden="false" customHeight="true" outlineLevel="0" collapsed="false">
      <c r="A6" s="6" t="s">
        <v>2481</v>
      </c>
      <c r="B6" s="8" t="str">
        <f aca="false">"1부 "&amp;INDEX(캐릭터!$E$5:$E$19,MATCH("Cesare",캐릭터!$D$5:$D$19,0))&amp;"세 → 11부 약 "&amp;INDEX(캐릭터!$F$5:$F$19,MATCH("Cesare",캐릭터!$D$5:$D$19,0))&amp;"세 (부활 시점 나이 = 암살 당시 55세, 경과 연수 가정 "&amp;개요!$C$11&amp;"년)"</f>
        <v>1부 55세 → 11부 약 61세 (부활 시점 나이 = 암살 당시 55세, 경과 연수 가정 6년)</v>
      </c>
      <c r="C6" s="8"/>
      <c r="D6" s="8"/>
      <c r="E6" s="8"/>
    </row>
    <row r="7" customFormat="false" ht="16.5" hidden="false" customHeight="true" outlineLevel="0" collapsed="false">
      <c r="A7" s="6" t="s">
        <v>2270</v>
      </c>
      <c r="B7" s="9" t="s">
        <v>2482</v>
      </c>
      <c r="C7" s="9"/>
      <c r="D7" s="9"/>
      <c r="E7" s="9"/>
    </row>
    <row r="8" customFormat="false" ht="29.25" hidden="false" customHeight="true" outlineLevel="0" collapsed="false">
      <c r="A8" s="6" t="s">
        <v>2483</v>
      </c>
      <c r="B8" s="9" t="s">
        <v>2484</v>
      </c>
      <c r="C8" s="9"/>
      <c r="D8" s="9"/>
      <c r="E8" s="9"/>
    </row>
    <row r="9" customFormat="false" ht="29.25" hidden="false" customHeight="true" outlineLevel="0" collapsed="false">
      <c r="A9" s="6" t="s">
        <v>2485</v>
      </c>
      <c r="B9" s="9" t="s">
        <v>2486</v>
      </c>
      <c r="C9" s="9"/>
      <c r="D9" s="9"/>
      <c r="E9" s="9"/>
    </row>
    <row r="10" customFormat="false" ht="16.5" hidden="false" customHeight="true" outlineLevel="0" collapsed="false">
      <c r="A10" s="6" t="s">
        <v>2487</v>
      </c>
      <c r="B10" s="9" t="s">
        <v>2488</v>
      </c>
      <c r="C10" s="9"/>
      <c r="D10" s="9"/>
      <c r="E10" s="9"/>
    </row>
    <row r="11" customFormat="false" ht="16.5" hidden="false" customHeight="true" outlineLevel="0" collapsed="false">
      <c r="A11" s="6" t="s">
        <v>2489</v>
      </c>
      <c r="B11" s="9" t="s">
        <v>2490</v>
      </c>
      <c r="C11" s="9"/>
      <c r="D11" s="9"/>
      <c r="E11" s="9"/>
    </row>
    <row r="12" customFormat="false" ht="29.25" hidden="false" customHeight="true" outlineLevel="0" collapsed="false">
      <c r="A12" s="11" t="s">
        <v>2491</v>
      </c>
      <c r="B12" s="27" t="s">
        <v>2492</v>
      </c>
      <c r="C12" s="27"/>
      <c r="D12" s="27"/>
      <c r="E12" s="27"/>
    </row>
    <row r="13" customFormat="false" ht="16.5" hidden="false" customHeight="true" outlineLevel="0" collapsed="false">
      <c r="A13" s="6" t="s">
        <v>2493</v>
      </c>
      <c r="B13" s="8" t="s">
        <v>2494</v>
      </c>
      <c r="C13" s="8"/>
      <c r="D13" s="8"/>
      <c r="E13" s="8"/>
    </row>
    <row r="14" customFormat="false" ht="16.5" hidden="false" customHeight="true" outlineLevel="0" collapsed="false">
      <c r="A14" s="6" t="s">
        <v>2495</v>
      </c>
      <c r="B14" s="9" t="s">
        <v>2496</v>
      </c>
      <c r="C14" s="9"/>
      <c r="D14" s="9"/>
      <c r="E14" s="9"/>
    </row>
    <row r="15" customFormat="false" ht="16.5" hidden="false" customHeight="true" outlineLevel="0" collapsed="false">
      <c r="A15" s="6" t="s">
        <v>2497</v>
      </c>
      <c r="B15" s="8" t="s">
        <v>2498</v>
      </c>
      <c r="C15" s="8"/>
      <c r="D15" s="8"/>
      <c r="E15" s="8"/>
    </row>
    <row r="17" customFormat="false" ht="18" hidden="false" customHeight="true" outlineLevel="0" collapsed="false">
      <c r="A17" s="39" t="s">
        <v>2499</v>
      </c>
      <c r="B17" s="5"/>
      <c r="C17" s="5"/>
      <c r="D17" s="5"/>
      <c r="E17" s="5"/>
    </row>
    <row r="18" customFormat="false" ht="19.5" hidden="false" customHeight="true" outlineLevel="0" collapsed="false">
      <c r="A18" s="23" t="s">
        <v>2194</v>
      </c>
      <c r="B18" s="23" t="s">
        <v>1573</v>
      </c>
      <c r="C18" s="23" t="s">
        <v>2500</v>
      </c>
      <c r="D18" s="23" t="s">
        <v>2501</v>
      </c>
      <c r="E18" s="23" t="s">
        <v>2502</v>
      </c>
    </row>
    <row r="19" customFormat="false" ht="42" hidden="false" customHeight="true" outlineLevel="0" collapsed="false">
      <c r="A19" s="11" t="s">
        <v>2503</v>
      </c>
      <c r="B19" s="8" t="s">
        <v>2504</v>
      </c>
      <c r="C19" s="9" t="s">
        <v>2505</v>
      </c>
      <c r="D19" s="8" t="s">
        <v>2506</v>
      </c>
      <c r="E19" s="8" t="s">
        <v>2507</v>
      </c>
    </row>
    <row r="20" customFormat="false" ht="29.25" hidden="false" customHeight="true" outlineLevel="0" collapsed="false">
      <c r="A20" s="11" t="s">
        <v>2508</v>
      </c>
      <c r="B20" s="9" t="s">
        <v>2509</v>
      </c>
      <c r="C20" s="8" t="s">
        <v>2510</v>
      </c>
      <c r="D20" s="8" t="s">
        <v>2511</v>
      </c>
      <c r="E20" s="8" t="s">
        <v>2512</v>
      </c>
    </row>
    <row r="21" customFormat="false" ht="29.25" hidden="false" customHeight="true" outlineLevel="0" collapsed="false">
      <c r="A21" s="11" t="s">
        <v>354</v>
      </c>
      <c r="B21" s="8" t="s">
        <v>2513</v>
      </c>
      <c r="C21" s="9" t="s">
        <v>2514</v>
      </c>
      <c r="D21" s="8" t="s">
        <v>2515</v>
      </c>
      <c r="E21" s="8" t="s">
        <v>2516</v>
      </c>
    </row>
    <row r="22" customFormat="false" ht="29.25" hidden="false" customHeight="true" outlineLevel="0" collapsed="false">
      <c r="A22" s="11" t="s">
        <v>356</v>
      </c>
      <c r="B22" s="8" t="s">
        <v>2517</v>
      </c>
      <c r="C22" s="9" t="s">
        <v>2518</v>
      </c>
      <c r="D22" s="8" t="s">
        <v>2519</v>
      </c>
      <c r="E22" s="8" t="s">
        <v>2520</v>
      </c>
    </row>
    <row r="23" customFormat="false" ht="42" hidden="false" customHeight="true" outlineLevel="0" collapsed="false">
      <c r="A23" s="11" t="s">
        <v>2521</v>
      </c>
      <c r="B23" s="9" t="s">
        <v>2522</v>
      </c>
      <c r="C23" s="8" t="s">
        <v>2523</v>
      </c>
      <c r="D23" s="8" t="s">
        <v>2524</v>
      </c>
      <c r="E23" s="8" t="s">
        <v>2525</v>
      </c>
    </row>
    <row r="24" customFormat="false" ht="80.25" hidden="false" customHeight="true" outlineLevel="0" collapsed="false">
      <c r="A24" s="11" t="s">
        <v>2526</v>
      </c>
      <c r="B24" s="9" t="s">
        <v>2527</v>
      </c>
      <c r="C24" s="9" t="s">
        <v>2528</v>
      </c>
      <c r="D24" s="8" t="s">
        <v>2529</v>
      </c>
      <c r="E24" s="8" t="s">
        <v>2530</v>
      </c>
    </row>
    <row r="25" customFormat="false" ht="29.25" hidden="false" customHeight="true" outlineLevel="0" collapsed="false">
      <c r="A25" s="11" t="s">
        <v>2531</v>
      </c>
      <c r="B25" s="9" t="s">
        <v>2532</v>
      </c>
      <c r="C25" s="8" t="s">
        <v>2533</v>
      </c>
      <c r="D25" s="8" t="s">
        <v>2534</v>
      </c>
      <c r="E25" s="8" t="s">
        <v>2535</v>
      </c>
    </row>
    <row r="26" customFormat="false" ht="29.25" hidden="false" customHeight="true" outlineLevel="0" collapsed="false">
      <c r="A26" s="11" t="s">
        <v>2536</v>
      </c>
      <c r="B26" s="9" t="s">
        <v>2537</v>
      </c>
      <c r="C26" s="9" t="s">
        <v>2538</v>
      </c>
      <c r="D26" s="8" t="s">
        <v>2539</v>
      </c>
      <c r="E26" s="8" t="s">
        <v>2540</v>
      </c>
    </row>
    <row r="27" customFormat="false" ht="42" hidden="false" customHeight="true" outlineLevel="0" collapsed="false">
      <c r="A27" s="11" t="s">
        <v>2541</v>
      </c>
      <c r="B27" s="9" t="s">
        <v>2542</v>
      </c>
      <c r="C27" s="9" t="s">
        <v>2543</v>
      </c>
      <c r="D27" s="8" t="s">
        <v>2544</v>
      </c>
      <c r="E27" s="8" t="s">
        <v>2545</v>
      </c>
    </row>
    <row r="28" customFormat="false" ht="42" hidden="false" customHeight="true" outlineLevel="0" collapsed="false">
      <c r="A28" s="11" t="s">
        <v>2546</v>
      </c>
      <c r="B28" s="9" t="s">
        <v>2547</v>
      </c>
      <c r="C28" s="9" t="s">
        <v>2548</v>
      </c>
      <c r="D28" s="8" t="s">
        <v>2549</v>
      </c>
      <c r="E28" s="8" t="s">
        <v>1432</v>
      </c>
    </row>
    <row r="29" customFormat="false" ht="29.25" hidden="false" customHeight="true" outlineLevel="0" collapsed="false">
      <c r="A29" s="11" t="s">
        <v>2550</v>
      </c>
      <c r="B29" s="9" t="s">
        <v>2551</v>
      </c>
      <c r="C29" s="8" t="s">
        <v>2552</v>
      </c>
      <c r="D29" s="8" t="s">
        <v>2553</v>
      </c>
      <c r="E29" s="8" t="s">
        <v>2554</v>
      </c>
    </row>
    <row r="30" customFormat="false" ht="42" hidden="false" customHeight="true" outlineLevel="0" collapsed="false">
      <c r="A30" s="11" t="s">
        <v>2555</v>
      </c>
      <c r="B30" s="8" t="s">
        <v>2556</v>
      </c>
      <c r="C30" s="9" t="s">
        <v>2557</v>
      </c>
      <c r="D30" s="8" t="s">
        <v>2558</v>
      </c>
      <c r="E30" s="8" t="s">
        <v>2559</v>
      </c>
    </row>
    <row r="31" customFormat="false" ht="42" hidden="false" customHeight="true" outlineLevel="0" collapsed="false">
      <c r="A31" s="11" t="s">
        <v>2560</v>
      </c>
      <c r="B31" s="9" t="s">
        <v>2561</v>
      </c>
      <c r="C31" s="9" t="s">
        <v>2562</v>
      </c>
      <c r="D31" s="8" t="s">
        <v>2563</v>
      </c>
      <c r="E31" s="8" t="s">
        <v>2564</v>
      </c>
    </row>
    <row r="32" customFormat="false" ht="29.25" hidden="false" customHeight="true" outlineLevel="0" collapsed="false">
      <c r="A32" s="11" t="s">
        <v>2565</v>
      </c>
      <c r="B32" s="8" t="s">
        <v>2566</v>
      </c>
      <c r="C32" s="9" t="s">
        <v>2567</v>
      </c>
      <c r="D32" s="8" t="s">
        <v>2568</v>
      </c>
      <c r="E32" s="8" t="s">
        <v>2569</v>
      </c>
    </row>
  </sheetData>
  <mergeCells count="11">
    <mergeCell ref="B5:E5"/>
    <mergeCell ref="B6:E6"/>
    <mergeCell ref="B7:E7"/>
    <mergeCell ref="B8:E8"/>
    <mergeCell ref="B9:E9"/>
    <mergeCell ref="B10:E10"/>
    <mergeCell ref="B11:E11"/>
    <mergeCell ref="B12:E12"/>
    <mergeCell ref="B13:E13"/>
    <mergeCell ref="B14:E14"/>
    <mergeCell ref="B15:E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42"/>
    <col collapsed="false" customWidth="true" hidden="false" outlineLevel="0" max="4" min="4" style="1" width="46"/>
    <col collapsed="false" customWidth="true" hidden="false" outlineLevel="0" max="5" min="5" style="1" width="40"/>
    <col collapsed="false" customWidth="true" hidden="false" outlineLevel="0" max="6" min="6" style="1" width="18"/>
  </cols>
  <sheetData>
    <row r="1" customFormat="false" ht="24" hidden="false" customHeight="true" outlineLevel="0" collapsed="false">
      <c r="A1" s="2" t="s">
        <v>2570</v>
      </c>
    </row>
    <row r="2" customFormat="false" ht="15" hidden="false" customHeight="true" outlineLevel="0" collapsed="false">
      <c r="A2" s="20" t="s">
        <v>2571</v>
      </c>
    </row>
    <row r="4" customFormat="false" ht="18" hidden="false" customHeight="true" outlineLevel="0" collapsed="false">
      <c r="A4" s="39" t="s">
        <v>2572</v>
      </c>
      <c r="B4" s="5"/>
      <c r="C4" s="5"/>
      <c r="D4" s="5"/>
      <c r="E4" s="5"/>
      <c r="F4" s="5"/>
    </row>
    <row r="5" customFormat="false" ht="19.5" hidden="false" customHeight="true" outlineLevel="0" collapsed="false">
      <c r="A5" s="23" t="s">
        <v>1876</v>
      </c>
      <c r="B5" s="23" t="s">
        <v>2480</v>
      </c>
      <c r="C5" s="23"/>
      <c r="D5" s="23"/>
      <c r="E5" s="23"/>
      <c r="F5" s="23"/>
    </row>
    <row r="6" customFormat="false" ht="16.5" hidden="false" customHeight="true" outlineLevel="0" collapsed="false">
      <c r="A6" s="6" t="s">
        <v>2573</v>
      </c>
      <c r="B6" s="9" t="s">
        <v>2574</v>
      </c>
      <c r="C6" s="9"/>
      <c r="D6" s="9"/>
      <c r="E6" s="9"/>
      <c r="F6" s="9"/>
    </row>
    <row r="7" customFormat="false" ht="16.5" hidden="false" customHeight="true" outlineLevel="0" collapsed="false">
      <c r="A7" s="6" t="s">
        <v>2575</v>
      </c>
      <c r="B7" s="8" t="s">
        <v>2576</v>
      </c>
      <c r="C7" s="8"/>
      <c r="D7" s="8"/>
      <c r="E7" s="8"/>
      <c r="F7" s="8"/>
    </row>
    <row r="8" customFormat="false" ht="16.5" hidden="false" customHeight="true" outlineLevel="0" collapsed="false">
      <c r="A8" s="6" t="s">
        <v>2577</v>
      </c>
      <c r="B8" s="9" t="s">
        <v>2578</v>
      </c>
      <c r="C8" s="9"/>
      <c r="D8" s="9"/>
      <c r="E8" s="9"/>
      <c r="F8" s="9"/>
    </row>
    <row r="9" customFormat="false" ht="16.5" hidden="false" customHeight="true" outlineLevel="0" collapsed="false">
      <c r="A9" s="6" t="s">
        <v>1578</v>
      </c>
      <c r="B9" s="9" t="s">
        <v>2579</v>
      </c>
      <c r="C9" s="9"/>
      <c r="D9" s="9"/>
      <c r="E9" s="9"/>
      <c r="F9" s="9"/>
    </row>
    <row r="10" customFormat="false" ht="16.5" hidden="false" customHeight="true" outlineLevel="0" collapsed="false">
      <c r="A10" s="11" t="s">
        <v>2580</v>
      </c>
      <c r="B10" s="8" t="s">
        <v>2581</v>
      </c>
      <c r="C10" s="8"/>
      <c r="D10" s="8"/>
      <c r="E10" s="8"/>
      <c r="F10" s="8"/>
    </row>
    <row r="11" customFormat="false" ht="16.5" hidden="false" customHeight="true" outlineLevel="0" collapsed="false">
      <c r="A11" s="6" t="s">
        <v>2582</v>
      </c>
      <c r="B11" s="8" t="s">
        <v>2583</v>
      </c>
      <c r="C11" s="8"/>
      <c r="D11" s="8"/>
      <c r="E11" s="8"/>
      <c r="F11" s="8"/>
    </row>
    <row r="12" customFormat="false" ht="16.5" hidden="false" customHeight="true" outlineLevel="0" collapsed="false">
      <c r="A12" s="6" t="s">
        <v>2584</v>
      </c>
      <c r="B12" s="9" t="s">
        <v>2585</v>
      </c>
      <c r="C12" s="9"/>
      <c r="D12" s="9"/>
      <c r="E12" s="9"/>
      <c r="F12" s="9"/>
    </row>
    <row r="14" customFormat="false" ht="18" hidden="false" customHeight="true" outlineLevel="0" collapsed="false">
      <c r="A14" s="39" t="s">
        <v>2586</v>
      </c>
      <c r="B14" s="5"/>
      <c r="C14" s="5"/>
      <c r="D14" s="5"/>
      <c r="E14" s="5"/>
      <c r="F14" s="5"/>
    </row>
    <row r="15" customFormat="false" ht="19.5" hidden="false" customHeight="true" outlineLevel="0" collapsed="false">
      <c r="A15" s="23" t="s">
        <v>2587</v>
      </c>
      <c r="B15" s="23" t="s">
        <v>2480</v>
      </c>
      <c r="C15" s="23" t="s">
        <v>2588</v>
      </c>
    </row>
    <row r="16" customFormat="false" ht="16.5" hidden="false" customHeight="true" outlineLevel="0" collapsed="false">
      <c r="A16" s="6" t="s">
        <v>2589</v>
      </c>
      <c r="B16" s="9" t="s">
        <v>2590</v>
      </c>
      <c r="C16" s="8" t="s">
        <v>2591</v>
      </c>
    </row>
    <row r="17" customFormat="false" ht="29.25" hidden="false" customHeight="true" outlineLevel="0" collapsed="false">
      <c r="A17" s="6" t="s">
        <v>2592</v>
      </c>
      <c r="B17" s="9" t="s">
        <v>2593</v>
      </c>
      <c r="C17" s="9" t="s">
        <v>2594</v>
      </c>
    </row>
    <row r="18" customFormat="false" ht="29.25" hidden="false" customHeight="true" outlineLevel="0" collapsed="false">
      <c r="A18" s="6" t="s">
        <v>2595</v>
      </c>
      <c r="B18" s="9" t="s">
        <v>2596</v>
      </c>
      <c r="C18" s="9" t="s">
        <v>2597</v>
      </c>
    </row>
    <row r="19" customFormat="false" ht="29.25" hidden="false" customHeight="true" outlineLevel="0" collapsed="false">
      <c r="A19" s="6" t="s">
        <v>2598</v>
      </c>
      <c r="B19" s="9" t="s">
        <v>2599</v>
      </c>
      <c r="C19" s="8" t="s">
        <v>2600</v>
      </c>
    </row>
    <row r="21" customFormat="false" ht="18" hidden="false" customHeight="true" outlineLevel="0" collapsed="false">
      <c r="A21" s="39" t="s">
        <v>2601</v>
      </c>
      <c r="B21" s="5"/>
      <c r="C21" s="5"/>
      <c r="D21" s="5"/>
      <c r="E21" s="5"/>
      <c r="F21" s="5"/>
    </row>
    <row r="22" customFormat="false" ht="19.5" hidden="false" customHeight="true" outlineLevel="0" collapsed="false">
      <c r="A22" s="23" t="s">
        <v>2602</v>
      </c>
      <c r="B22" s="23" t="s">
        <v>2603</v>
      </c>
      <c r="C22" s="22" t="s">
        <v>2604</v>
      </c>
      <c r="D22" s="23" t="s">
        <v>2605</v>
      </c>
      <c r="E22" s="23" t="s">
        <v>2606</v>
      </c>
      <c r="F22" s="23" t="s">
        <v>2607</v>
      </c>
    </row>
    <row r="23" customFormat="false" ht="29.25" hidden="false" customHeight="true" outlineLevel="0" collapsed="false">
      <c r="A23" s="6" t="s">
        <v>2119</v>
      </c>
      <c r="B23" s="8" t="s">
        <v>2608</v>
      </c>
      <c r="C23" s="8" t="s">
        <v>2609</v>
      </c>
      <c r="D23" s="8" t="s">
        <v>2610</v>
      </c>
      <c r="E23" s="8" t="s">
        <v>2611</v>
      </c>
      <c r="F23" s="9" t="s">
        <v>2589</v>
      </c>
    </row>
    <row r="24" customFormat="false" ht="42" hidden="false" customHeight="true" outlineLevel="0" collapsed="false">
      <c r="A24" s="6" t="s">
        <v>2612</v>
      </c>
      <c r="B24" s="8" t="s">
        <v>2117</v>
      </c>
      <c r="C24" s="8" t="s">
        <v>2613</v>
      </c>
      <c r="D24" s="9" t="s">
        <v>2614</v>
      </c>
      <c r="E24" s="8" t="s">
        <v>2615</v>
      </c>
      <c r="F24" s="9" t="s">
        <v>2589</v>
      </c>
    </row>
    <row r="25" customFormat="false" ht="42" hidden="false" customHeight="true" outlineLevel="0" collapsed="false">
      <c r="A25" s="6" t="s">
        <v>2616</v>
      </c>
      <c r="B25" s="9" t="s">
        <v>2617</v>
      </c>
      <c r="C25" s="8" t="s">
        <v>2618</v>
      </c>
      <c r="D25" s="8" t="s">
        <v>2619</v>
      </c>
      <c r="E25" s="8" t="s">
        <v>2620</v>
      </c>
      <c r="F25" s="9" t="s">
        <v>2589</v>
      </c>
    </row>
    <row r="26" customFormat="false" ht="42" hidden="false" customHeight="true" outlineLevel="0" collapsed="false">
      <c r="A26" s="6" t="s">
        <v>2621</v>
      </c>
      <c r="B26" s="8" t="s">
        <v>2622</v>
      </c>
      <c r="C26" s="8" t="s">
        <v>2623</v>
      </c>
      <c r="D26" s="9" t="s">
        <v>2624</v>
      </c>
      <c r="E26" s="8" t="s">
        <v>2625</v>
      </c>
      <c r="F26" s="9" t="s">
        <v>2589</v>
      </c>
    </row>
    <row r="27" customFormat="false" ht="42" hidden="false" customHeight="true" outlineLevel="0" collapsed="false">
      <c r="A27" s="6" t="s">
        <v>2626</v>
      </c>
      <c r="B27" s="8" t="s">
        <v>2627</v>
      </c>
      <c r="C27" s="8" t="s">
        <v>2628</v>
      </c>
      <c r="D27" s="8" t="s">
        <v>2629</v>
      </c>
      <c r="E27" s="8" t="s">
        <v>2630</v>
      </c>
      <c r="F27" s="9" t="s">
        <v>2631</v>
      </c>
    </row>
    <row r="28" customFormat="false" ht="42" hidden="false" customHeight="true" outlineLevel="0" collapsed="false">
      <c r="A28" s="6" t="s">
        <v>2632</v>
      </c>
      <c r="B28" s="8" t="s">
        <v>2633</v>
      </c>
      <c r="C28" s="8" t="s">
        <v>2634</v>
      </c>
      <c r="D28" s="8" t="s">
        <v>2635</v>
      </c>
      <c r="E28" s="8" t="s">
        <v>2636</v>
      </c>
      <c r="F28" s="9" t="s">
        <v>2589</v>
      </c>
    </row>
    <row r="29" customFormat="false" ht="29.25" hidden="false" customHeight="true" outlineLevel="0" collapsed="false">
      <c r="A29" s="6" t="s">
        <v>2637</v>
      </c>
      <c r="B29" s="8" t="s">
        <v>2638</v>
      </c>
      <c r="C29" s="8" t="s">
        <v>2639</v>
      </c>
      <c r="D29" s="8" t="s">
        <v>2640</v>
      </c>
      <c r="E29" s="8" t="s">
        <v>2641</v>
      </c>
      <c r="F29" s="9" t="s">
        <v>2642</v>
      </c>
    </row>
    <row r="30" customFormat="false" ht="29.25" hidden="false" customHeight="true" outlineLevel="0" collapsed="false">
      <c r="A30" s="6" t="s">
        <v>2643</v>
      </c>
      <c r="B30" s="8" t="s">
        <v>2021</v>
      </c>
      <c r="C30" s="8" t="s">
        <v>2644</v>
      </c>
      <c r="D30" s="8" t="s">
        <v>2645</v>
      </c>
      <c r="E30" s="8" t="s">
        <v>2646</v>
      </c>
      <c r="F30" s="9" t="s">
        <v>2589</v>
      </c>
    </row>
    <row r="31" customFormat="false" ht="29.25" hidden="false" customHeight="true" outlineLevel="0" collapsed="false">
      <c r="A31" s="11" t="s">
        <v>2647</v>
      </c>
      <c r="B31" s="8" t="s">
        <v>2127</v>
      </c>
      <c r="C31" s="8" t="s">
        <v>2648</v>
      </c>
      <c r="D31" s="9" t="s">
        <v>2649</v>
      </c>
      <c r="E31" s="8" t="s">
        <v>2650</v>
      </c>
      <c r="F31" s="9" t="s">
        <v>2589</v>
      </c>
    </row>
    <row r="32" customFormat="false" ht="29.25" hidden="false" customHeight="true" outlineLevel="0" collapsed="false">
      <c r="A32" s="6" t="s">
        <v>2651</v>
      </c>
      <c r="B32" s="8" t="s">
        <v>2652</v>
      </c>
      <c r="C32" s="8" t="s">
        <v>2653</v>
      </c>
      <c r="D32" s="9" t="s">
        <v>2654</v>
      </c>
      <c r="E32" s="8" t="s">
        <v>2655</v>
      </c>
      <c r="F32" s="9" t="s">
        <v>2656</v>
      </c>
    </row>
    <row r="33" customFormat="false" ht="29.25" hidden="false" customHeight="true" outlineLevel="0" collapsed="false">
      <c r="A33" s="6" t="s">
        <v>2657</v>
      </c>
      <c r="B33" s="8" t="s">
        <v>2092</v>
      </c>
      <c r="C33" s="8" t="s">
        <v>2658</v>
      </c>
      <c r="D33" s="9" t="s">
        <v>2659</v>
      </c>
      <c r="E33" s="8" t="s">
        <v>2660</v>
      </c>
      <c r="F33" s="9" t="s">
        <v>2592</v>
      </c>
    </row>
    <row r="34" customFormat="false" ht="29.25" hidden="false" customHeight="true" outlineLevel="0" collapsed="false">
      <c r="A34" s="6" t="s">
        <v>2661</v>
      </c>
      <c r="B34" s="8" t="s">
        <v>2662</v>
      </c>
      <c r="C34" s="8" t="s">
        <v>2663</v>
      </c>
      <c r="D34" s="9" t="s">
        <v>2664</v>
      </c>
      <c r="E34" s="8" t="s">
        <v>2665</v>
      </c>
      <c r="F34" s="9" t="s">
        <v>2642</v>
      </c>
    </row>
    <row r="35" customFormat="false" ht="29.25" hidden="false" customHeight="true" outlineLevel="0" collapsed="false">
      <c r="A35" s="6" t="s">
        <v>1943</v>
      </c>
      <c r="B35" s="8" t="s">
        <v>1946</v>
      </c>
      <c r="C35" s="8" t="s">
        <v>2666</v>
      </c>
      <c r="D35" s="8" t="s">
        <v>2667</v>
      </c>
      <c r="E35" s="8" t="s">
        <v>2668</v>
      </c>
      <c r="F35" s="9" t="s">
        <v>2589</v>
      </c>
    </row>
    <row r="36" customFormat="false" ht="29.25" hidden="false" customHeight="true" outlineLevel="0" collapsed="false">
      <c r="A36" s="6" t="s">
        <v>2669</v>
      </c>
      <c r="B36" s="8" t="s">
        <v>2670</v>
      </c>
      <c r="C36" s="8" t="s">
        <v>2671</v>
      </c>
      <c r="D36" s="8" t="s">
        <v>2672</v>
      </c>
      <c r="E36" s="8" t="s">
        <v>2673</v>
      </c>
      <c r="F36" s="9" t="s">
        <v>2589</v>
      </c>
    </row>
    <row r="37" customFormat="false" ht="29.25" hidden="false" customHeight="true" outlineLevel="0" collapsed="false">
      <c r="A37" s="6" t="s">
        <v>2674</v>
      </c>
      <c r="B37" s="8" t="s">
        <v>1961</v>
      </c>
      <c r="C37" s="8" t="s">
        <v>2675</v>
      </c>
      <c r="D37" s="9" t="s">
        <v>2676</v>
      </c>
      <c r="E37" s="8" t="s">
        <v>2677</v>
      </c>
      <c r="F37" s="9" t="s">
        <v>2589</v>
      </c>
    </row>
    <row r="38" customFormat="false" ht="29.25" hidden="false" customHeight="true" outlineLevel="0" collapsed="false">
      <c r="A38" s="6" t="s">
        <v>2678</v>
      </c>
      <c r="B38" s="8" t="s">
        <v>2679</v>
      </c>
      <c r="C38" s="8" t="s">
        <v>2680</v>
      </c>
      <c r="D38" s="9" t="s">
        <v>2681</v>
      </c>
      <c r="E38" s="8" t="s">
        <v>2682</v>
      </c>
      <c r="F38" s="9" t="s">
        <v>2589</v>
      </c>
    </row>
    <row r="39" customFormat="false" ht="29.25" hidden="false" customHeight="true" outlineLevel="0" collapsed="false">
      <c r="A39" s="6" t="s">
        <v>2109</v>
      </c>
      <c r="B39" s="8" t="s">
        <v>2683</v>
      </c>
      <c r="C39" s="8" t="s">
        <v>2684</v>
      </c>
      <c r="D39" s="8" t="s">
        <v>2685</v>
      </c>
      <c r="E39" s="8" t="s">
        <v>2686</v>
      </c>
      <c r="F39" s="9" t="s">
        <v>2589</v>
      </c>
    </row>
    <row r="40" customFormat="false" ht="29.25" hidden="false" customHeight="true" outlineLevel="0" collapsed="false">
      <c r="A40" s="6" t="s">
        <v>2687</v>
      </c>
      <c r="B40" s="8" t="s">
        <v>1961</v>
      </c>
      <c r="C40" s="8" t="s">
        <v>2688</v>
      </c>
      <c r="D40" s="9" t="s">
        <v>2689</v>
      </c>
      <c r="E40" s="8" t="s">
        <v>2690</v>
      </c>
      <c r="F40" s="9" t="s">
        <v>2592</v>
      </c>
    </row>
    <row r="41" customFormat="false" ht="16.5" hidden="false" customHeight="true" outlineLevel="0" collapsed="false">
      <c r="A41" s="6" t="s">
        <v>2691</v>
      </c>
      <c r="B41" s="9" t="s">
        <v>2692</v>
      </c>
      <c r="C41" s="8" t="s">
        <v>2693</v>
      </c>
      <c r="D41" s="8" t="s">
        <v>2694</v>
      </c>
      <c r="E41" s="8" t="s">
        <v>294</v>
      </c>
      <c r="F41" s="9" t="s">
        <v>2598</v>
      </c>
    </row>
    <row r="42" customFormat="false" ht="16.5" hidden="false" customHeight="true" outlineLevel="0" collapsed="false">
      <c r="A42" s="60" t="s">
        <v>2695</v>
      </c>
      <c r="B42" s="60"/>
      <c r="C42" s="60"/>
      <c r="D42" s="60"/>
      <c r="E42" s="60"/>
      <c r="F42" s="60"/>
    </row>
    <row r="44" customFormat="false" ht="18" hidden="false" customHeight="true" outlineLevel="0" collapsed="false">
      <c r="A44" s="39" t="s">
        <v>2696</v>
      </c>
      <c r="B44" s="5"/>
      <c r="C44" s="5"/>
      <c r="D44" s="5"/>
      <c r="E44" s="5"/>
      <c r="F44" s="5"/>
    </row>
    <row r="45" customFormat="false" ht="19.5" hidden="false" customHeight="true" outlineLevel="0" collapsed="false">
      <c r="A45" s="23" t="s">
        <v>2697</v>
      </c>
      <c r="B45" s="23" t="s">
        <v>2698</v>
      </c>
      <c r="C45" s="23" t="s">
        <v>2417</v>
      </c>
      <c r="D45" s="23" t="s">
        <v>393</v>
      </c>
    </row>
    <row r="46" customFormat="false" ht="16.5" hidden="false" customHeight="true" outlineLevel="0" collapsed="false">
      <c r="A46" s="11" t="s">
        <v>2699</v>
      </c>
      <c r="B46" s="9" t="s">
        <v>2700</v>
      </c>
      <c r="C46" s="8" t="s">
        <v>2701</v>
      </c>
      <c r="D46" s="9" t="s">
        <v>2702</v>
      </c>
    </row>
    <row r="47" customFormat="false" ht="16.5" hidden="false" customHeight="true" outlineLevel="0" collapsed="false">
      <c r="A47" s="11" t="s">
        <v>2703</v>
      </c>
      <c r="B47" s="9" t="s">
        <v>2704</v>
      </c>
      <c r="C47" s="8" t="s">
        <v>2705</v>
      </c>
      <c r="D47" s="9" t="s">
        <v>2706</v>
      </c>
    </row>
    <row r="48" customFormat="false" ht="29.25" hidden="false" customHeight="true" outlineLevel="0" collapsed="false">
      <c r="A48" s="11" t="s">
        <v>2699</v>
      </c>
      <c r="B48" s="9" t="s">
        <v>2707</v>
      </c>
      <c r="C48" s="8" t="s">
        <v>2708</v>
      </c>
      <c r="D48" s="9" t="s">
        <v>2709</v>
      </c>
    </row>
    <row r="49" customFormat="false" ht="16.5" hidden="false" customHeight="true" outlineLevel="0" collapsed="false">
      <c r="A49" s="11" t="s">
        <v>2703</v>
      </c>
      <c r="B49" s="9" t="s">
        <v>2710</v>
      </c>
      <c r="C49" s="8" t="s">
        <v>2711</v>
      </c>
      <c r="D49" s="9" t="s">
        <v>2712</v>
      </c>
    </row>
    <row r="50" customFormat="false" ht="29.25" hidden="false" customHeight="true" outlineLevel="0" collapsed="false">
      <c r="A50" s="11" t="s">
        <v>2699</v>
      </c>
      <c r="B50" s="9" t="s">
        <v>2713</v>
      </c>
      <c r="C50" s="8" t="s">
        <v>2714</v>
      </c>
      <c r="D50" s="9" t="s">
        <v>2715</v>
      </c>
    </row>
    <row r="51" customFormat="false" ht="16.5" hidden="false" customHeight="true" outlineLevel="0" collapsed="false">
      <c r="A51" s="11" t="s">
        <v>2703</v>
      </c>
      <c r="B51" s="8" t="s">
        <v>2716</v>
      </c>
      <c r="C51" s="8" t="s">
        <v>2717</v>
      </c>
      <c r="D51" s="9" t="s">
        <v>2718</v>
      </c>
    </row>
    <row r="52" customFormat="false" ht="29.25" hidden="false" customHeight="true" outlineLevel="0" collapsed="false">
      <c r="A52" s="11" t="s">
        <v>2699</v>
      </c>
      <c r="B52" s="9" t="s">
        <v>2719</v>
      </c>
      <c r="C52" s="8" t="s">
        <v>2720</v>
      </c>
      <c r="D52" s="9" t="s">
        <v>2721</v>
      </c>
    </row>
    <row r="53" customFormat="false" ht="16.5" hidden="false" customHeight="true" outlineLevel="0" collapsed="false">
      <c r="A53" s="60" t="s">
        <v>2722</v>
      </c>
      <c r="B53" s="60"/>
      <c r="C53" s="60"/>
      <c r="D53" s="60"/>
      <c r="E53" s="60"/>
      <c r="F53" s="60"/>
    </row>
  </sheetData>
  <mergeCells count="10">
    <mergeCell ref="B5:F5"/>
    <mergeCell ref="B6:F6"/>
    <mergeCell ref="B7:F7"/>
    <mergeCell ref="B8:F8"/>
    <mergeCell ref="B9:F9"/>
    <mergeCell ref="B10:F10"/>
    <mergeCell ref="B11:F11"/>
    <mergeCell ref="B12:F12"/>
    <mergeCell ref="A42:F42"/>
    <mergeCell ref="A53:F5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E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66"/>
    <col collapsed="false" customWidth="true" hidden="false" outlineLevel="0" max="4" min="4" style="1" width="52"/>
    <col collapsed="false" customWidth="true" hidden="false" outlineLevel="0" max="5" min="5" style="1" width="13"/>
  </cols>
  <sheetData>
    <row r="1" customFormat="false" ht="24" hidden="false" customHeight="true" outlineLevel="0" collapsed="false">
      <c r="A1" s="21" t="s">
        <v>2723</v>
      </c>
    </row>
    <row r="2" customFormat="false" ht="15" hidden="false" customHeight="true" outlineLevel="0" collapsed="false">
      <c r="A2" s="20" t="s">
        <v>2724</v>
      </c>
    </row>
    <row r="4" customFormat="false" ht="18" hidden="false" customHeight="true" outlineLevel="0" collapsed="false">
      <c r="A4" s="39" t="s">
        <v>2725</v>
      </c>
      <c r="B4" s="5"/>
      <c r="C4" s="5"/>
      <c r="D4" s="5"/>
    </row>
    <row r="5" customFormat="false" ht="19.5" hidden="false" customHeight="true" outlineLevel="0" collapsed="false">
      <c r="A5" s="22" t="s">
        <v>83</v>
      </c>
      <c r="B5" s="23" t="s">
        <v>60</v>
      </c>
      <c r="C5" s="23" t="s">
        <v>2480</v>
      </c>
      <c r="D5" s="23" t="s">
        <v>2726</v>
      </c>
    </row>
    <row r="6" customFormat="false" ht="16.5" hidden="false" customHeight="true" outlineLevel="0" collapsed="false">
      <c r="A6" s="24" t="s">
        <v>1879</v>
      </c>
      <c r="B6" s="9" t="s">
        <v>2727</v>
      </c>
      <c r="C6" s="9" t="s">
        <v>2728</v>
      </c>
      <c r="D6" s="8" t="s">
        <v>2729</v>
      </c>
    </row>
    <row r="7" customFormat="false" ht="29.25" hidden="false" customHeight="true" outlineLevel="0" collapsed="false">
      <c r="A7" s="24" t="s">
        <v>1883</v>
      </c>
      <c r="B7" s="9" t="s">
        <v>2730</v>
      </c>
      <c r="C7" s="9" t="s">
        <v>2731</v>
      </c>
      <c r="D7" s="8" t="s">
        <v>2732</v>
      </c>
    </row>
    <row r="8" customFormat="false" ht="29.25" hidden="false" customHeight="true" outlineLevel="0" collapsed="false">
      <c r="A8" s="24" t="s">
        <v>1887</v>
      </c>
      <c r="B8" s="9" t="s">
        <v>2733</v>
      </c>
      <c r="C8" s="9" t="s">
        <v>2734</v>
      </c>
      <c r="D8" s="8" t="s">
        <v>2735</v>
      </c>
    </row>
    <row r="9" customFormat="false" ht="29.25" hidden="false" customHeight="true" outlineLevel="0" collapsed="false">
      <c r="A9" s="24" t="s">
        <v>1891</v>
      </c>
      <c r="B9" s="9" t="s">
        <v>2736</v>
      </c>
      <c r="C9" s="9" t="s">
        <v>2737</v>
      </c>
      <c r="D9" s="8" t="s">
        <v>2738</v>
      </c>
    </row>
    <row r="10" customFormat="false" ht="29.25" hidden="false" customHeight="true" outlineLevel="0" collapsed="false">
      <c r="A10" s="24" t="s">
        <v>2210</v>
      </c>
      <c r="B10" s="9" t="s">
        <v>2739</v>
      </c>
      <c r="C10" s="9" t="s">
        <v>2740</v>
      </c>
      <c r="D10" s="8" t="s">
        <v>2741</v>
      </c>
    </row>
    <row r="11" customFormat="false" ht="29.25" hidden="false" customHeight="true" outlineLevel="0" collapsed="false">
      <c r="A11" s="24" t="s">
        <v>2214</v>
      </c>
      <c r="B11" s="9" t="s">
        <v>2742</v>
      </c>
      <c r="C11" s="9" t="s">
        <v>2743</v>
      </c>
      <c r="D11" s="8" t="s">
        <v>2744</v>
      </c>
    </row>
    <row r="12" customFormat="false" ht="16.5" hidden="false" customHeight="true" outlineLevel="0" collapsed="false">
      <c r="A12" s="24" t="s">
        <v>2218</v>
      </c>
      <c r="B12" s="9" t="s">
        <v>2745</v>
      </c>
      <c r="C12" s="9" t="s">
        <v>2746</v>
      </c>
      <c r="D12" s="8" t="s">
        <v>2747</v>
      </c>
    </row>
    <row r="13" customFormat="false" ht="29.25" hidden="false" customHeight="true" outlineLevel="0" collapsed="false">
      <c r="A13" s="24" t="s">
        <v>2222</v>
      </c>
      <c r="B13" s="9" t="s">
        <v>2748</v>
      </c>
      <c r="C13" s="9" t="s">
        <v>2749</v>
      </c>
      <c r="D13" s="8" t="s">
        <v>2750</v>
      </c>
    </row>
    <row r="14" customFormat="false" ht="42" hidden="false" customHeight="true" outlineLevel="0" collapsed="false">
      <c r="A14" s="24" t="s">
        <v>2226</v>
      </c>
      <c r="B14" s="9" t="s">
        <v>2751</v>
      </c>
      <c r="C14" s="8" t="s">
        <v>2752</v>
      </c>
      <c r="D14" s="8" t="s">
        <v>2753</v>
      </c>
    </row>
    <row r="15" customFormat="false" ht="42" hidden="false" customHeight="true" outlineLevel="0" collapsed="false">
      <c r="A15" s="24" t="s">
        <v>2231</v>
      </c>
      <c r="B15" s="9" t="s">
        <v>2754</v>
      </c>
      <c r="C15" s="9" t="s">
        <v>2755</v>
      </c>
      <c r="D15" s="8" t="s">
        <v>2756</v>
      </c>
    </row>
    <row r="16" customFormat="false" ht="16.5" hidden="false" customHeight="true" outlineLevel="0" collapsed="false">
      <c r="A16" s="24" t="s">
        <v>2235</v>
      </c>
      <c r="B16" s="9" t="s">
        <v>94</v>
      </c>
      <c r="C16" s="9" t="s">
        <v>2757</v>
      </c>
      <c r="D16" s="8"/>
    </row>
    <row r="17" customFormat="false" ht="29.25" hidden="false" customHeight="true" outlineLevel="0" collapsed="false">
      <c r="A17" s="24" t="s">
        <v>2239</v>
      </c>
      <c r="B17" s="8" t="s">
        <v>2758</v>
      </c>
      <c r="C17" s="9" t="s">
        <v>2759</v>
      </c>
      <c r="D17" s="8" t="s">
        <v>2760</v>
      </c>
    </row>
    <row r="18" customFormat="false" ht="16.5" hidden="false" customHeight="true" outlineLevel="0" collapsed="false">
      <c r="A18" s="24" t="s">
        <v>2243</v>
      </c>
      <c r="B18" s="8" t="s">
        <v>2761</v>
      </c>
      <c r="C18" s="9" t="s">
        <v>2762</v>
      </c>
      <c r="D18" s="8" t="s">
        <v>2763</v>
      </c>
    </row>
    <row r="19" customFormat="false" ht="16.5" hidden="false" customHeight="true" outlineLevel="0" collapsed="false">
      <c r="A19" s="24" t="s">
        <v>2247</v>
      </c>
      <c r="B19" s="9" t="s">
        <v>2764</v>
      </c>
      <c r="C19" s="8" t="s">
        <v>2765</v>
      </c>
      <c r="D19" s="8"/>
    </row>
    <row r="20" customFormat="false" ht="16.5" hidden="false" customHeight="true" outlineLevel="0" collapsed="false">
      <c r="A20" s="24" t="s">
        <v>2251</v>
      </c>
      <c r="B20" s="9" t="s">
        <v>2766</v>
      </c>
      <c r="C20" s="8" t="s">
        <v>2767</v>
      </c>
      <c r="D20" s="8" t="s">
        <v>2768</v>
      </c>
    </row>
    <row r="21" customFormat="false" ht="29.25" hidden="false" customHeight="true" outlineLevel="0" collapsed="false">
      <c r="A21" s="24" t="s">
        <v>2255</v>
      </c>
      <c r="B21" s="9" t="s">
        <v>2769</v>
      </c>
      <c r="C21" s="9" t="s">
        <v>2770</v>
      </c>
      <c r="D21" s="8" t="s">
        <v>2771</v>
      </c>
    </row>
    <row r="22" customFormat="false" ht="54.75" hidden="false" customHeight="true" outlineLevel="0" collapsed="false">
      <c r="A22" s="24" t="s">
        <v>2258</v>
      </c>
      <c r="B22" s="9" t="s">
        <v>2772</v>
      </c>
      <c r="C22" s="9" t="s">
        <v>2773</v>
      </c>
      <c r="D22" s="8" t="s">
        <v>2774</v>
      </c>
    </row>
    <row r="23" customFormat="false" ht="29.25" hidden="false" customHeight="true" outlineLevel="0" collapsed="false">
      <c r="A23" s="24" t="s">
        <v>2261</v>
      </c>
      <c r="B23" s="9" t="s">
        <v>2775</v>
      </c>
      <c r="C23" s="9" t="s">
        <v>2776</v>
      </c>
      <c r="D23" s="8" t="s">
        <v>2777</v>
      </c>
    </row>
    <row r="24" customFormat="false" ht="42" hidden="false" customHeight="true" outlineLevel="0" collapsed="false">
      <c r="A24" s="24" t="s">
        <v>2264</v>
      </c>
      <c r="B24" s="9" t="s">
        <v>2778</v>
      </c>
      <c r="C24" s="9" t="s">
        <v>2779</v>
      </c>
      <c r="D24" s="8" t="s">
        <v>2780</v>
      </c>
    </row>
    <row r="26" customFormat="false" ht="15" hidden="false" customHeight="true" outlineLevel="0" collapsed="false">
      <c r="A26" s="39" t="s">
        <v>2781</v>
      </c>
    </row>
    <row r="27" customFormat="false" ht="15" hidden="false" customHeight="true" outlineLevel="0" collapsed="false">
      <c r="A27" s="22" t="s">
        <v>83</v>
      </c>
      <c r="B27" s="23" t="s">
        <v>2782</v>
      </c>
      <c r="C27" s="23" t="s">
        <v>2783</v>
      </c>
      <c r="D27" s="23" t="s">
        <v>2784</v>
      </c>
    </row>
    <row r="28" customFormat="false" ht="15" hidden="false" customHeight="true" outlineLevel="0" collapsed="false">
      <c r="A28" s="24" t="s">
        <v>1879</v>
      </c>
      <c r="B28" s="27" t="s">
        <v>2785</v>
      </c>
      <c r="C28" s="8" t="s">
        <v>2786</v>
      </c>
      <c r="D28" s="27" t="s">
        <v>219</v>
      </c>
    </row>
    <row r="29" customFormat="false" ht="15" hidden="false" customHeight="true" outlineLevel="0" collapsed="false">
      <c r="A29" s="24" t="s">
        <v>1883</v>
      </c>
      <c r="B29" s="27" t="s">
        <v>2787</v>
      </c>
      <c r="C29" s="8" t="s">
        <v>2788</v>
      </c>
      <c r="D29" s="27" t="s">
        <v>219</v>
      </c>
    </row>
    <row r="30" customFormat="false" ht="15" hidden="false" customHeight="true" outlineLevel="0" collapsed="false">
      <c r="A30" s="24" t="s">
        <v>1887</v>
      </c>
      <c r="B30" s="9" t="s">
        <v>2789</v>
      </c>
      <c r="C30" s="8" t="s">
        <v>2790</v>
      </c>
      <c r="D30" s="27" t="s">
        <v>219</v>
      </c>
    </row>
    <row r="31" customFormat="false" ht="15" hidden="false" customHeight="true" outlineLevel="0" collapsed="false">
      <c r="A31" s="24" t="s">
        <v>1891</v>
      </c>
      <c r="B31" s="9" t="s">
        <v>2791</v>
      </c>
      <c r="C31" s="8" t="s">
        <v>2792</v>
      </c>
      <c r="D31" s="27" t="s">
        <v>174</v>
      </c>
    </row>
    <row r="32" customFormat="false" ht="15" hidden="false" customHeight="true" outlineLevel="0" collapsed="false">
      <c r="A32" s="24" t="s">
        <v>2210</v>
      </c>
      <c r="B32" s="9" t="s">
        <v>2793</v>
      </c>
      <c r="C32" s="8" t="s">
        <v>2794</v>
      </c>
      <c r="D32" s="27" t="s">
        <v>196</v>
      </c>
    </row>
    <row r="33" customFormat="false" ht="15" hidden="false" customHeight="true" outlineLevel="0" collapsed="false">
      <c r="A33" s="24" t="s">
        <v>2214</v>
      </c>
      <c r="B33" s="9" t="s">
        <v>2795</v>
      </c>
      <c r="C33" s="8" t="s">
        <v>2796</v>
      </c>
      <c r="D33" s="27" t="s">
        <v>963</v>
      </c>
    </row>
    <row r="34" customFormat="false" ht="15" hidden="false" customHeight="true" outlineLevel="0" collapsed="false">
      <c r="A34" s="24" t="s">
        <v>2218</v>
      </c>
      <c r="B34" s="9" t="s">
        <v>2797</v>
      </c>
      <c r="C34" s="8" t="s">
        <v>2798</v>
      </c>
      <c r="D34" s="27" t="s">
        <v>264</v>
      </c>
    </row>
    <row r="35" customFormat="false" ht="15" hidden="false" customHeight="true" outlineLevel="0" collapsed="false">
      <c r="A35" s="24" t="s">
        <v>2222</v>
      </c>
      <c r="B35" s="9" t="s">
        <v>2799</v>
      </c>
      <c r="C35" s="8" t="s">
        <v>2800</v>
      </c>
      <c r="D35" s="27" t="s">
        <v>2801</v>
      </c>
    </row>
    <row r="36" customFormat="false" ht="15" hidden="false" customHeight="true" outlineLevel="0" collapsed="false">
      <c r="A36" s="24" t="s">
        <v>2226</v>
      </c>
      <c r="B36" s="9" t="s">
        <v>2802</v>
      </c>
      <c r="C36" s="8" t="s">
        <v>2803</v>
      </c>
      <c r="D36" s="27" t="s">
        <v>208</v>
      </c>
    </row>
    <row r="37" customFormat="false" ht="15" hidden="false" customHeight="true" outlineLevel="0" collapsed="false">
      <c r="A37" s="24" t="s">
        <v>2231</v>
      </c>
      <c r="B37" s="9" t="s">
        <v>2804</v>
      </c>
      <c r="C37" s="8" t="s">
        <v>2805</v>
      </c>
      <c r="D37" s="27" t="s">
        <v>2806</v>
      </c>
    </row>
    <row r="38" customFormat="false" ht="15" hidden="false" customHeight="true" outlineLevel="0" collapsed="false">
      <c r="A38" s="24" t="s">
        <v>2235</v>
      </c>
      <c r="B38" s="9" t="s">
        <v>2807</v>
      </c>
      <c r="C38" s="9" t="s">
        <v>2808</v>
      </c>
      <c r="D38" s="27" t="s">
        <v>2809</v>
      </c>
    </row>
    <row r="39" customFormat="false" ht="26.25" hidden="false" customHeight="true" outlineLevel="0" collapsed="false">
      <c r="A39" s="24" t="s">
        <v>2239</v>
      </c>
      <c r="B39" s="9" t="s">
        <v>2810</v>
      </c>
      <c r="C39" s="9" t="s">
        <v>2811</v>
      </c>
      <c r="D39" s="9" t="s">
        <v>2812</v>
      </c>
    </row>
    <row r="41" customFormat="false" ht="15" hidden="false" customHeight="true" outlineLevel="0" collapsed="false">
      <c r="A41" s="39" t="s">
        <v>2813</v>
      </c>
    </row>
    <row r="42" customFormat="false" ht="57.75" hidden="false" customHeight="true" outlineLevel="0" collapsed="false">
      <c r="A42" s="76" t="s">
        <v>2814</v>
      </c>
      <c r="B42" s="76"/>
      <c r="C42" s="76"/>
      <c r="D42" s="76"/>
      <c r="E42" s="76"/>
    </row>
    <row r="43" customFormat="false" ht="15" hidden="false" customHeight="true" outlineLevel="0" collapsed="false">
      <c r="A43" s="23" t="s">
        <v>322</v>
      </c>
      <c r="B43" s="23" t="s">
        <v>2815</v>
      </c>
      <c r="C43" s="23" t="s">
        <v>2816</v>
      </c>
      <c r="D43" s="23" t="s">
        <v>2817</v>
      </c>
      <c r="E43" s="23" t="s">
        <v>2818</v>
      </c>
    </row>
    <row r="44" customFormat="false" ht="15" hidden="false" customHeight="true" outlineLevel="0" collapsed="false">
      <c r="A44" s="27" t="s">
        <v>219</v>
      </c>
      <c r="B44" s="9" t="s">
        <v>2819</v>
      </c>
      <c r="C44" s="9" t="s">
        <v>2820</v>
      </c>
      <c r="D44" s="27" t="s">
        <v>2821</v>
      </c>
      <c r="E44" s="9" t="s">
        <v>2822</v>
      </c>
    </row>
    <row r="45" customFormat="false" ht="26.25" hidden="false" customHeight="true" outlineLevel="0" collapsed="false">
      <c r="A45" s="27" t="s">
        <v>150</v>
      </c>
      <c r="B45" s="9" t="s">
        <v>2823</v>
      </c>
      <c r="C45" s="9" t="s">
        <v>2824</v>
      </c>
      <c r="D45" s="27" t="s">
        <v>2825</v>
      </c>
      <c r="E45" s="27" t="s">
        <v>2826</v>
      </c>
    </row>
    <row r="46" customFormat="false" ht="26.25" hidden="false" customHeight="true" outlineLevel="0" collapsed="false">
      <c r="A46" s="27" t="s">
        <v>196</v>
      </c>
      <c r="B46" s="9" t="s">
        <v>2827</v>
      </c>
      <c r="C46" s="9" t="s">
        <v>2828</v>
      </c>
      <c r="D46" s="27" t="s">
        <v>2829</v>
      </c>
      <c r="E46" s="27" t="s">
        <v>2830</v>
      </c>
    </row>
    <row r="47" customFormat="false" ht="23.25" hidden="false" customHeight="true" outlineLevel="0" collapsed="false">
      <c r="A47" s="27" t="s">
        <v>185</v>
      </c>
      <c r="B47" s="9" t="s">
        <v>2831</v>
      </c>
      <c r="C47" s="9" t="s">
        <v>2832</v>
      </c>
      <c r="D47" s="27" t="s">
        <v>2833</v>
      </c>
      <c r="E47" s="27" t="s">
        <v>2834</v>
      </c>
    </row>
    <row r="48" customFormat="false" ht="26.25" hidden="false" customHeight="true" outlineLevel="0" collapsed="false">
      <c r="A48" s="27" t="s">
        <v>103</v>
      </c>
      <c r="B48" s="9" t="s">
        <v>2835</v>
      </c>
      <c r="C48" s="9" t="s">
        <v>2836</v>
      </c>
      <c r="D48" s="27" t="s">
        <v>2837</v>
      </c>
      <c r="E48" s="27" t="s">
        <v>2838</v>
      </c>
    </row>
    <row r="49" customFormat="false" ht="23.25" hidden="false" customHeight="true" outlineLevel="0" collapsed="false">
      <c r="A49" s="27" t="s">
        <v>162</v>
      </c>
      <c r="B49" s="9" t="s">
        <v>2839</v>
      </c>
      <c r="C49" s="9" t="s">
        <v>2840</v>
      </c>
      <c r="D49" s="27" t="s">
        <v>2841</v>
      </c>
      <c r="E49" s="27" t="s">
        <v>2842</v>
      </c>
    </row>
    <row r="50" customFormat="false" ht="23.25" hidden="false" customHeight="true" outlineLevel="0" collapsed="false">
      <c r="A50" s="27" t="s">
        <v>208</v>
      </c>
      <c r="B50" s="9" t="s">
        <v>2843</v>
      </c>
      <c r="C50" s="9" t="s">
        <v>2844</v>
      </c>
      <c r="D50" s="27" t="s">
        <v>2845</v>
      </c>
      <c r="E50" s="27" t="s">
        <v>2846</v>
      </c>
    </row>
    <row r="51" customFormat="false" ht="23.25" hidden="false" customHeight="true" outlineLevel="0" collapsed="false">
      <c r="A51" s="27" t="s">
        <v>174</v>
      </c>
      <c r="B51" s="9" t="s">
        <v>2847</v>
      </c>
      <c r="C51" s="9" t="s">
        <v>2848</v>
      </c>
      <c r="D51" s="27" t="s">
        <v>2849</v>
      </c>
      <c r="E51" s="9" t="s">
        <v>2692</v>
      </c>
    </row>
  </sheetData>
  <mergeCells count="1">
    <mergeCell ref="A42:E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E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4" min="3" style="1" width="46"/>
    <col collapsed="false" customWidth="true" hidden="false" outlineLevel="0" max="5" min="5" style="1" width="24"/>
  </cols>
  <sheetData>
    <row r="1" customFormat="false" ht="24" hidden="false" customHeight="true" outlineLevel="0" collapsed="false">
      <c r="A1" s="21" t="s">
        <v>2850</v>
      </c>
    </row>
    <row r="3" customFormat="false" ht="15" hidden="false" customHeight="true" outlineLevel="0" collapsed="false">
      <c r="A3" s="39" t="s">
        <v>2851</v>
      </c>
    </row>
    <row r="4" customFormat="false" ht="15" hidden="false" customHeight="true" outlineLevel="0" collapsed="false">
      <c r="A4" s="22" t="s">
        <v>83</v>
      </c>
      <c r="B4" s="23" t="s">
        <v>1876</v>
      </c>
      <c r="C4" s="23" t="s">
        <v>2852</v>
      </c>
      <c r="D4" s="23" t="s">
        <v>2853</v>
      </c>
      <c r="E4" s="23" t="s">
        <v>2854</v>
      </c>
    </row>
    <row r="5" customFormat="false" ht="39" hidden="false" customHeight="true" outlineLevel="0" collapsed="false">
      <c r="A5" s="24" t="s">
        <v>1879</v>
      </c>
      <c r="B5" s="9" t="s">
        <v>2855</v>
      </c>
      <c r="C5" s="27" t="s">
        <v>2856</v>
      </c>
      <c r="D5" s="27" t="s">
        <v>2857</v>
      </c>
      <c r="E5" s="9" t="s">
        <v>2858</v>
      </c>
    </row>
    <row r="6" customFormat="false" ht="37.5" hidden="false" customHeight="true" outlineLevel="0" collapsed="false">
      <c r="A6" s="24" t="s">
        <v>1883</v>
      </c>
      <c r="B6" s="9" t="s">
        <v>2859</v>
      </c>
      <c r="C6" s="9" t="s">
        <v>2860</v>
      </c>
      <c r="D6" s="9" t="s">
        <v>2861</v>
      </c>
      <c r="E6" s="9" t="s">
        <v>31</v>
      </c>
    </row>
    <row r="7" customFormat="false" ht="24.75" hidden="false" customHeight="true" outlineLevel="0" collapsed="false">
      <c r="A7" s="24" t="s">
        <v>1887</v>
      </c>
      <c r="B7" s="9" t="s">
        <v>2862</v>
      </c>
      <c r="C7" s="9" t="s">
        <v>2863</v>
      </c>
      <c r="D7" s="27" t="s">
        <v>2864</v>
      </c>
      <c r="E7" s="9" t="s">
        <v>31</v>
      </c>
    </row>
    <row r="8" customFormat="false" ht="26.25" hidden="false" customHeight="true" outlineLevel="0" collapsed="false">
      <c r="A8" s="24" t="s">
        <v>1891</v>
      </c>
      <c r="B8" s="9" t="s">
        <v>2865</v>
      </c>
      <c r="C8" s="9" t="s">
        <v>2866</v>
      </c>
      <c r="D8" s="27" t="s">
        <v>2867</v>
      </c>
      <c r="E8" s="9" t="s">
        <v>31</v>
      </c>
    </row>
    <row r="9" customFormat="false" ht="26.25" hidden="false" customHeight="true" outlineLevel="0" collapsed="false">
      <c r="A9" s="24" t="s">
        <v>2210</v>
      </c>
      <c r="B9" s="27" t="s">
        <v>150</v>
      </c>
      <c r="C9" s="9" t="s">
        <v>2868</v>
      </c>
      <c r="D9" s="9" t="s">
        <v>2869</v>
      </c>
      <c r="E9" s="27" t="s">
        <v>2870</v>
      </c>
    </row>
    <row r="10" customFormat="false" ht="15" hidden="false" customHeight="true" outlineLevel="0" collapsed="false">
      <c r="A10" s="24" t="s">
        <v>2214</v>
      </c>
      <c r="B10" s="27" t="s">
        <v>2871</v>
      </c>
      <c r="C10" s="9" t="s">
        <v>2872</v>
      </c>
      <c r="D10" s="9" t="s">
        <v>2873</v>
      </c>
      <c r="E10" s="27" t="s">
        <v>2874</v>
      </c>
    </row>
    <row r="11" customFormat="false" ht="26.25" hidden="false" customHeight="true" outlineLevel="0" collapsed="false">
      <c r="A11" s="24" t="s">
        <v>2218</v>
      </c>
      <c r="B11" s="27" t="s">
        <v>196</v>
      </c>
      <c r="C11" s="9" t="s">
        <v>2875</v>
      </c>
      <c r="D11" s="9" t="s">
        <v>2876</v>
      </c>
      <c r="E11" s="27" t="s">
        <v>2877</v>
      </c>
    </row>
    <row r="12" customFormat="false" ht="24.75" hidden="false" customHeight="true" outlineLevel="0" collapsed="false">
      <c r="A12" s="24" t="s">
        <v>2222</v>
      </c>
      <c r="B12" s="27" t="s">
        <v>2878</v>
      </c>
      <c r="C12" s="27" t="s">
        <v>2879</v>
      </c>
      <c r="D12" s="27" t="s">
        <v>2880</v>
      </c>
      <c r="E12" s="27" t="s">
        <v>2877</v>
      </c>
    </row>
    <row r="13" customFormat="false" ht="15" hidden="false" customHeight="true" outlineLevel="0" collapsed="false">
      <c r="A13" s="24" t="s">
        <v>2226</v>
      </c>
      <c r="B13" s="9" t="s">
        <v>19</v>
      </c>
      <c r="C13" s="9" t="s">
        <v>2881</v>
      </c>
      <c r="D13" s="9" t="s">
        <v>2882</v>
      </c>
      <c r="E13" s="9" t="s">
        <v>69</v>
      </c>
    </row>
    <row r="14" customFormat="false" ht="15" hidden="false" customHeight="true" outlineLevel="0" collapsed="false">
      <c r="A14" s="24" t="s">
        <v>2231</v>
      </c>
      <c r="B14" s="27" t="s">
        <v>2883</v>
      </c>
      <c r="C14" s="9" t="s">
        <v>2884</v>
      </c>
      <c r="D14" s="9" t="s">
        <v>2885</v>
      </c>
      <c r="E14" s="27" t="s">
        <v>2886</v>
      </c>
    </row>
    <row r="15" customFormat="false" ht="26.25" hidden="false" customHeight="true" outlineLevel="0" collapsed="false">
      <c r="A15" s="24" t="s">
        <v>2235</v>
      </c>
      <c r="B15" s="9" t="s">
        <v>3</v>
      </c>
      <c r="C15" s="27" t="s">
        <v>2887</v>
      </c>
      <c r="D15" s="27" t="s">
        <v>2888</v>
      </c>
      <c r="E15" s="9" t="s">
        <v>2889</v>
      </c>
    </row>
    <row r="16" customFormat="false" ht="15" hidden="false" customHeight="true" outlineLevel="0" collapsed="false">
      <c r="A16" s="24" t="s">
        <v>2239</v>
      </c>
      <c r="B16" s="9" t="s">
        <v>2890</v>
      </c>
      <c r="C16" s="27" t="s">
        <v>2891</v>
      </c>
      <c r="D16" s="27" t="s">
        <v>2892</v>
      </c>
      <c r="E16" s="27" t="s">
        <v>2893</v>
      </c>
    </row>
    <row r="17" customFormat="false" ht="26.25" hidden="false" customHeight="true" outlineLevel="0" collapsed="false">
      <c r="A17" s="24" t="s">
        <v>2243</v>
      </c>
      <c r="B17" s="9" t="s">
        <v>2894</v>
      </c>
      <c r="C17" s="9" t="s">
        <v>2895</v>
      </c>
      <c r="D17" s="9" t="s">
        <v>2896</v>
      </c>
      <c r="E17" s="9" t="s">
        <v>2897</v>
      </c>
    </row>
    <row r="18" customFormat="false" ht="15" hidden="false" customHeight="true" outlineLevel="0" collapsed="false">
      <c r="A18" s="24" t="s">
        <v>2247</v>
      </c>
      <c r="B18" s="9" t="s">
        <v>2769</v>
      </c>
      <c r="C18" s="27" t="s">
        <v>294</v>
      </c>
      <c r="D18" s="9" t="s">
        <v>2898</v>
      </c>
      <c r="E18" s="9" t="s">
        <v>57</v>
      </c>
    </row>
    <row r="19" customFormat="false" ht="26.25" hidden="false" customHeight="true" outlineLevel="0" collapsed="false">
      <c r="A19" s="24" t="s">
        <v>2251</v>
      </c>
      <c r="B19" s="27" t="s">
        <v>2899</v>
      </c>
      <c r="C19" s="27" t="s">
        <v>2900</v>
      </c>
      <c r="D19" s="27" t="s">
        <v>2901</v>
      </c>
      <c r="E19" s="9" t="s">
        <v>2902</v>
      </c>
    </row>
    <row r="20" customFormat="false" ht="26.25" hidden="false" customHeight="true" outlineLevel="0" collapsed="false">
      <c r="A20" s="24" t="s">
        <v>2255</v>
      </c>
      <c r="B20" s="9" t="s">
        <v>2903</v>
      </c>
      <c r="C20" s="27" t="s">
        <v>294</v>
      </c>
      <c r="D20" s="9" t="s">
        <v>2904</v>
      </c>
      <c r="E20" s="9" t="s">
        <v>2905</v>
      </c>
    </row>
    <row r="21" customFormat="false" ht="26.25" hidden="false" customHeight="true" outlineLevel="0" collapsed="false">
      <c r="A21" s="24" t="s">
        <v>2258</v>
      </c>
      <c r="B21" s="9" t="s">
        <v>2906</v>
      </c>
      <c r="C21" s="27" t="s">
        <v>2907</v>
      </c>
      <c r="D21" s="27" t="s">
        <v>2908</v>
      </c>
      <c r="E21" s="9" t="s">
        <v>2909</v>
      </c>
    </row>
    <row r="22" customFormat="false" ht="26.25" hidden="false" customHeight="true" outlineLevel="0" collapsed="false">
      <c r="A22" s="24" t="s">
        <v>2261</v>
      </c>
      <c r="B22" s="9" t="s">
        <v>2910</v>
      </c>
      <c r="C22" s="9" t="s">
        <v>2911</v>
      </c>
      <c r="D22" s="9" t="s">
        <v>2912</v>
      </c>
      <c r="E22" s="9" t="s">
        <v>2913</v>
      </c>
    </row>
    <row r="23" customFormat="false" ht="39" hidden="false" customHeight="true" outlineLevel="0" collapsed="false">
      <c r="A23" s="24" t="s">
        <v>2264</v>
      </c>
      <c r="B23" s="27" t="s">
        <v>2914</v>
      </c>
      <c r="C23" s="9" t="s">
        <v>2915</v>
      </c>
      <c r="D23" s="9" t="s">
        <v>2916</v>
      </c>
      <c r="E23" s="9" t="s">
        <v>2917</v>
      </c>
    </row>
    <row r="24" customFormat="false" ht="26.25" hidden="false" customHeight="true" outlineLevel="0" collapsed="false">
      <c r="A24" s="24" t="s">
        <v>2918</v>
      </c>
      <c r="B24" s="9" t="s">
        <v>2919</v>
      </c>
      <c r="C24" s="9" t="s">
        <v>2920</v>
      </c>
      <c r="D24" s="9" t="s">
        <v>2921</v>
      </c>
      <c r="E24" s="9" t="s">
        <v>2919</v>
      </c>
    </row>
    <row r="25" customFormat="false" ht="39" hidden="false" customHeight="true" outlineLevel="0" collapsed="false">
      <c r="A25" s="24" t="s">
        <v>2922</v>
      </c>
      <c r="B25" s="9" t="s">
        <v>2923</v>
      </c>
      <c r="C25" s="9" t="s">
        <v>2924</v>
      </c>
      <c r="D25" s="9" t="s">
        <v>2925</v>
      </c>
      <c r="E25" s="9" t="s">
        <v>2926</v>
      </c>
    </row>
    <row r="26" customFormat="false" ht="61.5" hidden="false" customHeight="true" outlineLevel="0" collapsed="false">
      <c r="A26" s="24" t="s">
        <v>2927</v>
      </c>
      <c r="B26" s="9" t="s">
        <v>2928</v>
      </c>
      <c r="C26" s="27" t="s">
        <v>2929</v>
      </c>
      <c r="D26" s="27" t="s">
        <v>2930</v>
      </c>
      <c r="E26" s="9" t="s">
        <v>2931</v>
      </c>
    </row>
    <row r="27" customFormat="false" ht="36" hidden="false" customHeight="true" outlineLevel="0" collapsed="false">
      <c r="A27" s="24" t="s">
        <v>2932</v>
      </c>
      <c r="B27" s="9" t="s">
        <v>2933</v>
      </c>
      <c r="C27" s="27" t="s">
        <v>2934</v>
      </c>
      <c r="D27" s="27" t="s">
        <v>2935</v>
      </c>
      <c r="E27" s="9" t="s">
        <v>2926</v>
      </c>
    </row>
    <row r="28" customFormat="false" ht="37.5" hidden="false" customHeight="true" outlineLevel="0" collapsed="false">
      <c r="A28" s="24" t="s">
        <v>2936</v>
      </c>
      <c r="B28" s="9" t="s">
        <v>2937</v>
      </c>
      <c r="C28" s="9" t="s">
        <v>2938</v>
      </c>
      <c r="D28" s="9" t="s">
        <v>2939</v>
      </c>
      <c r="E28" s="9" t="s">
        <v>2940</v>
      </c>
    </row>
    <row r="29" customFormat="false" ht="39" hidden="false" customHeight="true" outlineLevel="0" collapsed="false">
      <c r="A29" s="24" t="s">
        <v>2941</v>
      </c>
      <c r="B29" s="9" t="s">
        <v>2942</v>
      </c>
      <c r="C29" s="9" t="s">
        <v>2943</v>
      </c>
      <c r="D29" s="9" t="s">
        <v>2944</v>
      </c>
      <c r="E29" s="9" t="s">
        <v>2909</v>
      </c>
    </row>
    <row r="30" customFormat="false" ht="39" hidden="false" customHeight="true" outlineLevel="0" collapsed="false">
      <c r="A30" s="24" t="s">
        <v>2945</v>
      </c>
      <c r="B30" s="9" t="s">
        <v>2946</v>
      </c>
      <c r="C30" s="9" t="s">
        <v>2947</v>
      </c>
      <c r="D30" s="9" t="s">
        <v>2948</v>
      </c>
      <c r="E30" s="9" t="s">
        <v>57</v>
      </c>
    </row>
    <row r="31" customFormat="false" ht="26.25" hidden="false" customHeight="true" outlineLevel="0" collapsed="false">
      <c r="A31" s="24" t="s">
        <v>2949</v>
      </c>
      <c r="B31" s="9" t="s">
        <v>2950</v>
      </c>
      <c r="C31" s="27" t="s">
        <v>2951</v>
      </c>
      <c r="D31" s="27" t="s">
        <v>2952</v>
      </c>
      <c r="E31" s="9" t="s">
        <v>2953</v>
      </c>
    </row>
    <row r="32" customFormat="false" ht="15" hidden="false" customHeight="true" outlineLevel="0" collapsed="false">
      <c r="A32" s="24" t="s">
        <v>2954</v>
      </c>
      <c r="B32" s="9" t="s">
        <v>2955</v>
      </c>
      <c r="C32" s="27" t="s">
        <v>2956</v>
      </c>
      <c r="D32" s="27" t="s">
        <v>2957</v>
      </c>
      <c r="E32" s="9" t="s">
        <v>2958</v>
      </c>
    </row>
    <row r="33" customFormat="false" ht="26.25" hidden="false" customHeight="true" outlineLevel="0" collapsed="false">
      <c r="A33" s="24" t="s">
        <v>2959</v>
      </c>
      <c r="B33" s="9" t="s">
        <v>2960</v>
      </c>
      <c r="C33" s="27" t="s">
        <v>2961</v>
      </c>
      <c r="D33" s="27" t="s">
        <v>2962</v>
      </c>
      <c r="E33" s="9" t="s">
        <v>2963</v>
      </c>
    </row>
    <row r="34" customFormat="false" ht="26.25" hidden="false" customHeight="true" outlineLevel="0" collapsed="false">
      <c r="A34" s="24" t="s">
        <v>2964</v>
      </c>
      <c r="B34" s="9" t="s">
        <v>2965</v>
      </c>
      <c r="C34" s="9" t="s">
        <v>2966</v>
      </c>
      <c r="D34" s="9" t="s">
        <v>2967</v>
      </c>
      <c r="E34" s="9" t="s">
        <v>52</v>
      </c>
    </row>
    <row r="36" customFormat="false" ht="15" hidden="false" customHeight="true" outlineLevel="0" collapsed="false">
      <c r="A36" s="39" t="s">
        <v>2968</v>
      </c>
    </row>
    <row r="37" customFormat="false" ht="15" hidden="false" customHeight="true" outlineLevel="0" collapsed="false">
      <c r="A37" s="22" t="s">
        <v>83</v>
      </c>
      <c r="B37" s="23" t="s">
        <v>1876</v>
      </c>
      <c r="C37" s="23" t="s">
        <v>2480</v>
      </c>
      <c r="D37" s="23" t="s">
        <v>2969</v>
      </c>
      <c r="E37" s="23" t="s">
        <v>2970</v>
      </c>
    </row>
    <row r="38" customFormat="false" ht="26.25" hidden="false" customHeight="true" outlineLevel="0" collapsed="false">
      <c r="A38" s="24" t="s">
        <v>1879</v>
      </c>
      <c r="B38" s="9" t="s">
        <v>2971</v>
      </c>
      <c r="C38" s="9" t="s">
        <v>2972</v>
      </c>
      <c r="D38" s="9" t="s">
        <v>2973</v>
      </c>
      <c r="E38" s="9" t="s">
        <v>31</v>
      </c>
    </row>
    <row r="39" customFormat="false" ht="26.25" hidden="false" customHeight="true" outlineLevel="0" collapsed="false">
      <c r="A39" s="24" t="s">
        <v>1883</v>
      </c>
      <c r="B39" s="27" t="s">
        <v>2974</v>
      </c>
      <c r="C39" s="9" t="s">
        <v>2975</v>
      </c>
      <c r="D39" s="9" t="s">
        <v>2976</v>
      </c>
      <c r="E39" s="27" t="s">
        <v>2877</v>
      </c>
    </row>
    <row r="40" customFormat="false" ht="26.25" hidden="false" customHeight="true" outlineLevel="0" collapsed="false">
      <c r="A40" s="24" t="s">
        <v>1887</v>
      </c>
      <c r="B40" s="27" t="s">
        <v>2977</v>
      </c>
      <c r="C40" s="27" t="s">
        <v>2978</v>
      </c>
      <c r="D40" s="27" t="s">
        <v>2979</v>
      </c>
      <c r="E40" s="9" t="s">
        <v>59</v>
      </c>
    </row>
    <row r="41" customFormat="false" ht="15" hidden="false" customHeight="true" outlineLevel="0" collapsed="false">
      <c r="A41" s="24" t="s">
        <v>1891</v>
      </c>
      <c r="B41" s="9" t="s">
        <v>2980</v>
      </c>
      <c r="C41" s="27" t="s">
        <v>2981</v>
      </c>
      <c r="D41" s="9" t="s">
        <v>2982</v>
      </c>
      <c r="E41" s="9" t="s">
        <v>2958</v>
      </c>
    </row>
    <row r="42" customFormat="false" ht="26.25" hidden="false" customHeight="true" outlineLevel="0" collapsed="false">
      <c r="A42" s="24" t="s">
        <v>2210</v>
      </c>
      <c r="B42" s="9" t="s">
        <v>2983</v>
      </c>
      <c r="C42" s="27" t="s">
        <v>2984</v>
      </c>
      <c r="D42" s="9" t="s">
        <v>2985</v>
      </c>
      <c r="E42" s="9" t="s">
        <v>31</v>
      </c>
    </row>
    <row r="43" customFormat="false" ht="26.25" hidden="false" customHeight="true" outlineLevel="0" collapsed="false">
      <c r="A43" s="24" t="s">
        <v>2214</v>
      </c>
      <c r="B43" s="9" t="s">
        <v>2986</v>
      </c>
      <c r="C43" s="9" t="s">
        <v>2987</v>
      </c>
      <c r="D43" s="9" t="s">
        <v>2988</v>
      </c>
      <c r="E43" s="27" t="s">
        <v>2989</v>
      </c>
    </row>
    <row r="44" customFormat="false" ht="37.5" hidden="false" customHeight="true" outlineLevel="0" collapsed="false">
      <c r="A44" s="24" t="s">
        <v>2218</v>
      </c>
      <c r="B44" s="9" t="s">
        <v>2990</v>
      </c>
      <c r="C44" s="9" t="s">
        <v>2991</v>
      </c>
      <c r="D44" s="27" t="s">
        <v>2992</v>
      </c>
      <c r="E44" s="9" t="s">
        <v>36</v>
      </c>
    </row>
    <row r="45" customFormat="false" ht="15" hidden="false" customHeight="true" outlineLevel="0" collapsed="false">
      <c r="A45" s="24" t="s">
        <v>2222</v>
      </c>
      <c r="B45" s="27" t="s">
        <v>2993</v>
      </c>
      <c r="C45" s="9" t="s">
        <v>2994</v>
      </c>
      <c r="D45" s="27" t="s">
        <v>2995</v>
      </c>
      <c r="E45" s="9" t="s">
        <v>2996</v>
      </c>
    </row>
    <row r="46" customFormat="false" ht="15" hidden="false" customHeight="true" outlineLevel="0" collapsed="false">
      <c r="A46" s="24" t="s">
        <v>2226</v>
      </c>
      <c r="B46" s="9" t="s">
        <v>2997</v>
      </c>
      <c r="C46" s="27" t="s">
        <v>2998</v>
      </c>
      <c r="D46" s="27" t="s">
        <v>2999</v>
      </c>
      <c r="E46" s="9" t="s">
        <v>57</v>
      </c>
    </row>
    <row r="47" customFormat="false" ht="26.25" hidden="false" customHeight="true" outlineLevel="0" collapsed="false">
      <c r="A47" s="24" t="s">
        <v>2231</v>
      </c>
      <c r="B47" s="9" t="s">
        <v>3000</v>
      </c>
      <c r="C47" s="27" t="s">
        <v>3001</v>
      </c>
      <c r="D47" s="9" t="s">
        <v>3002</v>
      </c>
      <c r="E47" s="9" t="s">
        <v>54</v>
      </c>
    </row>
    <row r="48" customFormat="false" ht="15" hidden="false" customHeight="true" outlineLevel="0" collapsed="false">
      <c r="A48" s="24" t="s">
        <v>2235</v>
      </c>
      <c r="B48" s="9" t="s">
        <v>2238</v>
      </c>
      <c r="C48" s="9" t="s">
        <v>3003</v>
      </c>
      <c r="D48" s="9" t="s">
        <v>3004</v>
      </c>
      <c r="E48" s="9" t="s">
        <v>57</v>
      </c>
    </row>
    <row r="49" customFormat="false" ht="15" hidden="false" customHeight="true" outlineLevel="0" collapsed="false">
      <c r="A49" s="24" t="s">
        <v>2239</v>
      </c>
      <c r="B49" s="9" t="s">
        <v>3005</v>
      </c>
      <c r="C49" s="9" t="s">
        <v>3006</v>
      </c>
      <c r="D49" s="9" t="s">
        <v>3007</v>
      </c>
      <c r="E49" s="9" t="s">
        <v>69</v>
      </c>
    </row>
    <row r="50" customFormat="false" ht="26.25" hidden="false" customHeight="true" outlineLevel="0" collapsed="false">
      <c r="A50" s="24" t="s">
        <v>2243</v>
      </c>
      <c r="B50" s="9" t="s">
        <v>3008</v>
      </c>
      <c r="C50" s="27" t="s">
        <v>3009</v>
      </c>
      <c r="D50" s="27" t="s">
        <v>3010</v>
      </c>
      <c r="E50" s="9" t="s">
        <v>54</v>
      </c>
    </row>
    <row r="51" customFormat="false" ht="26.25" hidden="false" customHeight="true" outlineLevel="0" collapsed="false">
      <c r="A51" s="24" t="s">
        <v>2247</v>
      </c>
      <c r="B51" s="9" t="s">
        <v>3011</v>
      </c>
      <c r="C51" s="9" t="s">
        <v>3012</v>
      </c>
      <c r="D51" s="9" t="s">
        <v>3013</v>
      </c>
      <c r="E51" s="9" t="s">
        <v>3014</v>
      </c>
    </row>
    <row r="52" customFormat="false" ht="39" hidden="false" customHeight="true" outlineLevel="0" collapsed="false">
      <c r="A52" s="24" t="s">
        <v>2251</v>
      </c>
      <c r="B52" s="9" t="s">
        <v>3015</v>
      </c>
      <c r="C52" s="27" t="s">
        <v>3016</v>
      </c>
      <c r="D52" s="9" t="s">
        <v>3017</v>
      </c>
      <c r="E52" s="9" t="s">
        <v>41</v>
      </c>
    </row>
    <row r="53" customFormat="false" ht="15" hidden="false" customHeight="true" outlineLevel="0" collapsed="false">
      <c r="A53" s="24" t="s">
        <v>2255</v>
      </c>
      <c r="B53" s="27" t="s">
        <v>3018</v>
      </c>
      <c r="C53" s="27" t="s">
        <v>3019</v>
      </c>
      <c r="D53" s="9" t="s">
        <v>3020</v>
      </c>
      <c r="E53" s="9" t="s">
        <v>47</v>
      </c>
    </row>
    <row r="54" customFormat="false" ht="26.25" hidden="false" customHeight="true" outlineLevel="0" collapsed="false">
      <c r="A54" s="24" t="s">
        <v>2258</v>
      </c>
      <c r="B54" s="27" t="s">
        <v>3021</v>
      </c>
      <c r="C54" s="9" t="s">
        <v>3022</v>
      </c>
      <c r="D54" s="9" t="s">
        <v>3023</v>
      </c>
      <c r="E54" s="9" t="s">
        <v>49</v>
      </c>
    </row>
    <row r="55" customFormat="false" ht="26.25" hidden="false" customHeight="true" outlineLevel="0" collapsed="false">
      <c r="A55" s="24" t="s">
        <v>2261</v>
      </c>
      <c r="B55" s="27" t="s">
        <v>3024</v>
      </c>
      <c r="C55" s="9" t="s">
        <v>3025</v>
      </c>
      <c r="D55" s="9" t="s">
        <v>3026</v>
      </c>
      <c r="E55" s="9" t="s">
        <v>44</v>
      </c>
    </row>
    <row r="56" customFormat="false" ht="15" hidden="false" customHeight="true" outlineLevel="0" collapsed="false">
      <c r="A56" s="24" t="s">
        <v>2264</v>
      </c>
      <c r="B56" s="9" t="s">
        <v>3027</v>
      </c>
      <c r="C56" s="27" t="s">
        <v>3028</v>
      </c>
      <c r="D56" s="27" t="s">
        <v>3029</v>
      </c>
      <c r="E56" s="9" t="s">
        <v>49</v>
      </c>
    </row>
    <row r="57" customFormat="false" ht="15" hidden="false" customHeight="true" outlineLevel="0" collapsed="false">
      <c r="A57" s="24" t="s">
        <v>2918</v>
      </c>
      <c r="B57" s="27" t="s">
        <v>3030</v>
      </c>
      <c r="C57" s="27" t="s">
        <v>3031</v>
      </c>
      <c r="D57" s="9" t="s">
        <v>3032</v>
      </c>
      <c r="E57" s="9" t="s">
        <v>44</v>
      </c>
    </row>
    <row r="58" customFormat="false" ht="26.25" hidden="false" customHeight="true" outlineLevel="0" collapsed="false">
      <c r="A58" s="24" t="s">
        <v>2922</v>
      </c>
      <c r="B58" s="9" t="s">
        <v>3033</v>
      </c>
      <c r="C58" s="9" t="s">
        <v>3034</v>
      </c>
      <c r="D58" s="9" t="s">
        <v>3035</v>
      </c>
      <c r="E58" s="9" t="s">
        <v>3036</v>
      </c>
    </row>
    <row r="59" customFormat="false" ht="15" hidden="false" customHeight="true" outlineLevel="0" collapsed="false">
      <c r="A59" s="24" t="s">
        <v>2927</v>
      </c>
      <c r="B59" s="9" t="s">
        <v>3037</v>
      </c>
      <c r="C59" s="27" t="s">
        <v>3038</v>
      </c>
      <c r="D59" s="27" t="s">
        <v>3039</v>
      </c>
      <c r="E59" s="9" t="s">
        <v>69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2026-09-22T22:55:55Z</dcterms:created>
  <dc:creator>openpyxl</dc:creator>
  <dc:description/>
  <dc:language>en-US</dc:language>
  <cp:lastModifiedBy/>
  <dcterms:modified xsi:type="dcterms:W3CDTF">2026-09-25T01:03:06Z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