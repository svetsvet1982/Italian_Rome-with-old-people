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개요" sheetId="1" state="visible" r:id="rId3"/>
    <sheet name="캐릭터" sheetId="2" state="visible" r:id="rId4"/>
    <sheet name="등장비중" sheetId="3" state="visible" r:id="rId5"/>
    <sheet name="턴_설계" sheetId="4" state="visible" r:id="rId6"/>
    <sheet name="13부_구성" sheetId="5" state="visible" r:id="rId7"/>
    <sheet name="아크_구성계획" sheetId="6" state="visible" r:id="rId8"/>
    <sheet name="화별목차_전체" sheetId="7" state="visible" r:id="rId9"/>
    <sheet name="복선_회수" sheetId="8" state="visible" r:id="rId10"/>
    <sheet name="현안_배치" sheetId="9" state="visible" r:id="rId11"/>
    <sheet name="현안_분포" sheetId="10" state="visible" r:id="rId12"/>
    <sheet name="정치제도" sheetId="11" state="visible" r:id="rId13"/>
    <sheet name="정치경로_의석" sheetId="12" state="visible" r:id="rId14"/>
    <sheet name="호칭규칙" sheetId="13" state="visible" r:id="rId15"/>
    <sheet name="Sofia_폭발과욕" sheetId="14" state="visible" r:id="rId16"/>
    <sheet name="Cesare_죽음" sheetId="15" state="visible" r:id="rId17"/>
    <sheet name="Gramsci_출처" sheetId="16" state="visible" r:id="rId18"/>
    <sheet name="대화문규칙" sheetId="17" state="visible" r:id="rId19"/>
    <sheet name="1부_시범대사" sheetId="18" state="visible" r:id="rId20"/>
    <sheet name="변경이력_미결" sheetId="19" state="visible" r:id="rId21"/>
  </sheets>
  <definedNames>
    <definedName function="false" hidden="true" localSheetId="6" name="_xlnm._FilterDatabase" vbProcedure="false">화별목차_전체!$A$4:$J$160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<sst xmlns="http://schemas.openxmlformats.org/spreadsheetml/2006/main" count="4294" uniqueCount="3123">
  <si>
    <r>
      <rPr>
        <b val="true"/>
        <sz val="14"/>
        <color rgb="FF1F3864"/>
        <rFont val="Arial"/>
        <family val="0"/>
        <charset val="1"/>
      </rPr>
      <t xml:space="preserve">Roma </t>
    </r>
    <r>
      <rPr>
        <b val="true"/>
        <sz val="14"/>
        <color rgb="FF1F3864"/>
        <rFont val="WenQuanYi Zen Hei"/>
        <family val="2"/>
      </rPr>
      <t xml:space="preserve">이탈리아어 낭독 교재 — 캐릭터 바이블 </t>
    </r>
    <r>
      <rPr>
        <b val="true"/>
        <sz val="14"/>
        <color rgb="FF1F3864"/>
        <rFont val="Arial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부활자 특별편</t>
    </r>
    <r>
      <rPr>
        <b val="true"/>
        <sz val="14"/>
        <color rgb="FF1F3864"/>
        <rFont val="Arial"/>
        <family val="0"/>
        <charset val="1"/>
      </rPr>
      <t xml:space="preserve">)</t>
    </r>
  </si>
  <si>
    <r>
      <rPr>
        <i val="true"/>
        <sz val="9"/>
        <color rgb="FF595959"/>
        <rFont val="Arial"/>
        <family val="0"/>
        <charset val="1"/>
      </rPr>
      <t xml:space="preserve">v1.0 · </t>
    </r>
    <r>
      <rPr>
        <i val="true"/>
        <sz val="9"/>
        <color rgb="FF595959"/>
        <rFont val="WenQuanYi Zen Hei"/>
        <family val="2"/>
      </rPr>
      <t xml:space="preserve">로마 배경 </t>
    </r>
    <r>
      <rPr>
        <i val="true"/>
        <sz val="9"/>
        <color rgb="FF595959"/>
        <rFont val="Arial"/>
        <family val="0"/>
        <charset val="1"/>
      </rPr>
      <t xml:space="preserve">13</t>
    </r>
    <r>
      <rPr>
        <i val="true"/>
        <sz val="9"/>
        <color rgb="FF595959"/>
        <rFont val="WenQuanYi Zen Hei"/>
        <family val="2"/>
      </rPr>
      <t xml:space="preserve">부작 옴니버스</t>
    </r>
    <r>
      <rPr>
        <i val="true"/>
        <sz val="9"/>
        <color rgb="FF595959"/>
        <rFont val="Arial"/>
        <family val="0"/>
        <charset val="1"/>
      </rPr>
      <t xml:space="preserve">(156</t>
    </r>
    <r>
      <rPr>
        <i val="true"/>
        <sz val="9"/>
        <color rgb="FF595959"/>
        <rFont val="WenQuanYi Zen Hei"/>
        <family val="2"/>
      </rPr>
      <t xml:space="preserve">화</t>
    </r>
    <r>
      <rPr>
        <i val="true"/>
        <sz val="9"/>
        <color rgb="FF595959"/>
        <rFont val="Arial"/>
        <family val="0"/>
        <charset val="1"/>
      </rPr>
      <t xml:space="preserve">) · </t>
    </r>
    <r>
      <rPr>
        <i val="true"/>
        <sz val="9"/>
        <color rgb="FF595959"/>
        <rFont val="WenQuanYi Zen Hei"/>
        <family val="2"/>
      </rPr>
      <t xml:space="preserve">부활 </t>
    </r>
    <r>
      <rPr>
        <i val="true"/>
        <sz val="9"/>
        <color rgb="FF595959"/>
        <rFont val="Arial"/>
        <family val="0"/>
        <charset val="1"/>
      </rPr>
      <t xml:space="preserve">7</t>
    </r>
    <r>
      <rPr>
        <i val="true"/>
        <sz val="9"/>
        <color rgb="FF595959"/>
        <rFont val="WenQuanYi Zen Hei"/>
        <family val="2"/>
      </rPr>
      <t xml:space="preserve">인 </t>
    </r>
    <r>
      <rPr>
        <i val="true"/>
        <sz val="9"/>
        <color rgb="FF595959"/>
        <rFont val="Arial"/>
        <family val="0"/>
        <charset val="1"/>
      </rPr>
      <t xml:space="preserve">= Cesare·Machiavelli·Garibaldi·Dante·Gramsci·Galileo·Montessori</t>
    </r>
  </si>
  <si>
    <t xml:space="preserve">기본 설정</t>
  </si>
  <si>
    <t xml:space="preserve">부 수</t>
  </si>
  <si>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사무소</t>
    </r>
    <r>
      <rPr>
        <sz val="10"/>
        <rFont val="Arial"/>
        <family val="0"/>
        <charset val="1"/>
      </rPr>
      <t xml:space="preserve">(Testaccio, </t>
    </r>
    <r>
      <rPr>
        <sz val="10"/>
        <rFont val="WenQuanYi Zen Hei"/>
        <family val="2"/>
      </rPr>
      <t xml:space="preserve">개소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개월 후</t>
    </r>
    <r>
      <rPr>
        <sz val="10"/>
        <rFont val="Arial"/>
        <family val="0"/>
        <charset val="1"/>
      </rPr>
      <t xml:space="preserve">, 6</t>
    </r>
    <r>
      <rPr>
        <sz val="10"/>
        <rFont val="WenQuanYi Zen Hei"/>
        <family val="2"/>
      </rPr>
      <t xml:space="preserve">사건</t>
    </r>
    <r>
      <rPr>
        <sz val="10"/>
        <rFont val="Arial"/>
        <family val="0"/>
        <charset val="1"/>
      </rPr>
      <t xml:space="preserve">×2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) → 2~5 </t>
    </r>
    <r>
      <rPr>
        <sz val="10"/>
        <rFont val="WenQuanYi Zen Hei"/>
        <family val="2"/>
      </rPr>
      <t xml:space="preserve">각자의 과거 → 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만남 → 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전면전 → </t>
    </r>
    <r>
      <rPr>
        <sz val="10"/>
        <rFont val="Arial"/>
        <family val="0"/>
        <charset val="1"/>
      </rPr>
      <t xml:space="preserve">8 </t>
    </r>
    <r>
      <rPr>
        <sz val="10"/>
        <rFont val="WenQuanYi Zen Hei"/>
        <family val="2"/>
      </rPr>
      <t xml:space="preserve">창당 → </t>
    </r>
    <r>
      <rPr>
        <sz val="10"/>
        <rFont val="Arial"/>
        <family val="0"/>
        <charset val="1"/>
      </rPr>
      <t xml:space="preserve">9 </t>
    </r>
    <r>
      <rPr>
        <sz val="10"/>
        <rFont val="WenQuanYi Zen Hei"/>
        <family val="2"/>
      </rPr>
      <t xml:space="preserve">시의회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주의회 → 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총선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총리 선출 → </t>
    </r>
    <r>
      <rPr>
        <sz val="10"/>
        <rFont val="Arial"/>
        <family val="0"/>
        <charset val="1"/>
      </rPr>
      <t xml:space="preserve">11 </t>
    </r>
    <r>
      <rPr>
        <sz val="10"/>
        <rFont val="WenQuanYi Zen Hei"/>
        <family val="2"/>
      </rPr>
      <t xml:space="preserve">국정 </t>
    </r>
    <r>
      <rPr>
        <sz val="10"/>
        <rFont val="Arial"/>
        <family val="0"/>
        <charset val="1"/>
      </rPr>
      <t xml:space="preserve">I(EU </t>
    </r>
    <r>
      <rPr>
        <sz val="10"/>
        <rFont val="WenQuanYi Zen Hei"/>
        <family val="2"/>
      </rPr>
      <t xml:space="preserve">협상</t>
    </r>
    <r>
      <rPr>
        <sz val="10"/>
        <rFont val="Arial"/>
        <family val="0"/>
        <charset val="1"/>
      </rPr>
      <t xml:space="preserve">·Cesare </t>
    </r>
    <r>
      <rPr>
        <sz val="10"/>
        <rFont val="WenQuanYi Zen Hei"/>
        <family val="2"/>
      </rPr>
      <t xml:space="preserve">사망</t>
    </r>
    <r>
      <rPr>
        <sz val="10"/>
        <rFont val="Arial"/>
        <family val="0"/>
        <charset val="1"/>
      </rPr>
      <t xml:space="preserve">) → 12 </t>
    </r>
    <r>
      <rPr>
        <sz val="10"/>
        <rFont val="WenQuanYi Zen Hei"/>
        <family val="2"/>
      </rPr>
      <t xml:space="preserve">국정 </t>
    </r>
    <r>
      <rPr>
        <sz val="10"/>
        <rFont val="Arial"/>
        <family val="0"/>
        <charset val="1"/>
      </rPr>
      <t xml:space="preserve">II(</t>
    </r>
    <r>
      <rPr>
        <sz val="10"/>
        <rFont val="WenQuanYi Zen Hei"/>
        <family val="2"/>
      </rPr>
      <t xml:space="preserve">장례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유고 메모 승계</t>
    </r>
    <r>
      <rPr>
        <sz val="10"/>
        <rFont val="Arial"/>
        <family val="0"/>
        <charset val="1"/>
      </rPr>
      <t xml:space="preserve">) → 13 </t>
    </r>
    <r>
      <rPr>
        <sz val="10"/>
        <rFont val="WenQuanYi Zen Hei"/>
        <family val="2"/>
      </rPr>
      <t xml:space="preserve">귀환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원형 구조</t>
    </r>
    <r>
      <rPr>
        <sz val="10"/>
        <rFont val="Arial"/>
        <family val="0"/>
        <charset val="1"/>
      </rPr>
      <t xml:space="preserve">)</t>
    </r>
  </si>
  <si>
    <t xml:space="preserve">부당 화 수</t>
  </si>
  <si>
    <r>
      <rPr>
        <sz val="10"/>
        <rFont val="WenQuanYi Zen Hei"/>
        <family val="2"/>
      </rPr>
      <t xml:space="preserve">각 부 </t>
    </r>
    <r>
      <rPr>
        <sz val="10"/>
        <rFont val="Noto Sans CJK SC"/>
        <family val="2"/>
        <charset val="1"/>
      </rPr>
      <t xml:space="preserve">12</t>
    </r>
    <r>
      <rPr>
        <sz val="10"/>
        <rFont val="WenQuanYi Zen Hei"/>
        <family val="2"/>
      </rPr>
      <t xml:space="preserve">화</t>
    </r>
  </si>
  <si>
    <t xml:space="preserve">총 화 수</t>
  </si>
  <si>
    <r>
      <rPr>
        <sz val="10"/>
        <rFont val="WenQuanYi Zen Hei"/>
        <family val="2"/>
      </rPr>
      <t xml:space="preserve">부 수 </t>
    </r>
    <r>
      <rPr>
        <sz val="10"/>
        <rFont val="Noto Sans CJK SC"/>
        <family val="2"/>
        <charset val="1"/>
      </rPr>
      <t xml:space="preserve">× </t>
    </r>
    <r>
      <rPr>
        <sz val="10"/>
        <rFont val="WenQuanYi Zen Hei"/>
        <family val="2"/>
      </rPr>
      <t xml:space="preserve">부당 화 수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자동 계산</t>
    </r>
    <r>
      <rPr>
        <sz val="10"/>
        <rFont val="Noto Sans CJK SC"/>
        <family val="2"/>
        <charset val="1"/>
      </rPr>
      <t xml:space="preserve">)</t>
    </r>
  </si>
  <si>
    <t xml:space="preserve">등장인물 수</t>
  </si>
  <si>
    <t xml:space="preserve">캐릭터 시트의 약칭 개수</t>
  </si>
  <si>
    <t xml:space="preserve">남성 인물 수</t>
  </si>
  <si>
    <r>
      <rPr>
        <sz val="10"/>
        <rFont val="WenQuanYi Zen Hei"/>
        <family val="2"/>
      </rPr>
      <t xml:space="preserve">부활 </t>
    </r>
    <r>
      <rPr>
        <sz val="10"/>
        <rFont val="Noto Sans CJK SC"/>
        <family val="2"/>
        <charset val="1"/>
      </rPr>
      <t xml:space="preserve">7</t>
    </r>
    <r>
      <rPr>
        <sz val="10"/>
        <rFont val="WenQuanYi Zen Hei"/>
        <family val="2"/>
      </rPr>
      <t xml:space="preserve">인 중 </t>
    </r>
    <r>
      <rPr>
        <sz val="10"/>
        <rFont val="Noto Sans CJK SC"/>
        <family val="2"/>
        <charset val="1"/>
      </rPr>
      <t xml:space="preserve">6</t>
    </r>
    <r>
      <rPr>
        <sz val="10"/>
        <rFont val="WenQuanYi Zen Hei"/>
        <family val="2"/>
      </rPr>
      <t xml:space="preserve">인이 남성인 역사 인물이라 남 </t>
    </r>
    <r>
      <rPr>
        <sz val="10"/>
        <rFont val="Noto Sans CJK SC"/>
        <family val="2"/>
        <charset val="1"/>
      </rPr>
      <t xml:space="preserve">10 : </t>
    </r>
    <r>
      <rPr>
        <sz val="10"/>
        <rFont val="WenQuanYi Zen Hei"/>
        <family val="2"/>
      </rPr>
      <t xml:space="preserve">여 </t>
    </r>
    <r>
      <rPr>
        <sz val="10"/>
        <rFont val="Noto Sans CJK SC"/>
        <family val="2"/>
        <charset val="1"/>
      </rPr>
      <t xml:space="preserve">5. </t>
    </r>
    <r>
      <rPr>
        <sz val="10"/>
        <rFont val="WenQuanYi Zen Hei"/>
        <family val="2"/>
      </rPr>
      <t xml:space="preserve">여성 화자</t>
    </r>
    <r>
      <rPr>
        <sz val="10"/>
        <rFont val="Noto Sans CJK SC"/>
        <family val="2"/>
        <charset val="1"/>
      </rPr>
      <t xml:space="preserve">(Giulia·Chiara·Rosa·Sofia·Montessori)</t>
    </r>
    <r>
      <rPr>
        <sz val="10"/>
        <rFont val="WenQuanYi Zen Hei"/>
        <family val="2"/>
      </rPr>
      <t xml:space="preserve">의 대사 비중을 높게 유지해 음색 균형을 맞춘다</t>
    </r>
    <r>
      <rPr>
        <sz val="10"/>
        <rFont val="Noto Sans CJK SC"/>
        <family val="2"/>
        <charset val="1"/>
      </rPr>
      <t xml:space="preserve">.</t>
    </r>
  </si>
  <si>
    <t xml:space="preserve">여성 인물 수</t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</si>
  <si>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부→</t>
    </r>
    <r>
      <rPr>
        <b val="true"/>
        <sz val="10"/>
        <rFont val="Arial"/>
        <family val="0"/>
        <charset val="1"/>
      </rPr>
      <t xml:space="preserve">11</t>
    </r>
    <r>
      <rPr>
        <b val="true"/>
        <sz val="10"/>
        <rFont val="WenQuanYi Zen Hei"/>
        <family val="2"/>
      </rPr>
      <t xml:space="preserve">부 경과 연수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가정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</si>
  <si>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가정값</t>
    </r>
    <r>
      <rPr>
        <sz val="10"/>
        <rFont val="Noto Sans CJK SC"/>
        <family val="2"/>
        <charset val="1"/>
      </rPr>
      <t xml:space="preserve">: Cesare</t>
    </r>
    <r>
      <rPr>
        <sz val="10"/>
        <rFont val="WenQuanYi Zen Hei"/>
        <family val="2"/>
      </rPr>
      <t xml:space="preserve">가 </t>
    </r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55</t>
    </r>
    <r>
      <rPr>
        <sz val="10"/>
        <rFont val="WenQuanYi Zen Hei"/>
        <family val="2"/>
      </rPr>
      <t xml:space="preserve">세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암살 당시 나이로 부활</t>
    </r>
    <r>
      <rPr>
        <sz val="10"/>
        <rFont val="Noto Sans CJK SC"/>
        <family val="2"/>
        <charset val="1"/>
      </rPr>
      <t xml:space="preserve">) → 11</t>
    </r>
    <r>
      <rPr>
        <sz val="10"/>
        <rFont val="WenQuanYi Zen Hei"/>
        <family val="2"/>
      </rPr>
      <t xml:space="preserve">부 약 </t>
    </r>
    <r>
      <rPr>
        <sz val="10"/>
        <rFont val="Noto Sans CJK SC"/>
        <family val="2"/>
        <charset val="1"/>
      </rPr>
      <t xml:space="preserve">61</t>
    </r>
    <r>
      <rPr>
        <sz val="10"/>
        <rFont val="WenQuanYi Zen Hei"/>
        <family val="2"/>
      </rPr>
      <t xml:space="preserve">세가 되도록 잡음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확정 시 이 셀만 수정하면 캐릭터 시트의 나이가 자동 갱신</t>
    </r>
    <r>
      <rPr>
        <sz val="10"/>
        <rFont val="Noto Sans CJK SC"/>
        <family val="2"/>
        <charset val="1"/>
      </rPr>
      <t xml:space="preserve">. (</t>
    </r>
    <r>
      <rPr>
        <sz val="10"/>
        <rFont val="WenQuanYi Zen Hei"/>
        <family val="2"/>
      </rPr>
      <t xml:space="preserve">캐릭터 시트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나이</t>
    </r>
    <r>
      <rPr>
        <sz val="10"/>
        <rFont val="Noto Sans CJK SC"/>
        <family val="2"/>
        <charset val="1"/>
      </rPr>
      <t xml:space="preserve">(11</t>
    </r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)' </t>
    </r>
    <r>
      <rPr>
        <sz val="10"/>
        <rFont val="WenQuanYi Zen Hei"/>
        <family val="2"/>
      </rPr>
      <t xml:space="preserve">열</t>
    </r>
    <r>
      <rPr>
        <sz val="10"/>
        <rFont val="Noto Sans CJK SC"/>
        <family val="2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</si>
  <si>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배경</t>
    </r>
    <r>
      <rPr>
        <b val="true"/>
        <sz val="10"/>
        <rFont val="Noto Sans CJK SC"/>
        <family val="2"/>
        <charset val="1"/>
      </rPr>
      <t xml:space="preserve">·</t>
    </r>
    <r>
      <rPr>
        <b val="true"/>
        <sz val="10"/>
        <rFont val="WenQuanYi Zen Hei"/>
        <family val="2"/>
      </rPr>
      <t xml:space="preserve">언어</t>
    </r>
  </si>
  <si>
    <r>
      <rPr>
        <sz val="10"/>
        <rFont val="WenQuanYi Zen Hei"/>
        <family val="2"/>
      </rPr>
      <t xml:space="preserve">로마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테스타초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</si>
  <si>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WenQuanYi Zen Hei"/>
        <family val="2"/>
      </rPr>
      <t xml:space="preserve">표준 이탈리아어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친한 사이 </t>
    </r>
    <r>
      <rPr>
        <sz val="10"/>
        <rFont val="Noto Sans CJK SC"/>
        <family val="2"/>
        <charset val="1"/>
      </rPr>
      <t xml:space="preserve">tu, </t>
    </r>
    <r>
      <rPr>
        <sz val="10"/>
        <rFont val="WenQuanYi Zen Hei"/>
        <family val="2"/>
      </rPr>
      <t xml:space="preserve">공식 석상은 </t>
    </r>
    <r>
      <rPr>
        <sz val="10"/>
        <rFont val="Noto Sans CJK SC"/>
        <family val="2"/>
        <charset val="1"/>
      </rPr>
      <t xml:space="preserve">Lei/</t>
    </r>
    <r>
      <rPr>
        <sz val="10"/>
        <rFont val="WenQuanYi Zen Hei"/>
        <family val="2"/>
      </rPr>
      <t xml:space="preserve">공식 호칭</t>
    </r>
    <r>
      <rPr>
        <sz val="10"/>
        <rFont val="Noto Sans CJK SC"/>
        <family val="2"/>
        <charset val="1"/>
      </rPr>
      <t xml:space="preserve">. Rosa·Paolo</t>
    </r>
    <r>
      <rPr>
        <sz val="10"/>
        <rFont val="WenQuanYi Zen Hei"/>
        <family val="2"/>
      </rPr>
      <t xml:space="preserve">의 로마 사투리</t>
    </r>
    <r>
      <rPr>
        <sz val="10"/>
        <rFont val="Noto Sans CJK SC"/>
        <family val="2"/>
        <charset val="1"/>
      </rPr>
      <t xml:space="preserve">(romanesco)</t>
    </r>
    <r>
      <rPr>
        <sz val="10"/>
        <rFont val="WenQuanYi Zen Hei"/>
        <family val="2"/>
      </rPr>
      <t xml:space="preserve">는 양념 수준으로</t>
    </r>
    <r>
      <rPr>
        <sz val="10"/>
        <rFont val="Noto Sans CJK SC"/>
        <family val="2"/>
        <charset val="1"/>
      </rPr>
      <t xml:space="preserve">.</t>
    </r>
  </si>
  <si>
    <t xml:space="preserve">형식</t>
  </si>
  <si>
    <r>
      <rPr>
        <sz val="10"/>
        <rFont val="WenQuanYi Zen Hei"/>
        <family val="2"/>
      </rPr>
      <t xml:space="preserve">전 화 </t>
    </r>
    <r>
      <rPr>
        <sz val="10"/>
        <rFont val="Noto Sans CJK SC"/>
        <family val="2"/>
        <charset val="1"/>
      </rPr>
      <t xml:space="preserve">100% </t>
    </r>
    <r>
      <rPr>
        <sz val="10"/>
        <rFont val="WenQuanYi Zen Hei"/>
        <family val="2"/>
      </rPr>
      <t xml:space="preserve">대화문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화당 </t>
    </r>
    <r>
      <rPr>
        <sz val="10"/>
        <rFont val="Noto Sans CJK SC"/>
        <family val="2"/>
        <charset val="1"/>
      </rPr>
      <t xml:space="preserve">120</t>
    </r>
    <r>
      <rPr>
        <sz val="10"/>
        <rFont val="WenQuanYi Zen Hei"/>
        <family val="2"/>
      </rPr>
      <t xml:space="preserve">턴</t>
    </r>
  </si>
  <si>
    <t xml:space="preserve">그룹별 인원</t>
  </si>
  <si>
    <r>
      <rPr>
        <b val="true"/>
        <sz val="10"/>
        <rFont val="WenQuanYi Zen Hei"/>
        <family val="2"/>
      </rPr>
      <t xml:space="preserve">주력 </t>
    </r>
    <r>
      <rPr>
        <b val="true"/>
        <sz val="10"/>
        <rFont val="Noto Sans CJK SC"/>
        <family val="2"/>
        <charset val="1"/>
      </rPr>
      <t xml:space="preserve">4</t>
    </r>
    <r>
      <rPr>
        <b val="true"/>
        <sz val="10"/>
        <rFont val="WenQuanYi Zen Hei"/>
        <family val="2"/>
      </rPr>
      <t xml:space="preserve">인</t>
    </r>
  </si>
  <si>
    <r>
      <rPr>
        <sz val="10"/>
        <rFont val="Arial"/>
        <family val="0"/>
        <charset val="1"/>
      </rPr>
      <t xml:space="preserve">Marco(</t>
    </r>
    <r>
      <rPr>
        <sz val="10"/>
        <rFont val="WenQuanYi Zen Hei"/>
        <family val="2"/>
      </rPr>
      <t xml:space="preserve">변호사</t>
    </r>
    <r>
      <rPr>
        <sz val="10"/>
        <rFont val="Arial"/>
        <family val="0"/>
        <charset val="1"/>
      </rPr>
      <t xml:space="preserve">)·Giulia(</t>
    </r>
    <r>
      <rPr>
        <sz val="10"/>
        <rFont val="WenQuanYi Zen Hei"/>
        <family val="2"/>
      </rPr>
      <t xml:space="preserve">의사</t>
    </r>
    <r>
      <rPr>
        <sz val="10"/>
        <rFont val="Arial"/>
        <family val="0"/>
        <charset val="1"/>
      </rPr>
      <t xml:space="preserve">)·Alessandro(</t>
    </r>
    <r>
      <rPr>
        <sz val="10"/>
        <rFont val="WenQuanYi Zen Hei"/>
        <family val="2"/>
      </rPr>
      <t xml:space="preserve">회계사</t>
    </r>
    <r>
      <rPr>
        <sz val="10"/>
        <rFont val="Arial"/>
        <family val="0"/>
        <charset val="1"/>
      </rPr>
      <t xml:space="preserve">)·Chiara(</t>
    </r>
    <r>
      <rPr>
        <sz val="10"/>
        <rFont val="WenQuanYi Zen Hei"/>
        <family val="2"/>
      </rPr>
      <t xml:space="preserve">컨설턴트</t>
    </r>
    <r>
      <rPr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</si>
  <si>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부활 </t>
    </r>
    <r>
      <rPr>
        <b val="true"/>
        <sz val="10"/>
        <rFont val="Noto Sans CJK SC"/>
        <family val="2"/>
        <charset val="1"/>
      </rPr>
      <t xml:space="preserve">7</t>
    </r>
    <r>
      <rPr>
        <b val="true"/>
        <sz val="10"/>
        <rFont val="WenQuanYi Zen Hei"/>
        <family val="2"/>
      </rPr>
      <t xml:space="preserve">인</t>
    </r>
  </si>
  <si>
    <r>
      <rPr>
        <sz val="10"/>
        <rFont val="Arial"/>
        <family val="0"/>
        <charset val="1"/>
      </rPr>
      <t xml:space="preserve">Cesare(</t>
    </r>
    <r>
      <rPr>
        <sz val="10"/>
        <rFont val="WenQuanYi Zen Hei"/>
        <family val="2"/>
      </rPr>
      <t xml:space="preserve">전 독재관</t>
    </r>
    <r>
      <rPr>
        <sz val="10"/>
        <rFont val="Arial"/>
        <family val="0"/>
        <charset val="1"/>
      </rPr>
      <t xml:space="preserve">)·Machiavelli(</t>
    </r>
    <r>
      <rPr>
        <sz val="10"/>
        <rFont val="WenQuanYi Zen Hei"/>
        <family val="2"/>
      </rPr>
      <t xml:space="preserve">정치사상가</t>
    </r>
    <r>
      <rPr>
        <sz val="10"/>
        <rFont val="Arial"/>
        <family val="0"/>
        <charset val="1"/>
      </rPr>
      <t xml:space="preserve">)·Garibaldi(</t>
    </r>
    <r>
      <rPr>
        <sz val="10"/>
        <rFont val="WenQuanYi Zen Hei"/>
        <family val="2"/>
      </rPr>
      <t xml:space="preserve">통일운동가</t>
    </r>
    <r>
      <rPr>
        <sz val="10"/>
        <rFont val="Arial"/>
        <family val="0"/>
        <charset val="1"/>
      </rPr>
      <t xml:space="preserve">)·Dante(</t>
    </r>
    <r>
      <rPr>
        <sz val="10"/>
        <rFont val="WenQuanYi Zen Hei"/>
        <family val="2"/>
      </rPr>
      <t xml:space="preserve">시인</t>
    </r>
    <r>
      <rPr>
        <sz val="10"/>
        <rFont val="Arial"/>
        <family val="0"/>
        <charset val="1"/>
      </rPr>
      <t xml:space="preserve">)·Gramsci(</t>
    </r>
    <r>
      <rPr>
        <sz val="10"/>
        <rFont val="WenQuanYi Zen Hei"/>
        <family val="2"/>
      </rPr>
      <t xml:space="preserve">사상가</t>
    </r>
    <r>
      <rPr>
        <sz val="10"/>
        <rFont val="Arial"/>
        <family val="0"/>
        <charset val="1"/>
      </rPr>
      <t xml:space="preserve">)·Galileo(</t>
    </r>
    <r>
      <rPr>
        <sz val="10"/>
        <rFont val="WenQuanYi Zen Hei"/>
        <family val="2"/>
      </rPr>
      <t xml:space="preserve">과학자</t>
    </r>
    <r>
      <rPr>
        <sz val="10"/>
        <rFont val="Arial"/>
        <family val="0"/>
        <charset val="1"/>
      </rPr>
      <t xml:space="preserve">)·Montessori(</t>
    </r>
    <r>
      <rPr>
        <sz val="10"/>
        <rFont val="WenQuanYi Zen Hei"/>
        <family val="2"/>
      </rPr>
      <t xml:space="preserve">교육학자</t>
    </r>
    <r>
      <rPr>
        <sz val="10"/>
        <rFont val="Arial"/>
        <family val="0"/>
        <charset val="1"/>
      </rPr>
      <t xml:space="preserve">) ※ </t>
    </r>
    <r>
      <rPr>
        <sz val="10"/>
        <rFont val="WenQuanYi Zen Hei"/>
        <family val="2"/>
      </rPr>
      <t xml:space="preserve">각자의 시대에 죽었다가 이유 없이 현재 로마에 되살아나 사무소에 합류</t>
    </r>
  </si>
  <si>
    <r>
      <rPr>
        <b val="true"/>
        <sz val="10"/>
        <rFont val="WenQuanYi Zen Hei"/>
        <family val="2"/>
      </rPr>
      <t xml:space="preserve">서민</t>
    </r>
    <r>
      <rPr>
        <b val="true"/>
        <sz val="10"/>
        <rFont val="Noto Sans CJK SC"/>
        <family val="2"/>
        <charset val="1"/>
      </rPr>
      <t xml:space="preserve">·</t>
    </r>
    <r>
      <rPr>
        <b val="true"/>
        <sz val="10"/>
        <rFont val="WenQuanYi Zen Hei"/>
        <family val="2"/>
      </rPr>
      <t xml:space="preserve">청년</t>
    </r>
  </si>
  <si>
    <r>
      <rPr>
        <sz val="10"/>
        <rFont val="Arial"/>
        <family val="0"/>
        <charset val="1"/>
      </rPr>
      <t xml:space="preserve">Rosa(</t>
    </r>
    <r>
      <rPr>
        <sz val="10"/>
        <rFont val="WenQuanYi Zen Hei"/>
        <family val="2"/>
      </rPr>
      <t xml:space="preserve">트라토리아 사장</t>
    </r>
    <r>
      <rPr>
        <sz val="10"/>
        <rFont val="Arial"/>
        <family val="0"/>
        <charset val="1"/>
      </rPr>
      <t xml:space="preserve">)·Paolo(</t>
    </r>
    <r>
      <rPr>
        <sz val="10"/>
        <rFont val="WenQuanYi Zen Hei"/>
        <family val="2"/>
      </rPr>
      <t xml:space="preserve">노조위원장</t>
    </r>
    <r>
      <rPr>
        <sz val="10"/>
        <rFont val="Arial"/>
        <family val="0"/>
        <charset val="1"/>
      </rPr>
      <t xml:space="preserve">)·Sofia M.(</t>
    </r>
    <r>
      <rPr>
        <sz val="10"/>
        <rFont val="WenQuanYi Zen Hei"/>
        <family val="2"/>
      </rPr>
      <t xml:space="preserve">인턴</t>
    </r>
    <r>
      <rPr>
        <sz val="10"/>
        <rFont val="Arial"/>
        <family val="0"/>
        <charset val="1"/>
      </rPr>
      <t xml:space="preserve">)</t>
    </r>
  </si>
  <si>
    <t xml:space="preserve">금융</t>
  </si>
  <si>
    <r>
      <rPr>
        <sz val="10"/>
        <rFont val="Arial"/>
        <family val="0"/>
        <charset val="1"/>
      </rPr>
      <t xml:space="preserve">Francesco(</t>
    </r>
    <r>
      <rPr>
        <sz val="10"/>
        <rFont val="WenQuanYi Zen Hei"/>
        <family val="2"/>
      </rPr>
      <t xml:space="preserve">전 은행 지점장</t>
    </r>
    <r>
      <rPr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</si>
  <si>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시트 안내 </t>
    </r>
    <r>
      <rPr>
        <b val="true"/>
        <sz val="10"/>
        <rFont val="Noto Sans CJK SC"/>
        <family val="2"/>
        <charset val="1"/>
      </rPr>
      <t xml:space="preserve">(</t>
    </r>
    <r>
      <rPr>
        <b val="true"/>
        <sz val="10"/>
        <rFont val="WenQuanYi Zen Hei"/>
        <family val="2"/>
      </rPr>
      <t xml:space="preserve">클릭하면 이동</t>
    </r>
    <r>
      <rPr>
        <b val="true"/>
        <sz val="10"/>
        <rFont val="Noto Sans CJK SC"/>
        <family val="2"/>
        <charset val="1"/>
      </rPr>
      <t xml:space="preserve">)</t>
    </r>
  </si>
  <si>
    <t xml:space="preserve">캐릭터</t>
  </si>
  <si>
    <t xml:space="preserve">기준표</t>
  </si>
  <si>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인의 이름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나이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결핍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말투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시그니처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낭독 포인트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대화문 장치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직책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현안 담당</t>
    </r>
  </si>
  <si>
    <t xml:space="preserve">등장비중</t>
  </si>
  <si>
    <r>
      <rPr>
        <sz val="10"/>
        <rFont val="Arial"/>
        <family val="0"/>
        <charset val="1"/>
      </rPr>
      <t xml:space="preserve">13</t>
    </r>
    <r>
      <rPr>
        <sz val="10"/>
        <rFont val="WenQuanYi Zen Hei"/>
        <family val="2"/>
      </rPr>
      <t xml:space="preserve">부 배분표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합계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비중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등급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수식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조연 단독 중심 화 목표</t>
    </r>
  </si>
  <si>
    <t xml:space="preserve">턴_설계</t>
  </si>
  <si>
    <r>
      <rPr>
        <sz val="10"/>
        <rFont val="WenQuanYi Zen Hei"/>
        <family val="2"/>
      </rPr>
      <t xml:space="preserve">화당 </t>
    </r>
    <r>
      <rPr>
        <sz val="10"/>
        <rFont val="Noto Sans CJK SC"/>
        <family val="2"/>
        <charset val="1"/>
      </rPr>
      <t xml:space="preserve">120</t>
    </r>
    <r>
      <rPr>
        <sz val="10"/>
        <rFont val="WenQuanYi Zen Hei"/>
        <family val="2"/>
      </rPr>
      <t xml:space="preserve">턴 설계</t>
    </r>
    <r>
      <rPr>
        <sz val="10"/>
        <rFont val="Noto Sans CJK SC"/>
        <family val="2"/>
        <charset val="1"/>
      </rPr>
      <t xml:space="preserve">: 13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× </t>
    </r>
    <r>
      <rPr>
        <sz val="10"/>
        <rFont val="WenQuanYi Zen Hei"/>
        <family val="2"/>
      </rPr>
      <t xml:space="preserve">화자 점유율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턴 기준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평균 단어</t>
    </r>
    <r>
      <rPr>
        <sz val="10"/>
        <rFont val="Noto Sans CJK SC"/>
        <family val="2"/>
        <charset val="1"/>
      </rPr>
      <t xml:space="preserve">/</t>
    </r>
    <r>
      <rPr>
        <sz val="10"/>
        <rFont val="WenQuanYi Zen Hei"/>
        <family val="2"/>
      </rPr>
      <t xml:space="preserve">턴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화당 단어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낭독 시간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수식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화 유형별 턴 구성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집필 규칙</t>
    </r>
  </si>
  <si>
    <t xml:space="preserve">13부_구성</t>
  </si>
  <si>
    <t xml:space="preserve">구조</t>
  </si>
  <si>
    <r>
      <rPr>
        <sz val="10"/>
        <rFont val="Arial"/>
        <family val="0"/>
        <charset val="1"/>
      </rPr>
      <t xml:space="preserve">13</t>
    </r>
    <r>
      <rPr>
        <sz val="10"/>
        <rFont val="WenQuanYi Zen Hei"/>
        <family val="2"/>
      </rPr>
      <t xml:space="preserve">부 한눈에 보기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핵심 내용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난이도</t>
    </r>
    <r>
      <rPr>
        <sz val="10"/>
        <rFont val="Arial"/>
        <family val="0"/>
        <charset val="1"/>
      </rPr>
      <t xml:space="preserve">(CEFR)·</t>
    </r>
    <r>
      <rPr>
        <sz val="10"/>
        <rFont val="WenQuanYi Zen Hei"/>
        <family val="2"/>
      </rPr>
      <t xml:space="preserve">반영 제도</t>
    </r>
  </si>
  <si>
    <t xml:space="preserve">아크_구성계획</t>
  </si>
  <si>
    <t xml:space="preserve">구성 계획</t>
  </si>
  <si>
    <r>
      <rPr>
        <sz val="10"/>
        <rFont val="Arial"/>
        <family val="0"/>
        <charset val="1"/>
      </rPr>
      <t xml:space="preserve">1~13</t>
    </r>
    <r>
      <rPr>
        <sz val="10"/>
        <rFont val="WenQuanYi Zen Hei"/>
        <family val="2"/>
      </rPr>
      <t xml:space="preserve">부 아크별 구성 계획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서사 기능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로그라인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비트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인물 아크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복선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현안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언어 설계</t>
    </r>
  </si>
  <si>
    <t xml:space="preserve">화별목차_전체</t>
  </si>
  <si>
    <t xml:space="preserve">목차</t>
  </si>
  <si>
    <r>
      <rPr>
        <sz val="10"/>
        <rFont val="Arial"/>
        <family val="0"/>
        <charset val="1"/>
      </rPr>
      <t xml:space="preserve">1~13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156</t>
    </r>
    <r>
      <rPr>
        <sz val="10"/>
        <rFont val="WenQuanYi Zen Hei"/>
        <family val="2"/>
      </rPr>
      <t xml:space="preserve">화의 서사 기능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이탈리아어</t>
    </r>
    <r>
      <rPr>
        <sz val="10"/>
        <rFont val="Arial"/>
        <family val="0"/>
        <charset val="1"/>
      </rPr>
      <t xml:space="preserve">)·</t>
    </r>
    <r>
      <rPr>
        <sz val="10"/>
        <rFont val="WenQuanYi Zen Hei"/>
        <family val="2"/>
      </rPr>
      <t xml:space="preserve">핵심 사건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반영 제도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인물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현안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필터 가능</t>
    </r>
    <r>
      <rPr>
        <sz val="10"/>
        <rFont val="Arial"/>
        <family val="0"/>
        <charset val="1"/>
      </rPr>
      <t xml:space="preserve">)</t>
    </r>
  </si>
  <si>
    <t xml:space="preserve">복선_회수</t>
  </si>
  <si>
    <r>
      <rPr>
        <sz val="10"/>
        <rFont val="WenQuanYi Zen Hei"/>
        <family val="2"/>
      </rPr>
      <t xml:space="preserve">복선 설치→회수 </t>
    </r>
    <r>
      <rPr>
        <sz val="10"/>
        <rFont val="Noto Sans CJK SC"/>
        <family val="2"/>
        <charset val="1"/>
      </rPr>
      <t xml:space="preserve">28</t>
    </r>
    <r>
      <rPr>
        <sz val="10"/>
        <rFont val="WenQuanYi Zen Hei"/>
        <family val="2"/>
      </rPr>
      <t xml:space="preserve">건과 간격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을 수식으로 계산</t>
    </r>
  </si>
  <si>
    <t xml:space="preserve">현안_배치</t>
  </si>
  <si>
    <t xml:space="preserve">현안</t>
  </si>
  <si>
    <r>
      <rPr>
        <sz val="10"/>
        <rFont val="WenQuanYi Zen Hei"/>
        <family val="2"/>
      </rPr>
      <t xml:space="preserve">이탈리아 현안 </t>
    </r>
    <r>
      <rPr>
        <sz val="10"/>
        <rFont val="Noto Sans CJK SC"/>
        <family val="2"/>
        <charset val="1"/>
      </rPr>
      <t xml:space="preserve">18</t>
    </r>
    <r>
      <rPr>
        <sz val="10"/>
        <rFont val="WenQuanYi Zen Hei"/>
        <family val="2"/>
      </rPr>
      <t xml:space="preserve">개를 어느 화에 어떻게 녹일지 배치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균형 유의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현실 기준값</t>
    </r>
    <r>
      <rPr>
        <sz val="10"/>
        <rFont val="Noto Sans CJK SC"/>
        <family val="2"/>
        <charset val="1"/>
      </rPr>
      <t xml:space="preserve">(ISTAT </t>
    </r>
    <r>
      <rPr>
        <sz val="10"/>
        <rFont val="WenQuanYi Zen Hei"/>
        <family val="2"/>
      </rPr>
      <t xml:space="preserve">등</t>
    </r>
    <r>
      <rPr>
        <sz val="10"/>
        <rFont val="Noto Sans CJK SC"/>
        <family val="2"/>
        <charset val="1"/>
      </rPr>
      <t xml:space="preserve">)</t>
    </r>
  </si>
  <si>
    <t xml:space="preserve">현안_분포</t>
  </si>
  <si>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× </t>
    </r>
    <r>
      <rPr>
        <sz val="10"/>
        <rFont val="WenQuanYi Zen Hei"/>
        <family val="2"/>
      </rPr>
      <t xml:space="preserve">현안 분포표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전용 화</t>
    </r>
    <r>
      <rPr>
        <sz val="10"/>
        <rFont val="Noto Sans CJK SC"/>
        <family val="2"/>
        <charset val="1"/>
      </rPr>
      <t xml:space="preserve">(●)</t>
    </r>
    <r>
      <rPr>
        <sz val="10"/>
        <rFont val="WenQuanYi Zen Hei"/>
        <family val="2"/>
      </rPr>
      <t xml:space="preserve">와 곁가지</t>
    </r>
    <r>
      <rPr>
        <sz val="10"/>
        <rFont val="Noto Sans CJK SC"/>
        <family val="2"/>
        <charset val="1"/>
      </rPr>
      <t xml:space="preserve">(○)</t>
    </r>
    <r>
      <rPr>
        <sz val="10"/>
        <rFont val="WenQuanYi Zen Hei"/>
        <family val="2"/>
      </rPr>
      <t xml:space="preserve">를 수식으로 집계</t>
    </r>
  </si>
  <si>
    <t xml:space="preserve">정치제도</t>
  </si>
  <si>
    <t xml:space="preserve">현실 제도</t>
  </si>
  <si>
    <r>
      <rPr>
        <sz val="10"/>
        <rFont val="WenQuanYi Zen Hei"/>
        <family val="2"/>
      </rPr>
      <t xml:space="preserve">정당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선거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양원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정부 구성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주</t>
    </r>
    <r>
      <rPr>
        <sz val="10"/>
        <rFont val="Noto Sans CJK SC"/>
        <family val="2"/>
        <charset val="1"/>
      </rPr>
      <t xml:space="preserve">(Regione)·</t>
    </r>
    <r>
      <rPr>
        <sz val="10"/>
        <rFont val="WenQuanYi Zen Hei"/>
        <family val="2"/>
      </rPr>
      <t xml:space="preserve">사법</t>
    </r>
    <r>
      <rPr>
        <sz val="10"/>
        <rFont val="Noto Sans CJK SC"/>
        <family val="2"/>
        <charset val="1"/>
      </rPr>
      <t xml:space="preserve">·EU </t>
    </r>
    <r>
      <rPr>
        <sz val="10"/>
        <rFont val="WenQuanYi Zen Hei"/>
        <family val="2"/>
      </rPr>
      <t xml:space="preserve">제도 기준표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확인 상태 표시</t>
    </r>
    <r>
      <rPr>
        <sz val="10"/>
        <rFont val="Noto Sans CJK SC"/>
        <family val="2"/>
        <charset val="1"/>
      </rPr>
      <t xml:space="preserve">)</t>
    </r>
  </si>
  <si>
    <t xml:space="preserve">정치경로_의석</t>
  </si>
  <si>
    <r>
      <rPr>
        <sz val="10"/>
        <rFont val="WenQuanYi Zen Hei"/>
        <family val="2"/>
      </rPr>
      <t xml:space="preserve">창당→총리 경로와 가상 의석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표결 시뮬레이션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수식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하원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상원 신임 투표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불신임안</t>
    </r>
  </si>
  <si>
    <t xml:space="preserve">호칭규칙</t>
  </si>
  <si>
    <t xml:space="preserve">규칙</t>
  </si>
  <si>
    <r>
      <rPr>
        <sz val="10"/>
        <rFont val="Arial"/>
        <family val="0"/>
        <charset val="1"/>
      </rPr>
      <t xml:space="preserve">tu / Lei / voi / Loro, </t>
    </r>
    <r>
      <rPr>
        <sz val="10"/>
        <rFont val="WenQuanYi Zen Hei"/>
        <family val="2"/>
      </rPr>
      <t xml:space="preserve">양원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시의회 공식 호칭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대통령</t>
    </r>
  </si>
  <si>
    <t xml:space="preserve">Sofia_폭발과욕</t>
  </si>
  <si>
    <r>
      <rPr>
        <sz val="10"/>
        <rFont val="WenQuanYi Zen Hei"/>
        <family val="2"/>
      </rPr>
      <t xml:space="preserve">폭발 </t>
    </r>
    <r>
      <rPr>
        <sz val="10"/>
        <rFont val="Noto Sans CJK SC"/>
        <family val="2"/>
        <charset val="1"/>
      </rPr>
      <t xml:space="preserve">2</t>
    </r>
    <r>
      <rPr>
        <sz val="10"/>
        <rFont val="WenQuanYi Zen Hei"/>
        <family val="2"/>
      </rPr>
      <t xml:space="preserve">회 배치</t>
    </r>
    <r>
      <rPr>
        <sz val="10"/>
        <rFont val="Noto Sans CJK SC"/>
        <family val="2"/>
        <charset val="1"/>
      </rPr>
      <t xml:space="preserve">, 3</t>
    </r>
    <r>
      <rPr>
        <sz val="10"/>
        <rFont val="WenQuanYi Zen Hei"/>
        <family val="2"/>
      </rPr>
      <t xml:space="preserve">단계 계단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폭발 직후 반응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대사판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욕 배정</t>
    </r>
  </si>
  <si>
    <t xml:space="preserve">Cesare_죽음</t>
  </si>
  <si>
    <t xml:space="preserve">스토리</t>
  </si>
  <si>
    <r>
      <rPr>
        <sz val="10"/>
        <rFont val="WenQuanYi Zen Hei"/>
        <family val="2"/>
      </rPr>
      <t xml:space="preserve">심술 독재관 </t>
    </r>
    <r>
      <rPr>
        <sz val="10"/>
        <rFont val="Noto Sans CJK SC"/>
        <family val="2"/>
        <charset val="1"/>
      </rPr>
      <t xml:space="preserve">+ </t>
    </r>
    <r>
      <rPr>
        <sz val="10"/>
        <rFont val="WenQuanYi Zen Hei"/>
        <family val="2"/>
      </rPr>
      <t xml:space="preserve">시한부 설정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복선 타임라인 </t>
    </r>
    <r>
      <rPr>
        <sz val="10"/>
        <rFont val="Noto Sans CJK SC"/>
        <family val="2"/>
        <charset val="1"/>
      </rPr>
      <t xml:space="preserve">(11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12</t>
    </r>
    <r>
      <rPr>
        <sz val="10"/>
        <rFont val="WenQuanYi Zen Hei"/>
        <family val="2"/>
      </rPr>
      <t xml:space="preserve">화 두 번째 죽음</t>
    </r>
    <r>
      <rPr>
        <sz val="10"/>
        <rFont val="Noto Sans CJK SC"/>
        <family val="2"/>
        <charset val="1"/>
      </rPr>
      <t xml:space="preserve">, 13</t>
    </r>
    <r>
      <rPr>
        <sz val="10"/>
        <rFont val="WenQuanYi Zen Hei"/>
        <family val="2"/>
      </rPr>
      <t xml:space="preserve">부 유언장</t>
    </r>
    <r>
      <rPr>
        <sz val="10"/>
        <rFont val="Noto Sans CJK SC"/>
        <family val="2"/>
        <charset val="1"/>
      </rPr>
      <t xml:space="preserve">)</t>
    </r>
  </si>
  <si>
    <t xml:space="preserve">Gramsci_출처</t>
  </si>
  <si>
    <r>
      <rPr>
        <sz val="10"/>
        <rFont val="WenQuanYi Zen Hei"/>
        <family val="2"/>
      </rPr>
      <t xml:space="preserve">침묵 대신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출처 안내</t>
    </r>
    <r>
      <rPr>
        <sz val="10"/>
        <rFont val="Noto Sans CJK SC"/>
        <family val="2"/>
        <charset val="1"/>
      </rPr>
      <t xml:space="preserve">' — </t>
    </r>
    <r>
      <rPr>
        <sz val="10"/>
        <rFont val="WenQuanYi Zen Hei"/>
        <family val="2"/>
      </rPr>
      <t xml:space="preserve">서가 </t>
    </r>
    <r>
      <rPr>
        <sz val="10"/>
        <rFont val="Noto Sans CJK SC"/>
        <family val="2"/>
        <charset val="1"/>
      </rPr>
      <t xml:space="preserve">4</t>
    </r>
    <r>
      <rPr>
        <sz val="10"/>
        <rFont val="WenQuanYi Zen Hei"/>
        <family val="2"/>
      </rPr>
      <t xml:space="preserve">칸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주제별 출처표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카드 구술 템플릿</t>
    </r>
  </si>
  <si>
    <t xml:space="preserve">대화문규칙</t>
  </si>
  <si>
    <r>
      <rPr>
        <sz val="10"/>
        <rFont val="WenQuanYi Zen Hei"/>
        <family val="2"/>
      </rPr>
      <t xml:space="preserve">전 화 </t>
    </r>
    <r>
      <rPr>
        <sz val="10"/>
        <rFont val="Noto Sans CJK SC"/>
        <family val="2"/>
        <charset val="1"/>
      </rPr>
      <t xml:space="preserve">100% </t>
    </r>
    <r>
      <rPr>
        <sz val="10"/>
        <rFont val="WenQuanYi Zen Hei"/>
        <family val="2"/>
      </rPr>
      <t xml:space="preserve">대화문 원칙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지문 → 대사 대체표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현안을 다루는 법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문장 길이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분량 기준</t>
    </r>
  </si>
  <si>
    <t xml:space="preserve">1부_시범대사</t>
  </si>
  <si>
    <t xml:space="preserve">샘플</t>
  </si>
  <si>
    <r>
      <rPr>
        <sz val="10"/>
        <rFont val="Arial"/>
        <family val="0"/>
        <charset val="1"/>
      </rPr>
      <t xml:space="preserve">Sofia 1</t>
    </r>
    <r>
      <rPr>
        <sz val="10"/>
        <rFont val="WenQuanYi Zen Hei"/>
        <family val="2"/>
      </rPr>
      <t xml:space="preserve">차 폭발 장면을 지문 없이 대사로만 쓴 </t>
    </r>
    <r>
      <rPr>
        <sz val="10"/>
        <rFont val="Arial"/>
        <family val="0"/>
        <charset val="1"/>
      </rPr>
      <t xml:space="preserve">B1 </t>
    </r>
    <r>
      <rPr>
        <sz val="10"/>
        <rFont val="WenQuanYi Zen Hei"/>
        <family val="2"/>
      </rPr>
      <t xml:space="preserve">시범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단어 수 자동 점검</t>
    </r>
    <r>
      <rPr>
        <sz val="10"/>
        <rFont val="Arial"/>
        <family val="0"/>
        <charset val="1"/>
      </rPr>
      <t xml:space="preserve">)</t>
    </r>
  </si>
  <si>
    <t xml:space="preserve">변경이력_미결</t>
  </si>
  <si>
    <t xml:space="preserve">관리</t>
  </si>
  <si>
    <r>
      <rPr>
        <sz val="10"/>
        <rFont val="WenQuanYi Zen Hei"/>
        <family val="2"/>
      </rPr>
      <t xml:space="preserve">변경 이력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스페인판→이탈리아판 대응표 포함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과 확정이 필요한 미결 사항</t>
    </r>
  </si>
  <si>
    <t xml:space="preserve">범례</t>
  </si>
  <si>
    <t xml:space="preserve">파란 글씨</t>
  </si>
  <si>
    <r>
      <rPr>
        <sz val="10"/>
        <rFont val="WenQuanYi Zen Hei"/>
        <family val="2"/>
      </rPr>
      <t xml:space="preserve">직접 입력한 값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수정 가능</t>
    </r>
    <r>
      <rPr>
        <sz val="10"/>
        <rFont val="Noto Sans CJK SC"/>
        <family val="2"/>
        <charset val="1"/>
      </rPr>
      <t xml:space="preserve">)</t>
    </r>
  </si>
  <si>
    <t xml:space="preserve">노란 배경</t>
  </si>
  <si>
    <r>
      <rPr>
        <sz val="10"/>
        <rFont val="WenQuanYi Zen Hei"/>
        <family val="2"/>
      </rPr>
      <t xml:space="preserve">가정 </t>
    </r>
    <r>
      <rPr>
        <sz val="10"/>
        <rFont val="Noto Sans CJK SC"/>
        <family val="2"/>
        <charset val="1"/>
      </rPr>
      <t xml:space="preserve">· </t>
    </r>
    <r>
      <rPr>
        <sz val="10"/>
        <rFont val="WenQuanYi Zen Hei"/>
        <family val="2"/>
      </rPr>
      <t xml:space="preserve">확정이 필요한 값</t>
    </r>
  </si>
  <si>
    <t xml:space="preserve">검정 글씨</t>
  </si>
  <si>
    <r>
      <rPr>
        <sz val="10"/>
        <rFont val="WenQuanYi Zen Hei"/>
        <family val="2"/>
      </rPr>
      <t xml:space="preserve">수식으로 계산되는 값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직접 수정하지 말 것</t>
    </r>
    <r>
      <rPr>
        <sz val="10"/>
        <rFont val="Noto Sans CJK SC"/>
        <family val="2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</si>
  <si>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주의</t>
    </r>
    <r>
      <rPr>
        <i val="true"/>
        <sz val="9"/>
        <color rgb="FF595959"/>
        <rFont val="Noto Sans CJK SC"/>
        <family val="2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성별</t>
    </r>
    <r>
      <rPr>
        <i val="true"/>
        <sz val="9"/>
        <color rgb="FF595959"/>
        <rFont val="Noto Sans CJK SC"/>
        <family val="2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나이</t>
    </r>
    <r>
      <rPr>
        <i val="true"/>
        <sz val="9"/>
        <color rgb="FF595959"/>
        <rFont val="Noto Sans CJK SC"/>
        <family val="2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기관명은 기획용 가상 설정입니다</t>
    </r>
    <r>
      <rPr>
        <i val="true"/>
        <sz val="9"/>
        <color rgb="FF595959"/>
        <rFont val="Noto Sans CJK SC"/>
        <family val="2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법령 번호</t>
    </r>
    <r>
      <rPr>
        <i val="true"/>
        <sz val="9"/>
        <color rgb="FF595959"/>
        <rFont val="Noto Sans CJK SC"/>
        <family val="2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조항은 교재에 넣기 전에 </t>
    </r>
    <r>
      <rPr>
        <i val="true"/>
        <sz val="9"/>
        <color rgb="FF595959"/>
        <rFont val="Noto Sans CJK SC"/>
        <family val="2"/>
        <charset val="1"/>
      </rPr>
      <t xml:space="preserve">Normattiva(normattiva.it)·Gazzetta Ufficiale</t>
    </r>
    <r>
      <rPr>
        <i val="true"/>
        <sz val="9"/>
        <color rgb="FF595959"/>
        <rFont val="WenQuanYi Zen Hei"/>
        <family val="2"/>
      </rPr>
      <t xml:space="preserve">의 현행 통합본으로 확인하세요</t>
    </r>
    <r>
      <rPr>
        <i val="true"/>
        <sz val="9"/>
        <color rgb="FF595959"/>
        <rFont val="Noto Sans CJK SC"/>
        <family val="2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</si>
  <si>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캐릭터 바이블 — </t>
    </r>
    <r>
      <rPr>
        <b val="true"/>
        <sz val="14"/>
        <color rgb="FF1F3864"/>
        <rFont val="Noto Sans CJK SC"/>
        <family val="2"/>
        <charset val="1"/>
      </rPr>
      <t xml:space="preserve">15</t>
    </r>
    <r>
      <rPr>
        <b val="true"/>
        <sz val="14"/>
        <color rgb="FF1F3864"/>
        <rFont val="WenQuanYi Zen Hei"/>
        <family val="2"/>
      </rPr>
      <t xml:space="preserve">인 </t>
    </r>
    <r>
      <rPr>
        <b val="true"/>
        <sz val="14"/>
        <color rgb="FF1F3864"/>
        <rFont val="Noto Sans CJK SC"/>
        <family val="2"/>
        <charset val="1"/>
      </rPr>
      <t xml:space="preserve">(Roma </t>
    </r>
    <r>
      <rPr>
        <b val="true"/>
        <sz val="14"/>
        <color rgb="FF1F3864"/>
        <rFont val="WenQuanYi Zen Hei"/>
        <family val="2"/>
      </rPr>
      <t xml:space="preserve">이탈리아어 낭독 교재 — 캐릭터 바이블 </t>
    </r>
    <r>
      <rPr>
        <b val="true"/>
        <sz val="14"/>
        <color rgb="FF1F3864"/>
        <rFont val="Noto Sans CJK SC"/>
        <family val="2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부활자 특별편</t>
    </r>
    <r>
      <rPr>
        <b val="true"/>
        <sz val="14"/>
        <color rgb="FF1F3864"/>
        <rFont val="Noto Sans CJK SC"/>
        <family val="2"/>
        <charset val="1"/>
      </rPr>
      <t xml:space="preserve">))</t>
    </r>
  </si>
  <si>
    <t xml:space="preserve">No</t>
  </si>
  <si>
    <t xml:space="preserve">그룹</t>
  </si>
  <si>
    <t xml:space="preserve">이름</t>
  </si>
  <si>
    <t xml:space="preserve">약칭</t>
  </si>
  <si>
    <r>
      <rPr>
        <b val="true"/>
        <sz val="10"/>
        <color rgb="FFFFFFFF"/>
        <rFont val="WenQuanYi Zen Hei"/>
        <family val="2"/>
      </rPr>
      <t xml:space="preserve">나이
</t>
    </r>
    <r>
      <rPr>
        <b val="true"/>
        <sz val="10"/>
        <color rgb="FFFFFFFF"/>
        <rFont val="Noto Sans CJK SC"/>
        <family val="2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부</t>
    </r>
    <r>
      <rPr>
        <b val="true"/>
        <sz val="10"/>
        <color rgb="FFFFFFFF"/>
        <rFont val="Noto Sans CJK SC"/>
        <family val="2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</si>
  <si>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나이
</t>
    </r>
    <r>
      <rPr>
        <b val="true"/>
        <sz val="10"/>
        <color rgb="FFFFFFFF"/>
        <rFont val="Noto Sans CJK SC"/>
        <family val="2"/>
        <charset val="1"/>
      </rPr>
      <t xml:space="preserve">(11</t>
    </r>
    <r>
      <rPr>
        <b val="true"/>
        <sz val="10"/>
        <color rgb="FFFFFFFF"/>
        <rFont val="WenQuanYi Zen Hei"/>
        <family val="2"/>
      </rPr>
      <t xml:space="preserve">부</t>
    </r>
    <r>
      <rPr>
        <b val="true"/>
        <sz val="10"/>
        <color rgb="FFFFFFFF"/>
        <rFont val="Noto Sans CJK SC"/>
        <family val="2"/>
        <charset val="1"/>
      </rPr>
      <t xml:space="preserve">)</t>
    </r>
  </si>
  <si>
    <t xml:space="preserve">성별</t>
  </si>
  <si>
    <r>
      <rPr>
        <b val="true"/>
        <sz val="10"/>
        <color rgb="FFFFFFFF"/>
        <rFont val="WenQuanYi Zen Hei"/>
        <family val="2"/>
      </rPr>
      <t xml:space="preserve">직업</t>
    </r>
    <r>
      <rPr>
        <b val="true"/>
        <sz val="10"/>
        <color rgb="FFFFFFFF"/>
        <rFont val="Noto Sans CJK SC"/>
        <family val="2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신분</t>
    </r>
  </si>
  <si>
    <r>
      <rPr>
        <b val="true"/>
        <sz val="10"/>
        <color rgb="FFFFFFFF"/>
        <rFont val="WenQuanYi Zen Hei"/>
        <family val="2"/>
      </rPr>
      <t xml:space="preserve">전 소속 </t>
    </r>
    <r>
      <rPr>
        <b val="true"/>
        <sz val="10"/>
        <color rgb="FFFFFFFF"/>
        <rFont val="Noto Sans CJK SC"/>
        <family val="2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가상</t>
    </r>
    <r>
      <rPr>
        <b val="true"/>
        <sz val="10"/>
        <color rgb="FFFFFFFF"/>
        <rFont val="Noto Sans CJK SC"/>
        <family val="2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</si>
  <si>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결핍 </t>
    </r>
    <r>
      <rPr>
        <b val="true"/>
        <sz val="10"/>
        <color rgb="FFFFFFFF"/>
        <rFont val="Noto Sans CJK SC"/>
        <family val="2"/>
        <charset val="1"/>
      </rPr>
      <t xml:space="preserve">(Herida)</t>
    </r>
  </si>
  <si>
    <t xml:space="preserve">말투</t>
  </si>
  <si>
    <t xml:space="preserve">시그니처 표현</t>
  </si>
  <si>
    <t xml:space="preserve">낭독 포인트</t>
  </si>
  <si>
    <r>
      <rPr>
        <b val="true"/>
        <sz val="10"/>
        <color rgb="FFFFFFFF"/>
        <rFont val="WenQuanYi Zen Hei"/>
        <family val="2"/>
      </rPr>
      <t xml:space="preserve">대화문 장치 </t>
    </r>
    <r>
      <rPr>
        <b val="true"/>
        <sz val="10"/>
        <color rgb="FFFFFFFF"/>
        <rFont val="Noto Sans CJK SC"/>
        <family val="2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지문 대체</t>
    </r>
    <r>
      <rPr>
        <b val="true"/>
        <sz val="10"/>
        <color rgb="FFFFFFFF"/>
        <rFont val="Noto Sans CJK SC"/>
        <family val="2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</si>
  <si>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정치 직책 </t>
    </r>
    <r>
      <rPr>
        <b val="true"/>
        <sz val="10"/>
        <color rgb="FFFFFFFF"/>
        <rFont val="Noto Sans CJK SC"/>
        <family val="2"/>
        <charset val="1"/>
      </rPr>
      <t xml:space="preserve">(8~12</t>
    </r>
    <r>
      <rPr>
        <b val="true"/>
        <sz val="10"/>
        <color rgb="FFFFFFFF"/>
        <rFont val="WenQuanYi Zen Hei"/>
        <family val="2"/>
      </rPr>
      <t xml:space="preserve">부</t>
    </r>
    <r>
      <rPr>
        <b val="true"/>
        <sz val="10"/>
        <color rgb="FFFFFFFF"/>
        <rFont val="Noto Sans CJK SC"/>
        <family val="2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제안</t>
    </r>
    <r>
      <rPr>
        <b val="true"/>
        <sz val="10"/>
        <color rgb="FFFFFFFF"/>
        <rFont val="Noto Sans CJK SC"/>
        <family val="2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</si>
  <si>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부 등장 방식</t>
    </r>
  </si>
  <si>
    <t xml:space="preserve">등장
화 수</t>
  </si>
  <si>
    <t xml:space="preserve">등급</t>
  </si>
  <si>
    <r>
      <rPr>
        <b val="true"/>
        <sz val="10"/>
        <color rgb="FFFFFFFF"/>
        <rFont val="WenQuanYi Zen Hei"/>
        <family val="2"/>
      </rPr>
      <t xml:space="preserve">현안 담당
</t>
    </r>
    <r>
      <rPr>
        <b val="true"/>
        <sz val="10"/>
        <color rgb="FFFFFFFF"/>
        <rFont val="Noto Sans CJK SC"/>
        <family val="2"/>
        <charset val="1"/>
      </rPr>
      <t xml:space="preserve">(ID)</t>
    </r>
  </si>
  <si>
    <r>
      <rPr>
        <sz val="10"/>
        <rFont val="WenQuanYi Zen Hei"/>
        <family val="2"/>
      </rPr>
      <t xml:space="preserve">주력 </t>
    </r>
    <r>
      <rPr>
        <sz val="10"/>
        <rFont val="Noto Sans CJK SC"/>
        <family val="2"/>
        <charset val="1"/>
      </rPr>
      <t xml:space="preserve">4</t>
    </r>
    <r>
      <rPr>
        <sz val="10"/>
        <rFont val="WenQuanYi Zen Hei"/>
        <family val="2"/>
      </rPr>
      <t xml:space="preserve">인</t>
    </r>
  </si>
  <si>
    <t xml:space="preserve">Marco Ferrari</t>
  </si>
  <si>
    <t xml:space="preserve">Marco</t>
  </si>
  <si>
    <t xml:space="preserve">남</t>
  </si>
  <si>
    <r>
      <rPr>
        <sz val="10"/>
        <rFont val="WenQuanYi Zen Hei"/>
        <family val="2"/>
      </rPr>
      <t xml:space="preserve">변호사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기업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규제 전문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</si>
  <si>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Arial"/>
        <family val="0"/>
        <charset val="1"/>
      </rPr>
      <t xml:space="preserve">Ferrari &amp; Colombo Studio Legale (</t>
    </r>
    <r>
      <rPr>
        <sz val="10"/>
        <rFont val="WenQuanYi Zen Hei"/>
        <family val="2"/>
      </rPr>
      <t xml:space="preserve">전 파트너 후보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</si>
  <si>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승소율은 높지만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강제퇴거 소송에서 이긴 사건 하나가 계속 마음에 걸린다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</si>
  <si>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문장이 완결되고 격식체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초반엔 차갑게 조항을 인용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후반엔 연설가로 성장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</si>
  <si>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Andiamo con ordine.\nCon tutto il rispetto, la legge non dice questo.\n(</t>
    </r>
    <r>
      <rPr>
        <sz val="10"/>
        <rFont val="WenQuanYi Zen Hei"/>
        <family val="2"/>
      </rPr>
      <t xml:space="preserve">후반</t>
    </r>
    <r>
      <rPr>
        <sz val="10"/>
        <rFont val="Arial"/>
        <family val="0"/>
        <charset val="1"/>
      </rPr>
      <t xml:space="preserve">) Non vi chiedo di credermi. Vi chiedo di leggere il testo.</t>
    </r>
  </si>
  <si>
    <r>
      <rPr>
        <sz val="10"/>
        <rFont val="WenQuanYi Zen Hei"/>
        <family val="2"/>
      </rPr>
      <t xml:space="preserve">또박또박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중저음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</si>
  <si>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법조문을 소리 내어 읽어 상황을 설명한다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</si>
  <si>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당 대표</t>
    </r>
    <r>
      <rPr>
        <sz val="10"/>
        <rFont val="Noto Sans CJK SC"/>
        <family val="2"/>
        <charset val="1"/>
      </rPr>
      <t xml:space="preserve">(8</t>
    </r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) → </t>
    </r>
    <r>
      <rPr>
        <sz val="10"/>
        <rFont val="WenQuanYi Zen Hei"/>
        <family val="2"/>
      </rPr>
      <t xml:space="preserve">하원의원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총리 후보</t>
    </r>
    <r>
      <rPr>
        <sz val="10"/>
        <rFont val="Noto Sans CJK SC"/>
        <family val="2"/>
        <charset val="1"/>
      </rPr>
      <t xml:space="preserve">(10</t>
    </r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) → </t>
    </r>
    <r>
      <rPr>
        <sz val="10"/>
        <rFont val="WenQuanYi Zen Hei"/>
        <family val="2"/>
      </rPr>
      <t xml:space="preserve">총리</t>
    </r>
  </si>
  <si>
    <t xml:space="preserve">본격</t>
  </si>
  <si>
    <t xml:space="preserve">P1·P3·E1·N4</t>
  </si>
  <si>
    <t xml:space="preserve">Giulia Romano</t>
  </si>
  <si>
    <t xml:space="preserve">Giulia</t>
  </si>
  <si>
    <t xml:space="preserve">여</t>
  </si>
  <si>
    <t xml:space="preserve">응급의학과 전문의</t>
  </si>
  <si>
    <r>
      <rPr>
        <sz val="10"/>
        <rFont val="Arial"/>
        <family val="0"/>
        <charset val="1"/>
      </rPr>
      <t xml:space="preserve">Ospedale San Camillo 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</si>
  <si>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살리지 못한 환자의 이름을 전부 외우고 있다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</si>
  <si>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짧고 명령형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블랙유머</t>
    </r>
    <r>
      <rPr>
        <sz val="10"/>
        <rFont val="Noto Sans CJK SC"/>
        <family val="2"/>
        <charset val="1"/>
      </rPr>
      <t xml:space="preserve">.</t>
    </r>
  </si>
  <si>
    <t xml:space="preserve">Questa non è una statistica, è una persona.\nPrima, respira.\nHo visto di peggio in un martedì qualsiasi.</t>
  </si>
  <si>
    <r>
      <rPr>
        <sz val="10"/>
        <rFont val="WenQuanYi Zen Hei"/>
        <family val="2"/>
      </rPr>
      <t xml:space="preserve">빠른 템포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짧은 호흡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</si>
  <si>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명령형으로 행동을 말하며 진행한다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</si>
  <si>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주의회 의원</t>
    </r>
    <r>
      <rPr>
        <sz val="10"/>
        <rFont val="Noto Sans CJK SC"/>
        <family val="2"/>
        <charset val="1"/>
      </rPr>
      <t xml:space="preserve">(9</t>
    </r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) → </t>
    </r>
    <r>
      <rPr>
        <sz val="10"/>
        <rFont val="WenQuanYi Zen Hei"/>
        <family val="2"/>
      </rPr>
      <t xml:space="preserve">보건부 장관</t>
    </r>
  </si>
  <si>
    <t xml:space="preserve">S3·S4·S2·N8</t>
  </si>
  <si>
    <t xml:space="preserve">Alessandro Conti</t>
  </si>
  <si>
    <t xml:space="preserve">Alessandro</t>
  </si>
  <si>
    <r>
      <rPr>
        <sz val="10"/>
        <rFont val="WenQuanYi Zen Hei"/>
        <family val="2"/>
      </rPr>
      <t xml:space="preserve">공인회계사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감사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</si>
  <si>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Arial"/>
        <family val="0"/>
        <charset val="1"/>
      </rPr>
      <t xml:space="preserve">Conti Revisori (</t>
    </r>
    <r>
      <rPr>
        <sz val="10"/>
        <rFont val="WenQuanYi Zen Hei"/>
        <family val="2"/>
      </rPr>
      <t xml:space="preserve">전 시니어 파트너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</si>
  <si>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부정을 발견하고도 서명했던 기억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</si>
  <si>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건조하고 정확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비꼬는 유머</t>
    </r>
    <r>
      <rPr>
        <sz val="10"/>
        <rFont val="Noto Sans CJK SC"/>
        <family val="2"/>
        <charset val="1"/>
      </rPr>
      <t xml:space="preserve">.</t>
    </r>
  </si>
  <si>
    <t xml:space="preserve">Fammi vedere le carte.\nQuesto non torna.\nMostrami i numeri e ti dirò chi sei.</t>
  </si>
  <si>
    <r>
      <rPr>
        <sz val="10"/>
        <rFont val="WenQuanYi Zen Hei"/>
        <family val="2"/>
      </rPr>
      <t xml:space="preserve">일정한 속도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결론에서 톤을 낮춘다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</si>
  <si>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숫자를 소리 내어 읽는다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</si>
  <si>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시의원</t>
    </r>
    <r>
      <rPr>
        <sz val="10"/>
        <rFont val="Noto Sans CJK SC"/>
        <family val="2"/>
        <charset val="1"/>
      </rPr>
      <t xml:space="preserve">(9</t>
    </r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) → </t>
    </r>
    <r>
      <rPr>
        <sz val="10"/>
        <rFont val="WenQuanYi Zen Hei"/>
        <family val="2"/>
      </rPr>
      <t xml:space="preserve">경제재정부 장관</t>
    </r>
  </si>
  <si>
    <t xml:space="preserve">E3·E1·N2</t>
  </si>
  <si>
    <t xml:space="preserve">Chiara Bianchi</t>
  </si>
  <si>
    <t xml:space="preserve">Chiara</t>
  </si>
  <si>
    <t xml:space="preserve">전략 컨설턴트</t>
  </si>
  <si>
    <r>
      <rPr>
        <sz val="10"/>
        <rFont val="Arial"/>
        <family val="0"/>
        <charset val="1"/>
      </rPr>
      <t xml:space="preserve">Zenit Consulting (</t>
    </r>
    <r>
      <rPr>
        <sz val="10"/>
        <rFont val="WenQuanYi Zen Hei"/>
        <family val="2"/>
      </rPr>
      <t xml:space="preserve">전 소속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</si>
  <si>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구조조정 표 한 칸이 수백 명의 해고였음을 뒤늦게 안다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</si>
  <si>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영어식 경영 용어가 섞인 빠른 말투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후반 쉬운 말로 성장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</si>
  <si>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Mettiamolo in una matrice.\n(</t>
    </r>
    <r>
      <rPr>
        <sz val="10"/>
        <rFont val="WenQuanYi Zen Hei"/>
        <family val="2"/>
      </rPr>
      <t xml:space="preserve">후반</t>
    </r>
    <r>
      <rPr>
        <sz val="10"/>
        <rFont val="Arial"/>
        <family val="0"/>
        <charset val="1"/>
      </rPr>
      <t xml:space="preserve">) Ok, senza slide: cosa ti serve davvero?</t>
    </r>
  </si>
  <si>
    <r>
      <rPr>
        <sz val="10"/>
        <rFont val="WenQuanYi Zen Hei"/>
        <family val="2"/>
      </rPr>
      <t xml:space="preserve">초반 숨 가쁜 톤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후반 솔직한 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</si>
  <si>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프레젠테이션식 브리핑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</si>
  <si>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캠프 참모</t>
    </r>
    <r>
      <rPr>
        <sz val="10"/>
        <rFont val="Noto Sans CJK SC"/>
        <family val="2"/>
        <charset val="1"/>
      </rPr>
      <t xml:space="preserve">(8~10</t>
    </r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) → </t>
    </r>
    <r>
      <rPr>
        <sz val="10"/>
        <rFont val="WenQuanYi Zen Hei"/>
        <family val="2"/>
      </rPr>
      <t xml:space="preserve">총리실 실장</t>
    </r>
  </si>
  <si>
    <t xml:space="preserve">P1·E2·S1</t>
  </si>
  <si>
    <r>
      <rPr>
        <sz val="10"/>
        <rFont val="WenQuanYi Zen Hei"/>
        <family val="2"/>
      </rPr>
      <t xml:space="preserve">부활 </t>
    </r>
    <r>
      <rPr>
        <sz val="10"/>
        <rFont val="Noto Sans CJK SC"/>
        <family val="2"/>
        <charset val="1"/>
      </rPr>
      <t xml:space="preserve">7</t>
    </r>
    <r>
      <rPr>
        <sz val="10"/>
        <rFont val="WenQuanYi Zen Hei"/>
        <family val="2"/>
      </rPr>
      <t xml:space="preserve">인</t>
    </r>
  </si>
  <si>
    <t xml:space="preserve">Gaio Giulio Cesare</t>
  </si>
  <si>
    <t xml:space="preserve">Cesare</t>
  </si>
  <si>
    <r>
      <rPr>
        <sz val="10"/>
        <rFont val="WenQuanYi Zen Hei"/>
        <family val="2"/>
      </rPr>
      <t xml:space="preserve">부활한 정치가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장군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기원전 </t>
    </r>
    <r>
      <rPr>
        <sz val="10"/>
        <rFont val="Noto Sans CJK SC"/>
        <family val="2"/>
        <charset val="1"/>
      </rPr>
      <t xml:space="preserve">100–44)</t>
    </r>
  </si>
  <si>
    <t xml:space="preserve">로마 공화정 종신독재관</t>
  </si>
  <si>
    <r>
      <rPr>
        <sz val="10"/>
        <rFont val="WenQuanYi Zen Hei"/>
        <family val="2"/>
      </rPr>
      <t xml:space="preserve">자신이 암살당하던 순간의 배신을 잊지 못하며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누구든 너무 가까이 다가오면 본능적으로 경계한다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</si>
  <si>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위엄 있고 명령조</t>
    </r>
    <r>
      <rPr>
        <sz val="10"/>
        <rFont val="Noto Sans CJK SC"/>
        <family val="2"/>
        <charset val="1"/>
      </rPr>
      <t xml:space="preserve">, 3</t>
    </r>
    <r>
      <rPr>
        <sz val="10"/>
        <rFont val="WenQuanYi Zen Hei"/>
        <family val="2"/>
      </rPr>
      <t xml:space="preserve">인칭으로 자기 자신을 지칭하는 버릇이 있다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『갈리아 전기』식 문체</t>
    </r>
    <r>
      <rPr>
        <sz val="10"/>
        <rFont val="Noto Sans CJK SC"/>
        <family val="2"/>
        <charset val="1"/>
      </rPr>
      <t xml:space="preserve">).</t>
    </r>
  </si>
  <si>
    <r>
      <rPr>
        <sz val="10"/>
        <rFont val="Arial"/>
        <family val="0"/>
        <charset val="1"/>
      </rPr>
      <t xml:space="preserve">Cesare è venuto, ha visto, ha vinto — questa riunione durerà di meno, spero.\n(</t>
    </r>
    <r>
      <rPr>
        <sz val="10"/>
        <rFont val="WenQuanYi Zen Hei"/>
        <family val="2"/>
      </rPr>
      <t xml:space="preserve">현대 용어 오해</t>
    </r>
    <r>
      <rPr>
        <sz val="10"/>
        <rFont val="Arial"/>
        <family val="0"/>
        <charset val="1"/>
      </rPr>
      <t xml:space="preserve">) Un „server“? Cesare capisce: un servo che non dorme mai. Molto romano.\n„Firewall“? Ai miei tempi si chiamava assedio.</t>
    </r>
  </si>
  <si>
    <r>
      <rPr>
        <sz val="10"/>
        <rFont val="WenQuanYi Zen Hei"/>
        <family val="2"/>
      </rPr>
      <t xml:space="preserve">느리고 육중한 리듬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문장 끝에서 상대를 지그시 본다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</si>
  <si>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내가 갈리아에 있을 때는…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식 회상으로 현재를 평가한다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</si>
  <si>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외교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안보 자문 </t>
    </r>
    <r>
      <rPr>
        <sz val="10"/>
        <rFont val="Noto Sans CJK SC"/>
        <family val="2"/>
        <charset val="1"/>
      </rPr>
      <t xml:space="preserve">(11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12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브뤼셀 협상 직후 두 번째 죽음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</si>
  <si>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WenQuanYi Zen Hei"/>
        <family val="2"/>
      </rPr>
      <t xml:space="preserve">준본격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겨울 복선</t>
    </r>
    <r>
      <rPr>
        <sz val="10"/>
        <rFont val="Noto Sans CJK SC"/>
        <family val="2"/>
        <charset val="1"/>
      </rPr>
      <t xml:space="preserve">)</t>
    </r>
  </si>
  <si>
    <t xml:space="preserve">N3·E3</t>
  </si>
  <si>
    <t xml:space="preserve">Niccolò Machiavelli</t>
  </si>
  <si>
    <t xml:space="preserve">Machiavelli</t>
  </si>
  <si>
    <r>
      <rPr>
        <sz val="10"/>
        <rFont val="WenQuanYi Zen Hei"/>
        <family val="2"/>
      </rPr>
      <t xml:space="preserve">부활한 정치사상가 </t>
    </r>
    <r>
      <rPr>
        <sz val="10"/>
        <rFont val="Noto Sans CJK SC"/>
        <family val="2"/>
        <charset val="1"/>
      </rPr>
      <t xml:space="preserve">(1469–1527)</t>
    </r>
  </si>
  <si>
    <r>
      <rPr>
        <sz val="10"/>
        <rFont val="WenQuanYi Zen Hei"/>
        <family val="2"/>
      </rPr>
      <t xml:space="preserve">피렌체 공화국 서기관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『군주론』 저자</t>
    </r>
  </si>
  <si>
    <r>
      <rPr>
        <sz val="10"/>
        <rFont val="WenQuanYi Zen Hei"/>
        <family val="2"/>
      </rPr>
      <t xml:space="preserve">자신의 이름이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마키아벨리즘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이라는 욕설로 남은 것에 대한 억울함을 냉소로 눌러 담는다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</si>
  <si>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건조하고 분석적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이상과 현실을 항상 구분해서 말한다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</si>
  <si>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고전 인용</t>
    </r>
    <r>
      <rPr>
        <sz val="10"/>
        <rFont val="Arial"/>
        <family val="0"/>
        <charset val="1"/>
      </rPr>
      <t xml:space="preserve">) È meglio essere temuti che amati, se non si può essere entrambe le cose.\n(</t>
    </r>
    <r>
      <rPr>
        <sz val="10"/>
        <rFont val="WenQuanYi Zen Hei"/>
        <family val="2"/>
      </rPr>
      <t xml:space="preserve">현대 용어 재해석</t>
    </r>
    <r>
      <rPr>
        <sz val="10"/>
        <rFont val="Arial"/>
        <family val="0"/>
        <charset val="1"/>
      </rPr>
      <t xml:space="preserve">) „Personal branding“? Un nome elegante per: il Principe che si vende da solo.</t>
    </r>
  </si>
  <si>
    <r>
      <rPr>
        <sz val="10"/>
        <rFont val="WenQuanYi Zen Hei"/>
        <family val="2"/>
      </rPr>
      <t xml:space="preserve">낮고 냉정한 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</si>
  <si>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상황을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이상 </t>
    </r>
    <r>
      <rPr>
        <sz val="10"/>
        <rFont val="Noto Sans CJK SC"/>
        <family val="2"/>
        <charset val="1"/>
      </rPr>
      <t xml:space="preserve">vs </t>
    </r>
    <r>
      <rPr>
        <sz val="10"/>
        <rFont val="WenQuanYi Zen Hei"/>
        <family val="2"/>
      </rPr>
      <t xml:space="preserve">현실</t>
    </r>
    <r>
      <rPr>
        <sz val="10"/>
        <rFont val="Noto Sans CJK SC"/>
        <family val="2"/>
        <charset val="1"/>
      </rPr>
      <t xml:space="preserve">' </t>
    </r>
    <r>
      <rPr>
        <sz val="10"/>
        <rFont val="WenQuanYi Zen Hei"/>
        <family val="2"/>
      </rPr>
      <t xml:space="preserve">두 갈래로 나눠 분석해 설명한다</t>
    </r>
    <r>
      <rPr>
        <sz val="10"/>
        <rFont val="Noto Sans CJK SC"/>
        <family val="2"/>
        <charset val="1"/>
      </rPr>
      <t xml:space="preserve">.</t>
    </r>
  </si>
  <si>
    <t xml:space="preserve">정치 전략 자문</t>
  </si>
  <si>
    <t xml:space="preserve">카메오</t>
  </si>
  <si>
    <t xml:space="preserve">P1·P2</t>
  </si>
  <si>
    <t xml:space="preserve">Giuseppe Garibaldi</t>
  </si>
  <si>
    <t xml:space="preserve">Garibaldi</t>
  </si>
  <si>
    <r>
      <rPr>
        <sz val="10"/>
        <rFont val="WenQuanYi Zen Hei"/>
        <family val="2"/>
      </rPr>
      <t xml:space="preserve">부활한 통일운동가 </t>
    </r>
    <r>
      <rPr>
        <sz val="10"/>
        <rFont val="Noto Sans CJK SC"/>
        <family val="2"/>
        <charset val="1"/>
      </rPr>
      <t xml:space="preserve">(1807–1882)</t>
    </r>
  </si>
  <si>
    <t xml:space="preserve">이탈리아 통일전쟁 의용군 지휘관</t>
  </si>
  <si>
    <r>
      <rPr>
        <sz val="10"/>
        <rFont val="WenQuanYi Zen Hei"/>
        <family val="2"/>
      </rPr>
      <t xml:space="preserve">통일시킨 나라가 다시 갈라지는 걸 보는 게 가장 두렵다 — 지역 갈등 이야기만 나오면 정색한다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</si>
  <si>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열정적이고 직설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행동가 화법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회의보다 거리로 나가고 싶어 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</si>
  <si>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Obbedisco — ma solo quando ha senso.\n(</t>
    </r>
    <r>
      <rPr>
        <sz val="10"/>
        <rFont val="WenQuanYi Zen Hei"/>
        <family val="2"/>
      </rPr>
      <t xml:space="preserve">현대 용어 오해</t>
    </r>
    <r>
      <rPr>
        <sz val="10"/>
        <rFont val="Arial"/>
        <family val="0"/>
        <charset val="1"/>
      </rPr>
      <t xml:space="preserve">) „Trending“? Vuol dire che il popolo si muove. Verso dove, andiamo a vedere.</t>
    </r>
  </si>
  <si>
    <r>
      <rPr>
        <sz val="10"/>
        <rFont val="WenQuanYi Zen Hei"/>
        <family val="2"/>
      </rPr>
      <t xml:space="preserve">빠르고 격정적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</si>
  <si>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집회 연설조로 대중의 분위기를 전달한다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</si>
  <si>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정당 창당 전략가</t>
    </r>
    <r>
      <rPr>
        <sz val="10"/>
        <rFont val="Noto Sans CJK SC"/>
        <family val="2"/>
        <charset val="1"/>
      </rPr>
      <t xml:space="preserve">(8</t>
    </r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) → </t>
    </r>
    <r>
      <rPr>
        <sz val="10"/>
        <rFont val="WenQuanYi Zen Hei"/>
        <family val="2"/>
      </rPr>
      <t xml:space="preserve">지역통합 담당 장관</t>
    </r>
  </si>
  <si>
    <t xml:space="preserve">P2·S3·N1·N5</t>
  </si>
  <si>
    <t xml:space="preserve">Dante Alighieri</t>
  </si>
  <si>
    <t xml:space="preserve">Dante</t>
  </si>
  <si>
    <r>
      <rPr>
        <sz val="10"/>
        <rFont val="WenQuanYi Zen Hei"/>
        <family val="2"/>
      </rPr>
      <t xml:space="preserve">부활한 시인 </t>
    </r>
    <r>
      <rPr>
        <sz val="10"/>
        <rFont val="Noto Sans CJK SC"/>
        <family val="2"/>
        <charset val="1"/>
      </rPr>
      <t xml:space="preserve">(1265–1321)</t>
    </r>
  </si>
  <si>
    <r>
      <rPr>
        <sz val="10"/>
        <rFont val="WenQuanYi Zen Hei"/>
        <family val="2"/>
      </rPr>
      <t xml:space="preserve">피렌체 추방자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『신곡』 저자</t>
    </r>
  </si>
  <si>
    <r>
      <rPr>
        <sz val="10"/>
        <rFont val="WenQuanYi Zen Hei"/>
        <family val="2"/>
      </rPr>
      <t xml:space="preserve">평생 고향에서 추방된 채 죽었다 — 지금도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고향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이라는 말에 예민하게 반응한다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</si>
  <si>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장엄하고 상징적인 문어체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인물마다 지옥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연옥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천국의 어느 층에 어울리는지 비유한다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개그</t>
    </r>
    <r>
      <rPr>
        <sz val="10"/>
        <rFont val="Noto Sans CJK SC"/>
        <family val="2"/>
        <charset val="1"/>
      </rPr>
      <t xml:space="preserve">).</t>
    </r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</si>
  <si>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현대 용어 오해</t>
    </r>
    <r>
      <rPr>
        <sz val="10"/>
        <rFont val="Arial"/>
        <family val="0"/>
        <charset val="1"/>
      </rPr>
      <t xml:space="preserve">) Un „influencer“? Suona come un nuovo venditore di indulgenze — li ho già messi in un girone apposito.\n„Podcast“? Una predica senza chiesa.</t>
    </r>
  </si>
  <si>
    <r>
      <rPr>
        <sz val="10"/>
        <rFont val="WenQuanYi Zen Hei"/>
        <family val="2"/>
      </rPr>
      <t xml:space="preserve">느리고 낭송하듯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</si>
  <si>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상대의 행동을 단테식 지옥</t>
    </r>
    <r>
      <rPr>
        <sz val="10"/>
        <rFont val="Noto Sans CJK SC"/>
        <family val="2"/>
        <charset val="1"/>
      </rPr>
      <t xml:space="preserve">/</t>
    </r>
    <r>
      <rPr>
        <sz val="10"/>
        <rFont val="WenQuanYi Zen Hei"/>
        <family val="2"/>
      </rPr>
      <t xml:space="preserve">연옥 비유로 풍자해 설명한다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</si>
  <si>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메시지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공보 자문</t>
    </r>
  </si>
  <si>
    <t xml:space="preserve">N3·N6·N5</t>
  </si>
  <si>
    <t xml:space="preserve">Antonio Gramsci</t>
  </si>
  <si>
    <t xml:space="preserve">Gramsci</t>
  </si>
  <si>
    <r>
      <rPr>
        <sz val="10"/>
        <rFont val="WenQuanYi Zen Hei"/>
        <family val="2"/>
      </rPr>
      <t xml:space="preserve">부활한 사상가 </t>
    </r>
    <r>
      <rPr>
        <sz val="10"/>
        <rFont val="Noto Sans CJK SC"/>
        <family val="2"/>
        <charset val="1"/>
      </rPr>
      <t xml:space="preserve">(1891–1937)</t>
    </r>
  </si>
  <si>
    <r>
      <rPr>
        <sz val="10"/>
        <rFont val="WenQuanYi Zen Hei"/>
        <family val="2"/>
      </rPr>
      <t xml:space="preserve">이탈리아 공산당 창립자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파시스트 정권 옥사</t>
    </r>
  </si>
  <si>
    <r>
      <rPr>
        <sz val="10"/>
        <rFont val="WenQuanYi Zen Hei"/>
        <family val="2"/>
      </rPr>
      <t xml:space="preserve">감옥에서 쓴 노트가 자신이 세상을 못 보고 죽은 채 유일하게 남긴 목소리였다는 걸 안다 — 말 한마디의 무게에 집착한다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</si>
  <si>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낮고 신중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권력의 문화적 지배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헤게모니</t>
    </r>
    <r>
      <rPr>
        <sz val="10"/>
        <rFont val="Noto Sans CJK SC"/>
        <family val="2"/>
        <charset val="1"/>
      </rPr>
      <t xml:space="preserve">) </t>
    </r>
    <r>
      <rPr>
        <sz val="10"/>
        <rFont val="WenQuanYi Zen Hei"/>
        <family val="2"/>
      </rPr>
      <t xml:space="preserve">개념으로 모든 걸 분석한다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</si>
  <si>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현대 용어 재해석</t>
    </r>
    <r>
      <rPr>
        <sz val="10"/>
        <rFont val="Arial"/>
        <family val="0"/>
        <charset val="1"/>
      </rPr>
      <t xml:space="preserve">) „Storytelling aziendale“? Un nome nuovo per l'egemonia culturale — io l'avevo già capito in cella.\nLa crisi consiste appunto nel fatto che il vecchio muore e il nuovo non può nascere.</t>
    </r>
  </si>
  <si>
    <r>
      <rPr>
        <sz val="10"/>
        <rFont val="WenQuanYi Zen Hei"/>
        <family val="2"/>
      </rPr>
      <t xml:space="preserve">느리고 낮은 톤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침묵이 길다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</si>
  <si>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현상을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누가 문화적 헤게모니를 쥐고 있는가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로 재해석해 설명한다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</si>
  <si>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출처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기록 담당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카드</t>
    </r>
    <r>
      <rPr>
        <sz val="10"/>
        <rFont val="Noto Sans CJK SC"/>
        <family val="2"/>
        <charset val="1"/>
      </rPr>
      <t xml:space="preserve">) → </t>
    </r>
    <r>
      <rPr>
        <sz val="10"/>
        <rFont val="WenQuanYi Zen Hei"/>
        <family val="2"/>
      </rPr>
      <t xml:space="preserve">사회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문화 정책 자문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스파이웨어 조사 자문</t>
    </r>
    <r>
      <rPr>
        <sz val="10"/>
        <rFont val="Noto Sans CJK SC"/>
        <family val="2"/>
        <charset val="1"/>
      </rPr>
      <t xml:space="preserve">(12</t>
    </r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</si>
  <si>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WenQuanYi Zen Hei"/>
        <family val="2"/>
      </rPr>
      <t xml:space="preserve">카메오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고서점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아카이브 단골</t>
    </r>
    <r>
      <rPr>
        <sz val="10"/>
        <rFont val="Noto Sans CJK SC"/>
        <family val="2"/>
        <charset val="1"/>
      </rPr>
      <t xml:space="preserve">)</t>
    </r>
  </si>
  <si>
    <t xml:space="preserve">P3·N7·N2</t>
  </si>
  <si>
    <t xml:space="preserve">Galileo Galilei</t>
  </si>
  <si>
    <t xml:space="preserve">Galileo</t>
  </si>
  <si>
    <r>
      <rPr>
        <sz val="10"/>
        <rFont val="WenQuanYi Zen Hei"/>
        <family val="2"/>
      </rPr>
      <t xml:space="preserve">부활한 과학자 </t>
    </r>
    <r>
      <rPr>
        <sz val="10"/>
        <rFont val="Noto Sans CJK SC"/>
        <family val="2"/>
        <charset val="1"/>
      </rPr>
      <t xml:space="preserve">(1564–1642)</t>
    </r>
  </si>
  <si>
    <t xml:space="preserve">종교재판에 회부됐던 천문학자</t>
  </si>
  <si>
    <r>
      <rPr>
        <sz val="10"/>
        <rFont val="WenQuanYi Zen Hei"/>
        <family val="2"/>
      </rPr>
      <t xml:space="preserve">한때 자기 눈으로 본 진실을 부정해야 목숨을 부지할 수 있었던 기억 — 지금도 침묵을 강요받으면 몸이 굳는다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</si>
  <si>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차분하고 실증적</t>
    </r>
    <r>
      <rPr>
        <sz val="10"/>
        <rFont val="Noto Sans CJK SC"/>
        <family val="2"/>
        <charset val="1"/>
      </rPr>
      <t xml:space="preserve">, '</t>
    </r>
    <r>
      <rPr>
        <sz val="10"/>
        <rFont val="WenQuanYi Zen Hei"/>
        <family val="2"/>
      </rPr>
      <t xml:space="preserve">그래도 그것은 돈다</t>
    </r>
    <r>
      <rPr>
        <sz val="10"/>
        <rFont val="Noto Sans CJK SC"/>
        <family val="2"/>
        <charset val="1"/>
      </rPr>
      <t xml:space="preserve">(Eppur si muove)'</t>
    </r>
    <r>
      <rPr>
        <sz val="10"/>
        <rFont val="WenQuanYi Zen Hei"/>
        <family val="2"/>
      </rPr>
      <t xml:space="preserve">는 태도로 조용히 밀어붙인다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</si>
  <si>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현대 용어 오해</t>
    </r>
    <r>
      <rPr>
        <sz val="10"/>
        <rFont val="Arial"/>
        <family val="0"/>
        <charset val="1"/>
      </rPr>
      <t xml:space="preserve">) „Wi-Fi“? Onde invisibili — finalmente qualcuno mi crede senza processo.\nEppur si muove — anche questa riunione, se insistiamo.</t>
    </r>
  </si>
  <si>
    <r>
      <rPr>
        <sz val="10"/>
        <rFont val="WenQuanYi Zen Hei"/>
        <family val="2"/>
      </rPr>
      <t xml:space="preserve">느리고 담담한 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</si>
  <si>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관찰과 증거로 상황을 설명한다 — 의견이 아니라 데이터로 말한다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</si>
  <si>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사무소 공론화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검증 담당 → 정부 대변인</t>
    </r>
    <r>
      <rPr>
        <sz val="10"/>
        <rFont val="Noto Sans CJK SC"/>
        <family val="2"/>
        <charset val="1"/>
      </rPr>
      <t xml:space="preserve">(11</t>
    </r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~)</t>
    </r>
  </si>
  <si>
    <t xml:space="preserve">P3·N7·N4</t>
  </si>
  <si>
    <r>
      <rPr>
        <sz val="10"/>
        <rFont val="WenQuanYi Zen Hei"/>
        <family val="2"/>
      </rPr>
      <t xml:space="preserve">서민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청년</t>
    </r>
  </si>
  <si>
    <t xml:space="preserve">Rosa Esposito</t>
  </si>
  <si>
    <t xml:space="preserve">Rosa</t>
  </si>
  <si>
    <r>
      <rPr>
        <sz val="10"/>
        <rFont val="WenQuanYi Zen Hei"/>
        <family val="2"/>
      </rPr>
      <t xml:space="preserve">트라토리아 사장 </t>
    </r>
    <r>
      <rPr>
        <sz val="10"/>
        <rFont val="Noto Sans CJK SC"/>
        <family val="2"/>
        <charset val="1"/>
      </rPr>
      <t xml:space="preserve">(Trattoria da Rosa, 30</t>
    </r>
    <r>
      <rPr>
        <sz val="10"/>
        <rFont val="WenQuanYi Zen Hei"/>
        <family val="2"/>
      </rPr>
      <t xml:space="preserve">년 운영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</si>
  <si>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Noto Sans CJK SC"/>
        <family val="2"/>
        <charset val="1"/>
      </rPr>
      <t xml:space="preserve">Trattoria da Rosa, Testaccio → </t>
    </r>
    <r>
      <rPr>
        <sz val="10"/>
        <rFont val="WenQuanYi Zen Hei"/>
        <family val="2"/>
      </rPr>
      <t xml:space="preserve">사무소 </t>
    </r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층으로 이전</t>
    </r>
  </si>
  <si>
    <r>
      <rPr>
        <sz val="10"/>
        <rFont val="WenQuanYi Zen Hei"/>
        <family val="2"/>
      </rPr>
      <t xml:space="preserve">임대료 폭등으로 가게를 잃었다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</si>
  <si>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로마 토박이 구어체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누구에게나 </t>
    </r>
    <r>
      <rPr>
        <sz val="10"/>
        <rFont val="Noto Sans CJK SC"/>
        <family val="2"/>
        <charset val="1"/>
      </rPr>
      <t xml:space="preserve">tu, 'amore/tesoro'.</t>
    </r>
  </si>
  <si>
    <t xml:space="preserve">Sedetevi, che vi porto qualcosa.\nA stomaco vuoto non si pensa bene.\nOffre la casa.</t>
  </si>
  <si>
    <r>
      <rPr>
        <sz val="10"/>
        <rFont val="WenQuanYi Zen Hei"/>
        <family val="2"/>
      </rPr>
      <t xml:space="preserve">따뜻하고 넉넉한 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</si>
  <si>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시간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장소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식사를 말로 알린다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</si>
  <si>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소상공인 정책 자문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비공식</t>
    </r>
    <r>
      <rPr>
        <sz val="10"/>
        <rFont val="Noto Sans CJK SC"/>
        <family val="2"/>
        <charset val="1"/>
      </rPr>
      <t xml:space="preserve">)</t>
    </r>
  </si>
  <si>
    <t xml:space="preserve">E1·S2·E2</t>
  </si>
  <si>
    <t xml:space="preserve">Paolo Greco</t>
  </si>
  <si>
    <t xml:space="preserve">Paolo</t>
  </si>
  <si>
    <t xml:space="preserve">전 대중교통 노조위원장</t>
  </si>
  <si>
    <r>
      <rPr>
        <sz val="10"/>
        <rFont val="WenQuanYi Zen Hei"/>
        <family val="2"/>
      </rPr>
      <t xml:space="preserve">로마 대중교통 노조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파업 책임으로 해고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</si>
  <si>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WenQuanYi Zen Hei"/>
        <family val="2"/>
      </rPr>
      <t xml:space="preserve">파업 책임으로 해고되어 블랙리스트에 올랐지만 후회하지 않는다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</si>
  <si>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거칠고 직설적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구호형 문장</t>
    </r>
    <r>
      <rPr>
        <sz val="10"/>
        <rFont val="Noto Sans CJK SC"/>
        <family val="2"/>
        <charset val="1"/>
      </rPr>
      <t xml:space="preserve">.</t>
    </r>
  </si>
  <si>
    <t xml:space="preserve">Qui non si arrende nessuno!\nQuesto si risolve in strada.\nNon mi rompere.</t>
  </si>
  <si>
    <r>
      <rPr>
        <sz val="10"/>
        <rFont val="WenQuanYi Zen Hei"/>
        <family val="2"/>
      </rPr>
      <t xml:space="preserve">큰 볼륨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강한 억양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</si>
  <si>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구호와 함성으로 현장 분위기를 전달한다</t>
    </r>
    <r>
      <rPr>
        <sz val="10"/>
        <rFont val="Noto Sans CJK SC"/>
        <family val="2"/>
        <charset val="1"/>
      </rPr>
      <t xml:space="preserve">.</t>
    </r>
  </si>
  <si>
    <t xml:space="preserve">사회적 대화 자문</t>
  </si>
  <si>
    <t xml:space="preserve">S1·N6·P1</t>
  </si>
  <si>
    <t xml:space="preserve">Sofia Marino</t>
  </si>
  <si>
    <t xml:space="preserve">Sofia M.</t>
  </si>
  <si>
    <r>
      <rPr>
        <sz val="10"/>
        <rFont val="WenQuanYi Zen Hei"/>
        <family val="2"/>
      </rPr>
      <t xml:space="preserve">신입 인턴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독자의 대리인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</si>
  <si>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WenQuanYi Zen Hei"/>
        <family val="2"/>
      </rPr>
      <t xml:space="preserve">대기업 인턴 출신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부당 해고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</si>
  <si>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WenQuanYi Zen Hei"/>
        <family val="2"/>
      </rPr>
      <t xml:space="preserve">대기업 인턴에서 부당하게 쫓겨났고 월세가 밀려 있다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</si>
  <si>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Z</t>
    </r>
    <r>
      <rPr>
        <sz val="10"/>
        <rFont val="WenQuanYi Zen Hei"/>
        <family val="2"/>
      </rPr>
      <t xml:space="preserve">세대 구어체 </t>
    </r>
    <r>
      <rPr>
        <sz val="10"/>
        <rFont val="Arial"/>
        <family val="0"/>
        <charset val="1"/>
      </rPr>
      <t xml:space="preserve">(tipo, boh, spacca). </t>
    </r>
    <r>
      <rPr>
        <sz val="10"/>
        <rFont val="WenQuanYi Zen Hei"/>
        <family val="2"/>
      </rPr>
      <t xml:space="preserve">어른들에겐 </t>
    </r>
    <r>
      <rPr>
        <sz val="10"/>
        <rFont val="Arial"/>
        <family val="0"/>
        <charset val="1"/>
      </rPr>
      <t xml:space="preserve">Lei, </t>
    </r>
    <r>
      <rPr>
        <sz val="10"/>
        <rFont val="WenQuanYi Zen Hei"/>
        <family val="2"/>
      </rPr>
      <t xml:space="preserve">성장하며 </t>
    </r>
    <r>
      <rPr>
        <sz val="10"/>
        <rFont val="Arial"/>
        <family val="0"/>
        <charset val="1"/>
      </rPr>
      <t xml:space="preserve">tu</t>
    </r>
    <r>
      <rPr>
        <sz val="10"/>
        <rFont val="WenQuanYi Zen Hei"/>
        <family val="2"/>
      </rPr>
      <t xml:space="preserve">로 넘어간다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</si>
  <si>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Scusi, cosa significa?\nMe lo spiega come se avessi cinque anni?\nBASTA! Non capisco niente! (</t>
    </r>
    <r>
      <rPr>
        <sz val="10"/>
        <rFont val="WenQuanYi Zen Hei"/>
        <family val="2"/>
      </rPr>
      <t xml:space="preserve">폭발 —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·9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</si>
  <si>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빠르고 밝은 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</si>
  <si>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질문으로 용어와 배경을 끌어낸다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</si>
  <si>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시의원 보좌</t>
    </r>
    <r>
      <rPr>
        <sz val="10"/>
        <rFont val="Noto Sans CJK SC"/>
        <family val="2"/>
        <charset val="1"/>
      </rPr>
      <t xml:space="preserve">(9</t>
    </r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) → </t>
    </r>
    <r>
      <rPr>
        <sz val="10"/>
        <rFont val="WenQuanYi Zen Hei"/>
        <family val="2"/>
      </rPr>
      <t xml:space="preserve">청년정책 자문관</t>
    </r>
  </si>
  <si>
    <t xml:space="preserve">S1·N8·S2</t>
  </si>
  <si>
    <t xml:space="preserve">Francesco Rizzo</t>
  </si>
  <si>
    <t xml:space="preserve">Francesco</t>
  </si>
  <si>
    <t xml:space="preserve">전 은행 지점장</t>
  </si>
  <si>
    <r>
      <rPr>
        <sz val="10"/>
        <rFont val="Arial"/>
        <family val="0"/>
        <charset val="1"/>
      </rPr>
      <t xml:space="preserve">Banca Adriatica (25</t>
    </r>
    <r>
      <rPr>
        <sz val="10"/>
        <rFont val="WenQuanYi Zen Hei"/>
        <family val="2"/>
      </rPr>
      <t xml:space="preserve">년 근속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</si>
  <si>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불법 대출 공모를 내부 고발하다 해고되었다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</si>
  <si>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정중하고 조심스러운 은행원식 완곡어법</t>
    </r>
    <r>
      <rPr>
        <sz val="10"/>
        <rFont val="Noto Sans CJK SC"/>
        <family val="2"/>
        <charset val="1"/>
      </rPr>
      <t xml:space="preserve">.</t>
    </r>
  </si>
  <si>
    <t xml:space="preserve">Segui il denaro.\nIl denaro lascia sempre una traccia.\nQuando dirigevo la filiale…</t>
  </si>
  <si>
    <r>
      <rPr>
        <sz val="10"/>
        <rFont val="WenQuanYi Zen Hei"/>
        <family val="2"/>
      </rPr>
      <t xml:space="preserve">차분하고 신중하게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</si>
  <si>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돈의 경로를 </t>
    </r>
    <r>
      <rPr>
        <sz val="10"/>
        <rFont val="Noto Sans CJK SC"/>
        <family val="2"/>
        <charset val="1"/>
      </rPr>
      <t xml:space="preserve">«Da A a B…»</t>
    </r>
    <r>
      <rPr>
        <sz val="10"/>
        <rFont val="WenQuanYi Zen Hei"/>
        <family val="2"/>
      </rPr>
      <t xml:space="preserve">식으로 그려준다</t>
    </r>
    <r>
      <rPr>
        <sz val="10"/>
        <rFont val="Noto Sans CJK SC"/>
        <family val="2"/>
        <charset val="1"/>
      </rPr>
      <t xml:space="preserve">.</t>
    </r>
  </si>
  <si>
    <t xml:space="preserve">금융 개혁 자문</t>
  </si>
  <si>
    <r>
      <rPr>
        <sz val="10"/>
        <rFont val="WenQuanYi Zen Hei"/>
        <family val="2"/>
      </rPr>
      <t xml:space="preserve">카메오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의뢰인</t>
    </r>
    <r>
      <rPr>
        <sz val="10"/>
        <rFont val="Noto Sans CJK SC"/>
        <family val="2"/>
        <charset val="1"/>
      </rPr>
      <t xml:space="preserve">)</t>
    </r>
  </si>
  <si>
    <t xml:space="preserve">E3·N2·E1</t>
  </si>
  <si>
    <r>
      <rPr>
        <sz val="11"/>
        <color theme="1"/>
        <rFont val="WenQuanYi Zen Hei"/>
        <family val="2"/>
      </rPr>
      <t xml:space="preserve">부활 </t>
    </r>
    <r>
      <rPr>
        <sz val="11"/>
        <color theme="1"/>
        <rFont val="Noto Sans CJK SC"/>
        <family val="2"/>
        <charset val="1"/>
      </rPr>
      <t xml:space="preserve">7</t>
    </r>
    <r>
      <rPr>
        <sz val="11"/>
        <color theme="1"/>
        <rFont val="WenQuanYi Zen Hei"/>
        <family val="2"/>
      </rPr>
      <t xml:space="preserve">인</t>
    </r>
  </si>
  <si>
    <t xml:space="preserve">Maria Montessori</t>
  </si>
  <si>
    <t xml:space="preserve">Montessori</t>
  </si>
  <si>
    <r>
      <rPr>
        <sz val="11"/>
        <color theme="1"/>
        <rFont val="WenQuanYi Zen Hei"/>
        <family val="2"/>
      </rPr>
      <t xml:space="preserve">부활한 교육학자</t>
    </r>
    <r>
      <rPr>
        <sz val="11"/>
        <color theme="1"/>
        <rFont val="Noto Sans CJK SC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의사 </t>
    </r>
    <r>
      <rPr>
        <sz val="11"/>
        <color theme="1"/>
        <rFont val="Noto Sans CJK SC"/>
        <family val="2"/>
        <charset val="1"/>
      </rPr>
      <t xml:space="preserve">(1870–1952)</t>
    </r>
  </si>
  <si>
    <r>
      <rPr>
        <sz val="11"/>
        <color theme="1"/>
        <rFont val="WenQuanYi Zen Hei"/>
        <family val="2"/>
      </rPr>
      <t xml:space="preserve">몬테소리 교육법 창시자</t>
    </r>
    <r>
      <rPr>
        <sz val="11"/>
        <color theme="1"/>
        <rFont val="Noto Sans CJK SC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이탈리아 최초 여성 의사 중 한 명</t>
    </r>
  </si>
  <si>
    <r>
      <rPr>
        <sz val="11"/>
        <color theme="1"/>
        <rFont val="WenQuanYi Zen Hei"/>
        <family val="2"/>
      </rPr>
      <t xml:space="preserve">자신의 교육법이 세계로 퍼졌지만 정작 자국 파시스트 정권에는 탄압받았던 기억이 있다</t>
    </r>
    <r>
      <rPr>
        <sz val="11"/>
        <color theme="1"/>
        <rFont val="Noto Sans CJK SC"/>
        <family val="2"/>
        <charset val="1"/>
      </rPr>
      <t xml:space="preserve">.</t>
    </r>
  </si>
  <si>
    <r>
      <rPr>
        <sz val="11"/>
        <color theme="1"/>
        <rFont val="WenQuanYi Zen Hei"/>
        <family val="2"/>
      </rPr>
      <t xml:space="preserve">차분하고 관찰적</t>
    </r>
    <r>
      <rPr>
        <sz val="11"/>
        <color theme="1"/>
        <rFont val="Noto Sans CJK SC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아이 대하듯 사람을 존중하며 말하지만 할 말은 다 한다</t>
    </r>
    <r>
      <rPr>
        <sz val="11"/>
        <color theme="1"/>
        <rFont val="Noto Sans CJK SC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</si>
  <si>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Aiutami a fare da solo.\n(</t>
    </r>
    <r>
      <rPr>
        <sz val="11"/>
        <color theme="1"/>
        <rFont val="WenQuanYi Zen Hei"/>
        <family val="2"/>
      </rPr>
      <t xml:space="preserve">현대 용어 오해</t>
    </r>
    <r>
      <rPr>
        <sz val="11"/>
        <color theme="1"/>
        <rFont val="Calibri"/>
        <family val="2"/>
        <charset val="1"/>
      </rPr>
      <t xml:space="preserve">) „App“? Uno strumento — ma lo strumento non deve mai sostituire la mano che impara.</t>
    </r>
  </si>
  <si>
    <r>
      <rPr>
        <sz val="11"/>
        <color theme="1"/>
        <rFont val="WenQuanYi Zen Hei"/>
        <family val="2"/>
      </rPr>
      <t xml:space="preserve">부드럽고 낮은 톤</t>
    </r>
    <r>
      <rPr>
        <sz val="11"/>
        <color theme="1"/>
        <rFont val="Noto Sans CJK SC"/>
        <family val="2"/>
        <charset val="1"/>
      </rPr>
      <t xml:space="preserve">.</t>
    </r>
  </si>
  <si>
    <r>
      <rPr>
        <sz val="11"/>
        <color theme="1"/>
        <rFont val="WenQuanYi Zen Hei"/>
        <family val="2"/>
      </rPr>
      <t xml:space="preserve">상대의 말을 관찰하듯 되짚어 정리해 준다</t>
    </r>
    <r>
      <rPr>
        <sz val="11"/>
        <color theme="1"/>
        <rFont val="Noto Sans CJK SC"/>
        <family val="2"/>
        <charset val="1"/>
      </rPr>
      <t xml:space="preserve">.</t>
    </r>
  </si>
  <si>
    <r>
      <rPr>
        <sz val="11"/>
        <color theme="1"/>
        <rFont val="WenQuanYi Zen Hei"/>
        <family val="2"/>
      </rPr>
      <t xml:space="preserve">사무소 상담 담당 → 교육</t>
    </r>
    <r>
      <rPr>
        <sz val="11"/>
        <color theme="1"/>
        <rFont val="Noto Sans CJK SC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청년 정신건강 정책 자문</t>
    </r>
  </si>
  <si>
    <t xml:space="preserve">N8·N4·S2</t>
  </si>
  <si>
    <r>
      <rPr>
        <b val="true"/>
        <sz val="14"/>
        <color rgb="FF1F3864"/>
        <rFont val="WenQuanYi Zen Hei"/>
        <family val="2"/>
      </rPr>
      <t xml:space="preserve">인물별 등장 비중 </t>
    </r>
    <r>
      <rPr>
        <b val="true"/>
        <sz val="14"/>
        <color rgb="FF1F3864"/>
        <rFont val="Noto Sans CJK SC"/>
        <family val="2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부별 등장 화 수</t>
    </r>
    <r>
      <rPr>
        <b val="true"/>
        <sz val="14"/>
        <color rgb="FF1F3864"/>
        <rFont val="Noto Sans CJK SC"/>
        <family val="2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</si>
  <si>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등장 화 </t>
    </r>
    <r>
      <rPr>
        <i val="true"/>
        <sz val="9"/>
        <color rgb="FF595959"/>
        <rFont val="Noto Sans CJK SC"/>
        <family val="2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대사가 있는 화 수 </t>
    </r>
    <r>
      <rPr>
        <i val="true"/>
        <sz val="9"/>
        <color rgb="FF595959"/>
        <rFont val="Noto Sans CJK SC"/>
        <family val="2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기획용 초안</t>
    </r>
    <r>
      <rPr>
        <i val="true"/>
        <sz val="9"/>
        <color rgb="FF595959"/>
        <rFont val="Noto Sans CJK SC"/>
        <family val="2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파란 숫자는 직접 입력값이며 수정하면 합계</t>
    </r>
    <r>
      <rPr>
        <i val="true"/>
        <sz val="9"/>
        <color rgb="FF595959"/>
        <rFont val="Noto Sans CJK SC"/>
        <family val="2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비중</t>
    </r>
    <r>
      <rPr>
        <i val="true"/>
        <sz val="9"/>
        <color rgb="FF595959"/>
        <rFont val="Noto Sans CJK SC"/>
        <family val="2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등급이 자동 갱신됩니다</t>
    </r>
    <r>
      <rPr>
        <i val="true"/>
        <sz val="9"/>
        <color rgb="FF595959"/>
        <rFont val="Noto Sans CJK SC"/>
        <family val="2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</si>
  <si>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인물 </t>
    </r>
    <r>
      <rPr>
        <b val="true"/>
        <sz val="10"/>
        <color rgb="FFFFFFFF"/>
        <rFont val="Noto Sans CJK SC"/>
        <family val="2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약칭</t>
    </r>
    <r>
      <rPr>
        <b val="true"/>
        <sz val="10"/>
        <color rgb="FFFFFFFF"/>
        <rFont val="Noto Sans CJK SC"/>
        <family val="2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</si>
  <si>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부
사무소</t>
    </r>
  </si>
  <si>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부
</t>
    </r>
    <r>
      <rPr>
        <b val="true"/>
        <sz val="10"/>
        <color rgb="FFFFFFFF"/>
        <rFont val="Arial"/>
        <family val="0"/>
        <charset val="1"/>
      </rPr>
      <t xml:space="preserve">Marco</t>
    </r>
  </si>
  <si>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부
</t>
    </r>
    <r>
      <rPr>
        <b val="true"/>
        <sz val="10"/>
        <color rgb="FFFFFFFF"/>
        <rFont val="Arial"/>
        <family val="0"/>
        <charset val="1"/>
      </rPr>
      <t xml:space="preserve">Giulia</t>
    </r>
  </si>
  <si>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부
</t>
    </r>
    <r>
      <rPr>
        <b val="true"/>
        <sz val="10"/>
        <color rgb="FFFFFFFF"/>
        <rFont val="Arial"/>
        <family val="0"/>
        <charset val="1"/>
      </rPr>
      <t xml:space="preserve">Alessandro</t>
    </r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</si>
  <si>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부
</t>
    </r>
    <r>
      <rPr>
        <b val="true"/>
        <sz val="10"/>
        <color rgb="FFFFFFFF"/>
        <rFont val="Arial"/>
        <family val="0"/>
        <charset val="1"/>
      </rPr>
      <t xml:space="preserve">Chiara</t>
    </r>
  </si>
  <si>
    <r>
      <rPr>
        <b val="true"/>
        <sz val="10"/>
        <color rgb="FFFFFFFF"/>
        <rFont val="Arial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부
만남</t>
    </r>
  </si>
  <si>
    <r>
      <rPr>
        <b val="true"/>
        <sz val="10"/>
        <color rgb="FFFFFFFF"/>
        <rFont val="Arial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부
전면전</t>
    </r>
  </si>
  <si>
    <r>
      <rPr>
        <b val="true"/>
        <sz val="10"/>
        <color rgb="FFFFFFFF"/>
        <rFont val="Arial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부
창당</t>
    </r>
  </si>
  <si>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부
시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주 의회</t>
    </r>
  </si>
  <si>
    <r>
      <rPr>
        <b val="true"/>
        <sz val="10"/>
        <color rgb="FFFFFFFF"/>
        <rFont val="Arial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부
총선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총리</t>
    </r>
  </si>
  <si>
    <r>
      <rPr>
        <b val="true"/>
        <sz val="10"/>
        <color rgb="FFFFFFFF"/>
        <rFont val="Arial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부
국정 </t>
    </r>
    <r>
      <rPr>
        <b val="true"/>
        <sz val="10"/>
        <color rgb="FFFFFFFF"/>
        <rFont val="Arial"/>
        <family val="0"/>
        <charset val="1"/>
      </rPr>
      <t xml:space="preserve">I</t>
    </r>
  </si>
  <si>
    <r>
      <rPr>
        <b val="true"/>
        <sz val="10"/>
        <color rgb="FFFFFFFF"/>
        <rFont val="Arial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부
국정 </t>
    </r>
    <r>
      <rPr>
        <b val="true"/>
        <sz val="10"/>
        <color rgb="FFFFFFFF"/>
        <rFont val="Arial"/>
        <family val="0"/>
        <charset val="1"/>
      </rPr>
      <t xml:space="preserve">II</t>
    </r>
  </si>
  <si>
    <r>
      <rPr>
        <b val="true"/>
        <sz val="10"/>
        <color rgb="FFFFFFFF"/>
        <rFont val="Arial"/>
        <family val="0"/>
        <charset val="1"/>
      </rPr>
      <t xml:space="preserve">13</t>
    </r>
    <r>
      <rPr>
        <b val="true"/>
        <sz val="10"/>
        <color rgb="FFFFFFFF"/>
        <rFont val="WenQuanYi Zen Hei"/>
        <family val="2"/>
      </rPr>
      <t xml:space="preserve">부
귀환</t>
    </r>
  </si>
  <si>
    <t xml:space="preserve">합계</t>
  </si>
  <si>
    <t xml:space="preserve">비중</t>
  </si>
  <si>
    <r>
      <rPr>
        <b val="true"/>
        <sz val="10"/>
        <color rgb="FFFFFFFF"/>
        <rFont val="WenQuanYi Zen Hei"/>
        <family val="2"/>
      </rPr>
      <t xml:space="preserve">검증
</t>
    </r>
    <r>
      <rPr>
        <b val="true"/>
        <sz val="10"/>
        <color rgb="FFFFFFFF"/>
        <rFont val="Noto Sans CJK SC"/>
        <family val="2"/>
        <charset val="1"/>
      </rPr>
      <t xml:space="preserve">(≤</t>
    </r>
    <r>
      <rPr>
        <b val="true"/>
        <sz val="10"/>
        <color rgb="FFFFFFFF"/>
        <rFont val="WenQuanYi Zen Hei"/>
        <family val="2"/>
      </rPr>
      <t xml:space="preserve">부당 화 수</t>
    </r>
    <r>
      <rPr>
        <b val="true"/>
        <sz val="10"/>
        <color rgb="FFFFFFFF"/>
        <rFont val="Noto Sans CJK SC"/>
        <family val="2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</si>
  <si>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단독 중심 화
목표 </t>
    </r>
    <r>
      <rPr>
        <b val="true"/>
        <sz val="10"/>
        <color rgb="FFFFFFFF"/>
        <rFont val="Noto Sans CJK SC"/>
        <family val="2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조연</t>
    </r>
    <r>
      <rPr>
        <b val="true"/>
        <sz val="10"/>
        <color rgb="FFFFFFFF"/>
        <rFont val="Noto Sans CJK SC"/>
        <family val="2"/>
        <charset val="1"/>
      </rPr>
      <t xml:space="preserve">)</t>
    </r>
  </si>
  <si>
    <t xml:space="preserve">—</t>
  </si>
  <si>
    <r>
      <rPr>
        <sz val="11"/>
        <color theme="1"/>
        <rFont val="WenQuanYi Zen Hei"/>
        <family val="2"/>
      </rPr>
      <t xml:space="preserve">부별 연인원 </t>
    </r>
    <r>
      <rPr>
        <sz val="11"/>
        <color theme="1"/>
        <rFont val="Noto Sans CJK SC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합계</t>
    </r>
    <r>
      <rPr>
        <sz val="11"/>
        <color theme="1"/>
        <rFont val="Noto Sans CJK SC"/>
        <family val="2"/>
        <charset val="1"/>
      </rPr>
      <t xml:space="preserve">)</t>
    </r>
  </si>
  <si>
    <t xml:space="preserve">주연</t>
  </si>
  <si>
    <t xml:space="preserve">준주연</t>
  </si>
  <si>
    <t xml:space="preserve">핵심 조연</t>
  </si>
  <si>
    <t xml:space="preserve">조연</t>
  </si>
  <si>
    <t xml:space="preserve">그 미만</t>
  </si>
  <si>
    <t xml:space="preserve">배분 원칙</t>
  </si>
  <si>
    <r>
      <rPr>
        <sz val="10"/>
        <rFont val="Arial"/>
        <family val="0"/>
        <charset val="1"/>
      </rPr>
      <t xml:space="preserve">1. 1</t>
    </r>
    <r>
      <rPr>
        <sz val="10"/>
        <rFont val="WenQuanYi Zen Hei"/>
        <family val="2"/>
      </rPr>
      <t xml:space="preserve">부는 개소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개월 후 시점</t>
    </r>
    <r>
      <rPr>
        <sz val="10"/>
        <rFont val="Arial"/>
        <family val="0"/>
        <charset val="1"/>
      </rPr>
      <t xml:space="preserve">: Sofia·Rosa</t>
    </r>
    <r>
      <rPr>
        <sz val="10"/>
        <rFont val="WenQuanYi Zen Hei"/>
        <family val="2"/>
      </rPr>
      <t xml:space="preserve">가 전 화에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주력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인은 사건별로 교대 등장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전원 겹치지 않음</t>
    </r>
    <r>
      <rPr>
        <sz val="10"/>
        <rFont val="Arial"/>
        <family val="0"/>
        <charset val="1"/>
      </rPr>
      <t xml:space="preserve">). Cesare 4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Machiavelli 3</t>
    </r>
    <r>
      <rPr>
        <sz val="10"/>
        <rFont val="WenQuanYi Zen Hei"/>
        <family val="2"/>
      </rPr>
      <t xml:space="preserve">화로 자주 얼굴을 비추고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이번 겨울이 마지막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복선을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화부터 깐다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나머지는 사건마다 다른 조합으로 카메오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</si>
  <si>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2. 2~5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각 주인공이 자기 부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화 전부에 나오고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다른 주력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인은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화씩 스쳐 지나가며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부 만남을 예고</t>
    </r>
    <r>
      <rPr>
        <sz val="10"/>
        <rFont val="Arial"/>
        <family val="0"/>
        <charset val="1"/>
      </rPr>
      <t xml:space="preserve">. Sofia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화씩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사무소에서 이야기를 듣는 프레임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으로 등장해 회상을 잇는다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</si>
  <si>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부활자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조연은 과거와 겹치는 곳에만 배치</t>
    </r>
    <r>
      <rPr>
        <sz val="10"/>
        <rFont val="Arial"/>
        <family val="0"/>
        <charset val="1"/>
      </rPr>
      <t xml:space="preserve">: Paolo-5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(Chiara</t>
    </r>
    <r>
      <rPr>
        <sz val="10"/>
        <rFont val="WenQuanYi Zen Hei"/>
        <family val="2"/>
      </rPr>
      <t xml:space="preserve">의 구조조정 현장</t>
    </r>
    <r>
      <rPr>
        <sz val="10"/>
        <rFont val="Arial"/>
        <family val="0"/>
        <charset val="1"/>
      </rPr>
      <t xml:space="preserve">), Francesco·Galileo-4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(Alessandro</t>
    </r>
    <r>
      <rPr>
        <sz val="10"/>
        <rFont val="WenQuanYi Zen Hei"/>
        <family val="2"/>
      </rPr>
      <t xml:space="preserve">의 감사 사건</t>
    </r>
    <r>
      <rPr>
        <sz val="10"/>
        <rFont val="Arial"/>
        <family val="0"/>
        <charset val="1"/>
      </rPr>
      <t xml:space="preserve">), Montessori-3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·5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되받기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번아웃 상담</t>
    </r>
    <r>
      <rPr>
        <sz val="10"/>
        <rFont val="Arial"/>
        <family val="0"/>
        <charset val="1"/>
      </rPr>
      <t xml:space="preserve">), Garibaldi-4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지역 회계 회상 카메오</t>
    </r>
    <r>
      <rPr>
        <sz val="10"/>
        <rFont val="Arial"/>
        <family val="0"/>
        <charset val="1"/>
      </rPr>
      <t xml:space="preserve">).</t>
    </r>
  </si>
  <si>
    <r>
      <rPr>
        <sz val="10"/>
        <rFont val="Arial"/>
        <family val="0"/>
        <charset val="1"/>
      </rPr>
      <t xml:space="preserve">4. </t>
    </r>
    <r>
      <rPr>
        <sz val="10"/>
        <rFont val="WenQuanYi Zen Hei"/>
        <family val="2"/>
      </rPr>
      <t xml:space="preserve">부활자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조연 본격 비중은 </t>
    </r>
    <r>
      <rPr>
        <sz val="10"/>
        <rFont val="Arial"/>
        <family val="0"/>
        <charset val="1"/>
      </rPr>
      <t xml:space="preserve">7~10</t>
    </r>
    <r>
      <rPr>
        <sz val="10"/>
        <rFont val="WenQuanYi Zen Hei"/>
        <family val="2"/>
      </rPr>
      <t xml:space="preserve">부에서 최고치</t>
    </r>
    <r>
      <rPr>
        <sz val="10"/>
        <rFont val="Arial"/>
        <family val="0"/>
        <charset val="1"/>
      </rPr>
      <t xml:space="preserve">: 7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Galileo·Paolo·Garibaldi(</t>
    </r>
    <r>
      <rPr>
        <sz val="10"/>
        <rFont val="WenQuanYi Zen Hei"/>
        <family val="2"/>
      </rPr>
      <t xml:space="preserve">공론화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현장 조직</t>
    </r>
    <r>
      <rPr>
        <sz val="10"/>
        <rFont val="Arial"/>
        <family val="0"/>
        <charset val="1"/>
      </rPr>
      <t xml:space="preserve">), 8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Dante·Machiavelli·Gramsci(</t>
    </r>
    <r>
      <rPr>
        <sz val="10"/>
        <rFont val="WenQuanYi Zen Hei"/>
        <family val="2"/>
      </rPr>
      <t xml:space="preserve">선언문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전략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출처</t>
    </r>
    <r>
      <rPr>
        <sz val="10"/>
        <rFont val="Arial"/>
        <family val="0"/>
        <charset val="1"/>
      </rPr>
      <t xml:space="preserve">), 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Dante·Galileo·Gramsci(</t>
    </r>
    <r>
      <rPr>
        <sz val="10"/>
        <rFont val="WenQuanYi Zen Hei"/>
        <family val="2"/>
      </rPr>
      <t xml:space="preserve">취임 연설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대변인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정보 감독</t>
    </r>
    <r>
      <rPr>
        <sz val="10"/>
        <rFont val="Arial"/>
        <family val="0"/>
        <charset val="1"/>
      </rPr>
      <t xml:space="preserve">).</t>
    </r>
  </si>
  <si>
    <r>
      <rPr>
        <sz val="10"/>
        <rFont val="Arial"/>
        <family val="0"/>
        <charset val="1"/>
      </rPr>
      <t xml:space="preserve">5. 11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국정 </t>
    </r>
    <r>
      <rPr>
        <sz val="10"/>
        <rFont val="Arial"/>
        <family val="0"/>
        <charset val="1"/>
      </rPr>
      <t xml:space="preserve">I)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Cesare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9~12</t>
    </r>
    <r>
      <rPr>
        <sz val="10"/>
        <rFont val="WenQuanYi Zen Hei"/>
        <family val="2"/>
      </rPr>
      <t xml:space="preserve">화에서 브뤼셀 직접 협상을 이끌며 최고치</t>
    </r>
    <r>
      <rPr>
        <sz val="10"/>
        <rFont val="Arial"/>
        <family val="0"/>
        <charset val="1"/>
      </rPr>
      <t xml:space="preserve">(9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를 찍고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화에서 사망한다</t>
    </r>
    <r>
      <rPr>
        <sz val="10"/>
        <rFont val="Arial"/>
        <family val="0"/>
        <charset val="1"/>
      </rPr>
      <t xml:space="preserve">. Francesco</t>
    </r>
    <r>
      <rPr>
        <sz val="10"/>
        <rFont val="WenQuanYi Zen Hei"/>
        <family val="2"/>
      </rPr>
      <t xml:space="preserve">는 앞선 주거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금융 국내 현안 화에서 정점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</si>
  <si>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6. 12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국정 </t>
    </r>
    <r>
      <rPr>
        <sz val="10"/>
        <rFont val="Arial"/>
        <family val="0"/>
        <charset val="1"/>
      </rPr>
      <t xml:space="preserve">II)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Cesare </t>
    </r>
    <r>
      <rPr>
        <sz val="10"/>
        <rFont val="WenQuanYi Zen Hei"/>
        <family val="2"/>
      </rPr>
      <t xml:space="preserve">사후</t>
    </r>
    <r>
      <rPr>
        <sz val="10"/>
        <rFont val="Arial"/>
        <family val="0"/>
        <charset val="1"/>
      </rPr>
      <t xml:space="preserve">(0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): 1</t>
    </r>
    <r>
      <rPr>
        <sz val="10"/>
        <rFont val="WenQuanYi Zen Hei"/>
        <family val="2"/>
      </rPr>
      <t xml:space="preserve">화 장례식에 </t>
    </r>
    <r>
      <rPr>
        <sz val="10"/>
        <rFont val="Arial"/>
        <family val="0"/>
        <charset val="1"/>
      </rPr>
      <t xml:space="preserve">Garibaldi·Gramsci·Machiavelli</t>
    </r>
    <r>
      <rPr>
        <sz val="10"/>
        <rFont val="WenQuanYi Zen Hei"/>
        <family val="2"/>
      </rPr>
      <t xml:space="preserve">가 몰리고</t>
    </r>
    <r>
      <rPr>
        <sz val="10"/>
        <rFont val="Arial"/>
        <family val="0"/>
        <charset val="1"/>
      </rPr>
      <t xml:space="preserve">, Alessandro·Dante</t>
    </r>
    <r>
      <rPr>
        <sz val="10"/>
        <rFont val="WenQuanYi Zen Hei"/>
        <family val="2"/>
      </rPr>
      <t xml:space="preserve">가 유작 메모를 이어받는 </t>
    </r>
    <r>
      <rPr>
        <sz val="10"/>
        <rFont val="Arial"/>
        <family val="0"/>
        <charset val="1"/>
      </rPr>
      <t xml:space="preserve">2·3</t>
    </r>
    <r>
      <rPr>
        <sz val="10"/>
        <rFont val="WenQuanYi Zen Hei"/>
        <family val="2"/>
      </rPr>
      <t xml:space="preserve">화에서 비중이 오른다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</si>
  <si>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7. 13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귀환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는 원형 구조</t>
    </r>
    <r>
      <rPr>
        <sz val="10"/>
        <rFont val="Arial"/>
        <family val="0"/>
        <charset val="1"/>
      </rPr>
      <t xml:space="preserve">: Sofia 12</t>
    </r>
    <r>
      <rPr>
        <sz val="10"/>
        <rFont val="WenQuanYi Zen Hei"/>
        <family val="2"/>
      </rPr>
      <t xml:space="preserve">화 전부</t>
    </r>
    <r>
      <rPr>
        <sz val="10"/>
        <rFont val="Arial"/>
        <family val="0"/>
        <charset val="1"/>
      </rPr>
      <t xml:space="preserve">, Rosa 10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. Cesare</t>
    </r>
    <r>
      <rPr>
        <sz val="10"/>
        <rFont val="WenQuanYi Zen Hei"/>
        <family val="2"/>
      </rPr>
      <t xml:space="preserve">는 유언장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회상으로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주력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인은 사무소의 손님으로 </t>
    </r>
    <r>
      <rPr>
        <sz val="10"/>
        <rFont val="Arial"/>
        <family val="0"/>
        <charset val="1"/>
      </rPr>
      <t xml:space="preserve">9~10</t>
    </r>
    <r>
      <rPr>
        <sz val="10"/>
        <rFont val="WenQuanYi Zen Hei"/>
        <family val="2"/>
      </rPr>
      <t xml:space="preserve">화 등장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</si>
  <si>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8. Cesare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브뤼셀 승리 직후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에서 두 번째 죽음을 맞는다</t>
    </r>
    <r>
      <rPr>
        <sz val="10"/>
        <rFont val="Arial"/>
        <family val="0"/>
        <charset val="1"/>
      </rPr>
      <t xml:space="preserve">. 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화 장례식</t>
    </r>
    <r>
      <rPr>
        <sz val="10"/>
        <rFont val="Arial"/>
        <family val="0"/>
        <charset val="1"/>
      </rPr>
      <t xml:space="preserve">, 2·3</t>
    </r>
    <r>
      <rPr>
        <sz val="10"/>
        <rFont val="WenQuanYi Zen Hei"/>
        <family val="2"/>
      </rPr>
      <t xml:space="preserve">화 유작 메모 승계</t>
    </r>
    <r>
      <rPr>
        <sz val="10"/>
        <rFont val="Arial"/>
        <family val="0"/>
        <charset val="1"/>
      </rPr>
      <t xml:space="preserve">, 13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화 유언장까지 이어진다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</si>
  <si>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9. </t>
    </r>
    <r>
      <rPr>
        <sz val="10"/>
        <rFont val="WenQuanYi Zen Hei"/>
        <family val="2"/>
      </rPr>
      <t xml:space="preserve">등장 화 수와 대사량은 다르다</t>
    </r>
    <r>
      <rPr>
        <sz val="10"/>
        <rFont val="Arial"/>
        <family val="0"/>
        <charset val="1"/>
      </rPr>
      <t xml:space="preserve">: Sofia</t>
    </r>
    <r>
      <rPr>
        <sz val="10"/>
        <rFont val="WenQuanYi Zen Hei"/>
        <family val="2"/>
      </rPr>
      <t xml:space="preserve">는 약 </t>
    </r>
    <r>
      <rPr>
        <sz val="10"/>
        <rFont val="Arial"/>
        <family val="0"/>
        <charset val="1"/>
      </rPr>
      <t xml:space="preserve">67%</t>
    </r>
    <r>
      <rPr>
        <sz val="10"/>
        <rFont val="WenQuanYi Zen Hei"/>
        <family val="2"/>
      </rPr>
      <t xml:space="preserve">지만 문장이 짧아 대사량은 </t>
    </r>
    <r>
      <rPr>
        <sz val="10"/>
        <rFont val="Arial"/>
        <family val="0"/>
        <charset val="1"/>
      </rPr>
      <t xml:space="preserve">Marco</t>
    </r>
    <r>
      <rPr>
        <sz val="10"/>
        <rFont val="WenQuanYi Zen Hei"/>
        <family val="2"/>
      </rPr>
      <t xml:space="preserve">의 절반 이하가 되게 하고</t>
    </r>
    <r>
      <rPr>
        <sz val="10"/>
        <rFont val="Arial"/>
        <family val="0"/>
        <charset val="1"/>
      </rPr>
      <t xml:space="preserve">, Cesare·Dante</t>
    </r>
    <r>
      <rPr>
        <sz val="10"/>
        <rFont val="WenQuanYi Zen Hei"/>
        <family val="2"/>
      </rPr>
      <t xml:space="preserve">는 화당 대사가 길어도 된다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</si>
  <si>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10. </t>
    </r>
    <r>
      <rPr>
        <sz val="10"/>
        <rFont val="WenQuanYi Zen Hei"/>
        <family val="2"/>
      </rPr>
      <t xml:space="preserve">조연 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인은 화 전체의 중심이 되는 에피소드를 각자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개 이상 배정</t>
    </r>
    <r>
      <rPr>
        <sz val="10"/>
        <rFont val="Arial"/>
        <family val="0"/>
        <charset val="1"/>
      </rPr>
      <t xml:space="preserve">(S</t>
    </r>
    <r>
      <rPr>
        <sz val="10"/>
        <rFont val="WenQuanYi Zen Hei"/>
        <family val="2"/>
      </rPr>
      <t xml:space="preserve">열 목표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자기 이야기가 한 번도 없으면 얇은 인물이 된다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</si>
  <si>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11. Montessori·Galileo</t>
    </r>
    <r>
      <rPr>
        <sz val="10"/>
        <rFont val="WenQuanYi Zen Hei"/>
        <family val="2"/>
      </rPr>
      <t xml:space="preserve">가 가장 얇다</t>
    </r>
    <r>
      <rPr>
        <sz val="10"/>
        <rFont val="Arial"/>
        <family val="0"/>
        <charset val="1"/>
      </rPr>
      <t xml:space="preserve">: 3·5</t>
    </r>
    <r>
      <rPr>
        <sz val="10"/>
        <rFont val="WenQuanYi Zen Hei"/>
        <family val="2"/>
      </rPr>
      <t xml:space="preserve">부 상담 장면을 늘리거나</t>
    </r>
    <r>
      <rPr>
        <sz val="10"/>
        <rFont val="Arial"/>
        <family val="0"/>
        <charset val="1"/>
      </rPr>
      <t xml:space="preserve">, 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Cesare </t>
    </r>
    <r>
      <rPr>
        <sz val="10"/>
        <rFont val="WenQuanYi Zen Hei"/>
        <family val="2"/>
      </rPr>
      <t xml:space="preserve">애도 상담</t>
    </r>
    <r>
      <rPr>
        <sz val="10"/>
        <rFont val="Arial"/>
        <family val="0"/>
        <charset val="1"/>
      </rPr>
      <t xml:space="preserve">(Montessori)·</t>
    </r>
    <r>
      <rPr>
        <sz val="10"/>
        <rFont val="WenQuanYi Zen Hei"/>
        <family val="2"/>
      </rPr>
      <t xml:space="preserve">스파이웨어 검증</t>
    </r>
    <r>
      <rPr>
        <sz val="10"/>
        <rFont val="Arial"/>
        <family val="0"/>
        <charset val="1"/>
      </rPr>
      <t xml:space="preserve">(Galileo)</t>
    </r>
    <r>
      <rPr>
        <sz val="10"/>
        <rFont val="WenQuanYi Zen Hei"/>
        <family val="2"/>
      </rPr>
      <t xml:space="preserve">을 맡겨 서사를 넓히는 안을 검토</t>
    </r>
    <r>
      <rPr>
        <sz val="10"/>
        <rFont val="Arial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</si>
  <si>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대화량 설계</t>
    </r>
    <r>
      <rPr>
        <b val="true"/>
        <sz val="14"/>
        <color rgb="FF1F3864"/>
        <rFont val="Noto Sans CJK SC"/>
        <family val="2"/>
        <charset val="1"/>
      </rPr>
      <t xml:space="preserve">: </t>
    </r>
    <r>
      <rPr>
        <b val="true"/>
        <sz val="14"/>
        <color rgb="FF1F3864"/>
        <rFont val="WenQuanYi Zen Hei"/>
        <family val="2"/>
      </rPr>
      <t xml:space="preserve">화당 </t>
    </r>
    <r>
      <rPr>
        <b val="true"/>
        <sz val="14"/>
        <color rgb="FF1F3864"/>
        <rFont val="Noto Sans CJK SC"/>
        <family val="2"/>
        <charset val="1"/>
      </rPr>
      <t xml:space="preserve">120</t>
    </r>
    <r>
      <rPr>
        <b val="true"/>
        <sz val="14"/>
        <color rgb="FF1F3864"/>
        <rFont val="WenQuanYi Zen Hei"/>
        <family val="2"/>
      </rPr>
      <t xml:space="preserve">턴</t>
    </r>
  </si>
  <si>
    <r>
      <rPr>
        <i val="true"/>
        <sz val="9"/>
        <color rgb="FF595959"/>
        <rFont val="WenQuanYi Zen Hei"/>
        <family val="2"/>
      </rPr>
      <t xml:space="preserve">한 화 </t>
    </r>
    <r>
      <rPr>
        <i val="true"/>
        <sz val="9"/>
        <color rgb="FF595959"/>
        <rFont val="Noto Sans CJK SC"/>
        <family val="2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대화 </t>
    </r>
    <r>
      <rPr>
        <i val="true"/>
        <sz val="9"/>
        <color rgb="FF595959"/>
        <rFont val="Noto Sans CJK SC"/>
        <family val="2"/>
        <charset val="1"/>
      </rPr>
      <t xml:space="preserve">120</t>
    </r>
    <r>
      <rPr>
        <i val="true"/>
        <sz val="9"/>
        <color rgb="FF595959"/>
        <rFont val="WenQuanYi Zen Hei"/>
        <family val="2"/>
      </rPr>
      <t xml:space="preserve">턴</t>
    </r>
    <r>
      <rPr>
        <i val="true"/>
        <sz val="9"/>
        <color rgb="FF595959"/>
        <rFont val="Noto Sans CJK SC"/>
        <family val="2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전체 </t>
    </r>
    <r>
      <rPr>
        <i val="true"/>
        <sz val="9"/>
        <color rgb="FF595959"/>
        <rFont val="Noto Sans CJK SC"/>
        <family val="2"/>
        <charset val="1"/>
      </rPr>
      <t xml:space="preserve">156</t>
    </r>
    <r>
      <rPr>
        <i val="true"/>
        <sz val="9"/>
        <color rgb="FF595959"/>
        <rFont val="WenQuanYi Zen Hei"/>
        <family val="2"/>
      </rPr>
      <t xml:space="preserve">화 </t>
    </r>
    <r>
      <rPr>
        <i val="true"/>
        <sz val="9"/>
        <color rgb="FF595959"/>
        <rFont val="Noto Sans CJK SC"/>
        <family val="2"/>
        <charset val="1"/>
      </rPr>
      <t xml:space="preserve">= 18,720</t>
    </r>
    <r>
      <rPr>
        <i val="true"/>
        <sz val="9"/>
        <color rgb="FF595959"/>
        <rFont val="WenQuanYi Zen Hei"/>
        <family val="2"/>
      </rPr>
      <t xml:space="preserve">턴</t>
    </r>
    <r>
      <rPr>
        <i val="true"/>
        <sz val="9"/>
        <color rgb="FF595959"/>
        <rFont val="Noto Sans CJK SC"/>
        <family val="2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점유율</t>
    </r>
    <r>
      <rPr>
        <i val="true"/>
        <sz val="9"/>
        <color rgb="FF595959"/>
        <rFont val="Noto Sans CJK SC"/>
        <family val="2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평균 단어</t>
    </r>
    <r>
      <rPr>
        <i val="true"/>
        <sz val="9"/>
        <color rgb="FF595959"/>
        <rFont val="Noto Sans CJK SC"/>
        <family val="2"/>
        <charset val="1"/>
      </rPr>
      <t xml:space="preserve">/</t>
    </r>
    <r>
      <rPr>
        <i val="true"/>
        <sz val="9"/>
        <color rgb="FF595959"/>
        <rFont val="WenQuanYi Zen Hei"/>
        <family val="2"/>
      </rPr>
      <t xml:space="preserve">턴</t>
    </r>
    <r>
      <rPr>
        <i val="true"/>
        <sz val="9"/>
        <color rgb="FF595959"/>
        <rFont val="Noto Sans CJK SC"/>
        <family val="2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배율</t>
    </r>
    <r>
      <rPr>
        <i val="true"/>
        <sz val="9"/>
        <color rgb="FF595959"/>
        <rFont val="Noto Sans CJK SC"/>
        <family val="2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낭독 속도는 가정값</t>
    </r>
    <r>
      <rPr>
        <i val="true"/>
        <sz val="9"/>
        <color rgb="FF595959"/>
        <rFont val="Noto Sans CJK SC"/>
        <family val="2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파란 숫자</t>
    </r>
    <r>
      <rPr>
        <i val="true"/>
        <sz val="9"/>
        <color rgb="FF595959"/>
        <rFont val="Noto Sans CJK SC"/>
        <family val="2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이며 수정하면 아래 표가 자동 갱신됩니다</t>
    </r>
    <r>
      <rPr>
        <i val="true"/>
        <sz val="9"/>
        <color rgb="FF595959"/>
        <rFont val="Noto Sans CJK SC"/>
        <family val="2"/>
        <charset val="1"/>
      </rPr>
      <t xml:space="preserve">.</t>
    </r>
  </si>
  <si>
    <r>
      <rPr>
        <b val="true"/>
        <sz val="10"/>
        <rFont val="Arial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기본 설정</t>
    </r>
  </si>
  <si>
    <t xml:space="preserve">화당 대화 턴</t>
  </si>
  <si>
    <r>
      <rPr>
        <b val="true"/>
        <sz val="10"/>
        <rFont val="WenQuanYi Zen Hei"/>
        <family val="2"/>
      </rPr>
      <t xml:space="preserve">낭독 속도 </t>
    </r>
    <r>
      <rPr>
        <b val="true"/>
        <sz val="10"/>
        <rFont val="Noto Sans CJK SC"/>
        <family val="2"/>
        <charset val="1"/>
      </rPr>
      <t xml:space="preserve">(</t>
    </r>
    <r>
      <rPr>
        <b val="true"/>
        <sz val="10"/>
        <rFont val="WenQuanYi Zen Hei"/>
        <family val="2"/>
      </rPr>
      <t xml:space="preserve">단어</t>
    </r>
    <r>
      <rPr>
        <b val="true"/>
        <sz val="10"/>
        <rFont val="Noto Sans CJK SC"/>
        <family val="2"/>
        <charset val="1"/>
      </rPr>
      <t xml:space="preserve">/</t>
    </r>
    <r>
      <rPr>
        <b val="true"/>
        <sz val="10"/>
        <rFont val="WenQuanYi Zen Hei"/>
        <family val="2"/>
      </rPr>
      <t xml:space="preserve">분</t>
    </r>
    <r>
      <rPr>
        <b val="true"/>
        <sz val="10"/>
        <rFont val="Noto Sans CJK SC"/>
        <family val="2"/>
        <charset val="1"/>
      </rPr>
      <t xml:space="preserve">, </t>
    </r>
    <r>
      <rPr>
        <b val="true"/>
        <sz val="10"/>
        <rFont val="WenQuanYi Zen Hei"/>
        <family val="2"/>
      </rPr>
      <t xml:space="preserve">가정</t>
    </r>
    <r>
      <rPr>
        <b val="true"/>
        <sz val="10"/>
        <rFont val="Noto Sans CJK SC"/>
        <family val="2"/>
        <charset val="1"/>
      </rPr>
      <t xml:space="preserve">)</t>
    </r>
  </si>
  <si>
    <t xml:space="preserve">총 대화 턴</t>
  </si>
  <si>
    <t xml:space="preserve">턴 정의</t>
  </si>
  <si>
    <r>
      <rPr>
        <sz val="10"/>
        <rFont val="WenQuanYi Zen Hei"/>
        <family val="2"/>
      </rPr>
      <t xml:space="preserve">화자 표기 한 줄 </t>
    </r>
    <r>
      <rPr>
        <sz val="10"/>
        <rFont val="Noto Sans CJK SC"/>
        <family val="2"/>
        <charset val="1"/>
      </rPr>
      <t xml:space="preserve">= 1</t>
    </r>
    <r>
      <rPr>
        <sz val="10"/>
        <rFont val="WenQuanYi Zen Hei"/>
        <family val="2"/>
      </rPr>
      <t xml:space="preserve">턴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화자가 바뀌면 새 턴</t>
    </r>
    <r>
      <rPr>
        <sz val="10"/>
        <rFont val="Noto Sans CJK SC"/>
        <family val="2"/>
        <charset val="1"/>
      </rPr>
      <t xml:space="preserve">). </t>
    </r>
    <r>
      <rPr>
        <sz val="10"/>
        <rFont val="WenQuanYi Zen Hei"/>
        <family val="2"/>
      </rPr>
      <t xml:space="preserve">연설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조항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기사 낭독처럼 긴 발화도 </t>
    </r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턴으로 센다</t>
    </r>
    <r>
      <rPr>
        <sz val="10"/>
        <rFont val="Noto Sans CJK SC"/>
        <family val="2"/>
        <charset val="1"/>
      </rPr>
      <t xml:space="preserve">.</t>
    </r>
  </si>
  <si>
    <r>
      <rPr>
        <b val="true"/>
        <sz val="10"/>
        <rFont val="Arial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부별 화자 점유율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턴 기준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각 부의 합 </t>
    </r>
    <r>
      <rPr>
        <b val="true"/>
        <sz val="10"/>
        <rFont val="Arial"/>
        <family val="0"/>
        <charset val="1"/>
      </rPr>
      <t xml:space="preserve">= 100%)</t>
    </r>
  </si>
  <si>
    <t xml:space="preserve">인물</t>
  </si>
  <si>
    <r>
      <rPr>
        <b val="true"/>
        <sz val="10"/>
        <color rgb="FFFFFFFF"/>
        <rFont val="WenQuanYi Zen Hei"/>
        <family val="2"/>
      </rPr>
      <t xml:space="preserve">평균
단어</t>
    </r>
    <r>
      <rPr>
        <b val="true"/>
        <sz val="10"/>
        <color rgb="FFFFFFFF"/>
        <rFont val="Noto Sans CJK SC"/>
        <family val="2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턴</t>
    </r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</si>
  <si>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부</t>
    </r>
  </si>
  <si>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부</t>
    </r>
  </si>
  <si>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부</t>
    </r>
  </si>
  <si>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부</t>
    </r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</si>
  <si>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부</t>
    </r>
  </si>
  <si>
    <r>
      <rPr>
        <b val="true"/>
        <sz val="10"/>
        <color rgb="FFFFFFFF"/>
        <rFont val="Arial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부</t>
    </r>
  </si>
  <si>
    <r>
      <rPr>
        <b val="true"/>
        <sz val="10"/>
        <color rgb="FFFFFFFF"/>
        <rFont val="Arial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부</t>
    </r>
  </si>
  <si>
    <r>
      <rPr>
        <b val="true"/>
        <sz val="10"/>
        <color rgb="FFFFFFFF"/>
        <rFont val="Arial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부</t>
    </r>
  </si>
  <si>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부</t>
    </r>
  </si>
  <si>
    <r>
      <rPr>
        <b val="true"/>
        <sz val="10"/>
        <color rgb="FFFFFFFF"/>
        <rFont val="Arial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부</t>
    </r>
  </si>
  <si>
    <r>
      <rPr>
        <b val="true"/>
        <sz val="10"/>
        <color rgb="FFFFFFFF"/>
        <rFont val="Arial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부</t>
    </r>
  </si>
  <si>
    <r>
      <rPr>
        <b val="true"/>
        <sz val="10"/>
        <color rgb="FFFFFFFF"/>
        <rFont val="Arial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부</t>
    </r>
  </si>
  <si>
    <r>
      <rPr>
        <b val="true"/>
        <sz val="10"/>
        <color rgb="FFFFFFFF"/>
        <rFont val="Arial"/>
        <family val="0"/>
        <charset val="1"/>
      </rPr>
      <t xml:space="preserve">13</t>
    </r>
    <r>
      <rPr>
        <b val="true"/>
        <sz val="10"/>
        <color rgb="FFFFFFFF"/>
        <rFont val="WenQuanYi Zen Hei"/>
        <family val="2"/>
      </rPr>
      <t xml:space="preserve">부</t>
    </r>
  </si>
  <si>
    <r>
      <rPr>
        <b val="true"/>
        <sz val="10"/>
        <rFont val="WenQuanYi Zen Hei"/>
        <family val="2"/>
      </rPr>
      <t xml:space="preserve">엑스트라</t>
    </r>
    <r>
      <rPr>
        <b val="true"/>
        <sz val="10"/>
        <rFont val="Noto Sans CJK SC"/>
        <family val="2"/>
        <charset val="1"/>
      </rPr>
      <t xml:space="preserve">(</t>
    </r>
    <r>
      <rPr>
        <b val="true"/>
        <sz val="10"/>
        <rFont val="WenQuanYi Zen Hei"/>
        <family val="2"/>
      </rPr>
      <t xml:space="preserve">가상</t>
    </r>
    <r>
      <rPr>
        <b val="true"/>
        <sz val="10"/>
        <rFont val="Noto Sans CJK SC"/>
        <family val="2"/>
        <charset val="1"/>
      </rPr>
      <t xml:space="preserve">)</t>
    </r>
  </si>
  <si>
    <t xml:space="preserve">검증</t>
  </si>
  <si>
    <r>
      <rPr>
        <b val="true"/>
        <sz val="10"/>
        <rFont val="Arial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부별 턴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단어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낭독 시간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수식</t>
    </r>
    <r>
      <rPr>
        <b val="true"/>
        <sz val="10"/>
        <rFont val="Arial"/>
        <family val="0"/>
        <charset val="1"/>
      </rPr>
      <t xml:space="preserve">)</t>
    </r>
  </si>
  <si>
    <t xml:space="preserve">부</t>
  </si>
  <si>
    <t xml:space="preserve">난이도
배율</t>
  </si>
  <si>
    <t xml:space="preserve">화당 턴</t>
  </si>
  <si>
    <t xml:space="preserve">부 총 턴</t>
  </si>
  <si>
    <t xml:space="preserve">화당
단어</t>
  </si>
  <si>
    <t xml:space="preserve">부 총
단어</t>
  </si>
  <si>
    <r>
      <rPr>
        <b val="true"/>
        <sz val="10"/>
        <color rgb="FFFFFFFF"/>
        <rFont val="WenQuanYi Zen Hei"/>
        <family val="2"/>
      </rPr>
      <t xml:space="preserve">화당 낭독
</t>
    </r>
    <r>
      <rPr>
        <b val="true"/>
        <sz val="10"/>
        <color rgb="FFFFFFFF"/>
        <rFont val="Noto Sans CJK SC"/>
        <family val="2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분</t>
    </r>
    <r>
      <rPr>
        <b val="true"/>
        <sz val="10"/>
        <color rgb="FFFFFFFF"/>
        <rFont val="Noto Sans CJK SC"/>
        <family val="2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</si>
  <si>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부 총 낭독
</t>
    </r>
    <r>
      <rPr>
        <b val="true"/>
        <sz val="10"/>
        <color rgb="FFFFFFFF"/>
        <rFont val="Noto Sans CJK SC"/>
        <family val="2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시간</t>
    </r>
    <r>
      <rPr>
        <b val="true"/>
        <sz val="10"/>
        <color rgb="FFFFFFFF"/>
        <rFont val="Noto Sans CJK SC"/>
        <family val="2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</si>
  <si>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부</t>
    </r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</si>
  <si>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부</t>
    </r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</si>
  <si>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부</t>
    </r>
  </si>
  <si>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부</t>
    </r>
  </si>
  <si>
    <r>
      <rPr>
        <b val="true"/>
        <sz val="10"/>
        <rFont val="Arial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부</t>
    </r>
  </si>
  <si>
    <r>
      <rPr>
        <b val="true"/>
        <sz val="10"/>
        <rFont val="Arial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부</t>
    </r>
  </si>
  <si>
    <r>
      <rPr>
        <b val="true"/>
        <sz val="10"/>
        <rFont val="Arial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부</t>
    </r>
  </si>
  <si>
    <r>
      <rPr>
        <b val="true"/>
        <sz val="10"/>
        <rFont val="Arial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부</t>
    </r>
  </si>
  <si>
    <r>
      <rPr>
        <b val="true"/>
        <sz val="10"/>
        <rFont val="Arial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부</t>
    </r>
  </si>
  <si>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부</t>
    </r>
  </si>
  <si>
    <r>
      <rPr>
        <b val="true"/>
        <sz val="10"/>
        <rFont val="Arial"/>
        <family val="0"/>
        <charset val="1"/>
      </rPr>
      <t xml:space="preserve">11</t>
    </r>
    <r>
      <rPr>
        <b val="true"/>
        <sz val="10"/>
        <rFont val="WenQuanYi Zen Hei"/>
        <family val="2"/>
      </rPr>
      <t xml:space="preserve">부</t>
    </r>
  </si>
  <si>
    <r>
      <rPr>
        <b val="true"/>
        <sz val="10"/>
        <rFont val="Arial"/>
        <family val="0"/>
        <charset val="1"/>
      </rPr>
      <t xml:space="preserve">12</t>
    </r>
    <r>
      <rPr>
        <b val="true"/>
        <sz val="10"/>
        <rFont val="WenQuanYi Zen Hei"/>
        <family val="2"/>
      </rPr>
      <t xml:space="preserve">부</t>
    </r>
  </si>
  <si>
    <r>
      <rPr>
        <b val="true"/>
        <sz val="10"/>
        <rFont val="Arial"/>
        <family val="0"/>
        <charset val="1"/>
      </rPr>
      <t xml:space="preserve">13</t>
    </r>
    <r>
      <rPr>
        <b val="true"/>
        <sz val="10"/>
        <rFont val="WenQuanYi Zen Hei"/>
        <family val="2"/>
      </rPr>
      <t xml:space="preserve">부</t>
    </r>
  </si>
  <si>
    <t xml:space="preserve">전체</t>
  </si>
  <si>
    <r>
      <rPr>
        <i val="true"/>
        <sz val="9"/>
        <color rgb="FF595959"/>
        <rFont val="WenQuanYi Zen Hei"/>
        <family val="2"/>
      </rPr>
      <t xml:space="preserve">※ 난이도 배율</t>
    </r>
    <r>
      <rPr>
        <i val="true"/>
        <sz val="9"/>
        <color rgb="FF595959"/>
        <rFont val="Noto Sans CJK SC"/>
        <family val="2"/>
        <charset val="1"/>
      </rPr>
      <t xml:space="preserve">: 1·13</t>
    </r>
    <r>
      <rPr>
        <i val="true"/>
        <sz val="9"/>
        <color rgb="FF595959"/>
        <rFont val="WenQuanYi Zen Hei"/>
        <family val="2"/>
      </rPr>
      <t xml:space="preserve">부</t>
    </r>
    <r>
      <rPr>
        <i val="true"/>
        <sz val="9"/>
        <color rgb="FF595959"/>
        <rFont val="Noto Sans CJK SC"/>
        <family val="2"/>
        <charset val="1"/>
      </rPr>
      <t xml:space="preserve">(B1~B2)</t>
    </r>
    <r>
      <rPr>
        <i val="true"/>
        <sz val="9"/>
        <color rgb="FF595959"/>
        <rFont val="WenQuanYi Zen Hei"/>
        <family val="2"/>
      </rPr>
      <t xml:space="preserve">는 짧게 </t>
    </r>
    <r>
      <rPr>
        <i val="true"/>
        <sz val="9"/>
        <color rgb="FF595959"/>
        <rFont val="Noto Sans CJK SC"/>
        <family val="2"/>
        <charset val="1"/>
      </rPr>
      <t xml:space="preserve">0.8, 10~12</t>
    </r>
    <r>
      <rPr>
        <i val="true"/>
        <sz val="9"/>
        <color rgb="FF595959"/>
        <rFont val="WenQuanYi Zen Hei"/>
        <family val="2"/>
      </rPr>
      <t xml:space="preserve">부</t>
    </r>
    <r>
      <rPr>
        <i val="true"/>
        <sz val="9"/>
        <color rgb="FF595959"/>
        <rFont val="Noto Sans CJK SC"/>
        <family val="2"/>
        <charset val="1"/>
      </rPr>
      <t xml:space="preserve">(C1~C2)</t>
    </r>
    <r>
      <rPr>
        <i val="true"/>
        <sz val="9"/>
        <color rgb="FF595959"/>
        <rFont val="WenQuanYi Zen Hei"/>
        <family val="2"/>
      </rPr>
      <t xml:space="preserve">는 길게 </t>
    </r>
    <r>
      <rPr>
        <i val="true"/>
        <sz val="9"/>
        <color rgb="FF595959"/>
        <rFont val="Noto Sans CJK SC"/>
        <family val="2"/>
        <charset val="1"/>
      </rPr>
      <t xml:space="preserve">1.2. </t>
    </r>
    <r>
      <rPr>
        <i val="true"/>
        <sz val="9"/>
        <color rgb="FF595959"/>
        <rFont val="WenQuanYi Zen Hei"/>
        <family val="2"/>
      </rPr>
      <t xml:space="preserve">화당 단어는 </t>
    </r>
    <r>
      <rPr>
        <i val="true"/>
        <sz val="9"/>
        <color rgb="FF595959"/>
        <rFont val="Noto Sans CJK SC"/>
        <family val="2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평균 단어</t>
    </r>
    <r>
      <rPr>
        <i val="true"/>
        <sz val="9"/>
        <color rgb="FF595959"/>
        <rFont val="Noto Sans CJK SC"/>
        <family val="2"/>
        <charset val="1"/>
      </rPr>
      <t xml:space="preserve">/</t>
    </r>
    <r>
      <rPr>
        <i val="true"/>
        <sz val="9"/>
        <color rgb="FF595959"/>
        <rFont val="WenQuanYi Zen Hei"/>
        <family val="2"/>
      </rPr>
      <t xml:space="preserve">턴 </t>
    </r>
    <r>
      <rPr>
        <i val="true"/>
        <sz val="9"/>
        <color rgb="FF595959"/>
        <rFont val="Noto Sans CJK SC"/>
        <family val="2"/>
        <charset val="1"/>
      </rPr>
      <t xml:space="preserve">× 120</t>
    </r>
    <r>
      <rPr>
        <i val="true"/>
        <sz val="9"/>
        <color rgb="FF595959"/>
        <rFont val="WenQuanYi Zen Hei"/>
        <family val="2"/>
      </rPr>
      <t xml:space="preserve">턴</t>
    </r>
    <r>
      <rPr>
        <i val="true"/>
        <sz val="9"/>
        <color rgb="FF595959"/>
        <rFont val="Noto Sans CJK SC"/>
        <family val="2"/>
        <charset val="1"/>
      </rPr>
      <t xml:space="preserve">', </t>
    </r>
    <r>
      <rPr>
        <i val="true"/>
        <sz val="9"/>
        <color rgb="FF595959"/>
        <rFont val="WenQuanYi Zen Hei"/>
        <family val="2"/>
      </rPr>
      <t xml:space="preserve">낭독 시간은 낭독 속도로 환산한 추정치</t>
    </r>
    <r>
      <rPr>
        <i val="true"/>
        <sz val="9"/>
        <color rgb="FF595959"/>
        <rFont val="Noto Sans CJK SC"/>
        <family val="2"/>
        <charset val="1"/>
      </rPr>
      <t xml:space="preserve">.</t>
    </r>
  </si>
  <si>
    <r>
      <rPr>
        <b val="true"/>
        <sz val="10"/>
        <rFont val="Arial"/>
        <family val="0"/>
        <charset val="1"/>
      </rPr>
      <t xml:space="preserve">4. </t>
    </r>
    <r>
      <rPr>
        <b val="true"/>
        <sz val="10"/>
        <rFont val="WenQuanYi Zen Hei"/>
        <family val="2"/>
      </rPr>
      <t xml:space="preserve">화 유형별 턴 구성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합계 </t>
    </r>
    <r>
      <rPr>
        <b val="true"/>
        <sz val="10"/>
        <rFont val="Arial"/>
        <family val="0"/>
        <charset val="1"/>
      </rPr>
      <t xml:space="preserve">= </t>
    </r>
    <r>
      <rPr>
        <b val="true"/>
        <sz val="10"/>
        <rFont val="WenQuanYi Zen Hei"/>
        <family val="2"/>
      </rPr>
      <t xml:space="preserve">화당 </t>
    </r>
    <r>
      <rPr>
        <b val="true"/>
        <sz val="10"/>
        <rFont val="Arial"/>
        <family val="0"/>
        <charset val="1"/>
      </rPr>
      <t xml:space="preserve">120</t>
    </r>
    <r>
      <rPr>
        <b val="true"/>
        <sz val="10"/>
        <rFont val="WenQuanYi Zen Hei"/>
        <family val="2"/>
      </rPr>
      <t xml:space="preserve">턴</t>
    </r>
    <r>
      <rPr>
        <b val="true"/>
        <sz val="10"/>
        <rFont val="Arial"/>
        <family val="0"/>
        <charset val="1"/>
      </rPr>
      <t xml:space="preserve">)</t>
    </r>
  </si>
  <si>
    <t xml:space="preserve">화 유형</t>
  </si>
  <si>
    <t xml:space="preserve">도입</t>
  </si>
  <si>
    <r>
      <rPr>
        <b val="true"/>
        <sz val="10"/>
        <color rgb="FFFFFFFF"/>
        <rFont val="WenQuanYi Zen Hei"/>
        <family val="2"/>
      </rPr>
      <t xml:space="preserve">장면 </t>
    </r>
    <r>
      <rPr>
        <b val="true"/>
        <sz val="10"/>
        <color rgb="FFFFFFFF"/>
        <rFont val="Noto Sans CJK SC"/>
        <family val="2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</si>
  <si>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장면 </t>
    </r>
    <r>
      <rPr>
        <b val="true"/>
        <sz val="10"/>
        <color rgb="FFFFFFFF"/>
        <rFont val="Noto Sans CJK SC"/>
        <family val="2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</si>
  <si>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절정</t>
    </r>
    <r>
      <rPr>
        <b val="true"/>
        <sz val="10"/>
        <color rgb="FFFFFFFF"/>
        <rFont val="Noto Sans CJK SC"/>
        <family val="2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전환</t>
    </r>
  </si>
  <si>
    <t xml:space="preserve">마무리</t>
  </si>
  <si>
    <t xml:space="preserve">적용</t>
  </si>
  <si>
    <t xml:space="preserve">일반 화</t>
  </si>
  <si>
    <r>
      <rPr>
        <sz val="10"/>
        <rFont val="WenQuanYi Zen Hei"/>
        <family val="2"/>
      </rPr>
      <t xml:space="preserve">발단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전개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위기 화 대부분</t>
    </r>
  </si>
  <si>
    <t xml:space="preserve">프레임 화</t>
  </si>
  <si>
    <r>
      <rPr>
        <sz val="10"/>
        <rFont val="Noto Sans CJK SC"/>
        <family val="2"/>
        <charset val="1"/>
      </rPr>
      <t xml:space="preserve">2~5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1·5·9·12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금요일 프레임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도입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마무리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과 과거 장면</t>
    </r>
  </si>
  <si>
    <r>
      <rPr>
        <b val="true"/>
        <sz val="10"/>
        <rFont val="WenQuanYi Zen Hei"/>
        <family val="2"/>
      </rPr>
      <t xml:space="preserve">폭발</t>
    </r>
    <r>
      <rPr>
        <b val="true"/>
        <sz val="10"/>
        <rFont val="Noto Sans CJK SC"/>
        <family val="2"/>
        <charset val="1"/>
      </rPr>
      <t xml:space="preserve">·</t>
    </r>
    <r>
      <rPr>
        <b val="true"/>
        <sz val="10"/>
        <rFont val="WenQuanYi Zen Hei"/>
        <family val="2"/>
      </rPr>
      <t xml:space="preserve">감정 정점 화</t>
    </r>
  </si>
  <si>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6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, 9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6</t>
    </r>
    <r>
      <rPr>
        <sz val="10"/>
        <rFont val="WenQuanYi Zen Hei"/>
        <family val="2"/>
      </rPr>
      <t xml:space="preserve">화 등 인물의 감정이 터지는 화</t>
    </r>
  </si>
  <si>
    <r>
      <rPr>
        <b val="true"/>
        <sz val="10"/>
        <rFont val="WenQuanYi Zen Hei"/>
        <family val="2"/>
      </rPr>
      <t xml:space="preserve">표결</t>
    </r>
    <r>
      <rPr>
        <b val="true"/>
        <sz val="10"/>
        <rFont val="Noto Sans CJK SC"/>
        <family val="2"/>
        <charset val="1"/>
      </rPr>
      <t xml:space="preserve">·</t>
    </r>
    <r>
      <rPr>
        <b val="true"/>
        <sz val="10"/>
        <rFont val="WenQuanYi Zen Hei"/>
        <family val="2"/>
      </rPr>
      <t xml:space="preserve">절차 화</t>
    </r>
  </si>
  <si>
    <r>
      <rPr>
        <sz val="10"/>
        <rFont val="Noto Sans CJK SC"/>
        <family val="2"/>
        <charset val="1"/>
      </rPr>
      <t xml:space="preserve">10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7·12</t>
    </r>
    <r>
      <rPr>
        <sz val="10"/>
        <rFont val="WenQuanYi Zen Hei"/>
        <family val="2"/>
      </rPr>
      <t xml:space="preserve">화 신임 투표</t>
    </r>
    <r>
      <rPr>
        <sz val="10"/>
        <rFont val="Noto Sans CJK SC"/>
        <family val="2"/>
        <charset val="1"/>
      </rPr>
      <t xml:space="preserve">, 12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7</t>
    </r>
    <r>
      <rPr>
        <sz val="10"/>
        <rFont val="WenQuanYi Zen Hei"/>
        <family val="2"/>
      </rPr>
      <t xml:space="preserve">화 불신임안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양원 의장의 결과 낭독 포함</t>
    </r>
    <r>
      <rPr>
        <sz val="10"/>
        <rFont val="Noto Sans CJK SC"/>
        <family val="2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</si>
  <si>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재난</t>
    </r>
    <r>
      <rPr>
        <b val="true"/>
        <sz val="10"/>
        <rFont val="Noto Sans CJK SC"/>
        <family val="2"/>
        <charset val="1"/>
      </rPr>
      <t xml:space="preserve">·</t>
    </r>
    <r>
      <rPr>
        <b val="true"/>
        <sz val="10"/>
        <rFont val="WenQuanYi Zen Hei"/>
        <family val="2"/>
      </rPr>
      <t xml:space="preserve">추도 화</t>
    </r>
  </si>
  <si>
    <r>
      <rPr>
        <sz val="10"/>
        <rFont val="Noto Sans CJK SC"/>
        <family val="2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12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(Cesare</t>
    </r>
    <r>
      <rPr>
        <sz val="10"/>
        <rFont val="WenQuanYi Zen Hei"/>
        <family val="2"/>
      </rPr>
      <t xml:space="preserve">의 죽음</t>
    </r>
    <r>
      <rPr>
        <sz val="10"/>
        <rFont val="Noto Sans CJK SC"/>
        <family val="2"/>
        <charset val="1"/>
      </rPr>
      <t xml:space="preserve">), 12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장례식</t>
    </r>
    <r>
      <rPr>
        <sz val="10"/>
        <rFont val="Noto Sans CJK SC"/>
        <family val="2"/>
        <charset val="1"/>
      </rPr>
      <t xml:space="preserve">), 12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8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홍수</t>
    </r>
    <r>
      <rPr>
        <sz val="10"/>
        <rFont val="Noto Sans CJK SC"/>
        <family val="2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</si>
  <si>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원형</t>
    </r>
    <r>
      <rPr>
        <b val="true"/>
        <sz val="10"/>
        <rFont val="Noto Sans CJK SC"/>
        <family val="2"/>
        <charset val="1"/>
      </rPr>
      <t xml:space="preserve">·</t>
    </r>
    <r>
      <rPr>
        <b val="true"/>
        <sz val="10"/>
        <rFont val="WenQuanYi Zen Hei"/>
        <family val="2"/>
      </rPr>
      <t xml:space="preserve">회고 화</t>
    </r>
  </si>
  <si>
    <r>
      <rPr>
        <sz val="10"/>
        <rFont val="Noto Sans CJK SC"/>
        <family val="2"/>
        <charset val="1"/>
      </rPr>
      <t xml:space="preserve">13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1·11·12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: 1</t>
    </r>
    <r>
      <rPr>
        <sz val="10"/>
        <rFont val="WenQuanYi Zen Hei"/>
        <family val="2"/>
      </rPr>
      <t xml:space="preserve">부 대사를 되풀이하고 마무리를 길게</t>
    </r>
  </si>
  <si>
    <r>
      <rPr>
        <b val="true"/>
        <sz val="10"/>
        <rFont val="Arial"/>
        <family val="0"/>
        <charset val="1"/>
      </rPr>
      <t xml:space="preserve">5. </t>
    </r>
    <r>
      <rPr>
        <b val="true"/>
        <sz val="10"/>
        <rFont val="WenQuanYi Zen Hei"/>
        <family val="2"/>
      </rPr>
      <t xml:space="preserve">집필 규칙</t>
    </r>
  </si>
  <si>
    <r>
      <rPr>
        <sz val="10"/>
        <rFont val="Arial"/>
        <family val="0"/>
        <charset val="1"/>
      </rPr>
      <t xml:space="preserve">1. 1</t>
    </r>
    <r>
      <rPr>
        <sz val="10"/>
        <rFont val="WenQuanYi Zen Hei"/>
        <family val="2"/>
      </rPr>
      <t xml:space="preserve">부는 한 턴 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단어 이내를 지킨다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연설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조항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기사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카드처럼 긴 낭독은 예외로 두되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턴으로 세고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화당 최대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개까지만 쓴다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</si>
  <si>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지문이 없으므로 장소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행동을 알리는 턴이 화당 </t>
    </r>
    <r>
      <rPr>
        <sz val="10"/>
        <rFont val="Arial"/>
        <family val="0"/>
        <charset val="1"/>
      </rPr>
      <t xml:space="preserve">5~10</t>
    </r>
    <r>
      <rPr>
        <sz val="10"/>
        <rFont val="WenQuanYi Zen Hei"/>
        <family val="2"/>
      </rPr>
      <t xml:space="preserve">턴 필요하다 </t>
    </r>
    <r>
      <rPr>
        <sz val="10"/>
        <rFont val="Arial"/>
        <family val="0"/>
        <charset val="1"/>
      </rPr>
      <t xml:space="preserve">(Rosa</t>
    </r>
    <r>
      <rPr>
        <sz val="10"/>
        <rFont val="WenQuanYi Zen Hei"/>
        <family val="2"/>
      </rPr>
      <t xml:space="preserve">의 시간 안내</t>
    </r>
    <r>
      <rPr>
        <sz val="10"/>
        <rFont val="Arial"/>
        <family val="0"/>
        <charset val="1"/>
      </rPr>
      <t xml:space="preserve">, Garibaldi</t>
    </r>
    <r>
      <rPr>
        <sz val="10"/>
        <rFont val="WenQuanYi Zen Hei"/>
        <family val="2"/>
      </rPr>
      <t xml:space="preserve">의 보고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양원 의장의 결과 낭독 등</t>
    </r>
    <r>
      <rPr>
        <sz val="10"/>
        <rFont val="Arial"/>
        <family val="0"/>
        <charset val="1"/>
      </rPr>
      <t xml:space="preserve">).</t>
    </r>
  </si>
  <si>
    <r>
      <rPr>
        <sz val="10"/>
        <rFont val="Arial"/>
        <family val="0"/>
        <charset val="1"/>
      </rPr>
      <t xml:space="preserve">3. Sofia</t>
    </r>
    <r>
      <rPr>
        <sz val="10"/>
        <rFont val="WenQuanYi Zen Hei"/>
        <family val="2"/>
      </rPr>
      <t xml:space="preserve">의 질문 → 쉬운 재설명 짝은 화당 </t>
    </r>
    <r>
      <rPr>
        <sz val="10"/>
        <rFont val="Arial"/>
        <family val="0"/>
        <charset val="1"/>
      </rPr>
      <t xml:space="preserve">3~6</t>
    </r>
    <r>
      <rPr>
        <sz val="10"/>
        <rFont val="WenQuanYi Zen Hei"/>
        <family val="2"/>
      </rPr>
      <t xml:space="preserve">쌍</t>
    </r>
    <r>
      <rPr>
        <sz val="10"/>
        <rFont val="Arial"/>
        <family val="0"/>
        <charset val="1"/>
      </rPr>
      <t xml:space="preserve">(6~12</t>
    </r>
    <r>
      <rPr>
        <sz val="10"/>
        <rFont val="WenQuanYi Zen Hei"/>
        <family val="2"/>
      </rPr>
      <t xml:space="preserve">턴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을 기본으로 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어려운 용어를 도입할 때 반드시 사용한다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</si>
  <si>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4. </t>
    </r>
    <r>
      <rPr>
        <sz val="10"/>
        <rFont val="WenQuanYi Zen Hei"/>
        <family val="2"/>
      </rPr>
      <t xml:space="preserve">시그니처 표현은 화자당 </t>
    </r>
    <r>
      <rPr>
        <sz val="10"/>
        <rFont val="Arial"/>
        <family val="0"/>
        <charset val="1"/>
      </rPr>
      <t xml:space="preserve">1~2</t>
    </r>
    <r>
      <rPr>
        <sz val="10"/>
        <rFont val="WenQuanYi Zen Hei"/>
        <family val="2"/>
      </rPr>
      <t xml:space="preserve">회</t>
    </r>
    <r>
      <rPr>
        <sz val="10"/>
        <rFont val="Arial"/>
        <family val="0"/>
        <charset val="1"/>
      </rPr>
      <t xml:space="preserve">. 120</t>
    </r>
    <r>
      <rPr>
        <sz val="10"/>
        <rFont val="WenQuanYi Zen Hei"/>
        <family val="2"/>
      </rPr>
      <t xml:space="preserve">턴 안에서 같은 시그니처가 반복되지 않게 배분한다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</si>
  <si>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5. </t>
    </r>
    <r>
      <rPr>
        <sz val="10"/>
        <rFont val="WenQuanYi Zen Hei"/>
        <family val="2"/>
      </rPr>
      <t xml:space="preserve">화자 점유율은 턴 수 기준이다</t>
    </r>
    <r>
      <rPr>
        <sz val="10"/>
        <rFont val="Arial"/>
        <family val="0"/>
        <charset val="1"/>
      </rPr>
      <t xml:space="preserve">. Sofia</t>
    </r>
    <r>
      <rPr>
        <sz val="10"/>
        <rFont val="WenQuanYi Zen Hei"/>
        <family val="2"/>
      </rPr>
      <t xml:space="preserve">처럼 턴은 많지만 짧게 말하는 인물은 평균 단어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턴을 낮게 잡았다</t>
    </r>
    <r>
      <rPr>
        <sz val="10"/>
        <rFont val="Arial"/>
        <family val="0"/>
        <charset val="1"/>
      </rPr>
      <t xml:space="preserve">. Machiavelli</t>
    </r>
    <r>
      <rPr>
        <sz val="10"/>
        <rFont val="WenQuanYi Zen Hei"/>
        <family val="2"/>
      </rPr>
      <t xml:space="preserve">는 스페인판에 없던 인물이라 엑스트라 몫에서 점유율을 떼어 배정했다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</si>
  <si>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6. </t>
    </r>
    <r>
      <rPr>
        <sz val="10"/>
        <rFont val="WenQuanYi Zen Hei"/>
        <family val="2"/>
      </rPr>
      <t xml:space="preserve">표의 파란 숫자는 가정값이다</t>
    </r>
    <r>
      <rPr>
        <sz val="10"/>
        <rFont val="Arial"/>
        <family val="0"/>
        <charset val="1"/>
      </rPr>
      <t xml:space="preserve">. 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1~3</t>
    </r>
    <r>
      <rPr>
        <sz val="10"/>
        <rFont val="WenQuanYi Zen Hei"/>
        <family val="2"/>
      </rPr>
      <t xml:space="preserve">화 대본을 쓴 뒤 실제 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단어 수를 재서 점유율과 평균 단어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턴을 교정한다</t>
    </r>
    <r>
      <rPr>
        <sz val="10"/>
        <rFont val="Arial"/>
        <family val="0"/>
        <charset val="1"/>
      </rPr>
      <t xml:space="preserve">.</t>
    </r>
  </si>
  <si>
    <r>
      <rPr>
        <b val="true"/>
        <sz val="14"/>
        <color rgb="FF1F3864"/>
        <rFont val="Arial"/>
        <family val="0"/>
        <charset val="1"/>
      </rPr>
      <t xml:space="preserve">13</t>
    </r>
    <r>
      <rPr>
        <b val="true"/>
        <sz val="14"/>
        <color rgb="FF1F3864"/>
        <rFont val="WenQuanYi Zen Hei"/>
        <family val="2"/>
      </rPr>
      <t xml:space="preserve">부 구성 </t>
    </r>
    <r>
      <rPr>
        <b val="true"/>
        <sz val="14"/>
        <color rgb="FF1F3864"/>
        <rFont val="Arial"/>
        <family val="0"/>
        <charset val="1"/>
      </rPr>
      <t xml:space="preserve">(13</t>
    </r>
    <r>
      <rPr>
        <b val="true"/>
        <sz val="14"/>
        <color rgb="FF1F3864"/>
        <rFont val="WenQuanYi Zen Hei"/>
        <family val="2"/>
      </rPr>
      <t xml:space="preserve">부 </t>
    </r>
    <r>
      <rPr>
        <b val="true"/>
        <sz val="14"/>
        <color rgb="FF1F3864"/>
        <rFont val="Arial"/>
        <family val="0"/>
        <charset val="1"/>
      </rPr>
      <t xml:space="preserve">× 12</t>
    </r>
    <r>
      <rPr>
        <b val="true"/>
        <sz val="14"/>
        <color rgb="FF1F3864"/>
        <rFont val="WenQuanYi Zen Hei"/>
        <family val="2"/>
      </rPr>
      <t xml:space="preserve">화 </t>
    </r>
    <r>
      <rPr>
        <b val="true"/>
        <sz val="14"/>
        <color rgb="FF1F3864"/>
        <rFont val="Arial"/>
        <family val="0"/>
        <charset val="1"/>
      </rPr>
      <t xml:space="preserve">= 156</t>
    </r>
    <r>
      <rPr>
        <b val="true"/>
        <sz val="14"/>
        <color rgb="FF1F3864"/>
        <rFont val="WenQuanYi Zen Hei"/>
        <family val="2"/>
      </rPr>
      <t xml:space="preserve">화</t>
    </r>
    <r>
      <rPr>
        <b val="true"/>
        <sz val="14"/>
        <color rgb="FF1F3864"/>
        <rFont val="Arial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</si>
  <si>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정치 파트</t>
    </r>
    <r>
      <rPr>
        <i val="true"/>
        <sz val="9"/>
        <color rgb="FF595959"/>
        <rFont val="Noto Sans CJK SC"/>
        <family val="2"/>
        <charset val="1"/>
      </rPr>
      <t xml:space="preserve">(8~12</t>
    </r>
    <r>
      <rPr>
        <i val="true"/>
        <sz val="9"/>
        <color rgb="FF595959"/>
        <rFont val="WenQuanYi Zen Hei"/>
        <family val="2"/>
      </rPr>
      <t xml:space="preserve">부</t>
    </r>
    <r>
      <rPr>
        <i val="true"/>
        <sz val="9"/>
        <color rgb="FF595959"/>
        <rFont val="Noto Sans CJK SC"/>
        <family val="2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는 이탈리아의 현실 정치 제도에 맞춰 재설계했습니다</t>
    </r>
    <r>
      <rPr>
        <i val="true"/>
        <sz val="9"/>
        <color rgb="FF595959"/>
        <rFont val="Noto Sans CJK SC"/>
        <family val="2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화별 목차는 </t>
    </r>
    <r>
      <rPr>
        <i val="true"/>
        <sz val="9"/>
        <color rgb="FF595959"/>
        <rFont val="Noto Sans CJK SC"/>
        <family val="2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화별목차</t>
    </r>
    <r>
      <rPr>
        <i val="true"/>
        <sz val="9"/>
        <color rgb="FF595959"/>
        <rFont val="Noto Sans CJK SC"/>
        <family val="2"/>
        <charset val="1"/>
      </rPr>
      <t xml:space="preserve">_</t>
    </r>
    <r>
      <rPr>
        <i val="true"/>
        <sz val="9"/>
        <color rgb="FF595959"/>
        <rFont val="WenQuanYi Zen Hei"/>
        <family val="2"/>
      </rPr>
      <t xml:space="preserve">전체</t>
    </r>
    <r>
      <rPr>
        <i val="true"/>
        <sz val="9"/>
        <color rgb="FF595959"/>
        <rFont val="Noto Sans CJK SC"/>
        <family val="2"/>
        <charset val="1"/>
      </rPr>
      <t xml:space="preserve">', </t>
    </r>
    <r>
      <rPr>
        <i val="true"/>
        <sz val="9"/>
        <color rgb="FF595959"/>
        <rFont val="WenQuanYi Zen Hei"/>
        <family val="2"/>
      </rPr>
      <t xml:space="preserve">제도 근거는 </t>
    </r>
    <r>
      <rPr>
        <i val="true"/>
        <sz val="9"/>
        <color rgb="FF595959"/>
        <rFont val="Noto Sans CJK SC"/>
        <family val="2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정치제도</t>
    </r>
    <r>
      <rPr>
        <i val="true"/>
        <sz val="9"/>
        <color rgb="FF595959"/>
        <rFont val="Noto Sans CJK SC"/>
        <family val="2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시트</t>
    </r>
    <r>
      <rPr>
        <i val="true"/>
        <sz val="9"/>
        <color rgb="FF595959"/>
        <rFont val="Noto Sans CJK SC"/>
        <family val="2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</si>
  <si>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제목 </t>
    </r>
    <r>
      <rPr>
        <b val="true"/>
        <sz val="10"/>
        <color rgb="FFFFFFFF"/>
        <rFont val="Noto Sans CJK SC"/>
        <family val="2"/>
        <charset val="1"/>
      </rPr>
      <t xml:space="preserve">(IT)</t>
    </r>
  </si>
  <si>
    <t xml:space="preserve">한국어</t>
  </si>
  <si>
    <t xml:space="preserve">배경</t>
  </si>
  <si>
    <t xml:space="preserve">핵심 내용</t>
  </si>
  <si>
    <r>
      <rPr>
        <b val="true"/>
        <sz val="10"/>
        <color rgb="FFFFFFFF"/>
        <rFont val="WenQuanYi Zen Hei"/>
        <family val="2"/>
      </rPr>
      <t xml:space="preserve">난이도
</t>
    </r>
    <r>
      <rPr>
        <b val="true"/>
        <sz val="10"/>
        <color rgb="FFFFFFFF"/>
        <rFont val="Noto Sans CJK SC"/>
        <family val="2"/>
        <charset val="1"/>
      </rPr>
      <t xml:space="preserve">(CEFR)</t>
    </r>
  </si>
  <si>
    <r>
      <rPr>
        <b val="true"/>
        <sz val="10"/>
        <color rgb="FFFFFFFF"/>
        <rFont val="WenQuanYi Zen Hei"/>
        <family val="2"/>
      </rPr>
      <t xml:space="preserve">반영 제도</t>
    </r>
    <r>
      <rPr>
        <b val="true"/>
        <sz val="10"/>
        <color rgb="FFFFFFFF"/>
        <rFont val="Noto Sans CJK SC"/>
        <family val="2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전문 영역</t>
    </r>
  </si>
  <si>
    <t xml:space="preserve">시점</t>
  </si>
  <si>
    <t xml:space="preserve">Lo Studio di Testaccio</t>
  </si>
  <si>
    <t xml:space="preserve">테스타초 사무소</t>
  </si>
  <si>
    <r>
      <rPr>
        <sz val="10"/>
        <rFont val="Arial"/>
        <family val="0"/>
        <charset val="1"/>
      </rPr>
      <t xml:space="preserve">Testaccio</t>
    </r>
    <r>
      <rPr>
        <sz val="10"/>
        <rFont val="WenQuanYi Zen Hei"/>
        <family val="2"/>
      </rPr>
      <t xml:space="preserve">의 작은 사무실 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층은 </t>
    </r>
    <r>
      <rPr>
        <sz val="10"/>
        <rFont val="Arial"/>
        <family val="0"/>
        <charset val="1"/>
      </rPr>
      <t xml:space="preserve">Rosa</t>
    </r>
    <r>
      <rPr>
        <sz val="10"/>
        <rFont val="WenQuanYi Zen Hei"/>
        <family val="2"/>
      </rPr>
      <t xml:space="preserve">의 트라토리아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개소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개월 후</t>
    </r>
  </si>
  <si>
    <r>
      <rPr>
        <sz val="10"/>
        <rFont val="WenQuanYi Zen Hei"/>
        <family val="2"/>
      </rPr>
      <t xml:space="preserve">이미 한 달째 좌충우돌 중인 팀이 이웃들의 사건 </t>
    </r>
    <r>
      <rPr>
        <sz val="10"/>
        <rFont val="Noto Sans CJK SC"/>
        <family val="2"/>
        <charset val="1"/>
      </rPr>
      <t xml:space="preserve">6</t>
    </r>
    <r>
      <rPr>
        <sz val="10"/>
        <rFont val="WenQuanYi Zen Hei"/>
        <family val="2"/>
      </rPr>
      <t xml:space="preserve">개를 </t>
    </r>
    <r>
      <rPr>
        <sz val="10"/>
        <rFont val="Noto Sans CJK SC"/>
        <family val="2"/>
        <charset val="1"/>
      </rPr>
      <t xml:space="preserve">2</t>
    </r>
    <r>
      <rPr>
        <sz val="10"/>
        <rFont val="WenQuanYi Zen Hei"/>
        <family val="2"/>
      </rPr>
      <t xml:space="preserve">화씩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도입→해결</t>
    </r>
    <r>
      <rPr>
        <sz val="10"/>
        <rFont val="Noto Sans CJK SC"/>
        <family val="2"/>
        <charset val="1"/>
      </rPr>
      <t xml:space="preserve">) </t>
    </r>
    <r>
      <rPr>
        <sz val="10"/>
        <rFont val="WenQuanYi Zen Hei"/>
        <family val="2"/>
      </rPr>
      <t xml:space="preserve">풀어 간다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자기소개 대신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이 사람들이 어쩌다 이렇게 됐지</t>
    </r>
    <r>
      <rPr>
        <sz val="10"/>
        <rFont val="Noto Sans CJK SC"/>
        <family val="2"/>
        <charset val="1"/>
      </rPr>
      <t xml:space="preserve">?' </t>
    </r>
    <r>
      <rPr>
        <sz val="10"/>
        <rFont val="WenQuanYi Zen Hei"/>
        <family val="2"/>
      </rPr>
      <t xml:space="preserve">하는 궁금증</t>
    </r>
    <r>
      <rPr>
        <sz val="10"/>
        <rFont val="Noto Sans CJK SC"/>
        <family val="2"/>
        <charset val="1"/>
      </rPr>
      <t xml:space="preserve">(In medias res)</t>
    </r>
    <r>
      <rPr>
        <sz val="10"/>
        <rFont val="WenQuanYi Zen Hei"/>
        <family val="2"/>
      </rPr>
      <t xml:space="preserve">으로 시작</t>
    </r>
    <r>
      <rPr>
        <sz val="10"/>
        <rFont val="Noto Sans CJK SC"/>
        <family val="2"/>
        <charset val="1"/>
      </rPr>
      <t xml:space="preserve">.</t>
    </r>
  </si>
  <si>
    <t xml:space="preserve">B1</t>
  </si>
  <si>
    <r>
      <rPr>
        <sz val="10"/>
        <rFont val="WenQuanYi Zen Hei"/>
        <family val="2"/>
      </rPr>
      <t xml:space="preserve">생활 법률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노동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의료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금융 기초 어휘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반복되는 말다툼</t>
    </r>
    <r>
      <rPr>
        <sz val="10"/>
        <rFont val="Noto Sans CJK SC"/>
        <family val="2"/>
        <charset val="1"/>
      </rPr>
      <t xml:space="preserve">, Sofia 1</t>
    </r>
    <r>
      <rPr>
        <sz val="10"/>
        <rFont val="WenQuanYi Zen Hei"/>
        <family val="2"/>
      </rPr>
      <t xml:space="preserve">차 폭발</t>
    </r>
    <r>
      <rPr>
        <sz val="10"/>
        <rFont val="Noto Sans CJK SC"/>
        <family val="2"/>
        <charset val="1"/>
      </rPr>
      <t xml:space="preserve">(6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</si>
  <si>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WenQuanYi Zen Hei"/>
        <family val="2"/>
      </rPr>
      <t xml:space="preserve">현재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개소 후 </t>
    </r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개월</t>
    </r>
    <r>
      <rPr>
        <sz val="10"/>
        <rFont val="Noto Sans CJK SC"/>
        <family val="2"/>
        <charset val="1"/>
      </rPr>
      <t xml:space="preserve">)</t>
    </r>
  </si>
  <si>
    <t xml:space="preserve">L'Avvocato</t>
  </si>
  <si>
    <t xml:space="preserve">변호사</t>
  </si>
  <si>
    <r>
      <rPr>
        <sz val="10"/>
        <rFont val="Arial"/>
        <family val="0"/>
        <charset val="1"/>
      </rPr>
      <t xml:space="preserve">Prati(Piazza Cavour </t>
    </r>
    <r>
      <rPr>
        <sz val="10"/>
        <rFont val="WenQuanYi Zen Hei"/>
        <family val="2"/>
      </rPr>
      <t xml:space="preserve">법원가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의 대형 로펌</t>
    </r>
  </si>
  <si>
    <r>
      <rPr>
        <sz val="10"/>
        <rFont val="WenQuanYi Zen Hei"/>
        <family val="2"/>
      </rPr>
      <t xml:space="preserve">승소율 </t>
    </r>
    <r>
      <rPr>
        <sz val="10"/>
        <rFont val="Noto Sans CJK SC"/>
        <family val="2"/>
        <charset val="1"/>
      </rPr>
      <t xml:space="preserve">100%</t>
    </r>
    <r>
      <rPr>
        <sz val="10"/>
        <rFont val="WenQuanYi Zen Hei"/>
        <family val="2"/>
      </rPr>
      <t xml:space="preserve">의 이면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갱신 거절로 비운 건물이 </t>
    </r>
    <r>
      <rPr>
        <sz val="10"/>
        <rFont val="Noto Sans CJK SC"/>
        <family val="2"/>
        <charset val="1"/>
      </rPr>
      <t xml:space="preserve">Marco</t>
    </r>
    <r>
      <rPr>
        <sz val="10"/>
        <rFont val="WenQuanYi Zen Hei"/>
        <family val="2"/>
      </rPr>
      <t xml:space="preserve">의 결핍이 된다</t>
    </r>
    <r>
      <rPr>
        <sz val="10"/>
        <rFont val="Noto Sans CJK SC"/>
        <family val="2"/>
        <charset val="1"/>
      </rPr>
      <t xml:space="preserve">.</t>
    </r>
  </si>
  <si>
    <t xml:space="preserve">B2~C1</t>
  </si>
  <si>
    <r>
      <rPr>
        <sz val="10"/>
        <rFont val="WenQuanYi Zen Hei"/>
        <family val="2"/>
      </rPr>
      <t xml:space="preserve">임대차</t>
    </r>
    <r>
      <rPr>
        <sz val="10"/>
        <rFont val="Noto Sans CJK SC"/>
        <family val="2"/>
        <charset val="1"/>
      </rPr>
      <t xml:space="preserve">(legge 431/1998), </t>
    </r>
    <r>
      <rPr>
        <sz val="10"/>
        <rFont val="WenQuanYi Zen Hei"/>
        <family val="2"/>
      </rPr>
      <t xml:space="preserve">소송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퇴거 확인 절차</t>
    </r>
    <r>
      <rPr>
        <sz val="10"/>
        <rFont val="Noto Sans CJK SC"/>
        <family val="2"/>
        <charset val="1"/>
      </rPr>
      <t xml:space="preserve">(convalida di sfratto)</t>
    </r>
  </si>
  <si>
    <t xml:space="preserve">과거</t>
  </si>
  <si>
    <t xml:space="preserve">La Dottoressa</t>
  </si>
  <si>
    <t xml:space="preserve">의사</t>
  </si>
  <si>
    <r>
      <rPr>
        <sz val="10"/>
        <rFont val="Arial"/>
        <family val="0"/>
        <charset val="1"/>
      </rPr>
      <t xml:space="preserve">San Camillo </t>
    </r>
    <r>
      <rPr>
        <sz val="10"/>
        <rFont val="WenQuanYi Zen Hei"/>
        <family val="2"/>
      </rPr>
      <t xml:space="preserve">응급실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가상 설정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</si>
  <si>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예산 삭감과 외주 압박 속에서 치료받지 못하는 환자들</t>
    </r>
    <r>
      <rPr>
        <sz val="10"/>
        <rFont val="Noto Sans CJK SC"/>
        <family val="2"/>
        <charset val="1"/>
      </rPr>
      <t xml:space="preserve">. Giulia</t>
    </r>
    <r>
      <rPr>
        <sz val="10"/>
        <rFont val="WenQuanYi Zen Hei"/>
        <family val="2"/>
      </rPr>
      <t xml:space="preserve">의 이름 목록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</si>
  <si>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의학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보건행정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주 보건서비스</t>
    </r>
    <r>
      <rPr>
        <sz val="10"/>
        <rFont val="Noto Sans CJK SC"/>
        <family val="2"/>
        <charset val="1"/>
      </rPr>
      <t xml:space="preserve">(SSR Lazio·ASL), </t>
    </r>
    <r>
      <rPr>
        <sz val="10"/>
        <rFont val="WenQuanYi Zen Hei"/>
        <family val="2"/>
      </rPr>
      <t xml:space="preserve">병원 외주</t>
    </r>
    <r>
      <rPr>
        <sz val="10"/>
        <rFont val="Noto Sans CJK SC"/>
        <family val="2"/>
        <charset val="1"/>
      </rPr>
      <t xml:space="preserve">(esternalizzazione)</t>
    </r>
  </si>
  <si>
    <t xml:space="preserve">Il Revisore</t>
  </si>
  <si>
    <t xml:space="preserve">회계사</t>
  </si>
  <si>
    <t xml:space="preserve">Conti Revisori</t>
  </si>
  <si>
    <r>
      <rPr>
        <sz val="10"/>
        <rFont val="WenQuanYi Zen Hei"/>
        <family val="2"/>
      </rPr>
      <t xml:space="preserve">역외 탈세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자금세탁 정황을 발견하지만 조직의 묵인 압박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서명하지 않겠다는 다짐의 기원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</si>
  <si>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법정 감사</t>
    </r>
    <r>
      <rPr>
        <sz val="10"/>
        <rFont val="Noto Sans CJK SC"/>
        <family val="2"/>
        <charset val="1"/>
      </rPr>
      <t xml:space="preserve">(d.lgs. 39/2010), </t>
    </r>
    <r>
      <rPr>
        <sz val="10"/>
        <rFont val="WenQuanYi Zen Hei"/>
        <family val="2"/>
      </rPr>
      <t xml:space="preserve">자금세탁방지</t>
    </r>
    <r>
      <rPr>
        <sz val="10"/>
        <rFont val="Noto Sans CJK SC"/>
        <family val="2"/>
        <charset val="1"/>
      </rPr>
      <t xml:space="preserve">(d.lgs. 231/2007)</t>
    </r>
  </si>
  <si>
    <t xml:space="preserve">La Consulente</t>
  </si>
  <si>
    <t xml:space="preserve">컨설턴트</t>
  </si>
  <si>
    <r>
      <rPr>
        <sz val="10"/>
        <rFont val="Arial"/>
        <family val="0"/>
        <charset val="1"/>
      </rPr>
      <t xml:space="preserve">Zenit Consulting (EUR </t>
    </r>
    <r>
      <rPr>
        <sz val="10"/>
        <rFont val="WenQuanYi Zen Hei"/>
        <family val="2"/>
      </rPr>
      <t xml:space="preserve">오피스 타워 </t>
    </r>
    <r>
      <rPr>
        <sz val="10"/>
        <rFont val="Arial"/>
        <family val="0"/>
        <charset val="1"/>
      </rPr>
      <t xml:space="preserve">32</t>
    </r>
    <r>
      <rPr>
        <sz val="10"/>
        <rFont val="WenQuanYi Zen Hei"/>
        <family val="2"/>
      </rPr>
      <t xml:space="preserve">층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</si>
  <si>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구조조정 엑셀 한 칸이 수백 명의 실직이었음을 깨닫는다</t>
    </r>
    <r>
      <rPr>
        <sz val="10"/>
        <rFont val="Noto Sans CJK SC"/>
        <family val="2"/>
        <charset val="1"/>
      </rPr>
      <t xml:space="preserve">. Paolo</t>
    </r>
    <r>
      <rPr>
        <sz val="10"/>
        <rFont val="WenQuanYi Zen Hei"/>
        <family val="2"/>
      </rPr>
      <t xml:space="preserve">와의 첫 접점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</si>
  <si>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경영 전략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집단해고</t>
    </r>
    <r>
      <rPr>
        <sz val="10"/>
        <rFont val="Noto Sans CJK SC"/>
        <family val="2"/>
        <charset val="1"/>
      </rPr>
      <t xml:space="preserve">(legge 223/1991), </t>
    </r>
    <r>
      <rPr>
        <sz val="10"/>
        <rFont val="WenQuanYi Zen Hei"/>
        <family val="2"/>
      </rPr>
      <t xml:space="preserve">노동법</t>
    </r>
  </si>
  <si>
    <t xml:space="preserve">L'Incontro</t>
  </si>
  <si>
    <t xml:space="preserve">운명적 만남</t>
  </si>
  <si>
    <r>
      <rPr>
        <sz val="10"/>
        <rFont val="Arial"/>
        <family val="0"/>
        <charset val="1"/>
      </rPr>
      <t xml:space="preserve">Quarticciolo</t>
    </r>
    <r>
      <rPr>
        <sz val="10"/>
        <rFont val="WenQuanYi Zen Hei"/>
        <family val="2"/>
      </rPr>
      <t xml:space="preserve">의 서민 주거 단지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작은 바</t>
    </r>
  </si>
  <si>
    <r>
      <rPr>
        <sz val="10"/>
        <rFont val="WenQuanYi Zen Hei"/>
        <family val="2"/>
      </rPr>
      <t xml:space="preserve">강제 퇴거와 의료 방치가 한 건으로 얽힌 사건에서 네 사람이 만나 사무소를 차리기로 한다</t>
    </r>
    <r>
      <rPr>
        <sz val="10"/>
        <rFont val="Noto Sans CJK SC"/>
        <family val="2"/>
        <charset val="1"/>
      </rPr>
      <t xml:space="preserve">.</t>
    </r>
  </si>
  <si>
    <t xml:space="preserve">B2</t>
  </si>
  <si>
    <r>
      <rPr>
        <sz val="10"/>
        <rFont val="WenQuanYi Zen Hei"/>
        <family val="2"/>
      </rPr>
      <t xml:space="preserve">협상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설득 구어체</t>
    </r>
  </si>
  <si>
    <t xml:space="preserve">현재로 수렴</t>
  </si>
  <si>
    <t xml:space="preserve">La Rete della Resistenza</t>
  </si>
  <si>
    <r>
      <rPr>
        <sz val="10"/>
        <rFont val="WenQuanYi Zen Hei"/>
        <family val="2"/>
      </rPr>
      <t xml:space="preserve">사무소 </t>
    </r>
    <r>
      <rPr>
        <sz val="10"/>
        <rFont val="Noto Sans CJK SC"/>
        <family val="2"/>
        <charset val="1"/>
      </rPr>
      <t xml:space="preserve">2</t>
    </r>
    <r>
      <rPr>
        <sz val="10"/>
        <rFont val="WenQuanYi Zen Hei"/>
        <family val="2"/>
      </rPr>
      <t xml:space="preserve">탄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전면전</t>
    </r>
  </si>
  <si>
    <r>
      <rPr>
        <sz val="10"/>
        <rFont val="WenQuanYi Zen Hei"/>
        <family val="2"/>
      </rPr>
      <t xml:space="preserve">법원</t>
    </r>
    <r>
      <rPr>
        <sz val="10"/>
        <rFont val="Noto Sans CJK SC"/>
        <family val="2"/>
        <charset val="1"/>
      </rPr>
      <t xml:space="preserve">(Piazzale Clodio), Campidoglio </t>
    </r>
    <r>
      <rPr>
        <sz val="10"/>
        <rFont val="WenQuanYi Zen Hei"/>
        <family val="2"/>
      </rPr>
      <t xml:space="preserve">앞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로마 전역</t>
    </r>
  </si>
  <si>
    <r>
      <rPr>
        <sz val="10"/>
        <rFont val="WenQuanYi Zen Hei"/>
        <family val="2"/>
      </rPr>
      <t xml:space="preserve">부당 해고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의료 사고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탈세 대기업 상대 집단 대응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내부 제보자를 보호하고 검찰에 고발한다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</si>
  <si>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검찰 고발</t>
    </r>
    <r>
      <rPr>
        <sz val="10"/>
        <rFont val="Arial"/>
        <family val="0"/>
        <charset val="1"/>
      </rPr>
      <t xml:space="preserve">(esposto-denuncia), </t>
    </r>
    <r>
      <rPr>
        <sz val="10"/>
        <rFont val="WenQuanYi Zen Hei"/>
        <family val="2"/>
      </rPr>
      <t xml:space="preserve">민사 당사자</t>
    </r>
    <r>
      <rPr>
        <sz val="10"/>
        <rFont val="Arial"/>
        <family val="0"/>
        <charset val="1"/>
      </rPr>
      <t xml:space="preserve">(parte civile), ANAC, </t>
    </r>
    <r>
      <rPr>
        <sz val="10"/>
        <rFont val="WenQuanYi Zen Hei"/>
        <family val="2"/>
      </rPr>
      <t xml:space="preserve">내부고발자 보호</t>
    </r>
    <r>
      <rPr>
        <sz val="10"/>
        <rFont val="Arial"/>
        <family val="0"/>
        <charset val="1"/>
      </rPr>
      <t xml:space="preserve">(d.lgs. 24/2023)</t>
    </r>
  </si>
  <si>
    <t xml:space="preserve">과거→현재</t>
  </si>
  <si>
    <t xml:space="preserve">Il Risveglio Civico</t>
  </si>
  <si>
    <t xml:space="preserve">정치적 각성과 창당</t>
  </si>
  <si>
    <r>
      <rPr>
        <sz val="10"/>
        <rFont val="Arial"/>
        <family val="0"/>
        <charset val="1"/>
      </rPr>
      <t xml:space="preserve">Piazza San Giovanni, </t>
    </r>
    <r>
      <rPr>
        <sz val="10"/>
        <rFont val="WenQuanYi Zen Hei"/>
        <family val="2"/>
      </rPr>
      <t xml:space="preserve">시민 집회</t>
    </r>
  </si>
  <si>
    <r>
      <rPr>
        <sz val="10"/>
        <rFont val="WenQuanYi Zen Hei"/>
        <family val="2"/>
      </rPr>
      <t xml:space="preserve">폐지 국민투표가 정족수에 막히자 스스로 정당 </t>
    </r>
    <r>
      <rPr>
        <sz val="10"/>
        <rFont val="Noto Sans CJK SC"/>
        <family val="2"/>
        <charset val="1"/>
      </rPr>
      <t xml:space="preserve">«Casa Comune»</t>
    </r>
    <r>
      <rPr>
        <sz val="10"/>
        <rFont val="WenQuanYi Zen Hei"/>
        <family val="2"/>
      </rPr>
      <t xml:space="preserve">를 창당해 첫 로마 시의회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라치오 주의회 선거에 나선다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</si>
  <si>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집회 사전 통지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폐지 국민투표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75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정당 등록부</t>
    </r>
    <r>
      <rPr>
        <sz val="10"/>
        <rFont val="Noto Sans CJK SC"/>
        <family val="2"/>
        <charset val="1"/>
      </rPr>
      <t xml:space="preserve">(d.l. 149/2013), </t>
    </r>
    <r>
      <rPr>
        <sz val="10"/>
        <rFont val="WenQuanYi Zen Hei"/>
        <family val="2"/>
      </rPr>
      <t xml:space="preserve">정당 재정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선거운동 규칙</t>
    </r>
  </si>
  <si>
    <t xml:space="preserve">정치</t>
  </si>
  <si>
    <t xml:space="preserve">In Campidoglio e alla Pisana</t>
  </si>
  <si>
    <t xml:space="preserve">시의회와 주의회</t>
  </si>
  <si>
    <r>
      <rPr>
        <sz val="10"/>
        <rFont val="Arial"/>
        <family val="0"/>
        <charset val="1"/>
      </rPr>
      <t xml:space="preserve">Campidoglio(Assemblea Capitolina), </t>
    </r>
    <r>
      <rPr>
        <sz val="10"/>
        <rFont val="WenQuanYi Zen Hei"/>
        <family val="2"/>
      </rPr>
      <t xml:space="preserve">라치오 주의회</t>
    </r>
    <r>
      <rPr>
        <sz val="10"/>
        <rFont val="Arial"/>
        <family val="0"/>
        <charset val="1"/>
      </rPr>
      <t xml:space="preserve">(Via della Pisana)</t>
    </r>
  </si>
  <si>
    <r>
      <rPr>
        <sz val="10"/>
        <rFont val="Arial"/>
        <family val="0"/>
        <charset val="1"/>
      </rPr>
      <t xml:space="preserve">Alessandro</t>
    </r>
    <r>
      <rPr>
        <sz val="10"/>
        <rFont val="WenQuanYi Zen Hei"/>
        <family val="2"/>
      </rPr>
      <t xml:space="preserve">는 시의회에서 예산을</t>
    </r>
    <r>
      <rPr>
        <sz val="10"/>
        <rFont val="Arial"/>
        <family val="0"/>
        <charset val="1"/>
      </rPr>
      <t xml:space="preserve">, Giulia</t>
    </r>
    <r>
      <rPr>
        <sz val="10"/>
        <rFont val="WenQuanYi Zen Hei"/>
        <family val="2"/>
      </rPr>
      <t xml:space="preserve">는 주의회에서 보건을 파고든다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스캔들 폭로와 </t>
    </r>
    <r>
      <rPr>
        <sz val="10"/>
        <rFont val="Arial"/>
        <family val="0"/>
        <charset val="1"/>
      </rPr>
      <t xml:space="preserve">Sofia</t>
    </r>
    <r>
      <rPr>
        <sz val="10"/>
        <rFont val="WenQuanYi Zen Hei"/>
        <family val="2"/>
      </rPr>
      <t xml:space="preserve">의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차 폭발</t>
    </r>
    <r>
      <rPr>
        <sz val="10"/>
        <rFont val="Arial"/>
        <family val="0"/>
        <charset val="1"/>
      </rPr>
      <t xml:space="preserve">.</t>
    </r>
  </si>
  <si>
    <t xml:space="preserve">C1</t>
  </si>
  <si>
    <r>
      <rPr>
        <sz val="10"/>
        <rFont val="WenQuanYi Zen Hei"/>
        <family val="2"/>
      </rPr>
      <t xml:space="preserve">시의회 운영</t>
    </r>
    <r>
      <rPr>
        <sz val="10"/>
        <rFont val="Arial"/>
        <family val="0"/>
        <charset val="1"/>
      </rPr>
      <t xml:space="preserve">(TUEL), </t>
    </r>
    <r>
      <rPr>
        <sz val="10"/>
        <rFont val="WenQuanYi Zen Hei"/>
        <family val="2"/>
      </rPr>
      <t xml:space="preserve">시 예산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공공계약</t>
    </r>
    <r>
      <rPr>
        <sz val="10"/>
        <rFont val="Arial"/>
        <family val="0"/>
        <charset val="1"/>
      </rPr>
      <t xml:space="preserve">(d.lgs. 36/2023), </t>
    </r>
    <r>
      <rPr>
        <sz val="10"/>
        <rFont val="WenQuanYi Zen Hei"/>
        <family val="2"/>
      </rPr>
      <t xml:space="preserve">주 권한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보건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도시계획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검찰 고발</t>
    </r>
  </si>
  <si>
    <t xml:space="preserve">Verso Palazzo Chigi</t>
  </si>
  <si>
    <t xml:space="preserve">총선에서 총리 취임까지</t>
  </si>
  <si>
    <t xml:space="preserve">Montecitorio, Palazzo Madama, Quirinale, Palazzo Chigi</t>
  </si>
  <si>
    <r>
      <rPr>
        <sz val="10"/>
        <rFont val="WenQuanYi Zen Hei"/>
        <family val="2"/>
      </rPr>
      <t xml:space="preserve">해산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총선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개원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대통령 협의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첫 정부의 신임 부결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탐색 위임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재선거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상원 </t>
    </r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표 차 신임</t>
    </r>
    <r>
      <rPr>
        <sz val="10"/>
        <rFont val="Noto Sans CJK SC"/>
        <family val="2"/>
        <charset val="1"/>
      </rPr>
      <t xml:space="preserve">.</t>
    </r>
  </si>
  <si>
    <t xml:space="preserve">C1~C2</t>
  </si>
  <si>
    <r>
      <rPr>
        <sz val="10"/>
        <rFont val="WenQuanYi Zen Hei"/>
        <family val="2"/>
      </rPr>
      <t xml:space="preserve">선거 절차</t>
    </r>
    <r>
      <rPr>
        <sz val="10"/>
        <rFont val="Noto Sans CJK SC"/>
        <family val="2"/>
        <charset val="1"/>
      </rPr>
      <t xml:space="preserve">(legge 165/2017), </t>
    </r>
    <r>
      <rPr>
        <sz val="10"/>
        <rFont val="WenQuanYi Zen Hei"/>
        <family val="2"/>
      </rPr>
      <t xml:space="preserve">개원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조각 위임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92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신임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제</t>
    </r>
    <r>
      <rPr>
        <sz val="10"/>
        <rFont val="Noto Sans CJK SC"/>
        <family val="2"/>
        <charset val="1"/>
      </rPr>
      <t xml:space="preserve">94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해산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제</t>
    </r>
    <r>
      <rPr>
        <sz val="10"/>
        <rFont val="Noto Sans CJK SC"/>
        <family val="2"/>
        <charset val="1"/>
      </rPr>
      <t xml:space="preserve">88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Quirinale </t>
    </r>
    <r>
      <rPr>
        <sz val="10"/>
        <rFont val="WenQuanYi Zen Hei"/>
        <family val="2"/>
      </rPr>
      <t xml:space="preserve">선서</t>
    </r>
  </si>
  <si>
    <t xml:space="preserve">La Grande Battaglia Sociale I</t>
  </si>
  <si>
    <r>
      <rPr>
        <sz val="10"/>
        <rFont val="WenQuanYi Zen Hei"/>
        <family val="2"/>
      </rPr>
      <t xml:space="preserve">사회 현안 전투 </t>
    </r>
    <r>
      <rPr>
        <sz val="10"/>
        <rFont val="Noto Sans CJK SC"/>
        <family val="2"/>
        <charset val="1"/>
      </rPr>
      <t xml:space="preserve">I</t>
    </r>
  </si>
  <si>
    <r>
      <rPr>
        <sz val="10"/>
        <rFont val="Arial"/>
        <family val="0"/>
        <charset val="1"/>
      </rPr>
      <t xml:space="preserve">Palazzo Chigi, Consiglio dei Ministri, </t>
    </r>
    <r>
      <rPr>
        <sz val="10"/>
        <rFont val="WenQuanYi Zen Hei"/>
        <family val="2"/>
      </rPr>
      <t xml:space="preserve">브뤼셀</t>
    </r>
  </si>
  <si>
    <r>
      <rPr>
        <sz val="10"/>
        <rFont val="WenQuanYi Zen Hei"/>
        <family val="2"/>
      </rPr>
      <t xml:space="preserve">연립 정부로 주거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보건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이민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청년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물가 국내 현안을 돌파한 뒤</t>
    </r>
    <r>
      <rPr>
        <sz val="10"/>
        <rFont val="Noto Sans CJK SC"/>
        <family val="2"/>
        <charset val="1"/>
      </rPr>
      <t xml:space="preserve">, Cesare</t>
    </r>
    <r>
      <rPr>
        <sz val="10"/>
        <rFont val="WenQuanYi Zen Hei"/>
        <family val="2"/>
      </rPr>
      <t xml:space="preserve">가 직접 브뤼셀 협상</t>
    </r>
    <r>
      <rPr>
        <sz val="10"/>
        <rFont val="Noto Sans CJK SC"/>
        <family val="2"/>
        <charset val="1"/>
      </rPr>
      <t xml:space="preserve">(NATO </t>
    </r>
    <r>
      <rPr>
        <sz val="10"/>
        <rFont val="WenQuanYi Zen Hei"/>
        <family val="2"/>
      </rPr>
      <t xml:space="preserve">방위비</t>
    </r>
    <r>
      <rPr>
        <sz val="10"/>
        <rFont val="Noto Sans CJK SC"/>
        <family val="2"/>
        <charset val="1"/>
      </rPr>
      <t xml:space="preserve">·EU </t>
    </r>
    <r>
      <rPr>
        <sz val="10"/>
        <rFont val="WenQuanYi Zen Hei"/>
        <family val="2"/>
      </rPr>
      <t xml:space="preserve">재정규칙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에 나서 승리하고 귀국 직후 두 번째 죽음을 맞는다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</si>
  <si>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Consiglio dei Ministri, </t>
    </r>
    <r>
      <rPr>
        <sz val="10"/>
        <rFont val="WenQuanYi Zen Hei"/>
        <family val="2"/>
      </rPr>
      <t xml:space="preserve">국가–주 협의회</t>
    </r>
    <r>
      <rPr>
        <sz val="10"/>
        <rFont val="Arial"/>
        <family val="0"/>
        <charset val="1"/>
      </rPr>
      <t xml:space="preserve">, NATO </t>
    </r>
    <r>
      <rPr>
        <sz val="10"/>
        <rFont val="WenQuanYi Zen Hei"/>
        <family val="2"/>
      </rPr>
      <t xml:space="preserve">방위비 목표</t>
    </r>
    <r>
      <rPr>
        <sz val="10"/>
        <rFont val="Arial"/>
        <family val="0"/>
        <charset val="1"/>
      </rPr>
      <t xml:space="preserve">(2025 </t>
    </r>
    <r>
      <rPr>
        <sz val="10"/>
        <rFont val="WenQuanYi Zen Hei"/>
        <family val="2"/>
      </rPr>
      <t xml:space="preserve">헤이그 합의</t>
    </r>
    <r>
      <rPr>
        <sz val="10"/>
        <rFont val="Arial"/>
        <family val="0"/>
        <charset val="1"/>
      </rPr>
      <t xml:space="preserve">), EU </t>
    </r>
    <r>
      <rPr>
        <sz val="10"/>
        <rFont val="WenQuanYi Zen Hei"/>
        <family val="2"/>
      </rPr>
      <t xml:space="preserve">과도한 재정적자 절차</t>
    </r>
  </si>
  <si>
    <t xml:space="preserve">La Grande Battaglia Sociale II</t>
  </si>
  <si>
    <r>
      <rPr>
        <sz val="10"/>
        <rFont val="WenQuanYi Zen Hei"/>
        <family val="2"/>
      </rPr>
      <t xml:space="preserve">사회 현안 전투 </t>
    </r>
    <r>
      <rPr>
        <sz val="10"/>
        <rFont val="Noto Sans CJK SC"/>
        <family val="2"/>
        <charset val="1"/>
      </rPr>
      <t xml:space="preserve">II</t>
    </r>
  </si>
  <si>
    <r>
      <rPr>
        <sz val="10"/>
        <rFont val="Arial"/>
        <family val="0"/>
        <charset val="1"/>
      </rPr>
      <t xml:space="preserve">Palazzo Chigi, </t>
    </r>
    <r>
      <rPr>
        <sz val="10"/>
        <rFont val="WenQuanYi Zen Hei"/>
        <family val="2"/>
      </rPr>
      <t xml:space="preserve">브뤼셀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홍수 현장</t>
    </r>
  </si>
  <si>
    <r>
      <rPr>
        <sz val="10"/>
        <rFont val="WenQuanYi Zen Hei"/>
        <family val="2"/>
      </rPr>
      <t xml:space="preserve">장례식으로 열고 </t>
    </r>
    <r>
      <rPr>
        <sz val="10"/>
        <rFont val="Noto Sans CJK SC"/>
        <family val="2"/>
        <charset val="1"/>
      </rPr>
      <t xml:space="preserve">Cesare</t>
    </r>
    <r>
      <rPr>
        <sz val="10"/>
        <rFont val="WenQuanYi Zen Hei"/>
        <family val="2"/>
      </rPr>
      <t xml:space="preserve">의 유작 메모로 브뤼셀 후속 협상을 마무리한다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플랫폼 노동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스파이웨어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청년 정신건강 등 새 현안과 불신임안 방어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홍수 재난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예산안까지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</si>
  <si>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메모 승계</t>
    </r>
    <r>
      <rPr>
        <sz val="10"/>
        <rFont val="Noto Sans CJK SC"/>
        <family val="2"/>
        <charset val="1"/>
      </rPr>
      <t xml:space="preserve">, decreto-legge vs </t>
    </r>
    <r>
      <rPr>
        <sz val="10"/>
        <rFont val="WenQuanYi Zen Hei"/>
        <family val="2"/>
      </rPr>
      <t xml:space="preserve">법률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헌법재판소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불신임안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민방위</t>
    </r>
    <r>
      <rPr>
        <sz val="10"/>
        <rFont val="Noto Sans CJK SC"/>
        <family val="2"/>
        <charset val="1"/>
      </rPr>
      <t xml:space="preserve">(d.lgs. 1/2018), </t>
    </r>
    <r>
      <rPr>
        <sz val="10"/>
        <rFont val="WenQuanYi Zen Hei"/>
        <family val="2"/>
      </rPr>
      <t xml:space="preserve">예산</t>
    </r>
  </si>
  <si>
    <t xml:space="preserve">Ritorno a Testaccio</t>
  </si>
  <si>
    <t xml:space="preserve">귀환</t>
  </si>
  <si>
    <t xml:space="preserve">Testaccio, Trattoria da Rosa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</si>
  <si>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화와 같은 대사로 시작해 원을 닫는다</t>
    </r>
    <r>
      <rPr>
        <sz val="10"/>
        <rFont val="Arial"/>
        <family val="0"/>
        <charset val="1"/>
      </rPr>
      <t xml:space="preserve">. Cesare</t>
    </r>
    <r>
      <rPr>
        <sz val="10"/>
        <rFont val="WenQuanYi Zen Hei"/>
        <family val="2"/>
      </rPr>
      <t xml:space="preserve">의 유언장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새 인턴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이제 설명하는 쪽이 된 </t>
    </r>
    <r>
      <rPr>
        <sz val="10"/>
        <rFont val="Arial"/>
        <family val="0"/>
        <charset val="1"/>
      </rPr>
      <t xml:space="preserve">Sofia.</t>
    </r>
  </si>
  <si>
    <t xml:space="preserve">B1~B2</t>
  </si>
  <si>
    <r>
      <rPr>
        <sz val="10"/>
        <rFont val="WenQuanYi Zen Hei"/>
        <family val="2"/>
      </rPr>
      <t xml:space="preserve">유언</t>
    </r>
    <r>
      <rPr>
        <sz val="10"/>
        <rFont val="Noto Sans CJK SC"/>
        <family val="2"/>
        <charset val="1"/>
      </rPr>
      <t xml:space="preserve">(notaio, esecutore testamentario), </t>
    </r>
    <r>
      <rPr>
        <sz val="10"/>
        <rFont val="WenQuanYi Zen Hei"/>
        <family val="2"/>
      </rPr>
      <t xml:space="preserve">정부 구성원 이해충돌 제한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재단 전환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원형 구조</t>
    </r>
  </si>
  <si>
    <r>
      <rPr>
        <i val="true"/>
        <sz val="9"/>
        <color rgb="FF595959"/>
        <rFont val="WenQuanYi Zen Hei"/>
        <family val="2"/>
      </rPr>
      <t xml:space="preserve">흐름</t>
    </r>
    <r>
      <rPr>
        <i val="true"/>
        <sz val="9"/>
        <color rgb="FF595959"/>
        <rFont val="Noto Sans CJK SC"/>
        <family val="2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현재</t>
    </r>
    <r>
      <rPr>
        <i val="true"/>
        <sz val="9"/>
        <color rgb="FF595959"/>
        <rFont val="Noto Sans CJK SC"/>
        <family val="2"/>
        <charset val="1"/>
      </rPr>
      <t xml:space="preserve">(1) → </t>
    </r>
    <r>
      <rPr>
        <i val="true"/>
        <sz val="9"/>
        <color rgb="FF595959"/>
        <rFont val="WenQuanYi Zen Hei"/>
        <family val="2"/>
      </rPr>
      <t xml:space="preserve">과거</t>
    </r>
    <r>
      <rPr>
        <i val="true"/>
        <sz val="9"/>
        <color rgb="FF595959"/>
        <rFont val="Noto Sans CJK SC"/>
        <family val="2"/>
        <charset val="1"/>
      </rPr>
      <t xml:space="preserve">(2~5) → </t>
    </r>
    <r>
      <rPr>
        <i val="true"/>
        <sz val="9"/>
        <color rgb="FF595959"/>
        <rFont val="WenQuanYi Zen Hei"/>
        <family val="2"/>
      </rPr>
      <t xml:space="preserve">교차</t>
    </r>
    <r>
      <rPr>
        <i val="true"/>
        <sz val="9"/>
        <color rgb="FF595959"/>
        <rFont val="Noto Sans CJK SC"/>
        <family val="2"/>
        <charset val="1"/>
      </rPr>
      <t xml:space="preserve">(6) → </t>
    </r>
    <r>
      <rPr>
        <i val="true"/>
        <sz val="9"/>
        <color rgb="FF595959"/>
        <rFont val="WenQuanYi Zen Hei"/>
        <family val="2"/>
      </rPr>
      <t xml:space="preserve">전면전</t>
    </r>
    <r>
      <rPr>
        <i val="true"/>
        <sz val="9"/>
        <color rgb="FF595959"/>
        <rFont val="Noto Sans CJK SC"/>
        <family val="2"/>
        <charset val="1"/>
      </rPr>
      <t xml:space="preserve">(7) → </t>
    </r>
    <r>
      <rPr>
        <i val="true"/>
        <sz val="9"/>
        <color rgb="FF595959"/>
        <rFont val="WenQuanYi Zen Hei"/>
        <family val="2"/>
      </rPr>
      <t xml:space="preserve">정치</t>
    </r>
    <r>
      <rPr>
        <i val="true"/>
        <sz val="9"/>
        <color rgb="FF595959"/>
        <rFont val="Noto Sans CJK SC"/>
        <family val="2"/>
        <charset val="1"/>
      </rPr>
      <t xml:space="preserve">(8 </t>
    </r>
    <r>
      <rPr>
        <i val="true"/>
        <sz val="9"/>
        <color rgb="FF595959"/>
        <rFont val="WenQuanYi Zen Hei"/>
        <family val="2"/>
      </rPr>
      <t xml:space="preserve">창당 → </t>
    </r>
    <r>
      <rPr>
        <i val="true"/>
        <sz val="9"/>
        <color rgb="FF595959"/>
        <rFont val="Noto Sans CJK SC"/>
        <family val="2"/>
        <charset val="1"/>
      </rPr>
      <t xml:space="preserve">9 </t>
    </r>
    <r>
      <rPr>
        <i val="true"/>
        <sz val="9"/>
        <color rgb="FF595959"/>
        <rFont val="WenQuanYi Zen Hei"/>
        <family val="2"/>
      </rPr>
      <t xml:space="preserve">시</t>
    </r>
    <r>
      <rPr>
        <i val="true"/>
        <sz val="9"/>
        <color rgb="FF595959"/>
        <rFont val="Noto Sans CJK SC"/>
        <family val="2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주 의회 → </t>
    </r>
    <r>
      <rPr>
        <i val="true"/>
        <sz val="9"/>
        <color rgb="FF595959"/>
        <rFont val="Noto Sans CJK SC"/>
        <family val="2"/>
        <charset val="1"/>
      </rPr>
      <t xml:space="preserve">10 </t>
    </r>
    <r>
      <rPr>
        <i val="true"/>
        <sz val="9"/>
        <color rgb="FF595959"/>
        <rFont val="WenQuanYi Zen Hei"/>
        <family val="2"/>
      </rPr>
      <t xml:space="preserve">총선</t>
    </r>
    <r>
      <rPr>
        <i val="true"/>
        <sz val="9"/>
        <color rgb="FF595959"/>
        <rFont val="Noto Sans CJK SC"/>
        <family val="2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총리</t>
    </r>
    <r>
      <rPr>
        <i val="true"/>
        <sz val="9"/>
        <color rgb="FF595959"/>
        <rFont val="Noto Sans CJK SC"/>
        <family val="2"/>
        <charset val="1"/>
      </rPr>
      <t xml:space="preserve">) → </t>
    </r>
    <r>
      <rPr>
        <i val="true"/>
        <sz val="9"/>
        <color rgb="FF595959"/>
        <rFont val="WenQuanYi Zen Hei"/>
        <family val="2"/>
      </rPr>
      <t xml:space="preserve">국정</t>
    </r>
    <r>
      <rPr>
        <i val="true"/>
        <sz val="9"/>
        <color rgb="FF595959"/>
        <rFont val="Noto Sans CJK SC"/>
        <family val="2"/>
        <charset val="1"/>
      </rPr>
      <t xml:space="preserve">(11~12) → </t>
    </r>
    <r>
      <rPr>
        <i val="true"/>
        <sz val="9"/>
        <color rgb="FF595959"/>
        <rFont val="WenQuanYi Zen Hei"/>
        <family val="2"/>
      </rPr>
      <t xml:space="preserve">귀환</t>
    </r>
    <r>
      <rPr>
        <i val="true"/>
        <sz val="9"/>
        <color rgb="FF595959"/>
        <rFont val="Noto Sans CJK SC"/>
        <family val="2"/>
        <charset val="1"/>
      </rPr>
      <t xml:space="preserve">(13, </t>
    </r>
    <r>
      <rPr>
        <i val="true"/>
        <sz val="9"/>
        <color rgb="FF595959"/>
        <rFont val="WenQuanYi Zen Hei"/>
        <family val="2"/>
      </rPr>
      <t xml:space="preserve">원형 구조</t>
    </r>
    <r>
      <rPr>
        <i val="true"/>
        <sz val="9"/>
        <color rgb="FF595959"/>
        <rFont val="Noto Sans CJK SC"/>
        <family val="2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난이도는 </t>
    </r>
    <r>
      <rPr>
        <i val="true"/>
        <sz val="9"/>
        <color rgb="FF595959"/>
        <rFont val="Noto Sans CJK SC"/>
        <family val="2"/>
        <charset val="1"/>
      </rPr>
      <t xml:space="preserve">B1 → C1/C2 → B1~B2</t>
    </r>
    <r>
      <rPr>
        <i val="true"/>
        <sz val="9"/>
        <color rgb="FF595959"/>
        <rFont val="WenQuanYi Zen Hei"/>
        <family val="2"/>
      </rPr>
      <t xml:space="preserve">로 올라갔다 내려와 마무리가 부드럽고</t>
    </r>
    <r>
      <rPr>
        <i val="true"/>
        <sz val="9"/>
        <color rgb="FF595959"/>
        <rFont val="Noto Sans CJK SC"/>
        <family val="2"/>
        <charset val="1"/>
      </rPr>
      <t xml:space="preserve">, 13</t>
    </r>
    <r>
      <rPr>
        <i val="true"/>
        <sz val="9"/>
        <color rgb="FF595959"/>
        <rFont val="WenQuanYi Zen Hei"/>
        <family val="2"/>
      </rPr>
      <t xml:space="preserve">부에서 </t>
    </r>
    <r>
      <rPr>
        <i val="true"/>
        <sz val="9"/>
        <color rgb="FF595959"/>
        <rFont val="Noto Sans CJK SC"/>
        <family val="2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부 장면을 다시 읽으면 낭독 실력의 성장을 스스로 확인할 수 있다</t>
    </r>
    <r>
      <rPr>
        <i val="true"/>
        <sz val="9"/>
        <color rgb="FF595959"/>
        <rFont val="Noto Sans CJK SC"/>
        <family val="2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</si>
  <si>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아크별 구성 계획 </t>
    </r>
    <r>
      <rPr>
        <b val="true"/>
        <sz val="14"/>
        <color rgb="FF1F3864"/>
        <rFont val="Noto Sans CJK SC"/>
        <family val="2"/>
        <charset val="1"/>
      </rPr>
      <t xml:space="preserve">(1~13</t>
    </r>
    <r>
      <rPr>
        <b val="true"/>
        <sz val="14"/>
        <color rgb="FF1F3864"/>
        <rFont val="WenQuanYi Zen Hei"/>
        <family val="2"/>
      </rPr>
      <t xml:space="preserve">부</t>
    </r>
    <r>
      <rPr>
        <b val="true"/>
        <sz val="14"/>
        <color rgb="FF1F3864"/>
        <rFont val="Noto Sans CJK SC"/>
        <family val="2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</si>
  <si>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각 부</t>
    </r>
    <r>
      <rPr>
        <i val="true"/>
        <sz val="9"/>
        <color rgb="FF595959"/>
        <rFont val="Noto Sans CJK SC"/>
        <family val="2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아크</t>
    </r>
    <r>
      <rPr>
        <i val="true"/>
        <sz val="9"/>
        <color rgb="FF595959"/>
        <rFont val="Noto Sans CJK SC"/>
        <family val="2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의 서사 기능</t>
    </r>
    <r>
      <rPr>
        <i val="true"/>
        <sz val="9"/>
        <color rgb="FF595959"/>
        <rFont val="Noto Sans CJK SC"/>
        <family val="2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변화</t>
    </r>
    <r>
      <rPr>
        <i val="true"/>
        <sz val="9"/>
        <color rgb="FF595959"/>
        <rFont val="Noto Sans CJK SC"/>
        <family val="2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비트</t>
    </r>
    <r>
      <rPr>
        <i val="true"/>
        <sz val="9"/>
        <color rgb="FF595959"/>
        <rFont val="Noto Sans CJK SC"/>
        <family val="2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발단→결말</t>
    </r>
    <r>
      <rPr>
        <i val="true"/>
        <sz val="9"/>
        <color rgb="FF595959"/>
        <rFont val="Noto Sans CJK SC"/>
        <family val="2"/>
        <charset val="1"/>
      </rPr>
      <t xml:space="preserve">), </t>
    </r>
    <r>
      <rPr>
        <i val="true"/>
        <sz val="9"/>
        <color rgb="FF595959"/>
        <rFont val="WenQuanYi Zen Hei"/>
        <family val="2"/>
      </rPr>
      <t xml:space="preserve">인물 아크</t>
    </r>
    <r>
      <rPr>
        <i val="true"/>
        <sz val="9"/>
        <color rgb="FF595959"/>
        <rFont val="Noto Sans CJK SC"/>
        <family val="2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복선</t>
    </r>
    <r>
      <rPr>
        <i val="true"/>
        <sz val="9"/>
        <color rgb="FF595959"/>
        <rFont val="Noto Sans CJK SC"/>
        <family val="2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현안</t>
    </r>
    <r>
      <rPr>
        <i val="true"/>
        <sz val="9"/>
        <color rgb="FF595959"/>
        <rFont val="Noto Sans CJK SC"/>
        <family val="2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제도</t>
    </r>
    <r>
      <rPr>
        <i val="true"/>
        <sz val="9"/>
        <color rgb="FF595959"/>
        <rFont val="Noto Sans CJK SC"/>
        <family val="2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언어 설계를 한 블록으로 정리</t>
    </r>
    <r>
      <rPr>
        <i val="true"/>
        <sz val="9"/>
        <color rgb="FF595959"/>
        <rFont val="Noto Sans CJK SC"/>
        <family val="2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화별 세부는 </t>
    </r>
    <r>
      <rPr>
        <i val="true"/>
        <sz val="9"/>
        <color rgb="FF595959"/>
        <rFont val="Noto Sans CJK SC"/>
        <family val="2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화별목차</t>
    </r>
    <r>
      <rPr>
        <i val="true"/>
        <sz val="9"/>
        <color rgb="FF595959"/>
        <rFont val="Noto Sans CJK SC"/>
        <family val="2"/>
        <charset val="1"/>
      </rPr>
      <t xml:space="preserve">_</t>
    </r>
    <r>
      <rPr>
        <i val="true"/>
        <sz val="9"/>
        <color rgb="FF595959"/>
        <rFont val="WenQuanYi Zen Hei"/>
        <family val="2"/>
      </rPr>
      <t xml:space="preserve">전체</t>
    </r>
    <r>
      <rPr>
        <i val="true"/>
        <sz val="9"/>
        <color rgb="FF595959"/>
        <rFont val="Noto Sans CJK SC"/>
        <family val="2"/>
        <charset val="1"/>
      </rPr>
      <t xml:space="preserve">', </t>
    </r>
    <r>
      <rPr>
        <i val="true"/>
        <sz val="9"/>
        <color rgb="FF595959"/>
        <rFont val="WenQuanYi Zen Hei"/>
        <family val="2"/>
      </rPr>
      <t xml:space="preserve">복선 추적은 </t>
    </r>
    <r>
      <rPr>
        <i val="true"/>
        <sz val="9"/>
        <color rgb="FF595959"/>
        <rFont val="Noto Sans CJK SC"/>
        <family val="2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복선</t>
    </r>
    <r>
      <rPr>
        <i val="true"/>
        <sz val="9"/>
        <color rgb="FF595959"/>
        <rFont val="Noto Sans CJK SC"/>
        <family val="2"/>
        <charset val="1"/>
      </rPr>
      <t xml:space="preserve">_</t>
    </r>
    <r>
      <rPr>
        <i val="true"/>
        <sz val="9"/>
        <color rgb="FF595959"/>
        <rFont val="WenQuanYi Zen Hei"/>
        <family val="2"/>
      </rPr>
      <t xml:space="preserve">회수</t>
    </r>
    <r>
      <rPr>
        <i val="true"/>
        <sz val="9"/>
        <color rgb="FF595959"/>
        <rFont val="Noto Sans CJK SC"/>
        <family val="2"/>
        <charset val="1"/>
      </rPr>
      <t xml:space="preserve">'.</t>
    </r>
  </si>
  <si>
    <r>
      <rPr>
        <b val="true"/>
        <sz val="10"/>
        <color rgb="FFFFFFFF"/>
        <rFont val="Arial"/>
        <family val="0"/>
        <charset val="1"/>
      </rPr>
      <t xml:space="preserve">Lo Studio di Testaccio — </t>
    </r>
    <r>
      <rPr>
        <b val="true"/>
        <sz val="10"/>
        <color rgb="FFFFFFFF"/>
        <rFont val="WenQuanYi Zen Hei"/>
        <family val="2"/>
      </rPr>
      <t xml:space="preserve">테스타초 사무소   </t>
    </r>
    <r>
      <rPr>
        <b val="true"/>
        <sz val="10"/>
        <color rgb="FFFFFFFF"/>
        <rFont val="Arial"/>
        <family val="0"/>
        <charset val="1"/>
      </rPr>
      <t xml:space="preserve">|   </t>
    </r>
    <r>
      <rPr>
        <b val="true"/>
        <sz val="10"/>
        <color rgb="FFFFFFFF"/>
        <rFont val="WenQuanYi Zen Hei"/>
        <family val="2"/>
      </rPr>
      <t xml:space="preserve">난이도 </t>
    </r>
    <r>
      <rPr>
        <b val="true"/>
        <sz val="10"/>
        <color rgb="FFFFFFFF"/>
        <rFont val="Arial"/>
        <family val="0"/>
        <charset val="1"/>
      </rPr>
      <t xml:space="preserve">B1   |   </t>
    </r>
    <r>
      <rPr>
        <b val="true"/>
        <sz val="10"/>
        <color rgb="FFFFFFFF"/>
        <rFont val="WenQuanYi Zen Hei"/>
        <family val="2"/>
      </rPr>
      <t xml:space="preserve">사무소 개소 </t>
    </r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개월 후</t>
    </r>
    <r>
      <rPr>
        <b val="true"/>
        <sz val="10"/>
        <color rgb="FFFFFFFF"/>
        <rFont val="Arial"/>
        <family val="0"/>
        <charset val="1"/>
      </rPr>
      <t xml:space="preserve">(6</t>
    </r>
    <r>
      <rPr>
        <b val="true"/>
        <sz val="10"/>
        <color rgb="FFFFFFFF"/>
        <rFont val="WenQuanYi Zen Hei"/>
        <family val="2"/>
      </rPr>
      <t xml:space="preserve">부 </t>
    </r>
    <r>
      <rPr>
        <b val="true"/>
        <sz val="10"/>
        <color rgb="FFFFFFFF"/>
        <rFont val="Arial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화로부터 약 </t>
    </r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주</t>
    </r>
    <r>
      <rPr>
        <b val="true"/>
        <sz val="10"/>
        <color rgb="FFFFFFFF"/>
        <rFont val="Arial"/>
        <family val="0"/>
        <charset val="1"/>
      </rPr>
      <t xml:space="preserve">). Testaccio </t>
    </r>
    <r>
      <rPr>
        <b val="true"/>
        <sz val="10"/>
        <color rgb="FFFFFFFF"/>
        <rFont val="WenQuanYi Zen Hei"/>
        <family val="2"/>
      </rPr>
      <t xml:space="preserve">사무소와 </t>
    </r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층 </t>
    </r>
    <r>
      <rPr>
        <b val="true"/>
        <sz val="10"/>
        <color rgb="FFFFFFFF"/>
        <rFont val="Arial"/>
        <family val="0"/>
        <charset val="1"/>
      </rPr>
      <t xml:space="preserve">Rosa</t>
    </r>
    <r>
      <rPr>
        <b val="true"/>
        <sz val="10"/>
        <color rgb="FFFFFFFF"/>
        <rFont val="WenQuanYi Zen Hei"/>
        <family val="2"/>
      </rPr>
      <t xml:space="preserve">의 트라토리아</t>
    </r>
    <r>
      <rPr>
        <b val="true"/>
        <sz val="10"/>
        <color rgb="FFFFFFFF"/>
        <rFont val="Arial"/>
        <family val="0"/>
        <charset val="1"/>
      </rPr>
      <t xml:space="preserve">.</t>
    </r>
  </si>
  <si>
    <t xml:space="preserve">서사 기능</t>
  </si>
  <si>
    <r>
      <rPr>
        <sz val="10"/>
        <rFont val="WenQuanYi Zen Hei"/>
        <family val="2"/>
      </rPr>
      <t xml:space="preserve">독자 진입 장치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이미 굴러가는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그러나 여전히 좌충우돌하는</t>
    </r>
    <r>
      <rPr>
        <sz val="10"/>
        <rFont val="Noto Sans CJK SC"/>
        <family val="2"/>
        <charset val="1"/>
      </rPr>
      <t xml:space="preserve">) </t>
    </r>
    <r>
      <rPr>
        <sz val="10"/>
        <rFont val="WenQuanYi Zen Hei"/>
        <family val="2"/>
      </rPr>
      <t xml:space="preserve">사무소를 보여 주어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이 사람들이 어쩌다 이렇게 됐지</t>
    </r>
    <r>
      <rPr>
        <sz val="10"/>
        <rFont val="Noto Sans CJK SC"/>
        <family val="2"/>
        <charset val="1"/>
      </rPr>
      <t xml:space="preserve">?' </t>
    </r>
    <r>
      <rPr>
        <sz val="10"/>
        <rFont val="WenQuanYi Zen Hei"/>
        <family val="2"/>
      </rPr>
      <t xml:space="preserve">하는 궁금증을 만든다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자기소개 대신 여섯 사건을 통해 인물의 습관과 리듬을 익히게 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부활한 역사 인물들이 아무렇지 않게 섞여 있는 일상이 첫 웃음 포인트</t>
    </r>
    <r>
      <rPr>
        <sz val="10"/>
        <rFont val="Noto Sans CJK SC"/>
        <family val="2"/>
        <charset val="1"/>
      </rPr>
      <t xml:space="preserve">.</t>
    </r>
  </si>
  <si>
    <t xml:space="preserve">로그라인</t>
  </si>
  <si>
    <r>
      <rPr>
        <sz val="10"/>
        <rFont val="WenQuanYi Zen Hei"/>
        <family val="2"/>
      </rPr>
      <t xml:space="preserve">개소 한 달째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여전히 순서 하나 못 정하고 매번 다투는 네 전문가와 팀이 그래도 이웃들의 사건 여섯 개를 하나씩 해결해 나가지만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마지막 사건의 서류에서 </t>
    </r>
    <r>
      <rPr>
        <sz val="10"/>
        <rFont val="Noto Sans CJK SC"/>
        <family val="2"/>
        <charset val="1"/>
      </rPr>
      <t xml:space="preserve">Marco</t>
    </r>
    <r>
      <rPr>
        <sz val="10"/>
        <rFont val="WenQuanYi Zen Hei"/>
        <family val="2"/>
      </rPr>
      <t xml:space="preserve">의 옛 로펌 이름이 튀어나온다</t>
    </r>
    <r>
      <rPr>
        <sz val="10"/>
        <rFont val="Noto Sans CJK SC"/>
        <family val="2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</si>
  <si>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변화 </t>
    </r>
    <r>
      <rPr>
        <b val="true"/>
        <sz val="10"/>
        <rFont val="Noto Sans CJK SC"/>
        <family val="2"/>
        <charset val="1"/>
      </rPr>
      <t xml:space="preserve">(</t>
    </r>
    <r>
      <rPr>
        <b val="true"/>
        <sz val="10"/>
        <rFont val="WenQuanYi Zen Hei"/>
        <family val="2"/>
      </rPr>
      <t xml:space="preserve">시작 → 끝</t>
    </r>
    <r>
      <rPr>
        <b val="true"/>
        <sz val="10"/>
        <rFont val="Noto Sans CJK SC"/>
        <family val="2"/>
        <charset val="1"/>
      </rPr>
      <t xml:space="preserve">)</t>
    </r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</si>
  <si>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한 달이나 됐는데 아직도 이 모양</t>
    </r>
    <r>
      <rPr>
        <sz val="10"/>
        <rFont val="Arial"/>
        <family val="0"/>
        <charset val="1"/>
      </rPr>
      <t xml:space="preserve">' → </t>
    </r>
    <r>
      <rPr>
        <sz val="10"/>
        <rFont val="WenQuanYi Zen Hei"/>
        <family val="2"/>
      </rPr>
      <t xml:space="preserve">그래도 매번 어떻게든 해결하는 팀이라는 신뢰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그러나 각자의 과거는 여전히 미해결이고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옛 로펌 이름이 도착한다</t>
    </r>
    <r>
      <rPr>
        <sz val="10"/>
        <rFont val="Arial"/>
        <family val="0"/>
        <charset val="1"/>
      </rPr>
      <t xml:space="preserve">.</t>
    </r>
  </si>
  <si>
    <t xml:space="preserve">핵심 갈등</t>
  </si>
  <si>
    <r>
      <rPr>
        <sz val="10"/>
        <rFont val="WenQuanYi Zen Hei"/>
        <family val="2"/>
      </rPr>
      <t xml:space="preserve">전문가의 말투 </t>
    </r>
    <r>
      <rPr>
        <sz val="10"/>
        <rFont val="Noto Sans CJK SC"/>
        <family val="2"/>
        <charset val="1"/>
      </rPr>
      <t xml:space="preserve">vs </t>
    </r>
    <r>
      <rPr>
        <sz val="10"/>
        <rFont val="WenQuanYi Zen Hei"/>
        <family val="2"/>
      </rPr>
      <t xml:space="preserve">이웃의 삶 </t>
    </r>
    <r>
      <rPr>
        <sz val="10"/>
        <rFont val="Noto Sans CJK SC"/>
        <family val="2"/>
        <charset val="1"/>
      </rPr>
      <t xml:space="preserve">/ </t>
    </r>
    <r>
      <rPr>
        <sz val="10"/>
        <rFont val="WenQuanYi Zen Hei"/>
        <family val="2"/>
      </rPr>
      <t xml:space="preserve">여전히 못 정한 방법 </t>
    </r>
    <r>
      <rPr>
        <sz val="10"/>
        <rFont val="Noto Sans CJK SC"/>
        <family val="2"/>
        <charset val="1"/>
      </rPr>
      <t xml:space="preserve">/ </t>
    </r>
    <r>
      <rPr>
        <sz val="10"/>
        <rFont val="WenQuanYi Zen Hei"/>
        <family val="2"/>
      </rPr>
      <t xml:space="preserve">각자 숨기는 과거</t>
    </r>
  </si>
  <si>
    <r>
      <rPr>
        <b val="true"/>
        <sz val="10"/>
        <rFont val="WenQuanYi Zen Hei"/>
        <family val="2"/>
      </rPr>
      <t xml:space="preserve">비트 </t>
    </r>
    <r>
      <rPr>
        <b val="true"/>
        <sz val="10"/>
        <rFont val="Noto Sans CJK SC"/>
        <family val="2"/>
        <charset val="1"/>
      </rPr>
      <t xml:space="preserve">1</t>
    </r>
  </si>
  <si>
    <r>
      <rPr>
        <sz val="10"/>
        <rFont val="WenQuanYi Zen Hei"/>
        <family val="2"/>
      </rPr>
      <t xml:space="preserve">사건</t>
    </r>
    <r>
      <rPr>
        <sz val="10"/>
        <rFont val="Noto Sans CJK SC"/>
        <family val="2"/>
        <charset val="1"/>
      </rPr>
      <t xml:space="preserve">1 </t>
    </r>
    <r>
      <rPr>
        <sz val="10"/>
        <rFont val="WenQuanYi Zen Hei"/>
        <family val="2"/>
      </rPr>
      <t xml:space="preserve">임대료 인상</t>
    </r>
    <r>
      <rPr>
        <sz val="10"/>
        <rFont val="Noto Sans CJK SC"/>
        <family val="2"/>
        <charset val="1"/>
      </rPr>
      <t xml:space="preserve">, 1~2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(Fatima): </t>
    </r>
    <r>
      <rPr>
        <sz val="10"/>
        <rFont val="WenQuanYi Zen Hei"/>
        <family val="2"/>
      </rPr>
      <t xml:space="preserve">도입에서 여전히 자리 못 잡은 한 달 차 팀의 말다툼을 보여 주고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해결에서 </t>
    </r>
    <r>
      <rPr>
        <sz val="10"/>
        <rFont val="Noto Sans CJK SC"/>
        <family val="2"/>
        <charset val="1"/>
      </rPr>
      <t xml:space="preserve">Gramsci</t>
    </r>
    <r>
      <rPr>
        <sz val="10"/>
        <rFont val="WenQuanYi Zen Hei"/>
        <family val="2"/>
      </rPr>
      <t xml:space="preserve">의 카드 </t>
    </r>
    <r>
      <rPr>
        <sz val="10"/>
        <rFont val="Noto Sans CJK SC"/>
        <family val="2"/>
        <charset val="1"/>
      </rPr>
      <t xml:space="preserve">#1(legge 431/1998)</t>
    </r>
    <r>
      <rPr>
        <sz val="10"/>
        <rFont val="WenQuanYi Zen Hei"/>
        <family val="2"/>
      </rPr>
      <t xml:space="preserve">로 부당 인상을 막는다</t>
    </r>
    <r>
      <rPr>
        <sz val="10"/>
        <rFont val="Noto Sans CJK SC"/>
        <family val="2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</si>
  <si>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비트 </t>
    </r>
    <r>
      <rPr>
        <b val="true"/>
        <sz val="10"/>
        <rFont val="Noto Sans CJK SC"/>
        <family val="2"/>
        <charset val="1"/>
      </rPr>
      <t xml:space="preserve">2</t>
    </r>
  </si>
  <si>
    <r>
      <rPr>
        <sz val="10"/>
        <rFont val="WenQuanYi Zen Hei"/>
        <family val="2"/>
      </rPr>
      <t xml:space="preserve">사건</t>
    </r>
    <r>
      <rPr>
        <sz val="10"/>
        <rFont val="Noto Sans CJK SC"/>
        <family val="2"/>
        <charset val="1"/>
      </rPr>
      <t xml:space="preserve">2 </t>
    </r>
    <r>
      <rPr>
        <sz val="10"/>
        <rFont val="WenQuanYi Zen Hei"/>
        <family val="2"/>
      </rPr>
      <t xml:space="preserve">퇴거 집행</t>
    </r>
    <r>
      <rPr>
        <sz val="10"/>
        <rFont val="Noto Sans CJK SC"/>
        <family val="2"/>
        <charset val="1"/>
      </rPr>
      <t xml:space="preserve">, 3~4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밤 여덟 시 급보 → 아침 집행 연기</t>
    </r>
    <r>
      <rPr>
        <sz val="10"/>
        <rFont val="Noto Sans CJK SC"/>
        <family val="2"/>
        <charset val="1"/>
      </rPr>
      <t xml:space="preserve">. Garibaldi·Paolo </t>
    </r>
    <r>
      <rPr>
        <sz val="10"/>
        <rFont val="WenQuanYi Zen Hei"/>
        <family val="2"/>
      </rPr>
      <t xml:space="preserve">첫 카메오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넷의 역할 분담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서류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건강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숫자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동선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이 처음으로 손발이 맞는다</t>
    </r>
    <r>
      <rPr>
        <sz val="10"/>
        <rFont val="Noto Sans CJK SC"/>
        <family val="2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</si>
  <si>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비트 </t>
    </r>
    <r>
      <rPr>
        <b val="true"/>
        <sz val="10"/>
        <rFont val="Noto Sans CJK SC"/>
        <family val="2"/>
        <charset val="1"/>
      </rPr>
      <t xml:space="preserve">3</t>
    </r>
  </si>
  <si>
    <r>
      <rPr>
        <sz val="10"/>
        <rFont val="WenQuanYi Zen Hei"/>
        <family val="2"/>
      </rPr>
      <t xml:space="preserve">사건</t>
    </r>
    <r>
      <rPr>
        <sz val="10"/>
        <rFont val="Noto Sans CJK SC"/>
        <family val="2"/>
        <charset val="1"/>
      </rPr>
      <t xml:space="preserve">3 </t>
    </r>
    <r>
      <rPr>
        <sz val="10"/>
        <rFont val="WenQuanYi Zen Hei"/>
        <family val="2"/>
      </rPr>
      <t xml:space="preserve">임금 체불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위장 인턴</t>
    </r>
    <r>
      <rPr>
        <sz val="10"/>
        <rFont val="Noto Sans CJK SC"/>
        <family val="2"/>
        <charset val="1"/>
      </rPr>
      <t xml:space="preserve">, 5~6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: Chiara</t>
    </r>
    <r>
      <rPr>
        <sz val="10"/>
        <rFont val="WenQuanYi Zen Hei"/>
        <family val="2"/>
      </rPr>
      <t xml:space="preserve">의 컨설팅 용어가 청년 노동자를 지치게 하고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협상 중 </t>
    </r>
    <r>
      <rPr>
        <sz val="10"/>
        <rFont val="Noto Sans CJK SC"/>
        <family val="2"/>
        <charset val="1"/>
      </rPr>
      <t xml:space="preserve">Sofia</t>
    </r>
    <r>
      <rPr>
        <sz val="10"/>
        <rFont val="WenQuanYi Zen Hei"/>
        <family val="2"/>
      </rPr>
      <t xml:space="preserve">가 </t>
    </r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차 폭발한다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폭발 후 쉬운 말로 다시 협상해 해결</t>
    </r>
    <r>
      <rPr>
        <sz val="10"/>
        <rFont val="Noto Sans CJK SC"/>
        <family val="2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</si>
  <si>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비트 </t>
    </r>
    <r>
      <rPr>
        <b val="true"/>
        <sz val="10"/>
        <rFont val="Noto Sans CJK SC"/>
        <family val="2"/>
        <charset val="1"/>
      </rPr>
      <t xml:space="preserve">4</t>
    </r>
  </si>
  <si>
    <r>
      <rPr>
        <sz val="10"/>
        <rFont val="WenQuanYi Zen Hei"/>
        <family val="2"/>
      </rPr>
      <t xml:space="preserve">사건</t>
    </r>
    <r>
      <rPr>
        <sz val="10"/>
        <rFont val="Noto Sans CJK SC"/>
        <family val="2"/>
        <charset val="1"/>
      </rPr>
      <t xml:space="preserve">4 </t>
    </r>
    <r>
      <rPr>
        <sz val="10"/>
        <rFont val="WenQuanYi Zen Hei"/>
        <family val="2"/>
      </rPr>
      <t xml:space="preserve">의료 접근</t>
    </r>
    <r>
      <rPr>
        <sz val="10"/>
        <rFont val="Noto Sans CJK SC"/>
        <family val="2"/>
        <charset val="1"/>
      </rPr>
      <t xml:space="preserve">, 7~8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체류 서류 없는 가족의 아이가 진료를 못 받는다</t>
    </r>
    <r>
      <rPr>
        <sz val="10"/>
        <rFont val="Noto Sans CJK SC"/>
        <family val="2"/>
        <charset val="1"/>
      </rPr>
      <t xml:space="preserve">. Montessori·Dante </t>
    </r>
    <r>
      <rPr>
        <sz val="10"/>
        <rFont val="WenQuanYi Zen Hei"/>
        <family val="2"/>
      </rPr>
      <t xml:space="preserve">카메오</t>
    </r>
    <r>
      <rPr>
        <sz val="10"/>
        <rFont val="Noto Sans CJK SC"/>
        <family val="2"/>
        <charset val="1"/>
      </rPr>
      <t xml:space="preserve">, Cesare</t>
    </r>
    <r>
      <rPr>
        <sz val="10"/>
        <rFont val="WenQuanYi Zen Hei"/>
        <family val="2"/>
      </rPr>
      <t xml:space="preserve">의 가짜 무릎이 진짜 아픈 아이 앞에서 조용해지는 대비</t>
    </r>
    <r>
      <rPr>
        <sz val="10"/>
        <rFont val="Noto Sans CJK SC"/>
        <family val="2"/>
        <charset val="1"/>
      </rPr>
      <t xml:space="preserve">. STP </t>
    </r>
    <r>
      <rPr>
        <sz val="10"/>
        <rFont val="WenQuanYi Zen Hei"/>
        <family val="2"/>
      </rPr>
      <t xml:space="preserve">코드로 해결</t>
    </r>
    <r>
      <rPr>
        <sz val="10"/>
        <rFont val="Noto Sans CJK SC"/>
        <family val="2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</si>
  <si>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비트 </t>
    </r>
    <r>
      <rPr>
        <b val="true"/>
        <sz val="10"/>
        <rFont val="Noto Sans CJK SC"/>
        <family val="2"/>
        <charset val="1"/>
      </rPr>
      <t xml:space="preserve">5</t>
    </r>
  </si>
  <si>
    <r>
      <rPr>
        <sz val="10"/>
        <rFont val="WenQuanYi Zen Hei"/>
        <family val="2"/>
      </rPr>
      <t xml:space="preserve">사건</t>
    </r>
    <r>
      <rPr>
        <sz val="10"/>
        <rFont val="Noto Sans CJK SC"/>
        <family val="2"/>
        <charset val="1"/>
      </rPr>
      <t xml:space="preserve">5 </t>
    </r>
    <r>
      <rPr>
        <sz val="10"/>
        <rFont val="WenQuanYi Zen Hei"/>
        <family val="2"/>
      </rPr>
      <t xml:space="preserve">금융 사기</t>
    </r>
    <r>
      <rPr>
        <sz val="10"/>
        <rFont val="Noto Sans CJK SC"/>
        <family val="2"/>
        <charset val="1"/>
      </rPr>
      <t xml:space="preserve">, 9~10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저축을 잃은 이웃을 두고 </t>
    </r>
    <r>
      <rPr>
        <sz val="10"/>
        <rFont val="Noto Sans CJK SC"/>
        <family val="2"/>
        <charset val="1"/>
      </rPr>
      <t xml:space="preserve">Alessandro</t>
    </r>
    <r>
      <rPr>
        <sz val="10"/>
        <rFont val="WenQuanYi Zen Hei"/>
        <family val="2"/>
      </rPr>
      <t xml:space="preserve">가 장부를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낯선 </t>
    </r>
    <r>
      <rPr>
        <sz val="10"/>
        <rFont val="Noto Sans CJK SC"/>
        <family val="2"/>
        <charset val="1"/>
      </rPr>
      <t xml:space="preserve">Francesco</t>
    </r>
    <r>
      <rPr>
        <sz val="10"/>
        <rFont val="WenQuanYi Zen Hei"/>
        <family val="2"/>
      </rPr>
      <t xml:space="preserve">가 계좌 흐름을 추적한다</t>
    </r>
    <r>
      <rPr>
        <sz val="10"/>
        <rFont val="Noto Sans CJK SC"/>
        <family val="2"/>
        <charset val="1"/>
      </rPr>
      <t xml:space="preserve">. Galileo </t>
    </r>
    <r>
      <rPr>
        <sz val="10"/>
        <rFont val="WenQuanYi Zen Hei"/>
        <family val="2"/>
      </rPr>
      <t xml:space="preserve">카메오</t>
    </r>
    <r>
      <rPr>
        <sz val="10"/>
        <rFont val="Noto Sans CJK SC"/>
        <family val="2"/>
        <charset val="1"/>
      </rPr>
      <t xml:space="preserve">. Francesco</t>
    </r>
    <r>
      <rPr>
        <sz val="10"/>
        <rFont val="WenQuanYi Zen Hei"/>
        <family val="2"/>
      </rPr>
      <t xml:space="preserve">는 설명 없이 사라지고 </t>
    </r>
    <r>
      <rPr>
        <sz val="10"/>
        <rFont val="Noto Sans CJK SC"/>
        <family val="2"/>
        <charset val="1"/>
      </rPr>
      <t xml:space="preserve">Alessandro</t>
    </r>
    <r>
      <rPr>
        <sz val="10"/>
        <rFont val="WenQuanYi Zen Hei"/>
        <family val="2"/>
      </rPr>
      <t xml:space="preserve">는 은행 이름에 말없이 굳는다</t>
    </r>
    <r>
      <rPr>
        <sz val="10"/>
        <rFont val="Noto Sans CJK SC"/>
        <family val="2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</si>
  <si>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비트 </t>
    </r>
    <r>
      <rPr>
        <b val="true"/>
        <sz val="10"/>
        <rFont val="Noto Sans CJK SC"/>
        <family val="2"/>
        <charset val="1"/>
      </rPr>
      <t xml:space="preserve">6</t>
    </r>
  </si>
  <si>
    <r>
      <rPr>
        <sz val="10"/>
        <rFont val="WenQuanYi Zen Hei"/>
        <family val="2"/>
      </rPr>
      <t xml:space="preserve">사건</t>
    </r>
    <r>
      <rPr>
        <sz val="10"/>
        <rFont val="Noto Sans CJK SC"/>
        <family val="2"/>
        <charset val="1"/>
      </rPr>
      <t xml:space="preserve">6 </t>
    </r>
    <r>
      <rPr>
        <sz val="10"/>
        <rFont val="WenQuanYi Zen Hei"/>
        <family val="2"/>
      </rPr>
      <t xml:space="preserve">오래된 서류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훅</t>
    </r>
    <r>
      <rPr>
        <sz val="10"/>
        <rFont val="Noto Sans CJK SC"/>
        <family val="2"/>
        <charset val="1"/>
      </rPr>
      <t xml:space="preserve">, 11~12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수십 년 전 퇴거 서류의 절차 오류를 바로잡다가 서명란에서 </t>
    </r>
    <r>
      <rPr>
        <sz val="10"/>
        <rFont val="Noto Sans CJK SC"/>
        <family val="2"/>
        <charset val="1"/>
      </rPr>
      <t xml:space="preserve">Marco</t>
    </r>
    <r>
      <rPr>
        <sz val="10"/>
        <rFont val="WenQuanYi Zen Hei"/>
        <family val="2"/>
      </rPr>
      <t xml:space="preserve">의 옛 로펌 이름을 발견한다</t>
    </r>
    <r>
      <rPr>
        <sz val="10"/>
        <rFont val="Noto Sans CJK SC"/>
        <family val="2"/>
        <charset val="1"/>
      </rPr>
      <t xml:space="preserve">. Marco</t>
    </r>
    <r>
      <rPr>
        <sz val="10"/>
        <rFont val="WenQuanYi Zen Hei"/>
        <family val="2"/>
      </rPr>
      <t xml:space="preserve">가 얼어붙고 금요일 이야기</t>
    </r>
    <r>
      <rPr>
        <sz val="10"/>
        <rFont val="Noto Sans CJK SC"/>
        <family val="2"/>
        <charset val="1"/>
      </rPr>
      <t xml:space="preserve">(2</t>
    </r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가 예고된다</t>
    </r>
    <r>
      <rPr>
        <sz val="10"/>
        <rFont val="Noto Sans CJK SC"/>
        <family val="2"/>
        <charset val="1"/>
      </rPr>
      <t xml:space="preserve">.</t>
    </r>
  </si>
  <si>
    <t xml:space="preserve">인물 아크</t>
  </si>
  <si>
    <r>
      <rPr>
        <sz val="10"/>
        <rFont val="Arial"/>
        <family val="0"/>
        <charset val="1"/>
      </rPr>
      <t xml:space="preserve">Sofia=</t>
    </r>
    <r>
      <rPr>
        <sz val="10"/>
        <rFont val="WenQuanYi Zen Hei"/>
        <family val="2"/>
      </rPr>
      <t xml:space="preserve">독자의 대리인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질문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한 달이 지나도 </t>
    </r>
    <r>
      <rPr>
        <sz val="10"/>
        <rFont val="Arial"/>
        <family val="0"/>
        <charset val="1"/>
      </rPr>
      <t xml:space="preserve">Marco</t>
    </r>
    <r>
      <rPr>
        <sz val="10"/>
        <rFont val="WenQuanYi Zen Hei"/>
        <family val="2"/>
      </rPr>
      <t xml:space="preserve">에게 </t>
    </r>
    <r>
      <rPr>
        <sz val="10"/>
        <rFont val="Arial"/>
        <family val="0"/>
        <charset val="1"/>
      </rPr>
      <t xml:space="preserve">Lei </t>
    </r>
    <r>
      <rPr>
        <sz val="10"/>
        <rFont val="WenQuanYi Zen Hei"/>
        <family val="2"/>
      </rPr>
      <t xml:space="preserve">유지</t>
    </r>
    <r>
      <rPr>
        <sz val="10"/>
        <rFont val="Arial"/>
        <family val="0"/>
        <charset val="1"/>
      </rPr>
      <t xml:space="preserve">. Cesare=</t>
    </r>
    <r>
      <rPr>
        <sz val="10"/>
        <rFont val="WenQuanYi Zen Hei"/>
        <family val="2"/>
      </rPr>
      <t xml:space="preserve">심술과 복선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매년 하는 소리라는 게 드러남</t>
    </r>
    <r>
      <rPr>
        <sz val="10"/>
        <rFont val="Arial"/>
        <family val="0"/>
        <charset val="1"/>
      </rPr>
      <t xml:space="preserve">). Rosa=</t>
    </r>
    <r>
      <rPr>
        <sz val="10"/>
        <rFont val="WenQuanYi Zen Hei"/>
        <family val="2"/>
      </rPr>
      <t xml:space="preserve">정서적 중심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카메오는 사건별로 분산</t>
    </r>
    <r>
      <rPr>
        <sz val="10"/>
        <rFont val="Arial"/>
        <family val="0"/>
        <charset val="1"/>
      </rPr>
      <t xml:space="preserve">: Gramsci(1·2·6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), Machiavelli(1·5·12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), Garibaldi·Paolo(3·4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), Montessori·Dante(7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), Francesco·Galileo(9·10·11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폭발 화</t>
    </r>
    <r>
      <rPr>
        <sz val="10"/>
        <rFont val="Arial"/>
        <family val="0"/>
        <charset val="1"/>
      </rPr>
      <t xml:space="preserve">(6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에는 </t>
    </r>
    <r>
      <rPr>
        <sz val="10"/>
        <rFont val="Arial"/>
        <family val="0"/>
        <charset val="1"/>
      </rPr>
      <t xml:space="preserve">Garibaldi·Rosa·Gramsci</t>
    </r>
    <r>
      <rPr>
        <sz val="10"/>
        <rFont val="WenQuanYi Zen Hei"/>
        <family val="2"/>
      </rPr>
      <t xml:space="preserve">의 고정 반응만 남기고 </t>
    </r>
    <r>
      <rPr>
        <sz val="10"/>
        <rFont val="Arial"/>
        <family val="0"/>
        <charset val="1"/>
      </rPr>
      <t xml:space="preserve">Paolo</t>
    </r>
    <r>
      <rPr>
        <sz val="10"/>
        <rFont val="WenQuanYi Zen Hei"/>
        <family val="2"/>
      </rPr>
      <t xml:space="preserve">의 욕은 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차 폭발로 이관해 과밀을 해소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</si>
  <si>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복선</t>
    </r>
    <r>
      <rPr>
        <b val="true"/>
        <sz val="10"/>
        <rFont val="Noto Sans CJK SC"/>
        <family val="2"/>
        <charset val="1"/>
      </rPr>
      <t xml:space="preserve">·</t>
    </r>
    <r>
      <rPr>
        <b val="true"/>
        <sz val="10"/>
        <rFont val="WenQuanYi Zen Hei"/>
        <family val="2"/>
      </rPr>
      <t xml:space="preserve">회수</t>
    </r>
  </si>
  <si>
    <r>
      <rPr>
        <sz val="10"/>
        <rFont val="Arial"/>
        <family val="0"/>
        <charset val="1"/>
      </rPr>
      <t xml:space="preserve">Cesare</t>
    </r>
    <r>
      <rPr>
        <sz val="10"/>
        <rFont val="WenQuanYi Zen Hei"/>
        <family val="2"/>
      </rPr>
      <t xml:space="preserve">의 마지막 겨울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우산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화 → 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13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) / Gramsci </t>
    </r>
    <r>
      <rPr>
        <sz val="10"/>
        <rFont val="WenQuanYi Zen Hei"/>
        <family val="2"/>
      </rPr>
      <t xml:space="preserve">카드 </t>
    </r>
    <r>
      <rPr>
        <sz val="10"/>
        <rFont val="Arial"/>
        <family val="0"/>
        <charset val="1"/>
      </rPr>
      <t xml:space="preserve">#1(2</t>
    </r>
    <r>
      <rPr>
        <sz val="10"/>
        <rFont val="WenQuanYi Zen Hei"/>
        <family val="2"/>
      </rPr>
      <t xml:space="preserve">화 → </t>
    </r>
    <r>
      <rPr>
        <sz val="10"/>
        <rFont val="Arial"/>
        <family val="0"/>
        <charset val="1"/>
      </rPr>
      <t xml:space="preserve">13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) / Sofia 1</t>
    </r>
    <r>
      <rPr>
        <sz val="10"/>
        <rFont val="WenQuanYi Zen Hei"/>
        <family val="2"/>
      </rPr>
      <t xml:space="preserve">차 폭발</t>
    </r>
    <r>
      <rPr>
        <sz val="10"/>
        <rFont val="Arial"/>
        <family val="0"/>
        <charset val="1"/>
      </rPr>
      <t xml:space="preserve">(6</t>
    </r>
    <r>
      <rPr>
        <sz val="10"/>
        <rFont val="WenQuanYi Zen Hei"/>
        <family val="2"/>
      </rPr>
      <t xml:space="preserve">화 → 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) / Garibaldi «Nulla da segnalare»(4</t>
    </r>
    <r>
      <rPr>
        <sz val="10"/>
        <rFont val="WenQuanYi Zen Hei"/>
        <family val="2"/>
      </rPr>
      <t xml:space="preserve">화 →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) / Francesco </t>
    </r>
    <r>
      <rPr>
        <sz val="10"/>
        <rFont val="WenQuanYi Zen Hei"/>
        <family val="2"/>
      </rPr>
      <t xml:space="preserve">첫 등장</t>
    </r>
    <r>
      <rPr>
        <sz val="10"/>
        <rFont val="Arial"/>
        <family val="0"/>
        <charset val="1"/>
      </rPr>
      <t xml:space="preserve">(9</t>
    </r>
    <r>
      <rPr>
        <sz val="10"/>
        <rFont val="WenQuanYi Zen Hei"/>
        <family val="2"/>
      </rPr>
      <t xml:space="preserve">화 → 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) / Cesare</t>
    </r>
    <r>
      <rPr>
        <sz val="10"/>
        <rFont val="WenQuanYi Zen Hei"/>
        <family val="2"/>
      </rPr>
      <t xml:space="preserve">의 </t>
    </r>
    <r>
      <rPr>
        <sz val="10"/>
        <rFont val="Arial"/>
        <family val="0"/>
        <charset val="1"/>
      </rPr>
      <t xml:space="preserve">«Niente male»(7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Dante</t>
    </r>
    <r>
      <rPr>
        <sz val="10"/>
        <rFont val="WenQuanYi Zen Hei"/>
        <family val="2"/>
      </rPr>
      <t xml:space="preserve">에게 → 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Sofia</t>
    </r>
    <r>
      <rPr>
        <sz val="10"/>
        <rFont val="WenQuanYi Zen Hei"/>
        <family val="2"/>
      </rPr>
      <t xml:space="preserve">에게</t>
    </r>
    <r>
      <rPr>
        <sz val="10"/>
        <rFont val="Arial"/>
        <family val="0"/>
        <charset val="1"/>
      </rPr>
      <t xml:space="preserve">) / </t>
    </r>
    <r>
      <rPr>
        <sz val="10"/>
        <rFont val="WenQuanYi Zen Hei"/>
        <family val="2"/>
      </rPr>
      <t xml:space="preserve">옛 로펌 이름</t>
    </r>
    <r>
      <rPr>
        <sz val="10"/>
        <rFont val="Arial"/>
        <family val="0"/>
        <charset val="1"/>
      </rPr>
      <t xml:space="preserve">(12</t>
    </r>
    <r>
      <rPr>
        <sz val="10"/>
        <rFont val="WenQuanYi Zen Hei"/>
        <family val="2"/>
      </rPr>
      <t xml:space="preserve">화 →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부 전체</t>
    </r>
    <r>
      <rPr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</si>
  <si>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현안 </t>
    </r>
    <r>
      <rPr>
        <b val="true"/>
        <sz val="10"/>
        <rFont val="Noto Sans CJK SC"/>
        <family val="2"/>
        <charset val="1"/>
      </rPr>
      <t xml:space="preserve">(ID)</t>
    </r>
  </si>
  <si>
    <t xml:space="preserve">E1●● S1●● S2● E3●</t>
  </si>
  <si>
    <r>
      <rPr>
        <b val="true"/>
        <sz val="10"/>
        <rFont val="WenQuanYi Zen Hei"/>
        <family val="2"/>
      </rPr>
      <t xml:space="preserve">제도</t>
    </r>
    <r>
      <rPr>
        <b val="true"/>
        <sz val="10"/>
        <rFont val="Noto Sans CJK SC"/>
        <family val="2"/>
        <charset val="1"/>
      </rPr>
      <t xml:space="preserve">·</t>
    </r>
    <r>
      <rPr>
        <b val="true"/>
        <sz val="10"/>
        <rFont val="WenQuanYi Zen Hei"/>
        <family val="2"/>
      </rPr>
      <t xml:space="preserve">전문 영역</t>
    </r>
  </si>
  <si>
    <r>
      <rPr>
        <sz val="10"/>
        <rFont val="WenQuanYi Zen Hei"/>
        <family val="2"/>
      </rPr>
      <t xml:space="preserve">주거 임대차</t>
    </r>
    <r>
      <rPr>
        <sz val="10"/>
        <rFont val="Noto Sans CJK SC"/>
        <family val="2"/>
        <charset val="1"/>
      </rPr>
      <t xml:space="preserve">(legge 431/1998), </t>
    </r>
    <r>
      <rPr>
        <sz val="10"/>
        <rFont val="WenQuanYi Zen Hei"/>
        <family val="2"/>
      </rPr>
      <t xml:space="preserve">퇴거 집행과 집행 연기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비귀책 체납 기금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위장 인턴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임금 체불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서류 없는 외국인의 의료 접근</t>
    </r>
    <r>
      <rPr>
        <sz val="10"/>
        <rFont val="Noto Sans CJK SC"/>
        <family val="2"/>
        <charset val="1"/>
      </rPr>
      <t xml:space="preserve">(STP </t>
    </r>
    <r>
      <rPr>
        <sz val="10"/>
        <rFont val="WenQuanYi Zen Hei"/>
        <family val="2"/>
      </rPr>
      <t xml:space="preserve">코드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금융 사기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계좌 추적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오래된 절차 정정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공개 출처 찾기</t>
    </r>
    <r>
      <rPr>
        <sz val="10"/>
        <rFont val="Noto Sans CJK SC"/>
        <family val="2"/>
        <charset val="1"/>
      </rPr>
      <t xml:space="preserve">(Normattiva·Gazzetta Ufficiale·Treccani)</t>
    </r>
  </si>
  <si>
    <t xml:space="preserve">언어 설계</t>
  </si>
  <si>
    <r>
      <rPr>
        <sz val="10"/>
        <rFont val="Arial"/>
        <family val="0"/>
        <charset val="1"/>
      </rPr>
      <t xml:space="preserve">B1. </t>
    </r>
    <r>
      <rPr>
        <sz val="10"/>
        <rFont val="WenQuanYi Zen Hei"/>
        <family val="2"/>
      </rPr>
      <t xml:space="preserve">한 줄 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단어 이내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현재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명령형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근과거</t>
    </r>
    <r>
      <rPr>
        <sz val="10"/>
        <rFont val="Arial"/>
        <family val="0"/>
        <charset val="1"/>
      </rPr>
      <t xml:space="preserve">(passato prossimo). tu·voi </t>
    </r>
    <r>
      <rPr>
        <sz val="10"/>
        <rFont val="WenQuanYi Zen Hei"/>
        <family val="2"/>
      </rPr>
      <t xml:space="preserve">중심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낭독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빠른 티키타카로 입 풀기</t>
    </r>
    <r>
      <rPr>
        <sz val="10"/>
        <rFont val="Arial"/>
        <family val="0"/>
        <charset val="1"/>
      </rPr>
      <t xml:space="preserve">. Marco·Cesare</t>
    </r>
    <r>
      <rPr>
        <sz val="10"/>
        <rFont val="WenQuanYi Zen Hei"/>
        <family val="2"/>
      </rPr>
      <t xml:space="preserve">의 격식체는 한두 줄 맛보기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매 사건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도입→해결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리듬을 반복해 구조를 익히게 한다</t>
    </r>
    <r>
      <rPr>
        <sz val="10"/>
        <rFont val="Arial"/>
        <family val="0"/>
        <charset val="1"/>
      </rPr>
      <t xml:space="preserve">. Rosa</t>
    </r>
    <r>
      <rPr>
        <sz val="10"/>
        <rFont val="WenQuanYi Zen Hei"/>
        <family val="2"/>
      </rPr>
      <t xml:space="preserve">의 로마 사투리</t>
    </r>
    <r>
      <rPr>
        <sz val="10"/>
        <rFont val="Arial"/>
        <family val="0"/>
        <charset val="1"/>
      </rPr>
      <t xml:space="preserve">(romanesco)</t>
    </r>
    <r>
      <rPr>
        <sz val="10"/>
        <rFont val="WenQuanYi Zen Hei"/>
        <family val="2"/>
      </rPr>
      <t xml:space="preserve">는 한 화에 한두 마디만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</si>
  <si>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대화량 </t>
    </r>
    <r>
      <rPr>
        <b val="true"/>
        <sz val="10"/>
        <rFont val="Noto Sans CJK SC"/>
        <family val="2"/>
        <charset val="1"/>
      </rPr>
      <t xml:space="preserve">(</t>
    </r>
    <r>
      <rPr>
        <b val="true"/>
        <sz val="10"/>
        <rFont val="WenQuanYi Zen Hei"/>
        <family val="2"/>
      </rPr>
      <t xml:space="preserve">화당 </t>
    </r>
    <r>
      <rPr>
        <b val="true"/>
        <sz val="10"/>
        <rFont val="Noto Sans CJK SC"/>
        <family val="2"/>
        <charset val="1"/>
      </rPr>
      <t xml:space="preserve">120</t>
    </r>
    <r>
      <rPr>
        <b val="true"/>
        <sz val="10"/>
        <rFont val="WenQuanYi Zen Hei"/>
        <family val="2"/>
      </rPr>
      <t xml:space="preserve">턴</t>
    </r>
    <r>
      <rPr>
        <b val="true"/>
        <sz val="10"/>
        <rFont val="Noto Sans CJK SC"/>
        <family val="2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</si>
  <si>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Sofia </t>
    </r>
    <r>
      <rPr>
        <b val="true"/>
        <sz val="10"/>
        <rFont val="WenQuanYi Zen Hei"/>
        <family val="2"/>
      </rPr>
      <t xml:space="preserve">질문</t>
    </r>
    <r>
      <rPr>
        <b val="true"/>
        <sz val="10"/>
        <rFont val="Arial"/>
        <family val="0"/>
        <charset val="1"/>
      </rPr>
      <t xml:space="preserve">·Gramsci </t>
    </r>
    <r>
      <rPr>
        <b val="true"/>
        <sz val="10"/>
        <rFont val="WenQuanYi Zen Hei"/>
        <family val="2"/>
      </rPr>
      <t xml:space="preserve">카드</t>
    </r>
  </si>
  <si>
    <r>
      <rPr>
        <sz val="10"/>
        <rFont val="Arial"/>
        <family val="0"/>
        <charset val="1"/>
      </rPr>
      <t xml:space="preserve">Sofia: </t>
    </r>
    <r>
      <rPr>
        <sz val="10"/>
        <rFont val="WenQuanYi Zen Hei"/>
        <family val="2"/>
      </rPr>
      <t xml:space="preserve">임대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노동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의료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금융 기초 용어</t>
    </r>
    <r>
      <rPr>
        <sz val="10"/>
        <rFont val="Arial"/>
        <family val="0"/>
        <charset val="1"/>
      </rPr>
      <t xml:space="preserve">(deposito cauzionale, contratto a termine, tirocinio, codice STP, conto corrente). </t>
    </r>
    <r>
      <rPr>
        <sz val="10"/>
        <rFont val="WenQuanYi Zen Hei"/>
        <family val="2"/>
      </rPr>
      <t xml:space="preserve">카드</t>
    </r>
    <r>
      <rPr>
        <sz val="10"/>
        <rFont val="Arial"/>
        <family val="0"/>
        <charset val="1"/>
      </rPr>
      <t xml:space="preserve">: legge 431/1998, </t>
    </r>
    <r>
      <rPr>
        <sz val="10"/>
        <rFont val="WenQuanYi Zen Hei"/>
        <family val="2"/>
      </rPr>
      <t xml:space="preserve">사전</t>
    </r>
    <r>
      <rPr>
        <sz val="10"/>
        <rFont val="Arial"/>
        <family val="0"/>
        <charset val="1"/>
      </rPr>
      <t xml:space="preserve">(Treccani·Accademia della Crusca).</t>
    </r>
  </si>
  <si>
    <t xml:space="preserve">다음 부 연결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</si>
  <si>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금요일마다 한 명씩 과거를 이야기하는 규칙 — 첫 번째는 </t>
    </r>
    <r>
      <rPr>
        <sz val="10"/>
        <rFont val="Arial"/>
        <family val="0"/>
        <charset val="1"/>
      </rPr>
      <t xml:space="preserve">Marco.</t>
    </r>
  </si>
  <si>
    <r>
      <rPr>
        <b val="true"/>
        <sz val="10"/>
        <color rgb="FFFFFFFF"/>
        <rFont val="Arial"/>
        <family val="0"/>
        <charset val="1"/>
      </rPr>
      <t xml:space="preserve">L'Avvocato — </t>
    </r>
    <r>
      <rPr>
        <b val="true"/>
        <sz val="10"/>
        <color rgb="FFFFFFFF"/>
        <rFont val="WenQuanYi Zen Hei"/>
        <family val="2"/>
      </rPr>
      <t xml:space="preserve">변호사   </t>
    </r>
    <r>
      <rPr>
        <b val="true"/>
        <sz val="10"/>
        <color rgb="FFFFFFFF"/>
        <rFont val="Arial"/>
        <family val="0"/>
        <charset val="1"/>
      </rPr>
      <t xml:space="preserve">|   </t>
    </r>
    <r>
      <rPr>
        <b val="true"/>
        <sz val="10"/>
        <color rgb="FFFFFFFF"/>
        <rFont val="WenQuanYi Zen Hei"/>
        <family val="2"/>
      </rPr>
      <t xml:space="preserve">난이도 </t>
    </r>
    <r>
      <rPr>
        <b val="true"/>
        <sz val="10"/>
        <color rgb="FFFFFFFF"/>
        <rFont val="Arial"/>
        <family val="0"/>
        <charset val="1"/>
      </rPr>
      <t xml:space="preserve">B2~C1   |   </t>
    </r>
    <r>
      <rPr>
        <b val="true"/>
        <sz val="10"/>
        <color rgb="FFFFFFFF"/>
        <rFont val="WenQuanYi Zen Hei"/>
        <family val="2"/>
      </rPr>
      <t xml:space="preserve">프레임</t>
    </r>
    <r>
      <rPr>
        <b val="true"/>
        <sz val="10"/>
        <color rgb="FFFFFFFF"/>
        <rFont val="Arial"/>
        <family val="0"/>
        <charset val="1"/>
      </rPr>
      <t xml:space="preserve">: 1</t>
    </r>
    <r>
      <rPr>
        <b val="true"/>
        <sz val="10"/>
        <color rgb="FFFFFFFF"/>
        <rFont val="WenQuanYi Zen Hei"/>
        <family val="2"/>
      </rPr>
      <t xml:space="preserve">부와 같은 첫 겨울의 금요일 밤</t>
    </r>
    <r>
      <rPr>
        <b val="true"/>
        <sz val="10"/>
        <color rgb="FFFFFFFF"/>
        <rFont val="Arial"/>
        <family val="0"/>
        <charset val="1"/>
      </rPr>
      <t xml:space="preserve">. </t>
    </r>
    <r>
      <rPr>
        <b val="true"/>
        <sz val="10"/>
        <color rgb="FFFFFFFF"/>
        <rFont val="WenQuanYi Zen Hei"/>
        <family val="2"/>
      </rPr>
      <t xml:space="preserve">과거</t>
    </r>
    <r>
      <rPr>
        <b val="true"/>
        <sz val="10"/>
        <color rgb="FFFFFFFF"/>
        <rFont val="Arial"/>
        <family val="0"/>
        <charset val="1"/>
      </rPr>
      <t xml:space="preserve">: </t>
    </r>
    <r>
      <rPr>
        <b val="true"/>
        <sz val="10"/>
        <color rgb="FFFFFFFF"/>
        <rFont val="WenQuanYi Zen Hei"/>
        <family val="2"/>
      </rPr>
      <t xml:space="preserve">약 </t>
    </r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년 전</t>
    </r>
    <r>
      <rPr>
        <b val="true"/>
        <sz val="10"/>
        <color rgb="FFFFFFFF"/>
        <rFont val="Arial"/>
        <family val="0"/>
        <charset val="1"/>
      </rPr>
      <t xml:space="preserve">, Prati(Piazza Cavour </t>
    </r>
    <r>
      <rPr>
        <b val="true"/>
        <sz val="10"/>
        <color rgb="FFFFFFFF"/>
        <rFont val="WenQuanYi Zen Hei"/>
        <family val="2"/>
      </rPr>
      <t xml:space="preserve">법원가</t>
    </r>
    <r>
      <rPr>
        <b val="true"/>
        <sz val="10"/>
        <color rgb="FFFFFFFF"/>
        <rFont val="Arial"/>
        <family val="0"/>
        <charset val="1"/>
      </rPr>
      <t xml:space="preserve">)</t>
    </r>
    <r>
      <rPr>
        <b val="true"/>
        <sz val="10"/>
        <color rgb="FFFFFFFF"/>
        <rFont val="WenQuanYi Zen Hei"/>
        <family val="2"/>
      </rPr>
      <t xml:space="preserve">의 대형 로펌</t>
    </r>
    <r>
      <rPr>
        <b val="true"/>
        <sz val="10"/>
        <color rgb="FFFFFFFF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</si>
  <si>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첫 과거 회상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공동 악역 </t>
    </r>
    <r>
      <rPr>
        <sz val="10"/>
        <rFont val="Noto Sans CJK SC"/>
        <family val="2"/>
        <charset val="1"/>
      </rPr>
      <t xml:space="preserve">Gruppo Meridiano</t>
    </r>
    <r>
      <rPr>
        <sz val="10"/>
        <rFont val="WenQuanYi Zen Hei"/>
        <family val="2"/>
      </rPr>
      <t xml:space="preserve">를 도입하고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법을 잘 쓰는 것과 옳은 것은 다르다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는 이 이야기의 첫 질문을 던진다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프레임</t>
    </r>
    <r>
      <rPr>
        <sz val="10"/>
        <rFont val="Noto Sans CJK SC"/>
        <family val="2"/>
        <charset val="1"/>
      </rPr>
      <t xml:space="preserve">(Rosa</t>
    </r>
    <r>
      <rPr>
        <sz val="10"/>
        <rFont val="WenQuanYi Zen Hei"/>
        <family val="2"/>
      </rPr>
      <t xml:space="preserve">의 식탁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과 과거를 오가는 구조 실험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</si>
  <si>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승소율 </t>
    </r>
    <r>
      <rPr>
        <sz val="10"/>
        <rFont val="Noto Sans CJK SC"/>
        <family val="2"/>
        <charset val="1"/>
      </rPr>
      <t xml:space="preserve">100%</t>
    </r>
    <r>
      <rPr>
        <sz val="10"/>
        <rFont val="WenQuanYi Zen Hei"/>
        <family val="2"/>
      </rPr>
      <t xml:space="preserve">의 파트너 후보가 대형 고객의 주택 포트폴리오를 비우는 갱신 거절 전략을 설계해 재판에서 이기고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그 승리가 한 노인의 죽음이 되었음을 알게 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</si>
  <si>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자랑스러운 승자 → 자기 승리에 사직서를 낸 사람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</si>
  <si>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잘 쓰는 법 </t>
    </r>
    <r>
      <rPr>
        <sz val="10"/>
        <rFont val="Noto Sans CJK SC"/>
        <family val="2"/>
        <charset val="1"/>
      </rPr>
      <t xml:space="preserve">vs </t>
    </r>
    <r>
      <rPr>
        <sz val="10"/>
        <rFont val="WenQuanYi Zen Hei"/>
        <family val="2"/>
      </rPr>
      <t xml:space="preserve">옳은 것 </t>
    </r>
    <r>
      <rPr>
        <sz val="10"/>
        <rFont val="Noto Sans CJK SC"/>
        <family val="2"/>
        <charset val="1"/>
      </rPr>
      <t xml:space="preserve">/ </t>
    </r>
    <r>
      <rPr>
        <sz val="10"/>
        <rFont val="WenQuanYi Zen Hei"/>
        <family val="2"/>
      </rPr>
      <t xml:space="preserve">파트너 승진 </t>
    </r>
    <r>
      <rPr>
        <sz val="10"/>
        <rFont val="Noto Sans CJK SC"/>
        <family val="2"/>
        <charset val="1"/>
      </rPr>
      <t xml:space="preserve">vs </t>
    </r>
    <r>
      <rPr>
        <sz val="10"/>
        <rFont val="WenQuanYi Zen Hei"/>
        <family val="2"/>
      </rPr>
      <t xml:space="preserve">양심</t>
    </r>
  </si>
  <si>
    <r>
      <rPr>
        <sz val="10"/>
        <rFont val="WenQuanYi Zen Hei"/>
        <family val="2"/>
      </rPr>
      <t xml:space="preserve">발단</t>
    </r>
    <r>
      <rPr>
        <sz val="10"/>
        <rFont val="Noto Sans CJK SC"/>
        <family val="2"/>
        <charset val="1"/>
      </rPr>
      <t xml:space="preserve">(1~3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금요일 프레임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프라티의 월요일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편의점의 </t>
    </r>
    <r>
      <rPr>
        <sz val="10"/>
        <rFont val="Noto Sans CJK SC"/>
        <family val="2"/>
        <charset val="1"/>
      </rPr>
      <t xml:space="preserve">Dante), VIP </t>
    </r>
    <r>
      <rPr>
        <sz val="10"/>
        <rFont val="WenQuanYi Zen Hei"/>
        <family val="2"/>
      </rPr>
      <t xml:space="preserve">고객 </t>
    </r>
    <r>
      <rPr>
        <sz val="10"/>
        <rFont val="Noto Sans CJK SC"/>
        <family val="2"/>
        <charset val="1"/>
      </rPr>
      <t xml:space="preserve">Santoro.</t>
    </r>
  </si>
  <si>
    <r>
      <rPr>
        <sz val="10"/>
        <rFont val="WenQuanYi Zen Hei"/>
        <family val="2"/>
      </rPr>
      <t xml:space="preserve">전개</t>
    </r>
    <r>
      <rPr>
        <sz val="10"/>
        <rFont val="Noto Sans CJK SC"/>
        <family val="2"/>
        <charset val="1"/>
      </rPr>
      <t xml:space="preserve">(4~5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실사에서 </t>
    </r>
    <r>
      <rPr>
        <sz val="10"/>
        <rFont val="Noto Sans CJK SC"/>
        <family val="2"/>
        <charset val="1"/>
      </rPr>
      <t xml:space="preserve">Testaccio </t>
    </r>
    <r>
      <rPr>
        <sz val="10"/>
        <rFont val="WenQuanYi Zen Hei"/>
        <family val="2"/>
      </rPr>
      <t xml:space="preserve">건물 발견 </t>
    </r>
    <r>
      <rPr>
        <sz val="10"/>
        <rFont val="Noto Sans CJK SC"/>
        <family val="2"/>
        <charset val="1"/>
      </rPr>
      <t xml:space="preserve">/ </t>
    </r>
    <r>
      <rPr>
        <sz val="10"/>
        <rFont val="WenQuanYi Zen Hei"/>
        <family val="2"/>
      </rPr>
      <t xml:space="preserve">프레임에서 그곳이 </t>
    </r>
    <r>
      <rPr>
        <sz val="10"/>
        <rFont val="Noto Sans CJK SC"/>
        <family val="2"/>
        <charset val="1"/>
      </rPr>
      <t xml:space="preserve">Rosa</t>
    </r>
    <r>
      <rPr>
        <sz val="10"/>
        <rFont val="WenQuanYi Zen Hei"/>
        <family val="2"/>
      </rPr>
      <t xml:space="preserve">의 거리였음이 드러남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</si>
  <si>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미드포인트</t>
    </r>
    <r>
      <rPr>
        <sz val="10"/>
        <rFont val="Noto Sans CJK SC"/>
        <family val="2"/>
        <charset val="1"/>
      </rPr>
      <t xml:space="preserve">(6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조항 설계 — </t>
    </r>
    <r>
      <rPr>
        <sz val="10"/>
        <rFont val="Noto Sans CJK SC"/>
        <family val="2"/>
        <charset val="1"/>
      </rPr>
      <t xml:space="preserve">Marco</t>
    </r>
    <r>
      <rPr>
        <sz val="10"/>
        <rFont val="WenQuanYi Zen Hei"/>
        <family val="2"/>
      </rPr>
      <t xml:space="preserve">가 스스로 함정을 만든다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</si>
  <si>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위기</t>
    </r>
    <r>
      <rPr>
        <sz val="10"/>
        <rFont val="Noto Sans CJK SC"/>
        <family val="2"/>
        <charset val="1"/>
      </rPr>
      <t xml:space="preserve">(7~9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세입자 총회</t>
    </r>
    <r>
      <rPr>
        <sz val="10"/>
        <rFont val="Noto Sans CJK SC"/>
        <family val="2"/>
        <charset val="1"/>
      </rPr>
      <t xml:space="preserve">(Assunta), </t>
    </r>
    <r>
      <rPr>
        <sz val="10"/>
        <rFont val="WenQuanYi Zen Hei"/>
        <family val="2"/>
      </rPr>
      <t xml:space="preserve">재판 승소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프레임에서 </t>
    </r>
    <r>
      <rPr>
        <sz val="10"/>
        <rFont val="Noto Sans CJK SC"/>
        <family val="2"/>
        <charset val="1"/>
      </rPr>
      <t xml:space="preserve">Marco</t>
    </r>
    <r>
      <rPr>
        <sz val="10"/>
        <rFont val="WenQuanYi Zen Hei"/>
        <family val="2"/>
      </rPr>
      <t xml:space="preserve">의 말이 막힘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</si>
  <si>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절정</t>
    </r>
    <r>
      <rPr>
        <sz val="10"/>
        <rFont val="Noto Sans CJK SC"/>
        <family val="2"/>
        <charset val="1"/>
      </rPr>
      <t xml:space="preserve">(10~11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파리올리 축하 만찬 중 부고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손녀 </t>
    </r>
    <r>
      <rPr>
        <sz val="10"/>
        <rFont val="Noto Sans CJK SC"/>
        <family val="2"/>
        <charset val="1"/>
      </rPr>
      <t xml:space="preserve">Marina</t>
    </r>
    <r>
      <rPr>
        <sz val="10"/>
        <rFont val="WenQuanYi Zen Hei"/>
        <family val="2"/>
      </rPr>
      <t xml:space="preserve">의 방문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</si>
  <si>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결말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훅</t>
    </r>
    <r>
      <rPr>
        <sz val="10"/>
        <rFont val="Noto Sans CJK SC"/>
        <family val="2"/>
        <charset val="1"/>
      </rPr>
      <t xml:space="preserve">(12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사직과 응급실 — </t>
    </r>
    <r>
      <rPr>
        <sz val="10"/>
        <rFont val="Noto Sans CJK SC"/>
        <family val="2"/>
        <charset val="1"/>
      </rPr>
      <t xml:space="preserve">Giulia</t>
    </r>
    <r>
      <rPr>
        <sz val="10"/>
        <rFont val="WenQuanYi Zen Hei"/>
        <family val="2"/>
      </rPr>
      <t xml:space="preserve">가 </t>
    </r>
    <r>
      <rPr>
        <sz val="10"/>
        <rFont val="Noto Sans CJK SC"/>
        <family val="2"/>
        <charset val="1"/>
      </rPr>
      <t xml:space="preserve">Marco</t>
    </r>
    <r>
      <rPr>
        <sz val="10"/>
        <rFont val="WenQuanYi Zen Hei"/>
        <family val="2"/>
      </rPr>
      <t xml:space="preserve">를 진료한다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</si>
  <si>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Marco: </t>
    </r>
    <r>
      <rPr>
        <sz val="10"/>
        <rFont val="WenQuanYi Zen Hei"/>
        <family val="2"/>
      </rPr>
      <t xml:space="preserve">완결된 문장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조항 인용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초반의 차가움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교차 카메오</t>
    </r>
    <r>
      <rPr>
        <sz val="10"/>
        <rFont val="Arial"/>
        <family val="0"/>
        <charset val="1"/>
      </rPr>
      <t xml:space="preserve">: Chiara(</t>
    </r>
    <r>
      <rPr>
        <sz val="10"/>
        <rFont val="WenQuanYi Zen Hei"/>
        <family val="2"/>
      </rPr>
      <t xml:space="preserve">고객 컨설턴트</t>
    </r>
    <r>
      <rPr>
        <sz val="10"/>
        <rFont val="Arial"/>
        <family val="0"/>
        <charset val="1"/>
      </rPr>
      <t xml:space="preserve">), Alessandro(</t>
    </r>
    <r>
      <rPr>
        <sz val="10"/>
        <rFont val="WenQuanYi Zen Hei"/>
        <family val="2"/>
      </rPr>
      <t xml:space="preserve">감사인</t>
    </r>
    <r>
      <rPr>
        <sz val="10"/>
        <rFont val="Arial"/>
        <family val="0"/>
        <charset val="1"/>
      </rPr>
      <t xml:space="preserve">), Giulia(</t>
    </r>
    <r>
      <rPr>
        <sz val="10"/>
        <rFont val="WenQuanYi Zen Hei"/>
        <family val="2"/>
      </rPr>
      <t xml:space="preserve">응급의</t>
    </r>
    <r>
      <rPr>
        <sz val="10"/>
        <rFont val="Arial"/>
        <family val="0"/>
        <charset val="1"/>
      </rPr>
      <t xml:space="preserve">), Francesco·Gramsci·Paolo·Dante·Galileo. </t>
    </r>
    <r>
      <rPr>
        <sz val="10"/>
        <rFont val="WenQuanYi Zen Hei"/>
        <family val="2"/>
      </rPr>
      <t xml:space="preserve">가상 인물</t>
    </r>
    <r>
      <rPr>
        <sz val="10"/>
        <rFont val="Arial"/>
        <family val="0"/>
        <charset val="1"/>
      </rPr>
      <t xml:space="preserve">: Colombo(</t>
    </r>
    <r>
      <rPr>
        <sz val="10"/>
        <rFont val="WenQuanYi Zen Hei"/>
        <family val="2"/>
      </rPr>
      <t xml:space="preserve">상사</t>
    </r>
    <r>
      <rPr>
        <sz val="10"/>
        <rFont val="Arial"/>
        <family val="0"/>
        <charset val="1"/>
      </rPr>
      <t xml:space="preserve">), Santoro(</t>
    </r>
    <r>
      <rPr>
        <sz val="10"/>
        <rFont val="WenQuanYi Zen Hei"/>
        <family val="2"/>
      </rPr>
      <t xml:space="preserve">회장</t>
    </r>
    <r>
      <rPr>
        <sz val="10"/>
        <rFont val="Arial"/>
        <family val="0"/>
        <charset val="1"/>
      </rPr>
      <t xml:space="preserve">), Assunta(78</t>
    </r>
    <r>
      <rPr>
        <sz val="10"/>
        <rFont val="WenQuanYi Zen Hei"/>
        <family val="2"/>
      </rPr>
      <t xml:space="preserve">세</t>
    </r>
    <r>
      <rPr>
        <sz val="10"/>
        <rFont val="Arial"/>
        <family val="0"/>
        <charset val="1"/>
      </rPr>
      <t xml:space="preserve">), Marina(</t>
    </r>
    <r>
      <rPr>
        <sz val="10"/>
        <rFont val="WenQuanYi Zen Hei"/>
        <family val="2"/>
      </rPr>
      <t xml:space="preserve">손녀</t>
    </r>
    <r>
      <rPr>
        <sz val="10"/>
        <rFont val="Arial"/>
        <family val="0"/>
        <charset val="1"/>
      </rPr>
      <t xml:space="preserve">).</t>
    </r>
  </si>
  <si>
    <r>
      <rPr>
        <sz val="10"/>
        <rFont val="Arial"/>
        <family val="0"/>
        <charset val="1"/>
      </rPr>
      <t xml:space="preserve">«</t>
    </r>
    <r>
      <rPr>
        <sz val="10"/>
        <rFont val="WenQuanYi Zen Hei"/>
        <family val="2"/>
      </rPr>
      <t xml:space="preserve">갱신 거절</t>
    </r>
    <r>
      <rPr>
        <sz val="10"/>
        <rFont val="Arial"/>
        <family val="0"/>
        <charset val="1"/>
      </rPr>
      <t xml:space="preserve">(diniego di rinnovo)» </t>
    </r>
    <r>
      <rPr>
        <sz val="10"/>
        <rFont val="WenQuanYi Zen Hei"/>
        <family val="2"/>
      </rPr>
      <t xml:space="preserve">조항 →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화 폭로</t>
    </r>
    <r>
      <rPr>
        <sz val="10"/>
        <rFont val="Arial"/>
        <family val="0"/>
        <charset val="1"/>
      </rPr>
      <t xml:space="preserve">, 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화 주거법 개정으로 봉쇄 </t>
    </r>
    <r>
      <rPr>
        <sz val="10"/>
        <rFont val="Arial"/>
        <family val="0"/>
        <charset val="1"/>
      </rPr>
      <t xml:space="preserve">/ «Questo non torna»(Alessandro) → 4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/ Rosa</t>
    </r>
    <r>
      <rPr>
        <sz val="10"/>
        <rFont val="WenQuanYi Zen Hei"/>
        <family val="2"/>
      </rPr>
      <t xml:space="preserve">의 건물 →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부 창당 동기</t>
    </r>
  </si>
  <si>
    <t xml:space="preserve">E1● P3○</t>
  </si>
  <si>
    <r>
      <rPr>
        <sz val="10"/>
        <rFont val="WenQuanYi Zen Hei"/>
        <family val="2"/>
      </rPr>
      <t xml:space="preserve">첫 만기 갱신 거절과 리모델링 사유</t>
    </r>
    <r>
      <rPr>
        <sz val="10"/>
        <rFont val="Noto Sans CJK SC"/>
        <family val="2"/>
        <charset val="1"/>
      </rPr>
      <t xml:space="preserve">(legge 431/1998 </t>
    </r>
    <r>
      <rPr>
        <sz val="10"/>
        <rFont val="WenQuanYi Zen Hei"/>
        <family val="2"/>
      </rPr>
      <t xml:space="preserve">제</t>
    </r>
    <r>
      <rPr>
        <sz val="10"/>
        <rFont val="Noto Sans CJK SC"/>
        <family val="2"/>
        <charset val="1"/>
      </rPr>
      <t xml:space="preserve">3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실사</t>
    </r>
    <r>
      <rPr>
        <sz val="10"/>
        <rFont val="Noto Sans CJK SC"/>
        <family val="2"/>
        <charset val="1"/>
      </rPr>
      <t xml:space="preserve">(due diligence), </t>
    </r>
    <r>
      <rPr>
        <sz val="10"/>
        <rFont val="WenQuanYi Zen Hei"/>
        <family val="2"/>
      </rPr>
      <t xml:space="preserve">부동산 등기</t>
    </r>
    <r>
      <rPr>
        <sz val="10"/>
        <rFont val="Noto Sans CJK SC"/>
        <family val="2"/>
        <charset val="1"/>
      </rPr>
      <t xml:space="preserve">(Conservatoria)·</t>
    </r>
    <r>
      <rPr>
        <sz val="10"/>
        <rFont val="WenQuanYi Zen Hei"/>
        <family val="2"/>
      </rPr>
      <t xml:space="preserve">토지대장</t>
    </r>
    <r>
      <rPr>
        <sz val="10"/>
        <rFont val="Noto Sans CJK SC"/>
        <family val="2"/>
        <charset val="1"/>
      </rPr>
      <t xml:space="preserve">(Catasto), </t>
    </r>
    <r>
      <rPr>
        <sz val="10"/>
        <rFont val="WenQuanYi Zen Hei"/>
        <family val="2"/>
      </rPr>
      <t xml:space="preserve">소송</t>
    </r>
    <r>
      <rPr>
        <sz val="10"/>
        <rFont val="Noto Sans CJK SC"/>
        <family val="2"/>
        <charset val="1"/>
      </rPr>
      <t xml:space="preserve">(citazione, udienza, sentenza, spese), </t>
    </r>
    <r>
      <rPr>
        <sz val="10"/>
        <rFont val="WenQuanYi Zen Hei"/>
        <family val="2"/>
      </rPr>
      <t xml:space="preserve">로펌 구조</t>
    </r>
    <r>
      <rPr>
        <sz val="10"/>
        <rFont val="Noto Sans CJK SC"/>
        <family val="2"/>
        <charset val="1"/>
      </rPr>
      <t xml:space="preserve">(socio)</t>
    </r>
  </si>
  <si>
    <r>
      <rPr>
        <sz val="10"/>
        <rFont val="Arial"/>
        <family val="0"/>
        <charset val="1"/>
      </rPr>
      <t xml:space="preserve">B2~C1. </t>
    </r>
    <r>
      <rPr>
        <sz val="10"/>
        <rFont val="WenQuanYi Zen Hei"/>
        <family val="2"/>
      </rPr>
      <t xml:space="preserve">접속법 현재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과거</t>
    </r>
    <r>
      <rPr>
        <sz val="10"/>
        <rFont val="Arial"/>
        <family val="0"/>
        <charset val="1"/>
      </rPr>
      <t xml:space="preserve">(congiuntivo), </t>
    </r>
    <r>
      <rPr>
        <sz val="10"/>
        <rFont val="WenQuanYi Zen Hei"/>
        <family val="2"/>
      </rPr>
      <t xml:space="preserve">수동태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법률 문어체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과거 장면은 격식 문어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프레임 장면은 </t>
    </r>
    <r>
      <rPr>
        <sz val="10"/>
        <rFont val="Arial"/>
        <family val="0"/>
        <charset val="1"/>
      </rPr>
      <t xml:space="preserve">B1</t>
    </r>
    <r>
      <rPr>
        <sz val="10"/>
        <rFont val="WenQuanYi Zen Hei"/>
        <family val="2"/>
      </rPr>
      <t xml:space="preserve">로 두어 톤을 대비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발성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또박또박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중저음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</si>
  <si>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Sofia: citazione·sentenza·clausola </t>
    </r>
    <r>
      <rPr>
        <sz val="10"/>
        <rFont val="WenQuanYi Zen Hei"/>
        <family val="2"/>
      </rPr>
      <t xml:space="preserve">등 법률 용어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카드</t>
    </r>
    <r>
      <rPr>
        <sz val="10"/>
        <rFont val="Arial"/>
        <family val="0"/>
        <charset val="1"/>
      </rPr>
      <t xml:space="preserve">: Conservatoria dei Registri Immobiliari, legge 431/1998, </t>
    </r>
    <r>
      <rPr>
        <sz val="10"/>
        <rFont val="WenQuanYi Zen Hei"/>
        <family val="2"/>
      </rPr>
      <t xml:space="preserve">민사소송법의 퇴거 확인 절차</t>
    </r>
    <r>
      <rPr>
        <sz val="10"/>
        <rFont val="Arial"/>
        <family val="0"/>
        <charset val="1"/>
      </rPr>
      <t xml:space="preserve">(convalida di sfratto).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</si>
  <si>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응급실에서 쓰러진 </t>
    </r>
    <r>
      <rPr>
        <sz val="10"/>
        <rFont val="Arial"/>
        <family val="0"/>
        <charset val="1"/>
      </rPr>
      <t xml:space="preserve">Marco — </t>
    </r>
    <r>
      <rPr>
        <sz val="10"/>
        <rFont val="WenQuanYi Zen Hei"/>
        <family val="2"/>
      </rPr>
      <t xml:space="preserve">다음 금요일은 </t>
    </r>
    <r>
      <rPr>
        <sz val="10"/>
        <rFont val="Arial"/>
        <family val="0"/>
        <charset val="1"/>
      </rPr>
      <t xml:space="preserve">Giulia</t>
    </r>
    <r>
      <rPr>
        <sz val="10"/>
        <rFont val="WenQuanYi Zen Hei"/>
        <family val="2"/>
      </rPr>
      <t xml:space="preserve">의 이야기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</si>
  <si>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La Dottoressa — </t>
    </r>
    <r>
      <rPr>
        <b val="true"/>
        <sz val="10"/>
        <color rgb="FFFFFFFF"/>
        <rFont val="WenQuanYi Zen Hei"/>
        <family val="2"/>
      </rPr>
      <t xml:space="preserve">의사   </t>
    </r>
    <r>
      <rPr>
        <b val="true"/>
        <sz val="10"/>
        <color rgb="FFFFFFFF"/>
        <rFont val="Arial"/>
        <family val="0"/>
        <charset val="1"/>
      </rPr>
      <t xml:space="preserve">|   </t>
    </r>
    <r>
      <rPr>
        <b val="true"/>
        <sz val="10"/>
        <color rgb="FFFFFFFF"/>
        <rFont val="WenQuanYi Zen Hei"/>
        <family val="2"/>
      </rPr>
      <t xml:space="preserve">난이도 </t>
    </r>
    <r>
      <rPr>
        <b val="true"/>
        <sz val="10"/>
        <color rgb="FFFFFFFF"/>
        <rFont val="Arial"/>
        <family val="0"/>
        <charset val="1"/>
      </rPr>
      <t xml:space="preserve">B2~C1   |   </t>
    </r>
    <r>
      <rPr>
        <b val="true"/>
        <sz val="10"/>
        <color rgb="FFFFFFFF"/>
        <rFont val="WenQuanYi Zen Hei"/>
        <family val="2"/>
      </rPr>
      <t xml:space="preserve">프레임</t>
    </r>
    <r>
      <rPr>
        <b val="true"/>
        <sz val="10"/>
        <color rgb="FFFFFFFF"/>
        <rFont val="Arial"/>
        <family val="0"/>
        <charset val="1"/>
      </rPr>
      <t xml:space="preserve">: </t>
    </r>
    <r>
      <rPr>
        <b val="true"/>
        <sz val="10"/>
        <color rgb="FFFFFFFF"/>
        <rFont val="WenQuanYi Zen Hei"/>
        <family val="2"/>
      </rPr>
      <t xml:space="preserve">금요일 밤</t>
    </r>
    <r>
      <rPr>
        <b val="true"/>
        <sz val="10"/>
        <color rgb="FFFFFFFF"/>
        <rFont val="Arial"/>
        <family val="0"/>
        <charset val="1"/>
      </rPr>
      <t xml:space="preserve">. </t>
    </r>
    <r>
      <rPr>
        <b val="true"/>
        <sz val="10"/>
        <color rgb="FFFFFFFF"/>
        <rFont val="WenQuanYi Zen Hei"/>
        <family val="2"/>
      </rPr>
      <t xml:space="preserve">과거</t>
    </r>
    <r>
      <rPr>
        <b val="true"/>
        <sz val="10"/>
        <color rgb="FFFFFFFF"/>
        <rFont val="Arial"/>
        <family val="0"/>
        <charset val="1"/>
      </rPr>
      <t xml:space="preserve">: </t>
    </r>
    <r>
      <rPr>
        <b val="true"/>
        <sz val="10"/>
        <color rgb="FFFFFFFF"/>
        <rFont val="WenQuanYi Zen Hei"/>
        <family val="2"/>
      </rPr>
      <t xml:space="preserve">약 </t>
    </r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년 전</t>
    </r>
    <r>
      <rPr>
        <b val="true"/>
        <sz val="10"/>
        <color rgb="FFFFFFFF"/>
        <rFont val="Arial"/>
        <family val="0"/>
        <charset val="1"/>
      </rPr>
      <t xml:space="preserve">, San Camillo </t>
    </r>
    <r>
      <rPr>
        <b val="true"/>
        <sz val="10"/>
        <color rgb="FFFFFFFF"/>
        <rFont val="WenQuanYi Zen Hei"/>
        <family val="2"/>
      </rPr>
      <t xml:space="preserve">응급실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가상 설정</t>
    </r>
    <r>
      <rPr>
        <b val="true"/>
        <sz val="10"/>
        <color rgb="FFFFFFFF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</si>
  <si>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인간의 생명과 공공 보건이라는 정서적 무게</t>
    </r>
    <r>
      <rPr>
        <sz val="10"/>
        <rFont val="Noto Sans CJK SC"/>
        <family val="2"/>
        <charset val="1"/>
      </rPr>
      <t xml:space="preserve">. Gruppo Meridiano</t>
    </r>
    <r>
      <rPr>
        <sz val="10"/>
        <rFont val="WenQuanYi Zen Hei"/>
        <family val="2"/>
      </rPr>
      <t xml:space="preserve">의 두 번째 얼굴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병원 외주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을 보여 주고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폭염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고령 환자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서류 없는 환자 등 현안을 응급실에서 체감하게 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</si>
  <si>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응급의가 예산 삭감과 병원 외주 속에서 환자를 잃기 시작하고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이름을 적어 두다가 내부 보고를 올리지만 징계로 돌아온다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</si>
  <si>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시스템을 믿는 의사 → 이름 명단만 든 사직자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</si>
  <si>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의료 윤리 </t>
    </r>
    <r>
      <rPr>
        <sz val="10"/>
        <rFont val="Noto Sans CJK SC"/>
        <family val="2"/>
        <charset val="1"/>
      </rPr>
      <t xml:space="preserve">vs </t>
    </r>
    <r>
      <rPr>
        <sz val="10"/>
        <rFont val="WenQuanYi Zen Hei"/>
        <family val="2"/>
      </rPr>
      <t xml:space="preserve">관리 효율 </t>
    </r>
    <r>
      <rPr>
        <sz val="10"/>
        <rFont val="Noto Sans CJK SC"/>
        <family val="2"/>
        <charset val="1"/>
      </rPr>
      <t xml:space="preserve">/ </t>
    </r>
    <r>
      <rPr>
        <sz val="10"/>
        <rFont val="WenQuanYi Zen Hei"/>
        <family val="2"/>
      </rPr>
      <t xml:space="preserve">침묵하는 동료들</t>
    </r>
  </si>
  <si>
    <r>
      <rPr>
        <sz val="10"/>
        <rFont val="WenQuanYi Zen Hei"/>
        <family val="2"/>
      </rPr>
      <t xml:space="preserve">발단</t>
    </r>
    <r>
      <rPr>
        <sz val="10"/>
        <rFont val="Noto Sans CJK SC"/>
        <family val="2"/>
        <charset val="1"/>
      </rPr>
      <t xml:space="preserve">(1~3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금요일 프레임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야간 근무</t>
    </r>
    <r>
      <rPr>
        <sz val="10"/>
        <rFont val="Noto Sans CJK SC"/>
        <family val="2"/>
        <charset val="1"/>
      </rPr>
      <t xml:space="preserve">(Marco </t>
    </r>
    <r>
      <rPr>
        <sz val="10"/>
        <rFont val="WenQuanYi Zen Hei"/>
        <family val="2"/>
      </rPr>
      <t xml:space="preserve">진료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폭염 환자 폭증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</si>
  <si>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전개</t>
    </r>
    <r>
      <rPr>
        <sz val="10"/>
        <rFont val="Noto Sans CJK SC"/>
        <family val="2"/>
        <charset val="1"/>
      </rPr>
      <t xml:space="preserve">(4~5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병원 외주 발표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컨설턴트 </t>
    </r>
    <r>
      <rPr>
        <sz val="10"/>
        <rFont val="Noto Sans CJK SC"/>
        <family val="2"/>
        <charset val="1"/>
      </rPr>
      <t xml:space="preserve">Chiara </t>
    </r>
    <r>
      <rPr>
        <sz val="10"/>
        <rFont val="WenQuanYi Zen Hei"/>
        <family val="2"/>
      </rPr>
      <t xml:space="preserve">등장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프레임에서 수첩 명단과 </t>
    </r>
    <r>
      <rPr>
        <sz val="10"/>
        <rFont val="Noto Sans CJK SC"/>
        <family val="2"/>
        <charset val="1"/>
      </rPr>
      <t xml:space="preserve">Cesare</t>
    </r>
    <r>
      <rPr>
        <sz val="10"/>
        <rFont val="WenQuanYi Zen Hei"/>
        <family val="2"/>
      </rPr>
      <t xml:space="preserve">의 부은 발목</t>
    </r>
    <r>
      <rPr>
        <sz val="10"/>
        <rFont val="Noto Sans CJK SC"/>
        <family val="2"/>
        <charset val="1"/>
      </rPr>
      <t xml:space="preserve">(«Sono i calzari.»).</t>
    </r>
  </si>
  <si>
    <r>
      <rPr>
        <sz val="10"/>
        <rFont val="WenQuanYi Zen Hei"/>
        <family val="2"/>
      </rPr>
      <t xml:space="preserve">미드포인트</t>
    </r>
    <r>
      <rPr>
        <sz val="10"/>
        <rFont val="Noto Sans CJK SC"/>
        <family val="2"/>
        <charset val="1"/>
      </rPr>
      <t xml:space="preserve">(6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'</t>
    </r>
    <r>
      <rPr>
        <sz val="10"/>
        <rFont val="WenQuanYi Zen Hei"/>
        <family val="2"/>
      </rPr>
      <t xml:space="preserve">명단의 첫 번째</t>
    </r>
    <r>
      <rPr>
        <sz val="10"/>
        <rFont val="Noto Sans CJK SC"/>
        <family val="2"/>
        <charset val="1"/>
      </rPr>
      <t xml:space="preserve">' — </t>
    </r>
    <r>
      <rPr>
        <sz val="10"/>
        <rFont val="WenQuanYi Zen Hei"/>
        <family val="2"/>
      </rPr>
      <t xml:space="preserve">서류 없는 환자가 병상 지연으로 숨진다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</si>
  <si>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위기</t>
    </r>
    <r>
      <rPr>
        <sz val="10"/>
        <rFont val="Noto Sans CJK SC"/>
        <family val="2"/>
        <charset val="1"/>
      </rPr>
      <t xml:space="preserve">(7~9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원장의 통계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징계 절차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프레임에서 </t>
    </r>
    <r>
      <rPr>
        <sz val="10"/>
        <rFont val="Noto Sans CJK SC"/>
        <family val="2"/>
        <charset val="1"/>
      </rPr>
      <t xml:space="preserve">Montessori</t>
    </r>
    <r>
      <rPr>
        <sz val="10"/>
        <rFont val="WenQuanYi Zen Hei"/>
        <family val="2"/>
      </rPr>
      <t xml:space="preserve">의 되받기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</si>
  <si>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절정</t>
    </r>
    <r>
      <rPr>
        <sz val="10"/>
        <rFont val="Noto Sans CJK SC"/>
        <family val="2"/>
        <charset val="1"/>
      </rPr>
      <t xml:space="preserve">(10~11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병상 없는 밤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사직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</si>
  <si>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결말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훅</t>
    </r>
    <r>
      <rPr>
        <sz val="10"/>
        <rFont val="Noto Sans CJK SC"/>
        <family val="2"/>
        <charset val="1"/>
      </rPr>
      <t xml:space="preserve">(12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계약 감사보고서에 서명한 사람이 있다 — </t>
    </r>
    <r>
      <rPr>
        <sz val="10"/>
        <rFont val="Noto Sans CJK SC"/>
        <family val="2"/>
        <charset val="1"/>
      </rPr>
      <t xml:space="preserve">Alessandro</t>
    </r>
    <r>
      <rPr>
        <sz val="10"/>
        <rFont val="WenQuanYi Zen Hei"/>
        <family val="2"/>
      </rPr>
      <t xml:space="preserve">의 차례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</si>
  <si>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Giulia: </t>
    </r>
    <r>
      <rPr>
        <sz val="10"/>
        <rFont val="WenQuanYi Zen Hei"/>
        <family val="2"/>
      </rPr>
      <t xml:space="preserve">짧은 문장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명령형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블랙유머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가상 인물</t>
    </r>
    <r>
      <rPr>
        <sz val="10"/>
        <rFont val="Arial"/>
        <family val="0"/>
        <charset val="1"/>
      </rPr>
      <t xml:space="preserve">: Loredana(</t>
    </r>
    <r>
      <rPr>
        <sz val="10"/>
        <rFont val="WenQuanYi Zen Hei"/>
        <family val="2"/>
      </rPr>
      <t xml:space="preserve">간호사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원장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교차 카메오</t>
    </r>
    <r>
      <rPr>
        <sz val="10"/>
        <rFont val="Arial"/>
        <family val="0"/>
        <charset val="1"/>
      </rPr>
      <t xml:space="preserve">: Marco(</t>
    </r>
    <r>
      <rPr>
        <sz val="10"/>
        <rFont val="WenQuanYi Zen Hei"/>
        <family val="2"/>
      </rPr>
      <t xml:space="preserve">환자</t>
    </r>
    <r>
      <rPr>
        <sz val="10"/>
        <rFont val="Arial"/>
        <family val="0"/>
        <charset val="1"/>
      </rPr>
      <t xml:space="preserve">), Chiara(</t>
    </r>
    <r>
      <rPr>
        <sz val="10"/>
        <rFont val="WenQuanYi Zen Hei"/>
        <family val="2"/>
      </rPr>
      <t xml:space="preserve">효율 발표</t>
    </r>
    <r>
      <rPr>
        <sz val="10"/>
        <rFont val="Arial"/>
        <family val="0"/>
        <charset val="1"/>
      </rPr>
      <t xml:space="preserve">), Alessandro(</t>
    </r>
    <r>
      <rPr>
        <sz val="10"/>
        <rFont val="WenQuanYi Zen Hei"/>
        <family val="2"/>
      </rPr>
      <t xml:space="preserve">외주 업체 자문</t>
    </r>
    <r>
      <rPr>
        <sz val="10"/>
        <rFont val="Arial"/>
        <family val="0"/>
        <charset val="1"/>
      </rPr>
      <t xml:space="preserve">), Galileo(</t>
    </r>
    <r>
      <rPr>
        <sz val="10"/>
        <rFont val="WenQuanYi Zen Hei"/>
        <family val="2"/>
      </rPr>
      <t xml:space="preserve">취재</t>
    </r>
    <r>
      <rPr>
        <sz val="10"/>
        <rFont val="Arial"/>
        <family val="0"/>
        <charset val="1"/>
      </rPr>
      <t xml:space="preserve">).</t>
    </r>
  </si>
  <si>
    <r>
      <rPr>
        <sz val="10"/>
        <rFont val="Arial"/>
        <family val="0"/>
        <charset val="1"/>
      </rPr>
      <t xml:space="preserve">Cesare</t>
    </r>
    <r>
      <rPr>
        <sz val="10"/>
        <rFont val="WenQuanYi Zen Hei"/>
        <family val="2"/>
      </rPr>
      <t xml:space="preserve">의 부은 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숨참</t>
    </r>
    <r>
      <rPr>
        <sz val="10"/>
        <rFont val="Arial"/>
        <family val="0"/>
        <charset val="1"/>
      </rPr>
      <t xml:space="preserve">(→11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4~6</t>
    </r>
    <r>
      <rPr>
        <sz val="10"/>
        <rFont val="WenQuanYi Zen Hei"/>
        <family val="2"/>
      </rPr>
      <t xml:space="preserve">화 심부전 암시</t>
    </r>
    <r>
      <rPr>
        <sz val="10"/>
        <rFont val="Arial"/>
        <family val="0"/>
        <charset val="1"/>
      </rPr>
      <t xml:space="preserve">) / Giulia</t>
    </r>
    <r>
      <rPr>
        <sz val="10"/>
        <rFont val="WenQuanYi Zen Hei"/>
        <family val="2"/>
      </rPr>
      <t xml:space="preserve">의 이름 명단</t>
    </r>
    <r>
      <rPr>
        <sz val="10"/>
        <rFont val="Arial"/>
        <family val="0"/>
        <charset val="1"/>
      </rPr>
      <t xml:space="preserve">(→12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13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) / </t>
    </r>
    <r>
      <rPr>
        <sz val="10"/>
        <rFont val="WenQuanYi Zen Hei"/>
        <family val="2"/>
      </rPr>
      <t xml:space="preserve">외주 계약</t>
    </r>
    <r>
      <rPr>
        <sz val="10"/>
        <rFont val="Arial"/>
        <family val="0"/>
        <charset val="1"/>
      </rPr>
      <t xml:space="preserve">(→9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</si>
  <si>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t xml:space="preserve">S4● S3○ S2○ P3○</t>
  </si>
  <si>
    <r>
      <rPr>
        <sz val="10"/>
        <rFont val="WenQuanYi Zen Hei"/>
        <family val="2"/>
      </rPr>
      <t xml:space="preserve">병원 외주</t>
    </r>
    <r>
      <rPr>
        <sz val="10"/>
        <rFont val="Noto Sans CJK SC"/>
        <family val="2"/>
        <charset val="1"/>
      </rPr>
      <t xml:space="preserve">(esternalizzazione)·</t>
    </r>
    <r>
      <rPr>
        <sz val="10"/>
        <rFont val="WenQuanYi Zen Hei"/>
        <family val="2"/>
      </rPr>
      <t xml:space="preserve">민간 위탁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주 보건서비스</t>
    </r>
    <r>
      <rPr>
        <sz val="10"/>
        <rFont val="Noto Sans CJK SC"/>
        <family val="2"/>
        <charset val="1"/>
      </rPr>
      <t xml:space="preserve">(SSR Lazio)·ASL, </t>
    </r>
    <r>
      <rPr>
        <sz val="10"/>
        <rFont val="WenQuanYi Zen Hei"/>
        <family val="2"/>
      </rPr>
      <t xml:space="preserve">응급 분류</t>
    </r>
    <r>
      <rPr>
        <sz val="10"/>
        <rFont val="Noto Sans CJK SC"/>
        <family val="2"/>
        <charset val="1"/>
      </rPr>
      <t xml:space="preserve">(triage, </t>
    </r>
    <r>
      <rPr>
        <sz val="10"/>
        <rFont val="WenQuanYi Zen Hei"/>
        <family val="2"/>
      </rPr>
      <t xml:space="preserve">긴급도 코드 </t>
    </r>
    <r>
      <rPr>
        <sz val="10"/>
        <rFont val="Noto Sans CJK SC"/>
        <family val="2"/>
        <charset val="1"/>
      </rPr>
      <t xml:space="preserve">1~5), </t>
    </r>
    <r>
      <rPr>
        <sz val="10"/>
        <rFont val="WenQuanYi Zen Hei"/>
        <family val="2"/>
      </rPr>
      <t xml:space="preserve">서류 없는 환자의 필수 진료</t>
    </r>
    <r>
      <rPr>
        <sz val="10"/>
        <rFont val="Noto Sans CJK SC"/>
        <family val="2"/>
        <charset val="1"/>
      </rPr>
      <t xml:space="preserve">(STP </t>
    </r>
    <r>
      <rPr>
        <sz val="10"/>
        <rFont val="WenQuanYi Zen Hei"/>
        <family val="2"/>
      </rPr>
      <t xml:space="preserve">코드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징계 절차</t>
    </r>
  </si>
  <si>
    <r>
      <rPr>
        <sz val="10"/>
        <rFont val="Arial"/>
        <family val="0"/>
        <charset val="1"/>
      </rPr>
      <t xml:space="preserve">B2~C1. </t>
    </r>
    <r>
      <rPr>
        <sz val="10"/>
        <rFont val="WenQuanYi Zen Hei"/>
        <family val="2"/>
      </rPr>
      <t xml:space="preserve">의학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짧은 명령형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긴박한 호흡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발성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빠른 템포와 짧은 호흡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</si>
  <si>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Sofia: triage·parametri vitali·sepsi </t>
    </r>
    <r>
      <rPr>
        <sz val="10"/>
        <rFont val="WenQuanYi Zen Hei"/>
        <family val="2"/>
      </rPr>
      <t xml:space="preserve">등 의학 용어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카드</t>
    </r>
    <r>
      <rPr>
        <sz val="10"/>
        <rFont val="Arial"/>
        <family val="0"/>
        <charset val="1"/>
      </rPr>
      <t xml:space="preserve">: legge 833/1978(</t>
    </r>
    <r>
      <rPr>
        <sz val="10"/>
        <rFont val="WenQuanYi Zen Hei"/>
        <family val="2"/>
      </rPr>
      <t xml:space="preserve">국가 보건서비스 설립</t>
    </r>
    <r>
      <rPr>
        <sz val="10"/>
        <rFont val="Arial"/>
        <family val="0"/>
        <charset val="1"/>
      </rPr>
      <t xml:space="preserve">), legge 219/2017(</t>
    </r>
    <r>
      <rPr>
        <sz val="10"/>
        <rFont val="WenQuanYi Zen Hei"/>
        <family val="2"/>
      </rPr>
      <t xml:space="preserve">동의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사전의료지시</t>
    </r>
    <r>
      <rPr>
        <sz val="10"/>
        <rFont val="Arial"/>
        <family val="0"/>
        <charset val="1"/>
      </rPr>
      <t xml:space="preserve">), d.lgs. 286/1998 </t>
    </r>
    <r>
      <rPr>
        <sz val="10"/>
        <rFont val="WenQuanYi Zen Hei"/>
        <family val="2"/>
      </rPr>
      <t xml:space="preserve">제</t>
    </r>
    <r>
      <rPr>
        <sz val="10"/>
        <rFont val="Arial"/>
        <family val="0"/>
        <charset val="1"/>
      </rPr>
      <t xml:space="preserve">35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</si>
  <si>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: Alessandro — «Tocca a me.» </t>
    </r>
    <r>
      <rPr>
        <sz val="10"/>
        <rFont val="WenQuanYi Zen Hei"/>
        <family val="2"/>
      </rPr>
      <t xml:space="preserve">그 서명의 주인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</si>
  <si>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Il Revisore — </t>
    </r>
    <r>
      <rPr>
        <b val="true"/>
        <sz val="10"/>
        <color rgb="FFFFFFFF"/>
        <rFont val="WenQuanYi Zen Hei"/>
        <family val="2"/>
      </rPr>
      <t xml:space="preserve">회계사   </t>
    </r>
    <r>
      <rPr>
        <b val="true"/>
        <sz val="10"/>
        <color rgb="FFFFFFFF"/>
        <rFont val="Arial"/>
        <family val="0"/>
        <charset val="1"/>
      </rPr>
      <t xml:space="preserve">|   </t>
    </r>
    <r>
      <rPr>
        <b val="true"/>
        <sz val="10"/>
        <color rgb="FFFFFFFF"/>
        <rFont val="WenQuanYi Zen Hei"/>
        <family val="2"/>
      </rPr>
      <t xml:space="preserve">난이도 </t>
    </r>
    <r>
      <rPr>
        <b val="true"/>
        <sz val="10"/>
        <color rgb="FFFFFFFF"/>
        <rFont val="Arial"/>
        <family val="0"/>
        <charset val="1"/>
      </rPr>
      <t xml:space="preserve">B2~C1   |   </t>
    </r>
    <r>
      <rPr>
        <b val="true"/>
        <sz val="10"/>
        <color rgb="FFFFFFFF"/>
        <rFont val="WenQuanYi Zen Hei"/>
        <family val="2"/>
      </rPr>
      <t xml:space="preserve">프레임</t>
    </r>
    <r>
      <rPr>
        <b val="true"/>
        <sz val="10"/>
        <color rgb="FFFFFFFF"/>
        <rFont val="Arial"/>
        <family val="0"/>
        <charset val="1"/>
      </rPr>
      <t xml:space="preserve">: </t>
    </r>
    <r>
      <rPr>
        <b val="true"/>
        <sz val="10"/>
        <color rgb="FFFFFFFF"/>
        <rFont val="WenQuanYi Zen Hei"/>
        <family val="2"/>
      </rPr>
      <t xml:space="preserve">금요일 밤</t>
    </r>
    <r>
      <rPr>
        <b val="true"/>
        <sz val="10"/>
        <color rgb="FFFFFFFF"/>
        <rFont val="Arial"/>
        <family val="0"/>
        <charset val="1"/>
      </rPr>
      <t xml:space="preserve">. </t>
    </r>
    <r>
      <rPr>
        <b val="true"/>
        <sz val="10"/>
        <color rgb="FFFFFFFF"/>
        <rFont val="WenQuanYi Zen Hei"/>
        <family val="2"/>
      </rPr>
      <t xml:space="preserve">과거</t>
    </r>
    <r>
      <rPr>
        <b val="true"/>
        <sz val="10"/>
        <color rgb="FFFFFFFF"/>
        <rFont val="Arial"/>
        <family val="0"/>
        <charset val="1"/>
      </rPr>
      <t xml:space="preserve">: </t>
    </r>
    <r>
      <rPr>
        <b val="true"/>
        <sz val="10"/>
        <color rgb="FFFFFFFF"/>
        <rFont val="WenQuanYi Zen Hei"/>
        <family val="2"/>
      </rPr>
      <t xml:space="preserve">약 </t>
    </r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년 전</t>
    </r>
    <r>
      <rPr>
        <b val="true"/>
        <sz val="10"/>
        <color rgb="FFFFFFFF"/>
        <rFont val="Arial"/>
        <family val="0"/>
        <charset val="1"/>
      </rPr>
      <t xml:space="preserve">, Conti Revisori.</t>
    </r>
  </si>
  <si>
    <r>
      <rPr>
        <sz val="10"/>
        <rFont val="WenQuanYi Zen Hei"/>
        <family val="2"/>
      </rPr>
      <t xml:space="preserve">돈의 흐름과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서명의 책임</t>
    </r>
    <r>
      <rPr>
        <sz val="10"/>
        <rFont val="Noto Sans CJK SC"/>
        <family val="2"/>
        <charset val="1"/>
      </rPr>
      <t xml:space="preserve">'. </t>
    </r>
    <r>
      <rPr>
        <sz val="10"/>
        <rFont val="WenQuanYi Zen Hei"/>
        <family val="2"/>
      </rPr>
      <t xml:space="preserve">부패의 공모가 일상 업무의 얼굴로 온다는 것을 보여 주고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이후 아크의 결정적 증거</t>
    </r>
    <r>
      <rPr>
        <sz val="10"/>
        <rFont val="Noto Sans CJK SC"/>
        <family val="2"/>
        <charset val="1"/>
      </rPr>
      <t xml:space="preserve">(USB)</t>
    </r>
    <r>
      <rPr>
        <sz val="10"/>
        <rFont val="WenQuanYi Zen Hei"/>
        <family val="2"/>
      </rPr>
      <t xml:space="preserve">를 만든다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</si>
  <si>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시니어 파트너가 최대 고객의 이상 거래를 발견하지만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압박과 승진 앞에서 결국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깨끗한</t>
    </r>
    <r>
      <rPr>
        <sz val="10"/>
        <rFont val="Noto Sans CJK SC"/>
        <family val="2"/>
        <charset val="1"/>
      </rPr>
      <t xml:space="preserve">' </t>
    </r>
    <r>
      <rPr>
        <sz val="10"/>
        <rFont val="WenQuanYi Zen Hei"/>
        <family val="2"/>
      </rPr>
      <t xml:space="preserve">의견서에 서명하고 그 서명이 다른 사람의 죽음과 해고에 쓰인다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</si>
  <si>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정확함을 자랑하던 감사인 →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서명한 사람</t>
    </r>
    <r>
      <rPr>
        <sz val="10"/>
        <rFont val="Noto Sans CJK SC"/>
        <family val="2"/>
        <charset val="1"/>
      </rPr>
      <t xml:space="preserve">'. </t>
    </r>
    <r>
      <rPr>
        <sz val="10"/>
        <rFont val="WenQuanYi Zen Hei"/>
        <family val="2"/>
      </rPr>
      <t xml:space="preserve">다시는 서명하지 않겠다는 다짐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</si>
  <si>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감사인의 독립성 </t>
    </r>
    <r>
      <rPr>
        <sz val="10"/>
        <rFont val="Noto Sans CJK SC"/>
        <family val="2"/>
        <charset val="1"/>
      </rPr>
      <t xml:space="preserve">vs </t>
    </r>
    <r>
      <rPr>
        <sz val="10"/>
        <rFont val="WenQuanYi Zen Hei"/>
        <family val="2"/>
      </rPr>
      <t xml:space="preserve">수임료 </t>
    </r>
    <r>
      <rPr>
        <sz val="10"/>
        <rFont val="Noto Sans CJK SC"/>
        <family val="2"/>
        <charset val="1"/>
      </rPr>
      <t xml:space="preserve">/ </t>
    </r>
    <r>
      <rPr>
        <sz val="10"/>
        <rFont val="WenQuanYi Zen Hei"/>
        <family val="2"/>
      </rPr>
      <t xml:space="preserve">정확함 </t>
    </r>
    <r>
      <rPr>
        <sz val="10"/>
        <rFont val="Noto Sans CJK SC"/>
        <family val="2"/>
        <charset val="1"/>
      </rPr>
      <t xml:space="preserve">vs </t>
    </r>
    <r>
      <rPr>
        <sz val="10"/>
        <rFont val="WenQuanYi Zen Hei"/>
        <family val="2"/>
      </rPr>
      <t xml:space="preserve">생존</t>
    </r>
  </si>
  <si>
    <r>
      <rPr>
        <sz val="10"/>
        <rFont val="WenQuanYi Zen Hei"/>
        <family val="2"/>
      </rPr>
      <t xml:space="preserve">발단</t>
    </r>
    <r>
      <rPr>
        <sz val="10"/>
        <rFont val="Noto Sans CJK SC"/>
        <family val="2"/>
        <charset val="1"/>
      </rPr>
      <t xml:space="preserve">(1~3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'</t>
    </r>
    <r>
      <rPr>
        <sz val="10"/>
        <rFont val="WenQuanYi Zen Hei"/>
        <family val="2"/>
      </rPr>
      <t xml:space="preserve">내가 서명했다</t>
    </r>
    <r>
      <rPr>
        <sz val="10"/>
        <rFont val="Noto Sans CJK SC"/>
        <family val="2"/>
        <charset val="1"/>
      </rPr>
      <t xml:space="preserve">' </t>
    </r>
    <r>
      <rPr>
        <sz val="10"/>
        <rFont val="WenQuanYi Zen Hei"/>
        <family val="2"/>
      </rPr>
      <t xml:space="preserve">프레임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결산 마감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돈 잘 주는 고객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</si>
  <si>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전개</t>
    </r>
    <r>
      <rPr>
        <sz val="10"/>
        <rFont val="Noto Sans CJK SC"/>
        <family val="2"/>
        <charset val="1"/>
      </rPr>
      <t xml:space="preserve">(4~5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'</t>
    </r>
    <r>
      <rPr>
        <sz val="10"/>
        <rFont val="WenQuanYi Zen Hei"/>
        <family val="2"/>
      </rPr>
      <t xml:space="preserve">이건 안 맞아</t>
    </r>
    <r>
      <rPr>
        <sz val="10"/>
        <rFont val="Noto Sans CJK SC"/>
        <family val="2"/>
        <charset val="1"/>
      </rPr>
      <t xml:space="preserve">' — </t>
    </r>
    <r>
      <rPr>
        <sz val="10"/>
        <rFont val="WenQuanYi Zen Hei"/>
        <family val="2"/>
      </rPr>
      <t xml:space="preserve">특수관계자 대출 발견 </t>
    </r>
    <r>
      <rPr>
        <sz val="10"/>
        <rFont val="Noto Sans CJK SC"/>
        <family val="2"/>
        <charset val="1"/>
      </rPr>
      <t xml:space="preserve">/ </t>
    </r>
    <r>
      <rPr>
        <sz val="10"/>
        <rFont val="WenQuanYi Zen Hei"/>
        <family val="2"/>
      </rPr>
      <t xml:space="preserve">프레임에서 아버지 이야기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</si>
  <si>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미드포인트</t>
    </r>
    <r>
      <rPr>
        <sz val="10"/>
        <rFont val="Noto Sans CJK SC"/>
        <family val="2"/>
        <charset val="1"/>
      </rPr>
      <t xml:space="preserve">(6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파트너 회의 — 한정 의견 주장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리스크 위원회로 에스컬레이션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</si>
  <si>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위기</t>
    </r>
    <r>
      <rPr>
        <sz val="10"/>
        <rFont val="Noto Sans CJK SC"/>
        <family val="2"/>
        <charset val="1"/>
      </rPr>
      <t xml:space="preserve">(7~9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위원회의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증거 불충분</t>
    </r>
    <r>
      <rPr>
        <sz val="10"/>
        <rFont val="Noto Sans CJK SC"/>
        <family val="2"/>
        <charset val="1"/>
      </rPr>
      <t xml:space="preserve">', </t>
    </r>
    <r>
      <rPr>
        <sz val="10"/>
        <rFont val="WenQuanYi Zen Hei"/>
        <family val="2"/>
      </rPr>
      <t xml:space="preserve">파리올리의 점심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위협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프레임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서명했어요</t>
    </r>
    <r>
      <rPr>
        <sz val="10"/>
        <rFont val="Noto Sans CJK SC"/>
        <family val="2"/>
        <charset val="1"/>
      </rPr>
      <t xml:space="preserve">?'.</t>
    </r>
  </si>
  <si>
    <r>
      <rPr>
        <sz val="10"/>
        <rFont val="WenQuanYi Zen Hei"/>
        <family val="2"/>
      </rPr>
      <t xml:space="preserve">절정</t>
    </r>
    <r>
      <rPr>
        <sz val="10"/>
        <rFont val="Noto Sans CJK SC"/>
        <family val="2"/>
        <charset val="1"/>
      </rPr>
      <t xml:space="preserve">(10~11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서명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그리고 서명 이후 — 계약 확정과 구조조정 통보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사직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</si>
  <si>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결말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훅</t>
    </r>
    <r>
      <rPr>
        <sz val="10"/>
        <rFont val="Noto Sans CJK SC"/>
        <family val="2"/>
        <charset val="1"/>
      </rPr>
      <t xml:space="preserve">(12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프레임에서 </t>
    </r>
    <r>
      <rPr>
        <sz val="10"/>
        <rFont val="Noto Sans CJK SC"/>
        <family val="2"/>
        <charset val="1"/>
      </rPr>
      <t xml:space="preserve">Chiara — «La lista la facevo io.»</t>
    </r>
  </si>
  <si>
    <r>
      <rPr>
        <sz val="10"/>
        <rFont val="Arial"/>
        <family val="0"/>
        <charset val="1"/>
      </rPr>
      <t xml:space="preserve">Alessandro: </t>
    </r>
    <r>
      <rPr>
        <sz val="10"/>
        <rFont val="WenQuanYi Zen Hei"/>
        <family val="2"/>
      </rPr>
      <t xml:space="preserve">건조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정확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숫자 낭독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가상 인물</t>
    </r>
    <r>
      <rPr>
        <sz val="10"/>
        <rFont val="Arial"/>
        <family val="0"/>
        <charset val="1"/>
      </rPr>
      <t xml:space="preserve">: Bassi(</t>
    </r>
    <r>
      <rPr>
        <sz val="10"/>
        <rFont val="WenQuanYi Zen Hei"/>
        <family val="2"/>
      </rPr>
      <t xml:space="preserve">대표 파트너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교차 카메오</t>
    </r>
    <r>
      <rPr>
        <sz val="10"/>
        <rFont val="Arial"/>
        <family val="0"/>
        <charset val="1"/>
      </rPr>
      <t xml:space="preserve">: Francesco(</t>
    </r>
    <r>
      <rPr>
        <sz val="10"/>
        <rFont val="WenQuanYi Zen Hei"/>
        <family val="2"/>
      </rPr>
      <t xml:space="preserve">자료 제공</t>
    </r>
    <r>
      <rPr>
        <sz val="10"/>
        <rFont val="Arial"/>
        <family val="0"/>
        <charset val="1"/>
      </rPr>
      <t xml:space="preserve">), Santoro(</t>
    </r>
    <r>
      <rPr>
        <sz val="10"/>
        <rFont val="WenQuanYi Zen Hei"/>
        <family val="2"/>
      </rPr>
      <t xml:space="preserve">회유</t>
    </r>
    <r>
      <rPr>
        <sz val="10"/>
        <rFont val="Arial"/>
        <family val="0"/>
        <charset val="1"/>
      </rPr>
      <t xml:space="preserve">), Galileo(</t>
    </r>
    <r>
      <rPr>
        <sz val="10"/>
        <rFont val="WenQuanYi Zen Hei"/>
        <family val="2"/>
      </rPr>
      <t xml:space="preserve">전화</t>
    </r>
    <r>
      <rPr>
        <sz val="10"/>
        <rFont val="Arial"/>
        <family val="0"/>
        <charset val="1"/>
      </rPr>
      <t xml:space="preserve">), Chiara(</t>
    </r>
    <r>
      <rPr>
        <sz val="10"/>
        <rFont val="WenQuanYi Zen Hei"/>
        <family val="2"/>
      </rPr>
      <t xml:space="preserve">구조조정 통보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</si>
  <si>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복사본 </t>
    </r>
    <r>
      <rPr>
        <sz val="10"/>
        <rFont val="Noto Sans CJK SC"/>
        <family val="2"/>
        <charset val="1"/>
      </rPr>
      <t xml:space="preserve">USB(→6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5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, 7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5~6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 / «Io firmo solo ciò che ho verificato.»(→11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10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 / Francesco </t>
    </r>
    <r>
      <rPr>
        <sz val="10"/>
        <rFont val="WenQuanYi Zen Hei"/>
        <family val="2"/>
      </rPr>
      <t xml:space="preserve">첫 접점</t>
    </r>
    <r>
      <rPr>
        <sz val="10"/>
        <rFont val="Noto Sans CJK SC"/>
        <family val="2"/>
        <charset val="1"/>
      </rPr>
      <t xml:space="preserve">(→7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5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</si>
  <si>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Arial"/>
        <family val="0"/>
        <charset val="1"/>
      </rPr>
      <t xml:space="preserve">—(</t>
    </r>
    <r>
      <rPr>
        <sz val="10"/>
        <rFont val="WenQuanYi Zen Hei"/>
        <family val="2"/>
      </rPr>
      <t xml:space="preserve">정치 현안 없음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감사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자금 세탁 중심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</si>
  <si>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법정 감사</t>
    </r>
    <r>
      <rPr>
        <sz val="10"/>
        <rFont val="Noto Sans CJK SC"/>
        <family val="2"/>
        <charset val="1"/>
      </rPr>
      <t xml:space="preserve">(d.lgs. 39/2010: </t>
    </r>
    <r>
      <rPr>
        <sz val="10"/>
        <rFont val="WenQuanYi Zen Hei"/>
        <family val="2"/>
      </rPr>
      <t xml:space="preserve">독립성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감사인 순환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자금세탁방지</t>
    </r>
    <r>
      <rPr>
        <sz val="10"/>
        <rFont val="Noto Sans CJK SC"/>
        <family val="2"/>
        <charset val="1"/>
      </rPr>
      <t xml:space="preserve">(d.lgs. 231/2007), </t>
    </r>
    <r>
      <rPr>
        <sz val="10"/>
        <rFont val="WenQuanYi Zen Hei"/>
        <family val="2"/>
      </rPr>
      <t xml:space="preserve">특수관계자 거래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의견 종류</t>
    </r>
    <r>
      <rPr>
        <sz val="10"/>
        <rFont val="Noto Sans CJK SC"/>
        <family val="2"/>
        <charset val="1"/>
      </rPr>
      <t xml:space="preserve">(senza rilievi / con rilievi / negativo / impossibilità di esprimere un giudizio)</t>
    </r>
  </si>
  <si>
    <r>
      <rPr>
        <sz val="10"/>
        <rFont val="Arial"/>
        <family val="0"/>
        <charset val="1"/>
      </rPr>
      <t xml:space="preserve">B2~C1. </t>
    </r>
    <r>
      <rPr>
        <sz val="10"/>
        <rFont val="WenQuanYi Zen Hei"/>
        <family val="2"/>
      </rPr>
      <t xml:space="preserve">숫자 낭독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수동태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조건법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감사 보고서체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발성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일정한 속도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결론 문장에서 톤 낮춤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</si>
  <si>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Sofia: stato patrimoniale·conto economico·significatività </t>
    </r>
    <r>
      <rPr>
        <sz val="10"/>
        <rFont val="WenQuanYi Zen Hei"/>
        <family val="2"/>
      </rPr>
      <t xml:space="preserve">등 회계 용어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카드</t>
    </r>
    <r>
      <rPr>
        <sz val="10"/>
        <rFont val="Arial"/>
        <family val="0"/>
        <charset val="1"/>
      </rPr>
      <t xml:space="preserve">: d.lgs. 39/2010, </t>
    </r>
    <r>
      <rPr>
        <sz val="10"/>
        <rFont val="WenQuanYi Zen Hei"/>
        <family val="2"/>
      </rPr>
      <t xml:space="preserve">법정 감사인 등록부</t>
    </r>
    <r>
      <rPr>
        <sz val="10"/>
        <rFont val="Arial"/>
        <family val="0"/>
        <charset val="1"/>
      </rPr>
      <t xml:space="preserve">(Registro dei revisori legali), </t>
    </r>
    <r>
      <rPr>
        <sz val="10"/>
        <rFont val="WenQuanYi Zen Hei"/>
        <family val="2"/>
      </rPr>
      <t xml:space="preserve">기업 등록부</t>
    </r>
    <r>
      <rPr>
        <sz val="10"/>
        <rFont val="Arial"/>
        <family val="0"/>
        <charset val="1"/>
      </rPr>
      <t xml:space="preserve">(Registro delle imprese).</t>
    </r>
  </si>
  <si>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: Chiara — </t>
    </r>
    <r>
      <rPr>
        <sz val="10"/>
        <rFont val="WenQuanYi Zen Hei"/>
        <family val="2"/>
      </rPr>
      <t xml:space="preserve">그 의견서 이후 시작된 구조조정 명단의 주인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</si>
  <si>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La Consulente — </t>
    </r>
    <r>
      <rPr>
        <b val="true"/>
        <sz val="10"/>
        <color rgb="FFFFFFFF"/>
        <rFont val="WenQuanYi Zen Hei"/>
        <family val="2"/>
      </rPr>
      <t xml:space="preserve">컨설턴트   </t>
    </r>
    <r>
      <rPr>
        <b val="true"/>
        <sz val="10"/>
        <color rgb="FFFFFFFF"/>
        <rFont val="Arial"/>
        <family val="0"/>
        <charset val="1"/>
      </rPr>
      <t xml:space="preserve">|   </t>
    </r>
    <r>
      <rPr>
        <b val="true"/>
        <sz val="10"/>
        <color rgb="FFFFFFFF"/>
        <rFont val="WenQuanYi Zen Hei"/>
        <family val="2"/>
      </rPr>
      <t xml:space="preserve">난이도 </t>
    </r>
    <r>
      <rPr>
        <b val="true"/>
        <sz val="10"/>
        <color rgb="FFFFFFFF"/>
        <rFont val="Arial"/>
        <family val="0"/>
        <charset val="1"/>
      </rPr>
      <t xml:space="preserve">B2~C1   |   </t>
    </r>
    <r>
      <rPr>
        <b val="true"/>
        <sz val="10"/>
        <color rgb="FFFFFFFF"/>
        <rFont val="WenQuanYi Zen Hei"/>
        <family val="2"/>
      </rPr>
      <t xml:space="preserve">프레임</t>
    </r>
    <r>
      <rPr>
        <b val="true"/>
        <sz val="10"/>
        <color rgb="FFFFFFFF"/>
        <rFont val="Arial"/>
        <family val="0"/>
        <charset val="1"/>
      </rPr>
      <t xml:space="preserve">: </t>
    </r>
    <r>
      <rPr>
        <b val="true"/>
        <sz val="10"/>
        <color rgb="FFFFFFFF"/>
        <rFont val="WenQuanYi Zen Hei"/>
        <family val="2"/>
      </rPr>
      <t xml:space="preserve">금요일 밤</t>
    </r>
    <r>
      <rPr>
        <b val="true"/>
        <sz val="10"/>
        <color rgb="FFFFFFFF"/>
        <rFont val="Arial"/>
        <family val="0"/>
        <charset val="1"/>
      </rPr>
      <t xml:space="preserve">. </t>
    </r>
    <r>
      <rPr>
        <b val="true"/>
        <sz val="10"/>
        <color rgb="FFFFFFFF"/>
        <rFont val="WenQuanYi Zen Hei"/>
        <family val="2"/>
      </rPr>
      <t xml:space="preserve">과거</t>
    </r>
    <r>
      <rPr>
        <b val="true"/>
        <sz val="10"/>
        <color rgb="FFFFFFFF"/>
        <rFont val="Arial"/>
        <family val="0"/>
        <charset val="1"/>
      </rPr>
      <t xml:space="preserve">: </t>
    </r>
    <r>
      <rPr>
        <b val="true"/>
        <sz val="10"/>
        <color rgb="FFFFFFFF"/>
        <rFont val="WenQuanYi Zen Hei"/>
        <family val="2"/>
      </rPr>
      <t xml:space="preserve">약 </t>
    </r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년 전</t>
    </r>
    <r>
      <rPr>
        <b val="true"/>
        <sz val="10"/>
        <color rgb="FFFFFFFF"/>
        <rFont val="Arial"/>
        <family val="0"/>
        <charset val="1"/>
      </rPr>
      <t xml:space="preserve">, EUR </t>
    </r>
    <r>
      <rPr>
        <b val="true"/>
        <sz val="10"/>
        <color rgb="FFFFFFFF"/>
        <rFont val="WenQuanYi Zen Hei"/>
        <family val="2"/>
      </rPr>
      <t xml:space="preserve">오피스 타워 </t>
    </r>
    <r>
      <rPr>
        <b val="true"/>
        <sz val="10"/>
        <color rgb="FFFFFFFF"/>
        <rFont val="Arial"/>
        <family val="0"/>
        <charset val="1"/>
      </rPr>
      <t xml:space="preserve">32</t>
    </r>
    <r>
      <rPr>
        <b val="true"/>
        <sz val="10"/>
        <color rgb="FFFFFFFF"/>
        <rFont val="WenQuanYi Zen Hei"/>
        <family val="2"/>
      </rPr>
      <t xml:space="preserve">층의 </t>
    </r>
    <r>
      <rPr>
        <b val="true"/>
        <sz val="10"/>
        <color rgb="FFFFFFFF"/>
        <rFont val="Arial"/>
        <family val="0"/>
        <charset val="1"/>
      </rPr>
      <t xml:space="preserve">Zenit Consulting.</t>
    </r>
  </si>
  <si>
    <r>
      <rPr>
        <sz val="10"/>
        <rFont val="WenQuanYi Zen Hei"/>
        <family val="2"/>
      </rPr>
      <t xml:space="preserve">효율의 이름으로 사람이 숫자가 되는 순간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노동</t>
    </r>
    <r>
      <rPr>
        <sz val="10"/>
        <rFont val="Noto Sans CJK SC"/>
        <family val="2"/>
        <charset val="1"/>
      </rPr>
      <t xml:space="preserve">(Paolo), </t>
    </r>
    <r>
      <rPr>
        <sz val="10"/>
        <rFont val="WenQuanYi Zen Hei"/>
        <family val="2"/>
      </rPr>
      <t xml:space="preserve">청년 고용</t>
    </r>
    <r>
      <rPr>
        <sz val="10"/>
        <rFont val="Noto Sans CJK SC"/>
        <family val="2"/>
        <charset val="1"/>
      </rPr>
      <t xml:space="preserve">(S1), </t>
    </r>
    <r>
      <rPr>
        <sz val="10"/>
        <rFont val="WenQuanYi Zen Hei"/>
        <family val="2"/>
      </rPr>
      <t xml:space="preserve">영세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가족 기업 구조</t>
    </r>
    <r>
      <rPr>
        <sz val="10"/>
        <rFont val="Noto Sans CJK SC"/>
        <family val="2"/>
        <charset val="1"/>
      </rPr>
      <t xml:space="preserve">(E2)</t>
    </r>
    <r>
      <rPr>
        <sz val="10"/>
        <rFont val="WenQuanYi Zen Hei"/>
        <family val="2"/>
      </rPr>
      <t xml:space="preserve">를 도입하고 </t>
    </r>
    <r>
      <rPr>
        <sz val="10"/>
        <rFont val="Noto Sans CJK SC"/>
        <family val="2"/>
        <charset val="1"/>
      </rPr>
      <t xml:space="preserve">Chiara</t>
    </r>
    <r>
      <rPr>
        <sz val="10"/>
        <rFont val="WenQuanYi Zen Hei"/>
        <family val="2"/>
      </rPr>
      <t xml:space="preserve">의 말투 변화를 예고한다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</si>
  <si>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전략 컨설턴트가 영세 기업을 살리려던 낙관에서 출발해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대형 고객 구조조정 모델의 셀 하나가 </t>
    </r>
    <r>
      <rPr>
        <sz val="10"/>
        <rFont val="Noto Sans CJK SC"/>
        <family val="2"/>
        <charset val="1"/>
      </rPr>
      <t xml:space="preserve">412</t>
    </r>
    <r>
      <rPr>
        <sz val="10"/>
        <rFont val="WenQuanYi Zen Hei"/>
        <family val="2"/>
      </rPr>
      <t xml:space="preserve">명의 해고임을 알게 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</si>
  <si>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스케일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을 믿던 사람 → 사람을 숫자로 본 죄책감을 인정하는 사람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프레젠테이션 톤에서 솔직한 톤으로 가는 시작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</si>
  <si>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효율 </t>
    </r>
    <r>
      <rPr>
        <sz val="10"/>
        <rFont val="Noto Sans CJK SC"/>
        <family val="2"/>
        <charset val="1"/>
      </rPr>
      <t xml:space="preserve">vs </t>
    </r>
    <r>
      <rPr>
        <sz val="10"/>
        <rFont val="WenQuanYi Zen Hei"/>
        <family val="2"/>
      </rPr>
      <t xml:space="preserve">사람 </t>
    </r>
    <r>
      <rPr>
        <sz val="10"/>
        <rFont val="Noto Sans CJK SC"/>
        <family val="2"/>
        <charset val="1"/>
      </rPr>
      <t xml:space="preserve">/ </t>
    </r>
    <r>
      <rPr>
        <sz val="10"/>
        <rFont val="WenQuanYi Zen Hei"/>
        <family val="2"/>
      </rPr>
      <t xml:space="preserve">조직 충성 </t>
    </r>
    <r>
      <rPr>
        <sz val="10"/>
        <rFont val="Noto Sans CJK SC"/>
        <family val="2"/>
        <charset val="1"/>
      </rPr>
      <t xml:space="preserve">vs </t>
    </r>
    <r>
      <rPr>
        <sz val="10"/>
        <rFont val="WenQuanYi Zen Hei"/>
        <family val="2"/>
      </rPr>
      <t xml:space="preserve">양심</t>
    </r>
  </si>
  <si>
    <r>
      <rPr>
        <sz val="10"/>
        <rFont val="WenQuanYi Zen Hei"/>
        <family val="2"/>
      </rPr>
      <t xml:space="preserve">발단</t>
    </r>
    <r>
      <rPr>
        <sz val="10"/>
        <rFont val="Noto Sans CJK SC"/>
        <family val="2"/>
        <charset val="1"/>
      </rPr>
      <t xml:space="preserve">(1~3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매트릭스 프레임</t>
    </r>
    <r>
      <rPr>
        <sz val="10"/>
        <rFont val="Noto Sans CJK SC"/>
        <family val="2"/>
        <charset val="1"/>
      </rPr>
      <t xml:space="preserve">, Zenit 32</t>
    </r>
    <r>
      <rPr>
        <sz val="10"/>
        <rFont val="WenQuanYi Zen Hei"/>
        <family val="2"/>
      </rPr>
      <t xml:space="preserve">층</t>
    </r>
    <r>
      <rPr>
        <sz val="10"/>
        <rFont val="Noto Sans CJK SC"/>
        <family val="2"/>
        <charset val="1"/>
      </rPr>
      <t xml:space="preserve">, Ruggeri </t>
    </r>
    <r>
      <rPr>
        <sz val="10"/>
        <rFont val="WenQuanYi Zen Hei"/>
        <family val="2"/>
      </rPr>
      <t xml:space="preserve">공방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영세 기업의 실패</t>
    </r>
    <r>
      <rPr>
        <sz val="10"/>
        <rFont val="Noto Sans CJK SC"/>
        <family val="2"/>
        <charset val="1"/>
      </rPr>
      <t xml:space="preserve">).</t>
    </r>
  </si>
  <si>
    <r>
      <rPr>
        <sz val="10"/>
        <rFont val="WenQuanYi Zen Hei"/>
        <family val="2"/>
      </rPr>
      <t xml:space="preserve">전개</t>
    </r>
    <r>
      <rPr>
        <sz val="10"/>
        <rFont val="Noto Sans CJK SC"/>
        <family val="2"/>
        <charset val="1"/>
      </rPr>
      <t xml:space="preserve">(4~5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이카로 프로젝트 킥오프 </t>
    </r>
    <r>
      <rPr>
        <sz val="10"/>
        <rFont val="Noto Sans CJK SC"/>
        <family val="2"/>
        <charset val="1"/>
      </rPr>
      <t xml:space="preserve">/ </t>
    </r>
    <r>
      <rPr>
        <sz val="10"/>
        <rFont val="WenQuanYi Zen Hei"/>
        <family val="2"/>
      </rPr>
      <t xml:space="preserve">프레임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엑셀 한 장</t>
    </r>
    <r>
      <rPr>
        <sz val="10"/>
        <rFont val="Noto Sans CJK SC"/>
        <family val="2"/>
        <charset val="1"/>
      </rPr>
      <t xml:space="preserve">'.</t>
    </r>
  </si>
  <si>
    <r>
      <rPr>
        <sz val="10"/>
        <rFont val="WenQuanYi Zen Hei"/>
        <family val="2"/>
      </rPr>
      <t xml:space="preserve">미드포인트</t>
    </r>
    <r>
      <rPr>
        <sz val="10"/>
        <rFont val="Noto Sans CJK SC"/>
        <family val="2"/>
        <charset val="1"/>
      </rPr>
      <t xml:space="preserve">(6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C47 </t>
    </r>
    <r>
      <rPr>
        <sz val="10"/>
        <rFont val="WenQuanYi Zen Hei"/>
        <family val="2"/>
      </rPr>
      <t xml:space="preserve">셀 — </t>
    </r>
    <r>
      <rPr>
        <sz val="10"/>
        <rFont val="Noto Sans CJK SC"/>
        <family val="2"/>
        <charset val="1"/>
      </rPr>
      <t xml:space="preserve">412</t>
    </r>
    <r>
      <rPr>
        <sz val="10"/>
        <rFont val="WenQuanYi Zen Hei"/>
        <family val="2"/>
      </rPr>
      <t xml:space="preserve">개 일자리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스푸만테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</si>
  <si>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위기</t>
    </r>
    <r>
      <rPr>
        <sz val="10"/>
        <rFont val="Noto Sans CJK SC"/>
        <family val="2"/>
        <charset val="1"/>
      </rPr>
      <t xml:space="preserve">(7~9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협상 테이블에서 </t>
    </r>
    <r>
      <rPr>
        <sz val="10"/>
        <rFont val="Noto Sans CJK SC"/>
        <family val="2"/>
        <charset val="1"/>
      </rPr>
      <t xml:space="preserve">Paolo</t>
    </r>
    <r>
      <rPr>
        <sz val="10"/>
        <rFont val="WenQuanYi Zen Hei"/>
        <family val="2"/>
      </rPr>
      <t xml:space="preserve">와 대면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잘못 보낸 이메일과 </t>
    </r>
    <r>
      <rPr>
        <sz val="10"/>
        <rFont val="Noto Sans CJK SC"/>
        <family val="2"/>
        <charset val="1"/>
      </rPr>
      <t xml:space="preserve">Montessori </t>
    </r>
    <r>
      <rPr>
        <sz val="10"/>
        <rFont val="WenQuanYi Zen Hei"/>
        <family val="2"/>
      </rPr>
      <t xml:space="preserve">상담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프레임 </t>
    </r>
    <r>
      <rPr>
        <sz val="10"/>
        <rFont val="Noto Sans CJK SC"/>
        <family val="2"/>
        <charset val="1"/>
      </rPr>
      <t xml:space="preserve">'412'.</t>
    </r>
  </si>
  <si>
    <r>
      <rPr>
        <sz val="10"/>
        <rFont val="WenQuanYi Zen Hei"/>
        <family val="2"/>
      </rPr>
      <t xml:space="preserve">절정</t>
    </r>
    <r>
      <rPr>
        <sz val="10"/>
        <rFont val="Noto Sans CJK SC"/>
        <family val="2"/>
        <charset val="1"/>
      </rPr>
      <t xml:space="preserve">(10~11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파업과 </t>
    </r>
    <r>
      <rPr>
        <sz val="10"/>
        <rFont val="Noto Sans CJK SC"/>
        <family val="2"/>
        <charset val="1"/>
      </rPr>
      <t xml:space="preserve">Paolo</t>
    </r>
    <r>
      <rPr>
        <sz val="10"/>
        <rFont val="WenQuanYi Zen Hei"/>
        <family val="2"/>
      </rPr>
      <t xml:space="preserve">의 해고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마지막 회의에서 사직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</si>
  <si>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결말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훅</t>
    </r>
    <r>
      <rPr>
        <sz val="10"/>
        <rFont val="Noto Sans CJK SC"/>
        <family val="2"/>
        <charset val="1"/>
      </rPr>
      <t xml:space="preserve">(12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프레임 — 네 명이 같은 강당에 모인 콰르티촐로의 화요일 예고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</si>
  <si>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Chiara: </t>
    </r>
    <r>
      <rPr>
        <sz val="10"/>
        <rFont val="WenQuanYi Zen Hei"/>
        <family val="2"/>
      </rPr>
      <t xml:space="preserve">영어식 경영 용어가 섞인 빠른 말투</t>
    </r>
    <r>
      <rPr>
        <sz val="10"/>
        <rFont val="Arial"/>
        <family val="0"/>
        <charset val="1"/>
      </rPr>
      <t xml:space="preserve">(itanglese). </t>
    </r>
    <r>
      <rPr>
        <sz val="10"/>
        <rFont val="WenQuanYi Zen Hei"/>
        <family val="2"/>
      </rPr>
      <t xml:space="preserve">가상 인물</t>
    </r>
    <r>
      <rPr>
        <sz val="10"/>
        <rFont val="Arial"/>
        <family val="0"/>
        <charset val="1"/>
      </rPr>
      <t xml:space="preserve">: Ruggeri(</t>
    </r>
    <r>
      <rPr>
        <sz val="10"/>
        <rFont val="WenQuanYi Zen Hei"/>
        <family val="2"/>
      </rPr>
      <t xml:space="preserve">공방 주인</t>
    </r>
    <r>
      <rPr>
        <sz val="10"/>
        <rFont val="Arial"/>
        <family val="0"/>
        <charset val="1"/>
      </rPr>
      <t xml:space="preserve">), Zenit </t>
    </r>
    <r>
      <rPr>
        <sz val="10"/>
        <rFont val="WenQuanYi Zen Hei"/>
        <family val="2"/>
      </rPr>
      <t xml:space="preserve">파트너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교차 카메오</t>
    </r>
    <r>
      <rPr>
        <sz val="10"/>
        <rFont val="Arial"/>
        <family val="0"/>
        <charset val="1"/>
      </rPr>
      <t xml:space="preserve">: Paolo(</t>
    </r>
    <r>
      <rPr>
        <sz val="10"/>
        <rFont val="WenQuanYi Zen Hei"/>
        <family val="2"/>
      </rPr>
      <t xml:space="preserve">협상 상대</t>
    </r>
    <r>
      <rPr>
        <sz val="10"/>
        <rFont val="Arial"/>
        <family val="0"/>
        <charset val="1"/>
      </rPr>
      <t xml:space="preserve">), Montessori(</t>
    </r>
    <r>
      <rPr>
        <sz val="10"/>
        <rFont val="WenQuanYi Zen Hei"/>
        <family val="2"/>
      </rPr>
      <t xml:space="preserve">상담</t>
    </r>
    <r>
      <rPr>
        <sz val="10"/>
        <rFont val="Arial"/>
        <family val="0"/>
        <charset val="1"/>
      </rPr>
      <t xml:space="preserve">), Alessandro(</t>
    </r>
    <r>
      <rPr>
        <sz val="10"/>
        <rFont val="WenQuanYi Zen Hei"/>
        <family val="2"/>
      </rPr>
      <t xml:space="preserve">프레임</t>
    </r>
    <r>
      <rPr>
        <sz val="10"/>
        <rFont val="Arial"/>
        <family val="0"/>
        <charset val="1"/>
      </rPr>
      <t xml:space="preserve">).</t>
    </r>
  </si>
  <si>
    <r>
      <rPr>
        <sz val="10"/>
        <rFont val="Arial"/>
        <family val="0"/>
        <charset val="1"/>
      </rPr>
      <t xml:space="preserve">C47 </t>
    </r>
    <r>
      <rPr>
        <sz val="10"/>
        <rFont val="WenQuanYi Zen Hei"/>
        <family val="2"/>
      </rPr>
      <t xml:space="preserve">셀</t>
    </r>
    <r>
      <rPr>
        <sz val="10"/>
        <rFont val="Arial"/>
        <family val="0"/>
        <charset val="1"/>
      </rPr>
      <t xml:space="preserve">(→11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화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해고 없는 통합</t>
    </r>
    <r>
      <rPr>
        <sz val="10"/>
        <rFont val="Arial"/>
        <family val="0"/>
        <charset val="1"/>
      </rPr>
      <t xml:space="preserve">') / Paolo–Chiara </t>
    </r>
    <r>
      <rPr>
        <sz val="10"/>
        <rFont val="WenQuanYi Zen Hei"/>
        <family val="2"/>
      </rPr>
      <t xml:space="preserve">갈등</t>
    </r>
    <r>
      <rPr>
        <sz val="10"/>
        <rFont val="Arial"/>
        <family val="0"/>
        <charset val="1"/>
      </rPr>
      <t xml:space="preserve">(→8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9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화 화해</t>
    </r>
    <r>
      <rPr>
        <sz val="10"/>
        <rFont val="Arial"/>
        <family val="0"/>
        <charset val="1"/>
      </rPr>
      <t xml:space="preserve">) / «Ok, senza slide»(→6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, 13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</si>
  <si>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t xml:space="preserve">E2● S1○</t>
  </si>
  <si>
    <r>
      <rPr>
        <sz val="10"/>
        <rFont val="WenQuanYi Zen Hei"/>
        <family val="2"/>
      </rPr>
      <t xml:space="preserve">집단해고</t>
    </r>
    <r>
      <rPr>
        <sz val="10"/>
        <rFont val="Noto Sans CJK SC"/>
        <family val="2"/>
        <charset val="1"/>
      </rPr>
      <t xml:space="preserve">(legge 223/1991: </t>
    </r>
    <r>
      <rPr>
        <sz val="10"/>
        <rFont val="WenQuanYi Zen Hei"/>
        <family val="2"/>
      </rPr>
      <t xml:space="preserve">노조 협의 </t>
    </r>
    <r>
      <rPr>
        <sz val="10"/>
        <rFont val="Noto Sans CJK SC"/>
        <family val="2"/>
        <charset val="1"/>
      </rPr>
      <t xml:space="preserve">45</t>
    </r>
    <r>
      <rPr>
        <sz val="10"/>
        <rFont val="WenQuanYi Zen Hei"/>
        <family val="2"/>
      </rPr>
      <t xml:space="preserve">일 </t>
    </r>
    <r>
      <rPr>
        <sz val="10"/>
        <rFont val="Noto Sans CJK SC"/>
        <family val="2"/>
        <charset val="1"/>
      </rPr>
      <t xml:space="preserve">+ </t>
    </r>
    <r>
      <rPr>
        <sz val="10"/>
        <rFont val="WenQuanYi Zen Hei"/>
        <family val="2"/>
      </rPr>
      <t xml:space="preserve">행정 단계 </t>
    </r>
    <r>
      <rPr>
        <sz val="10"/>
        <rFont val="Noto Sans CJK SC"/>
        <family val="2"/>
        <charset val="1"/>
      </rPr>
      <t xml:space="preserve">30</t>
    </r>
    <r>
      <rPr>
        <sz val="10"/>
        <rFont val="WenQuanYi Zen Hei"/>
        <family val="2"/>
      </rPr>
      <t xml:space="preserve">일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노조 대표</t>
    </r>
    <r>
      <rPr>
        <sz val="10"/>
        <rFont val="Noto Sans CJK SC"/>
        <family val="2"/>
        <charset val="1"/>
      </rPr>
      <t xml:space="preserve">(RSU), </t>
    </r>
    <r>
      <rPr>
        <sz val="10"/>
        <rFont val="WenQuanYi Zen Hei"/>
        <family val="2"/>
      </rPr>
      <t xml:space="preserve">파업권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40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영세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가족 기업 구조</t>
    </r>
  </si>
  <si>
    <r>
      <rPr>
        <sz val="10"/>
        <rFont val="Arial"/>
        <family val="0"/>
        <charset val="1"/>
      </rPr>
      <t xml:space="preserve">B2~C1. </t>
    </r>
    <r>
      <rPr>
        <sz val="10"/>
        <rFont val="WenQuanYi Zen Hei"/>
        <family val="2"/>
      </rPr>
      <t xml:space="preserve">경영 외래어</t>
    </r>
    <r>
      <rPr>
        <sz val="10"/>
        <rFont val="Arial"/>
        <family val="0"/>
        <charset val="1"/>
      </rPr>
      <t xml:space="preserve">(allineare, scalabile, KPI), </t>
    </r>
    <r>
      <rPr>
        <sz val="10"/>
        <rFont val="WenQuanYi Zen Hei"/>
        <family val="2"/>
      </rPr>
      <t xml:space="preserve">프레젠테이션 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발성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숨 가쁜 톤에서 느린 솔직한 톤으로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</si>
  <si>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Sofia: stakeholder·scalare·sinergia·KPI </t>
    </r>
    <r>
      <rPr>
        <sz val="10"/>
        <rFont val="WenQuanYi Zen Hei"/>
        <family val="2"/>
      </rPr>
      <t xml:space="preserve">등 경영 용어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카드</t>
    </r>
    <r>
      <rPr>
        <sz val="10"/>
        <rFont val="Arial"/>
        <family val="0"/>
        <charset val="1"/>
      </rPr>
      <t xml:space="preserve">: legge 223/1991, </t>
    </r>
    <r>
      <rPr>
        <sz val="10"/>
        <rFont val="WenQuanYi Zen Hei"/>
        <family val="2"/>
      </rPr>
      <t xml:space="preserve">노동자 헌장</t>
    </r>
    <r>
      <rPr>
        <sz val="10"/>
        <rFont val="Arial"/>
        <family val="0"/>
        <charset val="1"/>
      </rPr>
      <t xml:space="preserve">(Statuto dei lavoratori, legge 300/1970).</t>
    </r>
  </si>
  <si>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콰르티촐로 — 네 사람이 같은 총회에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</si>
  <si>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L'Incontro — </t>
    </r>
    <r>
      <rPr>
        <b val="true"/>
        <sz val="10"/>
        <color rgb="FFFFFFFF"/>
        <rFont val="WenQuanYi Zen Hei"/>
        <family val="2"/>
      </rPr>
      <t xml:space="preserve">운명적 만남   </t>
    </r>
    <r>
      <rPr>
        <b val="true"/>
        <sz val="10"/>
        <color rgb="FFFFFFFF"/>
        <rFont val="Arial"/>
        <family val="0"/>
        <charset val="1"/>
      </rPr>
      <t xml:space="preserve">|   </t>
    </r>
    <r>
      <rPr>
        <b val="true"/>
        <sz val="10"/>
        <color rgb="FFFFFFFF"/>
        <rFont val="WenQuanYi Zen Hei"/>
        <family val="2"/>
      </rPr>
      <t xml:space="preserve">난이도 </t>
    </r>
    <r>
      <rPr>
        <b val="true"/>
        <sz val="10"/>
        <color rgb="FFFFFFFF"/>
        <rFont val="Arial"/>
        <family val="0"/>
        <charset val="1"/>
      </rPr>
      <t xml:space="preserve">B2   |   </t>
    </r>
    <r>
      <rPr>
        <b val="true"/>
        <sz val="10"/>
        <color rgb="FFFFFFFF"/>
        <rFont val="WenQuanYi Zen Hei"/>
        <family val="2"/>
      </rPr>
      <t xml:space="preserve">약 </t>
    </r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년 전</t>
    </r>
    <r>
      <rPr>
        <b val="true"/>
        <sz val="10"/>
        <color rgb="FFFFFFFF"/>
        <rFont val="Arial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부보다 앞</t>
    </r>
    <r>
      <rPr>
        <b val="true"/>
        <sz val="10"/>
        <color rgb="FFFFFFFF"/>
        <rFont val="Arial"/>
        <family val="0"/>
        <charset val="1"/>
      </rPr>
      <t xml:space="preserve">). Quarticciolo '14</t>
    </r>
    <r>
      <rPr>
        <b val="true"/>
        <sz val="10"/>
        <color rgb="FFFFFFFF"/>
        <rFont val="WenQuanYi Zen Hei"/>
        <family val="2"/>
      </rPr>
      <t xml:space="preserve">번 동</t>
    </r>
    <r>
      <rPr>
        <b val="true"/>
        <sz val="10"/>
        <color rgb="FFFFFFFF"/>
        <rFont val="Arial"/>
        <family val="0"/>
        <charset val="1"/>
      </rPr>
      <t xml:space="preserve">(lotto 14)' → Testaccio </t>
    </r>
    <r>
      <rPr>
        <b val="true"/>
        <sz val="10"/>
        <color rgb="FFFFFFFF"/>
        <rFont val="WenQuanYi Zen Hei"/>
        <family val="2"/>
      </rPr>
      <t xml:space="preserve">사무소 개소</t>
    </r>
    <r>
      <rPr>
        <b val="true"/>
        <sz val="10"/>
        <color rgb="FFFFFFFF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</si>
  <si>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퍼즐 완성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네 개의 과거가 하나의 이름</t>
    </r>
    <r>
      <rPr>
        <sz val="10"/>
        <rFont val="Noto Sans CJK SC"/>
        <family val="2"/>
        <charset val="1"/>
      </rPr>
      <t xml:space="preserve">(Gruppo Meridiano)</t>
    </r>
    <r>
      <rPr>
        <sz val="10"/>
        <rFont val="WenQuanYi Zen Hei"/>
        <family val="2"/>
      </rPr>
      <t xml:space="preserve">으로 수렴하고 팀이 결성된다</t>
    </r>
    <r>
      <rPr>
        <sz val="10"/>
        <rFont val="Noto Sans CJK SC"/>
        <family val="2"/>
        <charset val="1"/>
      </rPr>
      <t xml:space="preserve">. 1</t>
    </r>
    <r>
      <rPr>
        <sz val="10"/>
        <rFont val="WenQuanYi Zen Hei"/>
        <family val="2"/>
      </rPr>
      <t xml:space="preserve">부의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왜</t>
    </r>
    <r>
      <rPr>
        <sz val="10"/>
        <rFont val="Noto Sans CJK SC"/>
        <family val="2"/>
        <charset val="1"/>
      </rPr>
      <t xml:space="preserve">?'</t>
    </r>
    <r>
      <rPr>
        <sz val="10"/>
        <rFont val="WenQuanYi Zen Hei"/>
        <family val="2"/>
      </rPr>
      <t xml:space="preserve">에 대한 대답이자 시간의 고리를 닫는 아크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</si>
  <si>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각자 무너진 네 사람이 같은 건물을 지키려고 모였다가 자기들이 서로 다른 얼굴의 같은 회사를 도왔음을 알게 되고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서로를 비난한 끝에 처음으로 함께 이긴다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</si>
  <si>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혼자 무너진 네 사람 → 서로의 죄를 아는 팀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</si>
  <si>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서로에 대한 책임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공모</t>
    </r>
    <r>
      <rPr>
        <sz val="10"/>
        <rFont val="Noto Sans CJK SC"/>
        <family val="2"/>
        <charset val="1"/>
      </rPr>
      <t xml:space="preserve">) vs </t>
    </r>
    <r>
      <rPr>
        <sz val="10"/>
        <rFont val="WenQuanYi Zen Hei"/>
        <family val="2"/>
      </rPr>
      <t xml:space="preserve">함께 속죄</t>
    </r>
  </si>
  <si>
    <r>
      <rPr>
        <sz val="10"/>
        <rFont val="WenQuanYi Zen Hei"/>
        <family val="2"/>
      </rPr>
      <t xml:space="preserve">발단</t>
    </r>
    <r>
      <rPr>
        <sz val="10"/>
        <rFont val="Noto Sans CJK SC"/>
        <family val="2"/>
        <charset val="1"/>
      </rPr>
      <t xml:space="preserve">(1~3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콰르티촐로의 화요일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낯선 넷</t>
    </r>
    <r>
      <rPr>
        <sz val="10"/>
        <rFont val="Noto Sans CJK SC"/>
        <family val="2"/>
        <charset val="1"/>
      </rPr>
      <t xml:space="preserve">, 14</t>
    </r>
    <r>
      <rPr>
        <sz val="10"/>
        <rFont val="WenQuanYi Zen Hei"/>
        <family val="2"/>
      </rPr>
      <t xml:space="preserve">번 동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</si>
  <si>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전개</t>
    </r>
    <r>
      <rPr>
        <sz val="10"/>
        <rFont val="Noto Sans CJK SC"/>
        <family val="2"/>
        <charset val="1"/>
      </rPr>
      <t xml:space="preserve">(4~5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계단의 밤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첫 속내</t>
    </r>
    <r>
      <rPr>
        <sz val="10"/>
        <rFont val="Noto Sans CJK SC"/>
        <family val="2"/>
        <charset val="1"/>
      </rPr>
      <t xml:space="preserve">), Alessandro</t>
    </r>
    <r>
      <rPr>
        <sz val="10"/>
        <rFont val="WenQuanYi Zen Hei"/>
        <family val="2"/>
      </rPr>
      <t xml:space="preserve">의 서류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</si>
  <si>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미드포인트</t>
    </r>
    <r>
      <rPr>
        <sz val="10"/>
        <rFont val="Noto Sans CJK SC"/>
        <family val="2"/>
        <charset val="1"/>
      </rPr>
      <t xml:space="preserve">(6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'</t>
    </r>
    <r>
      <rPr>
        <sz val="10"/>
        <rFont val="WenQuanYi Zen Hei"/>
        <family val="2"/>
      </rPr>
      <t xml:space="preserve">같은 이름</t>
    </r>
    <r>
      <rPr>
        <sz val="10"/>
        <rFont val="Noto Sans CJK SC"/>
        <family val="2"/>
        <charset val="1"/>
      </rPr>
      <t xml:space="preserve">' — </t>
    </r>
    <r>
      <rPr>
        <sz val="10"/>
        <rFont val="WenQuanYi Zen Hei"/>
        <family val="2"/>
      </rPr>
      <t xml:space="preserve">네 개의 과거가 </t>
    </r>
    <r>
      <rPr>
        <sz val="10"/>
        <rFont val="Noto Sans CJK SC"/>
        <family val="2"/>
        <charset val="1"/>
      </rPr>
      <t xml:space="preserve">Meridiano </t>
    </r>
    <r>
      <rPr>
        <sz val="10"/>
        <rFont val="WenQuanYi Zen Hei"/>
        <family val="2"/>
      </rPr>
      <t xml:space="preserve">하나로 이어진다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</si>
  <si>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위기</t>
    </r>
    <r>
      <rPr>
        <sz val="10"/>
        <rFont val="Noto Sans CJK SC"/>
        <family val="2"/>
        <charset val="1"/>
      </rPr>
      <t xml:space="preserve">(7~9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서로에 대한 비난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퇴거 아침 영시의 협업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첫 정지 승리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</si>
  <si>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절정</t>
    </r>
    <r>
      <rPr>
        <sz val="10"/>
        <rFont val="Noto Sans CJK SC"/>
        <family val="2"/>
        <charset val="1"/>
      </rPr>
      <t xml:space="preserve">(10~11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테스타초의 가게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식탁의 규칙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금요일 이야기 전통</t>
    </r>
    <r>
      <rPr>
        <sz val="10"/>
        <rFont val="Noto Sans CJK SC"/>
        <family val="2"/>
        <charset val="1"/>
      </rPr>
      <t xml:space="preserve">).</t>
    </r>
  </si>
  <si>
    <r>
      <rPr>
        <sz val="10"/>
        <rFont val="WenQuanYi Zen Hei"/>
        <family val="2"/>
      </rPr>
      <t xml:space="preserve">결말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훅</t>
    </r>
    <r>
      <rPr>
        <sz val="10"/>
        <rFont val="Noto Sans CJK SC"/>
        <family val="2"/>
        <charset val="1"/>
      </rPr>
      <t xml:space="preserve">(12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간판이 걸리고 </t>
    </r>
    <r>
      <rPr>
        <sz val="10"/>
        <rFont val="Noto Sans CJK SC"/>
        <family val="2"/>
        <charset val="1"/>
      </rPr>
      <t xml:space="preserve">«Domani, alle cinque.» → 1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화로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</si>
  <si>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합류 순서</t>
    </r>
    <r>
      <rPr>
        <sz val="10"/>
        <rFont val="Noto Sans CJK SC"/>
        <family val="2"/>
        <charset val="1"/>
      </rPr>
      <t xml:space="preserve">: Sofia·Marina(1) → Paolo·Garibaldi(3) → Rosa·Cesare(4) → Machiavelli(5) → Gramsci·Galileo(8) → Dante·Montessori(9) → Francesco(10). Sofia</t>
    </r>
    <r>
      <rPr>
        <sz val="10"/>
        <rFont val="WenQuanYi Zen Hei"/>
        <family val="2"/>
      </rPr>
      <t xml:space="preserve">는 이 건물의 세입자로 인턴이 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부활자들이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어디서 왔는지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는 끝내 설명하지 않는다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</si>
  <si>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첫 회의 대사</t>
    </r>
    <r>
      <rPr>
        <sz val="10"/>
        <rFont val="Noto Sans CJK SC"/>
        <family val="2"/>
        <charset val="1"/>
      </rPr>
      <t xml:space="preserve">(→1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 / </t>
    </r>
    <r>
      <rPr>
        <sz val="10"/>
        <rFont val="WenQuanYi Zen Hei"/>
        <family val="2"/>
      </rPr>
      <t xml:space="preserve">금요일 이야기 규칙</t>
    </r>
    <r>
      <rPr>
        <sz val="10"/>
        <rFont val="Noto Sans CJK SC"/>
        <family val="2"/>
        <charset val="1"/>
      </rPr>
      <t xml:space="preserve">(→2~5</t>
    </r>
    <r>
      <rPr>
        <sz val="10"/>
        <rFont val="WenQuanYi Zen Hei"/>
        <family val="2"/>
      </rPr>
      <t xml:space="preserve">부 프레임</t>
    </r>
    <r>
      <rPr>
        <sz val="10"/>
        <rFont val="Noto Sans CJK SC"/>
        <family val="2"/>
        <charset val="1"/>
      </rPr>
      <t xml:space="preserve">) / Santoro</t>
    </r>
    <r>
      <rPr>
        <sz val="10"/>
        <rFont val="WenQuanYi Zen Hei"/>
        <family val="2"/>
      </rPr>
      <t xml:space="preserve">의 이름</t>
    </r>
    <r>
      <rPr>
        <sz val="10"/>
        <rFont val="Noto Sans CJK SC"/>
        <family val="2"/>
        <charset val="1"/>
      </rPr>
      <t xml:space="preserve">(→7</t>
    </r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, 9</t>
    </r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)</t>
    </r>
  </si>
  <si>
    <t xml:space="preserve">E1● S2● S1○</t>
  </si>
  <si>
    <r>
      <rPr>
        <sz val="10"/>
        <rFont val="WenQuanYi Zen Hei"/>
        <family val="2"/>
      </rPr>
      <t xml:space="preserve">퇴거 집행과 집행 정지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공공주택 매각분</t>
    </r>
    <r>
      <rPr>
        <sz val="10"/>
        <rFont val="Noto Sans CJK SC"/>
        <family val="2"/>
        <charset val="1"/>
      </rPr>
      <t xml:space="preserve">(dismissioni)</t>
    </r>
    <r>
      <rPr>
        <sz val="10"/>
        <rFont val="WenQuanYi Zen Hei"/>
        <family val="2"/>
      </rPr>
      <t xml:space="preserve">의 민간 소유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소유 구조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부동산 투자펀드</t>
    </r>
    <r>
      <rPr>
        <sz val="10"/>
        <rFont val="Noto Sans CJK SC"/>
        <family val="2"/>
        <charset val="1"/>
      </rPr>
      <t xml:space="preserve">·SIIQ), </t>
    </r>
    <r>
      <rPr>
        <sz val="10"/>
        <rFont val="WenQuanYi Zen Hei"/>
        <family val="2"/>
      </rPr>
      <t xml:space="preserve">소규모 임대인과 협약 임대료</t>
    </r>
    <r>
      <rPr>
        <sz val="10"/>
        <rFont val="Noto Sans CJK SC"/>
        <family val="2"/>
        <charset val="1"/>
      </rPr>
      <t xml:space="preserve">(canone concordato)</t>
    </r>
  </si>
  <si>
    <r>
      <rPr>
        <sz val="10"/>
        <rFont val="Arial"/>
        <family val="0"/>
        <charset val="1"/>
      </rPr>
      <t xml:space="preserve">B2. </t>
    </r>
    <r>
      <rPr>
        <sz val="10"/>
        <rFont val="WenQuanYi Zen Hei"/>
        <family val="2"/>
      </rPr>
      <t xml:space="preserve">감정 폭발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설득 구어체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다툼과 화해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발성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소리 높임과 회복의 대비</t>
    </r>
    <r>
      <rPr>
        <sz val="10"/>
        <rFont val="Arial"/>
        <family val="0"/>
        <charset val="1"/>
      </rPr>
      <t xml:space="preserve">. Lei → tu </t>
    </r>
    <r>
      <rPr>
        <sz val="10"/>
        <rFont val="WenQuanYi Zen Hei"/>
        <family val="2"/>
      </rPr>
      <t xml:space="preserve">전환의 시작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</si>
  <si>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Sofia: «Cos'è un fondo avvoltoio?» </t>
    </r>
    <r>
      <rPr>
        <sz val="10"/>
        <rFont val="WenQuanYi Zen Hei"/>
        <family val="2"/>
      </rPr>
      <t xml:space="preserve">등 소유 구조 용어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카드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기업 등록부</t>
    </r>
    <r>
      <rPr>
        <sz val="10"/>
        <rFont val="Arial"/>
        <family val="0"/>
        <charset val="1"/>
      </rPr>
      <t xml:space="preserve">(Registro delle imprese), </t>
    </r>
    <r>
      <rPr>
        <sz val="10"/>
        <rFont val="WenQuanYi Zen Hei"/>
        <family val="2"/>
      </rPr>
      <t xml:space="preserve">퇴거 집행 연기 규정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</si>
  <si>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화 — 원이 닫힌다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그리고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부로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</si>
  <si>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La Rete della Resistenza — </t>
    </r>
    <r>
      <rPr>
        <b val="true"/>
        <sz val="10"/>
        <color rgb="FFFFFFFF"/>
        <rFont val="WenQuanYi Zen Hei"/>
        <family val="2"/>
      </rPr>
      <t xml:space="preserve">전면전   </t>
    </r>
    <r>
      <rPr>
        <b val="true"/>
        <sz val="10"/>
        <color rgb="FFFFFFFF"/>
        <rFont val="Arial"/>
        <family val="0"/>
        <charset val="1"/>
      </rPr>
      <t xml:space="preserve">|   </t>
    </r>
    <r>
      <rPr>
        <b val="true"/>
        <sz val="10"/>
        <color rgb="FFFFFFFF"/>
        <rFont val="WenQuanYi Zen Hei"/>
        <family val="2"/>
      </rPr>
      <t xml:space="preserve">난이도 </t>
    </r>
    <r>
      <rPr>
        <b val="true"/>
        <sz val="10"/>
        <color rgb="FFFFFFFF"/>
        <rFont val="Arial"/>
        <family val="0"/>
        <charset val="1"/>
      </rPr>
      <t xml:space="preserve">B2~C1   |   </t>
    </r>
    <r>
      <rPr>
        <b val="true"/>
        <sz val="10"/>
        <color rgb="FFFFFFFF"/>
        <rFont val="WenQuanYi Zen Hei"/>
        <family val="2"/>
      </rPr>
      <t xml:space="preserve">사무소 개소 </t>
    </r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년 후</t>
    </r>
    <r>
      <rPr>
        <b val="true"/>
        <sz val="10"/>
        <color rgb="FFFFFFFF"/>
        <rFont val="Arial"/>
        <family val="0"/>
        <charset val="1"/>
      </rPr>
      <t xml:space="preserve">. </t>
    </r>
    <r>
      <rPr>
        <b val="true"/>
        <sz val="10"/>
        <color rgb="FFFFFFFF"/>
        <rFont val="WenQuanYi Zen Hei"/>
        <family val="2"/>
      </rPr>
      <t xml:space="preserve">법원</t>
    </r>
    <r>
      <rPr>
        <b val="true"/>
        <sz val="10"/>
        <color rgb="FFFFFFFF"/>
        <rFont val="Arial"/>
        <family val="0"/>
        <charset val="1"/>
      </rPr>
      <t xml:space="preserve">(Piazzale Clodio), Campidoglio </t>
    </r>
    <r>
      <rPr>
        <b val="true"/>
        <sz val="10"/>
        <color rgb="FFFFFFFF"/>
        <rFont val="WenQuanYi Zen Hei"/>
        <family val="2"/>
      </rPr>
      <t xml:space="preserve">앞</t>
    </r>
    <r>
      <rPr>
        <b val="true"/>
        <sz val="10"/>
        <color rgb="FFFFFFFF"/>
        <rFont val="Arial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로마 전역</t>
    </r>
    <r>
      <rPr>
        <b val="true"/>
        <sz val="10"/>
        <color rgb="FFFFFFFF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</si>
  <si>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전문 능력이 결합되어 첫 결정적 승리를 얻지만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판결이 법 앞에서 무력할 수 있음을 배운다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정치의 필요성을 낳는 아크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</si>
  <si>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사무소가 고발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내부고발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보도를 결합해 </t>
    </r>
    <r>
      <rPr>
        <sz val="10"/>
        <rFont val="Noto Sans CJK SC"/>
        <family val="2"/>
        <charset val="1"/>
      </rPr>
      <t xml:space="preserve">Gruppo Meridiano</t>
    </r>
    <r>
      <rPr>
        <sz val="10"/>
        <rFont val="WenQuanYi Zen Hei"/>
        <family val="2"/>
      </rPr>
      <t xml:space="preserve">를 상대로 전면전을 벌이고 수사를 이끌어 내지만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그 승리를 뒤집을 법이 준비되고 있음을 알게 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</si>
  <si>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사건을 푸는 사무소 → 법을 바꿔야 한다는 결론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</si>
  <si>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합법 </t>
    </r>
    <r>
      <rPr>
        <sz val="10"/>
        <rFont val="Noto Sans CJK SC"/>
        <family val="2"/>
        <charset val="1"/>
      </rPr>
      <t xml:space="preserve">vs </t>
    </r>
    <r>
      <rPr>
        <sz val="10"/>
        <rFont val="WenQuanYi Zen Hei"/>
        <family val="2"/>
      </rPr>
      <t xml:space="preserve">효율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도청기</t>
    </r>
    <r>
      <rPr>
        <sz val="10"/>
        <rFont val="Noto Sans CJK SC"/>
        <family val="2"/>
        <charset val="1"/>
      </rPr>
      <t xml:space="preserve">) / </t>
    </r>
    <r>
      <rPr>
        <sz val="10"/>
        <rFont val="WenQuanYi Zen Hei"/>
        <family val="2"/>
      </rPr>
      <t xml:space="preserve">승리의 지속 가능성</t>
    </r>
  </si>
  <si>
    <r>
      <rPr>
        <sz val="10"/>
        <rFont val="WenQuanYi Zen Hei"/>
        <family val="2"/>
      </rPr>
      <t xml:space="preserve">발단</t>
    </r>
    <r>
      <rPr>
        <sz val="10"/>
        <rFont val="Noto Sans CJK SC"/>
        <family val="2"/>
        <charset val="1"/>
      </rPr>
      <t xml:space="preserve">(1~3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1</t>
    </r>
    <r>
      <rPr>
        <sz val="10"/>
        <rFont val="WenQuanYi Zen Hei"/>
        <family val="2"/>
      </rPr>
      <t xml:space="preserve">년 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계단 위의 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피해자를 벌한 시간</t>
    </r>
    <r>
      <rPr>
        <sz val="10"/>
        <rFont val="Noto Sans CJK SC"/>
        <family val="2"/>
        <charset val="1"/>
      </rPr>
      <t xml:space="preserve">(N4).</t>
    </r>
  </si>
  <si>
    <r>
      <rPr>
        <sz val="10"/>
        <rFont val="WenQuanYi Zen Hei"/>
        <family val="2"/>
      </rPr>
      <t xml:space="preserve">전개</t>
    </r>
    <r>
      <rPr>
        <sz val="10"/>
        <rFont val="Noto Sans CJK SC"/>
        <family val="2"/>
        <charset val="1"/>
      </rPr>
      <t xml:space="preserve">(4~5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서류 없는 사람들</t>
    </r>
    <r>
      <rPr>
        <sz val="10"/>
        <rFont val="Noto Sans CJK SC"/>
        <family val="2"/>
        <charset val="1"/>
      </rPr>
      <t xml:space="preserve">(S2), Francesco</t>
    </r>
    <r>
      <rPr>
        <sz val="10"/>
        <rFont val="WenQuanYi Zen Hei"/>
        <family val="2"/>
      </rPr>
      <t xml:space="preserve">의 제보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</si>
  <si>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미드포인트</t>
    </r>
    <r>
      <rPr>
        <sz val="10"/>
        <rFont val="Noto Sans CJK SC"/>
        <family val="2"/>
        <charset val="1"/>
      </rPr>
      <t xml:space="preserve">(6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사건 파일 — 검찰 고발장</t>
    </r>
    <r>
      <rPr>
        <sz val="10"/>
        <rFont val="Noto Sans CJK SC"/>
        <family val="2"/>
        <charset val="1"/>
      </rPr>
      <t xml:space="preserve">(esposto) </t>
    </r>
    <r>
      <rPr>
        <sz val="10"/>
        <rFont val="WenQuanYi Zen Hei"/>
        <family val="2"/>
      </rPr>
      <t xml:space="preserve">제출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</si>
  <si>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위기</t>
    </r>
    <r>
      <rPr>
        <sz val="10"/>
        <rFont val="Noto Sans CJK SC"/>
        <family val="2"/>
        <charset val="1"/>
      </rPr>
      <t xml:space="preserve">(7~9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보복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전등 속 마이크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사용할 수 없는 증거 논쟁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동네의 보초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</si>
  <si>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절정</t>
    </r>
    <r>
      <rPr>
        <sz val="10"/>
        <rFont val="Noto Sans CJK SC"/>
        <family val="2"/>
        <charset val="1"/>
      </rPr>
      <t xml:space="preserve">(10~11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GIP </t>
    </r>
    <r>
      <rPr>
        <sz val="10"/>
        <rFont val="WenQuanYi Zen Hei"/>
        <family val="2"/>
      </rPr>
      <t xml:space="preserve">결정과 피의자 통지 </t>
    </r>
    <r>
      <rPr>
        <sz val="10"/>
        <rFont val="Noto Sans CJK SC"/>
        <family val="2"/>
        <charset val="1"/>
      </rPr>
      <t xml:space="preserve">/ </t>
    </r>
    <r>
      <rPr>
        <sz val="10"/>
        <rFont val="WenQuanYi Zen Hei"/>
        <family val="2"/>
      </rPr>
      <t xml:space="preserve">다가오는 법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공직자 범죄 축소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도청 제한 법안</t>
    </r>
    <r>
      <rPr>
        <sz val="10"/>
        <rFont val="Noto Sans CJK SC"/>
        <family val="2"/>
        <charset val="1"/>
      </rPr>
      <t xml:space="preserve">).</t>
    </r>
  </si>
  <si>
    <r>
      <rPr>
        <sz val="10"/>
        <rFont val="WenQuanYi Zen Hei"/>
        <family val="2"/>
      </rPr>
      <t xml:space="preserve">결말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훅</t>
    </r>
    <r>
      <rPr>
        <sz val="10"/>
        <rFont val="Noto Sans CJK SC"/>
        <family val="2"/>
        <charset val="1"/>
      </rPr>
      <t xml:space="preserve">(12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산 조반니의 의자 — </t>
    </r>
    <r>
      <rPr>
        <sz val="10"/>
        <rFont val="Noto Sans CJK SC"/>
        <family val="2"/>
        <charset val="1"/>
      </rPr>
      <t xml:space="preserve">«Dobbiamo cambiare la legge.»</t>
    </r>
  </si>
  <si>
    <r>
      <rPr>
        <sz val="10"/>
        <rFont val="Arial"/>
        <family val="0"/>
        <charset val="1"/>
      </rPr>
      <t xml:space="preserve">La Vecchia Guardia(Cesare·Garibaldi·Gramsci·Machiavelli) </t>
    </r>
    <r>
      <rPr>
        <sz val="10"/>
        <rFont val="WenQuanYi Zen Hei"/>
        <family val="2"/>
      </rPr>
      <t xml:space="preserve">전원 본격 합류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가상 인물</t>
    </r>
    <r>
      <rPr>
        <sz val="10"/>
        <rFont val="Arial"/>
        <family val="0"/>
        <charset val="1"/>
      </rPr>
      <t xml:space="preserve">: Santoro(</t>
    </r>
    <r>
      <rPr>
        <sz val="10"/>
        <rFont val="WenQuanYi Zen Hei"/>
        <family val="2"/>
      </rPr>
      <t xml:space="preserve">회장</t>
    </r>
    <r>
      <rPr>
        <sz val="10"/>
        <rFont val="Arial"/>
        <family val="0"/>
        <charset val="1"/>
      </rPr>
      <t xml:space="preserve">), GM </t>
    </r>
    <r>
      <rPr>
        <sz val="10"/>
        <rFont val="WenQuanYi Zen Hei"/>
        <family val="2"/>
      </rPr>
      <t xml:space="preserve">임원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예비수사판사</t>
    </r>
    <r>
      <rPr>
        <sz val="10"/>
        <rFont val="Arial"/>
        <family val="0"/>
        <charset val="1"/>
      </rPr>
      <t xml:space="preserve">. Gramsci</t>
    </r>
    <r>
      <rPr>
        <sz val="10"/>
        <rFont val="WenQuanYi Zen Hei"/>
        <family val="2"/>
      </rPr>
      <t xml:space="preserve">와 </t>
    </r>
    <r>
      <rPr>
        <sz val="10"/>
        <rFont val="Arial"/>
        <family val="0"/>
        <charset val="1"/>
      </rPr>
      <t xml:space="preserve">Marco</t>
    </r>
    <r>
      <rPr>
        <sz val="10"/>
        <rFont val="WenQuanYi Zen Hei"/>
        <family val="2"/>
      </rPr>
      <t xml:space="preserve">의 합법성 갈등이 핵심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</si>
  <si>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USB·Francesco </t>
    </r>
    <r>
      <rPr>
        <sz val="10"/>
        <rFont val="WenQuanYi Zen Hei"/>
        <family val="2"/>
      </rPr>
      <t xml:space="preserve">자료</t>
    </r>
    <r>
      <rPr>
        <sz val="10"/>
        <rFont val="Arial"/>
        <family val="0"/>
        <charset val="1"/>
      </rPr>
      <t xml:space="preserve">(→9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) / </t>
    </r>
    <r>
      <rPr>
        <sz val="10"/>
        <rFont val="WenQuanYi Zen Hei"/>
        <family val="2"/>
      </rPr>
      <t xml:space="preserve">도청기 논쟁</t>
    </r>
    <r>
      <rPr>
        <sz val="10"/>
        <rFont val="Arial"/>
        <family val="0"/>
        <charset val="1"/>
      </rPr>
      <t xml:space="preserve">(→11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) / </t>
    </r>
    <r>
      <rPr>
        <sz val="10"/>
        <rFont val="WenQuanYi Zen Hei"/>
        <family val="2"/>
      </rPr>
      <t xml:space="preserve">공직자 범죄 축소 법안</t>
    </r>
    <r>
      <rPr>
        <sz val="10"/>
        <rFont val="Arial"/>
        <family val="0"/>
        <charset val="1"/>
      </rPr>
      <t xml:space="preserve">(→8</t>
    </r>
    <r>
      <rPr>
        <sz val="10"/>
        <rFont val="WenQuanYi Zen Hei"/>
        <family val="2"/>
      </rPr>
      <t xml:space="preserve">부 동기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국민투표</t>
    </r>
    <r>
      <rPr>
        <sz val="10"/>
        <rFont val="Arial"/>
        <family val="0"/>
        <charset val="1"/>
      </rPr>
      <t xml:space="preserve">)</t>
    </r>
  </si>
  <si>
    <t xml:space="preserve">N4● S2● P3●</t>
  </si>
  <si>
    <r>
      <rPr>
        <sz val="10"/>
        <rFont val="WenQuanYi Zen Hei"/>
        <family val="2"/>
      </rPr>
      <t xml:space="preserve">검찰 고발</t>
    </r>
    <r>
      <rPr>
        <sz val="10"/>
        <rFont val="Arial"/>
        <family val="0"/>
        <charset val="1"/>
      </rPr>
      <t xml:space="preserve">(esposto-denuncia), </t>
    </r>
    <r>
      <rPr>
        <sz val="10"/>
        <rFont val="WenQuanYi Zen Hei"/>
        <family val="2"/>
      </rPr>
      <t xml:space="preserve">민사 당사자 참여</t>
    </r>
    <r>
      <rPr>
        <sz val="10"/>
        <rFont val="Arial"/>
        <family val="0"/>
        <charset val="1"/>
      </rPr>
      <t xml:space="preserve">(parte civile), </t>
    </r>
    <r>
      <rPr>
        <sz val="10"/>
        <rFont val="WenQuanYi Zen Hei"/>
        <family val="2"/>
      </rPr>
      <t xml:space="preserve">로마 검찰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예비수사판사</t>
    </r>
    <r>
      <rPr>
        <sz val="10"/>
        <rFont val="Arial"/>
        <family val="0"/>
        <charset val="1"/>
      </rPr>
      <t xml:space="preserve">(GIP), </t>
    </r>
    <r>
      <rPr>
        <sz val="10"/>
        <rFont val="WenQuanYi Zen Hei"/>
        <family val="2"/>
      </rPr>
      <t xml:space="preserve">부패방지청</t>
    </r>
    <r>
      <rPr>
        <sz val="10"/>
        <rFont val="Arial"/>
        <family val="0"/>
        <charset val="1"/>
      </rPr>
      <t xml:space="preserve">(ANAC), </t>
    </r>
    <r>
      <rPr>
        <sz val="10"/>
        <rFont val="WenQuanYi Zen Hei"/>
        <family val="2"/>
      </rPr>
      <t xml:space="preserve">내부고발자 보호</t>
    </r>
    <r>
      <rPr>
        <sz val="10"/>
        <rFont val="Arial"/>
        <family val="0"/>
        <charset val="1"/>
      </rPr>
      <t xml:space="preserve">(d.lgs. 24/2023), </t>
    </r>
    <r>
      <rPr>
        <sz val="10"/>
        <rFont val="WenQuanYi Zen Hei"/>
        <family val="2"/>
      </rPr>
      <t xml:space="preserve">사용할 수 없는 증거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형사소송법 제</t>
    </r>
    <r>
      <rPr>
        <sz val="10"/>
        <rFont val="Arial"/>
        <family val="0"/>
        <charset val="1"/>
      </rPr>
      <t xml:space="preserve">191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명예훼손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형법 제</t>
    </r>
    <r>
      <rPr>
        <sz val="10"/>
        <rFont val="Arial"/>
        <family val="0"/>
        <charset val="1"/>
      </rPr>
      <t xml:space="preserve">595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범죄 폐지의 소급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형법 제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조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항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</si>
  <si>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B2~C1. </t>
    </r>
    <r>
      <rPr>
        <sz val="10"/>
        <rFont val="WenQuanYi Zen Hei"/>
        <family val="2"/>
      </rPr>
      <t xml:space="preserve">고발장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성명서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인터뷰 어휘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발성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긴박한 대화와 기자회견 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</si>
  <si>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Sofia: denuncia·querela·avviso di garanzia </t>
    </r>
    <r>
      <rPr>
        <sz val="10"/>
        <rFont val="WenQuanYi Zen Hei"/>
        <family val="2"/>
      </rPr>
      <t xml:space="preserve">등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카드</t>
    </r>
    <r>
      <rPr>
        <sz val="10"/>
        <rFont val="Arial"/>
        <family val="0"/>
        <charset val="1"/>
      </rPr>
      <t xml:space="preserve">: d.lgs. 24/2023, </t>
    </r>
    <r>
      <rPr>
        <sz val="10"/>
        <rFont val="WenQuanYi Zen Hei"/>
        <family val="2"/>
      </rPr>
      <t xml:space="preserve">형사소송법 제</t>
    </r>
    <r>
      <rPr>
        <sz val="10"/>
        <rFont val="Arial"/>
        <family val="0"/>
        <charset val="1"/>
      </rPr>
      <t xml:space="preserve">191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형법 제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</si>
  <si>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: Piazza San Giovanni — </t>
    </r>
    <r>
      <rPr>
        <sz val="10"/>
        <rFont val="WenQuanYi Zen Hei"/>
        <family val="2"/>
      </rPr>
      <t xml:space="preserve">광장으로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</si>
  <si>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Il Risveglio Civico — </t>
    </r>
    <r>
      <rPr>
        <b val="true"/>
        <sz val="10"/>
        <color rgb="FFFFFFFF"/>
        <rFont val="WenQuanYi Zen Hei"/>
        <family val="2"/>
      </rPr>
      <t xml:space="preserve">정치적 각성과 창당   </t>
    </r>
    <r>
      <rPr>
        <b val="true"/>
        <sz val="10"/>
        <color rgb="FFFFFFFF"/>
        <rFont val="Arial"/>
        <family val="0"/>
        <charset val="1"/>
      </rPr>
      <t xml:space="preserve">|   </t>
    </r>
    <r>
      <rPr>
        <b val="true"/>
        <sz val="10"/>
        <color rgb="FFFFFFFF"/>
        <rFont val="WenQuanYi Zen Hei"/>
        <family val="2"/>
      </rPr>
      <t xml:space="preserve">난이도 </t>
    </r>
    <r>
      <rPr>
        <b val="true"/>
        <sz val="10"/>
        <color rgb="FFFFFFFF"/>
        <rFont val="Arial"/>
        <family val="0"/>
        <charset val="1"/>
      </rPr>
      <t xml:space="preserve">B2~C1   |   </t>
    </r>
    <r>
      <rPr>
        <b val="true"/>
        <sz val="10"/>
        <color rgb="FFFFFFFF"/>
        <rFont val="WenQuanYi Zen Hei"/>
        <family val="2"/>
      </rPr>
      <t xml:space="preserve">사무소 개소 약 </t>
    </r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년 후</t>
    </r>
    <r>
      <rPr>
        <b val="true"/>
        <sz val="10"/>
        <color rgb="FFFFFFFF"/>
        <rFont val="Arial"/>
        <family val="0"/>
        <charset val="1"/>
      </rPr>
      <t xml:space="preserve">. Piazza San Giovanni → </t>
    </r>
    <r>
      <rPr>
        <b val="true"/>
        <sz val="10"/>
        <color rgb="FFFFFFFF"/>
        <rFont val="WenQuanYi Zen Hei"/>
        <family val="2"/>
      </rPr>
      <t xml:space="preserve">골목길 캠페인 → 로마 시의회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라치오 주의회 선거</t>
    </r>
    <r>
      <rPr>
        <b val="true"/>
        <sz val="10"/>
        <color rgb="FFFFFFFF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</si>
  <si>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장르 전환점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사건을 푸는 사무소에서 법을 바꾸는 정당으로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집회 신고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폐지 국민투표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정당 설립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선거 절차를 낭독 어휘로 소개한다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</si>
  <si>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법정에서 이겨도 법이 그대로면 소용없다는 걸 안 사무소가 광장으로 나가 폐지 국민투표에 도전하지만 정족수에 막히고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스스로 정당 </t>
    </r>
    <r>
      <rPr>
        <sz val="10"/>
        <rFont val="Noto Sans CJK SC"/>
        <family val="2"/>
        <charset val="1"/>
      </rPr>
      <t xml:space="preserve">«Casa Comune»</t>
    </r>
    <r>
      <rPr>
        <sz val="10"/>
        <rFont val="WenQuanYi Zen Hei"/>
        <family val="2"/>
      </rPr>
      <t xml:space="preserve">를 만든다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</si>
  <si>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사건 해결자 → 후보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사무소가 정당이 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</si>
  <si>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원칙</t>
    </r>
    <r>
      <rPr>
        <sz val="10"/>
        <rFont val="Noto Sans CJK SC"/>
        <family val="2"/>
        <charset val="1"/>
      </rPr>
      <t xml:space="preserve">(Paolo) vs </t>
    </r>
    <r>
      <rPr>
        <sz val="10"/>
        <rFont val="WenQuanYi Zen Hei"/>
        <family val="2"/>
      </rPr>
      <t xml:space="preserve">현실</t>
    </r>
    <r>
      <rPr>
        <sz val="10"/>
        <rFont val="Noto Sans CJK SC"/>
        <family val="2"/>
        <charset val="1"/>
      </rPr>
      <t xml:space="preserve">(Chiara·Machiavelli) / </t>
    </r>
    <r>
      <rPr>
        <sz val="10"/>
        <rFont val="WenQuanYi Zen Hei"/>
        <family val="2"/>
      </rPr>
      <t xml:space="preserve">순수함 </t>
    </r>
    <r>
      <rPr>
        <sz val="10"/>
        <rFont val="Noto Sans CJK SC"/>
        <family val="2"/>
        <charset val="1"/>
      </rPr>
      <t xml:space="preserve">vs </t>
    </r>
    <r>
      <rPr>
        <sz val="10"/>
        <rFont val="WenQuanYi Zen Hei"/>
        <family val="2"/>
      </rPr>
      <t xml:space="preserve">이기는 것</t>
    </r>
  </si>
  <si>
    <r>
      <rPr>
        <sz val="10"/>
        <rFont val="WenQuanYi Zen Hei"/>
        <family val="2"/>
      </rPr>
      <t xml:space="preserve">발단</t>
    </r>
    <r>
      <rPr>
        <sz val="10"/>
        <rFont val="Noto Sans CJK SC"/>
        <family val="2"/>
        <charset val="1"/>
      </rPr>
      <t xml:space="preserve">(1~3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산 조반니 집회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사건에서 법으로</t>
    </r>
    <r>
      <rPr>
        <sz val="10"/>
        <rFont val="Noto Sans CJK SC"/>
        <family val="2"/>
        <charset val="1"/>
      </rPr>
      <t xml:space="preserve">, 50</t>
    </r>
    <r>
      <rPr>
        <sz val="10"/>
        <rFont val="WenQuanYi Zen Hei"/>
        <family val="2"/>
      </rPr>
      <t xml:space="preserve">만 서명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</si>
  <si>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전환점</t>
    </r>
    <r>
      <rPr>
        <sz val="10"/>
        <rFont val="Noto Sans CJK SC"/>
        <family val="2"/>
        <charset val="1"/>
      </rPr>
      <t xml:space="preserve">(4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국민투표 정족수 미달로 무효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</si>
  <si>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미드포인트</t>
    </r>
    <r>
      <rPr>
        <sz val="10"/>
        <rFont val="Noto Sans CJK SC"/>
        <family val="2"/>
        <charset val="1"/>
      </rPr>
      <t xml:space="preserve">(5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정당의 탄생 — 설립 문서 서명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이름 </t>
    </r>
    <r>
      <rPr>
        <sz val="10"/>
        <rFont val="Noto Sans CJK SC"/>
        <family val="2"/>
        <charset val="1"/>
      </rPr>
      <t xml:space="preserve">«Casa Comune».</t>
    </r>
  </si>
  <si>
    <r>
      <rPr>
        <sz val="10"/>
        <rFont val="WenQuanYi Zen Hei"/>
        <family val="2"/>
      </rPr>
      <t xml:space="preserve">위기</t>
    </r>
    <r>
      <rPr>
        <sz val="10"/>
        <rFont val="Noto Sans CJK SC"/>
        <family val="2"/>
        <charset val="1"/>
      </rPr>
      <t xml:space="preserve">(6~9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정관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내부 민주주의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깨끗한 돈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후보 명부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골목길 캠페인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</si>
  <si>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절정</t>
    </r>
    <r>
      <rPr>
        <sz val="10"/>
        <rFont val="Noto Sans CJK SC"/>
        <family val="2"/>
        <charset val="1"/>
      </rPr>
      <t xml:space="preserve">(10~11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언론의 공격과 정정 청구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선거 침묵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</si>
  <si>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결말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훅</t>
    </r>
    <r>
      <rPr>
        <sz val="10"/>
        <rFont val="Noto Sans CJK SC"/>
        <family val="2"/>
        <charset val="1"/>
      </rPr>
      <t xml:space="preserve">(12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개표의 밤 — 시의회 </t>
    </r>
    <r>
      <rPr>
        <sz val="10"/>
        <rFont val="Noto Sans CJK SC"/>
        <family val="2"/>
        <charset val="1"/>
      </rPr>
      <t xml:space="preserve">48</t>
    </r>
    <r>
      <rPr>
        <sz val="10"/>
        <rFont val="WenQuanYi Zen Hei"/>
        <family val="2"/>
      </rPr>
      <t xml:space="preserve">석 중 </t>
    </r>
    <r>
      <rPr>
        <sz val="10"/>
        <rFont val="Noto Sans CJK SC"/>
        <family val="2"/>
        <charset val="1"/>
      </rPr>
      <t xml:space="preserve">5</t>
    </r>
    <r>
      <rPr>
        <sz val="10"/>
        <rFont val="WenQuanYi Zen Hei"/>
        <family val="2"/>
      </rPr>
      <t xml:space="preserve">석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주의회 진출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가상</t>
    </r>
    <r>
      <rPr>
        <sz val="10"/>
        <rFont val="Noto Sans CJK SC"/>
        <family val="2"/>
        <charset val="1"/>
      </rPr>
      <t xml:space="preserve">). </t>
    </r>
    <r>
      <rPr>
        <sz val="10"/>
        <rFont val="WenQuanYi Zen Hei"/>
        <family val="2"/>
      </rPr>
      <t xml:space="preserve">시장 후보 </t>
    </r>
    <r>
      <rPr>
        <sz val="10"/>
        <rFont val="Noto Sans CJK SC"/>
        <family val="2"/>
        <charset val="1"/>
      </rPr>
      <t xml:space="preserve">Alessandro</t>
    </r>
    <r>
      <rPr>
        <sz val="10"/>
        <rFont val="WenQuanYi Zen Hei"/>
        <family val="2"/>
      </rPr>
      <t xml:space="preserve">는 </t>
    </r>
    <r>
      <rPr>
        <sz val="10"/>
        <rFont val="Noto Sans CJK SC"/>
        <family val="2"/>
        <charset val="1"/>
      </rPr>
      <t xml:space="preserve">3</t>
    </r>
    <r>
      <rPr>
        <sz val="10"/>
        <rFont val="WenQuanYi Zen Hei"/>
        <family val="2"/>
      </rPr>
      <t xml:space="preserve">위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</si>
  <si>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Dante: </t>
    </r>
    <r>
      <rPr>
        <sz val="10"/>
        <rFont val="WenQuanYi Zen Hei"/>
        <family val="2"/>
      </rPr>
      <t xml:space="preserve">첫 문장 → 정당 이름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연설문</t>
    </r>
    <r>
      <rPr>
        <sz val="10"/>
        <rFont val="Arial"/>
        <family val="0"/>
        <charset val="1"/>
      </rPr>
      <t xml:space="preserve">. Paolo vs Chiara</t>
    </r>
    <r>
      <rPr>
        <sz val="10"/>
        <rFont val="WenQuanYi Zen Hei"/>
        <family val="2"/>
      </rPr>
      <t xml:space="preserve">의 원칙 논쟁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그 사이에서 표를 세는 </t>
    </r>
    <r>
      <rPr>
        <sz val="10"/>
        <rFont val="Arial"/>
        <family val="0"/>
        <charset val="1"/>
      </rPr>
      <t xml:space="preserve">Machiavelli. Alessandro=</t>
    </r>
    <r>
      <rPr>
        <sz val="10"/>
        <rFont val="WenQuanYi Zen Hei"/>
        <family val="2"/>
      </rPr>
      <t xml:space="preserve">로마 시장 후보</t>
    </r>
    <r>
      <rPr>
        <sz val="10"/>
        <rFont val="Arial"/>
        <family val="0"/>
        <charset val="1"/>
      </rPr>
      <t xml:space="preserve">, Giulia=</t>
    </r>
    <r>
      <rPr>
        <sz val="10"/>
        <rFont val="WenQuanYi Zen Hei"/>
        <family val="2"/>
      </rPr>
      <t xml:space="preserve">라치오 주의회 후보</t>
    </r>
    <r>
      <rPr>
        <sz val="10"/>
        <rFont val="Arial"/>
        <family val="0"/>
        <charset val="1"/>
      </rPr>
      <t xml:space="preserve">. Sofia: </t>
    </r>
    <r>
      <rPr>
        <sz val="10"/>
        <rFont val="WenQuanYi Zen Hei"/>
        <family val="2"/>
      </rPr>
      <t xml:space="preserve">첫 명부 실무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</si>
  <si>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Paolo–Chiara </t>
    </r>
    <r>
      <rPr>
        <sz val="10"/>
        <rFont val="WenQuanYi Zen Hei"/>
        <family val="2"/>
      </rPr>
      <t xml:space="preserve">화해</t>
    </r>
    <r>
      <rPr>
        <sz val="10"/>
        <rFont val="Arial"/>
        <family val="0"/>
        <charset val="1"/>
      </rPr>
      <t xml:space="preserve">(→10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) / </t>
    </r>
    <r>
      <rPr>
        <sz val="10"/>
        <rFont val="WenQuanYi Zen Hei"/>
        <family val="2"/>
      </rPr>
      <t xml:space="preserve">정당 이름의 유래</t>
    </r>
    <r>
      <rPr>
        <sz val="10"/>
        <rFont val="Arial"/>
        <family val="0"/>
        <charset val="1"/>
      </rPr>
      <t xml:space="preserve">(Rosa</t>
    </r>
    <r>
      <rPr>
        <sz val="10"/>
        <rFont val="WenQuanYi Zen Hei"/>
        <family val="2"/>
      </rPr>
      <t xml:space="preserve">의 식탁</t>
    </r>
    <r>
      <rPr>
        <sz val="10"/>
        <rFont val="Arial"/>
        <family val="0"/>
        <charset val="1"/>
      </rPr>
      <t xml:space="preserve">)(→13</t>
    </r>
    <r>
      <rPr>
        <sz val="10"/>
        <rFont val="WenQuanYi Zen Hei"/>
        <family val="2"/>
      </rPr>
      <t xml:space="preserve">부 마지막</t>
    </r>
    <r>
      <rPr>
        <sz val="10"/>
        <rFont val="Arial"/>
        <family val="0"/>
        <charset val="1"/>
      </rPr>
      <t xml:space="preserve">) / </t>
    </r>
    <r>
      <rPr>
        <sz val="10"/>
        <rFont val="WenQuanYi Zen Hei"/>
        <family val="2"/>
      </rPr>
      <t xml:space="preserve">정정권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언론 갈등</t>
    </r>
    <r>
      <rPr>
        <sz val="10"/>
        <rFont val="Arial"/>
        <family val="0"/>
        <charset val="1"/>
      </rPr>
      <t xml:space="preserve">(→9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</si>
  <si>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t xml:space="preserve">P1○ E1○ E2○ S1○ S2○ N4○</t>
  </si>
  <si>
    <r>
      <rPr>
        <sz val="10"/>
        <rFont val="WenQuanYi Zen Hei"/>
        <family val="2"/>
      </rPr>
      <t xml:space="preserve">집회 사전 통지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17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·TULPS </t>
    </r>
    <r>
      <rPr>
        <sz val="10"/>
        <rFont val="WenQuanYi Zen Hei"/>
        <family val="2"/>
      </rPr>
      <t xml:space="preserve">제</t>
    </r>
    <r>
      <rPr>
        <sz val="10"/>
        <rFont val="Noto Sans CJK SC"/>
        <family val="2"/>
        <charset val="1"/>
      </rPr>
      <t xml:space="preserve">18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폐지 국민투표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75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, legge 352/1970), </t>
    </r>
    <r>
      <rPr>
        <sz val="10"/>
        <rFont val="WenQuanYi Zen Hei"/>
        <family val="2"/>
      </rPr>
      <t xml:space="preserve">정당 설립과 국가 정당 등록부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49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, d.l. 149/2013), </t>
    </r>
    <r>
      <rPr>
        <sz val="10"/>
        <rFont val="WenQuanYi Zen Hei"/>
        <family val="2"/>
      </rPr>
      <t xml:space="preserve">정치 후원 공개</t>
    </r>
    <r>
      <rPr>
        <sz val="10"/>
        <rFont val="Noto Sans CJK SC"/>
        <family val="2"/>
        <charset val="1"/>
      </rPr>
      <t xml:space="preserve">(legge 3/2019), </t>
    </r>
    <r>
      <rPr>
        <sz val="10"/>
        <rFont val="WenQuanYi Zen Hei"/>
        <family val="2"/>
      </rPr>
      <t xml:space="preserve">지방선거</t>
    </r>
    <r>
      <rPr>
        <sz val="10"/>
        <rFont val="Noto Sans CJK SC"/>
        <family val="2"/>
        <charset val="1"/>
      </rPr>
      <t xml:space="preserve">(TUEL), </t>
    </r>
    <r>
      <rPr>
        <sz val="10"/>
        <rFont val="WenQuanYi Zen Hei"/>
        <family val="2"/>
      </rPr>
      <t xml:space="preserve">방송 균등 노출</t>
    </r>
    <r>
      <rPr>
        <sz val="10"/>
        <rFont val="Noto Sans CJK SC"/>
        <family val="2"/>
        <charset val="1"/>
      </rPr>
      <t xml:space="preserve">(legge 28/2000), </t>
    </r>
    <r>
      <rPr>
        <sz val="10"/>
        <rFont val="WenQuanYi Zen Hei"/>
        <family val="2"/>
      </rPr>
      <t xml:space="preserve">정정권</t>
    </r>
    <r>
      <rPr>
        <sz val="10"/>
        <rFont val="Noto Sans CJK SC"/>
        <family val="2"/>
        <charset val="1"/>
      </rPr>
      <t xml:space="preserve">(legge 47/1948)</t>
    </r>
  </si>
  <si>
    <r>
      <rPr>
        <sz val="10"/>
        <rFont val="Arial"/>
        <family val="0"/>
        <charset val="1"/>
      </rPr>
      <t xml:space="preserve">B2~C1. </t>
    </r>
    <r>
      <rPr>
        <sz val="10"/>
        <rFont val="WenQuanYi Zen Hei"/>
        <family val="2"/>
      </rPr>
      <t xml:space="preserve">연설</t>
    </r>
    <r>
      <rPr>
        <sz val="10"/>
        <rFont val="Arial"/>
        <family val="0"/>
        <charset val="1"/>
      </rPr>
      <t xml:space="preserve">(discorso)·</t>
    </r>
    <r>
      <rPr>
        <sz val="10"/>
        <rFont val="WenQuanYi Zen Hei"/>
        <family val="2"/>
      </rPr>
      <t xml:space="preserve">구호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선언문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접속법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발성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광장 연설의 볼륨과 호흡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</si>
  <si>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Sofia: firme·quorum·seggio·ballottaggio </t>
    </r>
    <r>
      <rPr>
        <sz val="10"/>
        <rFont val="WenQuanYi Zen Hei"/>
        <family val="2"/>
      </rPr>
      <t xml:space="preserve">등 선거 용어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카드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75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, d.l. 149/2013, </t>
    </r>
    <r>
      <rPr>
        <sz val="10"/>
        <rFont val="WenQuanYi Zen Hei"/>
        <family val="2"/>
      </rPr>
      <t xml:space="preserve">지방자치 통합법</t>
    </r>
    <r>
      <rPr>
        <sz val="10"/>
        <rFont val="Arial"/>
        <family val="0"/>
        <charset val="1"/>
      </rPr>
      <t xml:space="preserve">(TUEL).</t>
    </r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</si>
  <si>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시의회와 주의회 — 소수 야당의 싸움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</si>
  <si>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In Campidoglio e alla Pisana — </t>
    </r>
    <r>
      <rPr>
        <b val="true"/>
        <sz val="10"/>
        <color rgb="FFFFFFFF"/>
        <rFont val="WenQuanYi Zen Hei"/>
        <family val="2"/>
      </rPr>
      <t xml:space="preserve">시의회와 주의회   </t>
    </r>
    <r>
      <rPr>
        <b val="true"/>
        <sz val="10"/>
        <color rgb="FFFFFFFF"/>
        <rFont val="Arial"/>
        <family val="0"/>
        <charset val="1"/>
      </rPr>
      <t xml:space="preserve">|   </t>
    </r>
    <r>
      <rPr>
        <b val="true"/>
        <sz val="10"/>
        <color rgb="FFFFFFFF"/>
        <rFont val="WenQuanYi Zen Hei"/>
        <family val="2"/>
      </rPr>
      <t xml:space="preserve">난이도 </t>
    </r>
    <r>
      <rPr>
        <b val="true"/>
        <sz val="10"/>
        <color rgb="FFFFFFFF"/>
        <rFont val="Arial"/>
        <family val="0"/>
        <charset val="1"/>
      </rPr>
      <t xml:space="preserve">C1   |   </t>
    </r>
    <r>
      <rPr>
        <b val="true"/>
        <sz val="10"/>
        <color rgb="FFFFFFFF"/>
        <rFont val="WenQuanYi Zen Hei"/>
        <family val="2"/>
      </rPr>
      <t xml:space="preserve">지방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주 선거 직후 </t>
    </r>
    <r>
      <rPr>
        <b val="true"/>
        <sz val="10"/>
        <color rgb="FFFFFFFF"/>
        <rFont val="Arial"/>
        <family val="0"/>
        <charset val="1"/>
      </rPr>
      <t xml:space="preserve">~ </t>
    </r>
    <r>
      <rPr>
        <b val="true"/>
        <sz val="10"/>
        <color rgb="FFFFFFFF"/>
        <rFont val="WenQuanYi Zen Hei"/>
        <family val="2"/>
      </rPr>
      <t xml:space="preserve">임기 중반</t>
    </r>
    <r>
      <rPr>
        <b val="true"/>
        <sz val="10"/>
        <color rgb="FFFFFFFF"/>
        <rFont val="Arial"/>
        <family val="0"/>
        <charset val="1"/>
      </rPr>
      <t xml:space="preserve">. Campidoglio(Assemblea Capitolina), </t>
    </r>
    <r>
      <rPr>
        <b val="true"/>
        <sz val="10"/>
        <color rgb="FFFFFFFF"/>
        <rFont val="WenQuanYi Zen Hei"/>
        <family val="2"/>
      </rPr>
      <t xml:space="preserve">라치오 주의회</t>
    </r>
    <r>
      <rPr>
        <b val="true"/>
        <sz val="10"/>
        <color rgb="FFFFFFFF"/>
        <rFont val="Arial"/>
        <family val="0"/>
        <charset val="1"/>
      </rPr>
      <t xml:space="preserve">(Via della Pisana), </t>
    </r>
    <r>
      <rPr>
        <b val="true"/>
        <sz val="10"/>
        <color rgb="FFFFFFFF"/>
        <rFont val="WenQuanYi Zen Hei"/>
        <family val="2"/>
      </rPr>
      <t xml:space="preserve">당사</t>
    </r>
    <r>
      <rPr>
        <b val="true"/>
        <sz val="10"/>
        <color rgb="FFFFFFFF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</si>
  <si>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제도 안의 싸움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소수 야당으로 예산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계약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병원 외주를 파헤치며 권력의 내부를 배운다</t>
    </r>
    <r>
      <rPr>
        <sz val="10"/>
        <rFont val="Noto Sans CJK SC"/>
        <family val="2"/>
        <charset val="1"/>
      </rPr>
      <t xml:space="preserve">. Sofia</t>
    </r>
    <r>
      <rPr>
        <sz val="10"/>
        <rFont val="WenQuanYi Zen Hei"/>
        <family val="2"/>
      </rPr>
      <t xml:space="preserve">의 </t>
    </r>
    <r>
      <rPr>
        <sz val="10"/>
        <rFont val="Noto Sans CJK SC"/>
        <family val="2"/>
        <charset val="1"/>
      </rPr>
      <t xml:space="preserve">2</t>
    </r>
    <r>
      <rPr>
        <sz val="10"/>
        <rFont val="WenQuanYi Zen Hei"/>
        <family val="2"/>
      </rPr>
      <t xml:space="preserve">차 폭발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이번엔 옳다</t>
    </r>
    <r>
      <rPr>
        <sz val="10"/>
        <rFont val="Noto Sans CJK SC"/>
        <family val="2"/>
        <charset val="1"/>
      </rPr>
      <t xml:space="preserve">).</t>
    </r>
  </si>
  <si>
    <r>
      <rPr>
        <sz val="10"/>
        <rFont val="WenQuanYi Zen Hei"/>
        <family val="2"/>
      </rPr>
      <t xml:space="preserve">시의원 </t>
    </r>
    <r>
      <rPr>
        <sz val="10"/>
        <rFont val="Noto Sans CJK SC"/>
        <family val="2"/>
        <charset val="1"/>
      </rPr>
      <t xml:space="preserve">Alessandro</t>
    </r>
    <r>
      <rPr>
        <sz val="10"/>
        <rFont val="WenQuanYi Zen Hei"/>
        <family val="2"/>
      </rPr>
      <t xml:space="preserve">와 주의원 </t>
    </r>
    <r>
      <rPr>
        <sz val="10"/>
        <rFont val="Noto Sans CJK SC"/>
        <family val="2"/>
        <charset val="1"/>
      </rPr>
      <t xml:space="preserve">Giulia</t>
    </r>
    <r>
      <rPr>
        <sz val="10"/>
        <rFont val="WenQuanYi Zen Hei"/>
        <family val="2"/>
      </rPr>
      <t xml:space="preserve">가 예산과 계약을 파헤쳐 </t>
    </r>
    <r>
      <rPr>
        <sz val="10"/>
        <rFont val="Noto Sans CJK SC"/>
        <family val="2"/>
        <charset val="1"/>
      </rPr>
      <t xml:space="preserve">Gruppo Meridiano</t>
    </r>
    <r>
      <rPr>
        <sz val="10"/>
        <rFont val="WenQuanYi Zen Hei"/>
        <family val="2"/>
      </rPr>
      <t xml:space="preserve">로 이어지는 스캔들을 폭로하고 고발로 잇지만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정치는 사법을 기다려 주지 않는다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</si>
  <si>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구경꾼 → 견제자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순진함 → 제도의 요령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</si>
  <si>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동맹의 대가 </t>
    </r>
    <r>
      <rPr>
        <sz val="10"/>
        <rFont val="Noto Sans CJK SC"/>
        <family val="2"/>
        <charset val="1"/>
      </rPr>
      <t xml:space="preserve">vs </t>
    </r>
    <r>
      <rPr>
        <sz val="10"/>
        <rFont val="WenQuanYi Zen Hei"/>
        <family val="2"/>
      </rPr>
      <t xml:space="preserve">원칙 </t>
    </r>
    <r>
      <rPr>
        <sz val="10"/>
        <rFont val="Noto Sans CJK SC"/>
        <family val="2"/>
        <charset val="1"/>
      </rPr>
      <t xml:space="preserve">/ </t>
    </r>
    <r>
      <rPr>
        <sz val="10"/>
        <rFont val="WenQuanYi Zen Hei"/>
        <family val="2"/>
      </rPr>
      <t xml:space="preserve">폭로의 합법성</t>
    </r>
  </si>
  <si>
    <r>
      <rPr>
        <sz val="10"/>
        <rFont val="WenQuanYi Zen Hei"/>
        <family val="2"/>
      </rPr>
      <t xml:space="preserve">발단</t>
    </r>
    <r>
      <rPr>
        <sz val="10"/>
        <rFont val="Noto Sans CJK SC"/>
        <family val="2"/>
        <charset val="1"/>
      </rPr>
      <t xml:space="preserve">(1~3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결선투표와 시의회 개원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첫 본회의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도시 예산 감사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</si>
  <si>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전개</t>
    </r>
    <r>
      <rPr>
        <sz val="10"/>
        <rFont val="Noto Sans CJK SC"/>
        <family val="2"/>
        <charset val="1"/>
      </rPr>
      <t xml:space="preserve">(4~5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계약 돋보기</t>
    </r>
    <r>
      <rPr>
        <sz val="10"/>
        <rFont val="Noto Sans CJK SC"/>
        <family val="2"/>
        <charset val="1"/>
      </rPr>
      <t xml:space="preserve">(PNRR·</t>
    </r>
    <r>
      <rPr>
        <sz val="10"/>
        <rFont val="WenQuanYi Zen Hei"/>
        <family val="2"/>
      </rPr>
      <t xml:space="preserve">시 산하 기업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불편한 동맹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</si>
  <si>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미드포인트</t>
    </r>
    <r>
      <rPr>
        <sz val="10"/>
        <rFont val="Noto Sans CJK SC"/>
        <family val="2"/>
        <charset val="1"/>
      </rPr>
      <t xml:space="preserve">(6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예산의 덫 — 임대료 보조 삭감 조항</t>
    </r>
    <r>
      <rPr>
        <sz val="10"/>
        <rFont val="Noto Sans CJK SC"/>
        <family val="2"/>
        <charset val="1"/>
      </rPr>
      <t xml:space="preserve">, Sofia 2</t>
    </r>
    <r>
      <rPr>
        <sz val="10"/>
        <rFont val="WenQuanYi Zen Hei"/>
        <family val="2"/>
      </rPr>
      <t xml:space="preserve">차 폭발</t>
    </r>
    <r>
      <rPr>
        <sz val="10"/>
        <rFont val="Noto Sans CJK SC"/>
        <family val="2"/>
        <charset val="1"/>
      </rPr>
      <t xml:space="preserve">(Paolo</t>
    </r>
    <r>
      <rPr>
        <sz val="10"/>
        <rFont val="WenQuanYi Zen Hei"/>
        <family val="2"/>
      </rPr>
      <t xml:space="preserve">의 욕 포함</t>
    </r>
    <r>
      <rPr>
        <sz val="10"/>
        <rFont val="Noto Sans CJK SC"/>
        <family val="2"/>
        <charset val="1"/>
      </rPr>
      <t xml:space="preserve">).</t>
    </r>
  </si>
  <si>
    <r>
      <rPr>
        <sz val="10"/>
        <rFont val="WenQuanYi Zen Hei"/>
        <family val="2"/>
      </rPr>
      <t xml:space="preserve">위기</t>
    </r>
    <r>
      <rPr>
        <sz val="10"/>
        <rFont val="Noto Sans CJK SC"/>
        <family val="2"/>
        <charset val="1"/>
      </rPr>
      <t xml:space="preserve">(7~9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주의회 보건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내륙 마을 진료소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스캔들 폭로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고발장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사법 지연</t>
    </r>
    <r>
      <rPr>
        <sz val="10"/>
        <rFont val="Noto Sans CJK SC"/>
        <family val="2"/>
        <charset val="1"/>
      </rPr>
      <t xml:space="preserve">).</t>
    </r>
  </si>
  <si>
    <r>
      <rPr>
        <sz val="10"/>
        <rFont val="WenQuanYi Zen Hei"/>
        <family val="2"/>
      </rPr>
      <t xml:space="preserve">절정</t>
    </r>
    <r>
      <rPr>
        <sz val="10"/>
        <rFont val="Noto Sans CJK SC"/>
        <family val="2"/>
        <charset val="1"/>
      </rPr>
      <t xml:space="preserve">(10~11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권력의 반격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당내 경선 — 의리의 시험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</si>
  <si>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결말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훅</t>
    </r>
    <r>
      <rPr>
        <sz val="10"/>
        <rFont val="Noto Sans CJK SC"/>
        <family val="2"/>
        <charset val="1"/>
      </rPr>
      <t xml:space="preserve">(12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정부의 신임 투표 부결 → 해산과 조기 총선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서명 수집 시작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</si>
  <si>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Alessandro·Giulia</t>
    </r>
    <r>
      <rPr>
        <sz val="10"/>
        <rFont val="WenQuanYi Zen Hei"/>
        <family val="2"/>
      </rPr>
      <t xml:space="preserve">는 각자 의회 무대</t>
    </r>
    <r>
      <rPr>
        <sz val="10"/>
        <rFont val="Arial"/>
        <family val="0"/>
        <charset val="1"/>
      </rPr>
      <t xml:space="preserve">. Sofia: </t>
    </r>
    <r>
      <rPr>
        <sz val="10"/>
        <rFont val="WenQuanYi Zen Hei"/>
        <family val="2"/>
      </rPr>
      <t xml:space="preserve">시의원 보좌</t>
    </r>
    <r>
      <rPr>
        <sz val="10"/>
        <rFont val="Arial"/>
        <family val="0"/>
        <charset val="1"/>
      </rPr>
      <t xml:space="preserve">. Gramsci·Galileo·Francesco: </t>
    </r>
    <r>
      <rPr>
        <sz val="10"/>
        <rFont val="WenQuanYi Zen Hei"/>
        <family val="2"/>
      </rPr>
      <t xml:space="preserve">스캔들 증거와 보도</t>
    </r>
    <r>
      <rPr>
        <sz val="10"/>
        <rFont val="Arial"/>
        <family val="0"/>
        <charset val="1"/>
      </rPr>
      <t xml:space="preserve">. Paolo·Chiara: </t>
    </r>
    <r>
      <rPr>
        <sz val="10"/>
        <rFont val="WenQuanYi Zen Hei"/>
        <family val="2"/>
      </rPr>
      <t xml:space="preserve">동맹 갈등</t>
    </r>
    <r>
      <rPr>
        <sz val="10"/>
        <rFont val="Arial"/>
        <family val="0"/>
        <charset val="1"/>
      </rPr>
      <t xml:space="preserve">. Machiavelli: </t>
    </r>
    <r>
      <rPr>
        <sz val="10"/>
        <rFont val="WenQuanYi Zen Hei"/>
        <family val="2"/>
      </rPr>
      <t xml:space="preserve">표 계산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</si>
  <si>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Sofia 2</t>
    </r>
    <r>
      <rPr>
        <sz val="10"/>
        <rFont val="WenQuanYi Zen Hei"/>
        <family val="2"/>
      </rPr>
      <t xml:space="preserve">차 폭발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차의 회수</t>
    </r>
    <r>
      <rPr>
        <sz val="10"/>
        <rFont val="Arial"/>
        <family val="0"/>
        <charset val="1"/>
      </rPr>
      <t xml:space="preserve">) / Meridiano </t>
    </r>
    <r>
      <rPr>
        <sz val="10"/>
        <rFont val="WenQuanYi Zen Hei"/>
        <family val="2"/>
      </rPr>
      <t xml:space="preserve">스캔들</t>
    </r>
    <r>
      <rPr>
        <sz val="10"/>
        <rFont val="Arial"/>
        <family val="0"/>
        <charset val="1"/>
      </rPr>
      <t xml:space="preserve">(→11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</si>
  <si>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t xml:space="preserve">P1● P3● E1● N2● S3●</t>
  </si>
  <si>
    <r>
      <rPr>
        <sz val="10"/>
        <rFont val="WenQuanYi Zen Hei"/>
        <family val="2"/>
      </rPr>
      <t xml:space="preserve">시장 직선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결선과 시의회</t>
    </r>
    <r>
      <rPr>
        <sz val="10"/>
        <rFont val="Arial"/>
        <family val="0"/>
        <charset val="1"/>
      </rPr>
      <t xml:space="preserve">(TUEL), </t>
    </r>
    <r>
      <rPr>
        <sz val="10"/>
        <rFont val="WenQuanYi Zen Hei"/>
        <family val="2"/>
      </rPr>
      <t xml:space="preserve">시 예산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결산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공공계약법</t>
    </r>
    <r>
      <rPr>
        <sz val="10"/>
        <rFont val="Arial"/>
        <family val="0"/>
        <charset val="1"/>
      </rPr>
      <t xml:space="preserve">(d.lgs. 36/2023), </t>
    </r>
    <r>
      <rPr>
        <sz val="10"/>
        <rFont val="WenQuanYi Zen Hei"/>
        <family val="2"/>
      </rPr>
      <t xml:space="preserve">국가–주 권한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117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보건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도시계획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검찰 고발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감사원</t>
    </r>
    <r>
      <rPr>
        <sz val="10"/>
        <rFont val="Arial"/>
        <family val="0"/>
        <charset val="1"/>
      </rPr>
      <t xml:space="preserve">, d.lgs. 24/2023</t>
    </r>
  </si>
  <si>
    <r>
      <rPr>
        <sz val="10"/>
        <rFont val="Arial"/>
        <family val="0"/>
        <charset val="1"/>
      </rPr>
      <t xml:space="preserve">C1. </t>
    </r>
    <r>
      <rPr>
        <sz val="10"/>
        <rFont val="WenQuanYi Zen Hei"/>
        <family val="2"/>
      </rPr>
      <t xml:space="preserve">회의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표결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동의안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질의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답변</t>
    </r>
    <r>
      <rPr>
        <sz val="10"/>
        <rFont val="Arial"/>
        <family val="0"/>
        <charset val="1"/>
      </rPr>
      <t xml:space="preserve">, «Signor Sindaco»·«Presidente»·«consigliera» </t>
    </r>
    <r>
      <rPr>
        <sz val="10"/>
        <rFont val="WenQuanYi Zen Hei"/>
        <family val="2"/>
      </rPr>
      <t xml:space="preserve">호칭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발성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정확하고 절제된 회의체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</si>
  <si>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Sofia: capitolato·gara d'appalto·emendamento </t>
    </r>
    <r>
      <rPr>
        <sz val="10"/>
        <rFont val="WenQuanYi Zen Hei"/>
        <family val="2"/>
      </rPr>
      <t xml:space="preserve">등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카드</t>
    </r>
    <r>
      <rPr>
        <sz val="10"/>
        <rFont val="Arial"/>
        <family val="0"/>
        <charset val="1"/>
      </rPr>
      <t xml:space="preserve">: d.lgs. 36/2023, TUEL(d.lgs. 267/2000), </t>
    </r>
    <r>
      <rPr>
        <sz val="10"/>
        <rFont val="WenQuanYi Zen Hei"/>
        <family val="2"/>
      </rPr>
      <t xml:space="preserve">시의회 회의 규칙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</si>
  <si>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국정 도전 — 해산과 총선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</si>
  <si>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Verso Palazzo Chigi — </t>
    </r>
    <r>
      <rPr>
        <b val="true"/>
        <sz val="10"/>
        <color rgb="FFFFFFFF"/>
        <rFont val="WenQuanYi Zen Hei"/>
        <family val="2"/>
      </rPr>
      <t xml:space="preserve">총선에서 총리 취임까지   </t>
    </r>
    <r>
      <rPr>
        <b val="true"/>
        <sz val="10"/>
        <color rgb="FFFFFFFF"/>
        <rFont val="Arial"/>
        <family val="0"/>
        <charset val="1"/>
      </rPr>
      <t xml:space="preserve">|   </t>
    </r>
    <r>
      <rPr>
        <b val="true"/>
        <sz val="10"/>
        <color rgb="FFFFFFFF"/>
        <rFont val="WenQuanYi Zen Hei"/>
        <family val="2"/>
      </rPr>
      <t xml:space="preserve">난이도 </t>
    </r>
    <r>
      <rPr>
        <b val="true"/>
        <sz val="10"/>
        <color rgb="FFFFFFFF"/>
        <rFont val="Arial"/>
        <family val="0"/>
        <charset val="1"/>
      </rPr>
      <t xml:space="preserve">C1~C2   |   9</t>
    </r>
    <r>
      <rPr>
        <b val="true"/>
        <sz val="10"/>
        <color rgb="FFFFFFFF"/>
        <rFont val="WenQuanYi Zen Hei"/>
        <family val="2"/>
      </rPr>
      <t xml:space="preserve">부 이후 </t>
    </r>
    <r>
      <rPr>
        <b val="true"/>
        <sz val="10"/>
        <color rgb="FFFFFFFF"/>
        <rFont val="Arial"/>
        <family val="0"/>
        <charset val="1"/>
      </rPr>
      <t xml:space="preserve">1~2</t>
    </r>
    <r>
      <rPr>
        <b val="true"/>
        <sz val="10"/>
        <color rgb="FFFFFFFF"/>
        <rFont val="WenQuanYi Zen Hei"/>
        <family val="2"/>
      </rPr>
      <t xml:space="preserve">년</t>
    </r>
    <r>
      <rPr>
        <b val="true"/>
        <sz val="10"/>
        <color rgb="FFFFFFFF"/>
        <rFont val="Arial"/>
        <family val="0"/>
        <charset val="1"/>
      </rPr>
      <t xml:space="preserve">. Montecitorio, Palazzo Madama, Quirinale, Palazzo Chigi.</t>
    </r>
  </si>
  <si>
    <r>
      <rPr>
        <sz val="10"/>
        <rFont val="WenQuanYi Zen Hei"/>
        <family val="2"/>
      </rPr>
      <t xml:space="preserve">긴장의 정점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현실의 이탈리아 정부 구성 절차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대통령 협의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조각 위임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선서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양원 신임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해산과 재선거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를 드라마로 옮긴다</t>
    </r>
    <r>
      <rPr>
        <sz val="10"/>
        <rFont val="Noto Sans CJK SC"/>
        <family val="2"/>
        <charset val="1"/>
      </rPr>
      <t xml:space="preserve">. Marco</t>
    </r>
    <r>
      <rPr>
        <sz val="10"/>
        <rFont val="WenQuanYi Zen Hei"/>
        <family val="2"/>
      </rPr>
      <t xml:space="preserve">가 연설가가 되는 순간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</si>
  <si>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조기 총선에서 </t>
    </r>
    <r>
      <rPr>
        <sz val="10"/>
        <rFont val="Noto Sans CJK SC"/>
        <family val="2"/>
        <charset val="1"/>
      </rPr>
      <t xml:space="preserve">3</t>
    </r>
    <r>
      <rPr>
        <sz val="10"/>
        <rFont val="WenQuanYi Zen Hei"/>
        <family val="2"/>
      </rPr>
      <t xml:space="preserve">위로 들어간 </t>
    </r>
    <r>
      <rPr>
        <sz val="10"/>
        <rFont val="Noto Sans CJK SC"/>
        <family val="2"/>
        <charset val="1"/>
      </rPr>
      <t xml:space="preserve">Casa Comune</t>
    </r>
    <r>
      <rPr>
        <sz val="10"/>
        <rFont val="WenQuanYi Zen Hei"/>
        <family val="2"/>
      </rPr>
      <t xml:space="preserve">가 두 번의 선거와 두 번의 신임 투표를 거쳐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상원 </t>
    </r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표 차로 총리를 배출한다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</si>
  <si>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제</t>
    </r>
    <r>
      <rPr>
        <sz val="10"/>
        <rFont val="Noto Sans CJK SC"/>
        <family val="2"/>
        <charset val="1"/>
      </rPr>
      <t xml:space="preserve">3</t>
    </r>
    <r>
      <rPr>
        <sz val="10"/>
        <rFont val="WenQuanYi Zen Hei"/>
        <family val="2"/>
      </rPr>
      <t xml:space="preserve">당 → 정부의 주인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</si>
  <si>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원칙 </t>
    </r>
    <r>
      <rPr>
        <sz val="10"/>
        <rFont val="Noto Sans CJK SC"/>
        <family val="2"/>
        <charset val="1"/>
      </rPr>
      <t xml:space="preserve">vs </t>
    </r>
    <r>
      <rPr>
        <sz val="10"/>
        <rFont val="WenQuanYi Zen Hei"/>
        <family val="2"/>
      </rPr>
      <t xml:space="preserve">협상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차등 자치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사법 개혁</t>
    </r>
    <r>
      <rPr>
        <sz val="10"/>
        <rFont val="Noto Sans CJK SC"/>
        <family val="2"/>
        <charset val="1"/>
      </rPr>
      <t xml:space="preserve">) / </t>
    </r>
    <r>
      <rPr>
        <sz val="10"/>
        <rFont val="WenQuanYi Zen Hei"/>
        <family val="2"/>
      </rPr>
      <t xml:space="preserve">피로</t>
    </r>
  </si>
  <si>
    <r>
      <rPr>
        <sz val="10"/>
        <rFont val="WenQuanYi Zen Hei"/>
        <family val="2"/>
      </rPr>
      <t xml:space="preserve">발단</t>
    </r>
    <r>
      <rPr>
        <sz val="10"/>
        <rFont val="Noto Sans CJK SC"/>
        <family val="2"/>
        <charset val="1"/>
      </rPr>
      <t xml:space="preserve">(1~3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해산 명령과 서명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전국 유세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사르데냐 내륙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가뭄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풍력</t>
    </r>
    <r>
      <rPr>
        <sz val="10"/>
        <rFont val="Noto Sans CJK SC"/>
        <family val="2"/>
        <charset val="1"/>
      </rPr>
      <t xml:space="preserve">), TV </t>
    </r>
    <r>
      <rPr>
        <sz val="10"/>
        <rFont val="WenQuanYi Zen Hei"/>
        <family val="2"/>
      </rPr>
      <t xml:space="preserve">토론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</si>
  <si>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전환점</t>
    </r>
    <r>
      <rPr>
        <sz val="10"/>
        <rFont val="Noto Sans CJK SC"/>
        <family val="2"/>
        <charset val="1"/>
      </rPr>
      <t xml:space="preserve">(4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1</t>
    </r>
    <r>
      <rPr>
        <sz val="10"/>
        <rFont val="WenQuanYi Zen Hei"/>
        <family val="2"/>
      </rPr>
      <t xml:space="preserve">차 총선 — </t>
    </r>
    <r>
      <rPr>
        <sz val="10"/>
        <rFont val="Noto Sans CJK SC"/>
        <family val="2"/>
        <charset val="1"/>
      </rPr>
      <t xml:space="preserve">3</t>
    </r>
    <r>
      <rPr>
        <sz val="10"/>
        <rFont val="WenQuanYi Zen Hei"/>
        <family val="2"/>
      </rPr>
      <t xml:space="preserve">위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전개</t>
    </r>
    <r>
      <rPr>
        <sz val="10"/>
        <rFont val="Noto Sans CJK SC"/>
        <family val="2"/>
        <charset val="1"/>
      </rPr>
      <t xml:space="preserve">(5~6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개원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교섭단체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대통령 협의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</si>
  <si>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미드포인트</t>
    </r>
    <r>
      <rPr>
        <sz val="10"/>
        <rFont val="Noto Sans CJK SC"/>
        <family val="2"/>
        <charset val="1"/>
      </rPr>
      <t xml:space="preserve">(7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UCN </t>
    </r>
    <r>
      <rPr>
        <sz val="10"/>
        <rFont val="WenQuanYi Zen Hei"/>
        <family val="2"/>
      </rPr>
      <t xml:space="preserve">정부가 하원 신임 투표에서 부결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</si>
  <si>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위기</t>
    </r>
    <r>
      <rPr>
        <sz val="10"/>
        <rFont val="Noto Sans CJK SC"/>
        <family val="2"/>
        <charset val="1"/>
      </rPr>
      <t xml:space="preserve">(8~9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탐색 위임의 교착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재해산과 재선거 캠페인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</si>
  <si>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전환점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절정</t>
    </r>
    <r>
      <rPr>
        <sz val="10"/>
        <rFont val="Noto Sans CJK SC"/>
        <family val="2"/>
        <charset val="1"/>
      </rPr>
      <t xml:space="preserve">(10~11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재선거 결과 </t>
    </r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당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과반 아님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지역정당과의 연정 협상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</si>
  <si>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결말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훅</t>
    </r>
    <r>
      <rPr>
        <sz val="10"/>
        <rFont val="Noto Sans CJK SC"/>
        <family val="2"/>
        <charset val="1"/>
      </rPr>
      <t xml:space="preserve">(12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Quirinale </t>
    </r>
    <r>
      <rPr>
        <sz val="10"/>
        <rFont val="WenQuanYi Zen Hei"/>
        <family val="2"/>
      </rPr>
      <t xml:space="preserve">선서 → 하원 신임 → 상원 </t>
    </r>
    <r>
      <rPr>
        <sz val="10"/>
        <rFont val="Noto Sans CJK SC"/>
        <family val="2"/>
        <charset val="1"/>
      </rPr>
      <t xml:space="preserve">102 </t>
    </r>
    <r>
      <rPr>
        <sz val="10"/>
        <rFont val="WenQuanYi Zen Hei"/>
        <family val="2"/>
      </rPr>
      <t xml:space="preserve">대 </t>
    </r>
    <r>
      <rPr>
        <sz val="10"/>
        <rFont val="Noto Sans CJK SC"/>
        <family val="2"/>
        <charset val="1"/>
      </rPr>
      <t xml:space="preserve">101, 1</t>
    </r>
    <r>
      <rPr>
        <sz val="10"/>
        <rFont val="WenQuanYi Zen Hei"/>
        <family val="2"/>
      </rPr>
      <t xml:space="preserve">표 차 신임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</si>
  <si>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Marco: </t>
    </r>
    <r>
      <rPr>
        <sz val="10"/>
        <rFont val="WenQuanYi Zen Hei"/>
        <family val="2"/>
      </rPr>
      <t xml:space="preserve">후반 연설가로 성장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따뜻한 문장</t>
    </r>
    <r>
      <rPr>
        <sz val="10"/>
        <rFont val="Arial"/>
        <family val="0"/>
        <charset val="1"/>
      </rPr>
      <t xml:space="preserve">). Dante: </t>
    </r>
    <r>
      <rPr>
        <sz val="10"/>
        <rFont val="WenQuanYi Zen Hei"/>
        <family val="2"/>
      </rPr>
      <t xml:space="preserve">연설문</t>
    </r>
    <r>
      <rPr>
        <sz val="10"/>
        <rFont val="Arial"/>
        <family val="0"/>
        <charset val="1"/>
      </rPr>
      <t xml:space="preserve">. Chiara·Machiavelli: </t>
    </r>
    <r>
      <rPr>
        <sz val="10"/>
        <rFont val="WenQuanYi Zen Hei"/>
        <family val="2"/>
      </rPr>
      <t xml:space="preserve">협상</t>
    </r>
    <r>
      <rPr>
        <sz val="10"/>
        <rFont val="Arial"/>
        <family val="0"/>
        <charset val="1"/>
      </rPr>
      <t xml:space="preserve">. Garibaldi: </t>
    </r>
    <r>
      <rPr>
        <sz val="10"/>
        <rFont val="WenQuanYi Zen Hei"/>
        <family val="2"/>
      </rPr>
      <t xml:space="preserve">캠프 총괄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차등 자치 앞에서 정색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가상 인물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하원의장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상원의장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표결 결과 낭독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대통령은 직접 대사 없음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</si>
  <si>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TB</t>
    </r>
    <r>
      <rPr>
        <sz val="10"/>
        <rFont val="WenQuanYi Zen Hei"/>
        <family val="2"/>
      </rPr>
      <t xml:space="preserve">의 조건부 기권</t>
    </r>
    <r>
      <rPr>
        <sz val="10"/>
        <rFont val="Arial"/>
        <family val="0"/>
        <charset val="1"/>
      </rPr>
      <t xml:space="preserve">(→12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) / Cesare</t>
    </r>
    <r>
      <rPr>
        <sz val="10"/>
        <rFont val="WenQuanYi Zen Hei"/>
        <family val="2"/>
      </rPr>
      <t xml:space="preserve">의 해설</t>
    </r>
    <r>
      <rPr>
        <sz val="10"/>
        <rFont val="Arial"/>
        <family val="0"/>
        <charset val="1"/>
      </rPr>
      <t xml:space="preserve">(→11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화 죽음</t>
    </r>
    <r>
      <rPr>
        <sz val="10"/>
        <rFont val="Arial"/>
        <family val="0"/>
        <charset val="1"/>
      </rPr>
      <t xml:space="preserve">) / </t>
    </r>
    <r>
      <rPr>
        <sz val="10"/>
        <rFont val="WenQuanYi Zen Hei"/>
        <family val="2"/>
      </rPr>
      <t xml:space="preserve">상원의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표</t>
    </r>
    <r>
      <rPr>
        <sz val="10"/>
        <rFont val="Arial"/>
        <family val="0"/>
        <charset val="1"/>
      </rPr>
      <t xml:space="preserve">(→13</t>
    </r>
    <r>
      <rPr>
        <sz val="10"/>
        <rFont val="WenQuanYi Zen Hei"/>
        <family val="2"/>
      </rPr>
      <t xml:space="preserve">부 원형</t>
    </r>
    <r>
      <rPr>
        <sz val="10"/>
        <rFont val="Arial"/>
        <family val="0"/>
        <charset val="1"/>
      </rPr>
      <t xml:space="preserve">)</t>
    </r>
  </si>
  <si>
    <t xml:space="preserve">P1● P2● N5● (○ S3·S4·S1·S2·N3·N4·P3)</t>
  </si>
  <si>
    <r>
      <rPr>
        <sz val="10"/>
        <rFont val="WenQuanYi Zen Hei"/>
        <family val="2"/>
      </rPr>
      <t xml:space="preserve">해산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88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)·70</t>
    </r>
    <r>
      <rPr>
        <sz val="10"/>
        <rFont val="WenQuanYi Zen Hei"/>
        <family val="2"/>
      </rPr>
      <t xml:space="preserve">일 이내 선거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제</t>
    </r>
    <r>
      <rPr>
        <sz val="10"/>
        <rFont val="Noto Sans CJK SC"/>
        <family val="2"/>
        <charset val="1"/>
      </rPr>
      <t xml:space="preserve">61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선거법</t>
    </r>
    <r>
      <rPr>
        <sz val="10"/>
        <rFont val="Noto Sans CJK SC"/>
        <family val="2"/>
        <charset val="1"/>
      </rPr>
      <t xml:space="preserve">(legge 165/2017), </t>
    </r>
    <r>
      <rPr>
        <sz val="10"/>
        <rFont val="WenQuanYi Zen Hei"/>
        <family val="2"/>
      </rPr>
      <t xml:space="preserve">명부 제출 서명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개원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교섭단체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대통령 협의와 조각 위임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제</t>
    </r>
    <r>
      <rPr>
        <sz val="10"/>
        <rFont val="Noto Sans CJK SC"/>
        <family val="2"/>
        <charset val="1"/>
      </rPr>
      <t xml:space="preserve">92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선서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제</t>
    </r>
    <r>
      <rPr>
        <sz val="10"/>
        <rFont val="Noto Sans CJK SC"/>
        <family val="2"/>
        <charset val="1"/>
      </rPr>
      <t xml:space="preserve">93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양원 신임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제</t>
    </r>
    <r>
      <rPr>
        <sz val="10"/>
        <rFont val="Noto Sans CJK SC"/>
        <family val="2"/>
        <charset val="1"/>
      </rPr>
      <t xml:space="preserve">94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차등 자치</t>
    </r>
    <r>
      <rPr>
        <sz val="10"/>
        <rFont val="Noto Sans CJK SC"/>
        <family val="2"/>
        <charset val="1"/>
      </rPr>
      <t xml:space="preserve">(legge 86/2024)</t>
    </r>
  </si>
  <si>
    <r>
      <rPr>
        <sz val="10"/>
        <rFont val="Arial"/>
        <family val="0"/>
        <charset val="1"/>
      </rPr>
      <t xml:space="preserve">C1~C2. </t>
    </r>
    <r>
      <rPr>
        <sz val="10"/>
        <rFont val="WenQuanYi Zen Hei"/>
        <family val="2"/>
      </rPr>
      <t xml:space="preserve">토론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연설 수사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접속법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조건법 완곡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발성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장엄한 호흡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표결 결과 낭독의 또박또박함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</si>
  <si>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Sofia: seggio·maggioranza assoluta·fiducia </t>
    </r>
    <r>
      <rPr>
        <sz val="10"/>
        <rFont val="WenQuanYi Zen Hei"/>
        <family val="2"/>
      </rPr>
      <t xml:space="preserve">등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카드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88·92·94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하원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상원 속기록</t>
    </r>
    <r>
      <rPr>
        <sz val="10"/>
        <rFont val="Arial"/>
        <family val="0"/>
        <charset val="1"/>
      </rPr>
      <t xml:space="preserve">(resoconti stenografici).</t>
    </r>
  </si>
  <si>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소수 연립 정부의 국정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</si>
  <si>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La Grande Battaglia Sociale I — </t>
    </r>
    <r>
      <rPr>
        <b val="true"/>
        <sz val="10"/>
        <color rgb="FFFFFFFF"/>
        <rFont val="WenQuanYi Zen Hei"/>
        <family val="2"/>
      </rPr>
      <t xml:space="preserve">사회 현안 전투 </t>
    </r>
    <r>
      <rPr>
        <b val="true"/>
        <sz val="10"/>
        <color rgb="FFFFFFFF"/>
        <rFont val="Arial"/>
        <family val="0"/>
        <charset val="1"/>
      </rPr>
      <t xml:space="preserve">I   |   </t>
    </r>
    <r>
      <rPr>
        <b val="true"/>
        <sz val="10"/>
        <color rgb="FFFFFFFF"/>
        <rFont val="WenQuanYi Zen Hei"/>
        <family val="2"/>
      </rPr>
      <t xml:space="preserve">난이도 </t>
    </r>
    <r>
      <rPr>
        <b val="true"/>
        <sz val="10"/>
        <color rgb="FFFFFFFF"/>
        <rFont val="Arial"/>
        <family val="0"/>
        <charset val="1"/>
      </rPr>
      <t xml:space="preserve">C1~C2   |   </t>
    </r>
    <r>
      <rPr>
        <b val="true"/>
        <sz val="10"/>
        <color rgb="FFFFFFFF"/>
        <rFont val="WenQuanYi Zen Hei"/>
        <family val="2"/>
      </rPr>
      <t xml:space="preserve">취임 후 첫 해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가상</t>
    </r>
    <r>
      <rPr>
        <b val="true"/>
        <sz val="10"/>
        <color rgb="FFFFFFFF"/>
        <rFont val="Arial"/>
        <family val="0"/>
        <charset val="1"/>
      </rPr>
      <t xml:space="preserve">). Palazzo Chigi, Consiglio dei Ministri, </t>
    </r>
    <r>
      <rPr>
        <b val="true"/>
        <sz val="10"/>
        <color rgb="FFFFFFFF"/>
        <rFont val="WenQuanYi Zen Hei"/>
        <family val="2"/>
      </rPr>
      <t xml:space="preserve">브뤼셀</t>
    </r>
    <r>
      <rPr>
        <b val="true"/>
        <sz val="10"/>
        <color rgb="FFFFFFFF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</si>
  <si>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이야기의 시험대이자 </t>
    </r>
    <r>
      <rPr>
        <sz val="10"/>
        <rFont val="Noto Sans CJK SC"/>
        <family val="2"/>
        <charset val="1"/>
      </rPr>
      <t xml:space="preserve">Cesare</t>
    </r>
    <r>
      <rPr>
        <sz val="10"/>
        <rFont val="WenQuanYi Zen Hei"/>
        <family val="2"/>
      </rPr>
      <t xml:space="preserve">의 마지막 임무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총리가 되어도 권한은 국가와 주</t>
    </r>
    <r>
      <rPr>
        <sz val="10"/>
        <rFont val="Noto Sans CJK SC"/>
        <family val="2"/>
        <charset val="1"/>
      </rPr>
      <t xml:space="preserve">(Regione)</t>
    </r>
    <r>
      <rPr>
        <sz val="10"/>
        <rFont val="WenQuanYi Zen Hei"/>
        <family val="2"/>
      </rPr>
      <t xml:space="preserve">로 나뉘어 있다는 현실을 국내에서 배운 뒤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부활한 독재관이 </t>
    </r>
    <r>
      <rPr>
        <sz val="10"/>
        <rFont val="Noto Sans CJK SC"/>
        <family val="2"/>
        <charset val="1"/>
      </rPr>
      <t xml:space="preserve">2</t>
    </r>
    <r>
      <rPr>
        <sz val="10"/>
        <rFont val="WenQuanYi Zen Hei"/>
        <family val="2"/>
      </rPr>
      <t xml:space="preserve">천 년 만에 다시 협상 테이블에 앉아 브뤼셀에서 승리하고 그 직후 숨을 거둔다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</si>
  <si>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연립 정부가 주거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보건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이민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청년의 벽을 넘고</t>
    </r>
    <r>
      <rPr>
        <sz val="10"/>
        <rFont val="Noto Sans CJK SC"/>
        <family val="2"/>
        <charset val="1"/>
      </rPr>
      <t xml:space="preserve">, Cesare</t>
    </r>
    <r>
      <rPr>
        <sz val="10"/>
        <rFont val="WenQuanYi Zen Hei"/>
        <family val="2"/>
      </rPr>
      <t xml:space="preserve">가 자원해 </t>
    </r>
    <r>
      <rPr>
        <sz val="10"/>
        <rFont val="Noto Sans CJK SC"/>
        <family val="2"/>
        <charset val="1"/>
      </rPr>
      <t xml:space="preserve">NATO </t>
    </r>
    <r>
      <rPr>
        <sz val="10"/>
        <rFont val="WenQuanYi Zen Hei"/>
        <family val="2"/>
      </rPr>
      <t xml:space="preserve">방위비와 </t>
    </r>
    <r>
      <rPr>
        <sz val="10"/>
        <rFont val="Noto Sans CJK SC"/>
        <family val="2"/>
        <charset val="1"/>
      </rPr>
      <t xml:space="preserve">EU </t>
    </r>
    <r>
      <rPr>
        <sz val="10"/>
        <rFont val="WenQuanYi Zen Hei"/>
        <family val="2"/>
      </rPr>
      <t xml:space="preserve">재정규칙을 직접 협상해 이긴 뒤 귀국 직후 쓰러진다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</si>
  <si>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선거의 사람들 → 통치하는 사람들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그리고 은퇴한 독재관 → 현역 협상가로 마지막으로 돌아간 사람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</si>
  <si>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하고 싶은 것 </t>
    </r>
    <r>
      <rPr>
        <sz val="10"/>
        <rFont val="Noto Sans CJK SC"/>
        <family val="2"/>
        <charset val="1"/>
      </rPr>
      <t xml:space="preserve">vs </t>
    </r>
    <r>
      <rPr>
        <sz val="10"/>
        <rFont val="WenQuanYi Zen Hei"/>
        <family val="2"/>
      </rPr>
      <t xml:space="preserve">할 수 있는 것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권한</t>
    </r>
    <r>
      <rPr>
        <sz val="10"/>
        <rFont val="Noto Sans CJK SC"/>
        <family val="2"/>
        <charset val="1"/>
      </rPr>
      <t xml:space="preserve">) / </t>
    </r>
    <r>
      <rPr>
        <sz val="10"/>
        <rFont val="WenQuanYi Zen Hei"/>
        <family val="2"/>
      </rPr>
      <t xml:space="preserve">늙은 몸 </t>
    </r>
    <r>
      <rPr>
        <sz val="10"/>
        <rFont val="Noto Sans CJK SC"/>
        <family val="2"/>
        <charset val="1"/>
      </rPr>
      <t xml:space="preserve">vs </t>
    </r>
    <r>
      <rPr>
        <sz val="10"/>
        <rFont val="WenQuanYi Zen Hei"/>
        <family val="2"/>
      </rPr>
      <t xml:space="preserve">마지막 임무를 향한 의지</t>
    </r>
  </si>
  <si>
    <r>
      <rPr>
        <sz val="10"/>
        <rFont val="WenQuanYi Zen Hei"/>
        <family val="2"/>
      </rPr>
      <t xml:space="preserve">발단</t>
    </r>
    <r>
      <rPr>
        <sz val="10"/>
        <rFont val="Noto Sans CJK SC"/>
        <family val="2"/>
        <charset val="1"/>
      </rPr>
      <t xml:space="preserve">(1~2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첫 국무회의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보이지 않는 집주인들 — 주거 현안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</si>
  <si>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전개</t>
    </r>
    <r>
      <rPr>
        <sz val="10"/>
        <rFont val="Noto Sans CJK SC"/>
        <family val="2"/>
        <charset val="1"/>
      </rPr>
      <t xml:space="preserve">(3~5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주거법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자기 조항 봉쇄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응급실 마비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주 권한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이민 분담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</si>
  <si>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위기</t>
    </r>
    <r>
      <rPr>
        <sz val="10"/>
        <rFont val="Noto Sans CJK SC"/>
        <family val="2"/>
        <charset val="1"/>
      </rPr>
      <t xml:space="preserve">(6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청년 고용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최저임금 협상 — 아직 죽지 않지만 계단에서 숨이 가쁘다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</si>
  <si>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위기</t>
    </r>
    <r>
      <rPr>
        <sz val="10"/>
        <rFont val="Noto Sans CJK SC"/>
        <family val="2"/>
        <charset val="1"/>
      </rPr>
      <t xml:space="preserve">(7~8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가격 카르텔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도청 논쟁</t>
    </r>
    <r>
      <rPr>
        <sz val="10"/>
        <rFont val="Noto Sans CJK SC"/>
        <family val="2"/>
        <charset val="1"/>
      </rPr>
      <t xml:space="preserve">(Cesare</t>
    </r>
    <r>
      <rPr>
        <sz val="10"/>
        <rFont val="WenQuanYi Zen Hei"/>
        <family val="2"/>
      </rPr>
      <t xml:space="preserve">가 중재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횡재세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</si>
  <si>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전환점</t>
    </r>
    <r>
      <rPr>
        <sz val="10"/>
        <rFont val="Noto Sans CJK SC"/>
        <family val="2"/>
        <charset val="1"/>
      </rPr>
      <t xml:space="preserve">(9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Cesare</t>
    </r>
    <r>
      <rPr>
        <sz val="10"/>
        <rFont val="WenQuanYi Zen Hei"/>
        <family val="2"/>
      </rPr>
      <t xml:space="preserve">가 브뤼셀行을 자원한다 — 금박 이름을 새긴 사업가 출신과 정보기관 출신의 이웃국 병합자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두 지도자를 특징으로만 회상하며 이름은 끝내 말하지 않는다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</si>
  <si>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절정</t>
    </r>
    <r>
      <rPr>
        <sz val="10"/>
        <rFont val="Noto Sans CJK SC"/>
        <family val="2"/>
        <charset val="1"/>
      </rPr>
      <t xml:space="preserve">(10~11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직접 협상 — 상대의 거짓말을 반박하고 타결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귀국길의 피로</t>
    </r>
    <r>
      <rPr>
        <sz val="10"/>
        <rFont val="Noto Sans CJK SC"/>
        <family val="2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</si>
  <si>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비트 </t>
    </r>
    <r>
      <rPr>
        <b val="true"/>
        <sz val="10"/>
        <rFont val="Noto Sans CJK SC"/>
        <family val="2"/>
        <charset val="1"/>
      </rPr>
      <t xml:space="preserve">7</t>
    </r>
  </si>
  <si>
    <r>
      <rPr>
        <sz val="10"/>
        <rFont val="WenQuanYi Zen Hei"/>
        <family val="2"/>
      </rPr>
      <t xml:space="preserve">결말</t>
    </r>
    <r>
      <rPr>
        <sz val="10"/>
        <rFont val="Noto Sans CJK SC"/>
        <family val="2"/>
        <charset val="1"/>
      </rPr>
      <t xml:space="preserve">(12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귀국 직후 사망</t>
    </r>
    <r>
      <rPr>
        <sz val="10"/>
        <rFont val="Noto Sans CJK SC"/>
        <family val="2"/>
        <charset val="1"/>
      </rPr>
      <t xml:space="preserve">. «Niente male.» — </t>
    </r>
    <r>
      <rPr>
        <sz val="10"/>
        <rFont val="WenQuanYi Zen Hei"/>
        <family val="2"/>
      </rPr>
      <t xml:space="preserve">승리 직후라 더 무겁다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</si>
  <si>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Marco=</t>
    </r>
    <r>
      <rPr>
        <sz val="10"/>
        <rFont val="WenQuanYi Zen Hei"/>
        <family val="2"/>
      </rPr>
      <t xml:space="preserve">총리</t>
    </r>
    <r>
      <rPr>
        <sz val="10"/>
        <rFont val="Arial"/>
        <family val="0"/>
        <charset val="1"/>
      </rPr>
      <t xml:space="preserve">, Alessandro=</t>
    </r>
    <r>
      <rPr>
        <sz val="10"/>
        <rFont val="WenQuanYi Zen Hei"/>
        <family val="2"/>
      </rPr>
      <t xml:space="preserve">경제재정부 장관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브뤼셀 동행</t>
    </r>
    <r>
      <rPr>
        <sz val="10"/>
        <rFont val="Arial"/>
        <family val="0"/>
        <charset val="1"/>
      </rPr>
      <t xml:space="preserve">), Giulia=</t>
    </r>
    <r>
      <rPr>
        <sz val="10"/>
        <rFont val="WenQuanYi Zen Hei"/>
        <family val="2"/>
      </rPr>
      <t xml:space="preserve">보건부 장관</t>
    </r>
    <r>
      <rPr>
        <sz val="10"/>
        <rFont val="Arial"/>
        <family val="0"/>
        <charset val="1"/>
      </rPr>
      <t xml:space="preserve">, Chiara=</t>
    </r>
    <r>
      <rPr>
        <sz val="10"/>
        <rFont val="WenQuanYi Zen Hei"/>
        <family val="2"/>
      </rPr>
      <t xml:space="preserve">총리실 실장</t>
    </r>
    <r>
      <rPr>
        <sz val="10"/>
        <rFont val="Arial"/>
        <family val="0"/>
        <charset val="1"/>
      </rPr>
      <t xml:space="preserve">, Garibaldi=</t>
    </r>
    <r>
      <rPr>
        <sz val="10"/>
        <rFont val="WenQuanYi Zen Hei"/>
        <family val="2"/>
      </rPr>
      <t xml:space="preserve">지역통합 담당 장관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대표단 로지스틱스</t>
    </r>
    <r>
      <rPr>
        <sz val="10"/>
        <rFont val="Arial"/>
        <family val="0"/>
        <charset val="1"/>
      </rPr>
      <t xml:space="preserve">), Dante=</t>
    </r>
    <r>
      <rPr>
        <sz val="10"/>
        <rFont val="WenQuanYi Zen Hei"/>
        <family val="2"/>
      </rPr>
      <t xml:space="preserve">연설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브리핑 문구</t>
    </r>
    <r>
      <rPr>
        <sz val="10"/>
        <rFont val="Arial"/>
        <family val="0"/>
        <charset val="1"/>
      </rPr>
      <t xml:space="preserve">, Machiavelli=</t>
    </r>
    <r>
      <rPr>
        <sz val="10"/>
        <rFont val="WenQuanYi Zen Hei"/>
        <family val="2"/>
      </rPr>
      <t xml:space="preserve">정치 전략</t>
    </r>
    <r>
      <rPr>
        <sz val="10"/>
        <rFont val="Arial"/>
        <family val="0"/>
        <charset val="1"/>
      </rPr>
      <t xml:space="preserve">, Sofia: </t>
    </r>
    <r>
      <rPr>
        <sz val="10"/>
        <rFont val="WenQuanYi Zen Hei"/>
        <family val="2"/>
      </rPr>
      <t xml:space="preserve">마지막 순간을 함께한다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</si>
  <si>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Marco</t>
    </r>
    <r>
      <rPr>
        <sz val="10"/>
        <rFont val="WenQuanYi Zen Hei"/>
        <family val="2"/>
      </rPr>
      <t xml:space="preserve">의 옛 조항 봉쇄</t>
    </r>
    <r>
      <rPr>
        <sz val="10"/>
        <rFont val="Arial"/>
        <family val="0"/>
        <charset val="1"/>
      </rPr>
      <t xml:space="preserve">(2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화 회수</t>
    </r>
    <r>
      <rPr>
        <sz val="10"/>
        <rFont val="Arial"/>
        <family val="0"/>
        <charset val="1"/>
      </rPr>
      <t xml:space="preserve">) / Cesare </t>
    </r>
    <r>
      <rPr>
        <sz val="10"/>
        <rFont val="WenQuanYi Zen Hei"/>
        <family val="2"/>
      </rPr>
      <t xml:space="preserve">죽음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우산</t>
    </r>
    <r>
      <rPr>
        <sz val="10"/>
        <rFont val="Arial"/>
        <family val="0"/>
        <charset val="1"/>
      </rPr>
      <t xml:space="preserve">(→12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13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) / </t>
    </r>
    <r>
      <rPr>
        <sz val="10"/>
        <rFont val="WenQuanYi Zen Hei"/>
        <family val="2"/>
      </rPr>
      <t xml:space="preserve">도청 논쟁</t>
    </r>
    <r>
      <rPr>
        <sz val="10"/>
        <rFont val="Arial"/>
        <family val="0"/>
        <charset val="1"/>
      </rPr>
      <t xml:space="preserve">(7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화 회수</t>
    </r>
    <r>
      <rPr>
        <sz val="10"/>
        <rFont val="Arial"/>
        <family val="0"/>
        <charset val="1"/>
      </rPr>
      <t xml:space="preserve">) / Cesare</t>
    </r>
    <r>
      <rPr>
        <sz val="10"/>
        <rFont val="WenQuanYi Zen Hei"/>
        <family val="2"/>
      </rPr>
      <t xml:space="preserve">가 브뤼셀로 자원</t>
    </r>
    <r>
      <rPr>
        <sz val="10"/>
        <rFont val="Arial"/>
        <family val="0"/>
        <charset val="1"/>
      </rPr>
      <t xml:space="preserve">(→12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2~3</t>
    </r>
    <r>
      <rPr>
        <sz val="10"/>
        <rFont val="WenQuanYi Zen Hei"/>
        <family val="2"/>
      </rPr>
      <t xml:space="preserve">화 메모 승계</t>
    </r>
    <r>
      <rPr>
        <sz val="10"/>
        <rFont val="Arial"/>
        <family val="0"/>
        <charset val="1"/>
      </rPr>
      <t xml:space="preserve">)</t>
    </r>
  </si>
  <si>
    <t xml:space="preserve">E1● E3● S1● S2● N3●</t>
  </si>
  <si>
    <r>
      <rPr>
        <sz val="10"/>
        <rFont val="WenQuanYi Zen Hei"/>
        <family val="2"/>
      </rPr>
      <t xml:space="preserve">국무회의</t>
    </r>
    <r>
      <rPr>
        <sz val="10"/>
        <rFont val="Arial"/>
        <family val="0"/>
        <charset val="1"/>
      </rPr>
      <t xml:space="preserve">(legge 400/1988), </t>
    </r>
    <r>
      <rPr>
        <sz val="10"/>
        <rFont val="WenQuanYi Zen Hei"/>
        <family val="2"/>
      </rPr>
      <t xml:space="preserve">국가–주 협의회</t>
    </r>
    <r>
      <rPr>
        <sz val="10"/>
        <rFont val="Arial"/>
        <family val="0"/>
        <charset val="1"/>
      </rPr>
      <t xml:space="preserve">(Conferenza Stato-Regioni), NATO </t>
    </r>
    <r>
      <rPr>
        <sz val="10"/>
        <rFont val="WenQuanYi Zen Hei"/>
        <family val="2"/>
      </rPr>
      <t xml:space="preserve">방위비 목표</t>
    </r>
    <r>
      <rPr>
        <sz val="10"/>
        <rFont val="Arial"/>
        <family val="0"/>
        <charset val="1"/>
      </rPr>
      <t xml:space="preserve">(2025 </t>
    </r>
    <r>
      <rPr>
        <sz val="10"/>
        <rFont val="WenQuanYi Zen Hei"/>
        <family val="2"/>
      </rPr>
      <t xml:space="preserve">헤이그 합의</t>
    </r>
    <r>
      <rPr>
        <sz val="10"/>
        <rFont val="Arial"/>
        <family val="0"/>
        <charset val="1"/>
      </rPr>
      <t xml:space="preserve">·5%·2035), EU </t>
    </r>
    <r>
      <rPr>
        <sz val="10"/>
        <rFont val="WenQuanYi Zen Hei"/>
        <family val="2"/>
      </rPr>
      <t xml:space="preserve">재정규칙과 과도한 재정적자 절차</t>
    </r>
    <r>
      <rPr>
        <sz val="10"/>
        <rFont val="Arial"/>
        <family val="0"/>
        <charset val="1"/>
      </rPr>
      <t xml:space="preserve">(TFUE </t>
    </r>
    <r>
      <rPr>
        <sz val="10"/>
        <rFont val="WenQuanYi Zen Hei"/>
        <family val="2"/>
      </rPr>
      <t xml:space="preserve">제</t>
    </r>
    <r>
      <rPr>
        <sz val="10"/>
        <rFont val="Arial"/>
        <family val="0"/>
        <charset val="1"/>
      </rPr>
      <t xml:space="preserve">126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이탈리아는 </t>
    </r>
    <r>
      <rPr>
        <sz val="10"/>
        <rFont val="Arial"/>
        <family val="0"/>
        <charset val="1"/>
      </rPr>
      <t xml:space="preserve">2024</t>
    </r>
    <r>
      <rPr>
        <sz val="10"/>
        <rFont val="WenQuanYi Zen Hei"/>
        <family val="2"/>
      </rPr>
      <t xml:space="preserve">년부터 대상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</si>
  <si>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C1~C2. </t>
    </r>
    <r>
      <rPr>
        <sz val="10"/>
        <rFont val="WenQuanYi Zen Hei"/>
        <family val="2"/>
      </rPr>
      <t xml:space="preserve">국정 문서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외교 협상 어휘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조문 낭독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완곡어법</t>
    </r>
    <r>
      <rPr>
        <sz val="10"/>
        <rFont val="Arial"/>
        <family val="0"/>
        <charset val="1"/>
      </rPr>
      <t xml:space="preserve">(Cesare</t>
    </r>
    <r>
      <rPr>
        <sz val="10"/>
        <rFont val="WenQuanYi Zen Hei"/>
        <family val="2"/>
      </rPr>
      <t xml:space="preserve">의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인칭 화법과 라틴어 한 줄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발성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노련한 협상가의 절제된 반박과 임종 장면의 낮은 목소리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</si>
  <si>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Sofia: decreto-legge·conflitto di attribuzione·ricorso in via principale </t>
    </r>
    <r>
      <rPr>
        <sz val="10"/>
        <rFont val="WenQuanYi Zen Hei"/>
        <family val="2"/>
      </rPr>
      <t xml:space="preserve">등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카드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117·77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, NATO </t>
    </r>
    <r>
      <rPr>
        <sz val="10"/>
        <rFont val="WenQuanYi Zen Hei"/>
        <family val="2"/>
      </rPr>
      <t xml:space="preserve">방위비 목표 문서</t>
    </r>
    <r>
      <rPr>
        <sz val="10"/>
        <rFont val="Arial"/>
        <family val="0"/>
        <charset val="1"/>
      </rPr>
      <t xml:space="preserve">, EU </t>
    </r>
    <r>
      <rPr>
        <sz val="10"/>
        <rFont val="WenQuanYi Zen Hei"/>
        <family val="2"/>
      </rPr>
      <t xml:space="preserve">기능조약 제</t>
    </r>
    <r>
      <rPr>
        <sz val="10"/>
        <rFont val="Arial"/>
        <family val="0"/>
        <charset val="1"/>
      </rPr>
      <t xml:space="preserve">126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</si>
  <si>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장례식으로 시작해 그의 메모로 협상을 잇는다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</si>
  <si>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La Grande Battaglia Sociale II — </t>
    </r>
    <r>
      <rPr>
        <b val="true"/>
        <sz val="10"/>
        <color rgb="FFFFFFFF"/>
        <rFont val="WenQuanYi Zen Hei"/>
        <family val="2"/>
      </rPr>
      <t xml:space="preserve">사회 현안 전투 </t>
    </r>
    <r>
      <rPr>
        <b val="true"/>
        <sz val="10"/>
        <color rgb="FFFFFFFF"/>
        <rFont val="Arial"/>
        <family val="0"/>
        <charset val="1"/>
      </rPr>
      <t xml:space="preserve">II   |   </t>
    </r>
    <r>
      <rPr>
        <b val="true"/>
        <sz val="10"/>
        <color rgb="FFFFFFFF"/>
        <rFont val="WenQuanYi Zen Hei"/>
        <family val="2"/>
      </rPr>
      <t xml:space="preserve">난이도 </t>
    </r>
    <r>
      <rPr>
        <b val="true"/>
        <sz val="10"/>
        <color rgb="FFFFFFFF"/>
        <rFont val="Arial"/>
        <family val="0"/>
        <charset val="1"/>
      </rPr>
      <t xml:space="preserve">C1~C2   |   Cesare </t>
    </r>
    <r>
      <rPr>
        <b val="true"/>
        <sz val="10"/>
        <color rgb="FFFFFFFF"/>
        <rFont val="WenQuanYi Zen Hei"/>
        <family val="2"/>
      </rPr>
      <t xml:space="preserve">사후</t>
    </r>
    <r>
      <rPr>
        <b val="true"/>
        <sz val="10"/>
        <color rgb="FFFFFFFF"/>
        <rFont val="Arial"/>
        <family val="0"/>
        <charset val="1"/>
      </rPr>
      <t xml:space="preserve">. Palazzo Chigi, </t>
    </r>
    <r>
      <rPr>
        <b val="true"/>
        <sz val="10"/>
        <color rgb="FFFFFFFF"/>
        <rFont val="WenQuanYi Zen Hei"/>
        <family val="2"/>
      </rPr>
      <t xml:space="preserve">브뤼셀</t>
    </r>
    <r>
      <rPr>
        <b val="true"/>
        <sz val="10"/>
        <color rgb="FFFFFFFF"/>
        <rFont val="Arial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홍수 현장</t>
    </r>
    <r>
      <rPr>
        <b val="true"/>
        <sz val="10"/>
        <color rgb="FFFFFFFF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</si>
  <si>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상실 이후의 국정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죽은 사람의 메모로 산 사람들이 협상을 잇는 법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그리고 새로운 현안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플랫폼 노동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스파이웨어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청년 정신건강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을 통과하는 팀의 성장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</si>
  <si>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장례식을 치른 팀이 </t>
    </r>
    <r>
      <rPr>
        <sz val="10"/>
        <rFont val="Noto Sans CJK SC"/>
        <family val="2"/>
        <charset val="1"/>
      </rPr>
      <t xml:space="preserve">Cesare</t>
    </r>
    <r>
      <rPr>
        <sz val="10"/>
        <rFont val="WenQuanYi Zen Hei"/>
        <family val="2"/>
      </rPr>
      <t xml:space="preserve">의 메모로 브뤼셀 후속 협상을 마무리하고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플랫폼 노동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스파이웨어 스캔들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청년 정신건강을 거쳐 불신임안과 홍수까지 버텨낸다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</si>
  <si>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한 사람의 노련함에 기대던 팀 → 그의 방식을 자기 것으로 만든 팀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</si>
  <si>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애도 </t>
    </r>
    <r>
      <rPr>
        <sz val="10"/>
        <rFont val="Noto Sans CJK SC"/>
        <family val="2"/>
        <charset val="1"/>
      </rPr>
      <t xml:space="preserve">vs </t>
    </r>
    <r>
      <rPr>
        <sz val="10"/>
        <rFont val="WenQuanYi Zen Hei"/>
        <family val="2"/>
      </rPr>
      <t xml:space="preserve">계속 가는 것 </t>
    </r>
    <r>
      <rPr>
        <sz val="10"/>
        <rFont val="Noto Sans CJK SC"/>
        <family val="2"/>
        <charset val="1"/>
      </rPr>
      <t xml:space="preserve">/ </t>
    </r>
    <r>
      <rPr>
        <sz val="10"/>
        <rFont val="WenQuanYi Zen Hei"/>
        <family val="2"/>
      </rPr>
      <t xml:space="preserve">새 현안들의 무게</t>
    </r>
  </si>
  <si>
    <r>
      <rPr>
        <sz val="10"/>
        <rFont val="WenQuanYi Zen Hei"/>
        <family val="2"/>
      </rPr>
      <t xml:space="preserve">발단</t>
    </r>
    <r>
      <rPr>
        <sz val="10"/>
        <rFont val="Noto Sans CJK SC"/>
        <family val="2"/>
        <charset val="1"/>
      </rPr>
      <t xml:space="preserve">(1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장례식 — </t>
    </r>
    <r>
      <rPr>
        <sz val="10"/>
        <rFont val="Noto Sans CJK SC"/>
        <family val="2"/>
        <charset val="1"/>
      </rPr>
      <t xml:space="preserve">Sofia</t>
    </r>
    <r>
      <rPr>
        <sz val="10"/>
        <rFont val="WenQuanYi Zen Hei"/>
        <family val="2"/>
      </rPr>
      <t xml:space="preserve">가 처음으로 </t>
    </r>
    <r>
      <rPr>
        <sz val="10"/>
        <rFont val="Noto Sans CJK SC"/>
        <family val="2"/>
        <charset val="1"/>
      </rPr>
      <t xml:space="preserve">tu</t>
    </r>
    <r>
      <rPr>
        <sz val="10"/>
        <rFont val="WenQuanYi Zen Hei"/>
        <family val="2"/>
      </rPr>
      <t xml:space="preserve">를 쓴다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</si>
  <si>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전개</t>
    </r>
    <r>
      <rPr>
        <sz val="10"/>
        <rFont val="Noto Sans CJK SC"/>
        <family val="2"/>
        <charset val="1"/>
      </rPr>
      <t xml:space="preserve">(2~3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유작 메모 발견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그 메모로 잇는 </t>
    </r>
    <r>
      <rPr>
        <sz val="10"/>
        <rFont val="Noto Sans CJK SC"/>
        <family val="2"/>
        <charset val="1"/>
      </rPr>
      <t xml:space="preserve">2</t>
    </r>
    <r>
      <rPr>
        <sz val="10"/>
        <rFont val="WenQuanYi Zen Hei"/>
        <family val="2"/>
      </rPr>
      <t xml:space="preserve">차 브뤼셀 협상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</si>
  <si>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전개</t>
    </r>
    <r>
      <rPr>
        <sz val="10"/>
        <rFont val="Noto Sans CJK SC"/>
        <family val="2"/>
        <charset val="1"/>
      </rPr>
      <t xml:space="preserve">(4~6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플랫폼 노동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라이더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스파이웨어 스캔들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청년 정신건강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</si>
  <si>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위기</t>
    </r>
    <r>
      <rPr>
        <sz val="10"/>
        <rFont val="Noto Sans CJK SC"/>
        <family val="2"/>
        <charset val="1"/>
      </rPr>
      <t xml:space="preserve">(7~8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불신임안 방어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홍수 재난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</si>
  <si>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절정</t>
    </r>
    <r>
      <rPr>
        <sz val="10"/>
        <rFont val="Noto Sans CJK SC"/>
        <family val="2"/>
        <charset val="1"/>
      </rPr>
      <t xml:space="preserve">(9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거리에서 나타난 성과들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</si>
  <si>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위기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결말</t>
    </r>
    <r>
      <rPr>
        <sz val="10"/>
        <rFont val="Noto Sans CJK SC"/>
        <family val="2"/>
        <charset val="1"/>
      </rPr>
      <t xml:space="preserve">(10~12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올드 가드의 빈자리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국방비 예산 반영 논쟁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예산안 제출 준비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</si>
  <si>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Alessandro·Dante=Cesare</t>
    </r>
    <r>
      <rPr>
        <sz val="10"/>
        <rFont val="WenQuanYi Zen Hei"/>
        <family val="2"/>
      </rPr>
      <t xml:space="preserve">의 메모를 잇는 두 사람</t>
    </r>
    <r>
      <rPr>
        <sz val="10"/>
        <rFont val="Arial"/>
        <family val="0"/>
        <charset val="1"/>
      </rPr>
      <t xml:space="preserve">. Gramsci=</t>
    </r>
    <r>
      <rPr>
        <sz val="10"/>
        <rFont val="WenQuanYi Zen Hei"/>
        <family val="2"/>
      </rPr>
      <t xml:space="preserve">감시당해 본 사람의 감각으로 스파이웨어 추적</t>
    </r>
    <r>
      <rPr>
        <sz val="10"/>
        <rFont val="Arial"/>
        <family val="0"/>
        <charset val="1"/>
      </rPr>
      <t xml:space="preserve">. Montessori·Sofia=</t>
    </r>
    <r>
      <rPr>
        <sz val="10"/>
        <rFont val="WenQuanYi Zen Hei"/>
        <family val="2"/>
      </rPr>
      <t xml:space="preserve">청년 정신건강</t>
    </r>
    <r>
      <rPr>
        <sz val="10"/>
        <rFont val="Arial"/>
        <family val="0"/>
        <charset val="1"/>
      </rPr>
      <t xml:space="preserve">. Garibaldi·Gramsci·Machiavelli=</t>
    </r>
    <r>
      <rPr>
        <sz val="10"/>
        <rFont val="WenQuanYi Zen Hei"/>
        <family val="2"/>
      </rPr>
      <t xml:space="preserve">빈자리를 마주함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</si>
  <si>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Cesare</t>
    </r>
    <r>
      <rPr>
        <sz val="10"/>
        <rFont val="WenQuanYi Zen Hei"/>
        <family val="2"/>
      </rPr>
      <t xml:space="preserve">의 유작 메모</t>
    </r>
    <r>
      <rPr>
        <sz val="10"/>
        <rFont val="Arial"/>
        <family val="0"/>
        <charset val="1"/>
      </rPr>
      <t xml:space="preserve">(11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화 회수 시작</t>
    </r>
    <r>
      <rPr>
        <sz val="10"/>
        <rFont val="Arial"/>
        <family val="0"/>
        <charset val="1"/>
      </rPr>
      <t xml:space="preserve">) / Sofia</t>
    </r>
    <r>
      <rPr>
        <sz val="10"/>
        <rFont val="WenQuanYi Zen Hei"/>
        <family val="2"/>
      </rPr>
      <t xml:space="preserve">의 </t>
    </r>
    <r>
      <rPr>
        <sz val="10"/>
        <rFont val="Arial"/>
        <family val="0"/>
        <charset val="1"/>
      </rPr>
      <t xml:space="preserve">Lei→tu(1</t>
    </r>
    <r>
      <rPr>
        <sz val="10"/>
        <rFont val="WenQuanYi Zen Hei"/>
        <family val="2"/>
      </rPr>
      <t xml:space="preserve">화에서 전환</t>
    </r>
    <r>
      <rPr>
        <sz val="10"/>
        <rFont val="Arial"/>
        <family val="0"/>
        <charset val="1"/>
      </rPr>
      <t xml:space="preserve">) / 7</t>
    </r>
    <r>
      <rPr>
        <sz val="10"/>
        <rFont val="WenQuanYi Zen Hei"/>
        <family val="2"/>
      </rPr>
      <t xml:space="preserve">부 도청 논쟁이 국가적 스캔들로 확장</t>
    </r>
  </si>
  <si>
    <t xml:space="preserve">N3● E3● N6● N7● N8● P1● P2● P3● N1● S4●</t>
  </si>
  <si>
    <r>
      <rPr>
        <sz val="10"/>
        <rFont val="WenQuanYi Zen Hei"/>
        <family val="2"/>
      </rPr>
      <t xml:space="preserve">유작 메모 승계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정보기관 체계와 의회 통제</t>
    </r>
    <r>
      <rPr>
        <sz val="10"/>
        <rFont val="Noto Sans CJK SC"/>
        <family val="2"/>
        <charset val="1"/>
      </rPr>
      <t xml:space="preserve">(legge 124/2007·COPASIR), </t>
    </r>
    <r>
      <rPr>
        <sz val="10"/>
        <rFont val="WenQuanYi Zen Hei"/>
        <family val="2"/>
      </rPr>
      <t xml:space="preserve">플랫폼 노동</t>
    </r>
    <r>
      <rPr>
        <sz val="10"/>
        <rFont val="Noto Sans CJK SC"/>
        <family val="2"/>
        <charset val="1"/>
      </rPr>
      <t xml:space="preserve">(d.lgs. 81/2015·EU </t>
    </r>
    <r>
      <rPr>
        <sz val="10"/>
        <rFont val="WenQuanYi Zen Hei"/>
        <family val="2"/>
      </rPr>
      <t xml:space="preserve">지침 </t>
    </r>
    <r>
      <rPr>
        <sz val="10"/>
        <rFont val="Noto Sans CJK SC"/>
        <family val="2"/>
        <charset val="1"/>
      </rPr>
      <t xml:space="preserve">2024/2831), </t>
    </r>
    <r>
      <rPr>
        <sz val="10"/>
        <rFont val="WenQuanYi Zen Hei"/>
        <family val="2"/>
      </rPr>
      <t xml:space="preserve">불신임안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94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민방위</t>
    </r>
    <r>
      <rPr>
        <sz val="10"/>
        <rFont val="Noto Sans CJK SC"/>
        <family val="2"/>
        <charset val="1"/>
      </rPr>
      <t xml:space="preserve">(d.lgs. 1/2018), </t>
    </r>
    <r>
      <rPr>
        <sz val="10"/>
        <rFont val="WenQuanYi Zen Hei"/>
        <family val="2"/>
      </rPr>
      <t xml:space="preserve">예산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81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, legge 196/2009)</t>
    </r>
  </si>
  <si>
    <r>
      <rPr>
        <sz val="10"/>
        <rFont val="Arial"/>
        <family val="0"/>
        <charset val="1"/>
      </rPr>
      <t xml:space="preserve">C1~C2. </t>
    </r>
    <r>
      <rPr>
        <sz val="10"/>
        <rFont val="WenQuanYi Zen Hei"/>
        <family val="2"/>
      </rPr>
      <t xml:space="preserve">추도사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인용</t>
    </r>
    <r>
      <rPr>
        <sz val="10"/>
        <rFont val="Arial"/>
        <family val="0"/>
        <charset val="1"/>
      </rPr>
      <t xml:space="preserve">(Cesare</t>
    </r>
    <r>
      <rPr>
        <sz val="10"/>
        <rFont val="WenQuanYi Zen Hei"/>
        <family val="2"/>
      </rPr>
      <t xml:space="preserve">의 문장을 빌려 쓰는 대사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국정 어휘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발성</t>
    </r>
    <r>
      <rPr>
        <sz val="10"/>
        <rFont val="Arial"/>
        <family val="0"/>
        <charset val="1"/>
      </rPr>
      <t xml:space="preserve">: 1</t>
    </r>
    <r>
      <rPr>
        <sz val="10"/>
        <rFont val="WenQuanYi Zen Hei"/>
        <family val="2"/>
      </rPr>
      <t xml:space="preserve">화의 낮고 절제된 애도 톤에서 점차 회복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</si>
  <si>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Sofia: intercettazioni·spyware·salute mentale </t>
    </r>
    <r>
      <rPr>
        <sz val="10"/>
        <rFont val="WenQuanYi Zen Hei"/>
        <family val="2"/>
      </rPr>
      <t xml:space="preserve">등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카드</t>
    </r>
    <r>
      <rPr>
        <sz val="10"/>
        <rFont val="Arial"/>
        <family val="0"/>
        <charset val="1"/>
      </rPr>
      <t xml:space="preserve">: legge 124/2007, d.lgs. 81/2015 </t>
    </r>
    <r>
      <rPr>
        <sz val="10"/>
        <rFont val="WenQuanYi Zen Hei"/>
        <family val="2"/>
      </rPr>
      <t xml:space="preserve">제</t>
    </r>
    <r>
      <rPr>
        <sz val="10"/>
        <rFont val="Arial"/>
        <family val="0"/>
        <charset val="1"/>
      </rPr>
      <t xml:space="preserve">47-bis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, d.lgs. 1/2018.</t>
    </r>
  </si>
  <si>
    <r>
      <rPr>
        <sz val="10"/>
        <rFont val="Arial"/>
        <family val="0"/>
        <charset val="1"/>
      </rPr>
      <t xml:space="preserve">13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: 1</t>
    </r>
    <r>
      <rPr>
        <sz val="10"/>
        <rFont val="WenQuanYi Zen Hei"/>
        <family val="2"/>
      </rPr>
      <t xml:space="preserve">부의 식탁으로 돌아간다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</si>
  <si>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Ritorno a Testaccio — </t>
    </r>
    <r>
      <rPr>
        <b val="true"/>
        <sz val="10"/>
        <color rgb="FFFFFFFF"/>
        <rFont val="WenQuanYi Zen Hei"/>
        <family val="2"/>
      </rPr>
      <t xml:space="preserve">귀환   </t>
    </r>
    <r>
      <rPr>
        <b val="true"/>
        <sz val="10"/>
        <color rgb="FFFFFFFF"/>
        <rFont val="Arial"/>
        <family val="0"/>
        <charset val="1"/>
      </rPr>
      <t xml:space="preserve">|   </t>
    </r>
    <r>
      <rPr>
        <b val="true"/>
        <sz val="10"/>
        <color rgb="FFFFFFFF"/>
        <rFont val="WenQuanYi Zen Hei"/>
        <family val="2"/>
      </rPr>
      <t xml:space="preserve">난이도 </t>
    </r>
    <r>
      <rPr>
        <b val="true"/>
        <sz val="10"/>
        <color rgb="FFFFFFFF"/>
        <rFont val="Arial"/>
        <family val="0"/>
        <charset val="1"/>
      </rPr>
      <t xml:space="preserve">B1~B2   |   </t>
    </r>
    <r>
      <rPr>
        <b val="true"/>
        <sz val="10"/>
        <color rgb="FFFFFFFF"/>
        <rFont val="WenQuanYi Zen Hei"/>
        <family val="2"/>
      </rPr>
      <t xml:space="preserve">임기 후반</t>
    </r>
    <r>
      <rPr>
        <b val="true"/>
        <sz val="10"/>
        <color rgb="FFFFFFFF"/>
        <rFont val="Arial"/>
        <family val="0"/>
        <charset val="1"/>
      </rPr>
      <t xml:space="preserve">. Testaccio </t>
    </r>
    <r>
      <rPr>
        <b val="true"/>
        <sz val="10"/>
        <color rgb="FFFFFFFF"/>
        <rFont val="WenQuanYi Zen Hei"/>
        <family val="2"/>
      </rPr>
      <t xml:space="preserve">사무소와 </t>
    </r>
    <r>
      <rPr>
        <b val="true"/>
        <sz val="10"/>
        <color rgb="FFFFFFFF"/>
        <rFont val="Arial"/>
        <family val="0"/>
        <charset val="1"/>
      </rPr>
      <t xml:space="preserve">Trattoria da Rosa. </t>
    </r>
    <r>
      <rPr>
        <b val="true"/>
        <sz val="10"/>
        <color rgb="FFFFFFFF"/>
        <rFont val="WenQuanYi Zen Hei"/>
        <family val="2"/>
      </rPr>
      <t xml:space="preserve">마지막에 다시 </t>
    </r>
    <r>
      <rPr>
        <b val="true"/>
        <sz val="10"/>
        <color rgb="FFFFFFFF"/>
        <rFont val="Arial"/>
        <family val="0"/>
        <charset val="1"/>
      </rPr>
      <t xml:space="preserve">'</t>
    </r>
    <r>
      <rPr>
        <b val="true"/>
        <sz val="10"/>
        <color rgb="FFFFFFFF"/>
        <rFont val="WenQuanYi Zen Hei"/>
        <family val="2"/>
      </rPr>
      <t xml:space="preserve">다섯 시</t>
    </r>
    <r>
      <rPr>
        <b val="true"/>
        <sz val="10"/>
        <color rgb="FFFFFFFF"/>
        <rFont val="Arial"/>
        <family val="0"/>
        <charset val="1"/>
      </rPr>
      <t xml:space="preserve">'.</t>
    </r>
  </si>
  <si>
    <r>
      <rPr>
        <sz val="10"/>
        <rFont val="WenQuanYi Zen Hei"/>
        <family val="2"/>
      </rPr>
      <t xml:space="preserve">원형 닫기와 성장의 확인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낭독자가 </t>
    </r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부 장면을 다시 읽으며 실력의 성장을 체감한다</t>
    </r>
    <r>
      <rPr>
        <sz val="10"/>
        <rFont val="Noto Sans CJK SC"/>
        <family val="2"/>
        <charset val="1"/>
      </rPr>
      <t xml:space="preserve">. Sofia</t>
    </r>
    <r>
      <rPr>
        <sz val="10"/>
        <rFont val="WenQuanYi Zen Hei"/>
        <family val="2"/>
      </rPr>
      <t xml:space="preserve">가 질문받는 쪽으로 이동한다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</si>
  <si>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장관들이 손님으로 돌아온 테스타초에서 </t>
    </r>
    <r>
      <rPr>
        <sz val="10"/>
        <rFont val="Noto Sans CJK SC"/>
        <family val="2"/>
        <charset val="1"/>
      </rPr>
      <t xml:space="preserve">Cesare</t>
    </r>
    <r>
      <rPr>
        <sz val="10"/>
        <rFont val="WenQuanYi Zen Hei"/>
        <family val="2"/>
      </rPr>
      <t xml:space="preserve">의 우산이 </t>
    </r>
    <r>
      <rPr>
        <sz val="10"/>
        <rFont val="Noto Sans CJK SC"/>
        <family val="2"/>
        <charset val="1"/>
      </rPr>
      <t xml:space="preserve">Sofia</t>
    </r>
    <r>
      <rPr>
        <sz val="10"/>
        <rFont val="WenQuanYi Zen Hei"/>
        <family val="2"/>
      </rPr>
      <t xml:space="preserve">에게 도착하고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새 인턴이 던진 질문에 </t>
    </r>
    <r>
      <rPr>
        <sz val="10"/>
        <rFont val="Noto Sans CJK SC"/>
        <family val="2"/>
        <charset val="1"/>
      </rPr>
      <t xml:space="preserve">Sofia</t>
    </r>
    <r>
      <rPr>
        <sz val="10"/>
        <rFont val="WenQuanYi Zen Hei"/>
        <family val="2"/>
      </rPr>
      <t xml:space="preserve">가 답한다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</si>
  <si>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총리와 장관들 → 다시 식탁 앞의 사람들</t>
    </r>
    <r>
      <rPr>
        <sz val="10"/>
        <rFont val="Noto Sans CJK SC"/>
        <family val="2"/>
        <charset val="1"/>
      </rPr>
      <t xml:space="preserve">. Sofia: </t>
    </r>
    <r>
      <rPr>
        <sz val="10"/>
        <rFont val="WenQuanYi Zen Hei"/>
        <family val="2"/>
      </rPr>
      <t xml:space="preserve">묻는 사람 → 설명하는 사람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</si>
  <si>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애도 </t>
    </r>
    <r>
      <rPr>
        <sz val="10"/>
        <rFont val="Noto Sans CJK SC"/>
        <family val="2"/>
        <charset val="1"/>
      </rPr>
      <t xml:space="preserve">vs </t>
    </r>
    <r>
      <rPr>
        <sz val="10"/>
        <rFont val="WenQuanYi Zen Hei"/>
        <family val="2"/>
      </rPr>
      <t xml:space="preserve">계속 가는 것 </t>
    </r>
    <r>
      <rPr>
        <sz val="10"/>
        <rFont val="Noto Sans CJK SC"/>
        <family val="2"/>
        <charset val="1"/>
      </rPr>
      <t xml:space="preserve">/ </t>
    </r>
    <r>
      <rPr>
        <sz val="10"/>
        <rFont val="WenQuanYi Zen Hei"/>
        <family val="2"/>
      </rPr>
      <t xml:space="preserve">겸직 제한으로 사무소를 놓아야 함</t>
    </r>
  </si>
  <si>
    <r>
      <rPr>
        <sz val="10"/>
        <rFont val="WenQuanYi Zen Hei"/>
        <family val="2"/>
      </rPr>
      <t xml:space="preserve">발단</t>
    </r>
    <r>
      <rPr>
        <sz val="10"/>
        <rFont val="Noto Sans CJK SC"/>
        <family val="2"/>
        <charset val="1"/>
      </rPr>
      <t xml:space="preserve">(1~3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다섯 시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우산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유언장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빈 의자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</si>
  <si>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전개</t>
    </r>
    <r>
      <rPr>
        <sz val="10"/>
        <rFont val="Noto Sans CJK SC"/>
        <family val="2"/>
        <charset val="1"/>
      </rPr>
      <t xml:space="preserve">(4~5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사무소의 재단 전환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새 인턴 </t>
    </r>
    <r>
      <rPr>
        <sz val="10"/>
        <rFont val="Noto Sans CJK SC"/>
        <family val="2"/>
        <charset val="1"/>
      </rPr>
      <t xml:space="preserve">Luca.</t>
    </r>
  </si>
  <si>
    <r>
      <rPr>
        <sz val="10"/>
        <rFont val="WenQuanYi Zen Hei"/>
        <family val="2"/>
      </rPr>
      <t xml:space="preserve">미드포인트</t>
    </r>
    <r>
      <rPr>
        <sz val="10"/>
        <rFont val="Noto Sans CJK SC"/>
        <family val="2"/>
        <charset val="1"/>
      </rPr>
      <t xml:space="preserve">(6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Sofia</t>
    </r>
    <r>
      <rPr>
        <sz val="10"/>
        <rFont val="WenQuanYi Zen Hei"/>
        <family val="2"/>
      </rPr>
      <t xml:space="preserve">가 어려운 말을 쉬운 말로 설명한다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</si>
  <si>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전개</t>
    </r>
    <r>
      <rPr>
        <sz val="10"/>
        <rFont val="Noto Sans CJK SC"/>
        <family val="2"/>
        <charset val="1"/>
      </rPr>
      <t xml:space="preserve">(7~8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임기 보고서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현안 결산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시민들의 편지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</si>
  <si>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위기</t>
    </r>
    <r>
      <rPr>
        <sz val="10"/>
        <rFont val="Noto Sans CJK SC"/>
        <family val="2"/>
        <charset val="1"/>
      </rPr>
      <t xml:space="preserve">(9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올드 가드와 빈 의자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</si>
  <si>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절정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결말</t>
    </r>
    <r>
      <rPr>
        <sz val="10"/>
        <rFont val="Noto Sans CJK SC"/>
        <family val="2"/>
        <charset val="1"/>
      </rPr>
      <t xml:space="preserve">(10~12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빠진 카드</t>
    </r>
    <r>
      <rPr>
        <sz val="10"/>
        <rFont val="Noto Sans CJK SC"/>
        <family val="2"/>
        <charset val="1"/>
      </rPr>
      <t xml:space="preserve">(Gramsci</t>
    </r>
    <r>
      <rPr>
        <sz val="10"/>
        <rFont val="WenQuanYi Zen Hei"/>
        <family val="2"/>
      </rPr>
      <t xml:space="preserve">가 처음 결론을 말함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다시 다섯 시</t>
    </r>
    <r>
      <rPr>
        <sz val="10"/>
        <rFont val="Noto Sans CJK SC"/>
        <family val="2"/>
        <charset val="1"/>
      </rPr>
      <t xml:space="preserve">, «Sedetevi, che vi porto qualcosa.»</t>
    </r>
  </si>
  <si>
    <r>
      <rPr>
        <sz val="10"/>
        <rFont val="Arial"/>
        <family val="0"/>
        <charset val="1"/>
      </rPr>
      <t xml:space="preserve">Sofia 12</t>
    </r>
    <r>
      <rPr>
        <sz val="10"/>
        <rFont val="WenQuanYi Zen Hei"/>
        <family val="2"/>
      </rPr>
      <t xml:space="preserve">화 전부</t>
    </r>
    <r>
      <rPr>
        <sz val="10"/>
        <rFont val="Arial"/>
        <family val="0"/>
        <charset val="1"/>
      </rPr>
      <t xml:space="preserve">, Rosa 10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. Cesare</t>
    </r>
    <r>
      <rPr>
        <sz val="10"/>
        <rFont val="WenQuanYi Zen Hei"/>
        <family val="2"/>
      </rPr>
      <t xml:space="preserve">는 유언장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회상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신규 엑스트라</t>
    </r>
    <r>
      <rPr>
        <sz val="10"/>
        <rFont val="Arial"/>
        <family val="0"/>
        <charset val="1"/>
      </rPr>
      <t xml:space="preserve">: Luca(</t>
    </r>
    <r>
      <rPr>
        <sz val="10"/>
        <rFont val="WenQuanYi Zen Hei"/>
        <family val="2"/>
      </rPr>
      <t xml:space="preserve">새 인턴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공증인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</si>
  <si>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회수 아크</t>
    </r>
    <r>
      <rPr>
        <sz val="10"/>
        <rFont val="Arial"/>
        <family val="0"/>
        <charset val="1"/>
      </rPr>
      <t xml:space="preserve">) 1</t>
    </r>
    <r>
      <rPr>
        <sz val="10"/>
        <rFont val="WenQuanYi Zen Hei"/>
        <family val="2"/>
      </rPr>
      <t xml:space="preserve">부 첫 대사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우산</t>
    </r>
    <r>
      <rPr>
        <sz val="10"/>
        <rFont val="Arial"/>
        <family val="0"/>
        <charset val="1"/>
      </rPr>
      <t xml:space="preserve">·Gramsci </t>
    </r>
    <r>
      <rPr>
        <sz val="10"/>
        <rFont val="WenQuanYi Zen Hei"/>
        <family val="2"/>
      </rPr>
      <t xml:space="preserve">카드</t>
    </r>
    <r>
      <rPr>
        <sz val="10"/>
        <rFont val="Arial"/>
        <family val="0"/>
        <charset val="1"/>
      </rPr>
      <t xml:space="preserve">·Sofia</t>
    </r>
    <r>
      <rPr>
        <sz val="10"/>
        <rFont val="WenQuanYi Zen Hei"/>
        <family val="2"/>
      </rPr>
      <t xml:space="preserve">의 질문 —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복선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회수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시트 참고</t>
    </r>
  </si>
  <si>
    <r>
      <rPr>
        <sz val="10"/>
        <rFont val="Arial"/>
        <family val="0"/>
        <charset val="1"/>
      </rPr>
      <t xml:space="preserve">S1● (7</t>
    </r>
    <r>
      <rPr>
        <sz val="10"/>
        <rFont val="WenQuanYi Zen Hei"/>
        <family val="2"/>
      </rPr>
      <t xml:space="preserve">화 결산에서 </t>
    </r>
    <r>
      <rPr>
        <sz val="10"/>
        <rFont val="Arial"/>
        <family val="0"/>
        <charset val="1"/>
      </rPr>
      <t xml:space="preserve">E3·S3·N5·N3 </t>
    </r>
    <r>
      <rPr>
        <sz val="10"/>
        <rFont val="WenQuanYi Zen Hei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</si>
  <si>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정부 구성원의 이해충돌</t>
    </r>
    <r>
      <rPr>
        <sz val="10"/>
        <rFont val="Noto Sans CJK SC"/>
        <family val="2"/>
        <charset val="1"/>
      </rPr>
      <t xml:space="preserve">(legge 215/2004), </t>
    </r>
    <r>
      <rPr>
        <sz val="10"/>
        <rFont val="WenQuanYi Zen Hei"/>
        <family val="2"/>
      </rPr>
      <t xml:space="preserve">유언</t>
    </r>
    <r>
      <rPr>
        <sz val="10"/>
        <rFont val="Noto Sans CJK SC"/>
        <family val="2"/>
        <charset val="1"/>
      </rPr>
      <t xml:space="preserve">(notaio, esecutore testamentario, Registro generale dei testamenti), </t>
    </r>
    <r>
      <rPr>
        <sz val="10"/>
        <rFont val="WenQuanYi Zen Hei"/>
        <family val="2"/>
      </rPr>
      <t xml:space="preserve">재단 설립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민법 제</t>
    </r>
    <r>
      <rPr>
        <sz val="10"/>
        <rFont val="Noto Sans CJK SC"/>
        <family val="2"/>
        <charset val="1"/>
      </rPr>
      <t xml:space="preserve">14</t>
    </r>
    <r>
      <rPr>
        <sz val="10"/>
        <rFont val="WenQuanYi Zen Hei"/>
        <family val="2"/>
      </rPr>
      <t xml:space="preserve">조 이하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제</t>
    </r>
    <r>
      <rPr>
        <sz val="10"/>
        <rFont val="Noto Sans CJK SC"/>
        <family val="2"/>
        <charset val="1"/>
      </rPr>
      <t xml:space="preserve">3</t>
    </r>
    <r>
      <rPr>
        <sz val="10"/>
        <rFont val="WenQuanYi Zen Hei"/>
        <family val="2"/>
      </rPr>
      <t xml:space="preserve">섹터법 </t>
    </r>
    <r>
      <rPr>
        <sz val="10"/>
        <rFont val="Noto Sans CJK SC"/>
        <family val="2"/>
        <charset val="1"/>
      </rPr>
      <t xml:space="preserve">d.lgs. 117/2017)</t>
    </r>
  </si>
  <si>
    <r>
      <rPr>
        <sz val="10"/>
        <rFont val="Arial"/>
        <family val="0"/>
        <charset val="1"/>
      </rPr>
      <t xml:space="preserve">B1~B2. 1</t>
    </r>
    <r>
      <rPr>
        <sz val="10"/>
        <rFont val="WenQuanYi Zen Hei"/>
        <family val="2"/>
      </rPr>
      <t xml:space="preserve">부와 같은 문장을 다시 읽어 비교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발성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따뜻하고 여유로운 톤</t>
    </r>
    <r>
      <rPr>
        <sz val="10"/>
        <rFont val="Arial"/>
        <family val="0"/>
        <charset val="1"/>
      </rPr>
      <t xml:space="preserve">. Sofia</t>
    </r>
    <r>
      <rPr>
        <sz val="10"/>
        <rFont val="WenQuanYi Zen Hei"/>
        <family val="2"/>
      </rPr>
      <t xml:space="preserve">의 설명은 쉬운 말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</si>
  <si>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Sofia</t>
    </r>
    <r>
      <rPr>
        <sz val="10"/>
        <rFont val="WenQuanYi Zen Hei"/>
        <family val="2"/>
      </rPr>
      <t xml:space="preserve">가 새 인턴의 질문에 답한다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카드</t>
    </r>
    <r>
      <rPr>
        <sz val="10"/>
        <rFont val="Arial"/>
        <family val="0"/>
        <charset val="1"/>
      </rPr>
      <t xml:space="preserve">: Gramsci</t>
    </r>
    <r>
      <rPr>
        <sz val="10"/>
        <rFont val="WenQuanYi Zen Hei"/>
        <family val="2"/>
      </rPr>
      <t xml:space="preserve">가 처음으로 결론을 직접 말한다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</si>
  <si>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끝 — 원</t>
    </r>
    <r>
      <rPr>
        <sz val="10"/>
        <rFont val="Noto Sans CJK SC"/>
        <family val="2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</si>
  <si>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전체 화별 목차 </t>
    </r>
    <r>
      <rPr>
        <b val="true"/>
        <sz val="14"/>
        <color rgb="FF1F3864"/>
        <rFont val="Noto Sans CJK SC"/>
        <family val="2"/>
        <charset val="1"/>
      </rPr>
      <t xml:space="preserve">(1~13</t>
    </r>
    <r>
      <rPr>
        <b val="true"/>
        <sz val="14"/>
        <color rgb="FF1F3864"/>
        <rFont val="WenQuanYi Zen Hei"/>
        <family val="2"/>
      </rPr>
      <t xml:space="preserve">부</t>
    </r>
    <r>
      <rPr>
        <b val="true"/>
        <sz val="14"/>
        <color rgb="FF1F3864"/>
        <rFont val="Noto Sans CJK SC"/>
        <family val="2"/>
        <charset val="1"/>
      </rPr>
      <t xml:space="preserve">, 156</t>
    </r>
    <r>
      <rPr>
        <b val="true"/>
        <sz val="14"/>
        <color rgb="FF1F3864"/>
        <rFont val="WenQuanYi Zen Hei"/>
        <family val="2"/>
      </rPr>
      <t xml:space="preserve">화</t>
    </r>
    <r>
      <rPr>
        <b val="true"/>
        <sz val="14"/>
        <color rgb="FF1F3864"/>
        <rFont val="Noto Sans CJK SC"/>
        <family val="2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</si>
  <si>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현실 제도와 현안</t>
    </r>
    <r>
      <rPr>
        <i val="true"/>
        <sz val="9"/>
        <color rgb="FF595959"/>
        <rFont val="Noto Sans CJK SC"/>
        <family val="2"/>
        <charset val="1"/>
      </rPr>
      <t xml:space="preserve">(ID</t>
    </r>
    <r>
      <rPr>
        <i val="true"/>
        <sz val="9"/>
        <color rgb="FF595959"/>
        <rFont val="WenQuanYi Zen Hei"/>
        <family val="2"/>
      </rPr>
      <t xml:space="preserve">는 </t>
    </r>
    <r>
      <rPr>
        <i val="true"/>
        <sz val="9"/>
        <color rgb="FF595959"/>
        <rFont val="Noto Sans CJK SC"/>
        <family val="2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현안</t>
    </r>
    <r>
      <rPr>
        <i val="true"/>
        <sz val="9"/>
        <color rgb="FF595959"/>
        <rFont val="Noto Sans CJK SC"/>
        <family val="2"/>
        <charset val="1"/>
      </rPr>
      <t xml:space="preserve">_</t>
    </r>
    <r>
      <rPr>
        <i val="true"/>
        <sz val="9"/>
        <color rgb="FF595959"/>
        <rFont val="WenQuanYi Zen Hei"/>
        <family val="2"/>
      </rPr>
      <t xml:space="preserve">배치</t>
    </r>
    <r>
      <rPr>
        <i val="true"/>
        <sz val="9"/>
        <color rgb="FF595959"/>
        <rFont val="Noto Sans CJK SC"/>
        <family val="2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시트</t>
    </r>
    <r>
      <rPr>
        <i val="true"/>
        <sz val="9"/>
        <color rgb="FF595959"/>
        <rFont val="Noto Sans CJK SC"/>
        <family val="2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을 반영한 초안</t>
    </r>
    <r>
      <rPr>
        <i val="true"/>
        <sz val="9"/>
        <color rgb="FF595959"/>
        <rFont val="Noto Sans CJK SC"/>
        <family val="2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의석 수</t>
    </r>
    <r>
      <rPr>
        <i val="true"/>
        <sz val="9"/>
        <color rgb="FF595959"/>
        <rFont val="Noto Sans CJK SC"/>
        <family val="2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결과는 가상 수치</t>
    </r>
    <r>
      <rPr>
        <i val="true"/>
        <sz val="9"/>
        <color rgb="FF595959"/>
        <rFont val="Noto Sans CJK SC"/>
        <family val="2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모든 화는 지문 없이 대화문으로만 진행한다</t>
    </r>
    <r>
      <rPr>
        <i val="true"/>
        <sz val="9"/>
        <color rgb="FF595959"/>
        <rFont val="Noto Sans CJK SC"/>
        <family val="2"/>
        <charset val="1"/>
      </rPr>
      <t xml:space="preserve">.</t>
    </r>
  </si>
  <si>
    <t xml:space="preserve">화</t>
  </si>
  <si>
    <t xml:space="preserve">핵심 사건</t>
  </si>
  <si>
    <t xml:space="preserve">주요 인물</t>
  </si>
  <si>
    <r>
      <rPr>
        <b val="true"/>
        <sz val="10"/>
        <color rgb="FFFFFFFF"/>
        <rFont val="WenQuanYi Zen Hei"/>
        <family val="2"/>
      </rPr>
      <t xml:space="preserve">반영 현안
</t>
    </r>
    <r>
      <rPr>
        <b val="true"/>
        <sz val="10"/>
        <color rgb="FFFFFFFF"/>
        <rFont val="Noto Sans CJK SC"/>
        <family val="2"/>
        <charset val="1"/>
      </rPr>
      <t xml:space="preserve">(ID)</t>
    </r>
  </si>
  <si>
    <t xml:space="preserve">턴 수</t>
  </si>
  <si>
    <r>
      <rPr>
        <sz val="10"/>
        <rFont val="WenQuanYi Zen Hei"/>
        <family val="2"/>
      </rPr>
      <t xml:space="preserve">사건</t>
    </r>
    <r>
      <rPr>
        <sz val="10"/>
        <rFont val="Noto Sans CJK SC"/>
        <family val="2"/>
        <charset val="1"/>
      </rPr>
      <t xml:space="preserve">1 </t>
    </r>
    <r>
      <rPr>
        <sz val="10"/>
        <rFont val="WenQuanYi Zen Hei"/>
        <family val="2"/>
      </rPr>
      <t xml:space="preserve">도입</t>
    </r>
  </si>
  <si>
    <t xml:space="preserve">Un'altra lettera</t>
  </si>
  <si>
    <t xml:space="preserve">또 다른 편지</t>
  </si>
  <si>
    <r>
      <rPr>
        <sz val="10"/>
        <rFont val="WenQuanYi Zen Hei"/>
        <family val="2"/>
      </rPr>
      <t xml:space="preserve">사무소 개소 </t>
    </r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개월 후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다섯 시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여전히 방법을 못 정한 채 매일 다투는 팀</t>
    </r>
    <r>
      <rPr>
        <sz val="10"/>
        <rFont val="Noto Sans CJK SC"/>
        <family val="2"/>
        <charset val="1"/>
      </rPr>
      <t xml:space="preserve">. Fatima</t>
    </r>
    <r>
      <rPr>
        <sz val="10"/>
        <rFont val="WenQuanYi Zen Hei"/>
        <family val="2"/>
      </rPr>
      <t xml:space="preserve">가 두 번째로 찾아와 새 임대료 인상 통지서와 퇴거 경고장을 보인다</t>
    </r>
    <r>
      <rPr>
        <sz val="10"/>
        <rFont val="Noto Sans CJK SC"/>
        <family val="2"/>
        <charset val="1"/>
      </rPr>
      <t xml:space="preserve">. Sofia</t>
    </r>
    <r>
      <rPr>
        <sz val="10"/>
        <rFont val="WenQuanYi Zen Hei"/>
        <family val="2"/>
      </rPr>
      <t xml:space="preserve">는 여전히 </t>
    </r>
    <r>
      <rPr>
        <sz val="10"/>
        <rFont val="Noto Sans CJK SC"/>
        <family val="2"/>
        <charset val="1"/>
      </rPr>
      <t xml:space="preserve">Marco</t>
    </r>
    <r>
      <rPr>
        <sz val="10"/>
        <rFont val="WenQuanYi Zen Hei"/>
        <family val="2"/>
      </rPr>
      <t xml:space="preserve">에게 </t>
    </r>
    <r>
      <rPr>
        <sz val="10"/>
        <rFont val="Noto Sans CJK SC"/>
        <family val="2"/>
        <charset val="1"/>
      </rPr>
      <t xml:space="preserve">Lei</t>
    </r>
    <r>
      <rPr>
        <sz val="10"/>
        <rFont val="WenQuanYi Zen Hei"/>
        <family val="2"/>
      </rPr>
      <t xml:space="preserve">를 쓴다</t>
    </r>
    <r>
      <rPr>
        <sz val="10"/>
        <rFont val="Noto Sans CJK SC"/>
        <family val="2"/>
        <charset val="1"/>
      </rPr>
      <t xml:space="preserve">. Gramsci</t>
    </r>
    <r>
      <rPr>
        <sz val="10"/>
        <rFont val="WenQuanYi Zen Hei"/>
        <family val="2"/>
      </rPr>
      <t xml:space="preserve">가 지나가며 </t>
    </r>
    <r>
      <rPr>
        <sz val="10"/>
        <rFont val="Noto Sans CJK SC"/>
        <family val="2"/>
        <charset val="1"/>
      </rPr>
      <t xml:space="preserve">«</t>
    </r>
    <r>
      <rPr>
        <sz val="10"/>
        <rFont val="WenQuanYi Zen Hei"/>
        <family val="2"/>
      </rPr>
      <t xml:space="preserve">날짜를 세어 보라</t>
    </r>
    <r>
      <rPr>
        <sz val="10"/>
        <rFont val="Noto Sans CJK SC"/>
        <family val="2"/>
        <charset val="1"/>
      </rPr>
      <t xml:space="preserve">»</t>
    </r>
    <r>
      <rPr>
        <sz val="10"/>
        <rFont val="WenQuanYi Zen Hei"/>
        <family val="2"/>
      </rPr>
      <t xml:space="preserve">는 힌트만 던지고</t>
    </r>
    <r>
      <rPr>
        <sz val="10"/>
        <rFont val="Noto Sans CJK SC"/>
        <family val="2"/>
        <charset val="1"/>
      </rPr>
      <t xml:space="preserve">, Machiavelli</t>
    </r>
    <r>
      <rPr>
        <sz val="10"/>
        <rFont val="WenQuanYi Zen Hei"/>
        <family val="2"/>
      </rPr>
      <t xml:space="preserve">는 </t>
    </r>
    <r>
      <rPr>
        <sz val="10"/>
        <rFont val="Noto Sans CJK SC"/>
        <family val="2"/>
        <charset val="1"/>
      </rPr>
      <t xml:space="preserve">«</t>
    </r>
    <r>
      <rPr>
        <sz val="10"/>
        <rFont val="WenQuanYi Zen Hei"/>
        <family val="2"/>
      </rPr>
      <t xml:space="preserve">이 집의 진짜 주인이 누구인가</t>
    </r>
    <r>
      <rPr>
        <sz val="10"/>
        <rFont val="Noto Sans CJK SC"/>
        <family val="2"/>
        <charset val="1"/>
      </rPr>
      <t xml:space="preserve">»</t>
    </r>
    <r>
      <rPr>
        <sz val="10"/>
        <rFont val="WenQuanYi Zen Hei"/>
        <family val="2"/>
      </rPr>
      <t xml:space="preserve">만 묻는다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계약서가 없어 다음 날로 미뤄진다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</si>
  <si>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생활 법률 구어체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반복되는 말다툼 </t>
    </r>
    <r>
      <rPr>
        <sz val="10"/>
        <rFont val="Noto Sans CJK SC"/>
        <family val="2"/>
        <charset val="1"/>
      </rPr>
      <t xml:space="preserve">(B1)</t>
    </r>
  </si>
  <si>
    <t xml:space="preserve">Rosa, Marco, Giulia, Alessandro, Chiara, Sofia, Cesare, Fatima, Gramsci, Machiavelli</t>
  </si>
  <si>
    <t xml:space="preserve">E1</t>
  </si>
  <si>
    <r>
      <rPr>
        <sz val="10"/>
        <rFont val="WenQuanYi Zen Hei"/>
        <family val="2"/>
      </rPr>
      <t xml:space="preserve">사건</t>
    </r>
    <r>
      <rPr>
        <sz val="10"/>
        <rFont val="Noto Sans CJK SC"/>
        <family val="2"/>
        <charset val="1"/>
      </rPr>
      <t xml:space="preserve">1 </t>
    </r>
    <r>
      <rPr>
        <sz val="10"/>
        <rFont val="WenQuanYi Zen Hei"/>
        <family val="2"/>
      </rPr>
      <t xml:space="preserve">해결</t>
    </r>
  </si>
  <si>
    <t xml:space="preserve">La clausola che non sale</t>
  </si>
  <si>
    <t xml:space="preserve">오르지 않는 조항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</si>
  <si>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사건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해결</t>
    </r>
    <r>
      <rPr>
        <sz val="10"/>
        <rFont val="Arial"/>
        <family val="0"/>
        <charset val="1"/>
      </rPr>
      <t xml:space="preserve">] Fatima</t>
    </r>
    <r>
      <rPr>
        <sz val="10"/>
        <rFont val="WenQuanYi Zen Hei"/>
        <family val="2"/>
      </rPr>
      <t xml:space="preserve">와 </t>
    </r>
    <r>
      <rPr>
        <sz val="10"/>
        <rFont val="Arial"/>
        <family val="0"/>
        <charset val="1"/>
      </rPr>
      <t xml:space="preserve">Sofia</t>
    </r>
    <r>
      <rPr>
        <sz val="10"/>
        <rFont val="WenQuanYi Zen Hei"/>
        <family val="2"/>
      </rPr>
      <t xml:space="preserve">가 계약서를 가져온다</t>
    </r>
    <r>
      <rPr>
        <sz val="10"/>
        <rFont val="Arial"/>
        <family val="0"/>
        <charset val="1"/>
      </rPr>
      <t xml:space="preserve">. Gramsci</t>
    </r>
    <r>
      <rPr>
        <sz val="10"/>
        <rFont val="WenQuanYi Zen Hei"/>
        <family val="2"/>
      </rPr>
      <t xml:space="preserve">의 카드 </t>
    </r>
    <r>
      <rPr>
        <sz val="10"/>
        <rFont val="Arial"/>
        <family val="0"/>
        <charset val="1"/>
      </rPr>
      <t xml:space="preserve">#1(legge 431/1998)</t>
    </r>
    <r>
      <rPr>
        <sz val="10"/>
        <rFont val="WenQuanYi Zen Hei"/>
        <family val="2"/>
      </rPr>
      <t xml:space="preserve">로 계약에 정한 </t>
    </r>
    <r>
      <rPr>
        <sz val="10"/>
        <rFont val="Arial"/>
        <family val="0"/>
        <charset val="1"/>
      </rPr>
      <t xml:space="preserve">ISTAT </t>
    </r>
    <r>
      <rPr>
        <sz val="10"/>
        <rFont val="WenQuanYi Zen Hei"/>
        <family val="2"/>
      </rPr>
      <t xml:space="preserve">물가 연동 한도를 넘는 인상이 부당함을 확인하고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기한 안에 등기우편</t>
    </r>
    <r>
      <rPr>
        <sz val="10"/>
        <rFont val="Arial"/>
        <family val="0"/>
        <charset val="1"/>
      </rPr>
      <t xml:space="preserve">(raccomandata) </t>
    </r>
    <r>
      <rPr>
        <sz val="10"/>
        <rFont val="WenQuanYi Zen Hei"/>
        <family val="2"/>
      </rPr>
      <t xml:space="preserve">답장을 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사무소의 첫 번째 규칙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가난한 이웃에겐 돈을 받지 않는다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이 확인된다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</si>
  <si>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주거 임대차</t>
    </r>
    <r>
      <rPr>
        <sz val="10"/>
        <rFont val="Noto Sans CJK SC"/>
        <family val="2"/>
        <charset val="1"/>
      </rPr>
      <t xml:space="preserve">(legge 431/1998), ISTAT </t>
    </r>
    <r>
      <rPr>
        <sz val="10"/>
        <rFont val="WenQuanYi Zen Hei"/>
        <family val="2"/>
      </rPr>
      <t xml:space="preserve">물가 연동 조정</t>
    </r>
    <r>
      <rPr>
        <sz val="10"/>
        <rFont val="Noto Sans CJK SC"/>
        <family val="2"/>
        <charset val="1"/>
      </rPr>
      <t xml:space="preserve">(aggiornamento ISTAT), </t>
    </r>
    <r>
      <rPr>
        <sz val="10"/>
        <rFont val="WenQuanYi Zen Hei"/>
        <family val="2"/>
      </rPr>
      <t xml:space="preserve">기한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답변</t>
    </r>
  </si>
  <si>
    <t xml:space="preserve">Marco, Alessandro, Chiara, Fatima, Gramsci, Sofia, Rosa</t>
  </si>
  <si>
    <r>
      <rPr>
        <sz val="10"/>
        <rFont val="WenQuanYi Zen Hei"/>
        <family val="2"/>
      </rPr>
      <t xml:space="preserve">사건</t>
    </r>
    <r>
      <rPr>
        <sz val="10"/>
        <rFont val="Noto Sans CJK SC"/>
        <family val="2"/>
        <charset val="1"/>
      </rPr>
      <t xml:space="preserve">2 </t>
    </r>
    <r>
      <rPr>
        <sz val="10"/>
        <rFont val="WenQuanYi Zen Hei"/>
        <family val="2"/>
      </rPr>
      <t xml:space="preserve">도입</t>
    </r>
  </si>
  <si>
    <t xml:space="preserve">L'avviso delle otto</t>
  </si>
  <si>
    <t xml:space="preserve">여덟 시의 통지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</si>
  <si>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사건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도입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밤 여덟 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퇴거 집행</t>
    </r>
    <r>
      <rPr>
        <sz val="10"/>
        <rFont val="Arial"/>
        <family val="0"/>
        <charset val="1"/>
      </rPr>
      <t xml:space="preserve">(sfratto)</t>
    </r>
    <r>
      <rPr>
        <sz val="10"/>
        <rFont val="WenQuanYi Zen Hei"/>
        <family val="2"/>
      </rPr>
      <t xml:space="preserve">이 다음 날 아침으로 잡혔다는 급보가 온다</t>
    </r>
    <r>
      <rPr>
        <sz val="10"/>
        <rFont val="Arial"/>
        <family val="0"/>
        <charset val="1"/>
      </rPr>
      <t xml:space="preserve">. Garibaldi</t>
    </r>
    <r>
      <rPr>
        <sz val="10"/>
        <rFont val="WenQuanYi Zen Hei"/>
        <family val="2"/>
      </rPr>
      <t xml:space="preserve">가 주민을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의용대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처럼 조직하고 </t>
    </r>
    <r>
      <rPr>
        <sz val="10"/>
        <rFont val="Arial"/>
        <family val="0"/>
        <charset val="1"/>
      </rPr>
      <t xml:space="preserve">Paolo</t>
    </r>
    <r>
      <rPr>
        <sz val="10"/>
        <rFont val="WenQuanYi Zen Hei"/>
        <family val="2"/>
      </rPr>
      <t xml:space="preserve">가 이웃들을 모은다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네 사람이 각자 서류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건강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숫자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동선을 맡아 밤새 준비하지만 승산은 불투명하다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</si>
  <si>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퇴거 집행 예고</t>
    </r>
    <r>
      <rPr>
        <sz val="10"/>
        <rFont val="Noto Sans CJK SC"/>
        <family val="2"/>
        <charset val="1"/>
      </rPr>
      <t xml:space="preserve">(preavviso di rilascio), </t>
    </r>
    <r>
      <rPr>
        <sz val="10"/>
        <rFont val="WenQuanYi Zen Hei"/>
        <family val="2"/>
      </rPr>
      <t xml:space="preserve">긴급 동원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이웃 조직</t>
    </r>
  </si>
  <si>
    <t xml:space="preserve">Marco, Giulia, Alessandro, Chiara, Garibaldi, Paolo, Sofia, Rosa</t>
  </si>
  <si>
    <r>
      <rPr>
        <sz val="10"/>
        <rFont val="WenQuanYi Zen Hei"/>
        <family val="2"/>
      </rPr>
      <t xml:space="preserve">사건</t>
    </r>
    <r>
      <rPr>
        <sz val="10"/>
        <rFont val="Noto Sans CJK SC"/>
        <family val="2"/>
        <charset val="1"/>
      </rPr>
      <t xml:space="preserve">2 </t>
    </r>
    <r>
      <rPr>
        <sz val="10"/>
        <rFont val="WenQuanYi Zen Hei"/>
        <family val="2"/>
      </rPr>
      <t xml:space="preserve">해결</t>
    </r>
  </si>
  <si>
    <t xml:space="preserve">Il furgone che non arrivò</t>
  </si>
  <si>
    <t xml:space="preserve">오지 않은 트럭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</si>
  <si>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사건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해결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집행 당일 아침</t>
    </r>
    <r>
      <rPr>
        <sz val="10"/>
        <rFont val="Arial"/>
        <family val="0"/>
        <charset val="1"/>
      </rPr>
      <t xml:space="preserve">. Marco</t>
    </r>
    <r>
      <rPr>
        <sz val="10"/>
        <rFont val="WenQuanYi Zen Hei"/>
        <family val="2"/>
      </rPr>
      <t xml:space="preserve">의 집행 연기 신청</t>
    </r>
    <r>
      <rPr>
        <sz val="10"/>
        <rFont val="Arial"/>
        <family val="0"/>
        <charset val="1"/>
      </rPr>
      <t xml:space="preserve">, Giulia</t>
    </r>
    <r>
      <rPr>
        <sz val="10"/>
        <rFont val="WenQuanYi Zen Hei"/>
        <family val="2"/>
      </rPr>
      <t xml:space="preserve">의 취약계층 진단서</t>
    </r>
    <r>
      <rPr>
        <sz val="10"/>
        <rFont val="Arial"/>
        <family val="0"/>
        <charset val="1"/>
      </rPr>
      <t xml:space="preserve">, Alessandro</t>
    </r>
    <r>
      <rPr>
        <sz val="10"/>
        <rFont val="WenQuanYi Zen Hei"/>
        <family val="2"/>
      </rPr>
      <t xml:space="preserve">의 체납액 계산과 비귀책 체납 기금 신청</t>
    </r>
    <r>
      <rPr>
        <sz val="10"/>
        <rFont val="Arial"/>
        <family val="0"/>
        <charset val="1"/>
      </rPr>
      <t xml:space="preserve">, Chiara</t>
    </r>
    <r>
      <rPr>
        <sz val="10"/>
        <rFont val="WenQuanYi Zen Hei"/>
        <family val="2"/>
      </rPr>
      <t xml:space="preserve">의 동선 배치가 맞물려 집행관이 집행을 연기한다</t>
    </r>
    <r>
      <rPr>
        <sz val="10"/>
        <rFont val="Arial"/>
        <family val="0"/>
        <charset val="1"/>
      </rPr>
      <t xml:space="preserve">. Garibaldi</t>
    </r>
    <r>
      <rPr>
        <sz val="10"/>
        <rFont val="WenQuanYi Zen Hei"/>
        <family val="2"/>
      </rPr>
      <t xml:space="preserve">의 </t>
    </r>
    <r>
      <rPr>
        <sz val="10"/>
        <rFont val="Arial"/>
        <family val="0"/>
        <charset val="1"/>
      </rPr>
      <t xml:space="preserve">«Nulla da segnalare» </t>
    </r>
    <r>
      <rPr>
        <sz val="10"/>
        <rFont val="WenQuanYi Zen Hei"/>
        <family val="2"/>
      </rPr>
      <t xml:space="preserve">보고로 마무리된다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</si>
  <si>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집행 연기</t>
    </r>
    <r>
      <rPr>
        <sz val="10"/>
        <rFont val="Noto Sans CJK SC"/>
        <family val="2"/>
        <charset val="1"/>
      </rPr>
      <t xml:space="preserve">(rinvio dell'esecuzione), </t>
    </r>
    <r>
      <rPr>
        <sz val="10"/>
        <rFont val="WenQuanYi Zen Hei"/>
        <family val="2"/>
      </rPr>
      <t xml:space="preserve">비귀책 체납 기금</t>
    </r>
    <r>
      <rPr>
        <sz val="10"/>
        <rFont val="Noto Sans CJK SC"/>
        <family val="2"/>
        <charset val="1"/>
      </rPr>
      <t xml:space="preserve">(Fondo morosità incolpevole), </t>
    </r>
    <r>
      <rPr>
        <sz val="10"/>
        <rFont val="WenQuanYi Zen Hei"/>
        <family val="2"/>
      </rPr>
      <t xml:space="preserve">집행관</t>
    </r>
    <r>
      <rPr>
        <sz val="10"/>
        <rFont val="Noto Sans CJK SC"/>
        <family val="2"/>
        <charset val="1"/>
      </rPr>
      <t xml:space="preserve">(ufficiale giudiziario) </t>
    </r>
    <r>
      <rPr>
        <sz val="10"/>
        <rFont val="WenQuanYi Zen Hei"/>
        <family val="2"/>
      </rPr>
      <t xml:space="preserve">대응</t>
    </r>
  </si>
  <si>
    <r>
      <rPr>
        <sz val="10"/>
        <rFont val="WenQuanYi Zen Hei"/>
        <family val="2"/>
      </rPr>
      <t xml:space="preserve">사건</t>
    </r>
    <r>
      <rPr>
        <sz val="10"/>
        <rFont val="Noto Sans CJK SC"/>
        <family val="2"/>
        <charset val="1"/>
      </rPr>
      <t xml:space="preserve">3 </t>
    </r>
    <r>
      <rPr>
        <sz val="10"/>
        <rFont val="WenQuanYi Zen Hei"/>
        <family val="2"/>
      </rPr>
      <t xml:space="preserve">도입</t>
    </r>
  </si>
  <si>
    <t xml:space="preserve">Lo stagista della fabbrica</t>
  </si>
  <si>
    <t xml:space="preserve">공장의 인턴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</si>
  <si>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사건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도입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임금 체불과 무급 초과근무에 지친 청년 노동자 </t>
    </r>
    <r>
      <rPr>
        <sz val="10"/>
        <rFont val="Arial"/>
        <family val="0"/>
        <charset val="1"/>
      </rPr>
      <t xml:space="preserve">Davide(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가 찾아온다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서류상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인턴</t>
    </r>
    <r>
      <rPr>
        <sz val="10"/>
        <rFont val="Arial"/>
        <family val="0"/>
        <charset val="1"/>
      </rPr>
      <t xml:space="preserve">(tirocinio)'</t>
    </r>
    <r>
      <rPr>
        <sz val="10"/>
        <rFont val="WenQuanYi Zen Hei"/>
        <family val="2"/>
      </rPr>
      <t xml:space="preserve">이지만 실제로는 정규직 일을 한다</t>
    </r>
    <r>
      <rPr>
        <sz val="10"/>
        <rFont val="Arial"/>
        <family val="0"/>
        <charset val="1"/>
      </rPr>
      <t xml:space="preserve">. Chiara</t>
    </r>
    <r>
      <rPr>
        <sz val="10"/>
        <rFont val="WenQuanYi Zen Hei"/>
        <family val="2"/>
      </rPr>
      <t xml:space="preserve">가 컨설팅 용어로 상황을 분석하려 하고 </t>
    </r>
    <r>
      <rPr>
        <sz val="10"/>
        <rFont val="Arial"/>
        <family val="0"/>
        <charset val="1"/>
      </rPr>
      <t xml:space="preserve">Sofia</t>
    </r>
    <r>
      <rPr>
        <sz val="10"/>
        <rFont val="WenQuanYi Zen Hei"/>
        <family val="2"/>
      </rPr>
      <t xml:space="preserve">가 통역하듯 애쓰지만 </t>
    </r>
    <r>
      <rPr>
        <sz val="10"/>
        <rFont val="Arial"/>
        <family val="0"/>
        <charset val="1"/>
      </rPr>
      <t xml:space="preserve">Davide</t>
    </r>
    <r>
      <rPr>
        <sz val="10"/>
        <rFont val="WenQuanYi Zen Hei"/>
        <family val="2"/>
      </rPr>
      <t xml:space="preserve">는 점점 지쳐 간다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</si>
  <si>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위장 인턴</t>
    </r>
    <r>
      <rPr>
        <sz val="10"/>
        <rFont val="Noto Sans CJK SC"/>
        <family val="2"/>
        <charset val="1"/>
      </rPr>
      <t xml:space="preserve">(tirocinio), </t>
    </r>
    <r>
      <rPr>
        <sz val="10"/>
        <rFont val="WenQuanYi Zen Hei"/>
        <family val="2"/>
      </rPr>
      <t xml:space="preserve">기간제 계약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초과근무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경영 용어의 벽</t>
    </r>
  </si>
  <si>
    <r>
      <rPr>
        <sz val="10"/>
        <rFont val="Arial"/>
        <family val="0"/>
        <charset val="1"/>
      </rPr>
      <t xml:space="preserve">Chiara, Sofia, Alessandro, Rosa, Machiavelli, Davide(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</si>
  <si>
    <t xml:space="preserve">S1</t>
  </si>
  <si>
    <r>
      <rPr>
        <sz val="10"/>
        <rFont val="WenQuanYi Zen Hei"/>
        <family val="2"/>
      </rPr>
      <t xml:space="preserve">사건</t>
    </r>
    <r>
      <rPr>
        <sz val="10"/>
        <rFont val="Noto Sans CJK SC"/>
        <family val="2"/>
        <charset val="1"/>
      </rPr>
      <t xml:space="preserve">3 </t>
    </r>
    <r>
      <rPr>
        <sz val="10"/>
        <rFont val="WenQuanYi Zen Hei"/>
        <family val="2"/>
      </rPr>
      <t xml:space="preserve">해결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폭발</t>
    </r>
    <r>
      <rPr>
        <sz val="10"/>
        <rFont val="Noto Sans CJK SC"/>
        <family val="2"/>
        <charset val="1"/>
      </rPr>
      <t xml:space="preserve">)</t>
    </r>
  </si>
  <si>
    <t xml:space="preserve">Basta!</t>
  </si>
  <si>
    <r>
      <rPr>
        <sz val="10"/>
        <rFont val="WenQuanYi Zen Hei"/>
        <family val="2"/>
      </rPr>
      <t xml:space="preserve">그만</t>
    </r>
    <r>
      <rPr>
        <sz val="10"/>
        <rFont val="Noto Sans CJK SC"/>
        <family val="2"/>
        <charset val="1"/>
      </rPr>
      <t xml:space="preserve">!</t>
    </r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</si>
  <si>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사건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해결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협상 자리에서 </t>
    </r>
    <r>
      <rPr>
        <sz val="10"/>
        <rFont val="Arial"/>
        <family val="0"/>
        <charset val="1"/>
      </rPr>
      <t xml:space="preserve">Chiara</t>
    </r>
    <r>
      <rPr>
        <sz val="10"/>
        <rFont val="WenQuanYi Zen Hei"/>
        <family val="2"/>
      </rPr>
      <t xml:space="preserve">의 용어가 한 시간째 이어지자 </t>
    </r>
    <r>
      <rPr>
        <sz val="10"/>
        <rFont val="Arial"/>
        <family val="0"/>
        <charset val="1"/>
      </rPr>
      <t xml:space="preserve">Sofia</t>
    </r>
    <r>
      <rPr>
        <sz val="10"/>
        <rFont val="WenQuanYi Zen Hei"/>
        <family val="2"/>
      </rPr>
      <t xml:space="preserve">가 폭발한다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차 폭발</t>
    </r>
    <r>
      <rPr>
        <sz val="10"/>
        <rFont val="Arial"/>
        <family val="0"/>
        <charset val="1"/>
      </rPr>
      <t xml:space="preserve">). Giulia·Garibaldi·Rosa·Gramsci</t>
    </r>
    <r>
      <rPr>
        <sz val="10"/>
        <rFont val="WenQuanYi Zen Hei"/>
        <family val="2"/>
      </rPr>
      <t xml:space="preserve">의 고정 반응</t>
    </r>
    <r>
      <rPr>
        <sz val="10"/>
        <rFont val="Arial"/>
        <family val="0"/>
        <charset val="1"/>
      </rPr>
      <t xml:space="preserve">, Cesare</t>
    </r>
    <r>
      <rPr>
        <sz val="10"/>
        <rFont val="WenQuanYi Zen Hei"/>
        <family val="2"/>
      </rPr>
      <t xml:space="preserve">의 </t>
    </r>
    <r>
      <rPr>
        <sz val="10"/>
        <rFont val="Arial"/>
        <family val="0"/>
        <charset val="1"/>
      </rPr>
      <t xml:space="preserve">«Stolta… Domanda.», Alessandro</t>
    </r>
    <r>
      <rPr>
        <sz val="10"/>
        <rFont val="WenQuanYi Zen Hei"/>
        <family val="2"/>
      </rPr>
      <t xml:space="preserve">의 </t>
    </r>
    <r>
      <rPr>
        <sz val="10"/>
        <rFont val="Arial"/>
        <family val="0"/>
        <charset val="1"/>
      </rPr>
      <t xml:space="preserve">«Traduco io.» </t>
    </r>
    <r>
      <rPr>
        <sz val="10"/>
        <rFont val="WenQuanYi Zen Hei"/>
        <family val="2"/>
      </rPr>
      <t xml:space="preserve">이후 쉬운 말로 다시 협상해 밀린 임금 지급과 정식 계약 전환에 합의한다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</si>
  <si>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감정 표현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전문 용어 → 쉬운 말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임금 체불 합의</t>
    </r>
    <r>
      <rPr>
        <sz val="10"/>
        <rFont val="Noto Sans CJK SC"/>
        <family val="2"/>
        <charset val="1"/>
      </rPr>
      <t xml:space="preserve">(conciliazione)</t>
    </r>
  </si>
  <si>
    <r>
      <rPr>
        <sz val="10"/>
        <rFont val="Arial"/>
        <family val="0"/>
        <charset val="1"/>
      </rPr>
      <t xml:space="preserve">Sofia, Chiara, Alessandro, Giulia, Cesare, Garibaldi, Rosa, Gramsci, Davide(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</si>
  <si>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사건</t>
    </r>
    <r>
      <rPr>
        <sz val="10"/>
        <rFont val="Noto Sans CJK SC"/>
        <family val="2"/>
        <charset val="1"/>
      </rPr>
      <t xml:space="preserve">4 </t>
    </r>
    <r>
      <rPr>
        <sz val="10"/>
        <rFont val="WenQuanYi Zen Hei"/>
        <family val="2"/>
      </rPr>
      <t xml:space="preserve">도입</t>
    </r>
  </si>
  <si>
    <t xml:space="preserve">La bambina con la febbre</t>
  </si>
  <si>
    <t xml:space="preserve">열이 나는 아이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</si>
  <si>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사건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도입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체류 서류가 없어 소아과 주치의</t>
    </r>
    <r>
      <rPr>
        <sz val="10"/>
        <rFont val="Arial"/>
        <family val="0"/>
        <charset val="1"/>
      </rPr>
      <t xml:space="preserve">(pediatra)</t>
    </r>
    <r>
      <rPr>
        <sz val="10"/>
        <rFont val="WenQuanYi Zen Hei"/>
        <family val="2"/>
      </rPr>
      <t xml:space="preserve">를 배정받지 못하는 가족이 찾아온다</t>
    </r>
    <r>
      <rPr>
        <sz val="10"/>
        <rFont val="Arial"/>
        <family val="0"/>
        <charset val="1"/>
      </rPr>
      <t xml:space="preserve">. Giulia</t>
    </r>
    <r>
      <rPr>
        <sz val="10"/>
        <rFont val="WenQuanYi Zen Hei"/>
        <family val="2"/>
      </rPr>
      <t xml:space="preserve">가 나서고 </t>
    </r>
    <r>
      <rPr>
        <sz val="10"/>
        <rFont val="Arial"/>
        <family val="0"/>
        <charset val="1"/>
      </rPr>
      <t xml:space="preserve">Montessori</t>
    </r>
    <r>
      <rPr>
        <sz val="10"/>
        <rFont val="WenQuanYi Zen Hei"/>
        <family val="2"/>
      </rPr>
      <t xml:space="preserve">가 들러 </t>
    </r>
    <r>
      <rPr>
        <sz val="10"/>
        <rFont val="Arial"/>
        <family val="0"/>
        <charset val="1"/>
      </rPr>
      <t xml:space="preserve">«E questo come ti fa sentire?»</t>
    </r>
    <r>
      <rPr>
        <sz val="10"/>
        <rFont val="WenQuanYi Zen Hei"/>
        <family val="2"/>
      </rPr>
      <t xml:space="preserve">를 처음 선보인다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마침 들른 </t>
    </r>
    <r>
      <rPr>
        <sz val="10"/>
        <rFont val="Arial"/>
        <family val="0"/>
        <charset val="1"/>
      </rPr>
      <t xml:space="preserve">Dante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Cesare</t>
    </r>
    <r>
      <rPr>
        <sz val="10"/>
        <rFont val="WenQuanYi Zen Hei"/>
        <family val="2"/>
      </rPr>
      <t xml:space="preserve">에게 원고를 놀림받다 </t>
    </r>
    <r>
      <rPr>
        <sz val="10"/>
        <rFont val="Arial"/>
        <family val="0"/>
        <charset val="1"/>
      </rPr>
      <t xml:space="preserve">«Niente male.»</t>
    </r>
    <r>
      <rPr>
        <sz val="10"/>
        <rFont val="WenQuanYi Zen Hei"/>
        <family val="2"/>
      </rPr>
      <t xml:space="preserve">라는 최고의 칭찬을 듣는다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정작 진짜 아픈 아이 앞에서 </t>
    </r>
    <r>
      <rPr>
        <sz val="10"/>
        <rFont val="Arial"/>
        <family val="0"/>
        <charset val="1"/>
      </rPr>
      <t xml:space="preserve">Cesare</t>
    </r>
    <r>
      <rPr>
        <sz val="10"/>
        <rFont val="WenQuanYi Zen Hei"/>
        <family val="2"/>
      </rPr>
      <t xml:space="preserve">는 자기 무릎 타령을 멈춘다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</si>
  <si>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서류 없는 가족의 의료 접근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증상 표현</t>
    </r>
  </si>
  <si>
    <r>
      <rPr>
        <sz val="10"/>
        <rFont val="Arial"/>
        <family val="0"/>
        <charset val="1"/>
      </rPr>
      <t xml:space="preserve">Giulia, Montessori, Cesare, Dante, Sofia, Rosa, </t>
    </r>
    <r>
      <rPr>
        <sz val="10"/>
        <rFont val="WenQuanYi Zen Hei"/>
        <family val="2"/>
      </rPr>
      <t xml:space="preserve">가족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: Amina·Noa)</t>
    </r>
  </si>
  <si>
    <t xml:space="preserve">S2</t>
  </si>
  <si>
    <r>
      <rPr>
        <sz val="10"/>
        <rFont val="WenQuanYi Zen Hei"/>
        <family val="2"/>
      </rPr>
      <t xml:space="preserve">사건</t>
    </r>
    <r>
      <rPr>
        <sz val="10"/>
        <rFont val="Noto Sans CJK SC"/>
        <family val="2"/>
        <charset val="1"/>
      </rPr>
      <t xml:space="preserve">4 </t>
    </r>
    <r>
      <rPr>
        <sz val="10"/>
        <rFont val="WenQuanYi Zen Hei"/>
        <family val="2"/>
      </rPr>
      <t xml:space="preserve">해결</t>
    </r>
  </si>
  <si>
    <t xml:space="preserve">Un codice per tutti</t>
  </si>
  <si>
    <t xml:space="preserve">모두를 위한 코드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</si>
  <si>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사건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해결</t>
    </r>
    <r>
      <rPr>
        <sz val="10"/>
        <rFont val="Arial"/>
        <family val="0"/>
        <charset val="1"/>
      </rPr>
      <t xml:space="preserve">] Marco</t>
    </r>
    <r>
      <rPr>
        <sz val="10"/>
        <rFont val="WenQuanYi Zen Hei"/>
        <family val="2"/>
      </rPr>
      <t xml:space="preserve">와 </t>
    </r>
    <r>
      <rPr>
        <sz val="10"/>
        <rFont val="Arial"/>
        <family val="0"/>
        <charset val="1"/>
      </rPr>
      <t xml:space="preserve">Giulia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STP </t>
    </r>
    <r>
      <rPr>
        <sz val="10"/>
        <rFont val="WenQuanYi Zen Hei"/>
        <family val="2"/>
      </rPr>
      <t xml:space="preserve">코드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체류 서류 없는 외국인의 긴급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필수 진료 코드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와 미성년자 소아과 등록 경로를 찾아내 아이가 진료를 받는다</t>
    </r>
    <r>
      <rPr>
        <sz val="10"/>
        <rFont val="Arial"/>
        <family val="0"/>
        <charset val="1"/>
      </rPr>
      <t xml:space="preserve">. Cesare</t>
    </r>
    <r>
      <rPr>
        <sz val="10"/>
        <rFont val="WenQuanYi Zen Hei"/>
        <family val="2"/>
      </rPr>
      <t xml:space="preserve">가 평소와 달리 조용히 커피를 마신다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</si>
  <si>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  <charset val="1"/>
      </rPr>
      <t xml:space="preserve">STP </t>
    </r>
    <r>
      <rPr>
        <sz val="10"/>
        <rFont val="WenQuanYi Zen Hei"/>
        <family val="2"/>
      </rPr>
      <t xml:space="preserve">코드</t>
    </r>
    <r>
      <rPr>
        <sz val="10"/>
        <rFont val="Noto Sans CJK SC"/>
        <family val="2"/>
        <charset val="1"/>
      </rPr>
      <t xml:space="preserve">(d.lgs. 286/1998 </t>
    </r>
    <r>
      <rPr>
        <sz val="10"/>
        <rFont val="WenQuanYi Zen Hei"/>
        <family val="2"/>
      </rPr>
      <t xml:space="preserve">제</t>
    </r>
    <r>
      <rPr>
        <sz val="10"/>
        <rFont val="Noto Sans CJK SC"/>
        <family val="2"/>
        <charset val="1"/>
      </rPr>
      <t xml:space="preserve">35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미성년자 소아과 등록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진료 의뢰서</t>
    </r>
    <r>
      <rPr>
        <sz val="10"/>
        <rFont val="Noto Sans CJK SC"/>
        <family val="2"/>
        <charset val="1"/>
      </rPr>
      <t xml:space="preserve">(impegnativa)</t>
    </r>
  </si>
  <si>
    <r>
      <rPr>
        <sz val="10"/>
        <rFont val="Arial"/>
        <family val="0"/>
        <charset val="1"/>
      </rPr>
      <t xml:space="preserve">Giulia, Marco, Sofia, Rosa, </t>
    </r>
    <r>
      <rPr>
        <sz val="10"/>
        <rFont val="WenQuanYi Zen Hei"/>
        <family val="2"/>
      </rPr>
      <t xml:space="preserve">가족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</si>
  <si>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사건</t>
    </r>
    <r>
      <rPr>
        <sz val="10"/>
        <rFont val="Noto Sans CJK SC"/>
        <family val="2"/>
        <charset val="1"/>
      </rPr>
      <t xml:space="preserve">5 </t>
    </r>
    <r>
      <rPr>
        <sz val="10"/>
        <rFont val="WenQuanYi Zen Hei"/>
        <family val="2"/>
      </rPr>
      <t xml:space="preserve">도입</t>
    </r>
  </si>
  <si>
    <t xml:space="preserve">La vedova del quinto piano</t>
  </si>
  <si>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층의 미망인</t>
    </r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</si>
  <si>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사건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도입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가짜 투자에 저축을 잃은 노년의 이웃 </t>
    </r>
    <r>
      <rPr>
        <sz val="10"/>
        <rFont val="Arial"/>
        <family val="0"/>
        <charset val="1"/>
      </rPr>
      <t xml:space="preserve">Iolanda(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가 찾아온다</t>
    </r>
    <r>
      <rPr>
        <sz val="10"/>
        <rFont val="Arial"/>
        <family val="0"/>
        <charset val="1"/>
      </rPr>
      <t xml:space="preserve">. Alessandro</t>
    </r>
    <r>
      <rPr>
        <sz val="10"/>
        <rFont val="WenQuanYi Zen Hei"/>
        <family val="2"/>
      </rPr>
      <t xml:space="preserve">가 장부를 살피는 동안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양복 입은 낯선 남자 </t>
    </r>
    <r>
      <rPr>
        <sz val="10"/>
        <rFont val="Arial"/>
        <family val="0"/>
        <charset val="1"/>
      </rPr>
      <t xml:space="preserve">Francesco</t>
    </r>
    <r>
      <rPr>
        <sz val="10"/>
        <rFont val="WenQuanYi Zen Hei"/>
        <family val="2"/>
      </rPr>
      <t xml:space="preserve">가 나타나 은행 쪽 흐름을 봐 주겠다고 하면서도 자기 이야기는 하지 않는다</t>
    </r>
    <r>
      <rPr>
        <sz val="10"/>
        <rFont val="Arial"/>
        <family val="0"/>
        <charset val="1"/>
      </rPr>
      <t xml:space="preserve">. Galileo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관찰 대상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이라며 기웃거린다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</si>
  <si>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저축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투자 사기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은행 계좌 기초 어휘</t>
    </r>
  </si>
  <si>
    <r>
      <rPr>
        <sz val="10"/>
        <rFont val="Arial"/>
        <family val="0"/>
        <charset val="1"/>
      </rPr>
      <t xml:space="preserve">Alessandro, Francesco, Galileo, Sofia, Rosa, Iolanda(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</si>
  <si>
    <t xml:space="preserve">E3</t>
  </si>
  <si>
    <r>
      <rPr>
        <sz val="10"/>
        <rFont val="WenQuanYi Zen Hei"/>
        <family val="2"/>
      </rPr>
      <t xml:space="preserve">사건</t>
    </r>
    <r>
      <rPr>
        <sz val="10"/>
        <rFont val="Noto Sans CJK SC"/>
        <family val="2"/>
        <charset val="1"/>
      </rPr>
      <t xml:space="preserve">5 </t>
    </r>
    <r>
      <rPr>
        <sz val="10"/>
        <rFont val="WenQuanYi Zen Hei"/>
        <family val="2"/>
      </rPr>
      <t xml:space="preserve">해결</t>
    </r>
  </si>
  <si>
    <t xml:space="preserve">Segui il denaro</t>
  </si>
  <si>
    <t xml:space="preserve">돈을 따라가라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</si>
  <si>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사건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해결</t>
    </r>
    <r>
      <rPr>
        <sz val="10"/>
        <rFont val="Arial"/>
        <family val="0"/>
        <charset val="1"/>
      </rPr>
      <t xml:space="preserve">] Francesco</t>
    </r>
    <r>
      <rPr>
        <sz val="10"/>
        <rFont val="WenQuanYi Zen Hei"/>
        <family val="2"/>
      </rPr>
      <t xml:space="preserve">의 계좌 흐름 추적과 </t>
    </r>
    <r>
      <rPr>
        <sz val="10"/>
        <rFont val="Arial"/>
        <family val="0"/>
        <charset val="1"/>
      </rPr>
      <t xml:space="preserve">Alessandro</t>
    </r>
    <r>
      <rPr>
        <sz val="10"/>
        <rFont val="WenQuanYi Zen Hei"/>
        <family val="2"/>
      </rPr>
      <t xml:space="preserve">의 장부 대조로 사기 계좌를 찾아 돈 일부를 되찾는다</t>
    </r>
    <r>
      <rPr>
        <sz val="10"/>
        <rFont val="Arial"/>
        <family val="0"/>
        <charset val="1"/>
      </rPr>
      <t xml:space="preserve">. Francesco</t>
    </r>
    <r>
      <rPr>
        <sz val="10"/>
        <rFont val="WenQuanYi Zen Hei"/>
        <family val="2"/>
      </rPr>
      <t xml:space="preserve">는 설명 없이 떠나고</t>
    </r>
    <r>
      <rPr>
        <sz val="10"/>
        <rFont val="Arial"/>
        <family val="0"/>
        <charset val="1"/>
      </rPr>
      <t xml:space="preserve">, Alessandro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«Banca Adriatica»</t>
    </r>
    <r>
      <rPr>
        <sz val="10"/>
        <rFont val="WenQuanYi Zen Hei"/>
        <family val="2"/>
      </rPr>
      <t xml:space="preserve">라는 이름에 말없이 굳는다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</si>
  <si>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자금 흐름 추적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계좌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송금</t>
    </r>
    <r>
      <rPr>
        <sz val="10"/>
        <rFont val="Noto Sans CJK SC"/>
        <family val="2"/>
        <charset val="1"/>
      </rPr>
      <t xml:space="preserve">(bonifico) </t>
    </r>
    <r>
      <rPr>
        <sz val="10"/>
        <rFont val="WenQuanYi Zen Hei"/>
        <family val="2"/>
      </rPr>
      <t xml:space="preserve">어휘</t>
    </r>
  </si>
  <si>
    <r>
      <rPr>
        <sz val="10"/>
        <rFont val="Arial"/>
        <family val="0"/>
        <charset val="1"/>
      </rPr>
      <t xml:space="preserve">Alessandro, Francesco, Sofia, Rosa, Iolanda(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</si>
  <si>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사건</t>
    </r>
    <r>
      <rPr>
        <sz val="10"/>
        <rFont val="Noto Sans CJK SC"/>
        <family val="2"/>
        <charset val="1"/>
      </rPr>
      <t xml:space="preserve">6 </t>
    </r>
    <r>
      <rPr>
        <sz val="10"/>
        <rFont val="WenQuanYi Zen Hei"/>
        <family val="2"/>
      </rPr>
      <t xml:space="preserve">도입</t>
    </r>
  </si>
  <si>
    <t xml:space="preserve">Una carta di anni fa</t>
  </si>
  <si>
    <t xml:space="preserve">수년 전 서류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</si>
  <si>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사건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도입</t>
    </r>
    <r>
      <rPr>
        <sz val="10"/>
        <rFont val="Arial"/>
        <family val="0"/>
        <charset val="1"/>
      </rPr>
      <t xml:space="preserve">] Fatima</t>
    </r>
    <r>
      <rPr>
        <sz val="10"/>
        <rFont val="WenQuanYi Zen Hei"/>
        <family val="2"/>
      </rPr>
      <t xml:space="preserve">의 남편 </t>
    </r>
    <r>
      <rPr>
        <sz val="10"/>
        <rFont val="Arial"/>
        <family val="0"/>
        <charset val="1"/>
      </rPr>
      <t xml:space="preserve">Karim(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이 수십 년 전 다른 건물에서 받은 낡은 퇴거 서류를 들고 온다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당장 급한 사안은 아니지만 오래된 절차 오류가 보인다</t>
    </r>
    <r>
      <rPr>
        <sz val="10"/>
        <rFont val="Arial"/>
        <family val="0"/>
        <charset val="1"/>
      </rPr>
      <t xml:space="preserve">. Galileo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«</t>
    </r>
    <r>
      <rPr>
        <sz val="10"/>
        <rFont val="WenQuanYi Zen Hei"/>
        <family val="2"/>
      </rPr>
      <t xml:space="preserve">증거가 두 개면 기사가 된다</t>
    </r>
    <r>
      <rPr>
        <sz val="10"/>
        <rFont val="Arial"/>
        <family val="0"/>
        <charset val="1"/>
      </rPr>
      <t xml:space="preserve">»</t>
    </r>
    <r>
      <rPr>
        <sz val="10"/>
        <rFont val="WenQuanYi Zen Hei"/>
        <family val="2"/>
      </rPr>
      <t xml:space="preserve">며 흥미를 보인다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</si>
  <si>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오래된 서류 판독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절차 하자</t>
    </r>
  </si>
  <si>
    <r>
      <rPr>
        <sz val="10"/>
        <rFont val="Arial"/>
        <family val="0"/>
        <charset val="1"/>
      </rPr>
      <t xml:space="preserve">Marco, Galileo, Sofia, Rosa, Karim(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</si>
  <si>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사건</t>
    </r>
    <r>
      <rPr>
        <sz val="10"/>
        <rFont val="Noto Sans CJK SC"/>
        <family val="2"/>
        <charset val="1"/>
      </rPr>
      <t xml:space="preserve">6 </t>
    </r>
    <r>
      <rPr>
        <sz val="10"/>
        <rFont val="WenQuanYi Zen Hei"/>
        <family val="2"/>
      </rPr>
      <t xml:space="preserve">해결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훅</t>
    </r>
    <r>
      <rPr>
        <sz val="10"/>
        <rFont val="Noto Sans CJK SC"/>
        <family val="2"/>
        <charset val="1"/>
      </rPr>
      <t xml:space="preserve">)</t>
    </r>
  </si>
  <si>
    <t xml:space="preserve">La firma</t>
  </si>
  <si>
    <t xml:space="preserve">서명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</si>
  <si>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사건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해결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훅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절차 오류를 바로잡아 오래된 기록을 정정하지만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진짜 충격은 서류 맨 아래</t>
    </r>
    <r>
      <rPr>
        <sz val="10"/>
        <rFont val="Arial"/>
        <family val="0"/>
        <charset val="1"/>
      </rPr>
      <t xml:space="preserve">: Marco</t>
    </r>
    <r>
      <rPr>
        <sz val="10"/>
        <rFont val="WenQuanYi Zen Hei"/>
        <family val="2"/>
      </rPr>
      <t xml:space="preserve">의 옛 로펌 </t>
    </r>
    <r>
      <rPr>
        <sz val="10"/>
        <rFont val="Arial"/>
        <family val="0"/>
        <charset val="1"/>
      </rPr>
      <t xml:space="preserve">«Ferrari &amp; Colombo»</t>
    </r>
    <r>
      <rPr>
        <sz val="10"/>
        <rFont val="WenQuanYi Zen Hei"/>
        <family val="2"/>
      </rPr>
      <t xml:space="preserve">의 서명이다</t>
    </r>
    <r>
      <rPr>
        <sz val="10"/>
        <rFont val="Arial"/>
        <family val="0"/>
        <charset val="1"/>
      </rPr>
      <t xml:space="preserve">. Marco</t>
    </r>
    <r>
      <rPr>
        <sz val="10"/>
        <rFont val="WenQuanYi Zen Hei"/>
        <family val="2"/>
      </rPr>
      <t xml:space="preserve">가 얼어붙고 </t>
    </r>
    <r>
      <rPr>
        <sz val="10"/>
        <rFont val="Arial"/>
        <family val="0"/>
        <charset val="1"/>
      </rPr>
      <t xml:space="preserve">Rosa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«Sedetevi, che vi porto qualcosa.»</t>
    </r>
    <r>
      <rPr>
        <sz val="10"/>
        <rFont val="WenQuanYi Zen Hei"/>
        <family val="2"/>
      </rPr>
      <t xml:space="preserve">로 분위기를 잇는다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금요일에는 </t>
    </r>
    <r>
      <rPr>
        <sz val="10"/>
        <rFont val="Arial"/>
        <family val="0"/>
        <charset val="1"/>
      </rPr>
      <t xml:space="preserve">Marco</t>
    </r>
    <r>
      <rPr>
        <sz val="10"/>
        <rFont val="WenQuanYi Zen Hei"/>
        <family val="2"/>
      </rPr>
      <t xml:space="preserve">의 이야기가 시작된다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</si>
  <si>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서명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기록 정정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이름 확인</t>
    </r>
  </si>
  <si>
    <r>
      <rPr>
        <sz val="10"/>
        <rFont val="Arial"/>
        <family val="0"/>
        <charset val="1"/>
      </rPr>
      <t xml:space="preserve">Marco, Rosa, Sofia, Cesare, Machiavelli, Karim(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</si>
  <si>
    <t xml:space="preserve">발단</t>
  </si>
  <si>
    <t xml:space="preserve">Venerdì di storie</t>
  </si>
  <si>
    <t xml:space="preserve">금요일의 이야기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</si>
  <si>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프레임</t>
    </r>
    <r>
      <rPr>
        <sz val="10"/>
        <rFont val="Arial"/>
        <family val="0"/>
        <charset val="1"/>
      </rPr>
      <t xml:space="preserve">) Rosa</t>
    </r>
    <r>
      <rPr>
        <sz val="10"/>
        <rFont val="WenQuanYi Zen Hei"/>
        <family val="2"/>
      </rPr>
      <t xml:space="preserve">의 식탁에서 금요일마다 한 사람이 과거를 이야기하는 규칙이 시작된다</t>
    </r>
    <r>
      <rPr>
        <sz val="10"/>
        <rFont val="Arial"/>
        <family val="0"/>
        <charset val="1"/>
      </rPr>
      <t xml:space="preserve">. Sofia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Marco</t>
    </r>
    <r>
      <rPr>
        <sz val="10"/>
        <rFont val="WenQuanYi Zen Hei"/>
        <family val="2"/>
      </rPr>
      <t xml:space="preserve">에게 왜 로펌을 그만뒀느냐고 묻고 </t>
    </r>
    <r>
      <rPr>
        <sz val="10"/>
        <rFont val="Arial"/>
        <family val="0"/>
        <charset val="1"/>
      </rPr>
      <t xml:space="preserve">Marco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«Andiamo con ordine.»</t>
    </r>
    <r>
      <rPr>
        <sz val="10"/>
        <rFont val="WenQuanYi Zen Hei"/>
        <family val="2"/>
      </rPr>
      <t xml:space="preserve">로 시작한다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</si>
  <si>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격식체</t>
    </r>
    <r>
      <rPr>
        <sz val="10"/>
        <rFont val="Noto Sans CJK SC"/>
        <family val="2"/>
        <charset val="1"/>
      </rPr>
      <t xml:space="preserve">(Lei)</t>
    </r>
    <r>
      <rPr>
        <sz val="10"/>
        <rFont val="WenQuanYi Zen Hei"/>
        <family val="2"/>
      </rPr>
      <t xml:space="preserve">와 </t>
    </r>
    <r>
      <rPr>
        <sz val="10"/>
        <rFont val="Noto Sans CJK SC"/>
        <family val="2"/>
        <charset val="1"/>
      </rPr>
      <t xml:space="preserve">tu</t>
    </r>
    <r>
      <rPr>
        <sz val="10"/>
        <rFont val="WenQuanYi Zen Hei"/>
        <family val="2"/>
      </rPr>
      <t xml:space="preserve">의 대비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과거 이야기 도입</t>
    </r>
  </si>
  <si>
    <t xml:space="preserve">Sofia, Marco, Rosa, Cesare</t>
  </si>
  <si>
    <t xml:space="preserve">Un lunedì in Prati</t>
  </si>
  <si>
    <t xml:space="preserve">프라티의 월요일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</si>
  <si>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과거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승소율 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의 파트너 후보 </t>
    </r>
    <r>
      <rPr>
        <sz val="10"/>
        <rFont val="Arial"/>
        <family val="0"/>
        <charset val="1"/>
      </rPr>
      <t xml:space="preserve">Marco</t>
    </r>
    <r>
      <rPr>
        <sz val="10"/>
        <rFont val="WenQuanYi Zen Hei"/>
        <family val="2"/>
      </rPr>
      <t xml:space="preserve">의 하루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새벽 편의점에서 계산대에 선 채 『신곡』을 중얼거리는 야간 점원 </t>
    </r>
    <r>
      <rPr>
        <sz val="10"/>
        <rFont val="Arial"/>
        <family val="0"/>
        <charset val="1"/>
      </rPr>
      <t xml:space="preserve">Dante</t>
    </r>
    <r>
      <rPr>
        <sz val="10"/>
        <rFont val="WenQuanYi Zen Hei"/>
        <family val="2"/>
      </rPr>
      <t xml:space="preserve">와 마주친다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상사 </t>
    </r>
    <r>
      <rPr>
        <sz val="10"/>
        <rFont val="Arial"/>
        <family val="0"/>
        <charset val="1"/>
      </rPr>
      <t xml:space="preserve">Colombo(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가 파트너 승진을 암시한다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</si>
  <si>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로펌 어휘</t>
    </r>
    <r>
      <rPr>
        <sz val="10"/>
        <rFont val="Noto Sans CJK SC"/>
        <family val="2"/>
        <charset val="1"/>
      </rPr>
      <t xml:space="preserve">: socio, parcella, portafoglio clienti</t>
    </r>
  </si>
  <si>
    <r>
      <rPr>
        <sz val="10"/>
        <rFont val="Arial"/>
        <family val="0"/>
        <charset val="1"/>
      </rPr>
      <t xml:space="preserve">Marco, Dante, Colombo(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</si>
  <si>
    <t xml:space="preserve">Il cliente d'oro</t>
  </si>
  <si>
    <r>
      <rPr>
        <sz val="10"/>
        <rFont val="Arial"/>
        <family val="0"/>
        <charset val="1"/>
      </rPr>
      <t xml:space="preserve">VIP </t>
    </r>
    <r>
      <rPr>
        <sz val="10"/>
        <rFont val="WenQuanYi Zen Hei"/>
        <family val="2"/>
      </rPr>
      <t xml:space="preserve">고객</t>
    </r>
  </si>
  <si>
    <r>
      <rPr>
        <sz val="10"/>
        <rFont val="WenQuanYi Zen Hei"/>
        <family val="2"/>
      </rPr>
      <t xml:space="preserve">대형 고객 </t>
    </r>
    <r>
      <rPr>
        <sz val="10"/>
        <rFont val="Noto Sans CJK SC"/>
        <family val="2"/>
        <charset val="1"/>
      </rPr>
      <t xml:space="preserve">Gruppo Meridiano</t>
    </r>
    <r>
      <rPr>
        <sz val="10"/>
        <rFont val="WenQuanYi Zen Hei"/>
        <family val="2"/>
      </rPr>
      <t xml:space="preserve">의 회장 </t>
    </r>
    <r>
      <rPr>
        <sz val="10"/>
        <rFont val="Noto Sans CJK SC"/>
        <family val="2"/>
        <charset val="1"/>
      </rPr>
      <t xml:space="preserve">Santoro(</t>
    </r>
    <r>
      <rPr>
        <sz val="10"/>
        <rFont val="WenQuanYi Zen Hei"/>
        <family val="2"/>
      </rPr>
      <t xml:space="preserve">가상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를 소개받는다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회의석에는 고객 측 컨설턴트 </t>
    </r>
    <r>
      <rPr>
        <sz val="10"/>
        <rFont val="Noto Sans CJK SC"/>
        <family val="2"/>
        <charset val="1"/>
      </rPr>
      <t xml:space="preserve">Chiara</t>
    </r>
    <r>
      <rPr>
        <sz val="10"/>
        <rFont val="WenQuanYi Zen Hei"/>
        <family val="2"/>
      </rPr>
      <t xml:space="preserve">와 매각 은행 지점장 </t>
    </r>
    <r>
      <rPr>
        <sz val="10"/>
        <rFont val="Noto Sans CJK SC"/>
        <family val="2"/>
        <charset val="1"/>
      </rPr>
      <t xml:space="preserve">Francesco</t>
    </r>
    <r>
      <rPr>
        <sz val="10"/>
        <rFont val="WenQuanYi Zen Hei"/>
        <family val="2"/>
      </rPr>
      <t xml:space="preserve">가 있다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</si>
  <si>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인수합병 어휘</t>
    </r>
    <r>
      <rPr>
        <sz val="10"/>
        <rFont val="Noto Sans CJK SC"/>
        <family val="2"/>
        <charset val="1"/>
      </rPr>
      <t xml:space="preserve">: acquisizione, portafoglio, clausola</t>
    </r>
  </si>
  <si>
    <r>
      <rPr>
        <sz val="10"/>
        <rFont val="Arial"/>
        <family val="0"/>
        <charset val="1"/>
      </rPr>
      <t xml:space="preserve">Marco, Chiara, Francesco, Santoro(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</si>
  <si>
    <t xml:space="preserve">전개</t>
  </si>
  <si>
    <t xml:space="preserve">Il portafoglio di Testaccio</t>
  </si>
  <si>
    <t xml:space="preserve">테스타초 자산 포트폴리오</t>
  </si>
  <si>
    <r>
      <rPr>
        <sz val="10"/>
        <rFont val="WenQuanYi Zen Hei"/>
        <family val="2"/>
      </rPr>
      <t xml:space="preserve">실사</t>
    </r>
    <r>
      <rPr>
        <sz val="10"/>
        <rFont val="Noto Sans CJK SC"/>
        <family val="2"/>
        <charset val="1"/>
      </rPr>
      <t xml:space="preserve">(due diligence). </t>
    </r>
    <r>
      <rPr>
        <sz val="10"/>
        <rFont val="WenQuanYi Zen Hei"/>
        <family val="2"/>
      </rPr>
      <t xml:space="preserve">포트폴리오에 </t>
    </r>
    <r>
      <rPr>
        <sz val="10"/>
        <rFont val="Noto Sans CJK SC"/>
        <family val="2"/>
        <charset val="1"/>
      </rPr>
      <t xml:space="preserve">Testaccio </t>
    </r>
    <r>
      <rPr>
        <sz val="10"/>
        <rFont val="WenQuanYi Zen Hei"/>
        <family val="2"/>
      </rPr>
      <t xml:space="preserve">건물 </t>
    </r>
    <r>
      <rPr>
        <sz val="10"/>
        <rFont val="Noto Sans CJK SC"/>
        <family val="2"/>
        <charset val="1"/>
      </rPr>
      <t xml:space="preserve">12</t>
    </r>
    <r>
      <rPr>
        <sz val="10"/>
        <rFont val="WenQuanYi Zen Hei"/>
        <family val="2"/>
      </rPr>
      <t xml:space="preserve">채가 들어 있다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감사인 </t>
    </r>
    <r>
      <rPr>
        <sz val="10"/>
        <rFont val="Noto Sans CJK SC"/>
        <family val="2"/>
        <charset val="1"/>
      </rPr>
      <t xml:space="preserve">Alessandro</t>
    </r>
    <r>
      <rPr>
        <sz val="10"/>
        <rFont val="WenQuanYi Zen Hei"/>
        <family val="2"/>
      </rPr>
      <t xml:space="preserve">가 </t>
    </r>
    <r>
      <rPr>
        <sz val="10"/>
        <rFont val="Noto Sans CJK SC"/>
        <family val="2"/>
        <charset val="1"/>
      </rPr>
      <t xml:space="preserve">«Questo non torna»</t>
    </r>
    <r>
      <rPr>
        <sz val="10"/>
        <rFont val="WenQuanYi Zen Hei"/>
        <family val="2"/>
      </rPr>
      <t xml:space="preserve">를 흘리고</t>
    </r>
    <r>
      <rPr>
        <sz val="10"/>
        <rFont val="Noto Sans CJK SC"/>
        <family val="2"/>
        <charset val="1"/>
      </rPr>
      <t xml:space="preserve">, Piazza Borghese </t>
    </r>
    <r>
      <rPr>
        <sz val="10"/>
        <rFont val="WenQuanYi Zen Hei"/>
        <family val="2"/>
      </rPr>
      <t xml:space="preserve">고서 노점에서 등기 자료를 찾던 </t>
    </r>
    <r>
      <rPr>
        <sz val="10"/>
        <rFont val="Noto Sans CJK SC"/>
        <family val="2"/>
        <charset val="1"/>
      </rPr>
      <t xml:space="preserve">Marco</t>
    </r>
    <r>
      <rPr>
        <sz val="10"/>
        <rFont val="WenQuanYi Zen Hei"/>
        <family val="2"/>
      </rPr>
      <t xml:space="preserve">에게 </t>
    </r>
    <r>
      <rPr>
        <sz val="10"/>
        <rFont val="Noto Sans CJK SC"/>
        <family val="2"/>
        <charset val="1"/>
      </rPr>
      <t xml:space="preserve">Gramsci</t>
    </r>
    <r>
      <rPr>
        <sz val="10"/>
        <rFont val="WenQuanYi Zen Hei"/>
        <family val="2"/>
      </rPr>
      <t xml:space="preserve">가 </t>
    </r>
    <r>
      <rPr>
        <sz val="10"/>
        <rFont val="Noto Sans CJK SC"/>
        <family val="2"/>
        <charset val="1"/>
      </rPr>
      <t xml:space="preserve">«Cercalo tu.»</t>
    </r>
  </si>
  <si>
    <r>
      <rPr>
        <sz val="10"/>
        <rFont val="WenQuanYi Zen Hei"/>
        <family val="2"/>
      </rPr>
      <t xml:space="preserve">실사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부동산 등기</t>
    </r>
    <r>
      <rPr>
        <sz val="10"/>
        <rFont val="Noto Sans CJK SC"/>
        <family val="2"/>
        <charset val="1"/>
      </rPr>
      <t xml:space="preserve">(Conservatoria dei Registri Immobiliari)·</t>
    </r>
    <r>
      <rPr>
        <sz val="10"/>
        <rFont val="WenQuanYi Zen Hei"/>
        <family val="2"/>
      </rPr>
      <t xml:space="preserve">토지대장</t>
    </r>
    <r>
      <rPr>
        <sz val="10"/>
        <rFont val="Noto Sans CJK SC"/>
        <family val="2"/>
        <charset val="1"/>
      </rPr>
      <t xml:space="preserve">(Catasto), </t>
    </r>
    <r>
      <rPr>
        <sz val="10"/>
        <rFont val="WenQuanYi Zen Hei"/>
        <family val="2"/>
      </rPr>
      <t xml:space="preserve">임차인 명부</t>
    </r>
  </si>
  <si>
    <t xml:space="preserve">Marco, Alessandro, Gramsci</t>
  </si>
  <si>
    <t xml:space="preserve">Venerdì: la via di Rosa</t>
  </si>
  <si>
    <r>
      <rPr>
        <sz val="10"/>
        <rFont val="WenQuanYi Zen Hei"/>
        <family val="2"/>
      </rPr>
      <t xml:space="preserve">금요일</t>
    </r>
    <r>
      <rPr>
        <sz val="10"/>
        <rFont val="Noto Sans CJK SC"/>
        <family val="2"/>
        <charset val="1"/>
      </rPr>
      <t xml:space="preserve">: Rosa</t>
    </r>
    <r>
      <rPr>
        <sz val="10"/>
        <rFont val="WenQuanYi Zen Hei"/>
        <family val="2"/>
      </rPr>
      <t xml:space="preserve">의 거리</t>
    </r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</si>
  <si>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프레임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그 포트폴리오에 </t>
    </r>
    <r>
      <rPr>
        <sz val="10"/>
        <rFont val="Arial"/>
        <family val="0"/>
        <charset val="1"/>
      </rPr>
      <t xml:space="preserve">Rosa</t>
    </r>
    <r>
      <rPr>
        <sz val="10"/>
        <rFont val="WenQuanYi Zen Hei"/>
        <family val="2"/>
      </rPr>
      <t xml:space="preserve">의 트라토리아가 있던 건물이 들어 있었음이 밝혀진다</t>
    </r>
    <r>
      <rPr>
        <sz val="10"/>
        <rFont val="Arial"/>
        <family val="0"/>
        <charset val="1"/>
      </rPr>
      <t xml:space="preserve">. Sofia</t>
    </r>
    <r>
      <rPr>
        <sz val="10"/>
        <rFont val="WenQuanYi Zen Hei"/>
        <family val="2"/>
      </rPr>
      <t xml:space="preserve">는 놀라 </t>
    </r>
    <r>
      <rPr>
        <sz val="10"/>
        <rFont val="Arial"/>
        <family val="0"/>
        <charset val="1"/>
      </rPr>
      <t xml:space="preserve">Lei</t>
    </r>
    <r>
      <rPr>
        <sz val="10"/>
        <rFont val="WenQuanYi Zen Hei"/>
        <family val="2"/>
      </rPr>
      <t xml:space="preserve">를 놓치고 </t>
    </r>
    <r>
      <rPr>
        <sz val="10"/>
        <rFont val="Arial"/>
        <family val="0"/>
        <charset val="1"/>
      </rPr>
      <t xml:space="preserve">Marco</t>
    </r>
    <r>
      <rPr>
        <sz val="10"/>
        <rFont val="WenQuanYi Zen Hei"/>
        <family val="2"/>
      </rPr>
      <t xml:space="preserve">는 잠시 침묵한다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</si>
  <si>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감정 표현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놀람</t>
    </r>
  </si>
  <si>
    <t xml:space="preserve">Rosa, Marco, Sofia</t>
  </si>
  <si>
    <t xml:space="preserve">미드포인트</t>
  </si>
  <si>
    <t xml:space="preserve">La clausola</t>
  </si>
  <si>
    <t xml:space="preserve">조항</t>
  </si>
  <si>
    <r>
      <rPr>
        <sz val="10"/>
        <rFont val="WenQuanYi Zen Hei"/>
        <family val="2"/>
      </rPr>
      <t xml:space="preserve">임차인을 비우는 가장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깨끗한</t>
    </r>
    <r>
      <rPr>
        <sz val="10"/>
        <rFont val="Noto Sans CJK SC"/>
        <family val="2"/>
        <charset val="1"/>
      </rPr>
      <t xml:space="preserve">' </t>
    </r>
    <r>
      <rPr>
        <sz val="10"/>
        <rFont val="WenQuanYi Zen Hei"/>
        <family val="2"/>
      </rPr>
      <t xml:space="preserve">방법으로 </t>
    </r>
    <r>
      <rPr>
        <sz val="10"/>
        <rFont val="Noto Sans CJK SC"/>
        <family val="2"/>
        <charset val="1"/>
      </rPr>
      <t xml:space="preserve">Marco</t>
    </r>
    <r>
      <rPr>
        <sz val="10"/>
        <rFont val="WenQuanYi Zen Hei"/>
        <family val="2"/>
      </rPr>
      <t xml:space="preserve">가 </t>
    </r>
    <r>
      <rPr>
        <sz val="10"/>
        <rFont val="Noto Sans CJK SC"/>
        <family val="2"/>
        <charset val="1"/>
      </rPr>
      <t xml:space="preserve">«</t>
    </r>
    <r>
      <rPr>
        <sz val="10"/>
        <rFont val="WenQuanYi Zen Hei"/>
        <family val="2"/>
      </rPr>
      <t xml:space="preserve">첫 만기 때 리모델링을 이유로 갱신을 거절하는</t>
    </r>
    <r>
      <rPr>
        <sz val="10"/>
        <rFont val="Noto Sans CJK SC"/>
        <family val="2"/>
        <charset val="1"/>
      </rPr>
      <t xml:space="preserve">(diniego di rinnovo per ristrutturazione)» </t>
    </r>
    <r>
      <rPr>
        <sz val="10"/>
        <rFont val="WenQuanYi Zen Hei"/>
        <family val="2"/>
      </rPr>
      <t xml:space="preserve">조항 전략을 설계한다</t>
    </r>
    <r>
      <rPr>
        <sz val="10"/>
        <rFont val="Noto Sans CJK SC"/>
        <family val="2"/>
        <charset val="1"/>
      </rPr>
      <t xml:space="preserve">. Chiara</t>
    </r>
    <r>
      <rPr>
        <sz val="10"/>
        <rFont val="WenQuanYi Zen Hei"/>
        <family val="2"/>
      </rPr>
      <t xml:space="preserve">의 재무 모델이 이를 뒷받침한다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</si>
  <si>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갱신 거절 사유</t>
    </r>
    <r>
      <rPr>
        <sz val="10"/>
        <rFont val="Noto Sans CJK SC"/>
        <family val="2"/>
        <charset val="1"/>
      </rPr>
      <t xml:space="preserve">(legge 431/1998 </t>
    </r>
    <r>
      <rPr>
        <sz val="10"/>
        <rFont val="WenQuanYi Zen Hei"/>
        <family val="2"/>
      </rPr>
      <t xml:space="preserve">제</t>
    </r>
    <r>
      <rPr>
        <sz val="10"/>
        <rFont val="Noto Sans CJK SC"/>
        <family val="2"/>
        <charset val="1"/>
      </rPr>
      <t xml:space="preserve">3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리모델링 사유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통지 요건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만기 </t>
    </r>
    <r>
      <rPr>
        <sz val="10"/>
        <rFont val="Noto Sans CJK SC"/>
        <family val="2"/>
        <charset val="1"/>
      </rPr>
      <t xml:space="preserve">6</t>
    </r>
    <r>
      <rPr>
        <sz val="10"/>
        <rFont val="WenQuanYi Zen Hei"/>
        <family val="2"/>
      </rPr>
      <t xml:space="preserve">개월 전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</si>
  <si>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Arial"/>
        <family val="0"/>
        <charset val="1"/>
      </rPr>
      <t xml:space="preserve">Marco, Chiara, Colombo(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</si>
  <si>
    <t xml:space="preserve">위기</t>
  </si>
  <si>
    <t xml:space="preserve">L'assemblea degli inquilini</t>
  </si>
  <si>
    <t xml:space="preserve">세입자 총회</t>
  </si>
  <si>
    <r>
      <rPr>
        <sz val="10"/>
        <rFont val="WenQuanYi Zen Hei"/>
        <family val="2"/>
      </rPr>
      <t xml:space="preserve">세입자들이 총회를 연다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노조 출신 </t>
    </r>
    <r>
      <rPr>
        <sz val="10"/>
        <rFont val="Noto Sans CJK SC"/>
        <family val="2"/>
        <charset val="1"/>
      </rPr>
      <t xml:space="preserve">Paolo</t>
    </r>
    <r>
      <rPr>
        <sz val="10"/>
        <rFont val="WenQuanYi Zen Hei"/>
        <family val="2"/>
      </rPr>
      <t xml:space="preserve">가 이끌고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응급실 의사 </t>
    </r>
    <r>
      <rPr>
        <sz val="10"/>
        <rFont val="Noto Sans CJK SC"/>
        <family val="2"/>
        <charset val="1"/>
      </rPr>
      <t xml:space="preserve">Giulia</t>
    </r>
    <r>
      <rPr>
        <sz val="10"/>
        <rFont val="WenQuanYi Zen Hei"/>
        <family val="2"/>
      </rPr>
      <t xml:space="preserve">가 공황을 일으킨 노인을 돌본다</t>
    </r>
    <r>
      <rPr>
        <sz val="10"/>
        <rFont val="Noto Sans CJK SC"/>
        <family val="2"/>
        <charset val="1"/>
      </rPr>
      <t xml:space="preserve">. Marco</t>
    </r>
    <r>
      <rPr>
        <sz val="10"/>
        <rFont val="WenQuanYi Zen Hei"/>
        <family val="2"/>
      </rPr>
      <t xml:space="preserve">는 </t>
    </r>
    <r>
      <rPr>
        <sz val="10"/>
        <rFont val="Noto Sans CJK SC"/>
        <family val="2"/>
        <charset val="1"/>
      </rPr>
      <t xml:space="preserve">78</t>
    </r>
    <r>
      <rPr>
        <sz val="10"/>
        <rFont val="WenQuanYi Zen Hei"/>
        <family val="2"/>
      </rPr>
      <t xml:space="preserve">세 </t>
    </r>
    <r>
      <rPr>
        <sz val="10"/>
        <rFont val="Noto Sans CJK SC"/>
        <family val="2"/>
        <charset val="1"/>
      </rPr>
      <t xml:space="preserve">Assunta(</t>
    </r>
    <r>
      <rPr>
        <sz val="10"/>
        <rFont val="WenQuanYi Zen Hei"/>
        <family val="2"/>
      </rPr>
      <t xml:space="preserve">가상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를 만난다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</si>
  <si>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총회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발언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동의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항의 표현</t>
    </r>
  </si>
  <si>
    <r>
      <rPr>
        <sz val="10"/>
        <rFont val="Arial"/>
        <family val="0"/>
        <charset val="1"/>
      </rPr>
      <t xml:space="preserve">Marco, Paolo, Giulia, Assunta(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</si>
  <si>
    <t xml:space="preserve">Il processo</t>
  </si>
  <si>
    <t xml:space="preserve">재판</t>
  </si>
  <si>
    <r>
      <rPr>
        <sz val="10"/>
        <rFont val="WenQuanYi Zen Hei"/>
        <family val="2"/>
      </rPr>
      <t xml:space="preserve">심리</t>
    </r>
    <r>
      <rPr>
        <sz val="10"/>
        <rFont val="Noto Sans CJK SC"/>
        <family val="2"/>
        <charset val="1"/>
      </rPr>
      <t xml:space="preserve">(udienza)</t>
    </r>
    <r>
      <rPr>
        <sz val="10"/>
        <rFont val="WenQuanYi Zen Hei"/>
        <family val="2"/>
      </rPr>
      <t xml:space="preserve">와 판결</t>
    </r>
    <r>
      <rPr>
        <sz val="10"/>
        <rFont val="Noto Sans CJK SC"/>
        <family val="2"/>
        <charset val="1"/>
      </rPr>
      <t xml:space="preserve">. Marco</t>
    </r>
    <r>
      <rPr>
        <sz val="10"/>
        <rFont val="WenQuanYi Zen Hei"/>
        <family val="2"/>
      </rPr>
      <t xml:space="preserve">가 승소한다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방청석의 </t>
    </r>
    <r>
      <rPr>
        <sz val="10"/>
        <rFont val="Noto Sans CJK SC"/>
        <family val="2"/>
        <charset val="1"/>
      </rPr>
      <t xml:space="preserve">Galileo</t>
    </r>
    <r>
      <rPr>
        <sz val="10"/>
        <rFont val="WenQuanYi Zen Hei"/>
        <family val="2"/>
      </rPr>
      <t xml:space="preserve">가 </t>
    </r>
    <r>
      <rPr>
        <sz val="10"/>
        <rFont val="Noto Sans CJK SC"/>
        <family val="2"/>
        <charset val="1"/>
      </rPr>
      <t xml:space="preserve">«È orgoglioso?»</t>
    </r>
    <r>
      <rPr>
        <sz val="10"/>
        <rFont val="WenQuanYi Zen Hei"/>
        <family val="2"/>
      </rPr>
      <t xml:space="preserve">라고 묻는다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감사인 </t>
    </r>
    <r>
      <rPr>
        <sz val="10"/>
        <rFont val="Noto Sans CJK SC"/>
        <family val="2"/>
        <charset val="1"/>
      </rPr>
      <t xml:space="preserve">Alessandro</t>
    </r>
    <r>
      <rPr>
        <sz val="10"/>
        <rFont val="WenQuanYi Zen Hei"/>
        <family val="2"/>
      </rPr>
      <t xml:space="preserve">는 고객의 장부를 보고 고개를 젓는다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</si>
  <si>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소송</t>
    </r>
    <r>
      <rPr>
        <sz val="10"/>
        <rFont val="Noto Sans CJK SC"/>
        <family val="2"/>
        <charset val="1"/>
      </rPr>
      <t xml:space="preserve">: citazione, udienza, sentenza, spese processuali</t>
    </r>
  </si>
  <si>
    <r>
      <rPr>
        <sz val="10"/>
        <rFont val="Arial"/>
        <family val="0"/>
        <charset val="1"/>
      </rPr>
      <t xml:space="preserve">Marco, Galileo, Alessandro, </t>
    </r>
    <r>
      <rPr>
        <sz val="10"/>
        <rFont val="WenQuanYi Zen Hei"/>
        <family val="2"/>
      </rPr>
      <t xml:space="preserve">판사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</si>
  <si>
    <t xml:space="preserve">E1·P3</t>
  </si>
  <si>
    <t xml:space="preserve">Venerdì: continua</t>
  </si>
  <si>
    <r>
      <rPr>
        <sz val="10"/>
        <rFont val="WenQuanYi Zen Hei"/>
        <family val="2"/>
      </rPr>
      <t xml:space="preserve">금요일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계속해</t>
    </r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</si>
  <si>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프레임</t>
    </r>
    <r>
      <rPr>
        <sz val="10"/>
        <rFont val="Arial"/>
        <family val="0"/>
        <charset val="1"/>
      </rPr>
      <t xml:space="preserve">) Marco</t>
    </r>
    <r>
      <rPr>
        <sz val="10"/>
        <rFont val="WenQuanYi Zen Hei"/>
        <family val="2"/>
      </rPr>
      <t xml:space="preserve">가 말을 잇지 못하자 </t>
    </r>
    <r>
      <rPr>
        <sz val="10"/>
        <rFont val="Arial"/>
        <family val="0"/>
        <charset val="1"/>
      </rPr>
      <t xml:space="preserve">Cesare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«Quando Cesare era in Gallia…»</t>
    </r>
    <r>
      <rPr>
        <sz val="10"/>
        <rFont val="WenQuanYi Zen Hei"/>
        <family val="2"/>
      </rPr>
      <t xml:space="preserve">로 시간을 벌어 주고 </t>
    </r>
    <r>
      <rPr>
        <sz val="10"/>
        <rFont val="Arial"/>
        <family val="0"/>
        <charset val="1"/>
      </rPr>
      <t xml:space="preserve">Rosa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«Continua.»</t>
    </r>
    <r>
      <rPr>
        <sz val="10"/>
        <rFont val="WenQuanYi Zen Hei"/>
        <family val="2"/>
      </rPr>
      <t xml:space="preserve">라고 한다</t>
    </r>
    <r>
      <rPr>
        <sz val="10"/>
        <rFont val="Arial"/>
        <family val="0"/>
        <charset val="1"/>
      </rPr>
      <t xml:space="preserve">. Sofia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«E lei?»</t>
    </r>
    <r>
      <rPr>
        <sz val="10"/>
        <rFont val="WenQuanYi Zen Hei"/>
        <family val="2"/>
      </rPr>
      <t xml:space="preserve">라고 묻는다</t>
    </r>
    <r>
      <rPr>
        <sz val="10"/>
        <rFont val="Arial"/>
        <family val="0"/>
        <charset val="1"/>
      </rPr>
      <t xml:space="preserve">. Machiavelli</t>
    </r>
    <r>
      <rPr>
        <sz val="10"/>
        <rFont val="WenQuanYi Zen Hei"/>
        <family val="2"/>
      </rPr>
      <t xml:space="preserve">는 말없이 메모한다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</si>
  <si>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위로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재촉 표현</t>
    </r>
  </si>
  <si>
    <t xml:space="preserve">Marco, Cesare, Rosa, Sofia, Machiavelli</t>
  </si>
  <si>
    <t xml:space="preserve">절정</t>
  </si>
  <si>
    <t xml:space="preserve">Una cena ai Parioli</t>
  </si>
  <si>
    <t xml:space="preserve">파리올리의 저녁</t>
  </si>
  <si>
    <r>
      <rPr>
        <sz val="10"/>
        <rFont val="WenQuanYi Zen Hei"/>
        <family val="2"/>
      </rPr>
      <t xml:space="preserve">승소 축하 만찬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파트너들이 건배하는 동안 </t>
    </r>
    <r>
      <rPr>
        <sz val="10"/>
        <rFont val="Noto Sans CJK SC"/>
        <family val="2"/>
        <charset val="1"/>
      </rPr>
      <t xml:space="preserve">Santoro</t>
    </r>
    <r>
      <rPr>
        <sz val="10"/>
        <rFont val="WenQuanYi Zen Hei"/>
        <family val="2"/>
      </rPr>
      <t xml:space="preserve">가 다음 포트폴리오를 건넨다</t>
    </r>
    <r>
      <rPr>
        <sz val="10"/>
        <rFont val="Noto Sans CJK SC"/>
        <family val="2"/>
        <charset val="1"/>
      </rPr>
      <t xml:space="preserve">. Marco</t>
    </r>
    <r>
      <rPr>
        <sz val="10"/>
        <rFont val="WenQuanYi Zen Hei"/>
        <family val="2"/>
      </rPr>
      <t xml:space="preserve">의 휴대전화가 울린다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</si>
  <si>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고급 식당 표현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건배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축하</t>
    </r>
    <r>
      <rPr>
        <sz val="10"/>
        <rFont val="Noto Sans CJK SC"/>
        <family val="2"/>
        <charset val="1"/>
      </rPr>
      <t xml:space="preserve">(brindisi)</t>
    </r>
  </si>
  <si>
    <r>
      <rPr>
        <sz val="10"/>
        <rFont val="Arial"/>
        <family val="0"/>
        <charset val="1"/>
      </rPr>
      <t xml:space="preserve">Marco, Colombo(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), Santoro(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), Alessandro</t>
    </r>
  </si>
  <si>
    <t xml:space="preserve">La nipote di Assunta</t>
  </si>
  <si>
    <r>
      <rPr>
        <sz val="10"/>
        <rFont val="Arial"/>
        <family val="0"/>
        <charset val="1"/>
      </rPr>
      <t xml:space="preserve">Assunta</t>
    </r>
    <r>
      <rPr>
        <sz val="10"/>
        <rFont val="WenQuanYi Zen Hei"/>
        <family val="2"/>
      </rPr>
      <t xml:space="preserve">의 손녀</t>
    </r>
  </si>
  <si>
    <r>
      <rPr>
        <sz val="10"/>
        <rFont val="Arial"/>
        <family val="0"/>
        <charset val="1"/>
      </rPr>
      <t xml:space="preserve">Assunta</t>
    </r>
    <r>
      <rPr>
        <sz val="10"/>
        <rFont val="WenQuanYi Zen Hei"/>
        <family val="2"/>
      </rPr>
      <t xml:space="preserve">가 퇴거 석 달 뒤 세상을 떠났다는 소식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손녀 </t>
    </r>
    <r>
      <rPr>
        <sz val="10"/>
        <rFont val="Arial"/>
        <family val="0"/>
        <charset val="1"/>
      </rPr>
      <t xml:space="preserve">Marina(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가 사무실로 찾아와 조용히 묻는다</t>
    </r>
    <r>
      <rPr>
        <sz val="10"/>
        <rFont val="Arial"/>
        <family val="0"/>
        <charset val="1"/>
      </rPr>
      <t xml:space="preserve">: «Ha vinto Lei?»</t>
    </r>
  </si>
  <si>
    <r>
      <rPr>
        <sz val="10"/>
        <rFont val="WenQuanYi Zen Hei"/>
        <family val="2"/>
      </rPr>
      <t xml:space="preserve">조의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항의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문서 </t>
    </r>
    <r>
      <rPr>
        <sz val="10"/>
        <rFont val="Noto Sans CJK SC"/>
        <family val="2"/>
        <charset val="1"/>
      </rPr>
      <t xml:space="preserve">vs </t>
    </r>
    <r>
      <rPr>
        <sz val="10"/>
        <rFont val="WenQuanYi Zen Hei"/>
        <family val="2"/>
      </rPr>
      <t xml:space="preserve">사람</t>
    </r>
  </si>
  <si>
    <r>
      <rPr>
        <sz val="10"/>
        <rFont val="Arial"/>
        <family val="0"/>
        <charset val="1"/>
      </rPr>
      <t xml:space="preserve">Marco, Marina(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</si>
  <si>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결말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훅</t>
    </r>
  </si>
  <si>
    <t xml:space="preserve">Venerdì: le dimissioni</t>
  </si>
  <si>
    <r>
      <rPr>
        <sz val="10"/>
        <rFont val="WenQuanYi Zen Hei"/>
        <family val="2"/>
      </rPr>
      <t xml:space="preserve">금요일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사직</t>
    </r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</si>
  <si>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프레임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과거</t>
    </r>
    <r>
      <rPr>
        <sz val="10"/>
        <rFont val="Arial"/>
        <family val="0"/>
        <charset val="1"/>
      </rPr>
      <t xml:space="preserve">) Marco</t>
    </r>
    <r>
      <rPr>
        <sz val="10"/>
        <rFont val="WenQuanYi Zen Hei"/>
        <family val="2"/>
      </rPr>
      <t xml:space="preserve">가 다음 포트폴리오 서명을 거부하고 사직서를 낸다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짐 상자를 든 채 응급실 대기실에서 쓰러지고 </t>
    </r>
    <r>
      <rPr>
        <sz val="10"/>
        <rFont val="Arial"/>
        <family val="0"/>
        <charset val="1"/>
      </rPr>
      <t xml:space="preserve">Giulia</t>
    </r>
    <r>
      <rPr>
        <sz val="10"/>
        <rFont val="WenQuanYi Zen Hei"/>
        <family val="2"/>
      </rPr>
      <t xml:space="preserve">가 그를 진료한다</t>
    </r>
    <r>
      <rPr>
        <sz val="10"/>
        <rFont val="Arial"/>
        <family val="0"/>
        <charset val="1"/>
      </rPr>
      <t xml:space="preserve">. Sofia</t>
    </r>
    <r>
      <rPr>
        <sz val="10"/>
        <rFont val="WenQuanYi Zen Hei"/>
        <family val="2"/>
      </rPr>
      <t xml:space="preserve">는 여전히 </t>
    </r>
    <r>
      <rPr>
        <sz val="10"/>
        <rFont val="Arial"/>
        <family val="0"/>
        <charset val="1"/>
      </rPr>
      <t xml:space="preserve">Lei</t>
    </r>
    <r>
      <rPr>
        <sz val="10"/>
        <rFont val="WenQuanYi Zen Hei"/>
        <family val="2"/>
      </rPr>
      <t xml:space="preserve">를 쓴다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</si>
  <si>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사직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거절 표현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접속법</t>
    </r>
    <r>
      <rPr>
        <sz val="10"/>
        <rFont val="Noto Sans CJK SC"/>
        <family val="2"/>
        <charset val="1"/>
      </rPr>
      <t xml:space="preserve">(congiuntivo)</t>
    </r>
  </si>
  <si>
    <t xml:space="preserve">Marco, Giulia, Sofia, Rosa</t>
  </si>
  <si>
    <t xml:space="preserve">Venerdì: i nomi</t>
  </si>
  <si>
    <r>
      <rPr>
        <sz val="10"/>
        <rFont val="WenQuanYi Zen Hei"/>
        <family val="2"/>
      </rPr>
      <t xml:space="preserve">금요일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이름들</t>
    </r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</si>
  <si>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프레임</t>
    </r>
    <r>
      <rPr>
        <sz val="10"/>
        <rFont val="Arial"/>
        <family val="0"/>
        <charset val="1"/>
      </rPr>
      <t xml:space="preserve">) Giulia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«Questa non è una statistica, è una persona.»</t>
    </r>
    <r>
      <rPr>
        <sz val="10"/>
        <rFont val="WenQuanYi Zen Hei"/>
        <family val="2"/>
      </rPr>
      <t xml:space="preserve">라며 이야기를 시작한다</t>
    </r>
    <r>
      <rPr>
        <sz val="10"/>
        <rFont val="Arial"/>
        <family val="0"/>
        <charset val="1"/>
      </rPr>
      <t xml:space="preserve">. Cesare</t>
    </r>
    <r>
      <rPr>
        <sz val="10"/>
        <rFont val="WenQuanYi Zen Hei"/>
        <family val="2"/>
      </rPr>
      <t xml:space="preserve">가 계단을 오르내리다 숨을 고르는 것을 </t>
    </r>
    <r>
      <rPr>
        <sz val="10"/>
        <rFont val="Arial"/>
        <family val="0"/>
        <charset val="1"/>
      </rPr>
      <t xml:space="preserve">Giulia</t>
    </r>
    <r>
      <rPr>
        <sz val="10"/>
        <rFont val="WenQuanYi Zen Hei"/>
        <family val="2"/>
      </rPr>
      <t xml:space="preserve">가 흘끗 본다</t>
    </r>
    <r>
      <rPr>
        <sz val="10"/>
        <rFont val="Arial"/>
        <family val="0"/>
        <charset val="1"/>
      </rPr>
      <t xml:space="preserve">.</t>
    </r>
  </si>
  <si>
    <t xml:space="preserve">의학 어휘 도입</t>
  </si>
  <si>
    <t xml:space="preserve">Giulia, Sofia, Cesare, Rosa</t>
  </si>
  <si>
    <t xml:space="preserve">Turno di notte</t>
  </si>
  <si>
    <t xml:space="preserve">야간 근무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</si>
  <si>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과거</t>
    </r>
    <r>
      <rPr>
        <sz val="10"/>
        <rFont val="Arial"/>
        <family val="0"/>
        <charset val="1"/>
      </rPr>
      <t xml:space="preserve">) San Camillo </t>
    </r>
    <r>
      <rPr>
        <sz val="10"/>
        <rFont val="WenQuanYi Zen Hei"/>
        <family val="2"/>
      </rPr>
      <t xml:space="preserve">응급실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가상 설정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의 야간 근무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분류</t>
    </r>
    <r>
      <rPr>
        <sz val="10"/>
        <rFont val="Arial"/>
        <family val="0"/>
        <charset val="1"/>
      </rPr>
      <t xml:space="preserve">(triage), </t>
    </r>
    <r>
      <rPr>
        <sz val="10"/>
        <rFont val="WenQuanYi Zen Hei"/>
        <family val="2"/>
      </rPr>
      <t xml:space="preserve">병상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간호사 </t>
    </r>
    <r>
      <rPr>
        <sz val="10"/>
        <rFont val="Arial"/>
        <family val="0"/>
        <charset val="1"/>
      </rPr>
      <t xml:space="preserve">Loredana(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와의 호흡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가슴 통증으로 실려 온 </t>
    </r>
    <r>
      <rPr>
        <sz val="10"/>
        <rFont val="Arial"/>
        <family val="0"/>
        <charset val="1"/>
      </rPr>
      <t xml:space="preserve">Marco</t>
    </r>
    <r>
      <rPr>
        <sz val="10"/>
        <rFont val="WenQuanYi Zen Hei"/>
        <family val="2"/>
      </rPr>
      <t xml:space="preserve">를 진료한다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</si>
  <si>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triage(</t>
    </r>
    <r>
      <rPr>
        <sz val="10"/>
        <rFont val="WenQuanYi Zen Hei"/>
        <family val="2"/>
      </rPr>
      <t xml:space="preserve">긴급도 코드 </t>
    </r>
    <r>
      <rPr>
        <sz val="10"/>
        <rFont val="Arial"/>
        <family val="0"/>
        <charset val="1"/>
      </rPr>
      <t xml:space="preserve">1~5), parametri vitali, barella, box</t>
    </r>
  </si>
  <si>
    <r>
      <rPr>
        <sz val="10"/>
        <rFont val="Arial"/>
        <family val="0"/>
        <charset val="1"/>
      </rPr>
      <t xml:space="preserve">Giulia, Loredana(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), Marco</t>
    </r>
  </si>
  <si>
    <t xml:space="preserve">L'ondata di calore</t>
  </si>
  <si>
    <t xml:space="preserve">폭염</t>
  </si>
  <si>
    <r>
      <rPr>
        <sz val="10"/>
        <rFont val="WenQuanYi Zen Hei"/>
        <family val="2"/>
      </rPr>
      <t xml:space="preserve">폭염 경보</t>
    </r>
    <r>
      <rPr>
        <sz val="10"/>
        <rFont val="Noto Sans CJK SC"/>
        <family val="2"/>
        <charset val="1"/>
      </rPr>
      <t xml:space="preserve">(bollino rosso)</t>
    </r>
    <r>
      <rPr>
        <sz val="10"/>
        <rFont val="WenQuanYi Zen Hei"/>
        <family val="2"/>
      </rPr>
      <t xml:space="preserve">에 고령 환자가 몰려 응급실이 넘친다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산소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수액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얼음</t>
    </r>
    <r>
      <rPr>
        <sz val="10"/>
        <rFont val="Noto Sans CJK SC"/>
        <family val="2"/>
        <charset val="1"/>
      </rPr>
      <t xml:space="preserve">. Giulia</t>
    </r>
    <r>
      <rPr>
        <sz val="10"/>
        <rFont val="WenQuanYi Zen Hei"/>
        <family val="2"/>
      </rPr>
      <t xml:space="preserve">는 밤새 환자 이름을 외운다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</si>
  <si>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열사병</t>
    </r>
    <r>
      <rPr>
        <sz val="10"/>
        <rFont val="Noto Sans CJK SC"/>
        <family val="2"/>
        <charset val="1"/>
      </rPr>
      <t xml:space="preserve">(colpo di calore), </t>
    </r>
    <r>
      <rPr>
        <sz val="10"/>
        <rFont val="WenQuanYi Zen Hei"/>
        <family val="2"/>
      </rPr>
      <t xml:space="preserve">탈수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고령 환자</t>
    </r>
  </si>
  <si>
    <r>
      <rPr>
        <sz val="10"/>
        <rFont val="Arial"/>
        <family val="0"/>
        <charset val="1"/>
      </rPr>
      <t xml:space="preserve">Giulia, Loredana(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</si>
  <si>
    <t xml:space="preserve">S4·S3</t>
  </si>
  <si>
    <t xml:space="preserve">Un contratto che nessuno legge</t>
  </si>
  <si>
    <t xml:space="preserve">읽히지 않는 계약</t>
  </si>
  <si>
    <r>
      <rPr>
        <sz val="10"/>
        <rFont val="WenQuanYi Zen Hei"/>
        <family val="2"/>
      </rPr>
      <t xml:space="preserve">병원이 검사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병상 관리를 </t>
    </r>
    <r>
      <rPr>
        <sz val="10"/>
        <rFont val="Noto Sans CJK SC"/>
        <family val="2"/>
        <charset val="1"/>
      </rPr>
      <t xml:space="preserve">Meridiano Salute</t>
    </r>
    <r>
      <rPr>
        <sz val="10"/>
        <rFont val="WenQuanYi Zen Hei"/>
        <family val="2"/>
      </rPr>
      <t xml:space="preserve">에 외주한다고 발표한다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원장 회의에서 컨설턴트 </t>
    </r>
    <r>
      <rPr>
        <sz val="10"/>
        <rFont val="Noto Sans CJK SC"/>
        <family val="2"/>
        <charset val="1"/>
      </rPr>
      <t xml:space="preserve">Chiara</t>
    </r>
    <r>
      <rPr>
        <sz val="10"/>
        <rFont val="WenQuanYi Zen Hei"/>
        <family val="2"/>
      </rPr>
      <t xml:space="preserve">가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효율</t>
    </r>
    <r>
      <rPr>
        <sz val="10"/>
        <rFont val="Noto Sans CJK SC"/>
        <family val="2"/>
        <charset val="1"/>
      </rPr>
      <t xml:space="preserve">' </t>
    </r>
    <r>
      <rPr>
        <sz val="10"/>
        <rFont val="WenQuanYi Zen Hei"/>
        <family val="2"/>
      </rPr>
      <t xml:space="preserve">발표를 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</si>
  <si>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외주</t>
    </r>
    <r>
      <rPr>
        <sz val="10"/>
        <rFont val="Noto Sans CJK SC"/>
        <family val="2"/>
        <charset val="1"/>
      </rPr>
      <t xml:space="preserve">(esternalizzazione)·</t>
    </r>
    <r>
      <rPr>
        <sz val="10"/>
        <rFont val="WenQuanYi Zen Hei"/>
        <family val="2"/>
      </rPr>
      <t xml:space="preserve">민간 위탁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예산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입찰</t>
    </r>
    <r>
      <rPr>
        <sz val="10"/>
        <rFont val="Noto Sans CJK SC"/>
        <family val="2"/>
        <charset val="1"/>
      </rPr>
      <t xml:space="preserve">(gara d'appalto)</t>
    </r>
  </si>
  <si>
    <r>
      <rPr>
        <sz val="10"/>
        <rFont val="Arial"/>
        <family val="0"/>
        <charset val="1"/>
      </rPr>
      <t xml:space="preserve">Giulia, </t>
    </r>
    <r>
      <rPr>
        <sz val="10"/>
        <rFont val="WenQuanYi Zen Hei"/>
        <family val="2"/>
      </rPr>
      <t xml:space="preserve">원장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), Chiara</t>
    </r>
  </si>
  <si>
    <t xml:space="preserve">S3</t>
  </si>
  <si>
    <t xml:space="preserve">Venerdì: la lista</t>
  </si>
  <si>
    <r>
      <rPr>
        <sz val="10"/>
        <rFont val="WenQuanYi Zen Hei"/>
        <family val="2"/>
      </rPr>
      <t xml:space="preserve">금요일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명단</t>
    </r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</si>
  <si>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프레임</t>
    </r>
    <r>
      <rPr>
        <sz val="10"/>
        <rFont val="Arial"/>
        <family val="0"/>
        <charset val="1"/>
      </rPr>
      <t xml:space="preserve">) Sofia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Giulia</t>
    </r>
    <r>
      <rPr>
        <sz val="10"/>
        <rFont val="WenQuanYi Zen Hei"/>
        <family val="2"/>
      </rPr>
      <t xml:space="preserve">의 수첩 명단을 본다</t>
    </r>
    <r>
      <rPr>
        <sz val="10"/>
        <rFont val="Arial"/>
        <family val="0"/>
        <charset val="1"/>
      </rPr>
      <t xml:space="preserve">. Giulia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«Ho visto di peggio in un martedì qualsiasi.»</t>
    </r>
    <r>
      <rPr>
        <sz val="10"/>
        <rFont val="WenQuanYi Zen Hei"/>
        <family val="2"/>
      </rPr>
      <t xml:space="preserve">로 넘긴다</t>
    </r>
    <r>
      <rPr>
        <sz val="10"/>
        <rFont val="Arial"/>
        <family val="0"/>
        <charset val="1"/>
      </rPr>
      <t xml:space="preserve">. Cesare</t>
    </r>
    <r>
      <rPr>
        <sz val="10"/>
        <rFont val="WenQuanYi Zen Hei"/>
        <family val="2"/>
      </rPr>
      <t xml:space="preserve">는 발목이 부었냐는 물음에 </t>
    </r>
    <r>
      <rPr>
        <sz val="10"/>
        <rFont val="Arial"/>
        <family val="0"/>
        <charset val="1"/>
      </rPr>
      <t xml:space="preserve">«Sono i calzari.»</t>
    </r>
  </si>
  <si>
    <r>
      <rPr>
        <sz val="10"/>
        <rFont val="WenQuanYi Zen Hei"/>
        <family val="2"/>
      </rPr>
      <t xml:space="preserve">명단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숫자 읽기</t>
    </r>
  </si>
  <si>
    <t xml:space="preserve">Giulia, Sofia, Cesare</t>
  </si>
  <si>
    <t xml:space="preserve">La prima della lista</t>
  </si>
  <si>
    <t xml:space="preserve">명단의 첫 번째</t>
  </si>
  <si>
    <r>
      <rPr>
        <sz val="10"/>
        <rFont val="WenQuanYi Zen Hei"/>
        <family val="2"/>
      </rPr>
      <t xml:space="preserve">체류 서류 없는 </t>
    </r>
    <r>
      <rPr>
        <sz val="10"/>
        <rFont val="Noto Sans CJK SC"/>
        <family val="2"/>
        <charset val="1"/>
      </rPr>
      <t xml:space="preserve">20</t>
    </r>
    <r>
      <rPr>
        <sz val="10"/>
        <rFont val="WenQuanYi Zen Hei"/>
        <family val="2"/>
      </rPr>
      <t xml:space="preserve">대 여성이 패혈증으로 실려 오지만 병상 배정이 아홉 시간 지연되어 숨진다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외주 병상관리가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비용 검토</t>
    </r>
    <r>
      <rPr>
        <sz val="10"/>
        <rFont val="Noto Sans CJK SC"/>
        <family val="2"/>
        <charset val="1"/>
      </rPr>
      <t xml:space="preserve">' </t>
    </r>
    <r>
      <rPr>
        <sz val="10"/>
        <rFont val="WenQuanYi Zen Hei"/>
        <family val="2"/>
      </rPr>
      <t xml:space="preserve">중이었다</t>
    </r>
    <r>
      <rPr>
        <sz val="10"/>
        <rFont val="Noto Sans CJK SC"/>
        <family val="2"/>
        <charset val="1"/>
      </rPr>
      <t xml:space="preserve">. Giulia</t>
    </r>
    <r>
      <rPr>
        <sz val="10"/>
        <rFont val="WenQuanYi Zen Hei"/>
        <family val="2"/>
      </rPr>
      <t xml:space="preserve">가 수첩에 첫 이름을 쓴다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</si>
  <si>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패혈증</t>
    </r>
    <r>
      <rPr>
        <sz val="10"/>
        <rFont val="Noto Sans CJK SC"/>
        <family val="2"/>
        <charset val="1"/>
      </rPr>
      <t xml:space="preserve">(sepsi), </t>
    </r>
    <r>
      <rPr>
        <sz val="10"/>
        <rFont val="WenQuanYi Zen Hei"/>
        <family val="2"/>
      </rPr>
      <t xml:space="preserve">병상 관리</t>
    </r>
    <r>
      <rPr>
        <sz val="10"/>
        <rFont val="Noto Sans CJK SC"/>
        <family val="2"/>
        <charset val="1"/>
      </rPr>
      <t xml:space="preserve">(bed management), </t>
    </r>
    <r>
      <rPr>
        <sz val="10"/>
        <rFont val="WenQuanYi Zen Hei"/>
        <family val="2"/>
      </rPr>
      <t xml:space="preserve">서류 없는 환자의 접근권</t>
    </r>
    <r>
      <rPr>
        <sz val="10"/>
        <rFont val="Noto Sans CJK SC"/>
        <family val="2"/>
        <charset val="1"/>
      </rPr>
      <t xml:space="preserve">(STP </t>
    </r>
    <r>
      <rPr>
        <sz val="10"/>
        <rFont val="WenQuanYi Zen Hei"/>
        <family val="2"/>
      </rPr>
      <t xml:space="preserve">코드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</si>
  <si>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Arial"/>
        <family val="0"/>
        <charset val="1"/>
      </rPr>
      <t xml:space="preserve">Giulia, Loredana(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원장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</si>
  <si>
    <t xml:space="preserve">S2·S3</t>
  </si>
  <si>
    <t xml:space="preserve">I numeri del direttore</t>
  </si>
  <si>
    <t xml:space="preserve">원장의 숫자</t>
  </si>
  <si>
    <r>
      <rPr>
        <sz val="10"/>
        <rFont val="WenQuanYi Zen Hei"/>
        <family val="2"/>
      </rPr>
      <t xml:space="preserve">원장</t>
    </r>
    <r>
      <rPr>
        <sz val="10"/>
        <rFont val="Noto Sans CJK SC"/>
        <family val="2"/>
        <charset val="1"/>
      </rPr>
      <t xml:space="preserve">(direttore generale)</t>
    </r>
    <r>
      <rPr>
        <sz val="10"/>
        <rFont val="WenQuanYi Zen Hei"/>
        <family val="2"/>
      </rPr>
      <t xml:space="preserve">이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대기 시간 개선</t>
    </r>
    <r>
      <rPr>
        <sz val="10"/>
        <rFont val="Noto Sans CJK SC"/>
        <family val="2"/>
        <charset val="1"/>
      </rPr>
      <t xml:space="preserve">' </t>
    </r>
    <r>
      <rPr>
        <sz val="10"/>
        <rFont val="WenQuanYi Zen Hei"/>
        <family val="2"/>
      </rPr>
      <t xml:space="preserve">통계를 발표한다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외주 업체의 재무를 자문하는 </t>
    </r>
    <r>
      <rPr>
        <sz val="10"/>
        <rFont val="Noto Sans CJK SC"/>
        <family val="2"/>
        <charset val="1"/>
      </rPr>
      <t xml:space="preserve">Alessandro</t>
    </r>
    <r>
      <rPr>
        <sz val="10"/>
        <rFont val="WenQuanYi Zen Hei"/>
        <family val="2"/>
      </rPr>
      <t xml:space="preserve">가 배석한다</t>
    </r>
    <r>
      <rPr>
        <sz val="10"/>
        <rFont val="Noto Sans CJK SC"/>
        <family val="2"/>
        <charset val="1"/>
      </rPr>
      <t xml:space="preserve">. Giulia</t>
    </r>
    <r>
      <rPr>
        <sz val="10"/>
        <rFont val="WenQuanYi Zen Hei"/>
        <family val="2"/>
      </rPr>
      <t xml:space="preserve">가 내부 사망 사례 보고서를 제출한다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</si>
  <si>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통계 읽기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보고서 어휘</t>
    </r>
  </si>
  <si>
    <r>
      <rPr>
        <sz val="10"/>
        <rFont val="Arial"/>
        <family val="0"/>
        <charset val="1"/>
      </rPr>
      <t xml:space="preserve">Giulia, </t>
    </r>
    <r>
      <rPr>
        <sz val="10"/>
        <rFont val="WenQuanYi Zen Hei"/>
        <family val="2"/>
      </rPr>
      <t xml:space="preserve">원장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), Alessandro</t>
    </r>
  </si>
  <si>
    <t xml:space="preserve">P3</t>
  </si>
  <si>
    <t xml:space="preserve">Il procedimento</t>
  </si>
  <si>
    <t xml:space="preserve">징계 절차</t>
  </si>
  <si>
    <r>
      <rPr>
        <sz val="10"/>
        <rFont val="WenQuanYi Zen Hei"/>
        <family val="2"/>
      </rPr>
      <t xml:space="preserve">보고서 유출 의혹으로 징계 절차가 시작된다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취재하는 </t>
    </r>
    <r>
      <rPr>
        <sz val="10"/>
        <rFont val="Noto Sans CJK SC"/>
        <family val="2"/>
        <charset val="1"/>
      </rPr>
      <t xml:space="preserve">Galileo</t>
    </r>
    <r>
      <rPr>
        <sz val="10"/>
        <rFont val="WenQuanYi Zen Hei"/>
        <family val="2"/>
      </rPr>
      <t xml:space="preserve">에게 </t>
    </r>
    <r>
      <rPr>
        <sz val="10"/>
        <rFont val="Noto Sans CJK SC"/>
        <family val="2"/>
        <charset val="1"/>
      </rPr>
      <t xml:space="preserve">Giulia</t>
    </r>
    <r>
      <rPr>
        <sz val="10"/>
        <rFont val="WenQuanYi Zen Hei"/>
        <family val="2"/>
      </rPr>
      <t xml:space="preserve">가 </t>
    </r>
    <r>
      <rPr>
        <sz val="10"/>
        <rFont val="Noto Sans CJK SC"/>
        <family val="2"/>
        <charset val="1"/>
      </rPr>
      <t xml:space="preserve">«Questo non esce da qui.»</t>
    </r>
    <r>
      <rPr>
        <sz val="10"/>
        <rFont val="WenQuanYi Zen Hei"/>
        <family val="2"/>
      </rPr>
      <t xml:space="preserve">라고 못 박는다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</si>
  <si>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징계</t>
    </r>
    <r>
      <rPr>
        <sz val="10"/>
        <rFont val="Noto Sans CJK SC"/>
        <family val="2"/>
        <charset val="1"/>
      </rPr>
      <t xml:space="preserve">(procedimento disciplinare), </t>
    </r>
    <r>
      <rPr>
        <sz val="10"/>
        <rFont val="WenQuanYi Zen Hei"/>
        <family val="2"/>
      </rPr>
      <t xml:space="preserve">비밀유지</t>
    </r>
  </si>
  <si>
    <r>
      <rPr>
        <sz val="10"/>
        <rFont val="Arial"/>
        <family val="0"/>
        <charset val="1"/>
      </rPr>
      <t xml:space="preserve">Giulia, Galileo, </t>
    </r>
    <r>
      <rPr>
        <sz val="10"/>
        <rFont val="WenQuanYi Zen Hei"/>
        <family val="2"/>
      </rPr>
      <t xml:space="preserve">원장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</si>
  <si>
    <t xml:space="preserve">Venerdì: e come ti fa sentire?</t>
  </si>
  <si>
    <r>
      <rPr>
        <sz val="10"/>
        <rFont val="WenQuanYi Zen Hei"/>
        <family val="2"/>
      </rPr>
      <t xml:space="preserve">금요일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기분이 어때요</t>
    </r>
    <r>
      <rPr>
        <sz val="10"/>
        <rFont val="Noto Sans CJK SC"/>
        <family val="2"/>
        <charset val="1"/>
      </rPr>
      <t xml:space="preserve">?</t>
    </r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</si>
  <si>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프레임</t>
    </r>
    <r>
      <rPr>
        <sz val="10"/>
        <rFont val="Arial"/>
        <family val="0"/>
        <charset val="1"/>
      </rPr>
      <t xml:space="preserve">) Montessori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Giulia</t>
    </r>
    <r>
      <rPr>
        <sz val="10"/>
        <rFont val="WenQuanYi Zen Hei"/>
        <family val="2"/>
      </rPr>
      <t xml:space="preserve">에게 감정을 되묻는다</t>
    </r>
    <r>
      <rPr>
        <sz val="10"/>
        <rFont val="Arial"/>
        <family val="0"/>
        <charset val="1"/>
      </rPr>
      <t xml:space="preserve">. Giulia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«Prima, respira.»</t>
    </r>
    <r>
      <rPr>
        <sz val="10"/>
        <rFont val="WenQuanYi Zen Hei"/>
        <family val="2"/>
      </rPr>
      <t xml:space="preserve">로 받아친다</t>
    </r>
    <r>
      <rPr>
        <sz val="10"/>
        <rFont val="Arial"/>
        <family val="0"/>
        <charset val="1"/>
      </rPr>
      <t xml:space="preserve">. Sofia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Montessori</t>
    </r>
    <r>
      <rPr>
        <sz val="10"/>
        <rFont val="WenQuanYi Zen Hei"/>
        <family val="2"/>
      </rPr>
      <t xml:space="preserve">의 화법을 흉내 낸다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</si>
  <si>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감정 표현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되받기 화법</t>
    </r>
  </si>
  <si>
    <t xml:space="preserve">Giulia, Montessori, Sofia</t>
  </si>
  <si>
    <t xml:space="preserve">Una notte senza letti</t>
  </si>
  <si>
    <t xml:space="preserve">병상 없는 밤</t>
  </si>
  <si>
    <r>
      <rPr>
        <sz val="10"/>
        <rFont val="WenQuanYi Zen Hei"/>
        <family val="2"/>
      </rPr>
      <t xml:space="preserve">버스 사고와 폭염이 겹친 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병상이 없어 복도까지 환자가 찬다</t>
    </r>
    <r>
      <rPr>
        <sz val="10"/>
        <rFont val="Noto Sans CJK SC"/>
        <family val="2"/>
        <charset val="1"/>
      </rPr>
      <t xml:space="preserve">. Giulia</t>
    </r>
    <r>
      <rPr>
        <sz val="10"/>
        <rFont val="WenQuanYi Zen Hei"/>
        <family val="2"/>
      </rPr>
      <t xml:space="preserve">가 즉흥으로 일곱 명을 살리고 한 명을 잃는다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</si>
  <si>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대량 환자</t>
    </r>
    <r>
      <rPr>
        <sz val="10"/>
        <rFont val="Noto Sans CJK SC"/>
        <family val="2"/>
        <charset val="1"/>
      </rPr>
      <t xml:space="preserve">(maxi-emergenza), </t>
    </r>
    <r>
      <rPr>
        <sz val="10"/>
        <rFont val="WenQuanYi Zen Hei"/>
        <family val="2"/>
      </rPr>
      <t xml:space="preserve">우선순위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명령형</t>
    </r>
    <r>
      <rPr>
        <sz val="10"/>
        <rFont val="Noto Sans CJK SC"/>
        <family val="2"/>
        <charset val="1"/>
      </rPr>
      <t xml:space="preserve">(imperativo)</t>
    </r>
  </si>
  <si>
    <t xml:space="preserve">S4</t>
  </si>
  <si>
    <t xml:space="preserve">Le dimissioni della dottoressa</t>
  </si>
  <si>
    <t xml:space="preserve">의사의 사직</t>
  </si>
  <si>
    <r>
      <rPr>
        <sz val="10"/>
        <rFont val="WenQuanYi Zen Hei"/>
        <family val="2"/>
      </rPr>
      <t xml:space="preserve">징계 통보와 마지막 근무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수첩을 덮고 사직서를 낸다</t>
    </r>
    <r>
      <rPr>
        <sz val="10"/>
        <rFont val="Noto Sans CJK SC"/>
        <family val="2"/>
        <charset val="1"/>
      </rPr>
      <t xml:space="preserve">. Loredana</t>
    </r>
    <r>
      <rPr>
        <sz val="10"/>
        <rFont val="WenQuanYi Zen Hei"/>
        <family val="2"/>
      </rPr>
      <t xml:space="preserve">가 </t>
    </r>
    <r>
      <rPr>
        <sz val="10"/>
        <rFont val="Noto Sans CJK SC"/>
        <family val="2"/>
        <charset val="1"/>
      </rPr>
      <t xml:space="preserve">«Dottoressa, non se ne vada.»</t>
    </r>
  </si>
  <si>
    <r>
      <rPr>
        <sz val="10"/>
        <rFont val="WenQuanYi Zen Hei"/>
        <family val="2"/>
      </rPr>
      <t xml:space="preserve">사직서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작별</t>
    </r>
  </si>
  <si>
    <t xml:space="preserve">Venerdì: una firma</t>
  </si>
  <si>
    <r>
      <rPr>
        <sz val="10"/>
        <rFont val="WenQuanYi Zen Hei"/>
        <family val="2"/>
      </rPr>
      <t xml:space="preserve">금요일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한 사람의 서명</t>
    </r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</si>
  <si>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프레임</t>
    </r>
    <r>
      <rPr>
        <sz val="10"/>
        <rFont val="Arial"/>
        <family val="0"/>
        <charset val="1"/>
      </rPr>
      <t xml:space="preserve">) Giulia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«La relazione di revisione sul contratto aveva una firma.»</t>
    </r>
    <r>
      <rPr>
        <sz val="10"/>
        <rFont val="WenQuanYi Zen Hei"/>
        <family val="2"/>
      </rPr>
      <t xml:space="preserve">라고 말한다</t>
    </r>
    <r>
      <rPr>
        <sz val="10"/>
        <rFont val="Arial"/>
        <family val="0"/>
        <charset val="1"/>
      </rPr>
      <t xml:space="preserve">. Alessandro</t>
    </r>
    <r>
      <rPr>
        <sz val="10"/>
        <rFont val="WenQuanYi Zen Hei"/>
        <family val="2"/>
      </rPr>
      <t xml:space="preserve">가 조용히 </t>
    </r>
    <r>
      <rPr>
        <sz val="10"/>
        <rFont val="Arial"/>
        <family val="0"/>
        <charset val="1"/>
      </rPr>
      <t xml:space="preserve">«Tocca a me.»</t>
    </r>
  </si>
  <si>
    <r>
      <rPr>
        <sz val="10"/>
        <rFont val="WenQuanYi Zen Hei"/>
        <family val="2"/>
      </rPr>
      <t xml:space="preserve">서명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책임 표현</t>
    </r>
  </si>
  <si>
    <t xml:space="preserve">Giulia, Alessandro, Sofia, Cesare</t>
  </si>
  <si>
    <t xml:space="preserve">Venerdì: ho firmato io</t>
  </si>
  <si>
    <r>
      <rPr>
        <sz val="10"/>
        <rFont val="WenQuanYi Zen Hei"/>
        <family val="2"/>
      </rPr>
      <t xml:space="preserve">금요일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내가 서명했다</t>
    </r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</si>
  <si>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프레임</t>
    </r>
    <r>
      <rPr>
        <sz val="10"/>
        <rFont val="Arial"/>
        <family val="0"/>
        <charset val="1"/>
      </rPr>
      <t xml:space="preserve">) Alessandro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«Fammi vedere le carte.»</t>
    </r>
    <r>
      <rPr>
        <sz val="10"/>
        <rFont val="WenQuanYi Zen Hei"/>
        <family val="2"/>
      </rPr>
      <t xml:space="preserve">를 습관처럼 하다가 </t>
    </r>
    <r>
      <rPr>
        <sz val="10"/>
        <rFont val="Arial"/>
        <family val="0"/>
        <charset val="1"/>
      </rPr>
      <t xml:space="preserve">«Ho firmato io.»</t>
    </r>
    <r>
      <rPr>
        <sz val="10"/>
        <rFont val="WenQuanYi Zen Hei"/>
        <family val="2"/>
      </rPr>
      <t xml:space="preserve">라고 시작한다</t>
    </r>
    <r>
      <rPr>
        <sz val="10"/>
        <rFont val="Arial"/>
        <family val="0"/>
        <charset val="1"/>
      </rPr>
      <t xml:space="preserve">. Sofia</t>
    </r>
    <r>
      <rPr>
        <sz val="10"/>
        <rFont val="WenQuanYi Zen Hei"/>
        <family val="2"/>
      </rPr>
      <t xml:space="preserve">가 숫자를 못 읽어 질문한다</t>
    </r>
    <r>
      <rPr>
        <sz val="10"/>
        <rFont val="Arial"/>
        <family val="0"/>
        <charset val="1"/>
      </rPr>
      <t xml:space="preserve">.</t>
    </r>
  </si>
  <si>
    <t xml:space="preserve">회계 어휘 도입</t>
  </si>
  <si>
    <t xml:space="preserve">Alessandro, Sofia, Giulia, Cesare</t>
  </si>
  <si>
    <t xml:space="preserve">Chiusura di bilancio</t>
  </si>
  <si>
    <t xml:space="preserve">결산 마감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</si>
  <si>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과거</t>
    </r>
    <r>
      <rPr>
        <sz val="10"/>
        <rFont val="Arial"/>
        <family val="0"/>
        <charset val="1"/>
      </rPr>
      <t xml:space="preserve">) Conti Revisori</t>
    </r>
    <r>
      <rPr>
        <sz val="10"/>
        <rFont val="WenQuanYi Zen Hei"/>
        <family val="2"/>
      </rPr>
      <t xml:space="preserve">의 결산 감사 마감 주간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표본추출</t>
    </r>
    <r>
      <rPr>
        <sz val="10"/>
        <rFont val="Arial"/>
        <family val="0"/>
        <charset val="1"/>
      </rPr>
      <t xml:space="preserve">(campionamento)</t>
    </r>
    <r>
      <rPr>
        <sz val="10"/>
        <rFont val="WenQuanYi Zen Hei"/>
        <family val="2"/>
      </rPr>
      <t xml:space="preserve">과 중요성</t>
    </r>
    <r>
      <rPr>
        <sz val="10"/>
        <rFont val="Arial"/>
        <family val="0"/>
        <charset val="1"/>
      </rPr>
      <t xml:space="preserve">(significatività). Alessandro</t>
    </r>
    <r>
      <rPr>
        <sz val="10"/>
        <rFont val="WenQuanYi Zen Hei"/>
        <family val="2"/>
      </rPr>
      <t xml:space="preserve">의 정확성과 냉소</t>
    </r>
    <r>
      <rPr>
        <sz val="10"/>
        <rFont val="Arial"/>
        <family val="0"/>
        <charset val="1"/>
      </rPr>
      <t xml:space="preserve">.</t>
    </r>
  </si>
  <si>
    <t xml:space="preserve">감사 절차 어휘</t>
  </si>
  <si>
    <r>
      <rPr>
        <sz val="10"/>
        <rFont val="Arial"/>
        <family val="0"/>
        <charset val="1"/>
      </rPr>
      <t xml:space="preserve">Alessandro, Bassi(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후배 감사인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</si>
  <si>
    <t xml:space="preserve">Il cliente che paga bene</t>
  </si>
  <si>
    <t xml:space="preserve">돈 잘 주는 고객</t>
  </si>
  <si>
    <r>
      <rPr>
        <sz val="10"/>
        <rFont val="Arial"/>
        <family val="0"/>
        <charset val="1"/>
      </rPr>
      <t xml:space="preserve">Gruppo Meridiano</t>
    </r>
    <r>
      <rPr>
        <sz val="10"/>
        <rFont val="WenQuanYi Zen Hei"/>
        <family val="2"/>
      </rPr>
      <t xml:space="preserve">가 회사 수임료의 </t>
    </r>
    <r>
      <rPr>
        <sz val="10"/>
        <rFont val="Arial"/>
        <family val="0"/>
        <charset val="1"/>
      </rPr>
      <t xml:space="preserve">15%</t>
    </r>
    <r>
      <rPr>
        <sz val="10"/>
        <rFont val="WenQuanYi Zen Hei"/>
        <family val="2"/>
      </rPr>
      <t xml:space="preserve">를 차지한다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독립성과 감사인 순환 규정이 문제가 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대표 파트너 </t>
    </r>
    <r>
      <rPr>
        <sz val="10"/>
        <rFont val="Arial"/>
        <family val="0"/>
        <charset val="1"/>
      </rPr>
      <t xml:space="preserve">Bassi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관계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를 강조한다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</si>
  <si>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독립성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수임료 집중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감사인 순환</t>
    </r>
    <r>
      <rPr>
        <sz val="10"/>
        <rFont val="Noto Sans CJK SC"/>
        <family val="2"/>
        <charset val="1"/>
      </rPr>
      <t xml:space="preserve">(d.lgs. 39/2010)</t>
    </r>
  </si>
  <si>
    <r>
      <rPr>
        <sz val="10"/>
        <rFont val="Arial"/>
        <family val="0"/>
        <charset val="1"/>
      </rPr>
      <t xml:space="preserve">Alessandro, Bassi(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</si>
  <si>
    <t xml:space="preserve">Questo non torna</t>
  </si>
  <si>
    <t xml:space="preserve">이건 안 맞아</t>
  </si>
  <si>
    <r>
      <rPr>
        <sz val="10"/>
        <rFont val="WenQuanYi Zen Hei"/>
        <family val="2"/>
      </rPr>
      <t xml:space="preserve">특수관계자 대출이 룩셈부르크 지주회사로 흘러간 흔적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은행 자료를 보내 준 </t>
    </r>
    <r>
      <rPr>
        <sz val="10"/>
        <rFont val="Noto Sans CJK SC"/>
        <family val="2"/>
        <charset val="1"/>
      </rPr>
      <t xml:space="preserve">Francesco</t>
    </r>
    <r>
      <rPr>
        <sz val="10"/>
        <rFont val="WenQuanYi Zen Hei"/>
        <family val="2"/>
      </rPr>
      <t xml:space="preserve">가 </t>
    </r>
    <r>
      <rPr>
        <sz val="10"/>
        <rFont val="Noto Sans CJK SC"/>
        <family val="2"/>
        <charset val="1"/>
      </rPr>
      <t xml:space="preserve">«Segui il denaro.»</t>
    </r>
  </si>
  <si>
    <r>
      <rPr>
        <sz val="10"/>
        <rFont val="WenQuanYi Zen Hei"/>
        <family val="2"/>
      </rPr>
      <t xml:space="preserve">특수관계자 거래</t>
    </r>
    <r>
      <rPr>
        <sz val="10"/>
        <rFont val="Noto Sans CJK SC"/>
        <family val="2"/>
        <charset val="1"/>
      </rPr>
      <t xml:space="preserve">(parti correlate), </t>
    </r>
    <r>
      <rPr>
        <sz val="10"/>
        <rFont val="WenQuanYi Zen Hei"/>
        <family val="2"/>
      </rPr>
      <t xml:space="preserve">조세 회피처</t>
    </r>
  </si>
  <si>
    <t xml:space="preserve">Alessandro, Francesco</t>
  </si>
  <si>
    <t xml:space="preserve">Venerdì: il padre di Alessandro</t>
  </si>
  <si>
    <r>
      <rPr>
        <sz val="10"/>
        <rFont val="WenQuanYi Zen Hei"/>
        <family val="2"/>
      </rPr>
      <t xml:space="preserve">금요일</t>
    </r>
    <r>
      <rPr>
        <sz val="10"/>
        <rFont val="Noto Sans CJK SC"/>
        <family val="2"/>
        <charset val="1"/>
      </rPr>
      <t xml:space="preserve">: Alessandro</t>
    </r>
    <r>
      <rPr>
        <sz val="10"/>
        <rFont val="WenQuanYi Zen Hei"/>
        <family val="2"/>
      </rPr>
      <t xml:space="preserve">의 아버지</t>
    </r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</si>
  <si>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프레임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정직한 장부를 지키다 해고된 아버지 이야기</t>
    </r>
    <r>
      <rPr>
        <sz val="10"/>
        <rFont val="Arial"/>
        <family val="0"/>
        <charset val="1"/>
      </rPr>
      <t xml:space="preserve">. «Mostrami i numeri e ti dirò chi sei.»</t>
    </r>
    <r>
      <rPr>
        <sz val="10"/>
        <rFont val="WenQuanYi Zen Hei"/>
        <family val="2"/>
      </rPr>
      <t xml:space="preserve">의 기원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</si>
  <si>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가족 이야기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과거</t>
    </r>
  </si>
  <si>
    <t xml:space="preserve">Alessandro, Sofia, Rosa</t>
  </si>
  <si>
    <t xml:space="preserve">La riunione dei soci</t>
  </si>
  <si>
    <t xml:space="preserve">파트너 회의</t>
  </si>
  <si>
    <r>
      <rPr>
        <sz val="10"/>
        <rFont val="Arial"/>
        <family val="0"/>
        <charset val="1"/>
      </rPr>
      <t xml:space="preserve">Alessandro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한정 의견</t>
    </r>
    <r>
      <rPr>
        <sz val="10"/>
        <rFont val="Arial"/>
        <family val="0"/>
        <charset val="1"/>
      </rPr>
      <t xml:space="preserve">(giudizio con rilievi)'</t>
    </r>
    <r>
      <rPr>
        <sz val="10"/>
        <rFont val="WenQuanYi Zen Hei"/>
        <family val="2"/>
      </rPr>
      <t xml:space="preserve">을 주장하자 파트너들이 승진과 고객 유지를 들어 설득한다</t>
    </r>
    <r>
      <rPr>
        <sz val="10"/>
        <rFont val="Arial"/>
        <family val="0"/>
        <charset val="1"/>
      </rPr>
      <t xml:space="preserve">. Alessandro</t>
    </r>
    <r>
      <rPr>
        <sz val="10"/>
        <rFont val="WenQuanYi Zen Hei"/>
        <family val="2"/>
      </rPr>
      <t xml:space="preserve">는 리스크 위원회로 사안을 올린다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</si>
  <si>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의견 종류</t>
    </r>
    <r>
      <rPr>
        <sz val="10"/>
        <rFont val="Noto Sans CJK SC"/>
        <family val="2"/>
        <charset val="1"/>
      </rPr>
      <t xml:space="preserve">: senza rilievi, con rilievi, negativo, impossibilità di esprimere un giudizio</t>
    </r>
  </si>
  <si>
    <r>
      <rPr>
        <sz val="10"/>
        <rFont val="Arial"/>
        <family val="0"/>
        <charset val="1"/>
      </rPr>
      <t xml:space="preserve">Alessandro, Bassi(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파트너들</t>
    </r>
  </si>
  <si>
    <t xml:space="preserve">Il comitato rischi</t>
  </si>
  <si>
    <t xml:space="preserve">리스크 위원회</t>
  </si>
  <si>
    <r>
      <rPr>
        <sz val="10"/>
        <rFont val="Arial"/>
        <family val="0"/>
        <charset val="1"/>
      </rPr>
      <t xml:space="preserve">GM</t>
    </r>
    <r>
      <rPr>
        <sz val="10"/>
        <rFont val="WenQuanYi Zen Hei"/>
        <family val="2"/>
      </rPr>
      <t xml:space="preserve">의 변호사 서한이 도착한다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고객 측 변호사는 </t>
    </r>
    <r>
      <rPr>
        <sz val="10"/>
        <rFont val="Arial"/>
        <family val="0"/>
        <charset val="1"/>
      </rPr>
      <t xml:space="preserve">Marco</t>
    </r>
    <r>
      <rPr>
        <sz val="10"/>
        <rFont val="WenQuanYi Zen Hei"/>
        <family val="2"/>
      </rPr>
      <t xml:space="preserve">의 옛 동료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위원회는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증거 불충분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으로 결정한다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</si>
  <si>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변호사 서한</t>
    </r>
    <r>
      <rPr>
        <sz val="10"/>
        <rFont val="Noto Sans CJK SC"/>
        <family val="2"/>
        <charset val="1"/>
      </rPr>
      <t xml:space="preserve">(lettera dei legali), </t>
    </r>
    <r>
      <rPr>
        <sz val="10"/>
        <rFont val="WenQuanYi Zen Hei"/>
        <family val="2"/>
      </rPr>
      <t xml:space="preserve">충분한 증거</t>
    </r>
  </si>
  <si>
    <r>
      <rPr>
        <sz val="10"/>
        <rFont val="Arial"/>
        <family val="0"/>
        <charset val="1"/>
      </rPr>
      <t xml:space="preserve">Alessandro, </t>
    </r>
    <r>
      <rPr>
        <sz val="10"/>
        <rFont val="WenQuanYi Zen Hei"/>
        <family val="2"/>
      </rPr>
      <t xml:space="preserve">위원회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</si>
  <si>
    <t xml:space="preserve">Un pranzo ai Parioli</t>
  </si>
  <si>
    <t xml:space="preserve">파리올리의 점심</t>
  </si>
  <si>
    <r>
      <rPr>
        <sz val="10"/>
        <rFont val="Arial"/>
        <family val="0"/>
        <charset val="1"/>
      </rPr>
      <t xml:space="preserve">Santoro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Alessandro</t>
    </r>
    <r>
      <rPr>
        <sz val="10"/>
        <rFont val="WenQuanYi Zen Hei"/>
        <family val="2"/>
      </rPr>
      <t xml:space="preserve">에게 점심을 산다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정중한 위협과 제안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파트너 승진과 개인 자문 계약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뉴스레터 </t>
    </r>
    <r>
      <rPr>
        <sz val="10"/>
        <rFont val="Arial"/>
        <family val="0"/>
        <charset val="1"/>
      </rPr>
      <t xml:space="preserve">«Nuncius»</t>
    </r>
    <r>
      <rPr>
        <sz val="10"/>
        <rFont val="WenQuanYi Zen Hei"/>
        <family val="2"/>
      </rPr>
      <t xml:space="preserve">를 쓰는 </t>
    </r>
    <r>
      <rPr>
        <sz val="10"/>
        <rFont val="Arial"/>
        <family val="0"/>
        <charset val="1"/>
      </rPr>
      <t xml:space="preserve">Galileo</t>
    </r>
    <r>
      <rPr>
        <sz val="10"/>
        <rFont val="WenQuanYi Zen Hei"/>
        <family val="2"/>
      </rPr>
      <t xml:space="preserve">의 전화가 온다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</si>
  <si>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완곡한 압박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접속법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조건법</t>
    </r>
  </si>
  <si>
    <r>
      <rPr>
        <sz val="10"/>
        <rFont val="Arial"/>
        <family val="0"/>
        <charset val="1"/>
      </rPr>
      <t xml:space="preserve">Alessandro, Santoro(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), Galileo</t>
    </r>
  </si>
  <si>
    <t xml:space="preserve">Venerdì: e hai firmato?</t>
  </si>
  <si>
    <r>
      <rPr>
        <sz val="10"/>
        <rFont val="WenQuanYi Zen Hei"/>
        <family val="2"/>
      </rPr>
      <t xml:space="preserve">금요일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서명했어요</t>
    </r>
    <r>
      <rPr>
        <sz val="10"/>
        <rFont val="Noto Sans CJK SC"/>
        <family val="2"/>
        <charset val="1"/>
      </rPr>
      <t xml:space="preserve">?</t>
    </r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</si>
  <si>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프레임</t>
    </r>
    <r>
      <rPr>
        <sz val="10"/>
        <rFont val="Arial"/>
        <family val="0"/>
        <charset val="1"/>
      </rPr>
      <t xml:space="preserve">) Sofia</t>
    </r>
    <r>
      <rPr>
        <sz val="10"/>
        <rFont val="WenQuanYi Zen Hei"/>
        <family val="2"/>
      </rPr>
      <t xml:space="preserve">가 묻고 </t>
    </r>
    <r>
      <rPr>
        <sz val="10"/>
        <rFont val="Arial"/>
        <family val="0"/>
        <charset val="1"/>
      </rPr>
      <t xml:space="preserve">Alessandro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«Aspetta.»</t>
    </r>
    <r>
      <rPr>
        <sz val="10"/>
        <rFont val="WenQuanYi Zen Hei"/>
        <family val="2"/>
      </rPr>
      <t xml:space="preserve">라고 한다</t>
    </r>
    <r>
      <rPr>
        <sz val="10"/>
        <rFont val="Arial"/>
        <family val="0"/>
        <charset val="1"/>
      </rPr>
      <t xml:space="preserve">. Cesare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«Tutti, prima o poi, firmiamo qualcosa.»</t>
    </r>
    <r>
      <rPr>
        <sz val="10"/>
        <rFont val="WenQuanYi Zen Hei"/>
        <family val="2"/>
      </rPr>
      <t xml:space="preserve">라고 말하고 </t>
    </r>
    <r>
      <rPr>
        <sz val="10"/>
        <rFont val="Arial"/>
        <family val="0"/>
        <charset val="1"/>
      </rPr>
      <t xml:space="preserve">Giulia</t>
    </r>
    <r>
      <rPr>
        <sz val="10"/>
        <rFont val="WenQuanYi Zen Hei"/>
        <family val="2"/>
      </rPr>
      <t xml:space="preserve">가 눈을 감는다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</si>
  <si>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재촉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회피</t>
    </r>
  </si>
  <si>
    <t xml:space="preserve">Alessandro, Sofia, Cesare, Giulia</t>
  </si>
  <si>
    <r>
      <rPr>
        <sz val="10"/>
        <rFont val="Arial"/>
        <family val="0"/>
        <charset val="1"/>
      </rPr>
      <t xml:space="preserve">Alessandro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적정</t>
    </r>
    <r>
      <rPr>
        <sz val="10"/>
        <rFont val="Arial"/>
        <family val="0"/>
        <charset val="1"/>
      </rPr>
      <t xml:space="preserve">(senza rilievi)' </t>
    </r>
    <r>
      <rPr>
        <sz val="10"/>
        <rFont val="WenQuanYi Zen Hei"/>
        <family val="2"/>
      </rPr>
      <t xml:space="preserve">의견서에 서명한다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서명 후 그는 복사본 </t>
    </r>
    <r>
      <rPr>
        <sz val="10"/>
        <rFont val="Arial"/>
        <family val="0"/>
        <charset val="1"/>
      </rPr>
      <t xml:space="preserve">USB</t>
    </r>
    <r>
      <rPr>
        <sz val="10"/>
        <rFont val="WenQuanYi Zen Hei"/>
        <family val="2"/>
      </rPr>
      <t xml:space="preserve">를 챙긴다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</si>
  <si>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서명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감사보고서</t>
    </r>
    <r>
      <rPr>
        <sz val="10"/>
        <rFont val="Noto Sans CJK SC"/>
        <family val="2"/>
        <charset val="1"/>
      </rPr>
      <t xml:space="preserve">(relazione di revisione), </t>
    </r>
    <r>
      <rPr>
        <sz val="10"/>
        <rFont val="WenQuanYi Zen Hei"/>
        <family val="2"/>
      </rPr>
      <t xml:space="preserve">책임</t>
    </r>
  </si>
  <si>
    <t xml:space="preserve">Dopo la firma</t>
  </si>
  <si>
    <t xml:space="preserve">서명 이후</t>
  </si>
  <si>
    <r>
      <rPr>
        <sz val="10"/>
        <rFont val="WenQuanYi Zen Hei"/>
        <family val="2"/>
      </rPr>
      <t xml:space="preserve">그 의견서로 병원 외주 계약이 확정되고</t>
    </r>
    <r>
      <rPr>
        <sz val="10"/>
        <rFont val="Noto Sans CJK SC"/>
        <family val="2"/>
        <charset val="1"/>
      </rPr>
      <t xml:space="preserve">(3</t>
    </r>
    <r>
      <rPr>
        <sz val="10"/>
        <rFont val="WenQuanYi Zen Hei"/>
        <family val="2"/>
      </rPr>
      <t xml:space="preserve">부의 계약</t>
    </r>
    <r>
      <rPr>
        <sz val="10"/>
        <rFont val="Noto Sans CJK SC"/>
        <family val="2"/>
        <charset val="1"/>
      </rPr>
      <t xml:space="preserve">) </t>
    </r>
    <r>
      <rPr>
        <sz val="10"/>
        <rFont val="WenQuanYi Zen Hei"/>
        <family val="2"/>
      </rPr>
      <t xml:space="preserve">구조조정 컨설팅이 시작된다는 통보를 받는다</t>
    </r>
    <r>
      <rPr>
        <sz val="10"/>
        <rFont val="Noto Sans CJK SC"/>
        <family val="2"/>
        <charset val="1"/>
      </rPr>
      <t xml:space="preserve">. Alessandro</t>
    </r>
    <r>
      <rPr>
        <sz val="10"/>
        <rFont val="WenQuanYi Zen Hei"/>
        <family val="2"/>
      </rPr>
      <t xml:space="preserve">는 사직하고 다시는 서명하지 않겠다고 다짐한다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</si>
  <si>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결과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책임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사직</t>
    </r>
  </si>
  <si>
    <r>
      <rPr>
        <sz val="10"/>
        <rFont val="Arial"/>
        <family val="0"/>
        <charset val="1"/>
      </rPr>
      <t xml:space="preserve">Alessandro, Bassi(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), Chiara</t>
    </r>
  </si>
  <si>
    <t xml:space="preserve">Venerdì: la lista di Chiara</t>
  </si>
  <si>
    <r>
      <rPr>
        <sz val="10"/>
        <rFont val="WenQuanYi Zen Hei"/>
        <family val="2"/>
      </rPr>
      <t xml:space="preserve">금요일</t>
    </r>
    <r>
      <rPr>
        <sz val="10"/>
        <rFont val="Noto Sans CJK SC"/>
        <family val="2"/>
        <charset val="1"/>
      </rPr>
      <t xml:space="preserve">: Chiara</t>
    </r>
    <r>
      <rPr>
        <sz val="10"/>
        <rFont val="WenQuanYi Zen Hei"/>
        <family val="2"/>
      </rPr>
      <t xml:space="preserve">의 명단</t>
    </r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</si>
  <si>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프레임</t>
    </r>
    <r>
      <rPr>
        <sz val="10"/>
        <rFont val="Arial"/>
        <family val="0"/>
        <charset val="1"/>
      </rPr>
      <t xml:space="preserve">) Alessandro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USB</t>
    </r>
    <r>
      <rPr>
        <sz val="10"/>
        <rFont val="WenQuanYi Zen Hei"/>
        <family val="2"/>
      </rPr>
      <t xml:space="preserve">를 꺼내지 않은 채 식탁에 놓고</t>
    </r>
    <r>
      <rPr>
        <sz val="10"/>
        <rFont val="Arial"/>
        <family val="0"/>
        <charset val="1"/>
      </rPr>
      <t xml:space="preserve">, Chiara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«La lista la facevo io.»</t>
    </r>
    <r>
      <rPr>
        <sz val="10"/>
        <rFont val="WenQuanYi Zen Hei"/>
        <family val="2"/>
      </rPr>
      <t xml:space="preserve">라고 말한다</t>
    </r>
    <r>
      <rPr>
        <sz val="10"/>
        <rFont val="Arial"/>
        <family val="0"/>
        <charset val="1"/>
      </rPr>
      <t xml:space="preserve">.</t>
    </r>
  </si>
  <si>
    <t xml:space="preserve">고백</t>
  </si>
  <si>
    <t xml:space="preserve">Alessandro, Chiara, Sofia, Rosa</t>
  </si>
  <si>
    <t xml:space="preserve">Venerdì: in una matrice</t>
  </si>
  <si>
    <r>
      <rPr>
        <sz val="10"/>
        <rFont val="WenQuanYi Zen Hei"/>
        <family val="2"/>
      </rPr>
      <t xml:space="preserve">금요일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매트릭스로</t>
    </r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</si>
  <si>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프레임</t>
    </r>
    <r>
      <rPr>
        <sz val="10"/>
        <rFont val="Arial"/>
        <family val="0"/>
        <charset val="1"/>
      </rPr>
      <t xml:space="preserve">) Chiara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«Mettiamolo in una matrice.»</t>
    </r>
    <r>
      <rPr>
        <sz val="10"/>
        <rFont val="WenQuanYi Zen Hei"/>
        <family val="2"/>
      </rPr>
      <t xml:space="preserve">로 시작하다 </t>
    </r>
    <r>
      <rPr>
        <sz val="10"/>
        <rFont val="Arial"/>
        <family val="0"/>
        <charset val="1"/>
      </rPr>
      <t xml:space="preserve">Sofia</t>
    </r>
    <r>
      <rPr>
        <sz val="10"/>
        <rFont val="WenQuanYi Zen Hei"/>
        <family val="2"/>
      </rPr>
      <t xml:space="preserve">에게 제지당한다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</si>
  <si>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경영 어휘 도입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쉬운 말로 바꾸기</t>
    </r>
  </si>
  <si>
    <t xml:space="preserve">Chiara, Sofia, Cesare</t>
  </si>
  <si>
    <t xml:space="preserve">Zenit, 32° piano</t>
  </si>
  <si>
    <r>
      <rPr>
        <sz val="10"/>
        <rFont val="Arial"/>
        <family val="0"/>
        <charset val="1"/>
      </rPr>
      <t xml:space="preserve">Zenit, 32</t>
    </r>
    <r>
      <rPr>
        <sz val="10"/>
        <rFont val="WenQuanYi Zen Hei"/>
        <family val="2"/>
      </rPr>
      <t xml:space="preserve">층</t>
    </r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</si>
  <si>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과거</t>
    </r>
    <r>
      <rPr>
        <sz val="10"/>
        <rFont val="Arial"/>
        <family val="0"/>
        <charset val="1"/>
      </rPr>
      <t xml:space="preserve">) EUR </t>
    </r>
    <r>
      <rPr>
        <sz val="10"/>
        <rFont val="WenQuanYi Zen Hei"/>
        <family val="2"/>
      </rPr>
      <t xml:space="preserve">오피스 타워의 컨설팅 회사 문화</t>
    </r>
    <r>
      <rPr>
        <sz val="10"/>
        <rFont val="Arial"/>
        <family val="0"/>
        <charset val="1"/>
      </rPr>
      <t xml:space="preserve">: up-or-out, </t>
    </r>
    <r>
      <rPr>
        <sz val="10"/>
        <rFont val="WenQuanYi Zen Hei"/>
        <family val="2"/>
      </rPr>
      <t xml:space="preserve">야근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영어가 섞인 이탈리아어</t>
    </r>
    <r>
      <rPr>
        <sz val="10"/>
        <rFont val="Arial"/>
        <family val="0"/>
        <charset val="1"/>
      </rPr>
      <t xml:space="preserve">(itanglese). Chiara</t>
    </r>
    <r>
      <rPr>
        <sz val="10"/>
        <rFont val="WenQuanYi Zen Hei"/>
        <family val="2"/>
      </rPr>
      <t xml:space="preserve">의 초고속 승진</t>
    </r>
    <r>
      <rPr>
        <sz val="10"/>
        <rFont val="Arial"/>
        <family val="0"/>
        <charset val="1"/>
      </rPr>
      <t xml:space="preserve">.</t>
    </r>
  </si>
  <si>
    <t xml:space="preserve">allineare, scalabile, impatto, stakeholder</t>
  </si>
  <si>
    <r>
      <rPr>
        <sz val="10"/>
        <rFont val="Arial"/>
        <family val="0"/>
        <charset val="1"/>
      </rPr>
      <t xml:space="preserve">Chiara, </t>
    </r>
    <r>
      <rPr>
        <sz val="10"/>
        <rFont val="WenQuanYi Zen Hei"/>
        <family val="2"/>
      </rPr>
      <t xml:space="preserve">파트너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</si>
  <si>
    <t xml:space="preserve">La bottega dei Ruggeri</t>
  </si>
  <si>
    <r>
      <rPr>
        <sz val="10"/>
        <rFont val="Arial"/>
        <family val="0"/>
        <charset val="1"/>
      </rPr>
      <t xml:space="preserve">Ruggeri </t>
    </r>
    <r>
      <rPr>
        <sz val="10"/>
        <rFont val="WenQuanYi Zen Hei"/>
        <family val="2"/>
      </rPr>
      <t xml:space="preserve">가족의 공방</t>
    </r>
  </si>
  <si>
    <r>
      <rPr>
        <sz val="10"/>
        <rFont val="WenQuanYi Zen Hei"/>
        <family val="2"/>
      </rPr>
      <t xml:space="preserve">영세 가족 제조업체 컨설팅</t>
    </r>
    <r>
      <rPr>
        <sz val="10"/>
        <rFont val="Noto Sans CJK SC"/>
        <family val="2"/>
        <charset val="1"/>
      </rPr>
      <t xml:space="preserve">. Chiara</t>
    </r>
    <r>
      <rPr>
        <sz val="10"/>
        <rFont val="WenQuanYi Zen Hei"/>
        <family val="2"/>
      </rPr>
      <t xml:space="preserve">의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규모 키우기</t>
    </r>
    <r>
      <rPr>
        <sz val="10"/>
        <rFont val="Noto Sans CJK SC"/>
        <family val="2"/>
        <charset val="1"/>
      </rPr>
      <t xml:space="preserve">' </t>
    </r>
    <r>
      <rPr>
        <sz val="10"/>
        <rFont val="WenQuanYi Zen Hei"/>
        <family val="2"/>
      </rPr>
      <t xml:space="preserve">권고가 현실과 맞지 않아 실패한다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생산성은 조언이 아니라 구조의 문제임을 처음 본다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</si>
  <si>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영세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가족 기업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생산성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규모의 경제</t>
    </r>
  </si>
  <si>
    <r>
      <rPr>
        <sz val="10"/>
        <rFont val="Arial"/>
        <family val="0"/>
        <charset val="1"/>
      </rPr>
      <t xml:space="preserve">Chiara, Ruggeri(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</si>
  <si>
    <t xml:space="preserve">E2</t>
  </si>
  <si>
    <t xml:space="preserve">Progetto Icaro</t>
  </si>
  <si>
    <t xml:space="preserve">이카로 프로젝트</t>
  </si>
  <si>
    <r>
      <rPr>
        <sz val="10"/>
        <rFont val="Arial"/>
        <family val="0"/>
        <charset val="1"/>
      </rPr>
      <t xml:space="preserve">GM</t>
    </r>
    <r>
      <rPr>
        <sz val="10"/>
        <rFont val="WenQuanYi Zen Hei"/>
        <family val="2"/>
      </rPr>
      <t xml:space="preserve">이 </t>
    </r>
    <r>
      <rPr>
        <sz val="10"/>
        <rFont val="Arial"/>
        <family val="0"/>
        <charset val="1"/>
      </rPr>
      <t xml:space="preserve">Zenit</t>
    </r>
    <r>
      <rPr>
        <sz val="10"/>
        <rFont val="WenQuanYi Zen Hei"/>
        <family val="2"/>
      </rPr>
      <t xml:space="preserve">에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비용 </t>
    </r>
    <r>
      <rPr>
        <sz val="10"/>
        <rFont val="Arial"/>
        <family val="0"/>
        <charset val="1"/>
      </rPr>
      <t xml:space="preserve">18% </t>
    </r>
    <r>
      <rPr>
        <sz val="10"/>
        <rFont val="WenQuanYi Zen Hei"/>
        <family val="2"/>
      </rPr>
      <t xml:space="preserve">절감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을 의뢰한다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킥오프 회의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</si>
  <si>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프로젝트 관리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목표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절감</t>
    </r>
  </si>
  <si>
    <r>
      <rPr>
        <sz val="10"/>
        <rFont val="Arial"/>
        <family val="0"/>
        <charset val="1"/>
      </rPr>
      <t xml:space="preserve">Chiara, </t>
    </r>
    <r>
      <rPr>
        <sz val="10"/>
        <rFont val="WenQuanYi Zen Hei"/>
        <family val="2"/>
      </rPr>
      <t xml:space="preserve">파트너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), GM </t>
    </r>
    <r>
      <rPr>
        <sz val="10"/>
        <rFont val="WenQuanYi Zen Hei"/>
        <family val="2"/>
      </rPr>
      <t xml:space="preserve">임원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</si>
  <si>
    <t xml:space="preserve">Venerdì: un Excel</t>
  </si>
  <si>
    <r>
      <rPr>
        <sz val="10"/>
        <rFont val="WenQuanYi Zen Hei"/>
        <family val="2"/>
      </rPr>
      <t xml:space="preserve">금요일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엑셀 한 장</t>
    </r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</si>
  <si>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프레임</t>
    </r>
    <r>
      <rPr>
        <sz val="10"/>
        <rFont val="Arial"/>
        <family val="0"/>
        <charset val="1"/>
      </rPr>
      <t xml:space="preserve">) Chiara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«Io non licenziavo nessuno; spostavo celle.»</t>
    </r>
    <r>
      <rPr>
        <sz val="10"/>
        <rFont val="WenQuanYi Zen Hei"/>
        <family val="2"/>
      </rPr>
      <t xml:space="preserve">라고 말한다</t>
    </r>
    <r>
      <rPr>
        <sz val="10"/>
        <rFont val="Arial"/>
        <family val="0"/>
        <charset val="1"/>
      </rPr>
      <t xml:space="preserve">. Sofia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«E quante celle?»</t>
    </r>
  </si>
  <si>
    <r>
      <rPr>
        <sz val="10"/>
        <rFont val="WenQuanYi Zen Hei"/>
        <family val="2"/>
      </rPr>
      <t xml:space="preserve">질문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죄책 표현</t>
    </r>
  </si>
  <si>
    <t xml:space="preserve">Chiara, Sofia, Alessandro</t>
  </si>
  <si>
    <t xml:space="preserve">La cella C47</t>
  </si>
  <si>
    <r>
      <rPr>
        <sz val="10"/>
        <rFont val="Arial"/>
        <family val="0"/>
        <charset val="1"/>
      </rPr>
      <t xml:space="preserve">C47 </t>
    </r>
    <r>
      <rPr>
        <sz val="10"/>
        <rFont val="WenQuanYi Zen Hei"/>
        <family val="2"/>
      </rPr>
      <t xml:space="preserve">셀</t>
    </r>
  </si>
  <si>
    <r>
      <rPr>
        <sz val="10"/>
        <rFont val="WenQuanYi Zen Hei"/>
        <family val="2"/>
      </rPr>
      <t xml:space="preserve">모델이 완성되고 승인이 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셀 하나가 </t>
    </r>
    <r>
      <rPr>
        <sz val="10"/>
        <rFont val="Noto Sans CJK SC"/>
        <family val="2"/>
        <charset val="1"/>
      </rPr>
      <t xml:space="preserve">412</t>
    </r>
    <r>
      <rPr>
        <sz val="10"/>
        <rFont val="WenQuanYi Zen Hei"/>
        <family val="2"/>
      </rPr>
      <t xml:space="preserve">개 일자리다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팀은 스푸만테를 딴다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</si>
  <si>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모델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시나리오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인원 감축</t>
    </r>
  </si>
  <si>
    <r>
      <rPr>
        <sz val="10"/>
        <rFont val="Arial"/>
        <family val="0"/>
        <charset val="1"/>
      </rPr>
      <t xml:space="preserve">Chiara, </t>
    </r>
    <r>
      <rPr>
        <sz val="10"/>
        <rFont val="WenQuanYi Zen Hei"/>
        <family val="2"/>
      </rPr>
      <t xml:space="preserve">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</si>
  <si>
    <t xml:space="preserve">Il tavolo della trattativa</t>
  </si>
  <si>
    <t xml:space="preserve">협상 테이블</t>
  </si>
  <si>
    <r>
      <rPr>
        <sz val="10"/>
        <rFont val="WenQuanYi Zen Hei"/>
        <family val="2"/>
      </rPr>
      <t xml:space="preserve">집단해고 협의 절차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노조 대표 </t>
    </r>
    <r>
      <rPr>
        <sz val="10"/>
        <rFont val="Noto Sans CJK SC"/>
        <family val="2"/>
        <charset val="1"/>
      </rPr>
      <t xml:space="preserve">Paolo</t>
    </r>
    <r>
      <rPr>
        <sz val="10"/>
        <rFont val="WenQuanYi Zen Hei"/>
        <family val="2"/>
      </rPr>
      <t xml:space="preserve">가 </t>
    </r>
    <r>
      <rPr>
        <sz val="10"/>
        <rFont val="Noto Sans CJK SC"/>
        <family val="2"/>
        <charset val="1"/>
      </rPr>
      <t xml:space="preserve">«Dietro ogni cella c'è una persona.»</t>
    </r>
  </si>
  <si>
    <r>
      <rPr>
        <sz val="10"/>
        <rFont val="WenQuanYi Zen Hei"/>
        <family val="2"/>
      </rPr>
      <t xml:space="preserve">집단해고</t>
    </r>
    <r>
      <rPr>
        <sz val="10"/>
        <rFont val="Arial"/>
        <family val="0"/>
        <charset val="1"/>
      </rPr>
      <t xml:space="preserve">(licenziamento collettivo, legge 223/1991), </t>
    </r>
    <r>
      <rPr>
        <sz val="10"/>
        <rFont val="WenQuanYi Zen Hei"/>
        <family val="2"/>
      </rPr>
      <t xml:space="preserve">노조 협의 </t>
    </r>
    <r>
      <rPr>
        <sz val="10"/>
        <rFont val="Arial"/>
        <family val="0"/>
        <charset val="1"/>
      </rPr>
      <t xml:space="preserve">45</t>
    </r>
    <r>
      <rPr>
        <sz val="10"/>
        <rFont val="WenQuanYi Zen Hei"/>
        <family val="2"/>
      </rPr>
      <t xml:space="preserve">일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행정 단계 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노조 대표</t>
    </r>
    <r>
      <rPr>
        <sz val="10"/>
        <rFont val="Arial"/>
        <family val="0"/>
        <charset val="1"/>
      </rPr>
      <t xml:space="preserve">(RSU)</t>
    </r>
  </si>
  <si>
    <r>
      <rPr>
        <sz val="10"/>
        <rFont val="Arial"/>
        <family val="0"/>
        <charset val="1"/>
      </rPr>
      <t xml:space="preserve">Chiara, Paolo, </t>
    </r>
    <r>
      <rPr>
        <sz val="10"/>
        <rFont val="WenQuanYi Zen Hei"/>
        <family val="2"/>
      </rPr>
      <t xml:space="preserve">노무 담당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</si>
  <si>
    <t xml:space="preserve">La mail sbagliata</t>
  </si>
  <si>
    <t xml:space="preserve">잘못 보낸 이메일</t>
  </si>
  <si>
    <r>
      <rPr>
        <sz val="10"/>
        <rFont val="Arial"/>
        <family val="0"/>
        <charset val="1"/>
      </rPr>
      <t xml:space="preserve">Chiara</t>
    </r>
    <r>
      <rPr>
        <sz val="10"/>
        <rFont val="WenQuanYi Zen Hei"/>
        <family val="2"/>
      </rPr>
      <t xml:space="preserve">가 이름이 든 파일을 잘못 보낸다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기간제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청년이 먼저 잘려 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번아웃 상담에서 </t>
    </r>
    <r>
      <rPr>
        <sz val="10"/>
        <rFont val="Arial"/>
        <family val="0"/>
        <charset val="1"/>
      </rPr>
      <t xml:space="preserve">Montessori</t>
    </r>
    <r>
      <rPr>
        <sz val="10"/>
        <rFont val="WenQuanYi Zen Hei"/>
        <family val="2"/>
      </rPr>
      <t xml:space="preserve">를 만난다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</si>
  <si>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기간제 계약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청년 우선 해고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죄책감</t>
    </r>
  </si>
  <si>
    <t xml:space="preserve">Chiara, Montessori</t>
  </si>
  <si>
    <t xml:space="preserve">Venerdì: quattrocentododici</t>
  </si>
  <si>
    <r>
      <rPr>
        <sz val="10"/>
        <rFont val="WenQuanYi Zen Hei"/>
        <family val="2"/>
      </rPr>
      <t xml:space="preserve">금요일</t>
    </r>
    <r>
      <rPr>
        <sz val="10"/>
        <rFont val="Noto Sans CJK SC"/>
        <family val="2"/>
        <charset val="1"/>
      </rPr>
      <t xml:space="preserve">: 412</t>
    </r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</si>
  <si>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프레임</t>
    </r>
    <r>
      <rPr>
        <sz val="10"/>
        <rFont val="Arial"/>
        <family val="0"/>
        <charset val="1"/>
      </rPr>
      <t xml:space="preserve">) «Quattrocentododici.» Sofia</t>
    </r>
    <r>
      <rPr>
        <sz val="10"/>
        <rFont val="WenQuanYi Zen Hei"/>
        <family val="2"/>
      </rPr>
      <t xml:space="preserve">가 말을 잃고 </t>
    </r>
    <r>
      <rPr>
        <sz val="10"/>
        <rFont val="Arial"/>
        <family val="0"/>
        <charset val="1"/>
      </rPr>
      <t xml:space="preserve">Cesare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«Almeno lo dice senza slide.»</t>
    </r>
  </si>
  <si>
    <t xml:space="preserve">숫자 낭독</t>
  </si>
  <si>
    <t xml:space="preserve">Lo sciopero</t>
  </si>
  <si>
    <t xml:space="preserve">파업</t>
  </si>
  <si>
    <r>
      <rPr>
        <sz val="10"/>
        <rFont val="WenQuanYi Zen Hei"/>
        <family val="2"/>
      </rPr>
      <t xml:space="preserve">파업이 벌어지고 </t>
    </r>
    <r>
      <rPr>
        <sz val="10"/>
        <rFont val="Noto Sans CJK SC"/>
        <family val="2"/>
        <charset val="1"/>
      </rPr>
      <t xml:space="preserve">Paolo</t>
    </r>
    <r>
      <rPr>
        <sz val="10"/>
        <rFont val="WenQuanYi Zen Hei"/>
        <family val="2"/>
      </rPr>
      <t xml:space="preserve">가 해고되어 블랙리스트에 오른다</t>
    </r>
    <r>
      <rPr>
        <sz val="10"/>
        <rFont val="Noto Sans CJK SC"/>
        <family val="2"/>
        <charset val="1"/>
      </rPr>
      <t xml:space="preserve">. Chiara</t>
    </r>
    <r>
      <rPr>
        <sz val="10"/>
        <rFont val="WenQuanYi Zen Hei"/>
        <family val="2"/>
      </rPr>
      <t xml:space="preserve">는 유리창 너머로 그것을 본다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</si>
  <si>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파업권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40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해고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블랙리스트</t>
    </r>
  </si>
  <si>
    <t xml:space="preserve">Chiara, Paolo</t>
  </si>
  <si>
    <t xml:space="preserve">L'ultima riunione</t>
  </si>
  <si>
    <t xml:space="preserve">마지막 회의</t>
  </si>
  <si>
    <r>
      <rPr>
        <sz val="10"/>
        <rFont val="WenQuanYi Zen Hei"/>
        <family val="2"/>
      </rPr>
      <t xml:space="preserve">보너스 지급 회의</t>
    </r>
    <r>
      <rPr>
        <sz val="10"/>
        <rFont val="Noto Sans CJK SC"/>
        <family val="2"/>
        <charset val="1"/>
      </rPr>
      <t xml:space="preserve">. Chiara</t>
    </r>
    <r>
      <rPr>
        <sz val="10"/>
        <rFont val="WenQuanYi Zen Hei"/>
        <family val="2"/>
      </rPr>
      <t xml:space="preserve">가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이카로 </t>
    </r>
    <r>
      <rPr>
        <sz val="10"/>
        <rFont val="Noto Sans CJK SC"/>
        <family val="2"/>
        <charset val="1"/>
      </rPr>
      <t xml:space="preserve">2'</t>
    </r>
    <r>
      <rPr>
        <sz val="10"/>
        <rFont val="WenQuanYi Zen Hei"/>
        <family val="2"/>
      </rPr>
      <t xml:space="preserve">를 거절하고 사직한다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</si>
  <si>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보너스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거절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사직</t>
    </r>
  </si>
  <si>
    <t xml:space="preserve">Venerdì: un martedì al Quarticciolo</t>
  </si>
  <si>
    <r>
      <rPr>
        <sz val="10"/>
        <rFont val="WenQuanYi Zen Hei"/>
        <family val="2"/>
      </rPr>
      <t xml:space="preserve">금요일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콰르티촐로의 화요일</t>
    </r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</si>
  <si>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프레임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네 명이 같은 강당에 모이게 된 화요일을 </t>
    </r>
    <r>
      <rPr>
        <sz val="10"/>
        <rFont val="Arial"/>
        <family val="0"/>
        <charset val="1"/>
      </rPr>
      <t xml:space="preserve">Rosa</t>
    </r>
    <r>
      <rPr>
        <sz val="10"/>
        <rFont val="WenQuanYi Zen Hei"/>
        <family val="2"/>
      </rPr>
      <t xml:space="preserve">가 설명하며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부를 예고한다</t>
    </r>
    <r>
      <rPr>
        <sz val="10"/>
        <rFont val="Arial"/>
        <family val="0"/>
        <charset val="1"/>
      </rPr>
      <t xml:space="preserve">.</t>
    </r>
  </si>
  <si>
    <t xml:space="preserve">다음 이야기 예고</t>
  </si>
  <si>
    <t xml:space="preserve">Chiara, Rosa, Marco, Giulia, Alessandro</t>
  </si>
  <si>
    <t xml:space="preserve">Un martedì al Quarticciolo</t>
  </si>
  <si>
    <t xml:space="preserve">콰르티촐로의 화요일</t>
  </si>
  <si>
    <r>
      <rPr>
        <sz val="10"/>
        <rFont val="WenQuanYi Zen Hei"/>
        <family val="2"/>
      </rPr>
      <t xml:space="preserve">네 사람이 각자 다른 이유로 같은 세입자 총회에 도착한다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옛 공공주택 매각분을 사들인 민간 블록이다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손녀 </t>
    </r>
    <r>
      <rPr>
        <sz val="10"/>
        <rFont val="Noto Sans CJK SC"/>
        <family val="2"/>
        <charset val="1"/>
      </rPr>
      <t xml:space="preserve">Marina(</t>
    </r>
    <r>
      <rPr>
        <sz val="10"/>
        <rFont val="WenQuanYi Zen Hei"/>
        <family val="2"/>
      </rPr>
      <t xml:space="preserve">가상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와 </t>
    </r>
    <r>
      <rPr>
        <sz val="10"/>
        <rFont val="Noto Sans CJK SC"/>
        <family val="2"/>
        <charset val="1"/>
      </rPr>
      <t xml:space="preserve">23</t>
    </r>
    <r>
      <rPr>
        <sz val="10"/>
        <rFont val="WenQuanYi Zen Hei"/>
        <family val="2"/>
      </rPr>
      <t xml:space="preserve">세 세입자 </t>
    </r>
    <r>
      <rPr>
        <sz val="10"/>
        <rFont val="Noto Sans CJK SC"/>
        <family val="2"/>
        <charset val="1"/>
      </rPr>
      <t xml:space="preserve">Sofia</t>
    </r>
    <r>
      <rPr>
        <sz val="10"/>
        <rFont val="WenQuanYi Zen Hei"/>
        <family val="2"/>
      </rPr>
      <t xml:space="preserve">가 맞이한다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</si>
  <si>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총회 공고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자기소개</t>
    </r>
  </si>
  <si>
    <r>
      <rPr>
        <sz val="10"/>
        <rFont val="Arial"/>
        <family val="0"/>
        <charset val="1"/>
      </rPr>
      <t xml:space="preserve">Marco, Giulia, Alessandro, Chiara, Marina(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), Sofia</t>
    </r>
  </si>
  <si>
    <t xml:space="preserve">Quattro sconosciuti</t>
  </si>
  <si>
    <t xml:space="preserve">네 명의 낯선 사람</t>
  </si>
  <si>
    <r>
      <rPr>
        <sz val="10"/>
        <rFont val="WenQuanYi Zen Hei"/>
        <family val="2"/>
      </rPr>
      <t xml:space="preserve">서로 아는 척하지 않는다</t>
    </r>
    <r>
      <rPr>
        <sz val="10"/>
        <rFont val="Noto Sans CJK SC"/>
        <family val="2"/>
        <charset val="1"/>
      </rPr>
      <t xml:space="preserve">. Marco</t>
    </r>
    <r>
      <rPr>
        <sz val="10"/>
        <rFont val="WenQuanYi Zen Hei"/>
        <family val="2"/>
      </rPr>
      <t xml:space="preserve">와 </t>
    </r>
    <r>
      <rPr>
        <sz val="10"/>
        <rFont val="Noto Sans CJK SC"/>
        <family val="2"/>
        <charset val="1"/>
      </rPr>
      <t xml:space="preserve">Alessandro</t>
    </r>
    <r>
      <rPr>
        <sz val="10"/>
        <rFont val="WenQuanYi Zen Hei"/>
        <family val="2"/>
      </rPr>
      <t xml:space="preserve">는 서로의 명함 </t>
    </r>
    <r>
      <rPr>
        <sz val="10"/>
        <rFont val="Noto Sans CJK SC"/>
        <family val="2"/>
        <charset val="1"/>
      </rPr>
      <t xml:space="preserve">«Ferrari &amp; Colombo», «Conti Revisori»</t>
    </r>
    <r>
      <rPr>
        <sz val="10"/>
        <rFont val="WenQuanYi Zen Hei"/>
        <family val="2"/>
      </rPr>
      <t xml:space="preserve">에서 흠칫한다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</si>
  <si>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긴장 대화</t>
    </r>
    <r>
      <rPr>
        <sz val="10"/>
        <rFont val="Noto Sans CJK SC"/>
        <family val="2"/>
        <charset val="1"/>
      </rPr>
      <t xml:space="preserve">, Lei</t>
    </r>
  </si>
  <si>
    <t xml:space="preserve">Marco, Giulia, Alessandro, Chiara, Sofia</t>
  </si>
  <si>
    <t xml:space="preserve">Il lotto quattordici</t>
  </si>
  <si>
    <r>
      <rPr>
        <sz val="10"/>
        <rFont val="Arial"/>
        <family val="0"/>
        <charset val="1"/>
      </rPr>
      <t xml:space="preserve">14</t>
    </r>
    <r>
      <rPr>
        <sz val="10"/>
        <rFont val="WenQuanYi Zen Hei"/>
        <family val="2"/>
      </rPr>
      <t xml:space="preserve">번 동</t>
    </r>
  </si>
  <si>
    <r>
      <rPr>
        <sz val="10"/>
        <rFont val="WenQuanYi Zen Hei"/>
        <family val="2"/>
      </rPr>
      <t xml:space="preserve">건물을 돌아본다</t>
    </r>
    <r>
      <rPr>
        <sz val="10"/>
        <rFont val="Noto Sans CJK SC"/>
        <family val="2"/>
        <charset val="1"/>
      </rPr>
      <t xml:space="preserve">. 22</t>
    </r>
    <r>
      <rPr>
        <sz val="10"/>
        <rFont val="WenQuanYi Zen Hei"/>
        <family val="2"/>
      </rPr>
      <t xml:space="preserve">가구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물이 새는 벽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동네 진료소 폐쇄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이웃 </t>
    </r>
    <r>
      <rPr>
        <sz val="10"/>
        <rFont val="Noto Sans CJK SC"/>
        <family val="2"/>
        <charset val="1"/>
      </rPr>
      <t xml:space="preserve">Paolo</t>
    </r>
    <r>
      <rPr>
        <sz val="10"/>
        <rFont val="WenQuanYi Zen Hei"/>
        <family val="2"/>
      </rPr>
      <t xml:space="preserve">와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계단 반장</t>
    </r>
    <r>
      <rPr>
        <sz val="10"/>
        <rFont val="Noto Sans CJK SC"/>
        <family val="2"/>
        <charset val="1"/>
      </rPr>
      <t xml:space="preserve">' Garibaldi</t>
    </r>
    <r>
      <rPr>
        <sz val="10"/>
        <rFont val="WenQuanYi Zen Hei"/>
        <family val="2"/>
      </rPr>
      <t xml:space="preserve">가 안내한다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</si>
  <si>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건물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거주 표현</t>
    </r>
  </si>
  <si>
    <t xml:space="preserve">Marco, Giulia, Alessandro, Chiara, Paolo, Garibaldi, Sofia</t>
  </si>
  <si>
    <t xml:space="preserve">La notte delle scale</t>
  </si>
  <si>
    <t xml:space="preserve">계단의 밤</t>
  </si>
  <si>
    <r>
      <rPr>
        <sz val="10"/>
        <rFont val="WenQuanYi Zen Hei"/>
        <family val="2"/>
      </rPr>
      <t xml:space="preserve">새벽 퇴거 집행 소문에 함께 밤샘한다</t>
    </r>
    <r>
      <rPr>
        <sz val="10"/>
        <rFont val="Noto Sans CJK SC"/>
        <family val="2"/>
        <charset val="1"/>
      </rPr>
      <t xml:space="preserve">. Rosa</t>
    </r>
    <r>
      <rPr>
        <sz val="10"/>
        <rFont val="WenQuanYi Zen Hei"/>
        <family val="2"/>
      </rPr>
      <t xml:space="preserve">의 음식과 </t>
    </r>
    <r>
      <rPr>
        <sz val="10"/>
        <rFont val="Noto Sans CJK SC"/>
        <family val="2"/>
        <charset val="1"/>
      </rPr>
      <t xml:space="preserve">Cesare</t>
    </r>
    <r>
      <rPr>
        <sz val="10"/>
        <rFont val="WenQuanYi Zen Hei"/>
        <family val="2"/>
      </rPr>
      <t xml:space="preserve">의 커피 불평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처음으로 조금씩 속내를 꺼낸다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</si>
  <si>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밤샘 대화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위로</t>
    </r>
  </si>
  <si>
    <t xml:space="preserve">Marco, Giulia, Alessandro, Chiara, Rosa, Cesare, Garibaldi</t>
  </si>
  <si>
    <t xml:space="preserve">Le carte di Alessandro</t>
  </si>
  <si>
    <r>
      <rPr>
        <sz val="10"/>
        <rFont val="Arial"/>
        <family val="0"/>
        <charset val="1"/>
      </rPr>
      <t xml:space="preserve">Alessandro</t>
    </r>
    <r>
      <rPr>
        <sz val="10"/>
        <rFont val="WenQuanYi Zen Hei"/>
        <family val="2"/>
      </rPr>
      <t xml:space="preserve">의 서류</t>
    </r>
  </si>
  <si>
    <r>
      <rPr>
        <sz val="10"/>
        <rFont val="Arial"/>
        <family val="0"/>
        <charset val="1"/>
      </rPr>
      <t xml:space="preserve">Alessandro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USB</t>
    </r>
    <r>
      <rPr>
        <sz val="10"/>
        <rFont val="WenQuanYi Zen Hei"/>
        <family val="2"/>
      </rPr>
      <t xml:space="preserve">를 꺼내 </t>
    </r>
    <r>
      <rPr>
        <sz val="10"/>
        <rFont val="Arial"/>
        <family val="0"/>
        <charset val="1"/>
      </rPr>
      <t xml:space="preserve">Fondo Cardinale – Gruppo Meridiano – Meridiano Salute</t>
    </r>
    <r>
      <rPr>
        <sz val="10"/>
        <rFont val="WenQuanYi Zen Hei"/>
        <family val="2"/>
      </rPr>
      <t xml:space="preserve">의 연결을 보여 준다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변호사가 필요하다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</si>
  <si>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서류 브리핑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지분 구조</t>
    </r>
  </si>
  <si>
    <t xml:space="preserve">Alessandro, Marco, Sofia, Machiavelli</t>
  </si>
  <si>
    <t xml:space="preserve">Uno stesso nome</t>
  </si>
  <si>
    <t xml:space="preserve">같은 이름</t>
  </si>
  <si>
    <r>
      <rPr>
        <sz val="10"/>
        <rFont val="Arial"/>
        <family val="0"/>
        <charset val="1"/>
      </rPr>
      <t xml:space="preserve">Marco</t>
    </r>
    <r>
      <rPr>
        <sz val="10"/>
        <rFont val="WenQuanYi Zen Hei"/>
        <family val="2"/>
      </rPr>
      <t xml:space="preserve">의 퇴거</t>
    </r>
    <r>
      <rPr>
        <sz val="10"/>
        <rFont val="Arial"/>
        <family val="0"/>
        <charset val="1"/>
      </rPr>
      <t xml:space="preserve">, Giulia</t>
    </r>
    <r>
      <rPr>
        <sz val="10"/>
        <rFont val="WenQuanYi Zen Hei"/>
        <family val="2"/>
      </rPr>
      <t xml:space="preserve">의 외주</t>
    </r>
    <r>
      <rPr>
        <sz val="10"/>
        <rFont val="Arial"/>
        <family val="0"/>
        <charset val="1"/>
      </rPr>
      <t xml:space="preserve">, Alessandro</t>
    </r>
    <r>
      <rPr>
        <sz val="10"/>
        <rFont val="WenQuanYi Zen Hei"/>
        <family val="2"/>
      </rPr>
      <t xml:space="preserve">의 감사</t>
    </r>
    <r>
      <rPr>
        <sz val="10"/>
        <rFont val="Arial"/>
        <family val="0"/>
        <charset val="1"/>
      </rPr>
      <t xml:space="preserve">, Chiara</t>
    </r>
    <r>
      <rPr>
        <sz val="10"/>
        <rFont val="WenQuanYi Zen Hei"/>
        <family val="2"/>
      </rPr>
      <t xml:space="preserve">의 구조조정이 모두 </t>
    </r>
    <r>
      <rPr>
        <sz val="10"/>
        <rFont val="Arial"/>
        <family val="0"/>
        <charset val="1"/>
      </rPr>
      <t xml:space="preserve">Gruppo Meridiano</t>
    </r>
    <r>
      <rPr>
        <sz val="10"/>
        <rFont val="WenQuanYi Zen Hei"/>
        <family val="2"/>
      </rPr>
      <t xml:space="preserve">였다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각자 </t>
    </r>
    <r>
      <rPr>
        <sz val="10"/>
        <rFont val="Arial"/>
        <family val="0"/>
        <charset val="1"/>
      </rPr>
      <t xml:space="preserve">«il mio cliente / il mio contratto / la mia relazione / il mio piano.»</t>
    </r>
  </si>
  <si>
    <r>
      <rPr>
        <sz val="10"/>
        <rFont val="WenQuanYi Zen Hei"/>
        <family val="2"/>
      </rPr>
      <t xml:space="preserve">책임 표현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접속법</t>
    </r>
  </si>
  <si>
    <t xml:space="preserve">Marco, Giulia, Alessandro, Chiara</t>
  </si>
  <si>
    <t xml:space="preserve">Rimproveri</t>
  </si>
  <si>
    <t xml:space="preserve">서로에 대한 비난</t>
  </si>
  <si>
    <r>
      <rPr>
        <sz val="10"/>
        <rFont val="WenQuanYi Zen Hei"/>
        <family val="2"/>
      </rPr>
      <t xml:space="preserve">공모라고 서로를 몰아세운다</t>
    </r>
    <r>
      <rPr>
        <sz val="10"/>
        <rFont val="Noto Sans CJK SC"/>
        <family val="2"/>
        <charset val="1"/>
      </rPr>
      <t xml:space="preserve">. Marco</t>
    </r>
    <r>
      <rPr>
        <sz val="10"/>
        <rFont val="WenQuanYi Zen Hei"/>
        <family val="2"/>
      </rPr>
      <t xml:space="preserve">가 나가 버리고 </t>
    </r>
    <r>
      <rPr>
        <sz val="10"/>
        <rFont val="Noto Sans CJK SC"/>
        <family val="2"/>
        <charset val="1"/>
      </rPr>
      <t xml:space="preserve">Giulia</t>
    </r>
    <r>
      <rPr>
        <sz val="10"/>
        <rFont val="WenQuanYi Zen Hei"/>
        <family val="2"/>
      </rPr>
      <t xml:space="preserve">가 막아선다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</si>
  <si>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다툼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비난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사과</t>
    </r>
  </si>
  <si>
    <t xml:space="preserve">Ora zero</t>
  </si>
  <si>
    <t xml:space="preserve">영시</t>
  </si>
  <si>
    <r>
      <rPr>
        <sz val="10"/>
        <rFont val="WenQuanYi Zen Hei"/>
        <family val="2"/>
      </rPr>
      <t xml:space="preserve">퇴거 집행 날 새벽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서로의 전문성을 처음 합친다</t>
    </r>
    <r>
      <rPr>
        <sz val="10"/>
        <rFont val="Noto Sans CJK SC"/>
        <family val="2"/>
        <charset val="1"/>
      </rPr>
      <t xml:space="preserve">: Marco</t>
    </r>
    <r>
      <rPr>
        <sz val="10"/>
        <rFont val="WenQuanYi Zen Hei"/>
        <family val="2"/>
      </rPr>
      <t xml:space="preserve">는 집행 정지 신청</t>
    </r>
    <r>
      <rPr>
        <sz val="10"/>
        <rFont val="Noto Sans CJK SC"/>
        <family val="2"/>
        <charset val="1"/>
      </rPr>
      <t xml:space="preserve">, Alessandro</t>
    </r>
    <r>
      <rPr>
        <sz val="10"/>
        <rFont val="WenQuanYi Zen Hei"/>
        <family val="2"/>
      </rPr>
      <t xml:space="preserve">는 서류</t>
    </r>
    <r>
      <rPr>
        <sz val="10"/>
        <rFont val="Noto Sans CJK SC"/>
        <family val="2"/>
        <charset val="1"/>
      </rPr>
      <t xml:space="preserve">, Chiara</t>
    </r>
    <r>
      <rPr>
        <sz val="10"/>
        <rFont val="WenQuanYi Zen Hei"/>
        <family val="2"/>
      </rPr>
      <t xml:space="preserve">는 동선</t>
    </r>
    <r>
      <rPr>
        <sz val="10"/>
        <rFont val="Noto Sans CJK SC"/>
        <family val="2"/>
        <charset val="1"/>
      </rPr>
      <t xml:space="preserve">, Giulia</t>
    </r>
    <r>
      <rPr>
        <sz val="10"/>
        <rFont val="WenQuanYi Zen Hei"/>
        <family val="2"/>
      </rPr>
      <t xml:space="preserve">는 취약계층 진단서</t>
    </r>
    <r>
      <rPr>
        <sz val="10"/>
        <rFont val="Noto Sans CJK SC"/>
        <family val="2"/>
        <charset val="1"/>
      </rPr>
      <t xml:space="preserve">. Galileo</t>
    </r>
    <r>
      <rPr>
        <sz val="10"/>
        <rFont val="WenQuanYi Zen Hei"/>
        <family val="2"/>
      </rPr>
      <t xml:space="preserve">가 기록하고 </t>
    </r>
    <r>
      <rPr>
        <sz val="10"/>
        <rFont val="Noto Sans CJK SC"/>
        <family val="2"/>
        <charset val="1"/>
      </rPr>
      <t xml:space="preserve">Gramsci</t>
    </r>
    <r>
      <rPr>
        <sz val="10"/>
        <rFont val="WenQuanYi Zen Hei"/>
        <family val="2"/>
      </rPr>
      <t xml:space="preserve">가 서류 위치를 알려 준다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</si>
  <si>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집행 정지</t>
    </r>
    <r>
      <rPr>
        <sz val="10"/>
        <rFont val="Noto Sans CJK SC"/>
        <family val="2"/>
        <charset val="1"/>
      </rPr>
      <t xml:space="preserve">(sospensione dell'esecuzione), </t>
    </r>
    <r>
      <rPr>
        <sz val="10"/>
        <rFont val="WenQuanYi Zen Hei"/>
        <family val="2"/>
      </rPr>
      <t xml:space="preserve">진단서</t>
    </r>
  </si>
  <si>
    <t xml:space="preserve">Marco, Giulia, Alessandro, Chiara, Galileo, Gramsci, Garibaldi</t>
  </si>
  <si>
    <t xml:space="preserve">E1·S2</t>
  </si>
  <si>
    <t xml:space="preserve">La prima sospensione</t>
  </si>
  <si>
    <t xml:space="preserve">첫 정지</t>
  </si>
  <si>
    <r>
      <rPr>
        <sz val="10"/>
        <rFont val="WenQuanYi Zen Hei"/>
        <family val="2"/>
      </rPr>
      <t xml:space="preserve">법원이 집행을 정지한다</t>
    </r>
    <r>
      <rPr>
        <sz val="10"/>
        <rFont val="Noto Sans CJK SC"/>
        <family val="2"/>
        <charset val="1"/>
      </rPr>
      <t xml:space="preserve">. Dante</t>
    </r>
    <r>
      <rPr>
        <sz val="10"/>
        <rFont val="WenQuanYi Zen Hei"/>
        <family val="2"/>
      </rPr>
      <t xml:space="preserve">의 서툰 첫 연설이 군중을 울리고 </t>
    </r>
    <r>
      <rPr>
        <sz val="10"/>
        <rFont val="Noto Sans CJK SC"/>
        <family val="2"/>
        <charset val="1"/>
      </rPr>
      <t xml:space="preserve">Montessori</t>
    </r>
    <r>
      <rPr>
        <sz val="10"/>
        <rFont val="WenQuanYi Zen Hei"/>
        <family val="2"/>
      </rPr>
      <t xml:space="preserve">가 아이들을 달랜다</t>
    </r>
    <r>
      <rPr>
        <sz val="10"/>
        <rFont val="Noto Sans CJK SC"/>
        <family val="2"/>
        <charset val="1"/>
      </rPr>
      <t xml:space="preserve">. Fatima </t>
    </r>
    <r>
      <rPr>
        <sz val="10"/>
        <rFont val="WenQuanYi Zen Hei"/>
        <family val="2"/>
      </rPr>
      <t xml:space="preserve">가족이 인사한다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</si>
  <si>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안도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감사 표현</t>
    </r>
  </si>
  <si>
    <r>
      <rPr>
        <sz val="10"/>
        <rFont val="Arial"/>
        <family val="0"/>
        <charset val="1"/>
      </rPr>
      <t xml:space="preserve">Marco, Giulia, Alessandro, Chiara, Dante, Montessori, Sofia, Fatima(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</si>
  <si>
    <t xml:space="preserve">S2·E1</t>
  </si>
  <si>
    <t xml:space="preserve">Un locale a Testaccio</t>
  </si>
  <si>
    <t xml:space="preserve">테스타초의 가게</t>
  </si>
  <si>
    <r>
      <rPr>
        <sz val="10"/>
        <rFont val="WenQuanYi Zen Hei"/>
        <family val="2"/>
      </rPr>
      <t xml:space="preserve">사무실 자리를 찾는다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소규모 집주인이 월세를 낮춰 주고 </t>
    </r>
    <r>
      <rPr>
        <sz val="10"/>
        <rFont val="Noto Sans CJK SC"/>
        <family val="2"/>
        <charset val="1"/>
      </rPr>
      <t xml:space="preserve">Rosa</t>
    </r>
    <r>
      <rPr>
        <sz val="10"/>
        <rFont val="WenQuanYi Zen Hei"/>
        <family val="2"/>
      </rPr>
      <t xml:space="preserve">의 트라토리아가 </t>
    </r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층에서 다시 문을 연다</t>
    </r>
    <r>
      <rPr>
        <sz val="10"/>
        <rFont val="Noto Sans CJK SC"/>
        <family val="2"/>
        <charset val="1"/>
      </rPr>
      <t xml:space="preserve">. Francesco</t>
    </r>
    <r>
      <rPr>
        <sz val="10"/>
        <rFont val="WenQuanYi Zen Hei"/>
        <family val="2"/>
      </rPr>
      <t xml:space="preserve">가 계좌 도움을 자청한다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</si>
  <si>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임대 협상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협약 임대료</t>
    </r>
    <r>
      <rPr>
        <sz val="10"/>
        <rFont val="Noto Sans CJK SC"/>
        <family val="2"/>
        <charset val="1"/>
      </rPr>
      <t xml:space="preserve">(canone concordato), </t>
    </r>
    <r>
      <rPr>
        <sz val="10"/>
        <rFont val="WenQuanYi Zen Hei"/>
        <family val="2"/>
      </rPr>
      <t xml:space="preserve">소규모 임대인</t>
    </r>
  </si>
  <si>
    <t xml:space="preserve">Marco, Giulia, Alessandro, Chiara, Rosa, Francesco</t>
  </si>
  <si>
    <t xml:space="preserve">Le regole del tavolo</t>
  </si>
  <si>
    <t xml:space="preserve">식탁의 규칙</t>
  </si>
  <si>
    <r>
      <rPr>
        <sz val="10"/>
        <rFont val="WenQuanYi Zen Hei"/>
        <family val="2"/>
      </rPr>
      <t xml:space="preserve">규칙을 정한다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가난한 사람에게는 수임료 없음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금요일마다 한 명씩 과거를 이야기함</t>
    </r>
    <r>
      <rPr>
        <sz val="10"/>
        <rFont val="Noto Sans CJK SC"/>
        <family val="2"/>
        <charset val="1"/>
      </rPr>
      <t xml:space="preserve">. Sofia</t>
    </r>
    <r>
      <rPr>
        <sz val="10"/>
        <rFont val="WenQuanYi Zen Hei"/>
        <family val="2"/>
      </rPr>
      <t xml:space="preserve">가 </t>
    </r>
    <r>
      <rPr>
        <sz val="10"/>
        <rFont val="Noto Sans CJK SC"/>
        <family val="2"/>
        <charset val="1"/>
      </rPr>
      <t xml:space="preserve">«Posso restare?» Cesare</t>
    </r>
    <r>
      <rPr>
        <sz val="10"/>
        <rFont val="WenQuanYi Zen Hei"/>
        <family val="2"/>
      </rPr>
      <t xml:space="preserve">는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청하지 않은 고문</t>
    </r>
    <r>
      <rPr>
        <sz val="10"/>
        <rFont val="Noto Sans CJK SC"/>
        <family val="2"/>
        <charset val="1"/>
      </rPr>
      <t xml:space="preserve">', Machiavelli</t>
    </r>
    <r>
      <rPr>
        <sz val="10"/>
        <rFont val="WenQuanYi Zen Hei"/>
        <family val="2"/>
      </rPr>
      <t xml:space="preserve">는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청하지 않은 전략가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를 자처한다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</si>
  <si>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규칙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약속 표현</t>
    </r>
  </si>
  <si>
    <t xml:space="preserve">전원</t>
  </si>
  <si>
    <t xml:space="preserve">L'insegna</t>
  </si>
  <si>
    <t xml:space="preserve">간판</t>
  </si>
  <si>
    <r>
      <rPr>
        <sz val="10"/>
        <rFont val="WenQuanYi Zen Hei"/>
        <family val="2"/>
      </rPr>
      <t xml:space="preserve">간판이 걸린다</t>
    </r>
    <r>
      <rPr>
        <sz val="10"/>
        <rFont val="Noto Sans CJK SC"/>
        <family val="2"/>
        <charset val="1"/>
      </rPr>
      <t xml:space="preserve">. Rosa</t>
    </r>
    <r>
      <rPr>
        <sz val="10"/>
        <rFont val="WenQuanYi Zen Hei"/>
        <family val="2"/>
      </rPr>
      <t xml:space="preserve">가 </t>
    </r>
    <r>
      <rPr>
        <sz val="10"/>
        <rFont val="Noto Sans CJK SC"/>
        <family val="2"/>
        <charset val="1"/>
      </rPr>
      <t xml:space="preserve">«Domani, alle cinque.» </t>
    </r>
    <r>
      <rPr>
        <sz val="10"/>
        <rFont val="WenQuanYi Zen Hei"/>
        <family val="2"/>
      </rPr>
      <t xml:space="preserve">원이 닫히며 </t>
    </r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화로 이어진다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</si>
  <si>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시간 표현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마무리</t>
    </r>
  </si>
  <si>
    <t xml:space="preserve">Un anno dopo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</si>
  <si>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년 후</t>
    </r>
  </si>
  <si>
    <r>
      <rPr>
        <sz val="10"/>
        <rFont val="WenQuanYi Zen Hei"/>
        <family val="2"/>
      </rPr>
      <t xml:space="preserve">사무소가 커졌다</t>
    </r>
    <r>
      <rPr>
        <sz val="10"/>
        <rFont val="Noto Sans CJK SC"/>
        <family val="2"/>
        <charset val="1"/>
      </rPr>
      <t xml:space="preserve">. Rosa</t>
    </r>
    <r>
      <rPr>
        <sz val="10"/>
        <rFont val="WenQuanYi Zen Hei"/>
        <family val="2"/>
      </rPr>
      <t xml:space="preserve">가 팀 이름을 호명하며 역할을 소개한다</t>
    </r>
    <r>
      <rPr>
        <sz val="10"/>
        <rFont val="Noto Sans CJK SC"/>
        <family val="2"/>
        <charset val="1"/>
      </rPr>
      <t xml:space="preserve">: Garibaldi </t>
    </r>
    <r>
      <rPr>
        <sz val="10"/>
        <rFont val="WenQuanYi Zen Hei"/>
        <family val="2"/>
      </rPr>
      <t xml:space="preserve">로지스틱스</t>
    </r>
    <r>
      <rPr>
        <sz val="10"/>
        <rFont val="Noto Sans CJK SC"/>
        <family val="2"/>
        <charset val="1"/>
      </rPr>
      <t xml:space="preserve">, Gramsci </t>
    </r>
    <r>
      <rPr>
        <sz val="10"/>
        <rFont val="WenQuanYi Zen Hei"/>
        <family val="2"/>
      </rPr>
      <t xml:space="preserve">출처</t>
    </r>
    <r>
      <rPr>
        <sz val="10"/>
        <rFont val="Noto Sans CJK SC"/>
        <family val="2"/>
        <charset val="1"/>
      </rPr>
      <t xml:space="preserve">, Galileo </t>
    </r>
    <r>
      <rPr>
        <sz val="10"/>
        <rFont val="WenQuanYi Zen Hei"/>
        <family val="2"/>
      </rPr>
      <t xml:space="preserve">공론화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검증</t>
    </r>
    <r>
      <rPr>
        <sz val="10"/>
        <rFont val="Noto Sans CJK SC"/>
        <family val="2"/>
        <charset val="1"/>
      </rPr>
      <t xml:space="preserve">, Montessori </t>
    </r>
    <r>
      <rPr>
        <sz val="10"/>
        <rFont val="WenQuanYi Zen Hei"/>
        <family val="2"/>
      </rPr>
      <t xml:space="preserve">상담</t>
    </r>
    <r>
      <rPr>
        <sz val="10"/>
        <rFont val="Noto Sans CJK SC"/>
        <family val="2"/>
        <charset val="1"/>
      </rPr>
      <t xml:space="preserve">, Paolo </t>
    </r>
    <r>
      <rPr>
        <sz val="10"/>
        <rFont val="WenQuanYi Zen Hei"/>
        <family val="2"/>
      </rPr>
      <t xml:space="preserve">현장</t>
    </r>
    <r>
      <rPr>
        <sz val="10"/>
        <rFont val="Noto Sans CJK SC"/>
        <family val="2"/>
        <charset val="1"/>
      </rPr>
      <t xml:space="preserve">, Dante </t>
    </r>
    <r>
      <rPr>
        <sz val="10"/>
        <rFont val="WenQuanYi Zen Hei"/>
        <family val="2"/>
      </rPr>
      <t xml:space="preserve">글</t>
    </r>
    <r>
      <rPr>
        <sz val="10"/>
        <rFont val="Noto Sans CJK SC"/>
        <family val="2"/>
        <charset val="1"/>
      </rPr>
      <t xml:space="preserve">, Francesco </t>
    </r>
    <r>
      <rPr>
        <sz val="10"/>
        <rFont val="WenQuanYi Zen Hei"/>
        <family val="2"/>
      </rPr>
      <t xml:space="preserve">자금</t>
    </r>
    <r>
      <rPr>
        <sz val="10"/>
        <rFont val="Noto Sans CJK SC"/>
        <family val="2"/>
        <charset val="1"/>
      </rPr>
      <t xml:space="preserve">, Machiavelli </t>
    </r>
    <r>
      <rPr>
        <sz val="10"/>
        <rFont val="WenQuanYi Zen Hei"/>
        <family val="2"/>
      </rPr>
      <t xml:space="preserve">전략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</si>
  <si>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역할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업무 분담</t>
    </r>
  </si>
  <si>
    <t xml:space="preserve">La fila sulle scale</t>
  </si>
  <si>
    <t xml:space="preserve">계단 위의 줄</t>
  </si>
  <si>
    <r>
      <rPr>
        <sz val="10"/>
        <rFont val="WenQuanYi Zen Hei"/>
        <family val="2"/>
      </rPr>
      <t xml:space="preserve">의뢰인 줄이 계단까지 이어진다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접수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분류 창구</t>
    </r>
    <r>
      <rPr>
        <sz val="10"/>
        <rFont val="Noto Sans CJK SC"/>
        <family val="2"/>
        <charset val="1"/>
      </rPr>
      <t xml:space="preserve">(sportello)</t>
    </r>
    <r>
      <rPr>
        <sz val="10"/>
        <rFont val="WenQuanYi Zen Hei"/>
        <family val="2"/>
      </rPr>
      <t xml:space="preserve">를 세우고 </t>
    </r>
    <r>
      <rPr>
        <sz val="10"/>
        <rFont val="Noto Sans CJK SC"/>
        <family val="2"/>
        <charset val="1"/>
      </rPr>
      <t xml:space="preserve">Chiara</t>
    </r>
    <r>
      <rPr>
        <sz val="10"/>
        <rFont val="WenQuanYi Zen Hei"/>
        <family val="2"/>
      </rPr>
      <t xml:space="preserve">의 매트릭스가 처음으로 쓸모 있어진다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</si>
  <si>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접수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분류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순서</t>
    </r>
  </si>
  <si>
    <t xml:space="preserve">Chiara, Sofia, Garibaldi, Rosa</t>
  </si>
  <si>
    <t xml:space="preserve">S1·E1</t>
  </si>
  <si>
    <t xml:space="preserve">Il tempo che ha punito la vittima</t>
  </si>
  <si>
    <t xml:space="preserve">피해자를 벌한 시간</t>
  </si>
  <si>
    <r>
      <rPr>
        <sz val="10"/>
        <rFont val="WenQuanYi Zen Hei"/>
        <family val="2"/>
      </rPr>
      <t xml:space="preserve">성폭력 피해자 사건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재판이 늘어지는 동안 공소시효가 다가오고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폭력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위협 입증을 중심으로 한 현행 조항 때문에 피해자가 다시 심문대에 선다</t>
    </r>
    <r>
      <rPr>
        <sz val="10"/>
        <rFont val="Noto Sans CJK SC"/>
        <family val="2"/>
        <charset val="1"/>
      </rPr>
      <t xml:space="preserve">. Marco</t>
    </r>
    <r>
      <rPr>
        <sz val="10"/>
        <rFont val="WenQuanYi Zen Hei"/>
        <family val="2"/>
      </rPr>
      <t xml:space="preserve">와 </t>
    </r>
    <r>
      <rPr>
        <sz val="10"/>
        <rFont val="Noto Sans CJK SC"/>
        <family val="2"/>
        <charset val="1"/>
      </rPr>
      <t xml:space="preserve">Montessori</t>
    </r>
    <r>
      <rPr>
        <sz val="10"/>
        <rFont val="WenQuanYi Zen Hei"/>
        <family val="2"/>
      </rPr>
      <t xml:space="preserve">가 피해자를 돕는다</t>
    </r>
    <r>
      <rPr>
        <sz val="10"/>
        <rFont val="Noto Sans CJK SC"/>
        <family val="2"/>
        <charset val="1"/>
      </rPr>
      <t xml:space="preserve">. '</t>
    </r>
    <r>
      <rPr>
        <sz val="10"/>
        <rFont val="WenQuanYi Zen Hei"/>
        <family val="2"/>
      </rPr>
      <t xml:space="preserve">동의</t>
    </r>
    <r>
      <rPr>
        <sz val="10"/>
        <rFont val="Noto Sans CJK SC"/>
        <family val="2"/>
        <charset val="1"/>
      </rPr>
      <t xml:space="preserve">(consenso)' </t>
    </r>
    <r>
      <rPr>
        <sz val="10"/>
        <rFont val="WenQuanYi Zen Hei"/>
        <family val="2"/>
      </rPr>
      <t xml:space="preserve">기준을 명문화하자는 쪽과 절차부터 고치자는 쪽이 사무실 안에서도 갈린다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</si>
  <si>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형법 제</t>
    </r>
    <r>
      <rPr>
        <sz val="10"/>
        <rFont val="Noto Sans CJK SC"/>
        <family val="2"/>
        <charset val="1"/>
      </rPr>
      <t xml:space="preserve">609-bis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성폭력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공소시효</t>
    </r>
    <r>
      <rPr>
        <sz val="10"/>
        <rFont val="Noto Sans CJK SC"/>
        <family val="2"/>
        <charset val="1"/>
      </rPr>
      <t xml:space="preserve">(prescrizione), '</t>
    </r>
    <r>
      <rPr>
        <sz val="10"/>
        <rFont val="WenQuanYi Zen Hei"/>
        <family val="2"/>
      </rPr>
      <t xml:space="preserve">자유롭고 현재적인 동의</t>
    </r>
    <r>
      <rPr>
        <sz val="10"/>
        <rFont val="Noto Sans CJK SC"/>
        <family val="2"/>
        <charset val="1"/>
      </rPr>
      <t xml:space="preserve">' </t>
    </r>
    <r>
      <rPr>
        <sz val="10"/>
        <rFont val="WenQuanYi Zen Hei"/>
        <family val="2"/>
      </rPr>
      <t xml:space="preserve">개정 논의</t>
    </r>
  </si>
  <si>
    <t xml:space="preserve">Marco, Montessori, Alessandro, Galileo</t>
  </si>
  <si>
    <t xml:space="preserve">N4</t>
  </si>
  <si>
    <t xml:space="preserve">Senza documenti</t>
  </si>
  <si>
    <t xml:space="preserve">서류 없는 사람들</t>
  </si>
  <si>
    <r>
      <rPr>
        <sz val="10"/>
        <rFont val="Arial"/>
        <family val="0"/>
        <charset val="1"/>
      </rPr>
      <t xml:space="preserve">Karim</t>
    </r>
    <r>
      <rPr>
        <sz val="10"/>
        <rFont val="WenQuanYi Zen Hei"/>
        <family val="2"/>
      </rPr>
      <t xml:space="preserve">이 체류허가</t>
    </r>
    <r>
      <rPr>
        <sz val="10"/>
        <rFont val="Arial"/>
        <family val="0"/>
        <charset val="1"/>
      </rPr>
      <t xml:space="preserve">(permesso di soggiorno) </t>
    </r>
    <r>
      <rPr>
        <sz val="10"/>
        <rFont val="WenQuanYi Zen Hei"/>
        <family val="2"/>
      </rPr>
      <t xml:space="preserve">갱신과 축소된 특별보호</t>
    </r>
    <r>
      <rPr>
        <sz val="10"/>
        <rFont val="Arial"/>
        <family val="0"/>
        <charset val="1"/>
      </rPr>
      <t xml:space="preserve">(protezione speciale) </t>
    </r>
    <r>
      <rPr>
        <sz val="10"/>
        <rFont val="WenQuanYi Zen Hei"/>
        <family val="2"/>
      </rPr>
      <t xml:space="preserve">문제를 들고 온다</t>
    </r>
    <r>
      <rPr>
        <sz val="10"/>
        <rFont val="Arial"/>
        <family val="0"/>
        <charset val="1"/>
      </rPr>
      <t xml:space="preserve">. Paolo</t>
    </r>
    <r>
      <rPr>
        <sz val="10"/>
        <rFont val="WenQuanYi Zen Hei"/>
        <family val="2"/>
      </rPr>
      <t xml:space="preserve">는 노동</t>
    </r>
    <r>
      <rPr>
        <sz val="10"/>
        <rFont val="Arial"/>
        <family val="0"/>
        <charset val="1"/>
      </rPr>
      <t xml:space="preserve">, Giulia</t>
    </r>
    <r>
      <rPr>
        <sz val="10"/>
        <rFont val="WenQuanYi Zen Hei"/>
        <family val="2"/>
      </rPr>
      <t xml:space="preserve">는 의료 접근을 이야기하고 수용의 한계를 두고 의견이 갈린다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</si>
  <si>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permesso di soggiorno, protezione speciale, </t>
    </r>
    <r>
      <rPr>
        <sz val="10"/>
        <rFont val="WenQuanYi Zen Hei"/>
        <family val="2"/>
      </rPr>
      <t xml:space="preserve">이민 쿼터</t>
    </r>
    <r>
      <rPr>
        <sz val="10"/>
        <rFont val="Arial"/>
        <family val="0"/>
        <charset val="1"/>
      </rPr>
      <t xml:space="preserve">(decreto flussi)</t>
    </r>
  </si>
  <si>
    <r>
      <rPr>
        <sz val="10"/>
        <rFont val="Arial"/>
        <family val="0"/>
        <charset val="1"/>
      </rPr>
      <t xml:space="preserve">Marco, Paolo, Giulia, Karim(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</si>
  <si>
    <t xml:space="preserve">La segnalazione di Francesco</t>
  </si>
  <si>
    <r>
      <rPr>
        <sz val="10"/>
        <rFont val="Arial"/>
        <family val="0"/>
        <charset val="1"/>
      </rPr>
      <t xml:space="preserve">Francesco</t>
    </r>
    <r>
      <rPr>
        <sz val="10"/>
        <rFont val="WenQuanYi Zen Hei"/>
        <family val="2"/>
      </rPr>
      <t xml:space="preserve">의 제보</t>
    </r>
  </si>
  <si>
    <r>
      <rPr>
        <sz val="10"/>
        <rFont val="WenQuanYi Zen Hei"/>
        <family val="2"/>
      </rPr>
      <t xml:space="preserve">전 은행 지점장이 내부 자료를 들고 나온다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내부고발자 보호법과 신고 채널을 검토한다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</si>
  <si>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내부고발자 보호</t>
    </r>
    <r>
      <rPr>
        <sz val="10"/>
        <rFont val="Noto Sans CJK SC"/>
        <family val="2"/>
        <charset val="1"/>
      </rPr>
      <t xml:space="preserve">(d.lgs. 24/2023), </t>
    </r>
    <r>
      <rPr>
        <sz val="10"/>
        <rFont val="WenQuanYi Zen Hei"/>
        <family val="2"/>
      </rPr>
      <t xml:space="preserve">내부 신고 채널</t>
    </r>
    <r>
      <rPr>
        <sz val="10"/>
        <rFont val="Noto Sans CJK SC"/>
        <family val="2"/>
        <charset val="1"/>
      </rPr>
      <t xml:space="preserve">, ANAC </t>
    </r>
    <r>
      <rPr>
        <sz val="10"/>
        <rFont val="WenQuanYi Zen Hei"/>
        <family val="2"/>
      </rPr>
      <t xml:space="preserve">외부 신고</t>
    </r>
  </si>
  <si>
    <t xml:space="preserve">Francesco, Marco, Alessandro, Galileo</t>
  </si>
  <si>
    <t xml:space="preserve">Il fascicolo</t>
  </si>
  <si>
    <t xml:space="preserve">사건 파일</t>
  </si>
  <si>
    <r>
      <rPr>
        <sz val="10"/>
        <rFont val="Arial"/>
        <family val="0"/>
        <charset val="1"/>
      </rPr>
      <t xml:space="preserve">Alessandro·Francesco</t>
    </r>
    <r>
      <rPr>
        <sz val="10"/>
        <rFont val="WenQuanYi Zen Hei"/>
        <family val="2"/>
      </rPr>
      <t xml:space="preserve">의 자금 경로 </t>
    </r>
    <r>
      <rPr>
        <sz val="10"/>
        <rFont val="Arial"/>
        <family val="0"/>
        <charset val="1"/>
      </rPr>
      <t xml:space="preserve">+ Gramsci</t>
    </r>
    <r>
      <rPr>
        <sz val="10"/>
        <rFont val="WenQuanYi Zen Hei"/>
        <family val="2"/>
      </rPr>
      <t xml:space="preserve">의 공개 출처 </t>
    </r>
    <r>
      <rPr>
        <sz val="10"/>
        <rFont val="Arial"/>
        <family val="0"/>
        <charset val="1"/>
      </rPr>
      <t xml:space="preserve">+ Giulia</t>
    </r>
    <r>
      <rPr>
        <sz val="10"/>
        <rFont val="WenQuanYi Zen Hei"/>
        <family val="2"/>
      </rPr>
      <t xml:space="preserve">의 사망 사례</t>
    </r>
    <r>
      <rPr>
        <sz val="10"/>
        <rFont val="Arial"/>
        <family val="0"/>
        <charset val="1"/>
      </rPr>
      <t xml:space="preserve">. Marco</t>
    </r>
    <r>
      <rPr>
        <sz val="10"/>
        <rFont val="WenQuanYi Zen Hei"/>
        <family val="2"/>
      </rPr>
      <t xml:space="preserve">가 로마 검찰</t>
    </r>
    <r>
      <rPr>
        <sz val="10"/>
        <rFont val="Arial"/>
        <family val="0"/>
        <charset val="1"/>
      </rPr>
      <t xml:space="preserve">(Procura della Repubblica)</t>
    </r>
    <r>
      <rPr>
        <sz val="10"/>
        <rFont val="WenQuanYi Zen Hei"/>
        <family val="2"/>
      </rPr>
      <t xml:space="preserve">에 고발장</t>
    </r>
    <r>
      <rPr>
        <sz val="10"/>
        <rFont val="Arial"/>
        <family val="0"/>
        <charset val="1"/>
      </rPr>
      <t xml:space="preserve">(esposto-denuncia)</t>
    </r>
    <r>
      <rPr>
        <sz val="10"/>
        <rFont val="WenQuanYi Zen Hei"/>
        <family val="2"/>
      </rPr>
      <t xml:space="preserve">을 쓰고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피해 주민 단체의 민사 당사자 참여</t>
    </r>
    <r>
      <rPr>
        <sz val="10"/>
        <rFont val="Arial"/>
        <family val="0"/>
        <charset val="1"/>
      </rPr>
      <t xml:space="preserve">(parte civile)</t>
    </r>
    <r>
      <rPr>
        <sz val="10"/>
        <rFont val="WenQuanYi Zen Hei"/>
        <family val="2"/>
      </rPr>
      <t xml:space="preserve">를 준비한다</t>
    </r>
    <r>
      <rPr>
        <sz val="10"/>
        <rFont val="Arial"/>
        <family val="0"/>
        <charset val="1"/>
      </rPr>
      <t xml:space="preserve">.</t>
    </r>
  </si>
  <si>
    <t xml:space="preserve">esposto, denuncia, parte civile, Procura, ANAC</t>
  </si>
  <si>
    <t xml:space="preserve">Marco, Alessandro, Francesco, Gramsci, Giulia</t>
  </si>
  <si>
    <t xml:space="preserve">Rappresaglie</t>
  </si>
  <si>
    <t xml:space="preserve">보복</t>
  </si>
  <si>
    <r>
      <rPr>
        <sz val="10"/>
        <rFont val="WenQuanYi Zen Hei"/>
        <family val="2"/>
      </rPr>
      <t xml:space="preserve">명예훼손 고소</t>
    </r>
    <r>
      <rPr>
        <sz val="10"/>
        <rFont val="Noto Sans CJK SC"/>
        <family val="2"/>
        <charset val="1"/>
      </rPr>
      <t xml:space="preserve">(querela per diffamazione)</t>
    </r>
    <r>
      <rPr>
        <sz val="10"/>
        <rFont val="WenQuanYi Zen Hei"/>
        <family val="2"/>
      </rPr>
      <t xml:space="preserve">가 </t>
    </r>
    <r>
      <rPr>
        <sz val="10"/>
        <rFont val="Noto Sans CJK SC"/>
        <family val="2"/>
        <charset val="1"/>
      </rPr>
      <t xml:space="preserve">Galileo</t>
    </r>
    <r>
      <rPr>
        <sz val="10"/>
        <rFont val="WenQuanYi Zen Hei"/>
        <family val="2"/>
      </rPr>
      <t xml:space="preserve">에게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위생 점검</t>
    </r>
    <r>
      <rPr>
        <sz val="10"/>
        <rFont val="Noto Sans CJK SC"/>
        <family val="2"/>
        <charset val="1"/>
      </rPr>
      <t xml:space="preserve">(NAS)</t>
    </r>
    <r>
      <rPr>
        <sz val="10"/>
        <rFont val="WenQuanYi Zen Hei"/>
        <family val="2"/>
      </rPr>
      <t xml:space="preserve">이 </t>
    </r>
    <r>
      <rPr>
        <sz val="10"/>
        <rFont val="Noto Sans CJK SC"/>
        <family val="2"/>
        <charset val="1"/>
      </rPr>
      <t xml:space="preserve">Rosa</t>
    </r>
    <r>
      <rPr>
        <sz val="10"/>
        <rFont val="WenQuanYi Zen Hei"/>
        <family val="2"/>
      </rPr>
      <t xml:space="preserve">의 트라토리아에 날아온다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익명의 협박이 이어진다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</si>
  <si>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명예훼손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형법 제</t>
    </r>
    <r>
      <rPr>
        <sz val="10"/>
        <rFont val="Noto Sans CJK SC"/>
        <family val="2"/>
        <charset val="1"/>
      </rPr>
      <t xml:space="preserve">595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괴롭히기 소송</t>
    </r>
    <r>
      <rPr>
        <sz val="10"/>
        <rFont val="Noto Sans CJK SC"/>
        <family val="2"/>
        <charset val="1"/>
      </rPr>
      <t xml:space="preserve">(querela temeraria·SLAPP), </t>
    </r>
    <r>
      <rPr>
        <sz val="10"/>
        <rFont val="WenQuanYi Zen Hei"/>
        <family val="2"/>
      </rPr>
      <t xml:space="preserve">협박</t>
    </r>
  </si>
  <si>
    <t xml:space="preserve">Galileo, Rosa, Marco, Garibaldi</t>
  </si>
  <si>
    <t xml:space="preserve">Il microfono nella lampada</t>
  </si>
  <si>
    <t xml:space="preserve">전등 속 마이크</t>
  </si>
  <si>
    <r>
      <rPr>
        <sz val="10"/>
        <rFont val="Arial"/>
        <family val="0"/>
        <charset val="1"/>
      </rPr>
      <t xml:space="preserve">Gramsci</t>
    </r>
    <r>
      <rPr>
        <sz val="10"/>
        <rFont val="WenQuanYi Zen Hei"/>
        <family val="2"/>
      </rPr>
      <t xml:space="preserve">가 도청기를 찾아낸다 — 평생 정치경찰에게 감시당했던 사람의 감각이다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되쏘자는 </t>
    </r>
    <r>
      <rPr>
        <sz val="10"/>
        <rFont val="Arial"/>
        <family val="0"/>
        <charset val="1"/>
      </rPr>
      <t xml:space="preserve">Gramsci</t>
    </r>
    <r>
      <rPr>
        <sz val="10"/>
        <rFont val="WenQuanYi Zen Hei"/>
        <family val="2"/>
      </rPr>
      <t xml:space="preserve">와 합법 경로만 쓰자는 </t>
    </r>
    <r>
      <rPr>
        <sz val="10"/>
        <rFont val="Arial"/>
        <family val="0"/>
        <charset val="1"/>
      </rPr>
      <t xml:space="preserve">Marco</t>
    </r>
    <r>
      <rPr>
        <sz val="10"/>
        <rFont val="WenQuanYi Zen Hei"/>
        <family val="2"/>
      </rPr>
      <t xml:space="preserve">가 충돌한다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</si>
  <si>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사용할 수 없는 증거</t>
    </r>
    <r>
      <rPr>
        <sz val="10"/>
        <rFont val="Noto Sans CJK SC"/>
        <family val="2"/>
        <charset val="1"/>
      </rPr>
      <t xml:space="preserve">(prove inutilizzabili, </t>
    </r>
    <r>
      <rPr>
        <sz val="10"/>
        <rFont val="WenQuanYi Zen Hei"/>
        <family val="2"/>
      </rPr>
      <t xml:space="preserve">형사소송법 제</t>
    </r>
    <r>
      <rPr>
        <sz val="10"/>
        <rFont val="Noto Sans CJK SC"/>
        <family val="2"/>
        <charset val="1"/>
      </rPr>
      <t xml:space="preserve">191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통신의 비밀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15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</t>
    </r>
  </si>
  <si>
    <t xml:space="preserve">Gramsci, Marco, Garibaldi, Montessori</t>
  </si>
  <si>
    <t xml:space="preserve">La guardia del quartiere</t>
  </si>
  <si>
    <t xml:space="preserve">동네의 보초</t>
  </si>
  <si>
    <r>
      <rPr>
        <sz val="10"/>
        <rFont val="WenQuanYi Zen Hei"/>
        <family val="2"/>
      </rPr>
      <t xml:space="preserve">사무소 앞에 이웃들이 교대로 서서 지킨다</t>
    </r>
    <r>
      <rPr>
        <sz val="10"/>
        <rFont val="Noto Sans CJK SC"/>
        <family val="2"/>
        <charset val="1"/>
      </rPr>
      <t xml:space="preserve">. Paolo</t>
    </r>
    <r>
      <rPr>
        <sz val="10"/>
        <rFont val="WenQuanYi Zen Hei"/>
        <family val="2"/>
      </rPr>
      <t xml:space="preserve">가 조직하고 </t>
    </r>
    <r>
      <rPr>
        <sz val="10"/>
        <rFont val="Noto Sans CJK SC"/>
        <family val="2"/>
        <charset val="1"/>
      </rPr>
      <t xml:space="preserve">Dante</t>
    </r>
    <r>
      <rPr>
        <sz val="10"/>
        <rFont val="WenQuanYi Zen Hei"/>
        <family val="2"/>
      </rPr>
      <t xml:space="preserve">가 벽에 문구를 쓴다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</si>
  <si>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연대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조직 표현</t>
    </r>
  </si>
  <si>
    <t xml:space="preserve">Paolo, Dante, Rosa, Garibaldi</t>
  </si>
  <si>
    <t xml:space="preserve">Il decreto del GIP</t>
  </si>
  <si>
    <t xml:space="preserve">예비수사판사의 결정</t>
  </si>
  <si>
    <r>
      <rPr>
        <sz val="10"/>
        <rFont val="WenQuanYi Zen Hei"/>
        <family val="2"/>
      </rPr>
      <t xml:space="preserve">로마의 예비수사판사</t>
    </r>
    <r>
      <rPr>
        <sz val="10"/>
        <rFont val="Arial"/>
        <family val="0"/>
        <charset val="1"/>
      </rPr>
      <t xml:space="preserve">(GIP)</t>
    </r>
    <r>
      <rPr>
        <sz val="10"/>
        <rFont val="WenQuanYi Zen Hei"/>
        <family val="2"/>
      </rPr>
      <t xml:space="preserve">가 압수수색과 수사 연장을 승인하고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검찰이 </t>
    </r>
    <r>
      <rPr>
        <sz val="10"/>
        <rFont val="Arial"/>
        <family val="0"/>
        <charset val="1"/>
      </rPr>
      <t xml:space="preserve">GM </t>
    </r>
    <r>
      <rPr>
        <sz val="10"/>
        <rFont val="WenQuanYi Zen Hei"/>
        <family val="2"/>
      </rPr>
      <t xml:space="preserve">임원 세 명에게 피의자 통지</t>
    </r>
    <r>
      <rPr>
        <sz val="10"/>
        <rFont val="Arial"/>
        <family val="0"/>
        <charset val="1"/>
      </rPr>
      <t xml:space="preserve">(avviso di garanzia)</t>
    </r>
    <r>
      <rPr>
        <sz val="10"/>
        <rFont val="WenQuanYi Zen Hei"/>
        <family val="2"/>
      </rPr>
      <t xml:space="preserve">를 보낸다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사무실이 환호한다</t>
    </r>
    <r>
      <rPr>
        <sz val="10"/>
        <rFont val="Arial"/>
        <family val="0"/>
        <charset val="1"/>
      </rPr>
      <t xml:space="preserve">.</t>
    </r>
  </si>
  <si>
    <t xml:space="preserve">GIP, avviso di garanzia, interrogatorio</t>
  </si>
  <si>
    <t xml:space="preserve">Marco, Alessandro, Galileo, Francesco</t>
  </si>
  <si>
    <t xml:space="preserve">La legge che viene</t>
  </si>
  <si>
    <t xml:space="preserve">다가오는 법</t>
  </si>
  <si>
    <r>
      <rPr>
        <sz val="10"/>
        <rFont val="Arial"/>
        <family val="0"/>
        <charset val="1"/>
      </rPr>
      <t xml:space="preserve">GM</t>
    </r>
    <r>
      <rPr>
        <sz val="10"/>
        <rFont val="WenQuanYi Zen Hei"/>
        <family val="2"/>
      </rPr>
      <t xml:space="preserve">과 가까운 의원들이 공직자 범죄를 축소하고 도청을 제한하는 법안을 낸다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통과되면 임원들의 혐의 일부가 소급해 사라진다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형법 제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조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항</t>
    </r>
    <r>
      <rPr>
        <sz val="10"/>
        <rFont val="Arial"/>
        <family val="0"/>
        <charset val="1"/>
      </rPr>
      <t xml:space="preserve">). Cesare: «Le sentenze si vincono; le leggi si scrivono.»</t>
    </r>
  </si>
  <si>
    <r>
      <rPr>
        <sz val="10"/>
        <rFont val="WenQuanYi Zen Hei"/>
        <family val="2"/>
      </rPr>
      <t xml:space="preserve">입법 발의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범죄 폐지의 소급</t>
    </r>
    <r>
      <rPr>
        <sz val="10"/>
        <rFont val="Noto Sans CJK SC"/>
        <family val="2"/>
        <charset val="1"/>
      </rPr>
      <t xml:space="preserve">(abolitio criminis)</t>
    </r>
  </si>
  <si>
    <t xml:space="preserve">Cesare, Marco, Chiara, Paolo, Machiavelli</t>
  </si>
  <si>
    <t xml:space="preserve">P1·P3</t>
  </si>
  <si>
    <t xml:space="preserve">Una sedia a San Giovanni</t>
  </si>
  <si>
    <t xml:space="preserve">산 조반니의 의자</t>
  </si>
  <si>
    <r>
      <rPr>
        <sz val="10"/>
        <rFont val="Arial"/>
        <family val="0"/>
        <charset val="1"/>
      </rPr>
      <t xml:space="preserve">Paolo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Piazza San Giovanni</t>
    </r>
    <r>
      <rPr>
        <sz val="10"/>
        <rFont val="WenQuanYi Zen Hei"/>
        <family val="2"/>
      </rPr>
      <t xml:space="preserve">에서 모이자고 제안한다</t>
    </r>
    <r>
      <rPr>
        <sz val="10"/>
        <rFont val="Arial"/>
        <family val="0"/>
        <charset val="1"/>
      </rPr>
      <t xml:space="preserve">. Rosa</t>
    </r>
    <r>
      <rPr>
        <sz val="10"/>
        <rFont val="WenQuanYi Zen Hei"/>
        <family val="2"/>
      </rPr>
      <t xml:space="preserve">가 식탁의 의자를 든다</t>
    </r>
    <r>
      <rPr>
        <sz val="10"/>
        <rFont val="Arial"/>
        <family val="0"/>
        <charset val="1"/>
      </rPr>
      <t xml:space="preserve">. Marco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«Dobbiamo cambiare la legge.»</t>
    </r>
  </si>
  <si>
    <r>
      <rPr>
        <sz val="10"/>
        <rFont val="WenQuanYi Zen Hei"/>
        <family val="2"/>
      </rPr>
      <t xml:space="preserve">결단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제안</t>
    </r>
  </si>
  <si>
    <t xml:space="preserve">P1</t>
  </si>
  <si>
    <t xml:space="preserve">La piazza di San Giovanni</t>
  </si>
  <si>
    <t xml:space="preserve">산 조반니 광장의 집회</t>
  </si>
  <si>
    <r>
      <rPr>
        <sz val="10"/>
        <rFont val="WenQuanYi Zen Hei"/>
        <family val="2"/>
      </rPr>
      <t xml:space="preserve">사무소를 거쳐 간 의뢰인 수백 명이 광장에 모인다</t>
    </r>
    <r>
      <rPr>
        <sz val="10"/>
        <rFont val="Noto Sans CJK SC"/>
        <family val="2"/>
        <charset val="1"/>
      </rPr>
      <t xml:space="preserve">. Paolo</t>
    </r>
    <r>
      <rPr>
        <sz val="10"/>
        <rFont val="WenQuanYi Zen Hei"/>
        <family val="2"/>
      </rPr>
      <t xml:space="preserve">와 </t>
    </r>
    <r>
      <rPr>
        <sz val="10"/>
        <rFont val="Noto Sans CJK SC"/>
        <family val="2"/>
        <charset val="1"/>
      </rPr>
      <t xml:space="preserve">Garibaldi</t>
    </r>
    <r>
      <rPr>
        <sz val="10"/>
        <rFont val="WenQuanYi Zen Hei"/>
        <family val="2"/>
      </rPr>
      <t xml:space="preserve">가 조직하고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집회 신고를 두고 </t>
    </r>
    <r>
      <rPr>
        <sz val="10"/>
        <rFont val="Noto Sans CJK SC"/>
        <family val="2"/>
        <charset val="1"/>
      </rPr>
      <t xml:space="preserve">Marco</t>
    </r>
    <r>
      <rPr>
        <sz val="10"/>
        <rFont val="WenQuanYi Zen Hei"/>
        <family val="2"/>
      </rPr>
      <t xml:space="preserve">와 </t>
    </r>
    <r>
      <rPr>
        <sz val="10"/>
        <rFont val="Noto Sans CJK SC"/>
        <family val="2"/>
        <charset val="1"/>
      </rPr>
      <t xml:space="preserve">Garibaldi</t>
    </r>
    <r>
      <rPr>
        <sz val="10"/>
        <rFont val="WenQuanYi Zen Hei"/>
        <family val="2"/>
      </rPr>
      <t xml:space="preserve">가 실랑이한다</t>
    </r>
    <r>
      <rPr>
        <sz val="10"/>
        <rFont val="Noto Sans CJK SC"/>
        <family val="2"/>
        <charset val="1"/>
      </rPr>
      <t xml:space="preserve">(«</t>
    </r>
    <r>
      <rPr>
        <sz val="10"/>
        <rFont val="WenQuanYi Zen Hei"/>
        <family val="2"/>
      </rPr>
      <t xml:space="preserve">천 명을 이끌고 시칠리아에 상륙할 때 신고 같은 건 안 했소</t>
    </r>
    <r>
      <rPr>
        <sz val="10"/>
        <rFont val="Noto Sans CJK SC"/>
        <family val="2"/>
        <charset val="1"/>
      </rPr>
      <t xml:space="preserve">!»).</t>
    </r>
  </si>
  <si>
    <r>
      <rPr>
        <sz val="10"/>
        <rFont val="WenQuanYi Zen Hei"/>
        <family val="2"/>
      </rPr>
      <t xml:space="preserve">공공장소 집회는 </t>
    </r>
    <r>
      <rPr>
        <sz val="10"/>
        <rFont val="Noto Sans CJK SC"/>
        <family val="2"/>
        <charset val="1"/>
      </rPr>
      <t xml:space="preserve">3</t>
    </r>
    <r>
      <rPr>
        <sz val="10"/>
        <rFont val="WenQuanYi Zen Hei"/>
        <family val="2"/>
      </rPr>
      <t xml:space="preserve">일 전 경찰청장</t>
    </r>
    <r>
      <rPr>
        <sz val="10"/>
        <rFont val="Noto Sans CJK SC"/>
        <family val="2"/>
        <charset val="1"/>
      </rPr>
      <t xml:space="preserve">(Questore)</t>
    </r>
    <r>
      <rPr>
        <sz val="10"/>
        <rFont val="WenQuanYi Zen Hei"/>
        <family val="2"/>
      </rPr>
      <t xml:space="preserve">에게 사전 통지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17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, TULPS </t>
    </r>
    <r>
      <rPr>
        <sz val="10"/>
        <rFont val="WenQuanYi Zen Hei"/>
        <family val="2"/>
      </rPr>
      <t xml:space="preserve">제</t>
    </r>
    <r>
      <rPr>
        <sz val="10"/>
        <rFont val="Noto Sans CJK SC"/>
        <family val="2"/>
        <charset val="1"/>
      </rPr>
      <t xml:space="preserve">18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</t>
    </r>
  </si>
  <si>
    <t xml:space="preserve">Paolo, Garibaldi, Marco</t>
  </si>
  <si>
    <t xml:space="preserve">Dal caso alla legge</t>
  </si>
  <si>
    <t xml:space="preserve">사건에서 법으로</t>
  </si>
  <si>
    <r>
      <rPr>
        <sz val="10"/>
        <rFont val="Arial"/>
        <family val="0"/>
        <charset val="1"/>
      </rPr>
      <t xml:space="preserve">Marco</t>
    </r>
    <r>
      <rPr>
        <sz val="10"/>
        <rFont val="WenQuanYi Zen Hei"/>
        <family val="2"/>
      </rPr>
      <t xml:space="preserve">가 수십 건의 사건에서 같은 조항이 반복되는 것을 짚는다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법을 바꿔야 한다</t>
    </r>
    <r>
      <rPr>
        <sz val="10"/>
        <rFont val="Arial"/>
        <family val="0"/>
        <charset val="1"/>
      </rPr>
      <t xml:space="preserve">. Machiavelli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가장 빠른 길과 가장 오래가는 길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을 구분한다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</si>
  <si>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법을 바꾸는 길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정부 법안</t>
    </r>
    <r>
      <rPr>
        <sz val="10"/>
        <rFont val="Noto Sans CJK SC"/>
        <family val="2"/>
        <charset val="1"/>
      </rPr>
      <t xml:space="preserve">(disegno di legge), </t>
    </r>
    <r>
      <rPr>
        <sz val="10"/>
        <rFont val="WenQuanYi Zen Hei"/>
        <family val="2"/>
      </rPr>
      <t xml:space="preserve">의원 발의</t>
    </r>
    <r>
      <rPr>
        <sz val="10"/>
        <rFont val="Noto Sans CJK SC"/>
        <family val="2"/>
        <charset val="1"/>
      </rPr>
      <t xml:space="preserve">(proposta di legge), </t>
    </r>
    <r>
      <rPr>
        <sz val="10"/>
        <rFont val="WenQuanYi Zen Hei"/>
        <family val="2"/>
      </rPr>
      <t xml:space="preserve">국민 발의</t>
    </r>
    <r>
      <rPr>
        <sz val="10"/>
        <rFont val="Noto Sans CJK SC"/>
        <family val="2"/>
        <charset val="1"/>
      </rPr>
      <t xml:space="preserve">(5</t>
    </r>
    <r>
      <rPr>
        <sz val="10"/>
        <rFont val="WenQuanYi Zen Hei"/>
        <family val="2"/>
      </rPr>
      <t xml:space="preserve">만 서명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폐지 국민투표</t>
    </r>
    <r>
      <rPr>
        <sz val="10"/>
        <rFont val="Noto Sans CJK SC"/>
        <family val="2"/>
        <charset val="1"/>
      </rPr>
      <t xml:space="preserve">(50</t>
    </r>
    <r>
      <rPr>
        <sz val="10"/>
        <rFont val="WenQuanYi Zen Hei"/>
        <family val="2"/>
      </rPr>
      <t xml:space="preserve">만 서명</t>
    </r>
    <r>
      <rPr>
        <sz val="10"/>
        <rFont val="Noto Sans CJK SC"/>
        <family val="2"/>
        <charset val="1"/>
      </rPr>
      <t xml:space="preserve">)</t>
    </r>
  </si>
  <si>
    <t xml:space="preserve">Marco, Sofia, Machiavelli</t>
  </si>
  <si>
    <t xml:space="preserve">Cinquecentomila firme</t>
  </si>
  <si>
    <r>
      <rPr>
        <sz val="10"/>
        <rFont val="Arial"/>
        <family val="0"/>
        <charset val="1"/>
      </rPr>
      <t xml:space="preserve">50</t>
    </r>
    <r>
      <rPr>
        <sz val="10"/>
        <rFont val="WenQuanYi Zen Hei"/>
        <family val="2"/>
      </rPr>
      <t xml:space="preserve">만 서명</t>
    </r>
  </si>
  <si>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부의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공직자 범죄 축소법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을 없애는 폐지 국민투표 서명 운동</t>
    </r>
    <r>
      <rPr>
        <sz val="10"/>
        <rFont val="Arial"/>
        <family val="0"/>
        <charset val="1"/>
      </rPr>
      <t xml:space="preserve">. Rosa</t>
    </r>
    <r>
      <rPr>
        <sz val="10"/>
        <rFont val="WenQuanYi Zen Hei"/>
        <family val="2"/>
      </rPr>
      <t xml:space="preserve">의 트라토리아가 서명 접수처가 되고 온라인 서명도 받는다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</si>
  <si>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폐지 국민투표 </t>
    </r>
    <r>
      <rPr>
        <sz val="10"/>
        <rFont val="Arial"/>
        <family val="0"/>
        <charset val="1"/>
      </rPr>
      <t xml:space="preserve">50</t>
    </r>
    <r>
      <rPr>
        <sz val="10"/>
        <rFont val="WenQuanYi Zen Hei"/>
        <family val="2"/>
      </rPr>
      <t xml:space="preserve">만 서명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75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, legge 352/1970), </t>
    </r>
    <r>
      <rPr>
        <sz val="10"/>
        <rFont val="WenQuanYi Zen Hei"/>
        <family val="2"/>
      </rPr>
      <t xml:space="preserve">전자 서명 플랫폼</t>
    </r>
  </si>
  <si>
    <t xml:space="preserve">Rosa, Paolo, Sofia</t>
  </si>
  <si>
    <t xml:space="preserve">P3·S1</t>
  </si>
  <si>
    <t xml:space="preserve">전환점</t>
  </si>
  <si>
    <t xml:space="preserve">Il quorum</t>
  </si>
  <si>
    <t xml:space="preserve">정족수</t>
  </si>
  <si>
    <r>
      <rPr>
        <sz val="10"/>
        <rFont val="WenQuanYi Zen Hei"/>
        <family val="2"/>
      </rPr>
      <t xml:space="preserve">헌법재판소가 국민투표를 허용하지만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투표율이 유권자 과반에 못 미쳐 무효가 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개표 방송 앞의 시민들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</si>
  <si>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폐지 국민투표는 유권자 과반 투표 시에만 유효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75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헌법재판소 허용 심사</t>
    </r>
    <r>
      <rPr>
        <sz val="10"/>
        <rFont val="Noto Sans CJK SC"/>
        <family val="2"/>
        <charset val="1"/>
      </rPr>
      <t xml:space="preserve">(ammissibilità)</t>
    </r>
  </si>
  <si>
    <t xml:space="preserve">Marco, Galileo, Machiavelli</t>
  </si>
  <si>
    <t xml:space="preserve">Nasce un partito</t>
  </si>
  <si>
    <t xml:space="preserve">정당의 탄생</t>
  </si>
  <si>
    <r>
      <rPr>
        <sz val="10"/>
        <rFont val="WenQuanYi Zen Hei"/>
        <family val="2"/>
      </rPr>
      <t xml:space="preserve">이름을 정한다</t>
    </r>
    <r>
      <rPr>
        <sz val="10"/>
        <rFont val="Noto Sans CJK SC"/>
        <family val="2"/>
        <charset val="1"/>
      </rPr>
      <t xml:space="preserve">: «Casa Comune» — Rosa</t>
    </r>
    <r>
      <rPr>
        <sz val="10"/>
        <rFont val="WenQuanYi Zen Hei"/>
        <family val="2"/>
      </rPr>
      <t xml:space="preserve">의 식탁에서 나온 이름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공증인 앞에서 설립 문서와 정관에 서명한다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</si>
  <si>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정당은 법인격 없는 사단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49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민법 제</t>
    </r>
    <r>
      <rPr>
        <sz val="10"/>
        <rFont val="Arial"/>
        <family val="0"/>
        <charset val="1"/>
      </rPr>
      <t xml:space="preserve">36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국가 정당 등록부 등록</t>
    </r>
    <r>
      <rPr>
        <sz val="10"/>
        <rFont val="Arial"/>
        <family val="0"/>
        <charset val="1"/>
      </rPr>
      <t xml:space="preserve">(d.l. 149/2013)</t>
    </r>
  </si>
  <si>
    <t xml:space="preserve">Rosa, Dante, Marco</t>
  </si>
  <si>
    <t xml:space="preserve">Lo statuto</t>
  </si>
  <si>
    <t xml:space="preserve">정관</t>
  </si>
  <si>
    <r>
      <rPr>
        <sz val="10"/>
        <rFont val="WenQuanYi Zen Hei"/>
        <family val="2"/>
      </rPr>
      <t xml:space="preserve">당원 자격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윤리 강령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후보 경선 방식을 둘러싼 토론</t>
    </r>
    <r>
      <rPr>
        <sz val="10"/>
        <rFont val="Noto Sans CJK SC"/>
        <family val="2"/>
        <charset val="1"/>
      </rPr>
      <t xml:space="preserve">. Chiara</t>
    </r>
    <r>
      <rPr>
        <sz val="10"/>
        <rFont val="WenQuanYi Zen Hei"/>
        <family val="2"/>
      </rPr>
      <t xml:space="preserve">의 조직도 </t>
    </r>
    <r>
      <rPr>
        <sz val="10"/>
        <rFont val="Noto Sans CJK SC"/>
        <family val="2"/>
        <charset val="1"/>
      </rPr>
      <t xml:space="preserve">vs Paolo</t>
    </r>
    <r>
      <rPr>
        <sz val="10"/>
        <rFont val="WenQuanYi Zen Hei"/>
        <family val="2"/>
      </rPr>
      <t xml:space="preserve">의 총회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</si>
  <si>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등록 정당 정관의 민주적 절차 요건</t>
    </r>
    <r>
      <rPr>
        <sz val="10"/>
        <rFont val="Noto Sans CJK SC"/>
        <family val="2"/>
        <charset val="1"/>
      </rPr>
      <t xml:space="preserve">(d.l. 149/2013 </t>
    </r>
    <r>
      <rPr>
        <sz val="10"/>
        <rFont val="WenQuanYi Zen Hei"/>
        <family val="2"/>
      </rPr>
      <t xml:space="preserve">제</t>
    </r>
    <r>
      <rPr>
        <sz val="10"/>
        <rFont val="Noto Sans CJK SC"/>
        <family val="2"/>
        <charset val="1"/>
      </rPr>
      <t xml:space="preserve">3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49</t>
    </r>
    <r>
      <rPr>
        <sz val="10"/>
        <rFont val="WenQuanYi Zen Hei"/>
        <family val="2"/>
      </rPr>
      <t xml:space="preserve">조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민주적 방법</t>
    </r>
    <r>
      <rPr>
        <sz val="10"/>
        <rFont val="Noto Sans CJK SC"/>
        <family val="2"/>
        <charset val="1"/>
      </rPr>
      <t xml:space="preserve">'</t>
    </r>
  </si>
  <si>
    <t xml:space="preserve">Chiara, Paolo, Machiavelli</t>
  </si>
  <si>
    <t xml:space="preserve">Il denaro pulito</t>
  </si>
  <si>
    <t xml:space="preserve">깨끗한 돈</t>
  </si>
  <si>
    <r>
      <rPr>
        <sz val="10"/>
        <rFont val="WenQuanYi Zen Hei"/>
        <family val="2"/>
      </rPr>
      <t xml:space="preserve">소액 후원 원칙과 회계 공개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은행이 계좌 개설을 미룬다</t>
    </r>
    <r>
      <rPr>
        <sz val="10"/>
        <rFont val="Noto Sans CJK SC"/>
        <family val="2"/>
        <charset val="1"/>
      </rPr>
      <t xml:space="preserve">. Francesco</t>
    </r>
    <r>
      <rPr>
        <sz val="10"/>
        <rFont val="WenQuanYi Zen Hei"/>
        <family val="2"/>
      </rPr>
      <t xml:space="preserve">의 노하우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</si>
  <si>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정치 후원 공개 의무</t>
    </r>
    <r>
      <rPr>
        <sz val="10"/>
        <rFont val="Noto Sans CJK SC"/>
        <family val="2"/>
        <charset val="1"/>
      </rPr>
      <t xml:space="preserve">(legge 3/2019), 2x1000 </t>
    </r>
    <r>
      <rPr>
        <sz val="10"/>
        <rFont val="WenQuanYi Zen Hei"/>
        <family val="2"/>
      </rPr>
      <t xml:space="preserve">기부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정당 회계 감독위원회</t>
    </r>
    <r>
      <rPr>
        <sz val="10"/>
        <rFont val="Noto Sans CJK SC"/>
        <family val="2"/>
        <charset val="1"/>
      </rPr>
      <t xml:space="preserve">(Commissione di garanzia)</t>
    </r>
  </si>
  <si>
    <t xml:space="preserve">Le candidature</t>
  </si>
  <si>
    <t xml:space="preserve">후보 명부</t>
  </si>
  <si>
    <r>
      <rPr>
        <sz val="10"/>
        <rFont val="Arial"/>
        <family val="0"/>
        <charset val="1"/>
      </rPr>
      <t xml:space="preserve">Alessandro</t>
    </r>
    <r>
      <rPr>
        <sz val="10"/>
        <rFont val="WenQuanYi Zen Hei"/>
        <family val="2"/>
      </rPr>
      <t xml:space="preserve">는 로마 시장 후보</t>
    </r>
    <r>
      <rPr>
        <sz val="10"/>
        <rFont val="Arial"/>
        <family val="0"/>
        <charset val="1"/>
      </rPr>
      <t xml:space="preserve">, Giulia</t>
    </r>
    <r>
      <rPr>
        <sz val="10"/>
        <rFont val="WenQuanYi Zen Hei"/>
        <family val="2"/>
      </rPr>
      <t xml:space="preserve">는 라치오 주의회 명부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번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명부 순서를 둘러싼 갈등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</si>
  <si>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성별 균형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명부 내 한 성별 </t>
    </r>
    <r>
      <rPr>
        <sz val="10"/>
        <rFont val="Noto Sans CJK SC"/>
        <family val="2"/>
        <charset val="1"/>
      </rPr>
      <t xml:space="preserve">2/3 </t>
    </r>
    <r>
      <rPr>
        <sz val="10"/>
        <rFont val="WenQuanYi Zen Hei"/>
        <family val="2"/>
      </rPr>
      <t xml:space="preserve">초과 금지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선호투표 성별 교차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명부 제출 서명</t>
    </r>
  </si>
  <si>
    <t xml:space="preserve">Alessandro, Giulia, Sofia</t>
  </si>
  <si>
    <t xml:space="preserve">N4·S1</t>
  </si>
  <si>
    <t xml:space="preserve">La campagna nei quartieri</t>
  </si>
  <si>
    <t xml:space="preserve">골목길 캠페인</t>
  </si>
  <si>
    <r>
      <rPr>
        <sz val="10"/>
        <rFont val="Arial"/>
        <family val="0"/>
        <charset val="1"/>
      </rPr>
      <t xml:space="preserve">Rosa</t>
    </r>
    <r>
      <rPr>
        <sz val="10"/>
        <rFont val="WenQuanYi Zen Hei"/>
        <family val="2"/>
      </rPr>
      <t xml:space="preserve">의 트라토리아에서 시작해 </t>
    </r>
    <r>
      <rPr>
        <sz val="10"/>
        <rFont val="Arial"/>
        <family val="0"/>
        <charset val="1"/>
      </rPr>
      <t xml:space="preserve">Quarticciolo·Tor Bella Monaca </t>
    </r>
    <r>
      <rPr>
        <sz val="10"/>
        <rFont val="WenQuanYi Zen Hei"/>
        <family val="2"/>
      </rPr>
      <t xml:space="preserve">골목을 도는 유세</t>
    </r>
    <r>
      <rPr>
        <sz val="10"/>
        <rFont val="Arial"/>
        <family val="0"/>
        <charset val="1"/>
      </rPr>
      <t xml:space="preserve">. Dante</t>
    </r>
    <r>
      <rPr>
        <sz val="10"/>
        <rFont val="WenQuanYi Zen Hei"/>
        <family val="2"/>
      </rPr>
      <t xml:space="preserve">의 첫 연설 문구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</si>
  <si>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선거운동 규칙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방송 균등 노출</t>
    </r>
    <r>
      <rPr>
        <sz val="10"/>
        <rFont val="Noto Sans CJK SC"/>
        <family val="2"/>
        <charset val="1"/>
      </rPr>
      <t xml:space="preserve">(par condicio, legge 28/2000), AGCOM </t>
    </r>
    <r>
      <rPr>
        <sz val="10"/>
        <rFont val="WenQuanYi Zen Hei"/>
        <family val="2"/>
      </rPr>
      <t xml:space="preserve">감독</t>
    </r>
  </si>
  <si>
    <t xml:space="preserve">Dante, Rosa, Garibaldi</t>
  </si>
  <si>
    <t xml:space="preserve">E1·E2·S2</t>
  </si>
  <si>
    <t xml:space="preserve">L'attacco della stampa</t>
  </si>
  <si>
    <t xml:space="preserve">언론의 공격</t>
  </si>
  <si>
    <r>
      <rPr>
        <sz val="10"/>
        <rFont val="WenQuanYi Zen Hei"/>
        <family val="2"/>
      </rPr>
      <t xml:space="preserve">왜곡 기사가 나온다</t>
    </r>
    <r>
      <rPr>
        <sz val="10"/>
        <rFont val="Noto Sans CJK SC"/>
        <family val="2"/>
        <charset val="1"/>
      </rPr>
      <t xml:space="preserve">. Galileo</t>
    </r>
    <r>
      <rPr>
        <sz val="10"/>
        <rFont val="WenQuanYi Zen Hei"/>
        <family val="2"/>
      </rPr>
      <t xml:space="preserve">가 반박하고 정정을 청구한다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</si>
  <si>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정정권</t>
    </r>
    <r>
      <rPr>
        <sz val="10"/>
        <rFont val="Noto Sans CJK SC"/>
        <family val="2"/>
        <charset val="1"/>
      </rPr>
      <t xml:space="preserve">(legge 47/1948 </t>
    </r>
    <r>
      <rPr>
        <sz val="10"/>
        <rFont val="WenQuanYi Zen Hei"/>
        <family val="2"/>
      </rPr>
      <t xml:space="preserve">제</t>
    </r>
    <r>
      <rPr>
        <sz val="10"/>
        <rFont val="Noto Sans CJK SC"/>
        <family val="2"/>
        <charset val="1"/>
      </rPr>
      <t xml:space="preserve">8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AGCOM </t>
    </r>
    <r>
      <rPr>
        <sz val="10"/>
        <rFont val="WenQuanYi Zen Hei"/>
        <family val="2"/>
      </rPr>
      <t xml:space="preserve">제소</t>
    </r>
  </si>
  <si>
    <t xml:space="preserve">Galileo, Marco</t>
  </si>
  <si>
    <t xml:space="preserve">Il silenzio elettorale</t>
  </si>
  <si>
    <t xml:space="preserve">선거 침묵</t>
  </si>
  <si>
    <r>
      <rPr>
        <sz val="10"/>
        <rFont val="WenQuanYi Zen Hei"/>
        <family val="2"/>
      </rPr>
      <t xml:space="preserve">선거 전날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마지막 유세의 유혹을 접고 정적</t>
    </r>
    <r>
      <rPr>
        <sz val="10"/>
        <rFont val="Noto Sans CJK SC"/>
        <family val="2"/>
        <charset val="1"/>
      </rPr>
      <t xml:space="preserve">. Montessori</t>
    </r>
    <r>
      <rPr>
        <sz val="10"/>
        <rFont val="WenQuanYi Zen Hei"/>
        <family val="2"/>
      </rPr>
      <t xml:space="preserve">의 되받기가 처음으로 위로가 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</si>
  <si>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선거 전날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당일 선거운동 금지</t>
    </r>
    <r>
      <rPr>
        <sz val="10"/>
        <rFont val="Noto Sans CJK SC"/>
        <family val="2"/>
        <charset val="1"/>
      </rPr>
      <t xml:space="preserve">(legge 212/1956), </t>
    </r>
    <r>
      <rPr>
        <sz val="10"/>
        <rFont val="WenQuanYi Zen Hei"/>
        <family val="2"/>
      </rPr>
      <t xml:space="preserve">마지막 </t>
    </r>
    <r>
      <rPr>
        <sz val="10"/>
        <rFont val="Noto Sans CJK SC"/>
        <family val="2"/>
        <charset val="1"/>
      </rPr>
      <t xml:space="preserve">15</t>
    </r>
    <r>
      <rPr>
        <sz val="10"/>
        <rFont val="WenQuanYi Zen Hei"/>
        <family val="2"/>
      </rPr>
      <t xml:space="preserve">일 여론조사 공표 금지</t>
    </r>
    <r>
      <rPr>
        <sz val="10"/>
        <rFont val="Noto Sans CJK SC"/>
        <family val="2"/>
        <charset val="1"/>
      </rPr>
      <t xml:space="preserve">(legge 28/2000)</t>
    </r>
  </si>
  <si>
    <t xml:space="preserve">Montessori, Chiara</t>
  </si>
  <si>
    <t xml:space="preserve">La notte dello spoglio</t>
  </si>
  <si>
    <t xml:space="preserve">개표의 밤</t>
  </si>
  <si>
    <r>
      <rPr>
        <sz val="10"/>
        <rFont val="Noto Sans CJK SC"/>
        <family val="2"/>
        <charset val="1"/>
      </rPr>
      <t xml:space="preserve">Assemblea Capitolina 48</t>
    </r>
    <r>
      <rPr>
        <sz val="10"/>
        <rFont val="WenQuanYi Zen Hei"/>
        <family val="2"/>
      </rPr>
      <t xml:space="preserve">석 중 </t>
    </r>
    <r>
      <rPr>
        <sz val="10"/>
        <rFont val="Noto Sans CJK SC"/>
        <family val="2"/>
        <charset val="1"/>
      </rPr>
      <t xml:space="preserve">5</t>
    </r>
    <r>
      <rPr>
        <sz val="10"/>
        <rFont val="WenQuanYi Zen Hei"/>
        <family val="2"/>
      </rPr>
      <t xml:space="preserve">석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라치오 주의회 진출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가상 수치</t>
    </r>
    <r>
      <rPr>
        <sz val="10"/>
        <rFont val="Noto Sans CJK SC"/>
        <family val="2"/>
        <charset val="1"/>
      </rPr>
      <t xml:space="preserve">). </t>
    </r>
    <r>
      <rPr>
        <sz val="10"/>
        <rFont val="WenQuanYi Zen Hei"/>
        <family val="2"/>
      </rPr>
      <t xml:space="preserve">시장 후보 </t>
    </r>
    <r>
      <rPr>
        <sz val="10"/>
        <rFont val="Noto Sans CJK SC"/>
        <family val="2"/>
        <charset val="1"/>
      </rPr>
      <t xml:space="preserve">Alessandro</t>
    </r>
    <r>
      <rPr>
        <sz val="10"/>
        <rFont val="WenQuanYi Zen Hei"/>
        <family val="2"/>
      </rPr>
      <t xml:space="preserve">는 </t>
    </r>
    <r>
      <rPr>
        <sz val="10"/>
        <rFont val="Noto Sans CJK SC"/>
        <family val="2"/>
        <charset val="1"/>
      </rPr>
      <t xml:space="preserve">3</t>
    </r>
    <r>
      <rPr>
        <sz val="10"/>
        <rFont val="WenQuanYi Zen Hei"/>
        <family val="2"/>
      </rPr>
      <t xml:space="preserve">위로 결선에 오르지 못한다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</si>
  <si>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시장 직선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결선투표</t>
    </r>
    <r>
      <rPr>
        <sz val="10"/>
        <rFont val="Noto Sans CJK SC"/>
        <family val="2"/>
        <charset val="1"/>
      </rPr>
      <t xml:space="preserve">(ballottaggio), </t>
    </r>
    <r>
      <rPr>
        <sz val="10"/>
        <rFont val="WenQuanYi Zen Hei"/>
        <family val="2"/>
      </rPr>
      <t xml:space="preserve">시장 연합 과반 보너스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명부 문턱 </t>
    </r>
    <r>
      <rPr>
        <sz val="10"/>
        <rFont val="Noto Sans CJK SC"/>
        <family val="2"/>
        <charset val="1"/>
      </rPr>
      <t xml:space="preserve">3%</t>
    </r>
  </si>
  <si>
    <t xml:space="preserve">L'insediamento</t>
  </si>
  <si>
    <t xml:space="preserve">시의회 개원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</si>
  <si>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주 뒤 결선투표에서 다른 당 후보가 시장이 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낙선한 시장 후보 </t>
    </r>
    <r>
      <rPr>
        <sz val="10"/>
        <rFont val="Arial"/>
        <family val="0"/>
        <charset val="1"/>
      </rPr>
      <t xml:space="preserve">Alessandro</t>
    </r>
    <r>
      <rPr>
        <sz val="10"/>
        <rFont val="WenQuanYi Zen Hei"/>
        <family val="2"/>
      </rPr>
      <t xml:space="preserve">는 규정에 따라 시의원이 되어 첫 회의에서 자리에 앉는다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</si>
  <si>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시장 직선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결선</t>
    </r>
    <r>
      <rPr>
        <sz val="10"/>
        <rFont val="Noto Sans CJK SC"/>
        <family val="2"/>
        <charset val="1"/>
      </rPr>
      <t xml:space="preserve">(TUEL </t>
    </r>
    <r>
      <rPr>
        <sz val="10"/>
        <rFont val="WenQuanYi Zen Hei"/>
        <family val="2"/>
      </rPr>
      <t xml:space="preserve">제</t>
    </r>
    <r>
      <rPr>
        <sz val="10"/>
        <rFont val="Noto Sans CJK SC"/>
        <family val="2"/>
        <charset val="1"/>
      </rPr>
      <t xml:space="preserve">72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낙선 시장 후보의 의석</t>
    </r>
    <r>
      <rPr>
        <sz val="10"/>
        <rFont val="Noto Sans CJK SC"/>
        <family val="2"/>
        <charset val="1"/>
      </rPr>
      <t xml:space="preserve">(TUEL </t>
    </r>
    <r>
      <rPr>
        <sz val="10"/>
        <rFont val="WenQuanYi Zen Hei"/>
        <family val="2"/>
      </rPr>
      <t xml:space="preserve">제</t>
    </r>
    <r>
      <rPr>
        <sz val="10"/>
        <rFont val="Noto Sans CJK SC"/>
        <family val="2"/>
        <charset val="1"/>
      </rPr>
      <t xml:space="preserve">73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확인</t>
    </r>
    <r>
      <rPr>
        <sz val="10"/>
        <rFont val="Noto Sans CJK SC"/>
        <family val="2"/>
        <charset val="1"/>
      </rPr>
      <t xml:space="preserve">)</t>
    </r>
  </si>
  <si>
    <t xml:space="preserve">Alessandro, Marco</t>
  </si>
  <si>
    <t xml:space="preserve">La prima seduta</t>
  </si>
  <si>
    <t xml:space="preserve">첫 본회의</t>
  </si>
  <si>
    <r>
      <rPr>
        <sz val="10"/>
        <rFont val="WenQuanYi Zen Hei"/>
        <family val="2"/>
      </rPr>
      <t xml:space="preserve">발언 시간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질의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동의안 절차를 배우는 신참 의원들</t>
    </r>
    <r>
      <rPr>
        <sz val="10"/>
        <rFont val="Noto Sans CJK SC"/>
        <family val="2"/>
        <charset val="1"/>
      </rPr>
      <t xml:space="preserve">. Sofia</t>
    </r>
    <r>
      <rPr>
        <sz val="10"/>
        <rFont val="WenQuanYi Zen Hei"/>
        <family val="2"/>
      </rPr>
      <t xml:space="preserve">의 질문 연발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</si>
  <si>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회의 운영</t>
    </r>
    <r>
      <rPr>
        <sz val="10"/>
        <rFont val="Arial"/>
        <family val="0"/>
        <charset val="1"/>
      </rPr>
      <t xml:space="preserve">: mozione, interrogazione, ordine del giorno</t>
    </r>
  </si>
  <si>
    <t xml:space="preserve">Alessandro, Sofia</t>
  </si>
  <si>
    <t xml:space="preserve">La revisione dei conti della città</t>
  </si>
  <si>
    <t xml:space="preserve">도시 예산 감사</t>
  </si>
  <si>
    <r>
      <rPr>
        <sz val="10"/>
        <rFont val="Arial"/>
        <family val="0"/>
        <charset val="1"/>
      </rPr>
      <t xml:space="preserve">Alessandro</t>
    </r>
    <r>
      <rPr>
        <sz val="10"/>
        <rFont val="WenQuanYi Zen Hei"/>
        <family val="2"/>
      </rPr>
      <t xml:space="preserve">가 시 예산과 결산</t>
    </r>
    <r>
      <rPr>
        <sz val="10"/>
        <rFont val="Arial"/>
        <family val="0"/>
        <charset val="1"/>
      </rPr>
      <t xml:space="preserve">(rendiconto)</t>
    </r>
    <r>
      <rPr>
        <sz val="10"/>
        <rFont val="WenQuanYi Zen Hei"/>
        <family val="2"/>
      </rPr>
      <t xml:space="preserve">을 파고들고 </t>
    </r>
    <r>
      <rPr>
        <sz val="10"/>
        <rFont val="Arial"/>
        <family val="0"/>
        <charset val="1"/>
      </rPr>
      <t xml:space="preserve">Francesco</t>
    </r>
    <r>
      <rPr>
        <sz val="10"/>
        <rFont val="WenQuanYi Zen Hei"/>
        <family val="2"/>
      </rPr>
      <t xml:space="preserve">가 계좌 흐름을 그린다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</si>
  <si>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결산</t>
    </r>
    <r>
      <rPr>
        <sz val="10"/>
        <rFont val="Arial"/>
        <family val="0"/>
        <charset val="1"/>
      </rPr>
      <t xml:space="preserve">(rendiconto), </t>
    </r>
    <r>
      <rPr>
        <sz val="10"/>
        <rFont val="WenQuanYi Zen Hei"/>
        <family val="2"/>
      </rPr>
      <t xml:space="preserve">회계감사단</t>
    </r>
    <r>
      <rPr>
        <sz val="10"/>
        <rFont val="Arial"/>
        <family val="0"/>
        <charset val="1"/>
      </rPr>
      <t xml:space="preserve">(Collegio dei revisori), </t>
    </r>
    <r>
      <rPr>
        <sz val="10"/>
        <rFont val="WenQuanYi Zen Hei"/>
        <family val="2"/>
      </rPr>
      <t xml:space="preserve">감사원</t>
    </r>
    <r>
      <rPr>
        <sz val="10"/>
        <rFont val="Arial"/>
        <family val="0"/>
        <charset val="1"/>
      </rPr>
      <t xml:space="preserve">(Corte dei conti)</t>
    </r>
  </si>
  <si>
    <t xml:space="preserve">Contratti sotto la lente</t>
  </si>
  <si>
    <t xml:space="preserve">돋보기 아래의 계약들</t>
  </si>
  <si>
    <r>
      <rPr>
        <sz val="10"/>
        <rFont val="WenQuanYi Zen Hei"/>
        <family val="2"/>
      </rPr>
      <t xml:space="preserve">시 산하 기업과 공공주택 기관의 쪼개기 발주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그리고 </t>
    </r>
    <r>
      <rPr>
        <sz val="10"/>
        <rFont val="Noto Sans CJK SC"/>
        <family val="2"/>
        <charset val="1"/>
      </rPr>
      <t xml:space="preserve">PNRR </t>
    </r>
    <r>
      <rPr>
        <sz val="10"/>
        <rFont val="WenQuanYi Zen Hei"/>
        <family val="2"/>
      </rPr>
      <t xml:space="preserve">사업이 소수 업체로 흘러간 정황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행정 병목 때문에 일부는 집행조차 못 했다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</si>
  <si>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공공계약법</t>
    </r>
    <r>
      <rPr>
        <sz val="10"/>
        <rFont val="Noto Sans CJK SC"/>
        <family val="2"/>
        <charset val="1"/>
      </rPr>
      <t xml:space="preserve">(d.lgs. 36/2023), </t>
    </r>
    <r>
      <rPr>
        <sz val="10"/>
        <rFont val="WenQuanYi Zen Hei"/>
        <family val="2"/>
      </rPr>
      <t xml:space="preserve">인위적 분할 발주</t>
    </r>
    <r>
      <rPr>
        <sz val="10"/>
        <rFont val="Noto Sans CJK SC"/>
        <family val="2"/>
        <charset val="1"/>
      </rPr>
      <t xml:space="preserve">(frazionamento), PNRR</t>
    </r>
  </si>
  <si>
    <t xml:space="preserve">Alessandro, Gramsci, Francesco</t>
  </si>
  <si>
    <t xml:space="preserve">N2</t>
  </si>
  <si>
    <t xml:space="preserve">L'alleanza scomoda</t>
  </si>
  <si>
    <t xml:space="preserve">불편한 동맹</t>
  </si>
  <si>
    <r>
      <rPr>
        <sz val="10"/>
        <rFont val="WenQuanYi Zen Hei"/>
        <family val="2"/>
      </rPr>
      <t xml:space="preserve">예산 통과를 위해 거대 정당 중 한 곳과 표를 맞바꿔야 하는 딜레마</t>
    </r>
    <r>
      <rPr>
        <sz val="10"/>
        <rFont val="Noto Sans CJK SC"/>
        <family val="2"/>
        <charset val="1"/>
      </rPr>
      <t xml:space="preserve">. Paolo</t>
    </r>
    <r>
      <rPr>
        <sz val="10"/>
        <rFont val="WenQuanYi Zen Hei"/>
        <family val="2"/>
      </rPr>
      <t xml:space="preserve">는 반대하고 </t>
    </r>
    <r>
      <rPr>
        <sz val="10"/>
        <rFont val="Noto Sans CJK SC"/>
        <family val="2"/>
        <charset val="1"/>
      </rPr>
      <t xml:space="preserve">Machiavelli</t>
    </r>
    <r>
      <rPr>
        <sz val="10"/>
        <rFont val="WenQuanYi Zen Hei"/>
        <family val="2"/>
      </rPr>
      <t xml:space="preserve">는 표를 센다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</si>
  <si>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소수 의원단의 캐스팅보트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예산안 표결</t>
    </r>
  </si>
  <si>
    <t xml:space="preserve">La trappola del bilancio</t>
  </si>
  <si>
    <t xml:space="preserve">예산의 덫</t>
  </si>
  <si>
    <r>
      <rPr>
        <sz val="10"/>
        <rFont val="WenQuanYi Zen Hei"/>
        <family val="2"/>
      </rPr>
      <t xml:space="preserve">예산안 부속 규정에 숨은 임대료 보조 </t>
    </r>
    <r>
      <rPr>
        <sz val="10"/>
        <rFont val="Noto Sans CJK SC"/>
        <family val="2"/>
        <charset val="1"/>
      </rPr>
      <t xml:space="preserve">20% </t>
    </r>
    <r>
      <rPr>
        <sz val="10"/>
        <rFont val="WenQuanYi Zen Hei"/>
        <family val="2"/>
      </rPr>
      <t xml:space="preserve">삭감과 단기 관광임대 용도 완화 조항</t>
    </r>
    <r>
      <rPr>
        <sz val="10"/>
        <rFont val="Noto Sans CJK SC"/>
        <family val="2"/>
        <charset val="1"/>
      </rPr>
      <t xml:space="preserve">. Sofia</t>
    </r>
    <r>
      <rPr>
        <sz val="10"/>
        <rFont val="WenQuanYi Zen Hei"/>
        <family val="2"/>
      </rPr>
      <t xml:space="preserve">의 </t>
    </r>
    <r>
      <rPr>
        <sz val="10"/>
        <rFont val="Noto Sans CJK SC"/>
        <family val="2"/>
        <charset val="1"/>
      </rPr>
      <t xml:space="preserve">2</t>
    </r>
    <r>
      <rPr>
        <sz val="10"/>
        <rFont val="WenQuanYi Zen Hei"/>
        <family val="2"/>
      </rPr>
      <t xml:space="preserve">차 폭발</t>
    </r>
    <r>
      <rPr>
        <sz val="10"/>
        <rFont val="Noto Sans CJK SC"/>
        <family val="2"/>
        <charset val="1"/>
      </rPr>
      <t xml:space="preserve">. Cesare</t>
    </r>
    <r>
      <rPr>
        <sz val="10"/>
        <rFont val="WenQuanYi Zen Hei"/>
        <family val="2"/>
      </rPr>
      <t xml:space="preserve">가 선을 넘고 </t>
    </r>
    <r>
      <rPr>
        <sz val="10"/>
        <rFont val="Noto Sans CJK SC"/>
        <family val="2"/>
        <charset val="1"/>
      </rPr>
      <t xml:space="preserve">Garibaldi·Rosa</t>
    </r>
    <r>
      <rPr>
        <sz val="10"/>
        <rFont val="WenQuanYi Zen Hei"/>
        <family val="2"/>
      </rPr>
      <t xml:space="preserve">가 나무란다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</si>
  <si>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시 예산안</t>
    </r>
    <r>
      <rPr>
        <sz val="10"/>
        <rFont val="Arial"/>
        <family val="0"/>
        <charset val="1"/>
      </rPr>
      <t xml:space="preserve">(bilancio di previsione), </t>
    </r>
    <r>
      <rPr>
        <sz val="10"/>
        <rFont val="WenQuanYi Zen Hei"/>
        <family val="2"/>
      </rPr>
      <t xml:space="preserve">예산 위원회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도시계획 용도</t>
    </r>
  </si>
  <si>
    <t xml:space="preserve">Sofia, Alessandro, Cesare, Garibaldi, Rosa, Paolo</t>
  </si>
  <si>
    <t xml:space="preserve">La sanità alla Pisana</t>
  </si>
  <si>
    <t xml:space="preserve">주의회에서의 보건</t>
  </si>
  <si>
    <r>
      <rPr>
        <sz val="10"/>
        <rFont val="WenQuanYi Zen Hei"/>
        <family val="2"/>
      </rPr>
      <t xml:space="preserve">내륙 마을의 야간 진료소</t>
    </r>
    <r>
      <rPr>
        <sz val="10"/>
        <rFont val="Noto Sans CJK SC"/>
        <family val="2"/>
        <charset val="1"/>
      </rPr>
      <t xml:space="preserve">(guardia medica)</t>
    </r>
    <r>
      <rPr>
        <sz val="10"/>
        <rFont val="WenQuanYi Zen Hei"/>
        <family val="2"/>
      </rPr>
      <t xml:space="preserve">가 문을 닫고 고령 인구가 늘어난다</t>
    </r>
    <r>
      <rPr>
        <sz val="10"/>
        <rFont val="Noto Sans CJK SC"/>
        <family val="2"/>
        <charset val="1"/>
      </rPr>
      <t xml:space="preserve">. Giulia</t>
    </r>
    <r>
      <rPr>
        <sz val="10"/>
        <rFont val="WenQuanYi Zen Hei"/>
        <family val="2"/>
      </rPr>
      <t xml:space="preserve">가 라치오 주의회</t>
    </r>
    <r>
      <rPr>
        <sz val="10"/>
        <rFont val="Noto Sans CJK SC"/>
        <family val="2"/>
        <charset val="1"/>
      </rPr>
      <t xml:space="preserve">(Via della Pisana) </t>
    </r>
    <r>
      <rPr>
        <sz val="10"/>
        <rFont val="WenQuanYi Zen Hei"/>
        <family val="2"/>
      </rPr>
      <t xml:space="preserve">보건 위원회에서 병원 외주 계약 자료를 요구한다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</si>
  <si>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보건은 주가 운영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주 보건서비스</t>
    </r>
    <r>
      <rPr>
        <sz val="10"/>
        <rFont val="Noto Sans CJK SC"/>
        <family val="2"/>
        <charset val="1"/>
      </rPr>
      <t xml:space="preserve">·ASL), </t>
    </r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117</t>
    </r>
    <r>
      <rPr>
        <sz val="10"/>
        <rFont val="WenQuanYi Zen Hei"/>
        <family val="2"/>
      </rPr>
      <t xml:space="preserve">조 공동입법</t>
    </r>
  </si>
  <si>
    <t xml:space="preserve">Giulia, Galileo</t>
  </si>
  <si>
    <t xml:space="preserve">Lo scandalo scoperchiato</t>
  </si>
  <si>
    <t xml:space="preserve">파헤쳐진 스캔들</t>
  </si>
  <si>
    <r>
      <rPr>
        <sz val="10"/>
        <rFont val="WenQuanYi Zen Hei"/>
        <family val="2"/>
      </rPr>
      <t xml:space="preserve">외주 계약과 시 계약이 한 회사로 이어진다</t>
    </r>
    <r>
      <rPr>
        <sz val="10"/>
        <rFont val="Noto Sans CJK SC"/>
        <family val="2"/>
        <charset val="1"/>
      </rPr>
      <t xml:space="preserve">. Gramsci</t>
    </r>
    <r>
      <rPr>
        <sz val="10"/>
        <rFont val="WenQuanYi Zen Hei"/>
        <family val="2"/>
      </rPr>
      <t xml:space="preserve">가 출처를 가리키고 </t>
    </r>
    <r>
      <rPr>
        <sz val="10"/>
        <rFont val="Noto Sans CJK SC"/>
        <family val="2"/>
        <charset val="1"/>
      </rPr>
      <t xml:space="preserve">Marco</t>
    </r>
    <r>
      <rPr>
        <sz val="10"/>
        <rFont val="WenQuanYi Zen Hei"/>
        <family val="2"/>
      </rPr>
      <t xml:space="preserve">는 합법 증거만 쓰자고 고집한다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</si>
  <si>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사용할 수 없는 증거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형사소송법 제</t>
    </r>
    <r>
      <rPr>
        <sz val="10"/>
        <rFont val="Noto Sans CJK SC"/>
        <family val="2"/>
        <charset val="1"/>
      </rPr>
      <t xml:space="preserve">191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내부고발자 보호</t>
    </r>
    <r>
      <rPr>
        <sz val="10"/>
        <rFont val="Noto Sans CJK SC"/>
        <family val="2"/>
        <charset val="1"/>
      </rPr>
      <t xml:space="preserve">(d.lgs. 24/2023)</t>
    </r>
  </si>
  <si>
    <t xml:space="preserve">Gramsci, Marco, Francesco</t>
  </si>
  <si>
    <t xml:space="preserve">L'esposto</t>
  </si>
  <si>
    <t xml:space="preserve">고발장</t>
  </si>
  <si>
    <r>
      <rPr>
        <sz val="10"/>
        <rFont val="WenQuanYi Zen Hei"/>
        <family val="2"/>
      </rPr>
      <t xml:space="preserve">사무소가 검찰과 감사원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재정 손해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에 고발장을 낸다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주민 단체는 민사 당사자로 참여를 준비한다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</si>
  <si>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검사의 기소 의무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112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감사원 재정 책임</t>
    </r>
    <r>
      <rPr>
        <sz val="10"/>
        <rFont val="Noto Sans CJK SC"/>
        <family val="2"/>
        <charset val="1"/>
      </rPr>
      <t xml:space="preserve">, parte civile</t>
    </r>
  </si>
  <si>
    <t xml:space="preserve">Marco, Galileo</t>
  </si>
  <si>
    <t xml:space="preserve">La risposta del potere</t>
  </si>
  <si>
    <t xml:space="preserve">권력의 반격</t>
  </si>
  <si>
    <r>
      <rPr>
        <sz val="10"/>
        <rFont val="WenQuanYi Zen Hei"/>
        <family val="2"/>
      </rPr>
      <t xml:space="preserve">명예훼손 소송과 여론전</t>
    </r>
    <r>
      <rPr>
        <sz val="10"/>
        <rFont val="Noto Sans CJK SC"/>
        <family val="2"/>
        <charset val="1"/>
      </rPr>
      <t xml:space="preserve">. Montessori</t>
    </r>
    <r>
      <rPr>
        <sz val="10"/>
        <rFont val="WenQuanYi Zen Hei"/>
        <family val="2"/>
      </rPr>
      <t xml:space="preserve">와 </t>
    </r>
    <r>
      <rPr>
        <sz val="10"/>
        <rFont val="Noto Sans CJK SC"/>
        <family val="2"/>
        <charset val="1"/>
      </rPr>
      <t xml:space="preserve">Dante</t>
    </r>
    <r>
      <rPr>
        <sz val="10"/>
        <rFont val="WenQuanYi Zen Hei"/>
        <family val="2"/>
      </rPr>
      <t xml:space="preserve">가 대응 메시지를 설계한다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</si>
  <si>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명예훼손 소송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정정권</t>
    </r>
  </si>
  <si>
    <t xml:space="preserve">Dante, Montessori</t>
  </si>
  <si>
    <t xml:space="preserve">La lealtà alla prova</t>
  </si>
  <si>
    <t xml:space="preserve">시험대에 오른 의리</t>
  </si>
  <si>
    <r>
      <rPr>
        <sz val="10"/>
        <rFont val="WenQuanYi Zen Hei"/>
        <family val="2"/>
      </rPr>
      <t xml:space="preserve">총선에 누가 나설지 당내 경선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서운함과 화해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</si>
  <si>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당내 경선</t>
    </r>
    <r>
      <rPr>
        <sz val="10"/>
        <rFont val="Noto Sans CJK SC"/>
        <family val="2"/>
        <charset val="1"/>
      </rPr>
      <t xml:space="preserve">(primarie), </t>
    </r>
    <r>
      <rPr>
        <sz val="10"/>
        <rFont val="WenQuanYi Zen Hei"/>
        <family val="2"/>
      </rPr>
      <t xml:space="preserve">정관</t>
    </r>
  </si>
  <si>
    <t xml:space="preserve">Chiara, Paolo, Alessandro, Machiavelli</t>
  </si>
  <si>
    <t xml:space="preserve">Il salto nazionale</t>
  </si>
  <si>
    <t xml:space="preserve">전국 무대로의 도약</t>
  </si>
  <si>
    <r>
      <rPr>
        <sz val="10"/>
        <rFont val="WenQuanYi Zen Hei"/>
        <family val="2"/>
      </rPr>
      <t xml:space="preserve">국가 예산안을 건 신임 투표가 부결되어 정부가 무너지고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대통령이 의회를 해산한다</t>
    </r>
    <r>
      <rPr>
        <sz val="10"/>
        <rFont val="Noto Sans CJK SC"/>
        <family val="2"/>
        <charset val="1"/>
      </rPr>
      <t xml:space="preserve">. Casa Comune</t>
    </r>
    <r>
      <rPr>
        <sz val="10"/>
        <rFont val="WenQuanYi Zen Hei"/>
        <family val="2"/>
      </rPr>
      <t xml:space="preserve">는 명부 제출 서명 수집부터 시작한다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</si>
  <si>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해산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88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교섭단체 없는 정당의 명부 제출 서명</t>
    </r>
    <r>
      <rPr>
        <sz val="10"/>
        <rFont val="Noto Sans CJK SC"/>
        <family val="2"/>
        <charset val="1"/>
      </rPr>
      <t xml:space="preserve">(legge 165/2017, </t>
    </r>
    <r>
      <rPr>
        <sz val="10"/>
        <rFont val="WenQuanYi Zen Hei"/>
        <family val="2"/>
      </rPr>
      <t xml:space="preserve">확인</t>
    </r>
    <r>
      <rPr>
        <sz val="10"/>
        <rFont val="Noto Sans CJK SC"/>
        <family val="2"/>
        <charset val="1"/>
      </rPr>
      <t xml:space="preserve">)</t>
    </r>
  </si>
  <si>
    <t xml:space="preserve">Marco, Chiara, Garibaldi</t>
  </si>
  <si>
    <t xml:space="preserve">Il decreto e le firme</t>
  </si>
  <si>
    <t xml:space="preserve">해산 명령과 서명</t>
  </si>
  <si>
    <r>
      <rPr>
        <sz val="10"/>
        <rFont val="WenQuanYi Zen Hei"/>
        <family val="2"/>
      </rPr>
      <t xml:space="preserve">해산 명령과 선거일이 관보</t>
    </r>
    <r>
      <rPr>
        <sz val="10"/>
        <rFont val="Noto Sans CJK SC"/>
        <family val="2"/>
        <charset val="1"/>
      </rPr>
      <t xml:space="preserve">(Gazzetta Ufficiale)</t>
    </r>
    <r>
      <rPr>
        <sz val="10"/>
        <rFont val="WenQuanYi Zen Hei"/>
        <family val="2"/>
      </rPr>
      <t xml:space="preserve">에 실린다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해산 후 </t>
    </r>
    <r>
      <rPr>
        <sz val="10"/>
        <rFont val="Noto Sans CJK SC"/>
        <family val="2"/>
        <charset val="1"/>
      </rPr>
      <t xml:space="preserve">70</t>
    </r>
    <r>
      <rPr>
        <sz val="10"/>
        <rFont val="WenQuanYi Zen Hei"/>
        <family val="2"/>
      </rPr>
      <t xml:space="preserve">일 안에 선거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로마 선거구 서명을 모은다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</si>
  <si>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해산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88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70</t>
    </r>
    <r>
      <rPr>
        <sz val="10"/>
        <rFont val="WenQuanYi Zen Hei"/>
        <family val="2"/>
      </rPr>
      <t xml:space="preserve">일 이내 선거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61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명부 제출 서명</t>
    </r>
  </si>
  <si>
    <t xml:space="preserve">Chiara, Garibaldi, Rosa</t>
  </si>
  <si>
    <t xml:space="preserve">La campagna</t>
  </si>
  <si>
    <t xml:space="preserve">전국 유세</t>
  </si>
  <si>
    <r>
      <rPr>
        <sz val="10"/>
        <rFont val="WenQuanYi Zen Hei"/>
        <family val="2"/>
      </rPr>
      <t xml:space="preserve">전국 순회</t>
    </r>
    <r>
      <rPr>
        <sz val="10"/>
        <rFont val="Noto Sans CJK SC"/>
        <family val="2"/>
        <charset val="1"/>
      </rPr>
      <t xml:space="preserve">. Garibaldi</t>
    </r>
    <r>
      <rPr>
        <sz val="10"/>
        <rFont val="WenQuanYi Zen Hei"/>
        <family val="2"/>
      </rPr>
      <t xml:space="preserve">의 로지스틱스</t>
    </r>
    <r>
      <rPr>
        <sz val="10"/>
        <rFont val="Noto Sans CJK SC"/>
        <family val="2"/>
        <charset val="1"/>
      </rPr>
      <t xml:space="preserve">, Dante</t>
    </r>
    <r>
      <rPr>
        <sz val="10"/>
        <rFont val="WenQuanYi Zen Hei"/>
        <family val="2"/>
      </rPr>
      <t xml:space="preserve">의 문구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사르데냐 내륙의 과소 마을에서 가뭄과 풍력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태양광 단지 찬반을 마주한다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</si>
  <si>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공식 캠페인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방송 균등 노출</t>
    </r>
    <r>
      <rPr>
        <sz val="10"/>
        <rFont val="Noto Sans CJK SC"/>
        <family val="2"/>
        <charset val="1"/>
      </rPr>
      <t xml:space="preserve">(par condicio), AGCOM</t>
    </r>
  </si>
  <si>
    <t xml:space="preserve">Garibaldi, Dante</t>
  </si>
  <si>
    <t xml:space="preserve">N5·S3·S4</t>
  </si>
  <si>
    <t xml:space="preserve">Il dibattito in TV</t>
  </si>
  <si>
    <r>
      <rPr>
        <sz val="10"/>
        <rFont val="Arial"/>
        <family val="0"/>
        <charset val="1"/>
      </rPr>
      <t xml:space="preserve">TV </t>
    </r>
    <r>
      <rPr>
        <sz val="10"/>
        <rFont val="WenQuanYi Zen Hei"/>
        <family val="2"/>
      </rPr>
      <t xml:space="preserve">토론</t>
    </r>
  </si>
  <si>
    <r>
      <rPr>
        <sz val="10"/>
        <rFont val="Arial"/>
        <family val="0"/>
        <charset val="1"/>
      </rPr>
      <t xml:space="preserve">Marco</t>
    </r>
    <r>
      <rPr>
        <sz val="10"/>
        <rFont val="WenQuanYi Zen Hei"/>
        <family val="2"/>
      </rPr>
      <t xml:space="preserve">의 첫 </t>
    </r>
    <r>
      <rPr>
        <sz val="10"/>
        <rFont val="Arial"/>
        <family val="0"/>
        <charset val="1"/>
      </rPr>
      <t xml:space="preserve">TV </t>
    </r>
    <r>
      <rPr>
        <sz val="10"/>
        <rFont val="WenQuanYi Zen Hei"/>
        <family val="2"/>
      </rPr>
      <t xml:space="preserve">토론</t>
    </r>
    <r>
      <rPr>
        <sz val="10"/>
        <rFont val="Arial"/>
        <family val="0"/>
        <charset val="1"/>
      </rPr>
      <t xml:space="preserve">. Sofia</t>
    </r>
    <r>
      <rPr>
        <sz val="10"/>
        <rFont val="WenQuanYi Zen Hei"/>
        <family val="2"/>
      </rPr>
      <t xml:space="preserve">가 준비한 질문 목록과 </t>
    </r>
    <r>
      <rPr>
        <sz val="10"/>
        <rFont val="Arial"/>
        <family val="0"/>
        <charset val="1"/>
      </rPr>
      <t xml:space="preserve">Machiavelli</t>
    </r>
    <r>
      <rPr>
        <sz val="10"/>
        <rFont val="WenQuanYi Zen Hei"/>
        <family val="2"/>
      </rPr>
      <t xml:space="preserve">의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상대가 가장 두려워하는 질문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이 승부를 가른다</t>
    </r>
    <r>
      <rPr>
        <sz val="10"/>
        <rFont val="Arial"/>
        <family val="0"/>
        <charset val="1"/>
      </rPr>
      <t xml:space="preserve">.</t>
    </r>
  </si>
  <si>
    <t xml:space="preserve">방송사와 후보 진영의 협상으로 규칙 결정</t>
  </si>
  <si>
    <t xml:space="preserve">Marco, Sofia, Montessori, Machiavelli</t>
  </si>
  <si>
    <t xml:space="preserve">N4·S2·N3·P2·S1</t>
  </si>
  <si>
    <t xml:space="preserve">La notte elettorale</t>
  </si>
  <si>
    <r>
      <rPr>
        <sz val="10"/>
        <rFont val="WenQuanYi Zen Hei"/>
        <family val="2"/>
      </rPr>
      <t xml:space="preserve">총선의 밤 </t>
    </r>
    <r>
      <rPr>
        <sz val="10"/>
        <rFont val="Noto Sans CJK SC"/>
        <family val="2"/>
        <charset val="1"/>
      </rPr>
      <t xml:space="preserve">(1</t>
    </r>
    <r>
      <rPr>
        <sz val="10"/>
        <rFont val="WenQuanYi Zen Hei"/>
        <family val="2"/>
      </rPr>
      <t xml:space="preserve">차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</si>
  <si>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Arial"/>
        <family val="0"/>
        <charset val="1"/>
      </rPr>
      <t xml:space="preserve">CC </t>
    </r>
    <r>
      <rPr>
        <sz val="10"/>
        <rFont val="WenQuanYi Zen Hei"/>
        <family val="2"/>
      </rPr>
      <t xml:space="preserve">하원 </t>
    </r>
    <r>
      <rPr>
        <sz val="10"/>
        <rFont val="Arial"/>
        <family val="0"/>
        <charset val="1"/>
      </rPr>
      <t xml:space="preserve">70</t>
    </r>
    <r>
      <rPr>
        <sz val="10"/>
        <rFont val="WenQuanYi Zen Hei"/>
        <family val="2"/>
      </rPr>
      <t xml:space="preserve">석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위</t>
    </r>
    <r>
      <rPr>
        <sz val="10"/>
        <rFont val="Arial"/>
        <family val="0"/>
        <charset val="1"/>
      </rPr>
      <t xml:space="preserve">, UCN</t>
    </r>
    <r>
      <rPr>
        <sz val="10"/>
        <rFont val="WenQuanYi Zen Hei"/>
        <family val="2"/>
      </rPr>
      <t xml:space="preserve">이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당이지만 과반과는 멀다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가상 수치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</si>
  <si>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하원 </t>
    </r>
    <r>
      <rPr>
        <sz val="10"/>
        <rFont val="Arial"/>
        <family val="0"/>
        <charset val="1"/>
      </rPr>
      <t xml:space="preserve">400</t>
    </r>
    <r>
      <rPr>
        <sz val="10"/>
        <rFont val="WenQuanYi Zen Hei"/>
        <family val="2"/>
      </rPr>
      <t xml:space="preserve">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상원 </t>
    </r>
    <r>
      <rPr>
        <sz val="10"/>
        <rFont val="Arial"/>
        <family val="0"/>
        <charset val="1"/>
      </rPr>
      <t xml:space="preserve">200</t>
    </r>
    <r>
      <rPr>
        <sz val="10"/>
        <rFont val="WenQuanYi Zen Hei"/>
        <family val="2"/>
      </rPr>
      <t xml:space="preserve">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소선거구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비례 혼합</t>
    </r>
    <r>
      <rPr>
        <sz val="10"/>
        <rFont val="Arial"/>
        <family val="0"/>
        <charset val="1"/>
      </rPr>
      <t xml:space="preserve">(legge 165/2017), </t>
    </r>
    <r>
      <rPr>
        <sz val="10"/>
        <rFont val="WenQuanYi Zen Hei"/>
        <family val="2"/>
      </rPr>
      <t xml:space="preserve">명부 문턱 </t>
    </r>
    <r>
      <rPr>
        <sz val="10"/>
        <rFont val="Arial"/>
        <family val="0"/>
        <charset val="1"/>
      </rPr>
      <t xml:space="preserve">3%·</t>
    </r>
    <r>
      <rPr>
        <sz val="10"/>
        <rFont val="WenQuanYi Zen Hei"/>
        <family val="2"/>
      </rPr>
      <t xml:space="preserve">연합 </t>
    </r>
    <r>
      <rPr>
        <sz val="10"/>
        <rFont val="Arial"/>
        <family val="0"/>
        <charset val="1"/>
      </rPr>
      <t xml:space="preserve">10%</t>
    </r>
  </si>
  <si>
    <t xml:space="preserve">La prima seduta delle Camere</t>
  </si>
  <si>
    <t xml:space="preserve">개원</t>
  </si>
  <si>
    <r>
      <rPr>
        <sz val="10"/>
        <rFont val="WenQuanYi Zen Hei"/>
        <family val="2"/>
      </rPr>
      <t xml:space="preserve">하원의장 선출</t>
    </r>
    <r>
      <rPr>
        <sz val="10"/>
        <rFont val="Arial"/>
        <family val="0"/>
        <charset val="1"/>
      </rPr>
      <t xml:space="preserve">, CC </t>
    </r>
    <r>
      <rPr>
        <sz val="10"/>
        <rFont val="WenQuanYi Zen Hei"/>
        <family val="2"/>
      </rPr>
      <t xml:space="preserve">교섭단체 구성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초선 의원들의 첫 좌석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</si>
  <si>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개원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의장단</t>
    </r>
    <r>
      <rPr>
        <sz val="10"/>
        <rFont val="Noto Sans CJK SC"/>
        <family val="2"/>
        <charset val="1"/>
      </rPr>
      <t xml:space="preserve">(Ufficio di Presidenza), </t>
    </r>
    <r>
      <rPr>
        <sz val="10"/>
        <rFont val="WenQuanYi Zen Hei"/>
        <family val="2"/>
      </rPr>
      <t xml:space="preserve">교섭단체</t>
    </r>
    <r>
      <rPr>
        <sz val="10"/>
        <rFont val="Noto Sans CJK SC"/>
        <family val="2"/>
        <charset val="1"/>
      </rPr>
      <t xml:space="preserve">(gruppo parlamentare) </t>
    </r>
    <r>
      <rPr>
        <sz val="10"/>
        <rFont val="WenQuanYi Zen Hei"/>
        <family val="2"/>
      </rPr>
      <t xml:space="preserve">요건</t>
    </r>
  </si>
  <si>
    <t xml:space="preserve">Marco, Alessandro</t>
  </si>
  <si>
    <t xml:space="preserve">Le consultazioni</t>
  </si>
  <si>
    <t xml:space="preserve">대통령 협의</t>
  </si>
  <si>
    <r>
      <rPr>
        <sz val="10"/>
        <rFont val="Arial"/>
        <family val="0"/>
        <charset val="1"/>
      </rPr>
      <t xml:space="preserve">Quirinale</t>
    </r>
    <r>
      <rPr>
        <sz val="10"/>
        <rFont val="WenQuanYi Zen Hei"/>
        <family val="2"/>
      </rPr>
      <t xml:space="preserve">에서 대통령이 각 정당 대표와 면담한다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옛 교황의 궁에 들어선 </t>
    </r>
    <r>
      <rPr>
        <sz val="10"/>
        <rFont val="Arial"/>
        <family val="0"/>
        <charset val="1"/>
      </rPr>
      <t xml:space="preserve">Garibaldi</t>
    </r>
    <r>
      <rPr>
        <sz val="10"/>
        <rFont val="WenQuanYi Zen Hei"/>
        <family val="2"/>
      </rPr>
      <t xml:space="preserve">가 정장을 입고 어색해한다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</si>
  <si>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대통령이 협의 후 총리 후보에게 조각 위임</t>
    </r>
    <r>
      <rPr>
        <sz val="10"/>
        <rFont val="Noto Sans CJK SC"/>
        <family val="2"/>
        <charset val="1"/>
      </rPr>
      <t xml:space="preserve">(incarico, </t>
    </r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92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</t>
    </r>
  </si>
  <si>
    <t xml:space="preserve">Marco, Cesare, Garibaldi</t>
  </si>
  <si>
    <t xml:space="preserve">La prima fiducia</t>
  </si>
  <si>
    <t xml:space="preserve">첫 신임 투표</t>
  </si>
  <si>
    <r>
      <rPr>
        <sz val="10"/>
        <rFont val="Arial"/>
        <family val="0"/>
        <charset val="1"/>
      </rPr>
      <t xml:space="preserve">UCN </t>
    </r>
    <r>
      <rPr>
        <sz val="10"/>
        <rFont val="WenQuanYi Zen Hei"/>
        <family val="2"/>
      </rPr>
      <t xml:space="preserve">지도자가 조각 위임을 받아 선서까지 하지만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하원 신임 투표에서 부결된다</t>
    </r>
    <r>
      <rPr>
        <sz val="10"/>
        <rFont val="Arial"/>
        <family val="0"/>
        <charset val="1"/>
      </rPr>
      <t xml:space="preserve">. Cesare</t>
    </r>
    <r>
      <rPr>
        <sz val="10"/>
        <rFont val="WenQuanYi Zen Hei"/>
        <family val="2"/>
      </rPr>
      <t xml:space="preserve">의 해설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</si>
  <si>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정부는 선서 후 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일 안에 양원 신임 필요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94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신임은 찬성이 반대보다 많아야 함</t>
    </r>
  </si>
  <si>
    <t xml:space="preserve">Cesare, Marco, Machiavelli</t>
  </si>
  <si>
    <t xml:space="preserve">Il mandato esplorativo</t>
  </si>
  <si>
    <t xml:space="preserve">탐색 위임</t>
  </si>
  <si>
    <r>
      <rPr>
        <sz val="10"/>
        <rFont val="WenQuanYi Zen Hei"/>
        <family val="2"/>
      </rPr>
      <t xml:space="preserve">대통령이 상원의장에게 탐색 위임을 주지만 다수파가 나오지 않는다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시간만 흐르고 </t>
    </r>
    <r>
      <rPr>
        <sz val="10"/>
        <rFont val="Noto Sans CJK SC"/>
        <family val="2"/>
        <charset val="1"/>
      </rPr>
      <t xml:space="preserve">Casa Comune </t>
    </r>
    <r>
      <rPr>
        <sz val="10"/>
        <rFont val="WenQuanYi Zen Hei"/>
        <family val="2"/>
      </rPr>
      <t xml:space="preserve">내부의 원칙 논쟁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</si>
  <si>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탐색 위임</t>
    </r>
    <r>
      <rPr>
        <sz val="10"/>
        <rFont val="Noto Sans CJK SC"/>
        <family val="2"/>
        <charset val="1"/>
      </rPr>
      <t xml:space="preserve">(mandato esplorativo, </t>
    </r>
    <r>
      <rPr>
        <sz val="10"/>
        <rFont val="WenQuanYi Zen Hei"/>
        <family val="2"/>
      </rPr>
      <t xml:space="preserve">헌정 관행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사퇴한 정부의 일상 업무 처리</t>
    </r>
    <r>
      <rPr>
        <sz val="10"/>
        <rFont val="Noto Sans CJK SC"/>
        <family val="2"/>
        <charset val="1"/>
      </rPr>
      <t xml:space="preserve">(affari correnti)</t>
    </r>
  </si>
  <si>
    <t xml:space="preserve">Marco, Paolo, Chiara, Machiavelli</t>
  </si>
  <si>
    <t xml:space="preserve">Di nuovo alle urne</t>
  </si>
  <si>
    <t xml:space="preserve">다시 투표소로</t>
  </si>
  <si>
    <r>
      <rPr>
        <sz val="10"/>
        <rFont val="WenQuanYi Zen Hei"/>
        <family val="2"/>
      </rPr>
      <t xml:space="preserve">대통령이 다시 해산한다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지친 유권자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짧아진 준비</t>
    </r>
    <r>
      <rPr>
        <sz val="10"/>
        <rFont val="Noto Sans CJK SC"/>
        <family val="2"/>
        <charset val="1"/>
      </rPr>
      <t xml:space="preserve">. Rosa</t>
    </r>
    <r>
      <rPr>
        <sz val="10"/>
        <rFont val="WenQuanYi Zen Hei"/>
        <family val="2"/>
      </rPr>
      <t xml:space="preserve">의 위로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</si>
  <si>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해산은 양원 의장 의견 청취 후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88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70</t>
    </r>
    <r>
      <rPr>
        <sz val="10"/>
        <rFont val="WenQuanYi Zen Hei"/>
        <family val="2"/>
      </rPr>
      <t xml:space="preserve">일 이내 선거</t>
    </r>
  </si>
  <si>
    <t xml:space="preserve">Rosa, Chiara</t>
  </si>
  <si>
    <t xml:space="preserve">La notte elettorale II</t>
  </si>
  <si>
    <r>
      <rPr>
        <sz val="10"/>
        <rFont val="WenQuanYi Zen Hei"/>
        <family val="2"/>
      </rPr>
      <t xml:space="preserve">총선의 밤 </t>
    </r>
    <r>
      <rPr>
        <sz val="10"/>
        <rFont val="Noto Sans CJK SC"/>
        <family val="2"/>
        <charset val="1"/>
      </rPr>
      <t xml:space="preserve">(2</t>
    </r>
    <r>
      <rPr>
        <sz val="10"/>
        <rFont val="WenQuanYi Zen Hei"/>
        <family val="2"/>
      </rPr>
      <t xml:space="preserve">차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</si>
  <si>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Arial"/>
        <family val="0"/>
        <charset val="1"/>
      </rPr>
      <t xml:space="preserve">CC </t>
    </r>
    <r>
      <rPr>
        <sz val="10"/>
        <rFont val="WenQuanYi Zen Hei"/>
        <family val="2"/>
      </rPr>
      <t xml:space="preserve">하원 </t>
    </r>
    <r>
      <rPr>
        <sz val="10"/>
        <rFont val="Arial"/>
        <family val="0"/>
        <charset val="1"/>
      </rPr>
      <t xml:space="preserve">130</t>
    </r>
    <r>
      <rPr>
        <sz val="10"/>
        <rFont val="WenQuanYi Zen Hei"/>
        <family val="2"/>
      </rPr>
      <t xml:space="preserve">석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그러나 과반은 아니다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가상 수치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</si>
  <si>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하원 과반 </t>
    </r>
    <r>
      <rPr>
        <sz val="10"/>
        <rFont val="Arial"/>
        <family val="0"/>
        <charset val="1"/>
      </rPr>
      <t xml:space="preserve">201</t>
    </r>
    <r>
      <rPr>
        <sz val="10"/>
        <rFont val="WenQuanYi Zen Hei"/>
        <family val="2"/>
      </rPr>
      <t xml:space="preserve">석 미달 → 연정 협상</t>
    </r>
  </si>
  <si>
    <t xml:space="preserve">Le trattative</t>
  </si>
  <si>
    <t xml:space="preserve">연정 협상</t>
  </si>
  <si>
    <r>
      <rPr>
        <sz val="10"/>
        <rFont val="Arial"/>
        <family val="0"/>
        <charset val="1"/>
      </rPr>
      <t xml:space="preserve">PPS·</t>
    </r>
    <r>
      <rPr>
        <sz val="10"/>
        <rFont val="WenQuanYi Zen Hei"/>
        <family val="2"/>
      </rPr>
      <t xml:space="preserve">지역정당 연합과 협상</t>
    </r>
    <r>
      <rPr>
        <sz val="10"/>
        <rFont val="Arial"/>
        <family val="0"/>
        <charset val="1"/>
      </rPr>
      <t xml:space="preserve">. TB</t>
    </r>
    <r>
      <rPr>
        <sz val="10"/>
        <rFont val="WenQuanYi Zen Hei"/>
        <family val="2"/>
      </rPr>
      <t xml:space="preserve">는 북부 주들의 차등 자치 가속을 조건으로 건다</t>
    </r>
    <r>
      <rPr>
        <sz val="10"/>
        <rFont val="Arial"/>
        <family val="0"/>
        <charset val="1"/>
      </rPr>
      <t xml:space="preserve">. Garibaldi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나라를 다시 쪼갤 셈이냐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며 정색한다</t>
    </r>
    <r>
      <rPr>
        <sz val="10"/>
        <rFont val="Arial"/>
        <family val="0"/>
        <charset val="1"/>
      </rPr>
      <t xml:space="preserve">. Francesco·Alessandro</t>
    </r>
    <r>
      <rPr>
        <sz val="10"/>
        <rFont val="WenQuanYi Zen Hei"/>
        <family val="2"/>
      </rPr>
      <t xml:space="preserve">가 비용을 추산하고 </t>
    </r>
    <r>
      <rPr>
        <sz val="10"/>
        <rFont val="Arial"/>
        <family val="0"/>
        <charset val="1"/>
      </rPr>
      <t xml:space="preserve">Machiavelli</t>
    </r>
    <r>
      <rPr>
        <sz val="10"/>
        <rFont val="WenQuanYi Zen Hei"/>
        <family val="2"/>
      </rPr>
      <t xml:space="preserve">가 협상 테이블을 설계한다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</si>
  <si>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연정 협약</t>
    </r>
    <r>
      <rPr>
        <sz val="10"/>
        <rFont val="Noto Sans CJK SC"/>
        <family val="2"/>
        <charset val="1"/>
      </rPr>
      <t xml:space="preserve">(accordo di coalizione), </t>
    </r>
    <r>
      <rPr>
        <sz val="10"/>
        <rFont val="WenQuanYi Zen Hei"/>
        <family val="2"/>
      </rPr>
      <t xml:space="preserve">차등 자치</t>
    </r>
    <r>
      <rPr>
        <sz val="10"/>
        <rFont val="Noto Sans CJK SC"/>
        <family val="2"/>
        <charset val="1"/>
      </rPr>
      <t xml:space="preserve">(legge 86/2024)·</t>
    </r>
    <r>
      <rPr>
        <sz val="10"/>
        <rFont val="WenQuanYi Zen Hei"/>
        <family val="2"/>
      </rPr>
      <t xml:space="preserve">필수 급부 수준</t>
    </r>
    <r>
      <rPr>
        <sz val="10"/>
        <rFont val="Noto Sans CJK SC"/>
        <family val="2"/>
        <charset val="1"/>
      </rPr>
      <t xml:space="preserve">(LEP)</t>
    </r>
  </si>
  <si>
    <t xml:space="preserve">Chiara, Alessandro, Francesco, Machiavelli, Garibaldi</t>
  </si>
  <si>
    <t xml:space="preserve">P2·P3·P1</t>
  </si>
  <si>
    <t xml:space="preserve">Il voto decisivo</t>
  </si>
  <si>
    <t xml:space="preserve">결정적 한 표</t>
  </si>
  <si>
    <r>
      <rPr>
        <sz val="10"/>
        <rFont val="WenQuanYi Zen Hei"/>
        <family val="2"/>
      </rPr>
      <t xml:space="preserve">대통령의 조각 위임 → </t>
    </r>
    <r>
      <rPr>
        <sz val="10"/>
        <rFont val="Arial"/>
        <family val="0"/>
        <charset val="1"/>
      </rPr>
      <t xml:space="preserve">Quirinale </t>
    </r>
    <r>
      <rPr>
        <sz val="10"/>
        <rFont val="WenQuanYi Zen Hei"/>
        <family val="2"/>
      </rPr>
      <t xml:space="preserve">선서 → 하원 신임 통과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상원에서는 </t>
    </r>
    <r>
      <rPr>
        <sz val="10"/>
        <rFont val="Arial"/>
        <family val="0"/>
        <charset val="1"/>
      </rPr>
      <t xml:space="preserve">TB</t>
    </r>
    <r>
      <rPr>
        <sz val="10"/>
        <rFont val="WenQuanYi Zen Hei"/>
        <family val="2"/>
      </rPr>
      <t xml:space="preserve">가 반대로 돌아서며 </t>
    </r>
    <r>
      <rPr>
        <sz val="10"/>
        <rFont val="Arial"/>
        <family val="0"/>
        <charset val="1"/>
      </rPr>
      <t xml:space="preserve">102 </t>
    </r>
    <r>
      <rPr>
        <sz val="10"/>
        <rFont val="WenQuanYi Zen Hei"/>
        <family val="2"/>
      </rPr>
      <t xml:space="preserve">대 </t>
    </r>
    <r>
      <rPr>
        <sz val="10"/>
        <rFont val="Arial"/>
        <family val="0"/>
        <charset val="1"/>
      </rPr>
      <t xml:space="preserve">101, </t>
    </r>
    <r>
      <rPr>
        <sz val="10"/>
        <rFont val="WenQuanYi Zen Hei"/>
        <family val="2"/>
      </rPr>
      <t xml:space="preserve">종신 상원의원 표로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표 차 통과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</si>
  <si>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선서 문구</t>
    </r>
    <r>
      <rPr>
        <sz val="10"/>
        <rFont val="Arial"/>
        <family val="0"/>
        <charset val="1"/>
      </rPr>
      <t xml:space="preserve">(«Giuro di essere fedele alla Repubblica…»), </t>
    </r>
    <r>
      <rPr>
        <sz val="10"/>
        <rFont val="WenQuanYi Zen Hei"/>
        <family val="2"/>
      </rPr>
      <t xml:space="preserve">호명 투표</t>
    </r>
    <r>
      <rPr>
        <sz val="10"/>
        <rFont val="Arial"/>
        <family val="0"/>
        <charset val="1"/>
      </rPr>
      <t xml:space="preserve">(appello nominale), </t>
    </r>
    <r>
      <rPr>
        <sz val="10"/>
        <rFont val="WenQuanYi Zen Hei"/>
        <family val="2"/>
      </rPr>
      <t xml:space="preserve">종신 상원의원</t>
    </r>
    <r>
      <rPr>
        <sz val="10"/>
        <rFont val="Arial"/>
        <family val="0"/>
        <charset val="1"/>
      </rPr>
      <t xml:space="preserve">(senatori a vita)</t>
    </r>
  </si>
  <si>
    <r>
      <rPr>
        <sz val="10"/>
        <rFont val="Arial"/>
        <family val="0"/>
        <charset val="1"/>
      </rPr>
      <t xml:space="preserve">Marco, </t>
    </r>
    <r>
      <rPr>
        <sz val="10"/>
        <rFont val="WenQuanYi Zen Hei"/>
        <family val="2"/>
      </rPr>
      <t xml:space="preserve">상원의장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</si>
  <si>
    <t xml:space="preserve">Il primo ostacolo</t>
  </si>
  <si>
    <t xml:space="preserve">첫 번째 벽</t>
  </si>
  <si>
    <r>
      <rPr>
        <sz val="10"/>
        <rFont val="Noto Sans CJK SC"/>
        <family val="2"/>
        <charset val="1"/>
      </rPr>
      <t xml:space="preserve">Palazzo Chigi</t>
    </r>
    <r>
      <rPr>
        <sz val="10"/>
        <rFont val="WenQuanYi Zen Hei"/>
        <family val="2"/>
      </rPr>
      <t xml:space="preserve">의 첫 국무회의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첫날의 어색함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임대료 시위가 </t>
    </r>
    <r>
      <rPr>
        <sz val="10"/>
        <rFont val="Noto Sans CJK SC"/>
        <family val="2"/>
        <charset val="1"/>
      </rPr>
      <t xml:space="preserve">Piazza Colonna</t>
    </r>
    <r>
      <rPr>
        <sz val="10"/>
        <rFont val="WenQuanYi Zen Hei"/>
        <family val="2"/>
      </rPr>
      <t xml:space="preserve">까지 온다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</si>
  <si>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국무회의</t>
    </r>
    <r>
      <rPr>
        <sz val="10"/>
        <rFont val="Arial"/>
        <family val="0"/>
        <charset val="1"/>
      </rPr>
      <t xml:space="preserve">(Consiglio dei Ministri), </t>
    </r>
    <r>
      <rPr>
        <sz val="10"/>
        <rFont val="WenQuanYi Zen Hei"/>
        <family val="2"/>
      </rPr>
      <t xml:space="preserve">장관 임명 대통령령</t>
    </r>
    <r>
      <rPr>
        <sz val="10"/>
        <rFont val="Arial"/>
        <family val="0"/>
        <charset val="1"/>
      </rPr>
      <t xml:space="preserve">, legge 400/1988</t>
    </r>
  </si>
  <si>
    <t xml:space="preserve">Marco, Chiara</t>
  </si>
  <si>
    <t xml:space="preserve">P1·E1</t>
  </si>
  <si>
    <t xml:space="preserve">Padroni invisibili</t>
  </si>
  <si>
    <t xml:space="preserve">보이지 않는 집주인들</t>
  </si>
  <si>
    <r>
      <rPr>
        <sz val="10"/>
        <rFont val="Arial"/>
        <family val="0"/>
        <charset val="1"/>
      </rPr>
      <t xml:space="preserve">Alessandro·Francesco</t>
    </r>
    <r>
      <rPr>
        <sz val="10"/>
        <rFont val="WenQuanYi Zen Hei"/>
        <family val="2"/>
      </rPr>
      <t xml:space="preserve">가 사모펀드의 주택 매입을 부동산 투자펀드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상장 부동산회사</t>
    </r>
    <r>
      <rPr>
        <sz val="10"/>
        <rFont val="Arial"/>
        <family val="0"/>
        <charset val="1"/>
      </rPr>
      <t xml:space="preserve">(SIIQ)·</t>
    </r>
    <r>
      <rPr>
        <sz val="10"/>
        <rFont val="WenQuanYi Zen Hei"/>
        <family val="2"/>
      </rPr>
      <t xml:space="preserve">자회사 구조로 추적한다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</si>
  <si>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실소유자 등록부</t>
    </r>
    <r>
      <rPr>
        <sz val="10"/>
        <rFont val="Noto Sans CJK SC"/>
        <family val="2"/>
        <charset val="1"/>
      </rPr>
      <t xml:space="preserve">(titolare effettivo, d.lgs. 231/2007), </t>
    </r>
    <r>
      <rPr>
        <sz val="10"/>
        <rFont val="WenQuanYi Zen Hei"/>
        <family val="2"/>
      </rPr>
      <t xml:space="preserve">기업 등록부</t>
    </r>
    <r>
      <rPr>
        <sz val="10"/>
        <rFont val="Noto Sans CJK SC"/>
        <family val="2"/>
        <charset val="1"/>
      </rPr>
      <t xml:space="preserve">(Registro delle imprese)</t>
    </r>
  </si>
  <si>
    <t xml:space="preserve">La legge sulla casa</t>
  </si>
  <si>
    <t xml:space="preserve">주거법</t>
  </si>
  <si>
    <r>
      <rPr>
        <sz val="10"/>
        <rFont val="WenQuanYi Zen Hei"/>
        <family val="2"/>
      </rPr>
      <t xml:space="preserve">주거법 개정안</t>
    </r>
    <r>
      <rPr>
        <sz val="10"/>
        <rFont val="Noto Sans CJK SC"/>
        <family val="2"/>
        <charset val="1"/>
      </rPr>
      <t xml:space="preserve">: Marco</t>
    </r>
    <r>
      <rPr>
        <sz val="10"/>
        <rFont val="WenQuanYi Zen Hei"/>
        <family val="2"/>
      </rPr>
      <t xml:space="preserve">가 과거에 쓰던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리모델링 갱신 거절</t>
    </r>
    <r>
      <rPr>
        <sz val="10"/>
        <rFont val="Noto Sans CJK SC"/>
        <family val="2"/>
        <charset val="1"/>
      </rPr>
      <t xml:space="preserve">' </t>
    </r>
    <r>
      <rPr>
        <sz val="10"/>
        <rFont val="WenQuanYi Zen Hei"/>
        <family val="2"/>
      </rPr>
      <t xml:space="preserve">남용을 막고 단기 관광임대를 규율한다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그러나 관광은 주 권한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도시계획은 공동 권한이라 </t>
    </r>
    <r>
      <rPr>
        <sz val="10"/>
        <rFont val="Noto Sans CJK SC"/>
        <family val="2"/>
        <charset val="1"/>
      </rPr>
      <t xml:space="preserve">Regione Lazio</t>
    </r>
    <r>
      <rPr>
        <sz val="10"/>
        <rFont val="WenQuanYi Zen Hei"/>
        <family val="2"/>
      </rPr>
      <t xml:space="preserve">가 헌법재판소 제소를 예고한다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</si>
  <si>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국가–주 권한 배분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117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legge 431/1998 </t>
    </r>
    <r>
      <rPr>
        <sz val="10"/>
        <rFont val="WenQuanYi Zen Hei"/>
        <family val="2"/>
      </rPr>
      <t xml:space="preserve">개정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단기임대 </t>
    </r>
    <r>
      <rPr>
        <sz val="10"/>
        <rFont val="Noto Sans CJK SC"/>
        <family val="2"/>
        <charset val="1"/>
      </rPr>
      <t xml:space="preserve">CIN </t>
    </r>
    <r>
      <rPr>
        <sz val="10"/>
        <rFont val="WenQuanYi Zen Hei"/>
        <family val="2"/>
      </rPr>
      <t xml:space="preserve">코드</t>
    </r>
    <r>
      <rPr>
        <sz val="10"/>
        <rFont val="Noto Sans CJK SC"/>
        <family val="2"/>
        <charset val="1"/>
      </rPr>
      <t xml:space="preserve">(d.l. 145/2023), </t>
    </r>
    <r>
      <rPr>
        <sz val="10"/>
        <rFont val="WenQuanYi Zen Hei"/>
        <family val="2"/>
      </rPr>
      <t xml:space="preserve">주의 헌법재판소 제소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127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</t>
    </r>
  </si>
  <si>
    <t xml:space="preserve">Marco, Gramsci</t>
  </si>
  <si>
    <t xml:space="preserve">Pronto soccorso al collasso</t>
  </si>
  <si>
    <t xml:space="preserve">응급실 마비</t>
  </si>
  <si>
    <r>
      <rPr>
        <sz val="10"/>
        <rFont val="WenQuanYi Zen Hei"/>
        <family val="2"/>
      </rPr>
      <t xml:space="preserve">폭염이 겹쳐 고령 환자가 몰린 응급실이 마비된다</t>
    </r>
    <r>
      <rPr>
        <sz val="10"/>
        <rFont val="Noto Sans CJK SC"/>
        <family val="2"/>
        <charset val="1"/>
      </rPr>
      <t xml:space="preserve">. Giulia</t>
    </r>
    <r>
      <rPr>
        <sz val="10"/>
        <rFont val="WenQuanYi Zen Hei"/>
        <family val="2"/>
      </rPr>
      <t xml:space="preserve">가 현장으로 달려가지만 병원 운영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외주 계약은 주</t>
    </r>
    <r>
      <rPr>
        <sz val="10"/>
        <rFont val="Noto Sans CJK SC"/>
        <family val="2"/>
        <charset val="1"/>
      </rPr>
      <t xml:space="preserve">(Regione)</t>
    </r>
    <r>
      <rPr>
        <sz val="10"/>
        <rFont val="WenQuanYi Zen Hei"/>
        <family val="2"/>
      </rPr>
      <t xml:space="preserve">와 </t>
    </r>
    <r>
      <rPr>
        <sz val="10"/>
        <rFont val="Noto Sans CJK SC"/>
        <family val="2"/>
        <charset val="1"/>
      </rPr>
      <t xml:space="preserve">ASL </t>
    </r>
    <r>
      <rPr>
        <sz val="10"/>
        <rFont val="WenQuanYi Zen Hei"/>
        <family val="2"/>
      </rPr>
      <t xml:space="preserve">권한임을 다시 배운다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정부가 쓸 수 있는 수단은 법 개정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국가 보건기금 배분 조건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필수 의료 수준</t>
    </r>
    <r>
      <rPr>
        <sz val="10"/>
        <rFont val="Noto Sans CJK SC"/>
        <family val="2"/>
        <charset val="1"/>
      </rPr>
      <t xml:space="preserve">(LEA), </t>
    </r>
    <r>
      <rPr>
        <sz val="10"/>
        <rFont val="WenQuanYi Zen Hei"/>
        <family val="2"/>
      </rPr>
      <t xml:space="preserve">국가–주 협의회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</si>
  <si>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주 보건서비스</t>
    </r>
    <r>
      <rPr>
        <sz val="10"/>
        <rFont val="Noto Sans CJK SC"/>
        <family val="2"/>
        <charset val="1"/>
      </rPr>
      <t xml:space="preserve">(SSR)·ASL, </t>
    </r>
    <r>
      <rPr>
        <sz val="10"/>
        <rFont val="WenQuanYi Zen Hei"/>
        <family val="2"/>
      </rPr>
      <t xml:space="preserve">필수 의료 수준</t>
    </r>
    <r>
      <rPr>
        <sz val="10"/>
        <rFont val="Noto Sans CJK SC"/>
        <family val="2"/>
        <charset val="1"/>
      </rPr>
      <t xml:space="preserve">(LEA), </t>
    </r>
    <r>
      <rPr>
        <sz val="10"/>
        <rFont val="WenQuanYi Zen Hei"/>
        <family val="2"/>
      </rPr>
      <t xml:space="preserve">국가–주 협의회</t>
    </r>
    <r>
      <rPr>
        <sz val="10"/>
        <rFont val="Noto Sans CJK SC"/>
        <family val="2"/>
        <charset val="1"/>
      </rPr>
      <t xml:space="preserve">(Conferenza Stato-Regioni), </t>
    </r>
    <r>
      <rPr>
        <sz val="10"/>
        <rFont val="WenQuanYi Zen Hei"/>
        <family val="2"/>
      </rPr>
      <t xml:space="preserve">보건 협약</t>
    </r>
    <r>
      <rPr>
        <sz val="10"/>
        <rFont val="Noto Sans CJK SC"/>
        <family val="2"/>
        <charset val="1"/>
      </rPr>
      <t xml:space="preserve">(Patto per la Salute)</t>
    </r>
  </si>
  <si>
    <t xml:space="preserve">Giulia, Sofia, Montessori, Marco</t>
  </si>
  <si>
    <t xml:space="preserve">S3·S4</t>
  </si>
  <si>
    <t xml:space="preserve">La ripartizione</t>
  </si>
  <si>
    <t xml:space="preserve">분담</t>
  </si>
  <si>
    <r>
      <rPr>
        <sz val="10"/>
        <rFont val="WenQuanYi Zen Hei"/>
        <family val="2"/>
      </rPr>
      <t xml:space="preserve">람페두사 등 도착 지역의 수용 시설이 한계에 달하고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보호자 없는 미성년자</t>
    </r>
    <r>
      <rPr>
        <sz val="10"/>
        <rFont val="Noto Sans CJK SC"/>
        <family val="2"/>
        <charset val="1"/>
      </rPr>
      <t xml:space="preserve">(MSNA) </t>
    </r>
    <r>
      <rPr>
        <sz val="10"/>
        <rFont val="WenQuanYi Zen Hei"/>
        <family val="2"/>
      </rPr>
      <t xml:space="preserve">비용을 두고 지자체와 내무부가 서로 떠넘긴다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국무회의가 분산 수용을 추진하자 </t>
    </r>
    <r>
      <rPr>
        <sz val="10"/>
        <rFont val="Noto Sans CJK SC"/>
        <family val="2"/>
        <charset val="1"/>
      </rPr>
      <t xml:space="preserve">Rosa</t>
    </r>
    <r>
      <rPr>
        <sz val="10"/>
        <rFont val="WenQuanYi Zen Hei"/>
        <family val="2"/>
      </rPr>
      <t xml:space="preserve">가 </t>
    </r>
    <r>
      <rPr>
        <sz val="10"/>
        <rFont val="Noto Sans CJK SC"/>
        <family val="2"/>
        <charset val="1"/>
      </rPr>
      <t xml:space="preserve">Testaccio·Esquilino </t>
    </r>
    <r>
      <rPr>
        <sz val="10"/>
        <rFont val="WenQuanYi Zen Hei"/>
        <family val="2"/>
      </rPr>
      <t xml:space="preserve">이웃들의 이야기를 꺼낸다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</si>
  <si>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이민 통합법</t>
    </r>
    <r>
      <rPr>
        <sz val="10"/>
        <rFont val="Noto Sans CJK SC"/>
        <family val="2"/>
        <charset val="1"/>
      </rPr>
      <t xml:space="preserve">(d.lgs. 286/1998), </t>
    </r>
    <r>
      <rPr>
        <sz val="10"/>
        <rFont val="WenQuanYi Zen Hei"/>
        <family val="2"/>
      </rPr>
      <t xml:space="preserve">수용 체계</t>
    </r>
    <r>
      <rPr>
        <sz val="10"/>
        <rFont val="Noto Sans CJK SC"/>
        <family val="2"/>
        <charset val="1"/>
      </rPr>
      <t xml:space="preserve">(CAS·SAI), </t>
    </r>
    <r>
      <rPr>
        <sz val="10"/>
        <rFont val="WenQuanYi Zen Hei"/>
        <family val="2"/>
      </rPr>
      <t xml:space="preserve">보호자 없는 미성년자 보호</t>
    </r>
    <r>
      <rPr>
        <sz val="10"/>
        <rFont val="Noto Sans CJK SC"/>
        <family val="2"/>
        <charset val="1"/>
      </rPr>
      <t xml:space="preserve">(legge 47/2017), </t>
    </r>
    <r>
      <rPr>
        <sz val="10"/>
        <rFont val="WenQuanYi Zen Hei"/>
        <family val="2"/>
      </rPr>
      <t xml:space="preserve">국가–지자체 협의회</t>
    </r>
    <r>
      <rPr>
        <sz val="10"/>
        <rFont val="Noto Sans CJK SC"/>
        <family val="2"/>
        <charset val="1"/>
      </rPr>
      <t xml:space="preserve">(Conferenza Unificata)</t>
    </r>
  </si>
  <si>
    <t xml:space="preserve">Marco, Rosa, Giulia, Paolo</t>
  </si>
  <si>
    <t xml:space="preserve">La voce dei giovani</t>
  </si>
  <si>
    <t xml:space="preserve">청년들의 목소리</t>
  </si>
  <si>
    <r>
      <rPr>
        <sz val="10"/>
        <rFont val="WenQuanYi Zen Hei"/>
        <family val="2"/>
      </rPr>
      <t xml:space="preserve">청년 고용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무급 인턴 처우와 법정 최저임금 협상</t>
    </r>
    <r>
      <rPr>
        <sz val="10"/>
        <rFont val="Noto Sans CJK SC"/>
        <family val="2"/>
        <charset val="1"/>
      </rPr>
      <t xml:space="preserve">. Cesare</t>
    </r>
    <r>
      <rPr>
        <sz val="10"/>
        <rFont val="WenQuanYi Zen Hei"/>
        <family val="2"/>
      </rPr>
      <t xml:space="preserve">가 </t>
    </r>
    <r>
      <rPr>
        <sz val="10"/>
        <rFont val="Noto Sans CJK SC"/>
        <family val="2"/>
        <charset val="1"/>
      </rPr>
      <t xml:space="preserve">Sofia</t>
    </r>
    <r>
      <rPr>
        <sz val="10"/>
        <rFont val="WenQuanYi Zen Hei"/>
        <family val="2"/>
      </rPr>
      <t xml:space="preserve">의 청년 정책안을 놓고 평소처럼 투덜대며 조언한다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아직은 죽지 않지만 계단을 오르며 살짝 숨이 가쁜 게 보인다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</si>
  <si>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사회적 대화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정부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노조</t>
    </r>
    <r>
      <rPr>
        <sz val="10"/>
        <rFont val="Noto Sans CJK SC"/>
        <family val="2"/>
        <charset val="1"/>
      </rPr>
      <t xml:space="preserve">(CGIL·CISL·UIL)·</t>
    </r>
    <r>
      <rPr>
        <sz val="10"/>
        <rFont val="WenQuanYi Zen Hei"/>
        <family val="2"/>
      </rPr>
      <t xml:space="preserve">경영계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법정 최저임금 부재와 단체협약</t>
    </r>
  </si>
  <si>
    <t xml:space="preserve">Sofia, Cesare, Paolo</t>
  </si>
  <si>
    <t xml:space="preserve">Il cartello dei prezzi</t>
  </si>
  <si>
    <t xml:space="preserve">가격 카르텔</t>
  </si>
  <si>
    <r>
      <rPr>
        <sz val="10"/>
        <rFont val="WenQuanYi Zen Hei"/>
        <family val="2"/>
      </rPr>
      <t xml:space="preserve">도청 자료를 쓰자는 </t>
    </r>
    <r>
      <rPr>
        <sz val="10"/>
        <rFont val="Noto Sans CJK SC"/>
        <family val="2"/>
        <charset val="1"/>
      </rPr>
      <t xml:space="preserve">Gramsci vs </t>
    </r>
    <r>
      <rPr>
        <sz val="10"/>
        <rFont val="WenQuanYi Zen Hei"/>
        <family val="2"/>
      </rPr>
      <t xml:space="preserve">합법 경로만 쓰겠다는 </t>
    </r>
    <r>
      <rPr>
        <sz val="10"/>
        <rFont val="Noto Sans CJK SC"/>
        <family val="2"/>
        <charset val="1"/>
      </rPr>
      <t xml:space="preserve">Marco. </t>
    </r>
    <r>
      <rPr>
        <sz val="10"/>
        <rFont val="WenQuanYi Zen Hei"/>
        <family val="2"/>
      </rPr>
      <t xml:space="preserve">아직 살아 있는 </t>
    </r>
    <r>
      <rPr>
        <sz val="10"/>
        <rFont val="Noto Sans CJK SC"/>
        <family val="2"/>
        <charset val="1"/>
      </rPr>
      <t xml:space="preserve">Cesare</t>
    </r>
    <r>
      <rPr>
        <sz val="10"/>
        <rFont val="WenQuanYi Zen Hei"/>
        <family val="2"/>
      </rPr>
      <t xml:space="preserve">가 둘의 다툼을 지켜보며 </t>
    </r>
    <r>
      <rPr>
        <sz val="10"/>
        <rFont val="Noto Sans CJK SC"/>
        <family val="2"/>
        <charset val="1"/>
      </rPr>
      <t xml:space="preserve">«</t>
    </r>
    <r>
      <rPr>
        <sz val="10"/>
        <rFont val="WenQuanYi Zen Hei"/>
        <family val="2"/>
      </rPr>
      <t xml:space="preserve">합법이 이기는 데는 시간이 걸리지만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이기고 나면 아무도 뒤집지 못하지</t>
    </r>
    <r>
      <rPr>
        <sz val="10"/>
        <rFont val="Noto Sans CJK SC"/>
        <family val="2"/>
        <charset val="1"/>
      </rPr>
      <t xml:space="preserve">»</t>
    </r>
    <r>
      <rPr>
        <sz val="10"/>
        <rFont val="WenQuanYi Zen Hei"/>
        <family val="2"/>
      </rPr>
      <t xml:space="preserve">라고 거든다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</si>
  <si>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공정거래위원회</t>
    </r>
    <r>
      <rPr>
        <sz val="10"/>
        <rFont val="Arial"/>
        <family val="0"/>
        <charset val="1"/>
      </rPr>
      <t xml:space="preserve">(AGCM, legge 287/1990) </t>
    </r>
    <r>
      <rPr>
        <sz val="10"/>
        <rFont val="WenQuanYi Zen Hei"/>
        <family val="2"/>
      </rPr>
      <t xml:space="preserve">조사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사용할 수 없는 증거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감청은 판사 허가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형사소송법 제</t>
    </r>
    <r>
      <rPr>
        <sz val="10"/>
        <rFont val="Arial"/>
        <family val="0"/>
        <charset val="1"/>
      </rPr>
      <t xml:space="preserve">266</t>
    </r>
    <r>
      <rPr>
        <sz val="10"/>
        <rFont val="WenQuanYi Zen Hei"/>
        <family val="2"/>
      </rPr>
      <t xml:space="preserve">조 이하</t>
    </r>
    <r>
      <rPr>
        <sz val="10"/>
        <rFont val="Arial"/>
        <family val="0"/>
        <charset val="1"/>
      </rPr>
      <t xml:space="preserve">)</t>
    </r>
  </si>
  <si>
    <t xml:space="preserve">Gramsci, Marco, Galileo, Cesare</t>
  </si>
  <si>
    <t xml:space="preserve">La tassa sui giganti</t>
  </si>
  <si>
    <t xml:space="preserve">거인들에게 매기는 세금</t>
  </si>
  <si>
    <r>
      <rPr>
        <sz val="10"/>
        <rFont val="WenQuanYi Zen Hei"/>
        <family val="2"/>
      </rPr>
      <t xml:space="preserve">횡재세를 긴급 명령</t>
    </r>
    <r>
      <rPr>
        <sz val="10"/>
        <rFont val="Noto Sans CJK SC"/>
        <family val="2"/>
        <charset val="1"/>
      </rPr>
      <t xml:space="preserve">(decreto-legge)</t>
    </r>
    <r>
      <rPr>
        <sz val="10"/>
        <rFont val="WenQuanYi Zen Hei"/>
        <family val="2"/>
      </rPr>
      <t xml:space="preserve">으로 기습 발표하면 시장이 흔들린다</t>
    </r>
    <r>
      <rPr>
        <sz val="10"/>
        <rFont val="Noto Sans CJK SC"/>
        <family val="2"/>
        <charset val="1"/>
      </rPr>
      <t xml:space="preserve">(2023</t>
    </r>
    <r>
      <rPr>
        <sz val="10"/>
        <rFont val="WenQuanYi Zen Hei"/>
        <family val="2"/>
      </rPr>
      <t xml:space="preserve">년 은행 횡재세 선례</t>
    </r>
    <r>
      <rPr>
        <sz val="10"/>
        <rFont val="Noto Sans CJK SC"/>
        <family val="2"/>
        <charset val="1"/>
      </rPr>
      <t xml:space="preserve">). 60</t>
    </r>
    <r>
      <rPr>
        <sz val="10"/>
        <rFont val="WenQuanYi Zen Hei"/>
        <family val="2"/>
      </rPr>
      <t xml:space="preserve">일 안의 법률 전환 과정에서 수정되는 정치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걷힌 돈을 전기요금과 에너지 전환에 어떻게 나눌지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재생에너지 입지 갈등의 재원 문제도 얽힌다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재계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은행의 반발과 계좌 동결 시도를 </t>
    </r>
    <r>
      <rPr>
        <sz val="10"/>
        <rFont val="Noto Sans CJK SC"/>
        <family val="2"/>
        <charset val="1"/>
      </rPr>
      <t xml:space="preserve">Francesco</t>
    </r>
    <r>
      <rPr>
        <sz val="10"/>
        <rFont val="WenQuanYi Zen Hei"/>
        <family val="2"/>
      </rPr>
      <t xml:space="preserve">가 막는다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</si>
  <si>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Noto Sans CJK SC"/>
        <family val="2"/>
        <charset val="1"/>
      </rPr>
      <t xml:space="preserve">decreto-legge</t>
    </r>
    <r>
      <rPr>
        <sz val="10"/>
        <rFont val="WenQuanYi Zen Hei"/>
        <family val="2"/>
      </rPr>
      <t xml:space="preserve">와 </t>
    </r>
    <r>
      <rPr>
        <sz val="10"/>
        <rFont val="Noto Sans CJK SC"/>
        <family val="2"/>
        <charset val="1"/>
      </rPr>
      <t xml:space="preserve">60</t>
    </r>
    <r>
      <rPr>
        <sz val="10"/>
        <rFont val="WenQuanYi Zen Hei"/>
        <family val="2"/>
      </rPr>
      <t xml:space="preserve">일 내 법률 전환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77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은행 횡재세 선례</t>
    </r>
    <r>
      <rPr>
        <sz val="10"/>
        <rFont val="Noto Sans CJK SC"/>
        <family val="2"/>
        <charset val="1"/>
      </rPr>
      <t xml:space="preserve">(d.l. 104/2023), </t>
    </r>
    <r>
      <rPr>
        <sz val="10"/>
        <rFont val="WenQuanYi Zen Hei"/>
        <family val="2"/>
      </rPr>
      <t xml:space="preserve">에너지 기업 특별 부담금</t>
    </r>
  </si>
  <si>
    <t xml:space="preserve">Alessandro, Francesco, Marco</t>
  </si>
  <si>
    <t xml:space="preserve">N5·S4</t>
  </si>
  <si>
    <t xml:space="preserve">Verso Bruxelles</t>
  </si>
  <si>
    <t xml:space="preserve">브뤼셀로 가는 길</t>
  </si>
  <si>
    <r>
      <rPr>
        <sz val="10"/>
        <rFont val="Arial"/>
        <family val="0"/>
        <charset val="1"/>
      </rPr>
      <t xml:space="preserve">NATO 5% </t>
    </r>
    <r>
      <rPr>
        <sz val="10"/>
        <rFont val="WenQuanYi Zen Hei"/>
        <family val="2"/>
      </rPr>
      <t xml:space="preserve">목표</t>
    </r>
    <r>
      <rPr>
        <sz val="10"/>
        <rFont val="Arial"/>
        <family val="0"/>
        <charset val="1"/>
      </rPr>
      <t xml:space="preserve">(2035</t>
    </r>
    <r>
      <rPr>
        <sz val="10"/>
        <rFont val="WenQuanYi Zen Hei"/>
        <family val="2"/>
      </rPr>
      <t xml:space="preserve">년 시한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이행 경로와 </t>
    </r>
    <r>
      <rPr>
        <sz val="10"/>
        <rFont val="Arial"/>
        <family val="0"/>
        <charset val="1"/>
      </rPr>
      <t xml:space="preserve">EU </t>
    </r>
    <r>
      <rPr>
        <sz val="10"/>
        <rFont val="WenQuanYi Zen Hei"/>
        <family val="2"/>
      </rPr>
      <t xml:space="preserve">과도한 재정적자 절차가 겹친 대표단이 꾸려진다</t>
    </r>
    <r>
      <rPr>
        <sz val="10"/>
        <rFont val="Arial"/>
        <family val="0"/>
        <charset val="1"/>
      </rPr>
      <t xml:space="preserve">. Cesare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«Cesare andrà.»</t>
    </r>
    <r>
      <rPr>
        <sz val="10"/>
        <rFont val="WenQuanYi Zen Hei"/>
        <family val="2"/>
      </rPr>
      <t xml:space="preserve">라고 자원한다 —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천 년 만에 다시 협상 테이블에 앉는 순간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짐을 싸며 </t>
    </r>
    <r>
      <rPr>
        <sz val="10"/>
        <rFont val="Arial"/>
        <family val="0"/>
        <charset val="1"/>
      </rPr>
      <t xml:space="preserve">Dante</t>
    </r>
    <r>
      <rPr>
        <sz val="10"/>
        <rFont val="WenQuanYi Zen Hei"/>
        <family val="2"/>
      </rPr>
      <t xml:space="preserve">에게 자신이 본 두 종류의 지도자를 회상한다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건물에 금박 이름을 새기던 사업가 출신으로 이제 관세를 무기 삼아 카메라 앞에서 소리치는 인물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그리고 정보기관에서 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년을 보낸 뒤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민주주의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라 부르는 자리에 눌러앉아 이웃 나라 땅을 가져간 인물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이름도 국가도 끝내 말하지 않는다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실존 인물 실명 미사용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특징 묘사로만</t>
    </r>
    <r>
      <rPr>
        <sz val="10"/>
        <rFont val="Arial"/>
        <family val="0"/>
        <charset val="1"/>
      </rPr>
      <t xml:space="preserve">).</t>
    </r>
  </si>
  <si>
    <r>
      <rPr>
        <sz val="10"/>
        <rFont val="Arial"/>
        <family val="0"/>
        <charset val="1"/>
      </rPr>
      <t xml:space="preserve">NATO </t>
    </r>
    <r>
      <rPr>
        <sz val="10"/>
        <rFont val="WenQuanYi Zen Hei"/>
        <family val="2"/>
      </rPr>
      <t xml:space="preserve">방위비 목표</t>
    </r>
    <r>
      <rPr>
        <sz val="10"/>
        <rFont val="Arial"/>
        <family val="0"/>
        <charset val="1"/>
      </rPr>
      <t xml:space="preserve">(2025 </t>
    </r>
    <r>
      <rPr>
        <sz val="10"/>
        <rFont val="WenQuanYi Zen Hei"/>
        <family val="2"/>
      </rPr>
      <t xml:space="preserve">헤이그 합의</t>
    </r>
    <r>
      <rPr>
        <sz val="10"/>
        <rFont val="Arial"/>
        <family val="0"/>
        <charset val="1"/>
      </rPr>
      <t xml:space="preserve">, 5%·2035</t>
    </r>
    <r>
      <rPr>
        <sz val="10"/>
        <rFont val="WenQuanYi Zen Hei"/>
        <family val="2"/>
      </rPr>
      <t xml:space="preserve">년</t>
    </r>
    <r>
      <rPr>
        <sz val="10"/>
        <rFont val="Arial"/>
        <family val="0"/>
        <charset val="1"/>
      </rPr>
      <t xml:space="preserve">), EU </t>
    </r>
    <r>
      <rPr>
        <sz val="10"/>
        <rFont val="WenQuanYi Zen Hei"/>
        <family val="2"/>
      </rPr>
      <t xml:space="preserve">재정규칙의 국방비 예외 조항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대표단 구성</t>
    </r>
  </si>
  <si>
    <t xml:space="preserve">Cesare, Dante, Alessandro</t>
  </si>
  <si>
    <t xml:space="preserve">N3</t>
  </si>
  <si>
    <t xml:space="preserve">Il tavolo di Bruxelles</t>
  </si>
  <si>
    <t xml:space="preserve">브뤼셀의 테이블</t>
  </si>
  <si>
    <r>
      <rPr>
        <sz val="10"/>
        <rFont val="WenQuanYi Zen Hei"/>
        <family val="2"/>
      </rPr>
      <t xml:space="preserve">직접 협상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상대측 인사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가상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가 </t>
    </r>
    <r>
      <rPr>
        <sz val="10"/>
        <rFont val="Noto Sans CJK SC"/>
        <family val="2"/>
        <charset val="1"/>
      </rPr>
      <t xml:space="preserve">«</t>
    </r>
    <r>
      <rPr>
        <sz val="10"/>
        <rFont val="WenQuanYi Zen Hei"/>
        <family val="2"/>
      </rPr>
      <t xml:space="preserve">이탈리아는 항상 약속만 하고 지키지 않았다</t>
    </r>
    <r>
      <rPr>
        <sz val="10"/>
        <rFont val="Noto Sans CJK SC"/>
        <family val="2"/>
        <charset val="1"/>
      </rPr>
      <t xml:space="preserve">»</t>
    </r>
    <r>
      <rPr>
        <sz val="10"/>
        <rFont val="WenQuanYi Zen Hei"/>
        <family val="2"/>
      </rPr>
      <t xml:space="preserve">고 과장하자 </t>
    </r>
    <r>
      <rPr>
        <sz val="10"/>
        <rFont val="Noto Sans CJK SC"/>
        <family val="2"/>
        <charset val="1"/>
      </rPr>
      <t xml:space="preserve">Cesare</t>
    </r>
    <r>
      <rPr>
        <sz val="10"/>
        <rFont val="WenQuanYi Zen Hei"/>
        <family val="2"/>
      </rPr>
      <t xml:space="preserve">가 상대가 인용한 합의문의 날짜와 조항을 정확히 짚어 반박한다</t>
    </r>
    <r>
      <rPr>
        <sz val="10"/>
        <rFont val="Noto Sans CJK SC"/>
        <family val="2"/>
        <charset val="1"/>
      </rPr>
      <t xml:space="preserve">. «Horum omnium fortissimi sunt Belgae»</t>
    </r>
    <r>
      <rPr>
        <sz val="10"/>
        <rFont val="WenQuanYi Zen Hei"/>
        <family val="2"/>
      </rPr>
      <t xml:space="preserve">로 긴장을 풀고</t>
    </r>
    <r>
      <rPr>
        <sz val="10"/>
        <rFont val="Noto Sans CJK SC"/>
        <family val="2"/>
        <charset val="1"/>
      </rPr>
      <t xml:space="preserve">, «Mi permetta una precisazione»</t>
    </r>
    <r>
      <rPr>
        <sz val="10"/>
        <rFont val="WenQuanYi Zen Hei"/>
        <family val="2"/>
      </rPr>
      <t xml:space="preserve">로 </t>
    </r>
    <r>
      <rPr>
        <sz val="10"/>
        <rFont val="Noto Sans CJK SC"/>
        <family val="2"/>
        <charset val="1"/>
      </rPr>
      <t xml:space="preserve">3.5% </t>
    </r>
    <r>
      <rPr>
        <sz val="10"/>
        <rFont val="WenQuanYi Zen Hei"/>
        <family val="2"/>
      </rPr>
      <t xml:space="preserve">핵심 방위비의 검증 가능한 단계 경로와 국방비의 재정규칙상 유연성을 맞바꾸는 절충을 이끈다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</si>
  <si>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과도한 재정적자 절차</t>
    </r>
    <r>
      <rPr>
        <sz val="10"/>
        <rFont val="Noto Sans CJK SC"/>
        <family val="2"/>
        <charset val="1"/>
      </rPr>
      <t xml:space="preserve">(TFUE </t>
    </r>
    <r>
      <rPr>
        <sz val="10"/>
        <rFont val="WenQuanYi Zen Hei"/>
        <family val="2"/>
      </rPr>
      <t xml:space="preserve">제</t>
    </r>
    <r>
      <rPr>
        <sz val="10"/>
        <rFont val="Noto Sans CJK SC"/>
        <family val="2"/>
        <charset val="1"/>
      </rPr>
      <t xml:space="preserve">126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국가 예외 조항</t>
    </r>
    <r>
      <rPr>
        <sz val="10"/>
        <rFont val="Noto Sans CJK SC"/>
        <family val="2"/>
        <charset val="1"/>
      </rPr>
      <t xml:space="preserve">, NATO </t>
    </r>
    <r>
      <rPr>
        <sz val="10"/>
        <rFont val="WenQuanYi Zen Hei"/>
        <family val="2"/>
      </rPr>
      <t xml:space="preserve">이행 점검</t>
    </r>
    <r>
      <rPr>
        <sz val="10"/>
        <rFont val="Noto Sans CJK SC"/>
        <family val="2"/>
        <charset val="1"/>
      </rPr>
      <t xml:space="preserve">(2029), ECOFIN</t>
    </r>
  </si>
  <si>
    <t xml:space="preserve">Cesare, Alessandro, Dante</t>
  </si>
  <si>
    <t xml:space="preserve">Il trionfo e la stanchezza</t>
  </si>
  <si>
    <t xml:space="preserve">승리와 피로</t>
  </si>
  <si>
    <r>
      <rPr>
        <sz val="10"/>
        <rFont val="WenQuanYi Zen Hei"/>
        <family val="2"/>
      </rPr>
      <t xml:space="preserve">협상 타결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재정 유연성 확보 </t>
    </r>
    <r>
      <rPr>
        <sz val="10"/>
        <rFont val="Noto Sans CJK SC"/>
        <family val="2"/>
        <charset val="1"/>
      </rPr>
      <t xml:space="preserve">+ </t>
    </r>
    <r>
      <rPr>
        <sz val="10"/>
        <rFont val="WenQuanYi Zen Hei"/>
        <family val="2"/>
      </rPr>
      <t xml:space="preserve">국방비의 단계적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검증 가능한 증액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귀국 비행기에서 </t>
    </r>
    <r>
      <rPr>
        <sz val="10"/>
        <rFont val="Noto Sans CJK SC"/>
        <family val="2"/>
        <charset val="1"/>
      </rPr>
      <t xml:space="preserve">Cesare</t>
    </r>
    <r>
      <rPr>
        <sz val="10"/>
        <rFont val="WenQuanYi Zen Hei"/>
        <family val="2"/>
      </rPr>
      <t xml:space="preserve">가 지친 기색을 숨기며 </t>
    </r>
    <r>
      <rPr>
        <sz val="10"/>
        <rFont val="Noto Sans CJK SC"/>
        <family val="2"/>
        <charset val="1"/>
      </rPr>
      <t xml:space="preserve">Alessandro</t>
    </r>
    <r>
      <rPr>
        <sz val="10"/>
        <rFont val="WenQuanYi Zen Hei"/>
        <family val="2"/>
      </rPr>
      <t xml:space="preserve">에게 메모를 남기라고 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</si>
  <si>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협상 결과의 국내 반영 절차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예산 반영 일정</t>
    </r>
  </si>
  <si>
    <t xml:space="preserve">Cesare, Alessandro, Garibaldi</t>
  </si>
  <si>
    <r>
      <rPr>
        <sz val="10"/>
        <rFont val="WenQuanYi Zen Hei"/>
        <family val="2"/>
      </rPr>
      <t xml:space="preserve">결말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사망</t>
    </r>
    <r>
      <rPr>
        <sz val="10"/>
        <rFont val="Noto Sans CJK SC"/>
        <family val="2"/>
        <charset val="1"/>
      </rPr>
      <t xml:space="preserve">)</t>
    </r>
  </si>
  <si>
    <t xml:space="preserve">Un'ultima precisazione</t>
  </si>
  <si>
    <t xml:space="preserve">마지막 각주 하나</t>
  </si>
  <si>
    <r>
      <rPr>
        <sz val="10"/>
        <rFont val="WenQuanYi Zen Hei"/>
        <family val="2"/>
      </rPr>
      <t xml:space="preserve">귀국 직후</t>
    </r>
    <r>
      <rPr>
        <sz val="10"/>
        <rFont val="Noto Sans CJK SC"/>
        <family val="2"/>
        <charset val="1"/>
      </rPr>
      <t xml:space="preserve">, Testaccio </t>
    </r>
    <r>
      <rPr>
        <sz val="10"/>
        <rFont val="WenQuanYi Zen Hei"/>
        <family val="2"/>
      </rPr>
      <t xml:space="preserve">자택에서 심부전으로 두 번째 죽음을 맞는다</t>
    </r>
    <r>
      <rPr>
        <sz val="10"/>
        <rFont val="Noto Sans CJK SC"/>
        <family val="2"/>
        <charset val="1"/>
      </rPr>
      <t xml:space="preserve">. Sofia</t>
    </r>
    <r>
      <rPr>
        <sz val="10"/>
        <rFont val="WenQuanYi Zen Hei"/>
        <family val="2"/>
      </rPr>
      <t xml:space="preserve">가 청년 정책안 마지막 서명을 받으러 왔다가 그를 발견한다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마지막 말은 </t>
    </r>
    <r>
      <rPr>
        <sz val="10"/>
        <rFont val="Noto Sans CJK SC"/>
        <family val="2"/>
        <charset val="1"/>
      </rPr>
      <t xml:space="preserve">«Niente male.» — </t>
    </r>
    <r>
      <rPr>
        <sz val="10"/>
        <rFont val="WenQuanYi Zen Hei"/>
        <family val="2"/>
      </rPr>
      <t xml:space="preserve">브뤼셀 승리 직후라 더 무겁다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</si>
  <si>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insufficienza cardiaca, </t>
    </r>
    <r>
      <rPr>
        <sz val="10"/>
        <rFont val="WenQuanYi Zen Hei"/>
        <family val="2"/>
      </rPr>
      <t xml:space="preserve">사망 확인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장례 절차 시작</t>
    </r>
  </si>
  <si>
    <t xml:space="preserve">Sofia, Giulia, Cesare</t>
  </si>
  <si>
    <r>
      <rPr>
        <sz val="10"/>
        <rFont val="WenQuanYi Zen Hei"/>
        <family val="2"/>
      </rPr>
      <t xml:space="preserve">발단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장례</t>
    </r>
    <r>
      <rPr>
        <sz val="10"/>
        <rFont val="Noto Sans CJK SC"/>
        <family val="2"/>
        <charset val="1"/>
      </rPr>
      <t xml:space="preserve">)</t>
    </r>
  </si>
  <si>
    <t xml:space="preserve">La veglia</t>
  </si>
  <si>
    <t xml:space="preserve">장례식</t>
  </si>
  <si>
    <r>
      <rPr>
        <sz val="10"/>
        <rFont val="Arial"/>
        <family val="0"/>
        <charset val="1"/>
      </rPr>
      <t xml:space="preserve">Trattoria da Rosa</t>
    </r>
    <r>
      <rPr>
        <sz val="10"/>
        <rFont val="WenQuanYi Zen Hei"/>
        <family val="2"/>
      </rPr>
      <t xml:space="preserve">가 첫 장면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빈자리에 커피 한 잔이 놓인다</t>
    </r>
    <r>
      <rPr>
        <sz val="10"/>
        <rFont val="Arial"/>
        <family val="0"/>
        <charset val="1"/>
      </rPr>
      <t xml:space="preserve">. Sofia</t>
    </r>
    <r>
      <rPr>
        <sz val="10"/>
        <rFont val="WenQuanYi Zen Hei"/>
        <family val="2"/>
      </rPr>
      <t xml:space="preserve">가 조사에서 처음으로 </t>
    </r>
    <r>
      <rPr>
        <sz val="10"/>
        <rFont val="Arial"/>
        <family val="0"/>
        <charset val="1"/>
      </rPr>
      <t xml:space="preserve">Cesare</t>
    </r>
    <r>
      <rPr>
        <sz val="10"/>
        <rFont val="WenQuanYi Zen Hei"/>
        <family val="2"/>
      </rPr>
      <t xml:space="preserve">에게 </t>
    </r>
    <r>
      <rPr>
        <sz val="10"/>
        <rFont val="Arial"/>
        <family val="0"/>
        <charset val="1"/>
      </rPr>
      <t xml:space="preserve">tu</t>
    </r>
    <r>
      <rPr>
        <sz val="10"/>
        <rFont val="WenQuanYi Zen Hei"/>
        <family val="2"/>
      </rPr>
      <t xml:space="preserve">를 쓴다</t>
    </r>
    <r>
      <rPr>
        <sz val="10"/>
        <rFont val="Arial"/>
        <family val="0"/>
        <charset val="1"/>
      </rPr>
      <t xml:space="preserve">. «Per te, "niente male" era il complimento più grande.»</t>
    </r>
  </si>
  <si>
    <t xml:space="preserve">veglia funebre, funerale, condoglianze, elogio funebre</t>
  </si>
  <si>
    <t xml:space="preserve">Sofia, Rosa, Garibaldi, Gramsci, Giulia, Machiavelli</t>
  </si>
  <si>
    <t xml:space="preserve">Il quaderno che ha lasciato</t>
  </si>
  <si>
    <t xml:space="preserve">그가 남긴 수첩</t>
  </si>
  <si>
    <r>
      <rPr>
        <sz val="10"/>
        <rFont val="Arial"/>
        <family val="0"/>
        <charset val="1"/>
      </rPr>
      <t xml:space="preserve">Cesare</t>
    </r>
    <r>
      <rPr>
        <sz val="10"/>
        <rFont val="WenQuanYi Zen Hei"/>
        <family val="2"/>
      </rPr>
      <t xml:space="preserve">가 죽기 전 남긴 브뤼셀 후속 협상 메모가 발견된다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감옥에서 수첩을 쓰던 </t>
    </r>
    <r>
      <rPr>
        <sz val="10"/>
        <rFont val="Arial"/>
        <family val="0"/>
        <charset val="1"/>
      </rPr>
      <t xml:space="preserve">Gramsci</t>
    </r>
    <r>
      <rPr>
        <sz val="10"/>
        <rFont val="WenQuanYi Zen Hei"/>
        <family val="2"/>
      </rPr>
      <t xml:space="preserve">가 정리하고 </t>
    </r>
    <r>
      <rPr>
        <sz val="10"/>
        <rFont val="Arial"/>
        <family val="0"/>
        <charset val="1"/>
      </rPr>
      <t xml:space="preserve">Dante</t>
    </r>
    <r>
      <rPr>
        <sz val="10"/>
        <rFont val="WenQuanYi Zen Hei"/>
        <family val="2"/>
      </rPr>
      <t xml:space="preserve">가 문장을 다듬는다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</si>
  <si>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유작 메모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외교 기록 인계</t>
    </r>
  </si>
  <si>
    <t xml:space="preserve">Gramsci, Dante, Alessandro</t>
  </si>
  <si>
    <t xml:space="preserve">Secondo round a Bruxelles</t>
  </si>
  <si>
    <r>
      <rPr>
        <sz val="10"/>
        <rFont val="WenQuanYi Zen Hei"/>
        <family val="2"/>
      </rPr>
      <t xml:space="preserve">브뤼셀 </t>
    </r>
    <r>
      <rPr>
        <sz val="10"/>
        <rFont val="Noto Sans CJK SC"/>
        <family val="2"/>
        <charset val="1"/>
      </rPr>
      <t xml:space="preserve">2</t>
    </r>
    <r>
      <rPr>
        <sz val="10"/>
        <rFont val="WenQuanYi Zen Hei"/>
        <family val="2"/>
      </rPr>
      <t xml:space="preserve">차 협상</t>
    </r>
  </si>
  <si>
    <r>
      <rPr>
        <sz val="10"/>
        <rFont val="Arial"/>
        <family val="0"/>
        <charset val="1"/>
      </rPr>
      <t xml:space="preserve">Cesare </t>
    </r>
    <r>
      <rPr>
        <sz val="10"/>
        <rFont val="WenQuanYi Zen Hei"/>
        <family val="2"/>
      </rPr>
      <t xml:space="preserve">없이 떠나는 팀</t>
    </r>
    <r>
      <rPr>
        <sz val="10"/>
        <rFont val="Arial"/>
        <family val="0"/>
        <charset val="1"/>
      </rPr>
      <t xml:space="preserve">. Alessandro</t>
    </r>
    <r>
      <rPr>
        <sz val="10"/>
        <rFont val="WenQuanYi Zen Hei"/>
        <family val="2"/>
      </rPr>
      <t xml:space="preserve">가 협상석에 앉고 </t>
    </r>
    <r>
      <rPr>
        <sz val="10"/>
        <rFont val="Arial"/>
        <family val="0"/>
        <charset val="1"/>
      </rPr>
      <t xml:space="preserve">Dante</t>
    </r>
    <r>
      <rPr>
        <sz val="10"/>
        <rFont val="WenQuanYi Zen Hei"/>
        <family val="2"/>
      </rPr>
      <t xml:space="preserve">가 다듬은 그의 문장</t>
    </r>
    <r>
      <rPr>
        <sz val="10"/>
        <rFont val="Arial"/>
        <family val="0"/>
        <charset val="1"/>
      </rPr>
      <t xml:space="preserve">(«non è stato niente male» </t>
    </r>
    <r>
      <rPr>
        <sz val="10"/>
        <rFont val="WenQuanYi Zen Hei"/>
        <family val="2"/>
      </rPr>
      <t xml:space="preserve">포함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을 인용해 </t>
    </r>
    <r>
      <rPr>
        <sz val="10"/>
        <rFont val="Arial"/>
        <family val="0"/>
        <charset val="1"/>
      </rPr>
      <t xml:space="preserve">3.5% </t>
    </r>
    <r>
      <rPr>
        <sz val="10"/>
        <rFont val="WenQuanYi Zen Hei"/>
        <family val="2"/>
      </rPr>
      <t xml:space="preserve">이행 경로의 세부 일정을 확정한다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</si>
  <si>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협상 세부 일정 확정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중기 재정구조계획</t>
    </r>
    <r>
      <rPr>
        <sz val="10"/>
        <rFont val="Noto Sans CJK SC"/>
        <family val="2"/>
        <charset val="1"/>
      </rPr>
      <t xml:space="preserve">(Piano strutturale di bilancio) </t>
    </r>
    <r>
      <rPr>
        <sz val="10"/>
        <rFont val="WenQuanYi Zen Hei"/>
        <family val="2"/>
      </rPr>
      <t xml:space="preserve">승인</t>
    </r>
  </si>
  <si>
    <t xml:space="preserve">Alessandro, Dante, Garibaldi</t>
  </si>
  <si>
    <t xml:space="preserve">L'app che decide</t>
  </si>
  <si>
    <t xml:space="preserve">결정하는 앱</t>
  </si>
  <si>
    <r>
      <rPr>
        <sz val="10"/>
        <rFont val="WenQuanYi Zen Hei"/>
        <family val="2"/>
      </rPr>
      <t xml:space="preserve">배달 라이더들이 알고리즘 배차와 일방적 계정 차단에 항의한다</t>
    </r>
    <r>
      <rPr>
        <sz val="10"/>
        <rFont val="Noto Sans CJK SC"/>
        <family val="2"/>
        <charset val="1"/>
      </rPr>
      <t xml:space="preserve">. 2019</t>
    </r>
    <r>
      <rPr>
        <sz val="10"/>
        <rFont val="WenQuanYi Zen Hei"/>
        <family val="2"/>
      </rPr>
      <t xml:space="preserve">년 라이더 보호 조항 이후에도 고용 지위 분쟁과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디지털 불법 중개</t>
    </r>
    <r>
      <rPr>
        <sz val="10"/>
        <rFont val="Noto Sans CJK SC"/>
        <family val="2"/>
        <charset val="1"/>
      </rPr>
      <t xml:space="preserve">(caporalato digitale)' </t>
    </r>
    <r>
      <rPr>
        <sz val="10"/>
        <rFont val="WenQuanYi Zen Hei"/>
        <family val="2"/>
      </rPr>
      <t xml:space="preserve">수사가 이어짐을 </t>
    </r>
    <r>
      <rPr>
        <sz val="10"/>
        <rFont val="Noto Sans CJK SC"/>
        <family val="2"/>
        <charset val="1"/>
      </rPr>
      <t xml:space="preserve">Paolo</t>
    </r>
    <r>
      <rPr>
        <sz val="10"/>
        <rFont val="WenQuanYi Zen Hei"/>
        <family val="2"/>
      </rPr>
      <t xml:space="preserve">가 현장에서</t>
    </r>
    <r>
      <rPr>
        <sz val="10"/>
        <rFont val="Noto Sans CJK SC"/>
        <family val="2"/>
        <charset val="1"/>
      </rPr>
      <t xml:space="preserve">, Dante</t>
    </r>
    <r>
      <rPr>
        <sz val="10"/>
        <rFont val="WenQuanYi Zen Hei"/>
        <family val="2"/>
      </rPr>
      <t xml:space="preserve">가 문구로 돕는다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</si>
  <si>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라이더 보호</t>
    </r>
    <r>
      <rPr>
        <sz val="10"/>
        <rFont val="Noto Sans CJK SC"/>
        <family val="2"/>
        <charset val="1"/>
      </rPr>
      <t xml:space="preserve">(d.lgs. 81/2015 </t>
    </r>
    <r>
      <rPr>
        <sz val="10"/>
        <rFont val="WenQuanYi Zen Hei"/>
        <family val="2"/>
      </rPr>
      <t xml:space="preserve">제</t>
    </r>
    <r>
      <rPr>
        <sz val="10"/>
        <rFont val="Noto Sans CJK SC"/>
        <family val="2"/>
        <charset val="1"/>
      </rPr>
      <t xml:space="preserve">47-bis</t>
    </r>
    <r>
      <rPr>
        <sz val="10"/>
        <rFont val="WenQuanYi Zen Hei"/>
        <family val="2"/>
      </rPr>
      <t xml:space="preserve">조 이하</t>
    </r>
    <r>
      <rPr>
        <sz val="10"/>
        <rFont val="Noto Sans CJK SC"/>
        <family val="2"/>
        <charset val="1"/>
      </rPr>
      <t xml:space="preserve">), EU </t>
    </r>
    <r>
      <rPr>
        <sz val="10"/>
        <rFont val="WenQuanYi Zen Hei"/>
        <family val="2"/>
      </rPr>
      <t xml:space="preserve">플랫폼노동 지침</t>
    </r>
    <r>
      <rPr>
        <sz val="10"/>
        <rFont val="Noto Sans CJK SC"/>
        <family val="2"/>
        <charset val="1"/>
      </rPr>
      <t xml:space="preserve">(2024/2831) </t>
    </r>
    <r>
      <rPr>
        <sz val="10"/>
        <rFont val="WenQuanYi Zen Hei"/>
        <family val="2"/>
      </rPr>
      <t xml:space="preserve">국내 이행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알고리즘 투명성</t>
    </r>
  </si>
  <si>
    <t xml:space="preserve">Paolo, Dante, Marco</t>
  </si>
  <si>
    <t xml:space="preserve">N6</t>
  </si>
  <si>
    <t xml:space="preserve">Il software che nessuno ha autorizzato</t>
  </si>
  <si>
    <t xml:space="preserve">누구도 승인하지 않은 소프트웨어</t>
  </si>
  <si>
    <r>
      <rPr>
        <sz val="10"/>
        <rFont val="WenQuanYi Zen Hei"/>
        <family val="2"/>
      </rPr>
      <t xml:space="preserve">언론인과 시민단체 활동가 휴대전화에 군사급 스파이웨어가 심어졌다는 의혹이 터진다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자신을 감시하던 정치경찰 파일을 기억하는 </t>
    </r>
    <r>
      <rPr>
        <sz val="10"/>
        <rFont val="Noto Sans CJK SC"/>
        <family val="2"/>
        <charset val="1"/>
      </rPr>
      <t xml:space="preserve">Gramsci</t>
    </r>
    <r>
      <rPr>
        <sz val="10"/>
        <rFont val="WenQuanYi Zen Hei"/>
        <family val="2"/>
      </rPr>
      <t xml:space="preserve">가 패턴을 알아보고</t>
    </r>
    <r>
      <rPr>
        <sz val="10"/>
        <rFont val="Noto Sans CJK SC"/>
        <family val="2"/>
        <charset val="1"/>
      </rPr>
      <t xml:space="preserve">, Galileo</t>
    </r>
    <r>
      <rPr>
        <sz val="10"/>
        <rFont val="WenQuanYi Zen Hei"/>
        <family val="2"/>
      </rPr>
      <t xml:space="preserve">가 검증하며</t>
    </r>
    <r>
      <rPr>
        <sz val="10"/>
        <rFont val="Noto Sans CJK SC"/>
        <family val="2"/>
        <charset val="1"/>
      </rPr>
      <t xml:space="preserve">, Marco</t>
    </r>
    <r>
      <rPr>
        <sz val="10"/>
        <rFont val="WenQuanYi Zen Hei"/>
        <family val="2"/>
      </rPr>
      <t xml:space="preserve">는 합법적 감독 경로</t>
    </r>
    <r>
      <rPr>
        <sz val="10"/>
        <rFont val="Noto Sans CJK SC"/>
        <family val="2"/>
        <charset val="1"/>
      </rPr>
      <t xml:space="preserve">(COPASIR·</t>
    </r>
    <r>
      <rPr>
        <sz val="10"/>
        <rFont val="WenQuanYi Zen Hei"/>
        <family val="2"/>
      </rPr>
      <t xml:space="preserve">검찰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를 고집한다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</si>
  <si>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정보기관 체계</t>
    </r>
    <r>
      <rPr>
        <sz val="10"/>
        <rFont val="Noto Sans CJK SC"/>
        <family val="2"/>
        <charset val="1"/>
      </rPr>
      <t xml:space="preserve">(legge 124/2007: DIS·AISE·AISI), </t>
    </r>
    <r>
      <rPr>
        <sz val="10"/>
        <rFont val="WenQuanYi Zen Hei"/>
        <family val="2"/>
      </rPr>
      <t xml:space="preserve">의회 정보위원회</t>
    </r>
    <r>
      <rPr>
        <sz val="10"/>
        <rFont val="Noto Sans CJK SC"/>
        <family val="2"/>
        <charset val="1"/>
      </rPr>
      <t xml:space="preserve">(COPASIR), </t>
    </r>
    <r>
      <rPr>
        <sz val="10"/>
        <rFont val="WenQuanYi Zen Hei"/>
        <family val="2"/>
      </rPr>
      <t xml:space="preserve">감청의 사법 통제</t>
    </r>
  </si>
  <si>
    <t xml:space="preserve">Gramsci, Galileo, Marco</t>
  </si>
  <si>
    <t xml:space="preserve">N7</t>
  </si>
  <si>
    <t xml:space="preserve">Le liste d'attesa</t>
  </si>
  <si>
    <t xml:space="preserve">대기 명단</t>
  </si>
  <si>
    <r>
      <rPr>
        <sz val="10"/>
        <rFont val="WenQuanYi Zen Hei"/>
        <family val="2"/>
      </rPr>
      <t xml:space="preserve">청년 정신건강 상담 대기가 몇 달씩 밀린 현실</t>
    </r>
    <r>
      <rPr>
        <sz val="10"/>
        <rFont val="Noto Sans CJK SC"/>
        <family val="2"/>
        <charset val="1"/>
      </rPr>
      <t xml:space="preserve">. Montessori</t>
    </r>
    <r>
      <rPr>
        <sz val="10"/>
        <rFont val="WenQuanYi Zen Hei"/>
        <family val="2"/>
      </rPr>
      <t xml:space="preserve">가 현장에서</t>
    </r>
    <r>
      <rPr>
        <sz val="10"/>
        <rFont val="Noto Sans CJK SC"/>
        <family val="2"/>
        <charset val="1"/>
      </rPr>
      <t xml:space="preserve">, Sofia</t>
    </r>
    <r>
      <rPr>
        <sz val="10"/>
        <rFont val="WenQuanYi Zen Hei"/>
        <family val="2"/>
      </rPr>
      <t xml:space="preserve">가 자신의 불안을 처음 인정하며 함께 부딪힌다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</si>
  <si>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지역 정신건강센터</t>
    </r>
    <r>
      <rPr>
        <sz val="10"/>
        <rFont val="Noto Sans CJK SC"/>
        <family val="2"/>
        <charset val="1"/>
      </rPr>
      <t xml:space="preserve">(CSM) </t>
    </r>
    <r>
      <rPr>
        <sz val="10"/>
        <rFont val="WenQuanYi Zen Hei"/>
        <family val="2"/>
      </rPr>
      <t xml:space="preserve">대기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공공 심리 지원</t>
    </r>
    <r>
      <rPr>
        <sz val="10"/>
        <rFont val="Noto Sans CJK SC"/>
        <family val="2"/>
        <charset val="1"/>
      </rPr>
      <t xml:space="preserve">(bonus psicologo) </t>
    </r>
    <r>
      <rPr>
        <sz val="10"/>
        <rFont val="WenQuanYi Zen Hei"/>
        <family val="2"/>
      </rPr>
      <t xml:space="preserve">예산</t>
    </r>
  </si>
  <si>
    <t xml:space="preserve">Montessori, Sofia, Giulia</t>
  </si>
  <si>
    <t xml:space="preserve">N8</t>
  </si>
  <si>
    <t xml:space="preserve">La mozione che non somma</t>
  </si>
  <si>
    <t xml:space="preserve">모자란 불신임안</t>
  </si>
  <si>
    <r>
      <rPr>
        <sz val="10"/>
        <rFont val="WenQuanYi Zen Hei"/>
        <family val="2"/>
      </rPr>
      <t xml:space="preserve">야당의 불신임안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하원 </t>
    </r>
    <r>
      <rPr>
        <sz val="10"/>
        <rFont val="Noto Sans CJK SC"/>
        <family val="2"/>
        <charset val="1"/>
      </rPr>
      <t xml:space="preserve">1/10(40</t>
    </r>
    <r>
      <rPr>
        <sz val="10"/>
        <rFont val="WenQuanYi Zen Hei"/>
        <family val="2"/>
      </rPr>
      <t xml:space="preserve">명</t>
    </r>
    <r>
      <rPr>
        <sz val="10"/>
        <rFont val="Noto Sans CJK SC"/>
        <family val="2"/>
        <charset val="1"/>
      </rPr>
      <t xml:space="preserve">) </t>
    </r>
    <r>
      <rPr>
        <sz val="10"/>
        <rFont val="WenQuanYi Zen Hei"/>
        <family val="2"/>
      </rPr>
      <t xml:space="preserve">서명</t>
    </r>
    <r>
      <rPr>
        <sz val="10"/>
        <rFont val="Noto Sans CJK SC"/>
        <family val="2"/>
        <charset val="1"/>
      </rPr>
      <t xml:space="preserve">, 3</t>
    </r>
    <r>
      <rPr>
        <sz val="10"/>
        <rFont val="WenQuanYi Zen Hei"/>
        <family val="2"/>
      </rPr>
      <t xml:space="preserve">일 뒤 토론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호명 표결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찬성이 반대보다 많아야 가결 → 부결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기권한 지역정당 </t>
    </r>
    <r>
      <rPr>
        <sz val="10"/>
        <rFont val="Noto Sans CJK SC"/>
        <family val="2"/>
        <charset val="1"/>
      </rPr>
      <t xml:space="preserve">TB</t>
    </r>
    <r>
      <rPr>
        <sz val="10"/>
        <rFont val="WenQuanYi Zen Hei"/>
        <family val="2"/>
      </rPr>
      <t xml:space="preserve">는 차등 자치 가속을 요구하고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사법 최고회의</t>
    </r>
    <r>
      <rPr>
        <sz val="10"/>
        <rFont val="Noto Sans CJK SC"/>
        <family val="2"/>
        <charset val="1"/>
      </rPr>
      <t xml:space="preserve">(CSM) </t>
    </r>
    <r>
      <rPr>
        <sz val="10"/>
        <rFont val="WenQuanYi Zen Hei"/>
        <family val="2"/>
      </rPr>
      <t xml:space="preserve">구성을 둘러싼 대립이 정국을 더 얼어붙게 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</si>
  <si>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94</t>
    </r>
    <r>
      <rPr>
        <sz val="10"/>
        <rFont val="WenQuanYi Zen Hei"/>
        <family val="2"/>
      </rPr>
      <t xml:space="preserve">조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정치경로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의석 </t>
    </r>
    <r>
      <rPr>
        <sz val="10"/>
        <rFont val="Noto Sans CJK SC"/>
        <family val="2"/>
        <charset val="1"/>
      </rPr>
      <t xml:space="preserve">C</t>
    </r>
    <r>
      <rPr>
        <sz val="10"/>
        <rFont val="WenQuanYi Zen Hei"/>
        <family val="2"/>
      </rPr>
      <t xml:space="preserve">블록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사법 최고회의</t>
    </r>
    <r>
      <rPr>
        <sz val="10"/>
        <rFont val="Noto Sans CJK SC"/>
        <family val="2"/>
        <charset val="1"/>
      </rPr>
      <t xml:space="preserve">(CSM)</t>
    </r>
  </si>
  <si>
    <t xml:space="preserve">Marco, Chiara, Garibaldi, Machiavelli</t>
  </si>
  <si>
    <t xml:space="preserve">P1·P2·P3</t>
  </si>
  <si>
    <t xml:space="preserve">L'alluvione</t>
  </si>
  <si>
    <t xml:space="preserve">홍수</t>
  </si>
  <si>
    <r>
      <rPr>
        <sz val="10"/>
        <rFont val="WenQuanYi Zen Hei"/>
        <family val="2"/>
      </rPr>
      <t xml:space="preserve">가상의 중부 지방에 집중호우와 하천 범람이 덮친다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적색 경보와 대피 지연을 둘러싼 주–중앙정부 책임 공방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국가 비상사태 선포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민방위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군 투입</t>
    </r>
    <r>
      <rPr>
        <sz val="10"/>
        <rFont val="Noto Sans CJK SC"/>
        <family val="2"/>
        <charset val="1"/>
      </rPr>
      <t xml:space="preserve">. Garibaldi</t>
    </r>
    <r>
      <rPr>
        <sz val="10"/>
        <rFont val="WenQuanYi Zen Hei"/>
        <family val="2"/>
      </rPr>
      <t xml:space="preserve">가 지휘하고 </t>
    </r>
    <r>
      <rPr>
        <sz val="10"/>
        <rFont val="Noto Sans CJK SC"/>
        <family val="2"/>
        <charset val="1"/>
      </rPr>
      <t xml:space="preserve">Dante</t>
    </r>
    <r>
      <rPr>
        <sz val="10"/>
        <rFont val="WenQuanYi Zen Hei"/>
        <family val="2"/>
      </rPr>
      <t xml:space="preserve">가 추모 문구를 쓴다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</si>
  <si>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민방위법</t>
    </r>
    <r>
      <rPr>
        <sz val="10"/>
        <rFont val="Noto Sans CJK SC"/>
        <family val="2"/>
        <charset val="1"/>
      </rPr>
      <t xml:space="preserve">(d.lgs. 1/2018), </t>
    </r>
    <r>
      <rPr>
        <sz val="10"/>
        <rFont val="WenQuanYi Zen Hei"/>
        <family val="2"/>
      </rPr>
      <t xml:space="preserve">국가 비상사태</t>
    </r>
    <r>
      <rPr>
        <sz val="10"/>
        <rFont val="Noto Sans CJK SC"/>
        <family val="2"/>
        <charset val="1"/>
      </rPr>
      <t xml:space="preserve">(stato di emergenza di rilievo nazionale), IT-alert, </t>
    </r>
    <r>
      <rPr>
        <sz val="10"/>
        <rFont val="WenQuanYi Zen Hei"/>
        <family val="2"/>
      </rPr>
      <t xml:space="preserve">산사태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홍수 취약성</t>
    </r>
    <r>
      <rPr>
        <sz val="10"/>
        <rFont val="Noto Sans CJK SC"/>
        <family val="2"/>
        <charset val="1"/>
      </rPr>
      <t xml:space="preserve">(dissesto idrogeologico), EU </t>
    </r>
    <r>
      <rPr>
        <sz val="10"/>
        <rFont val="WenQuanYi Zen Hei"/>
        <family val="2"/>
      </rPr>
      <t xml:space="preserve">연대기금</t>
    </r>
  </si>
  <si>
    <t xml:space="preserve">Garibaldi, Giulia, Marco, Galileo, Dante</t>
  </si>
  <si>
    <t xml:space="preserve">N1·N3·S4</t>
  </si>
  <si>
    <t xml:space="preserve">Risultati per strada</t>
  </si>
  <si>
    <t xml:space="preserve">거리에서 나타난 변화</t>
  </si>
  <si>
    <r>
      <rPr>
        <sz val="10"/>
        <rFont val="WenQuanYi Zen Hei"/>
        <family val="2"/>
      </rPr>
      <t xml:space="preserve">임대료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응급실 대기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청년 고용 지표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사회적 대화 협약 서명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</si>
  <si>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성과 지표 공표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사회적 대화 협약</t>
    </r>
  </si>
  <si>
    <t xml:space="preserve">N3·E3·P1</t>
  </si>
  <si>
    <t xml:space="preserve">Il vuoto nella Vecchia Guardia</t>
  </si>
  <si>
    <t xml:space="preserve">올드 가드의 빈자리</t>
  </si>
  <si>
    <r>
      <rPr>
        <sz val="10"/>
        <rFont val="Arial"/>
        <family val="0"/>
        <charset val="1"/>
      </rPr>
      <t xml:space="preserve">Garibaldi</t>
    </r>
    <r>
      <rPr>
        <sz val="10"/>
        <rFont val="WenQuanYi Zen Hei"/>
        <family val="2"/>
      </rPr>
      <t xml:space="preserve">와 </t>
    </r>
    <r>
      <rPr>
        <sz val="10"/>
        <rFont val="Arial"/>
        <family val="0"/>
        <charset val="1"/>
      </rPr>
      <t xml:space="preserve">Gramsci, Machiavelli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Cesare </t>
    </r>
    <r>
      <rPr>
        <sz val="10"/>
        <rFont val="WenQuanYi Zen Hei"/>
        <family val="2"/>
      </rPr>
      <t xml:space="preserve">없는 </t>
    </r>
    <r>
      <rPr>
        <sz val="10"/>
        <rFont val="Arial"/>
        <family val="0"/>
        <charset val="1"/>
      </rPr>
      <t xml:space="preserve">La Vecchia Guardia</t>
    </r>
    <r>
      <rPr>
        <sz val="10"/>
        <rFont val="WenQuanYi Zen Hei"/>
        <family val="2"/>
      </rPr>
      <t xml:space="preserve">를 마주한다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셋 다 말을 아끼다가 결국 그의 커피 불평을 그리워한다고 인정한다</t>
    </r>
    <r>
      <rPr>
        <sz val="10"/>
        <rFont val="Arial"/>
        <family val="0"/>
        <charset val="1"/>
      </rPr>
      <t xml:space="preserve">.</t>
    </r>
  </si>
  <si>
    <t xml:space="preserve">Garibaldi, Gramsci, Machiavelli, Rosa</t>
  </si>
  <si>
    <t xml:space="preserve">Prima della legge di bilancio</t>
  </si>
  <si>
    <t xml:space="preserve">예산안 앞에서</t>
  </si>
  <si>
    <r>
      <rPr>
        <sz val="10"/>
        <rFont val="WenQuanYi Zen Hei"/>
        <family val="2"/>
      </rPr>
      <t xml:space="preserve">국방비 증액분을 예산에 어떻게 반영할지 논쟁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연금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복지와의 줄다리기</t>
    </r>
    <r>
      <rPr>
        <sz val="10"/>
        <rFont val="Noto Sans CJK SC"/>
        <family val="2"/>
        <charset val="1"/>
      </rPr>
      <t xml:space="preserve">. Alessandro</t>
    </r>
    <r>
      <rPr>
        <sz val="10"/>
        <rFont val="WenQuanYi Zen Hei"/>
        <family val="2"/>
      </rPr>
      <t xml:space="preserve">가 브뤼셀 합의의 검증 가능한 경로를 방패로 쓴다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</si>
  <si>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재정 계획 문서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적자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순지출 경로</t>
    </r>
    <r>
      <rPr>
        <sz val="10"/>
        <rFont val="Noto Sans CJK SC"/>
        <family val="2"/>
        <charset val="1"/>
      </rPr>
      <t xml:space="preserve">, NATO </t>
    </r>
    <r>
      <rPr>
        <sz val="10"/>
        <rFont val="WenQuanYi Zen Hei"/>
        <family val="2"/>
      </rPr>
      <t xml:space="preserve">이행 경로의 국내 반영</t>
    </r>
  </si>
  <si>
    <t xml:space="preserve">Alessandro, Marco, Chiara</t>
  </si>
  <si>
    <t xml:space="preserve">La battaglia continua</t>
  </si>
  <si>
    <t xml:space="preserve">싸움은 계속된다</t>
  </si>
  <si>
    <r>
      <rPr>
        <sz val="10"/>
        <rFont val="WenQuanYi Zen Hei"/>
        <family val="2"/>
      </rPr>
      <t xml:space="preserve">예산안 제출 준비</t>
    </r>
    <r>
      <rPr>
        <sz val="10"/>
        <rFont val="Noto Sans CJK SC"/>
        <family val="2"/>
        <charset val="1"/>
      </rPr>
      <t xml:space="preserve">(10</t>
    </r>
    <r>
      <rPr>
        <sz val="10"/>
        <rFont val="WenQuanYi Zen Hei"/>
        <family val="2"/>
      </rPr>
      <t xml:space="preserve">월 </t>
    </r>
    <r>
      <rPr>
        <sz val="10"/>
        <rFont val="Noto Sans CJK SC"/>
        <family val="2"/>
        <charset val="1"/>
      </rPr>
      <t xml:space="preserve">20</t>
    </r>
    <r>
      <rPr>
        <sz val="10"/>
        <rFont val="WenQuanYi Zen Hei"/>
        <family val="2"/>
      </rPr>
      <t xml:space="preserve">일 시한</t>
    </r>
    <r>
      <rPr>
        <sz val="10"/>
        <rFont val="Noto Sans CJK SC"/>
        <family val="2"/>
        <charset val="1"/>
      </rPr>
      <t xml:space="preserve">): </t>
    </r>
    <r>
      <rPr>
        <sz val="10"/>
        <rFont val="WenQuanYi Zen Hei"/>
        <family val="2"/>
      </rPr>
      <t xml:space="preserve">그동안의 성과 지표도 정리한다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야당의 대규모 수정안 공세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</si>
  <si>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예산안은 </t>
    </r>
    <r>
      <rPr>
        <sz val="10"/>
        <rFont val="Noto Sans CJK SC"/>
        <family val="2"/>
        <charset val="1"/>
      </rPr>
      <t xml:space="preserve">10</t>
    </r>
    <r>
      <rPr>
        <sz val="10"/>
        <rFont val="WenQuanYi Zen Hei"/>
        <family val="2"/>
      </rPr>
      <t xml:space="preserve">월 </t>
    </r>
    <r>
      <rPr>
        <sz val="10"/>
        <rFont val="Noto Sans CJK SC"/>
        <family val="2"/>
        <charset val="1"/>
      </rPr>
      <t xml:space="preserve">20</t>
    </r>
    <r>
      <rPr>
        <sz val="10"/>
        <rFont val="WenQuanYi Zen Hei"/>
        <family val="2"/>
      </rPr>
      <t xml:space="preserve">일까지 의회 제출</t>
    </r>
    <r>
      <rPr>
        <sz val="10"/>
        <rFont val="Noto Sans CJK SC"/>
        <family val="2"/>
        <charset val="1"/>
      </rPr>
      <t xml:space="preserve">(legge 196/2009), </t>
    </r>
    <r>
      <rPr>
        <sz val="10"/>
        <rFont val="WenQuanYi Zen Hei"/>
        <family val="2"/>
      </rPr>
      <t xml:space="preserve">연말까지 미통과 시 잠정 집행</t>
    </r>
    <r>
      <rPr>
        <sz val="10"/>
        <rFont val="Noto Sans CJK SC"/>
        <family val="2"/>
        <charset val="1"/>
      </rPr>
      <t xml:space="preserve">(esercizio provvisorio, </t>
    </r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81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최대 </t>
    </r>
    <r>
      <rPr>
        <sz val="10"/>
        <rFont val="Noto Sans CJK SC"/>
        <family val="2"/>
        <charset val="1"/>
      </rPr>
      <t xml:space="preserve">4</t>
    </r>
    <r>
      <rPr>
        <sz val="10"/>
        <rFont val="WenQuanYi Zen Hei"/>
        <family val="2"/>
      </rPr>
      <t xml:space="preserve">개월</t>
    </r>
    <r>
      <rPr>
        <sz val="10"/>
        <rFont val="Noto Sans CJK SC"/>
        <family val="2"/>
        <charset val="1"/>
      </rPr>
      <t xml:space="preserve">)</t>
    </r>
  </si>
  <si>
    <t xml:space="preserve">Alessandro, Marco, Chiara, Garibaldi</t>
  </si>
  <si>
    <t xml:space="preserve">Sono le cinque</t>
  </si>
  <si>
    <t xml:space="preserve">다섯 시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</si>
  <si>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화와 같은 대사로 시작하지만 자리가 달라졌다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장관들은 이제 손님으로 온다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</si>
  <si>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정부 구성원의 겸직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이해충돌 제한</t>
    </r>
    <r>
      <rPr>
        <sz val="10"/>
        <rFont val="Noto Sans CJK SC"/>
        <family val="2"/>
        <charset val="1"/>
      </rPr>
      <t xml:space="preserve">(legge 215/2004)</t>
    </r>
  </si>
  <si>
    <t xml:space="preserve">Rosa, Marco</t>
  </si>
  <si>
    <t xml:space="preserve">L'ombrello</t>
  </si>
  <si>
    <t xml:space="preserve">우산</t>
  </si>
  <si>
    <r>
      <rPr>
        <sz val="10"/>
        <rFont val="Arial"/>
        <family val="0"/>
        <charset val="1"/>
      </rPr>
      <t xml:space="preserve">Cesare</t>
    </r>
    <r>
      <rPr>
        <sz val="10"/>
        <rFont val="WenQuanYi Zen Hei"/>
        <family val="2"/>
      </rPr>
      <t xml:space="preserve">의 유언장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공증인 앞에서 우산이 </t>
    </r>
    <r>
      <rPr>
        <sz val="10"/>
        <rFont val="Arial"/>
        <family val="0"/>
        <charset val="1"/>
      </rPr>
      <t xml:space="preserve">Sofia</t>
    </r>
    <r>
      <rPr>
        <sz val="10"/>
        <rFont val="WenQuanYi Zen Hei"/>
        <family val="2"/>
      </rPr>
      <t xml:space="preserve">에게 간다</t>
    </r>
    <r>
      <rPr>
        <sz val="10"/>
        <rFont val="Arial"/>
        <family val="0"/>
        <charset val="1"/>
      </rPr>
      <t xml:space="preserve">. '</t>
    </r>
    <r>
      <rPr>
        <sz val="10"/>
        <rFont val="WenQuanYi Zen Hei"/>
        <family val="2"/>
      </rPr>
      <t xml:space="preserve">부활자의 유언이 유효한가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를 두고 공증인이 곤혹스러워한다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</si>
  <si>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유언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공증인</t>
    </r>
    <r>
      <rPr>
        <sz val="10"/>
        <rFont val="Noto Sans CJK SC"/>
        <family val="2"/>
        <charset val="1"/>
      </rPr>
      <t xml:space="preserve">(notaio), </t>
    </r>
    <r>
      <rPr>
        <sz val="10"/>
        <rFont val="WenQuanYi Zen Hei"/>
        <family val="2"/>
      </rPr>
      <t xml:space="preserve">유언집행자</t>
    </r>
    <r>
      <rPr>
        <sz val="10"/>
        <rFont val="Noto Sans CJK SC"/>
        <family val="2"/>
        <charset val="1"/>
      </rPr>
      <t xml:space="preserve">(esecutore testamentario), </t>
    </r>
    <r>
      <rPr>
        <sz val="10"/>
        <rFont val="WenQuanYi Zen Hei"/>
        <family val="2"/>
      </rPr>
      <t xml:space="preserve">유언 공개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유언 등록부</t>
    </r>
    <r>
      <rPr>
        <sz val="10"/>
        <rFont val="Noto Sans CJK SC"/>
        <family val="2"/>
        <charset val="1"/>
      </rPr>
      <t xml:space="preserve">(Registro generale dei testamenti)</t>
    </r>
  </si>
  <si>
    <t xml:space="preserve">Sofia, Garibaldi, Rosa</t>
  </si>
  <si>
    <t xml:space="preserve">La sedia vuota</t>
  </si>
  <si>
    <t xml:space="preserve">빈 의자</t>
  </si>
  <si>
    <r>
      <rPr>
        <sz val="10"/>
        <rFont val="WenQuanYi Zen Hei"/>
        <family val="2"/>
      </rPr>
      <t xml:space="preserve">커피 한 잔이 놓인 빈 자리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새 손님이 그 자리에 앉으려 한다</t>
    </r>
    <r>
      <rPr>
        <sz val="10"/>
        <rFont val="Noto Sans CJK SC"/>
        <family val="2"/>
        <charset val="1"/>
      </rPr>
      <t xml:space="preserve">.</t>
    </r>
  </si>
  <si>
    <t xml:space="preserve">Rosa, Garibaldi</t>
  </si>
  <si>
    <t xml:space="preserve">Una fondazione per lo studio</t>
  </si>
  <si>
    <t xml:space="preserve">사무소를 재단으로</t>
  </si>
  <si>
    <r>
      <rPr>
        <sz val="10"/>
        <rFont val="WenQuanYi Zen Hei"/>
        <family val="2"/>
      </rPr>
      <t xml:space="preserve">장관들이 사무소를 떠나며 재단으로 전환</t>
    </r>
    <r>
      <rPr>
        <sz val="10"/>
        <rFont val="Noto Sans CJK SC"/>
        <family val="2"/>
        <charset val="1"/>
      </rPr>
      <t xml:space="preserve">. Paolo</t>
    </r>
    <r>
      <rPr>
        <sz val="10"/>
        <rFont val="WenQuanYi Zen Hei"/>
        <family val="2"/>
      </rPr>
      <t xml:space="preserve">와 </t>
    </r>
    <r>
      <rPr>
        <sz val="10"/>
        <rFont val="Noto Sans CJK SC"/>
        <family val="2"/>
        <charset val="1"/>
      </rPr>
      <t xml:space="preserve">Rosa</t>
    </r>
    <r>
      <rPr>
        <sz val="10"/>
        <rFont val="WenQuanYi Zen Hei"/>
        <family val="2"/>
      </rPr>
      <t xml:space="preserve">가 운영을 맡는다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</si>
  <si>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재단 설립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민법 제</t>
    </r>
    <r>
      <rPr>
        <sz val="10"/>
        <rFont val="Noto Sans CJK SC"/>
        <family val="2"/>
        <charset val="1"/>
      </rPr>
      <t xml:space="preserve">14</t>
    </r>
    <r>
      <rPr>
        <sz val="10"/>
        <rFont val="WenQuanYi Zen Hei"/>
        <family val="2"/>
      </rPr>
      <t xml:space="preserve">조 이하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제</t>
    </r>
    <r>
      <rPr>
        <sz val="10"/>
        <rFont val="Noto Sans CJK SC"/>
        <family val="2"/>
        <charset val="1"/>
      </rPr>
      <t xml:space="preserve">3</t>
    </r>
    <r>
      <rPr>
        <sz val="10"/>
        <rFont val="WenQuanYi Zen Hei"/>
        <family val="2"/>
      </rPr>
      <t xml:space="preserve">섹터법</t>
    </r>
    <r>
      <rPr>
        <sz val="10"/>
        <rFont val="Noto Sans CJK SC"/>
        <family val="2"/>
        <charset val="1"/>
      </rPr>
      <t xml:space="preserve">(d.lgs. 117/2017), </t>
    </r>
    <r>
      <rPr>
        <sz val="10"/>
        <rFont val="WenQuanYi Zen Hei"/>
        <family val="2"/>
      </rPr>
      <t xml:space="preserve">이해충돌</t>
    </r>
  </si>
  <si>
    <t xml:space="preserve">Paolo, Rosa, Francesco</t>
  </si>
  <si>
    <t xml:space="preserve">Il nuovo stagista</t>
  </si>
  <si>
    <t xml:space="preserve">새 인턴</t>
  </si>
  <si>
    <r>
      <rPr>
        <sz val="10"/>
        <rFont val="WenQuanYi Zen Hei"/>
        <family val="2"/>
      </rPr>
      <t xml:space="preserve">새 인턴 </t>
    </r>
    <r>
      <rPr>
        <sz val="10"/>
        <rFont val="Noto Sans CJK SC"/>
        <family val="2"/>
        <charset val="1"/>
      </rPr>
      <t xml:space="preserve">Luca</t>
    </r>
    <r>
      <rPr>
        <sz val="10"/>
        <rFont val="WenQuanYi Zen Hei"/>
        <family val="2"/>
      </rPr>
      <t xml:space="preserve">가 도착해 </t>
    </r>
    <r>
      <rPr>
        <sz val="10"/>
        <rFont val="Noto Sans CJK SC"/>
        <family val="2"/>
        <charset val="1"/>
      </rPr>
      <t xml:space="preserve">«Scusi, cosa significa?»</t>
    </r>
    <r>
      <rPr>
        <sz val="10"/>
        <rFont val="WenQuanYi Zen Hei"/>
        <family val="2"/>
      </rPr>
      <t xml:space="preserve">라고 묻는다</t>
    </r>
    <r>
      <rPr>
        <sz val="10"/>
        <rFont val="Noto Sans CJK SC"/>
        <family val="2"/>
        <charset val="1"/>
      </rPr>
      <t xml:space="preserve">. Sofia</t>
    </r>
    <r>
      <rPr>
        <sz val="10"/>
        <rFont val="WenQuanYi Zen Hei"/>
        <family val="2"/>
      </rPr>
      <t xml:space="preserve">가 답하는 쪽에 선다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</si>
  <si>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Sofia, Luca(</t>
    </r>
    <r>
      <rPr>
        <sz val="10"/>
        <rFont val="WenQuanYi Zen Hei"/>
        <family val="2"/>
      </rPr>
      <t xml:space="preserve">신규 엑스트라</t>
    </r>
    <r>
      <rPr>
        <sz val="10"/>
        <rFont val="Arial"/>
        <family val="0"/>
        <charset val="1"/>
      </rPr>
      <t xml:space="preserve">)</t>
    </r>
  </si>
  <si>
    <t xml:space="preserve">Sofia spiega</t>
  </si>
  <si>
    <r>
      <rPr>
        <sz val="10"/>
        <rFont val="Arial"/>
        <family val="0"/>
        <charset val="1"/>
      </rPr>
      <t xml:space="preserve">Sofia</t>
    </r>
    <r>
      <rPr>
        <sz val="10"/>
        <rFont val="WenQuanYi Zen Hei"/>
        <family val="2"/>
      </rPr>
      <t xml:space="preserve">의 설명</t>
    </r>
  </si>
  <si>
    <r>
      <rPr>
        <sz val="10"/>
        <rFont val="Arial"/>
        <family val="0"/>
        <charset val="1"/>
      </rPr>
      <t xml:space="preserve">Luca</t>
    </r>
    <r>
      <rPr>
        <sz val="10"/>
        <rFont val="WenQuanYi Zen Hei"/>
        <family val="2"/>
      </rPr>
      <t xml:space="preserve">의 질문에 </t>
    </r>
    <r>
      <rPr>
        <sz val="10"/>
        <rFont val="Arial"/>
        <family val="0"/>
        <charset val="1"/>
      </rPr>
      <t xml:space="preserve">Sofia</t>
    </r>
    <r>
      <rPr>
        <sz val="10"/>
        <rFont val="WenQuanYi Zen Hei"/>
        <family val="2"/>
      </rPr>
      <t xml:space="preserve">가 어려운 말을 쉬운 말로 풀어 준다</t>
    </r>
    <r>
      <rPr>
        <sz val="10"/>
        <rFont val="Arial"/>
        <family val="0"/>
        <charset val="1"/>
      </rPr>
      <t xml:space="preserve">. Garibaldi</t>
    </r>
    <r>
      <rPr>
        <sz val="10"/>
        <rFont val="WenQuanYi Zen Hei"/>
        <family val="2"/>
      </rPr>
      <t xml:space="preserve">도 함께 배운다</t>
    </r>
    <r>
      <rPr>
        <sz val="10"/>
        <rFont val="Arial"/>
        <family val="0"/>
        <charset val="1"/>
      </rPr>
      <t xml:space="preserve">.</t>
    </r>
  </si>
  <si>
    <t xml:space="preserve">Sofia, Garibaldi</t>
  </si>
  <si>
    <t xml:space="preserve">Il bilancio della legislatura</t>
  </si>
  <si>
    <t xml:space="preserve">임기 보고서</t>
  </si>
  <si>
    <r>
      <rPr>
        <sz val="10"/>
        <rFont val="Arial"/>
        <family val="0"/>
        <charset val="1"/>
      </rPr>
      <t xml:space="preserve">Alessandro</t>
    </r>
    <r>
      <rPr>
        <sz val="10"/>
        <rFont val="WenQuanYi Zen Hei"/>
        <family val="2"/>
      </rPr>
      <t xml:space="preserve">가 숫자로 성과를 발표하고 </t>
    </r>
    <r>
      <rPr>
        <sz val="10"/>
        <rFont val="Arial"/>
        <family val="0"/>
        <charset val="1"/>
      </rPr>
      <t xml:space="preserve">Giulia</t>
    </r>
    <r>
      <rPr>
        <sz val="10"/>
        <rFont val="WenQuanYi Zen Hei"/>
        <family val="2"/>
      </rPr>
      <t xml:space="preserve">가 사람 이야기로 보완한다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</si>
  <si>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성과 공시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의회 속기록</t>
    </r>
    <r>
      <rPr>
        <sz val="10"/>
        <rFont val="Noto Sans CJK SC"/>
        <family val="2"/>
        <charset val="1"/>
      </rPr>
      <t xml:space="preserve">(resoconti stenografici)</t>
    </r>
  </si>
  <si>
    <t xml:space="preserve">Alessandro, Giulia</t>
  </si>
  <si>
    <t xml:space="preserve">E3·S3·N5·N3</t>
  </si>
  <si>
    <t xml:space="preserve">Le lettere della gente</t>
  </si>
  <si>
    <t xml:space="preserve">시민들이 보낸 편지</t>
  </si>
  <si>
    <r>
      <rPr>
        <sz val="10"/>
        <rFont val="Arial"/>
        <family val="0"/>
        <charset val="1"/>
      </rPr>
      <t xml:space="preserve">Galileo</t>
    </r>
    <r>
      <rPr>
        <sz val="10"/>
        <rFont val="WenQuanYi Zen Hei"/>
        <family val="2"/>
      </rPr>
      <t xml:space="preserve">가 편지를 낭독하고 </t>
    </r>
    <r>
      <rPr>
        <sz val="10"/>
        <rFont val="Arial"/>
        <family val="0"/>
        <charset val="1"/>
      </rPr>
      <t xml:space="preserve">Dante</t>
    </r>
    <r>
      <rPr>
        <sz val="10"/>
        <rFont val="WenQuanYi Zen Hei"/>
        <family val="2"/>
      </rPr>
      <t xml:space="preserve">가 답장을 쓴다</t>
    </r>
    <r>
      <rPr>
        <sz val="10"/>
        <rFont val="Arial"/>
        <family val="0"/>
        <charset val="1"/>
      </rPr>
      <t xml:space="preserve">.</t>
    </r>
  </si>
  <si>
    <t xml:space="preserve">Galileo, Dante</t>
  </si>
  <si>
    <t xml:space="preserve">La Vecchia Guardia</t>
  </si>
  <si>
    <t xml:space="preserve">올드 가드</t>
  </si>
  <si>
    <r>
      <rPr>
        <sz val="10"/>
        <rFont val="Arial"/>
        <family val="0"/>
        <charset val="1"/>
      </rPr>
      <t xml:space="preserve">Garibaldi</t>
    </r>
    <r>
      <rPr>
        <sz val="10"/>
        <rFont val="WenQuanYi Zen Hei"/>
        <family val="2"/>
      </rPr>
      <t xml:space="preserve">와 </t>
    </r>
    <r>
      <rPr>
        <sz val="10"/>
        <rFont val="Arial"/>
        <family val="0"/>
        <charset val="1"/>
      </rPr>
      <t xml:space="preserve">Gramsci, Machiavelli</t>
    </r>
    <r>
      <rPr>
        <sz val="10"/>
        <rFont val="WenQuanYi Zen Hei"/>
        <family val="2"/>
      </rPr>
      <t xml:space="preserve">와 빈 의자</t>
    </r>
    <r>
      <rPr>
        <sz val="10"/>
        <rFont val="Arial"/>
        <family val="0"/>
        <charset val="1"/>
      </rPr>
      <t xml:space="preserve">. Gramsci</t>
    </r>
    <r>
      <rPr>
        <sz val="10"/>
        <rFont val="WenQuanYi Zen Hei"/>
        <family val="2"/>
      </rPr>
      <t xml:space="preserve">가 마지막 카드를 꺼낸다</t>
    </r>
    <r>
      <rPr>
        <sz val="10"/>
        <rFont val="Arial"/>
        <family val="0"/>
        <charset val="1"/>
      </rPr>
      <t xml:space="preserve">.</t>
    </r>
  </si>
  <si>
    <t xml:space="preserve">Garibaldi, Gramsci, Machiavelli</t>
  </si>
  <si>
    <t xml:space="preserve">La scheda che mancava</t>
  </si>
  <si>
    <t xml:space="preserve">빠진 카드</t>
  </si>
  <si>
    <r>
      <rPr>
        <sz val="10"/>
        <rFont val="WenQuanYi Zen Hei"/>
        <family val="2"/>
      </rPr>
      <t xml:space="preserve">카드 뒷면에 끝내 적지 않던 것</t>
    </r>
    <r>
      <rPr>
        <sz val="10"/>
        <rFont val="Noto Sans CJK SC"/>
        <family val="2"/>
        <charset val="1"/>
      </rPr>
      <t xml:space="preserve">. Gramsci</t>
    </r>
    <r>
      <rPr>
        <sz val="10"/>
        <rFont val="WenQuanYi Zen Hei"/>
        <family val="2"/>
      </rPr>
      <t xml:space="preserve">가 처음으로 결론을 직접 말한다</t>
    </r>
    <r>
      <rPr>
        <sz val="10"/>
        <rFont val="Noto Sans CJK SC"/>
        <family val="2"/>
        <charset val="1"/>
      </rPr>
      <t xml:space="preserve">.</t>
    </r>
  </si>
  <si>
    <t xml:space="preserve">Gramsci, Sofia</t>
  </si>
  <si>
    <t xml:space="preserve">Di nuovo le cinque</t>
  </si>
  <si>
    <t xml:space="preserve">다시 다섯 시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</si>
  <si>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화 장면을 새 인턴이 읽고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낭독 학습자도 다시 읽는다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원형 구조</t>
    </r>
    <r>
      <rPr>
        <sz val="10"/>
        <rFont val="Arial"/>
        <family val="0"/>
        <charset val="1"/>
      </rPr>
      <t xml:space="preserve">.</t>
    </r>
  </si>
  <si>
    <t xml:space="preserve">결말</t>
  </si>
  <si>
    <t xml:space="preserve">Sedetevi, che vi porto qualcosa</t>
  </si>
  <si>
    <r>
      <rPr>
        <sz val="10"/>
        <rFont val="WenQuanYi Zen Hei"/>
        <family val="2"/>
      </rPr>
      <t xml:space="preserve">앉아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뭐 좀 내줄게</t>
    </r>
  </si>
  <si>
    <r>
      <rPr>
        <sz val="10"/>
        <rFont val="WenQuanYi Zen Hei"/>
        <family val="2"/>
      </rPr>
      <t xml:space="preserve">최종화</t>
    </r>
    <r>
      <rPr>
        <sz val="10"/>
        <rFont val="Noto Sans CJK SC"/>
        <family val="2"/>
        <charset val="1"/>
      </rPr>
      <t xml:space="preserve">. Rosa</t>
    </r>
    <r>
      <rPr>
        <sz val="10"/>
        <rFont val="WenQuanYi Zen Hei"/>
        <family val="2"/>
      </rPr>
      <t xml:space="preserve">의 시그니처로 끝난다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</si>
  <si>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Rosa, </t>
    </r>
    <r>
      <rPr>
        <sz val="10"/>
        <rFont val="WenQuanYi Zen Hei"/>
        <family val="2"/>
      </rPr>
      <t xml:space="preserve">전원</t>
    </r>
  </si>
  <si>
    <r>
      <rPr>
        <b val="true"/>
        <sz val="14"/>
        <color rgb="FF1F3864"/>
        <rFont val="WenQuanYi Zen Hei"/>
        <family val="2"/>
      </rPr>
      <t xml:space="preserve">복선 설치와 회수 </t>
    </r>
    <r>
      <rPr>
        <b val="true"/>
        <sz val="14"/>
        <color rgb="FF1F3864"/>
        <rFont val="Noto Sans CJK SC"/>
        <family val="2"/>
        <charset val="1"/>
      </rPr>
      <t xml:space="preserve">(Setup → Payoff)</t>
    </r>
  </si>
  <si>
    <r>
      <rPr>
        <i val="true"/>
        <sz val="9"/>
        <color rgb="FF595959"/>
        <rFont val="WenQuanYi Zen Hei"/>
        <family val="2"/>
      </rPr>
      <t xml:space="preserve">설치 부와 회수 부의 간격</t>
    </r>
    <r>
      <rPr>
        <i val="true"/>
        <sz val="9"/>
        <color rgb="FF595959"/>
        <rFont val="Noto Sans CJK SC"/>
        <family val="2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부 수</t>
    </r>
    <r>
      <rPr>
        <i val="true"/>
        <sz val="9"/>
        <color rgb="FF595959"/>
        <rFont val="Noto Sans CJK SC"/>
        <family val="2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은 수식으로 계산됩니다</t>
    </r>
    <r>
      <rPr>
        <i val="true"/>
        <sz val="9"/>
        <color rgb="FF595959"/>
        <rFont val="Noto Sans CJK SC"/>
        <family val="2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간격이 클수록 오래 기다린 복선이라 낭독 시 기억에 남습니다</t>
    </r>
    <r>
      <rPr>
        <i val="true"/>
        <sz val="9"/>
        <color rgb="FF595959"/>
        <rFont val="Noto Sans CJK SC"/>
        <family val="2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</si>
  <si>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복선</t>
    </r>
    <r>
      <rPr>
        <b val="true"/>
        <sz val="10"/>
        <color rgb="FFFFFFFF"/>
        <rFont val="Noto Sans CJK SC"/>
        <family val="2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설치</t>
    </r>
    <r>
      <rPr>
        <b val="true"/>
        <sz val="10"/>
        <color rgb="FFFFFFFF"/>
        <rFont val="Noto Sans CJK SC"/>
        <family val="2"/>
        <charset val="1"/>
      </rPr>
      <t xml:space="preserve">)</t>
    </r>
  </si>
  <si>
    <t xml:space="preserve">유형</t>
  </si>
  <si>
    <t xml:space="preserve">설치 부</t>
  </si>
  <si>
    <t xml:space="preserve">설치 위치</t>
  </si>
  <si>
    <t xml:space="preserve">회수 부</t>
  </si>
  <si>
    <r>
      <rPr>
        <b val="true"/>
        <sz val="10"/>
        <color rgb="FFFFFFFF"/>
        <rFont val="WenQuanYi Zen Hei"/>
        <family val="2"/>
      </rPr>
      <t xml:space="preserve">간격</t>
    </r>
    <r>
      <rPr>
        <b val="true"/>
        <sz val="10"/>
        <color rgb="FFFFFFFF"/>
        <rFont val="Noto Sans CJK SC"/>
        <family val="2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부</t>
    </r>
    <r>
      <rPr>
        <b val="true"/>
        <sz val="10"/>
        <color rgb="FFFFFFFF"/>
        <rFont val="Noto Sans CJK SC"/>
        <family val="2"/>
        <charset val="1"/>
      </rPr>
      <t xml:space="preserve">)</t>
    </r>
  </si>
  <si>
    <t xml:space="preserve">회수 위치와 효과</t>
  </si>
  <si>
    <t xml:space="preserve">관련 인물</t>
  </si>
  <si>
    <r>
      <rPr>
        <sz val="10"/>
        <rFont val="Arial"/>
        <family val="0"/>
        <charset val="1"/>
      </rPr>
      <t xml:space="preserve">Cesare</t>
    </r>
    <r>
      <rPr>
        <sz val="10"/>
        <rFont val="WenQuanYi Zen Hei"/>
        <family val="2"/>
      </rPr>
      <t xml:space="preserve">의 </t>
    </r>
    <r>
      <rPr>
        <sz val="10"/>
        <rFont val="Arial"/>
        <family val="0"/>
        <charset val="1"/>
      </rPr>
      <t xml:space="preserve">«Questo sarà il mio ultimo inverno» </t>
    </r>
    <r>
      <rPr>
        <sz val="10"/>
        <rFont val="WenQuanYi Zen Hei"/>
        <family val="2"/>
      </rPr>
      <t xml:space="preserve">반복</t>
    </r>
  </si>
  <si>
    <t xml:space="preserve">대사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</si>
  <si>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</si>
  <si>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화 — 양치기 소년 개그가 진짜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두 번째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죽음이 되는 낙차</t>
    </r>
  </si>
  <si>
    <r>
      <rPr>
        <sz val="10"/>
        <rFont val="Arial"/>
        <family val="0"/>
        <charset val="1"/>
      </rPr>
      <t xml:space="preserve">Cesare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Sofia</t>
    </r>
    <r>
      <rPr>
        <sz val="10"/>
        <rFont val="WenQuanYi Zen Hei"/>
        <family val="2"/>
      </rPr>
      <t xml:space="preserve">에게 우산을 물려준다고 말한다</t>
    </r>
  </si>
  <si>
    <t xml:space="preserve">소품</t>
  </si>
  <si>
    <r>
      <rPr>
        <sz val="10"/>
        <rFont val="Arial"/>
        <family val="0"/>
        <charset val="1"/>
      </rPr>
      <t xml:space="preserve">13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화 — 유언장에서 우산이 진짜 유산으로 돌아옴</t>
    </r>
  </si>
  <si>
    <t xml:space="preserve">Cesare, Sofia</t>
  </si>
  <si>
    <r>
      <rPr>
        <sz val="10"/>
        <rFont val="Arial"/>
        <family val="0"/>
        <charset val="1"/>
      </rPr>
      <t xml:space="preserve">Cesare</t>
    </r>
    <r>
      <rPr>
        <sz val="10"/>
        <rFont val="WenQuanYi Zen Hei"/>
        <family val="2"/>
      </rPr>
      <t xml:space="preserve">의 부은 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숨참 </t>
    </r>
    <r>
      <rPr>
        <sz val="10"/>
        <rFont val="Arial"/>
        <family val="0"/>
        <charset val="1"/>
      </rPr>
      <t xml:space="preserve">(«Sono i calzari.»)</t>
    </r>
  </si>
  <si>
    <t xml:space="preserve">설정</t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</si>
  <si>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1·5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</si>
  <si>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4~6</t>
    </r>
    <r>
      <rPr>
        <sz val="10"/>
        <rFont val="WenQuanYi Zen Hei"/>
        <family val="2"/>
      </rPr>
      <t xml:space="preserve">화 — </t>
    </r>
    <r>
      <rPr>
        <sz val="10"/>
        <rFont val="Arial"/>
        <family val="0"/>
        <charset val="1"/>
      </rPr>
      <t xml:space="preserve">Giulia</t>
    </r>
    <r>
      <rPr>
        <sz val="10"/>
        <rFont val="WenQuanYi Zen Hei"/>
        <family val="2"/>
      </rPr>
      <t xml:space="preserve">가 진단을 알고도 침묵한 이유가 드러남</t>
    </r>
  </si>
  <si>
    <t xml:space="preserve">Giulia, Cesare</t>
  </si>
  <si>
    <r>
      <rPr>
        <sz val="10"/>
        <rFont val="Arial"/>
        <family val="0"/>
        <charset val="1"/>
      </rPr>
      <t xml:space="preserve">Cesare</t>
    </r>
    <r>
      <rPr>
        <sz val="10"/>
        <rFont val="WenQuanYi Zen Hei"/>
        <family val="2"/>
      </rPr>
      <t xml:space="preserve">의 최고 칭찬 </t>
    </r>
    <r>
      <rPr>
        <sz val="10"/>
        <rFont val="Arial"/>
        <family val="0"/>
        <charset val="1"/>
      </rPr>
      <t xml:space="preserve">«Niente male.»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</si>
  <si>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(Dante</t>
    </r>
    <r>
      <rPr>
        <sz val="10"/>
        <rFont val="WenQuanYi Zen Hei"/>
        <family val="2"/>
      </rPr>
      <t xml:space="preserve">에게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</si>
  <si>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화 — </t>
    </r>
    <r>
      <rPr>
        <sz val="10"/>
        <rFont val="Arial"/>
        <family val="0"/>
        <charset val="1"/>
      </rPr>
      <t xml:space="preserve">Sofia</t>
    </r>
    <r>
      <rPr>
        <sz val="10"/>
        <rFont val="WenQuanYi Zen Hei"/>
        <family val="2"/>
      </rPr>
      <t xml:space="preserve">에게 처음이자 마지막 칭찬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브뤼셀 승리 직후라 더 무겁다</t>
    </r>
  </si>
  <si>
    <r>
      <rPr>
        <sz val="10"/>
        <rFont val="Arial"/>
        <family val="0"/>
        <charset val="1"/>
      </rPr>
      <t xml:space="preserve">Sofia</t>
    </r>
    <r>
      <rPr>
        <sz val="10"/>
        <rFont val="WenQuanYi Zen Hei"/>
        <family val="2"/>
      </rPr>
      <t xml:space="preserve">의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차 폭발</t>
    </r>
  </si>
  <si>
    <t xml:space="preserve">사건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</si>
  <si>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</si>
  <si>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화 — 몰라서 화내던 </t>
    </r>
    <r>
      <rPr>
        <sz val="10"/>
        <rFont val="Arial"/>
        <family val="0"/>
        <charset val="1"/>
      </rPr>
      <t xml:space="preserve">Sofia → </t>
    </r>
    <r>
      <rPr>
        <sz val="10"/>
        <rFont val="WenQuanYi Zen Hei"/>
        <family val="2"/>
      </rPr>
      <t xml:space="preserve">알아서 화내는 </t>
    </r>
    <r>
      <rPr>
        <sz val="10"/>
        <rFont val="Arial"/>
        <family val="0"/>
        <charset val="1"/>
      </rPr>
      <t xml:space="preserve">Sofia</t>
    </r>
  </si>
  <si>
    <t xml:space="preserve">Sofia</t>
  </si>
  <si>
    <r>
      <rPr>
        <sz val="10"/>
        <rFont val="Arial"/>
        <family val="0"/>
        <charset val="1"/>
      </rPr>
      <t xml:space="preserve">Sofia</t>
    </r>
    <r>
      <rPr>
        <sz val="10"/>
        <rFont val="WenQuanYi Zen Hei"/>
        <family val="2"/>
      </rPr>
      <t xml:space="preserve">의 </t>
    </r>
    <r>
      <rPr>
        <sz val="10"/>
        <rFont val="Arial"/>
        <family val="0"/>
        <charset val="1"/>
      </rPr>
      <t xml:space="preserve">Lei (Cesare</t>
    </r>
    <r>
      <rPr>
        <sz val="10"/>
        <rFont val="WenQuanYi Zen Hei"/>
        <family val="2"/>
      </rPr>
      <t xml:space="preserve">에게</t>
    </r>
    <r>
      <rPr>
        <sz val="10"/>
        <rFont val="Arial"/>
        <family val="0"/>
        <charset val="1"/>
      </rPr>
      <t xml:space="preserve">)</t>
    </r>
  </si>
  <si>
    <t xml:space="preserve">호칭</t>
  </si>
  <si>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화 — 조사에서 처음 </t>
    </r>
    <r>
      <rPr>
        <sz val="10"/>
        <rFont val="Arial"/>
        <family val="0"/>
        <charset val="1"/>
      </rPr>
      <t xml:space="preserve">tu — </t>
    </r>
    <r>
      <rPr>
        <sz val="10"/>
        <rFont val="WenQuanYi Zen Hei"/>
        <family val="2"/>
      </rPr>
      <t xml:space="preserve">호칭 전환이 곧 애도</t>
    </r>
  </si>
  <si>
    <t xml:space="preserve">Sofia, Cesare</t>
  </si>
  <si>
    <r>
      <rPr>
        <sz val="10"/>
        <rFont val="Arial"/>
        <family val="0"/>
        <charset val="1"/>
      </rPr>
      <t xml:space="preserve">Gramsci</t>
    </r>
    <r>
      <rPr>
        <sz val="10"/>
        <rFont val="WenQuanYi Zen Hei"/>
        <family val="2"/>
      </rPr>
      <t xml:space="preserve">의 카드 </t>
    </r>
    <r>
      <rPr>
        <sz val="10"/>
        <rFont val="Arial"/>
        <family val="0"/>
        <charset val="1"/>
      </rPr>
      <t xml:space="preserve">#1</t>
    </r>
    <r>
      <rPr>
        <sz val="10"/>
        <rFont val="WenQuanYi Zen Hei"/>
        <family val="2"/>
      </rPr>
      <t xml:space="preserve">과 </t>
    </r>
    <r>
      <rPr>
        <sz val="10"/>
        <rFont val="Arial"/>
        <family val="0"/>
        <charset val="1"/>
      </rPr>
      <t xml:space="preserve">«Cercalo tu.»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</si>
  <si>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</si>
  <si>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13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화 — 끝까지 결론을 말하지 않던 그가 처음 답을 말함</t>
    </r>
  </si>
  <si>
    <r>
      <rPr>
        <sz val="10"/>
        <rFont val="Arial"/>
        <family val="0"/>
        <charset val="1"/>
      </rPr>
      <t xml:space="preserve">Marco</t>
    </r>
    <r>
      <rPr>
        <sz val="10"/>
        <rFont val="WenQuanYi Zen Hei"/>
        <family val="2"/>
      </rPr>
      <t xml:space="preserve">의 </t>
    </r>
    <r>
      <rPr>
        <sz val="10"/>
        <rFont val="Arial"/>
        <family val="0"/>
        <charset val="1"/>
      </rPr>
      <t xml:space="preserve">«</t>
    </r>
    <r>
      <rPr>
        <sz val="10"/>
        <rFont val="WenQuanYi Zen Hei"/>
        <family val="2"/>
      </rPr>
      <t xml:space="preserve">갱신 거절</t>
    </r>
    <r>
      <rPr>
        <sz val="10"/>
        <rFont val="Arial"/>
        <family val="0"/>
        <charset val="1"/>
      </rPr>
      <t xml:space="preserve">(diniego di rinnovo)» </t>
    </r>
    <r>
      <rPr>
        <sz val="10"/>
        <rFont val="WenQuanYi Zen Hei"/>
        <family val="2"/>
      </rPr>
      <t xml:space="preserve">조항</t>
    </r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</si>
  <si>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</si>
  <si>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화 — 자기가 쓰던 조항 전략을 국정에서 봉쇄</t>
    </r>
  </si>
  <si>
    <r>
      <rPr>
        <sz val="10"/>
        <rFont val="Arial"/>
        <family val="0"/>
        <charset val="1"/>
      </rPr>
      <t xml:space="preserve">Alessandro</t>
    </r>
    <r>
      <rPr>
        <sz val="10"/>
        <rFont val="WenQuanYi Zen Hei"/>
        <family val="2"/>
      </rPr>
      <t xml:space="preserve">의 </t>
    </r>
    <r>
      <rPr>
        <sz val="10"/>
        <rFont val="Arial"/>
        <family val="0"/>
        <charset val="1"/>
      </rPr>
      <t xml:space="preserve">«Questo non torna»</t>
    </r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</si>
  <si>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</si>
  <si>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화 — 감사인의 눈이 처음 이상을 발견한 순간의 원점</t>
    </r>
  </si>
  <si>
    <r>
      <rPr>
        <sz val="10"/>
        <rFont val="Arial"/>
        <family val="0"/>
        <charset val="1"/>
      </rPr>
      <t xml:space="preserve">Alessandro</t>
    </r>
    <r>
      <rPr>
        <sz val="10"/>
        <rFont val="WenQuanYi Zen Hei"/>
        <family val="2"/>
      </rPr>
      <t xml:space="preserve">의 복사본 </t>
    </r>
    <r>
      <rPr>
        <sz val="10"/>
        <rFont val="Arial"/>
        <family val="0"/>
        <charset val="1"/>
      </rPr>
      <t xml:space="preserve">USB</t>
    </r>
  </si>
  <si>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</si>
  <si>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5~6</t>
    </r>
    <r>
      <rPr>
        <sz val="10"/>
        <rFont val="WenQuanYi Zen Hei"/>
        <family val="2"/>
      </rPr>
      <t xml:space="preserve">화 — 서명의 죄가 고발의 증거로 바뀜</t>
    </r>
  </si>
  <si>
    <r>
      <rPr>
        <sz val="10"/>
        <rFont val="Arial"/>
        <family val="0"/>
        <charset val="1"/>
      </rPr>
      <t xml:space="preserve">Alessandro</t>
    </r>
    <r>
      <rPr>
        <sz val="10"/>
        <rFont val="WenQuanYi Zen Hei"/>
        <family val="2"/>
      </rPr>
      <t xml:space="preserve">의 </t>
    </r>
    <r>
      <rPr>
        <sz val="10"/>
        <rFont val="Arial"/>
        <family val="0"/>
        <charset val="1"/>
      </rPr>
      <t xml:space="preserve">«</t>
    </r>
    <r>
      <rPr>
        <sz val="10"/>
        <rFont val="WenQuanYi Zen Hei"/>
        <family val="2"/>
      </rPr>
      <t xml:space="preserve">다시는 서명하지 않는다</t>
    </r>
    <r>
      <rPr>
        <sz val="10"/>
        <rFont val="Arial"/>
        <family val="0"/>
        <charset val="1"/>
      </rPr>
      <t xml:space="preserve">»</t>
    </r>
  </si>
  <si>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</si>
  <si>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화 — </t>
    </r>
    <r>
      <rPr>
        <sz val="10"/>
        <rFont val="Arial"/>
        <family val="0"/>
        <charset val="1"/>
      </rPr>
      <t xml:space="preserve">«Io firmo solo ciò che ho verificato.» — </t>
    </r>
    <r>
      <rPr>
        <sz val="10"/>
        <rFont val="WenQuanYi Zen Hei"/>
        <family val="2"/>
      </rPr>
      <t xml:space="preserve">브뤼셀 합의문 서명으로 회수</t>
    </r>
  </si>
  <si>
    <r>
      <rPr>
        <sz val="10"/>
        <rFont val="Arial"/>
        <family val="0"/>
        <charset val="1"/>
      </rPr>
      <t xml:space="preserve">Chiara</t>
    </r>
    <r>
      <rPr>
        <sz val="10"/>
        <rFont val="WenQuanYi Zen Hei"/>
        <family val="2"/>
      </rPr>
      <t xml:space="preserve">의 </t>
    </r>
    <r>
      <rPr>
        <sz val="10"/>
        <rFont val="Arial"/>
        <family val="0"/>
        <charset val="1"/>
      </rPr>
      <t xml:space="preserve">C47 </t>
    </r>
    <r>
      <rPr>
        <sz val="10"/>
        <rFont val="WenQuanYi Zen Hei"/>
        <family val="2"/>
      </rPr>
      <t xml:space="preserve">셀</t>
    </r>
  </si>
  <si>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</si>
  <si>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화 — 사람을 지우던 셀이 해고 없는 통합 모델로</t>
    </r>
  </si>
  <si>
    <r>
      <rPr>
        <sz val="10"/>
        <rFont val="Arial"/>
        <family val="0"/>
        <charset val="1"/>
      </rPr>
      <t xml:space="preserve">Chiara</t>
    </r>
    <r>
      <rPr>
        <sz val="10"/>
        <rFont val="WenQuanYi Zen Hei"/>
        <family val="2"/>
      </rPr>
      <t xml:space="preserve">의 </t>
    </r>
    <r>
      <rPr>
        <sz val="10"/>
        <rFont val="Arial"/>
        <family val="0"/>
        <charset val="1"/>
      </rPr>
      <t xml:space="preserve">«Mettiamolo in una matrice»</t>
    </r>
  </si>
  <si>
    <r>
      <rPr>
        <sz val="10"/>
        <rFont val="Arial"/>
        <family val="0"/>
        <charset val="1"/>
      </rPr>
      <t xml:space="preserve">13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화 — </t>
    </r>
    <r>
      <rPr>
        <sz val="10"/>
        <rFont val="Arial"/>
        <family val="0"/>
        <charset val="1"/>
      </rPr>
      <t xml:space="preserve">«Ok, senza slide» — </t>
    </r>
    <r>
      <rPr>
        <sz val="10"/>
        <rFont val="WenQuanYi Zen Hei"/>
        <family val="2"/>
      </rPr>
      <t xml:space="preserve">쉬운 말로의 변화</t>
    </r>
  </si>
  <si>
    <r>
      <rPr>
        <sz val="10"/>
        <rFont val="Arial"/>
        <family val="0"/>
        <charset val="1"/>
      </rPr>
      <t xml:space="preserve">Giulia</t>
    </r>
    <r>
      <rPr>
        <sz val="10"/>
        <rFont val="WenQuanYi Zen Hei"/>
        <family val="2"/>
      </rPr>
      <t xml:space="preserve">의 이름 명단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</si>
  <si>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</si>
  <si>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13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화 — 수첩의 이름들이 임기 보고서의 사람 이야기가 됨</t>
    </r>
  </si>
  <si>
    <r>
      <rPr>
        <sz val="10"/>
        <rFont val="Arial"/>
        <family val="0"/>
        <charset val="1"/>
      </rPr>
      <t xml:space="preserve">Paolo–Chiara </t>
    </r>
    <r>
      <rPr>
        <sz val="10"/>
        <rFont val="WenQuanYi Zen Hei"/>
        <family val="2"/>
      </rPr>
      <t xml:space="preserve">갈등</t>
    </r>
  </si>
  <si>
    <t xml:space="preserve">관계</t>
  </si>
  <si>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7·10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</si>
  <si>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화 — 해고한 쪽과 해고당한 쪽의 화해</t>
    </r>
  </si>
  <si>
    <t xml:space="preserve">Paolo, Chiara</t>
  </si>
  <si>
    <r>
      <rPr>
        <sz val="10"/>
        <rFont val="Arial"/>
        <family val="0"/>
        <charset val="1"/>
      </rPr>
      <t xml:space="preserve">Francesco</t>
    </r>
    <r>
      <rPr>
        <sz val="10"/>
        <rFont val="WenQuanYi Zen Hei"/>
        <family val="2"/>
      </rPr>
      <t xml:space="preserve">의 첫 등장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의뢰인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</si>
  <si>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</si>
  <si>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화 — 내부고발자가 시 계약 스캔들의 열쇠가 됨</t>
    </r>
  </si>
  <si>
    <r>
      <rPr>
        <sz val="10"/>
        <rFont val="Arial"/>
        <family val="0"/>
        <charset val="1"/>
      </rPr>
      <t xml:space="preserve">Gruppo Meridiano</t>
    </r>
    <r>
      <rPr>
        <sz val="10"/>
        <rFont val="WenQuanYi Zen Hei"/>
        <family val="2"/>
      </rPr>
      <t xml:space="preserve">의 이름</t>
    </r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</si>
  <si>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</si>
  <si>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화 — </t>
    </r>
    <r>
      <rPr>
        <sz val="10"/>
        <rFont val="Arial"/>
        <family val="0"/>
        <charset val="1"/>
      </rPr>
      <t xml:space="preserve">13</t>
    </r>
    <r>
      <rPr>
        <sz val="10"/>
        <rFont val="WenQuanYi Zen Hei"/>
        <family val="2"/>
      </rPr>
      <t xml:space="preserve">부를 관통하는 악역의 수사가 불신임안 정국 속에서 재판으로 넘어감</t>
    </r>
  </si>
  <si>
    <r>
      <rPr>
        <sz val="10"/>
        <rFont val="Arial"/>
        <family val="0"/>
        <charset val="1"/>
      </rPr>
      <t xml:space="preserve">Montessori</t>
    </r>
    <r>
      <rPr>
        <sz val="10"/>
        <rFont val="WenQuanYi Zen Hei"/>
        <family val="2"/>
      </rPr>
      <t xml:space="preserve">의 </t>
    </r>
    <r>
      <rPr>
        <sz val="10"/>
        <rFont val="Arial"/>
        <family val="0"/>
        <charset val="1"/>
      </rPr>
      <t xml:space="preserve">«E questo come ti fa sentire?»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</si>
  <si>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</si>
  <si>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애도 상담</t>
    </r>
    <r>
      <rPr>
        <sz val="10"/>
        <rFont val="Arial"/>
        <family val="0"/>
        <charset val="1"/>
      </rPr>
      <t xml:space="preserve">) — </t>
    </r>
    <r>
      <rPr>
        <sz val="10"/>
        <rFont val="WenQuanYi Zen Hei"/>
        <family val="2"/>
      </rPr>
      <t xml:space="preserve">다들 질색하던 질문이 처음 진지하게 쓰임</t>
    </r>
  </si>
  <si>
    <r>
      <rPr>
        <sz val="10"/>
        <rFont val="Arial"/>
        <family val="0"/>
        <charset val="1"/>
      </rPr>
      <t xml:space="preserve">Dante</t>
    </r>
    <r>
      <rPr>
        <sz val="10"/>
        <rFont val="WenQuanYi Zen Hei"/>
        <family val="2"/>
      </rPr>
      <t xml:space="preserve">의 서툰 첫 연설</t>
    </r>
  </si>
  <si>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</si>
  <si>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화 — 취임 연설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유작 메모까지 이어지는 글쟁이의 성장</t>
    </r>
  </si>
  <si>
    <r>
      <rPr>
        <sz val="10"/>
        <rFont val="Arial"/>
        <family val="0"/>
        <charset val="1"/>
      </rPr>
      <t xml:space="preserve">Garibaldi</t>
    </r>
    <r>
      <rPr>
        <sz val="10"/>
        <rFont val="WenQuanYi Zen Hei"/>
        <family val="2"/>
      </rPr>
      <t xml:space="preserve">의 </t>
    </r>
    <r>
      <rPr>
        <sz val="10"/>
        <rFont val="Arial"/>
        <family val="0"/>
        <charset val="1"/>
      </rPr>
      <t xml:space="preserve">«Nulla da segnalare»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</si>
  <si>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</si>
  <si>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화 — 홍수 앞에서 처음으로 </t>
    </r>
    <r>
      <rPr>
        <sz val="10"/>
        <rFont val="Arial"/>
        <family val="0"/>
        <charset val="1"/>
      </rPr>
      <t xml:space="preserve">«C'è da segnalare»</t>
    </r>
    <r>
      <rPr>
        <sz val="10"/>
        <rFont val="WenQuanYi Zen Hei"/>
        <family val="2"/>
      </rPr>
      <t xml:space="preserve">라고 보고</t>
    </r>
  </si>
  <si>
    <r>
      <rPr>
        <sz val="10"/>
        <rFont val="Arial"/>
        <family val="0"/>
        <charset val="1"/>
      </rPr>
      <t xml:space="preserve">Rosa</t>
    </r>
    <r>
      <rPr>
        <sz val="10"/>
        <rFont val="WenQuanYi Zen Hei"/>
        <family val="2"/>
      </rPr>
      <t xml:space="preserve">의 식탁과 </t>
    </r>
    <r>
      <rPr>
        <sz val="10"/>
        <rFont val="Arial"/>
        <family val="0"/>
        <charset val="1"/>
      </rPr>
      <t xml:space="preserve">«Sedetevi, che vi porto qualcosa.»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</si>
  <si>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1·12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</si>
  <si>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13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화 — 같은 대사로 시작해 같은 대사로 끝나는 원형</t>
    </r>
  </si>
  <si>
    <t xml:space="preserve">«Sono le cinque. Comincia la riunione…»</t>
  </si>
  <si>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</si>
  <si>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13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1·11</t>
    </r>
    <r>
      <rPr>
        <sz val="10"/>
        <rFont val="WenQuanYi Zen Hei"/>
        <family val="2"/>
      </rPr>
      <t xml:space="preserve">화 — 시간의 고리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낭독자가 같은 문장을 다시 읽음</t>
    </r>
  </si>
  <si>
    <r>
      <rPr>
        <sz val="10"/>
        <rFont val="Arial"/>
        <family val="0"/>
        <charset val="1"/>
      </rPr>
      <t xml:space="preserve">TB</t>
    </r>
    <r>
      <rPr>
        <sz val="10"/>
        <rFont val="WenQuanYi Zen Hei"/>
        <family val="2"/>
      </rPr>
      <t xml:space="preserve">의 조건부 기권</t>
    </r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</si>
  <si>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11~12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</si>
  <si>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화 — 협상의 대가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차등 자치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가 불신임안 정국으로 이어짐</t>
    </r>
  </si>
  <si>
    <t xml:space="preserve">Chiara, Marco, Machiavelli</t>
  </si>
  <si>
    <r>
      <rPr>
        <sz val="10"/>
        <rFont val="WenQuanYi Zen Hei"/>
        <family val="2"/>
      </rPr>
      <t xml:space="preserve">공직자 범죄 축소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도청 제한 법안</t>
    </r>
  </si>
  <si>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</si>
  <si>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1~5</t>
    </r>
    <r>
      <rPr>
        <sz val="10"/>
        <rFont val="WenQuanYi Zen Hei"/>
        <family val="2"/>
      </rPr>
      <t xml:space="preserve">화 — 법정 승리가 법 앞에서 무력해지는 경험이 국민투표와 창당의 동기</t>
    </r>
  </si>
  <si>
    <t xml:space="preserve">Marco, Paolo</t>
  </si>
  <si>
    <r>
      <rPr>
        <sz val="10"/>
        <rFont val="Arial"/>
        <family val="0"/>
        <charset val="1"/>
      </rPr>
      <t xml:space="preserve">Cesare</t>
    </r>
    <r>
      <rPr>
        <sz val="10"/>
        <rFont val="WenQuanYi Zen Hei"/>
        <family val="2"/>
      </rPr>
      <t xml:space="preserve">가 브뤼셀行을 자원한다</t>
    </r>
  </si>
  <si>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</si>
  <si>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화 — 그의 메모로 팀이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차 협상을 잇는 복선</t>
    </r>
  </si>
  <si>
    <r>
      <rPr>
        <sz val="10"/>
        <rFont val="Arial"/>
        <family val="0"/>
        <charset val="1"/>
      </rPr>
      <t xml:space="preserve">Cesare</t>
    </r>
    <r>
      <rPr>
        <sz val="10"/>
        <rFont val="WenQuanYi Zen Hei"/>
        <family val="2"/>
      </rPr>
      <t xml:space="preserve">가 상대의 거짓 주장을 반박한다</t>
    </r>
  </si>
  <si>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</si>
  <si>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화 — </t>
    </r>
    <r>
      <rPr>
        <sz val="10"/>
        <rFont val="Arial"/>
        <family val="0"/>
        <charset val="1"/>
      </rPr>
      <t xml:space="preserve">Dante·Alessandro</t>
    </r>
    <r>
      <rPr>
        <sz val="10"/>
        <rFont val="WenQuanYi Zen Hei"/>
        <family val="2"/>
      </rPr>
      <t xml:space="preserve">가 같은 화법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정확한 반박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을 물려받음</t>
    </r>
  </si>
  <si>
    <t xml:space="preserve">Cesare, Alessandro</t>
  </si>
  <si>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부의 도청 논쟁</t>
    </r>
  </si>
  <si>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</si>
  <si>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화 — 개인 간 도청 논쟁이 국가적 스파이웨어 스캔들로 확장</t>
    </r>
  </si>
  <si>
    <t xml:space="preserve">Gramsci, Marco, Galileo</t>
  </si>
  <si>
    <r>
      <rPr>
        <sz val="10"/>
        <rFont val="Arial"/>
        <family val="0"/>
        <charset val="1"/>
      </rPr>
      <t xml:space="preserve">Galileo</t>
    </r>
    <r>
      <rPr>
        <sz val="10"/>
        <rFont val="WenQuanYi Zen Hei"/>
        <family val="2"/>
      </rPr>
      <t xml:space="preserve">의 </t>
    </r>
    <r>
      <rPr>
        <sz val="10"/>
        <rFont val="Arial"/>
        <family val="0"/>
        <charset val="1"/>
      </rPr>
      <t xml:space="preserve">«Mi servono due fonti indipendenti»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</si>
  <si>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</si>
  <si>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화 — 폭로 기사에서 두 개의 독립 출처를 갖추는 장면</t>
    </r>
  </si>
  <si>
    <t xml:space="preserve">Galileo, Gramsci</t>
  </si>
  <si>
    <r>
      <rPr>
        <b val="true"/>
        <sz val="10"/>
        <rFont val="WenQuanYi Zen Hei"/>
        <family val="2"/>
      </rPr>
      <t xml:space="preserve">평균 간격</t>
    </r>
    <r>
      <rPr>
        <b val="true"/>
        <sz val="10"/>
        <rFont val="Noto Sans CJK SC"/>
        <family val="2"/>
        <charset val="1"/>
      </rPr>
      <t xml:space="preserve">(</t>
    </r>
    <r>
      <rPr>
        <b val="true"/>
        <sz val="10"/>
        <rFont val="WenQuanYi Zen Hei"/>
        <family val="2"/>
      </rPr>
      <t xml:space="preserve">부</t>
    </r>
    <r>
      <rPr>
        <b val="true"/>
        <sz val="10"/>
        <rFont val="Noto Sans CJK SC"/>
        <family val="2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</si>
  <si>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가장 긴 복선</t>
    </r>
    <r>
      <rPr>
        <b val="true"/>
        <sz val="10"/>
        <rFont val="Noto Sans CJK SC"/>
        <family val="2"/>
        <charset val="1"/>
      </rPr>
      <t xml:space="preserve">(</t>
    </r>
    <r>
      <rPr>
        <b val="true"/>
        <sz val="10"/>
        <rFont val="WenQuanYi Zen Hei"/>
        <family val="2"/>
      </rPr>
      <t xml:space="preserve">부</t>
    </r>
    <r>
      <rPr>
        <b val="true"/>
        <sz val="10"/>
        <rFont val="Noto Sans CJK SC"/>
        <family val="2"/>
        <charset val="1"/>
      </rPr>
      <t xml:space="preserve">)</t>
    </r>
  </si>
  <si>
    <t xml:space="preserve">복선 개수</t>
  </si>
  <si>
    <r>
      <rPr>
        <b val="true"/>
        <sz val="14"/>
        <color rgb="FF1F3864"/>
        <rFont val="WenQuanYi Zen Hei"/>
        <family val="2"/>
      </rPr>
      <t xml:space="preserve">이탈리아 현안 </t>
    </r>
    <r>
      <rPr>
        <b val="true"/>
        <sz val="14"/>
        <color rgb="FF1F3864"/>
        <rFont val="Noto Sans CJK SC"/>
        <family val="2"/>
        <charset val="1"/>
      </rPr>
      <t xml:space="preserve">18</t>
    </r>
    <r>
      <rPr>
        <b val="true"/>
        <sz val="14"/>
        <color rgb="FF1F3864"/>
        <rFont val="WenQuanYi Zen Hei"/>
        <family val="2"/>
      </rPr>
      <t xml:space="preserve">개 배치표</t>
    </r>
  </si>
  <si>
    <r>
      <rPr>
        <i val="true"/>
        <sz val="9"/>
        <color rgb="FF595959"/>
        <rFont val="WenQuanYi Zen Hei"/>
        <family val="2"/>
      </rPr>
      <t xml:space="preserve">현재 이탈리아의 쟁점을 이야기 곳곳에 녹이는 계획</t>
    </r>
    <r>
      <rPr>
        <i val="true"/>
        <sz val="9"/>
        <color rgb="FF595959"/>
        <rFont val="Noto Sans CJK SC"/>
        <family val="2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현실의 정당</t>
    </r>
    <r>
      <rPr>
        <i val="true"/>
        <sz val="9"/>
        <color rgb="FF595959"/>
        <rFont val="Noto Sans CJK SC"/>
        <family val="2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정치인</t>
    </r>
    <r>
      <rPr>
        <i val="true"/>
        <sz val="9"/>
        <color rgb="FF595959"/>
        <rFont val="Noto Sans CJK SC"/>
        <family val="2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참사 희생자는 특정하지 않고 가상 설정으로 각색하며</t>
    </r>
    <r>
      <rPr>
        <i val="true"/>
        <sz val="9"/>
        <color rgb="FF595959"/>
        <rFont val="Noto Sans CJK SC"/>
        <family val="2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제도와 통계만 현실 기준으로 쓴다</t>
    </r>
    <r>
      <rPr>
        <i val="true"/>
        <sz val="9"/>
        <color rgb="FF595959"/>
        <rFont val="Noto Sans CJK SC"/>
        <family val="2"/>
        <charset val="1"/>
      </rPr>
      <t xml:space="preserve">.</t>
    </r>
  </si>
  <si>
    <t xml:space="preserve">ID</t>
  </si>
  <si>
    <t xml:space="preserve">분야</t>
  </si>
  <si>
    <t xml:space="preserve">이탈리아어 키워드</t>
  </si>
  <si>
    <t xml:space="preserve">이야기 속 가상 설정</t>
  </si>
  <si>
    <r>
      <rPr>
        <b val="true"/>
        <sz val="10"/>
        <color rgb="FFFFFFFF"/>
        <rFont val="WenQuanYi Zen Hei"/>
        <family val="2"/>
      </rPr>
      <t xml:space="preserve">주요 배치 </t>
    </r>
    <r>
      <rPr>
        <b val="true"/>
        <sz val="10"/>
        <color rgb="FFFFFFFF"/>
        <rFont val="Noto Sans CJK SC"/>
        <family val="2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전용 화</t>
    </r>
    <r>
      <rPr>
        <b val="true"/>
        <sz val="10"/>
        <color rgb="FFFFFFFF"/>
        <rFont val="Noto Sans CJK SC"/>
        <family val="2"/>
        <charset val="1"/>
      </rPr>
      <t xml:space="preserve">)</t>
    </r>
  </si>
  <si>
    <t xml:space="preserve">곁가지 배치</t>
  </si>
  <si>
    <t xml:space="preserve">권한 소재</t>
  </si>
  <si>
    <r>
      <rPr>
        <b val="true"/>
        <sz val="10"/>
        <color rgb="FFFFFFFF"/>
        <rFont val="WenQuanYi Zen Hei"/>
        <family val="2"/>
      </rPr>
      <t xml:space="preserve">관련 제도</t>
    </r>
    <r>
      <rPr>
        <b val="true"/>
        <sz val="10"/>
        <color rgb="FFFFFFFF"/>
        <rFont val="Noto Sans CJK SC"/>
        <family val="2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법</t>
    </r>
  </si>
  <si>
    <t xml:space="preserve">낭독 어휘</t>
  </si>
  <si>
    <r>
      <rPr>
        <b val="true"/>
        <sz val="10"/>
        <color rgb="FFFFFFFF"/>
        <rFont val="WenQuanYi Zen Hei"/>
        <family val="2"/>
      </rPr>
      <t xml:space="preserve">균형</t>
    </r>
    <r>
      <rPr>
        <b val="true"/>
        <sz val="10"/>
        <color rgb="FFFFFFFF"/>
        <rFont val="Noto Sans CJK SC"/>
        <family val="2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민감도 유의</t>
    </r>
  </si>
  <si>
    <r>
      <rPr>
        <b val="true"/>
        <sz val="10"/>
        <color rgb="FFFFFFFF"/>
        <rFont val="WenQuanYi Zen Hei"/>
        <family val="2"/>
      </rPr>
      <t xml:space="preserve">현실 기준값</t>
    </r>
    <r>
      <rPr>
        <b val="true"/>
        <sz val="10"/>
        <color rgb="FFFFFFFF"/>
        <rFont val="Noto Sans CJK SC"/>
        <family val="2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확인</t>
    </r>
  </si>
  <si>
    <t xml:space="preserve">정부 불안정과 연정 협상</t>
  </si>
  <si>
    <t xml:space="preserve">governo, fiducia, maggioranza, rimpasto, crisi di governo</t>
  </si>
  <si>
    <r>
      <rPr>
        <sz val="10"/>
        <rFont val="WenQuanYi Zen Hei"/>
        <family val="2"/>
      </rPr>
      <t xml:space="preserve">어떤 정당도 과반이 안 되는 의회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법안마다 협상 비용이 든다</t>
    </r>
    <r>
      <rPr>
        <sz val="10"/>
        <rFont val="Noto Sans CJK SC"/>
        <family val="2"/>
        <charset val="1"/>
      </rPr>
      <t xml:space="preserve">. Casa Comune</t>
    </r>
    <r>
      <rPr>
        <sz val="10"/>
        <rFont val="WenQuanYi Zen Hei"/>
        <family val="2"/>
      </rPr>
      <t xml:space="preserve">도 연립 정부로 표결마다 파트너의 이탈을 걱정해야 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공화국 역사상 짧은 정부 수명이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이탈리아식 불안정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으로 대사에 등장한다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</si>
  <si>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화 불편한 동맹</t>
    </r>
    <r>
      <rPr>
        <sz val="10"/>
        <rFont val="Arial"/>
        <family val="0"/>
        <charset val="1"/>
      </rPr>
      <t xml:space="preserve">, 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화 탐색 위임</t>
    </r>
    <r>
      <rPr>
        <sz val="10"/>
        <rFont val="Arial"/>
        <family val="0"/>
        <charset val="1"/>
      </rPr>
      <t xml:space="preserve">, 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화 모자란 불신임안</t>
    </r>
  </si>
  <si>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8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왜 새 정당인가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거대 정당 피로</t>
    </r>
    <r>
      <rPr>
        <sz val="10"/>
        <rFont val="Arial"/>
        <family val="0"/>
        <charset val="1"/>
      </rPr>
      <t xml:space="preserve">), 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화</t>
    </r>
  </si>
  <si>
    <t xml:space="preserve">Chiara, Marco, Paolo, Machiavelli</t>
  </si>
  <si>
    <r>
      <rPr>
        <sz val="10"/>
        <rFont val="WenQuanYi Zen Hei"/>
        <family val="2"/>
      </rPr>
      <t xml:space="preserve">하원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상원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시의회</t>
    </r>
  </si>
  <si>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88·92·94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연정 협약</t>
    </r>
  </si>
  <si>
    <t xml:space="preserve">maggioranza, fiducia, crisi di governo, rimpasto, voto di sfiducia</t>
  </si>
  <si>
    <r>
      <rPr>
        <sz val="10"/>
        <rFont val="WenQuanYi Zen Hei"/>
        <family val="2"/>
      </rPr>
      <t xml:space="preserve">특정 실존 정당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인물을 비난하는 대사 금지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가상 정당</t>
    </r>
    <r>
      <rPr>
        <sz val="10"/>
        <rFont val="Noto Sans CJK SC"/>
        <family val="2"/>
        <charset val="1"/>
      </rPr>
      <t xml:space="preserve">(CC·UCN·PPS·IU·TA·TB)</t>
    </r>
    <r>
      <rPr>
        <sz val="10"/>
        <rFont val="WenQuanYi Zen Hei"/>
        <family val="2"/>
      </rPr>
      <t xml:space="preserve">으로만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</si>
  <si>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현실은 </t>
    </r>
    <r>
      <rPr>
        <sz val="10"/>
        <rFont val="Noto Sans CJK SC"/>
        <family val="2"/>
        <charset val="1"/>
      </rPr>
      <t xml:space="preserve">2022</t>
    </r>
    <r>
      <rPr>
        <sz val="10"/>
        <rFont val="WenQuanYi Zen Hei"/>
        <family val="2"/>
      </rPr>
      <t xml:space="preserve">년 이후 우파 연립 다수 정부</t>
    </r>
    <r>
      <rPr>
        <sz val="10"/>
        <rFont val="Noto Sans CJK SC"/>
        <family val="2"/>
        <charset val="1"/>
      </rPr>
      <t xml:space="preserve">(2026-09 </t>
    </r>
    <r>
      <rPr>
        <sz val="10"/>
        <rFont val="WenQuanYi Zen Hei"/>
        <family val="2"/>
      </rPr>
      <t xml:space="preserve">기준</t>
    </r>
    <r>
      <rPr>
        <sz val="10"/>
        <rFont val="Noto Sans CJK SC"/>
        <family val="2"/>
        <charset val="1"/>
      </rPr>
      <t xml:space="preserve">). </t>
    </r>
    <r>
      <rPr>
        <sz val="10"/>
        <rFont val="WenQuanYi Zen Hei"/>
        <family val="2"/>
      </rPr>
      <t xml:space="preserve">이야기에는 쓰지 않음</t>
    </r>
  </si>
  <si>
    <t xml:space="preserve">P2</t>
  </si>
  <si>
    <t xml:space="preserve">남북 격차와 차등 자치</t>
  </si>
  <si>
    <t xml:space="preserve">autonomia differenziata, LEP, Mezzogiorno, questione meridionale, residuo fiscale</t>
  </si>
  <si>
    <r>
      <rPr>
        <sz val="10"/>
        <rFont val="WenQuanYi Zen Hei"/>
        <family val="2"/>
      </rPr>
      <t xml:space="preserve">북부 주 연합 </t>
    </r>
    <r>
      <rPr>
        <sz val="10"/>
        <rFont val="Noto Sans CJK SC"/>
        <family val="2"/>
        <charset val="1"/>
      </rPr>
      <t xml:space="preserve">TB</t>
    </r>
    <r>
      <rPr>
        <sz val="10"/>
        <rFont val="WenQuanYi Zen Hei"/>
        <family val="2"/>
      </rPr>
      <t xml:space="preserve">가 지지의 대가로 차등 자치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더 많은 권한과 세수 이양</t>
    </r>
    <r>
      <rPr>
        <sz val="10"/>
        <rFont val="Noto Sans CJK SC"/>
        <family val="2"/>
        <charset val="1"/>
      </rPr>
      <t xml:space="preserve">) </t>
    </r>
    <r>
      <rPr>
        <sz val="10"/>
        <rFont val="WenQuanYi Zen Hei"/>
        <family val="2"/>
      </rPr>
      <t xml:space="preserve">가속을 요구한다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남부의 필수 공공서비스 수준</t>
    </r>
    <r>
      <rPr>
        <sz val="10"/>
        <rFont val="Noto Sans CJK SC"/>
        <family val="2"/>
        <charset val="1"/>
      </rPr>
      <t xml:space="preserve">(LEP)</t>
    </r>
    <r>
      <rPr>
        <sz val="10"/>
        <rFont val="WenQuanYi Zen Hei"/>
        <family val="2"/>
      </rPr>
      <t xml:space="preserve">은 어떻게 보장하나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나라를 통일한 </t>
    </r>
    <r>
      <rPr>
        <sz val="10"/>
        <rFont val="Noto Sans CJK SC"/>
        <family val="2"/>
        <charset val="1"/>
      </rPr>
      <t xml:space="preserve">Garibaldi</t>
    </r>
    <r>
      <rPr>
        <sz val="10"/>
        <rFont val="WenQuanYi Zen Hei"/>
        <family val="2"/>
      </rPr>
      <t xml:space="preserve">가 가장 예민하게 반응한다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</si>
  <si>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화 연정 협상</t>
    </r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</si>
  <si>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(TV </t>
    </r>
    <r>
      <rPr>
        <sz val="10"/>
        <rFont val="WenQuanYi Zen Hei"/>
        <family val="2"/>
      </rPr>
      <t xml:space="preserve">토론 공격</t>
    </r>
    <r>
      <rPr>
        <sz val="10"/>
        <rFont val="Arial"/>
        <family val="0"/>
        <charset val="1"/>
      </rPr>
      <t xml:space="preserve">), 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불신임안에서 </t>
    </r>
    <r>
      <rPr>
        <sz val="10"/>
        <rFont val="Arial"/>
        <family val="0"/>
        <charset val="1"/>
      </rPr>
      <t xml:space="preserve">TB</t>
    </r>
    <r>
      <rPr>
        <sz val="10"/>
        <rFont val="WenQuanYi Zen Hei"/>
        <family val="2"/>
      </rPr>
      <t xml:space="preserve">의 기권</t>
    </r>
    <r>
      <rPr>
        <sz val="10"/>
        <rFont val="Arial"/>
        <family val="0"/>
        <charset val="1"/>
      </rPr>
      <t xml:space="preserve">)</t>
    </r>
  </si>
  <si>
    <t xml:space="preserve">Garibaldi, Marco, Paolo, Chiara</t>
  </si>
  <si>
    <r>
      <rPr>
        <sz val="10"/>
        <rFont val="WenQuanYi Zen Hei"/>
        <family val="2"/>
      </rPr>
      <t xml:space="preserve">의회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헌법재판소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주</t>
    </r>
  </si>
  <si>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116</t>
    </r>
    <r>
      <rPr>
        <sz val="10"/>
        <rFont val="WenQuanYi Zen Hei"/>
        <family val="2"/>
      </rPr>
      <t xml:space="preserve">조 </t>
    </r>
    <r>
      <rPr>
        <sz val="10"/>
        <rFont val="Noto Sans CJK SC"/>
        <family val="2"/>
        <charset val="1"/>
      </rPr>
      <t xml:space="preserve">3</t>
    </r>
    <r>
      <rPr>
        <sz val="10"/>
        <rFont val="WenQuanYi Zen Hei"/>
        <family val="2"/>
      </rPr>
      <t xml:space="preserve">항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제</t>
    </r>
    <r>
      <rPr>
        <sz val="10"/>
        <rFont val="Noto Sans CJK SC"/>
        <family val="2"/>
        <charset val="1"/>
      </rPr>
      <t xml:space="preserve">117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, legge 86/2024(</t>
    </r>
    <r>
      <rPr>
        <sz val="10"/>
        <rFont val="WenQuanYi Zen Hei"/>
        <family val="2"/>
      </rPr>
      <t xml:space="preserve">차등 자치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헌법재판소 </t>
    </r>
    <r>
      <rPr>
        <sz val="10"/>
        <rFont val="Noto Sans CJK SC"/>
        <family val="2"/>
        <charset val="1"/>
      </rPr>
      <t xml:space="preserve">2024</t>
    </r>
    <r>
      <rPr>
        <sz val="10"/>
        <rFont val="WenQuanYi Zen Hei"/>
        <family val="2"/>
      </rPr>
      <t xml:space="preserve">년 판결 </t>
    </r>
    <r>
      <rPr>
        <sz val="10"/>
        <rFont val="Noto Sans CJK SC"/>
        <family val="2"/>
        <charset val="1"/>
      </rPr>
      <t xml:space="preserve">192</t>
    </r>
    <r>
      <rPr>
        <sz val="10"/>
        <rFont val="WenQuanYi Zen Hei"/>
        <family val="2"/>
      </rPr>
      <t xml:space="preserve">호</t>
    </r>
  </si>
  <si>
    <t xml:space="preserve">autonomia differenziata, LEP, perequazione, Mezzogiorno, coesione</t>
  </si>
  <si>
    <r>
      <rPr>
        <sz val="10"/>
        <rFont val="WenQuanYi Zen Hei"/>
        <family val="2"/>
      </rPr>
      <t xml:space="preserve">가장 민감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북부의 효율 논거와 남부의 형평 논거를 각 인물이 나눠 말하게 하고 결론은 열어 둔다</t>
    </r>
    <r>
      <rPr>
        <sz val="10"/>
        <rFont val="Noto Sans CJK SC"/>
        <family val="2"/>
        <charset val="1"/>
      </rPr>
      <t xml:space="preserve">(Marco</t>
    </r>
    <r>
      <rPr>
        <sz val="10"/>
        <rFont val="WenQuanYi Zen Hei"/>
        <family val="2"/>
      </rPr>
      <t xml:space="preserve">는 헌법 우려</t>
    </r>
    <r>
      <rPr>
        <sz val="10"/>
        <rFont val="Noto Sans CJK SC"/>
        <family val="2"/>
        <charset val="1"/>
      </rPr>
      <t xml:space="preserve">, Garibaldi</t>
    </r>
    <r>
      <rPr>
        <sz val="10"/>
        <rFont val="WenQuanYi Zen Hei"/>
        <family val="2"/>
      </rPr>
      <t xml:space="preserve">는 통일의 가치</t>
    </r>
    <r>
      <rPr>
        <sz val="10"/>
        <rFont val="Noto Sans CJK SC"/>
        <family val="2"/>
        <charset val="1"/>
      </rPr>
      <t xml:space="preserve">, Chiara</t>
    </r>
    <r>
      <rPr>
        <sz val="10"/>
        <rFont val="WenQuanYi Zen Hei"/>
        <family val="2"/>
      </rPr>
      <t xml:space="preserve">는 현실 협상</t>
    </r>
    <r>
      <rPr>
        <sz val="10"/>
        <rFont val="Noto Sans CJK SC"/>
        <family val="2"/>
        <charset val="1"/>
      </rPr>
      <t xml:space="preserve">).</t>
    </r>
  </si>
  <si>
    <r>
      <rPr>
        <sz val="10"/>
        <rFont val="WenQuanYi Zen Hei"/>
        <family val="2"/>
      </rPr>
      <t xml:space="preserve">헌법재판소가 </t>
    </r>
    <r>
      <rPr>
        <sz val="10"/>
        <rFont val="Noto Sans CJK SC"/>
        <family val="2"/>
        <charset val="1"/>
      </rPr>
      <t xml:space="preserve">2024</t>
    </r>
    <r>
      <rPr>
        <sz val="10"/>
        <rFont val="WenQuanYi Zen Hei"/>
        <family val="2"/>
      </rPr>
      <t xml:space="preserve">년 </t>
    </r>
    <r>
      <rPr>
        <sz val="10"/>
        <rFont val="Noto Sans CJK SC"/>
        <family val="2"/>
        <charset val="1"/>
      </rPr>
      <t xml:space="preserve">legge 86/2024 </t>
    </r>
    <r>
      <rPr>
        <sz val="10"/>
        <rFont val="WenQuanYi Zen Hei"/>
        <family val="2"/>
      </rPr>
      <t xml:space="preserve">일부를 위헌 판단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이후 입법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협상 진행 상황은 반영 전 확인</t>
    </r>
  </si>
  <si>
    <t xml:space="preserve">사법 개혁과 정치적 대립</t>
  </si>
  <si>
    <t xml:space="preserve">separazione delle carriere, CSM, prescrizione, intercettazioni, lentezza della giustizia</t>
  </si>
  <si>
    <r>
      <rPr>
        <sz val="10"/>
        <rFont val="WenQuanYi Zen Hei"/>
        <family val="2"/>
      </rPr>
      <t xml:space="preserve">사법 개혁과 도청 제한을 둘러싼 대립 속에 스캔들 수사가 표류한다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재판 지연과 공소시효가 사무소의 고발을 무력하게 만든다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</si>
  <si>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고발</t>
    </r>
    <r>
      <rPr>
        <sz val="10"/>
        <rFont val="Arial"/>
        <family val="0"/>
        <charset val="1"/>
      </rPr>
      <t xml:space="preserve">·GIP </t>
    </r>
    <r>
      <rPr>
        <sz val="10"/>
        <rFont val="WenQuanYi Zen Hei"/>
        <family val="2"/>
      </rPr>
      <t xml:space="preserve">결정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보복</t>
    </r>
    <r>
      <rPr>
        <sz val="10"/>
        <rFont val="Arial"/>
        <family val="0"/>
        <charset val="1"/>
      </rPr>
      <t xml:space="preserve">), 9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화 고발장</t>
    </r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</si>
  <si>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재판</t>
    </r>
    <r>
      <rPr>
        <sz val="10"/>
        <rFont val="Arial"/>
        <family val="0"/>
        <charset val="1"/>
      </rPr>
      <t xml:space="preserve">), 3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징계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외주</t>
    </r>
    <r>
      <rPr>
        <sz val="10"/>
        <rFont val="Arial"/>
        <family val="0"/>
        <charset val="1"/>
      </rPr>
      <t xml:space="preserve">), 4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8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3~4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국민투표</t>
    </r>
    <r>
      <rPr>
        <sz val="10"/>
        <rFont val="Arial"/>
        <family val="0"/>
        <charset val="1"/>
      </rPr>
      <t xml:space="preserve">), 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협상 조건</t>
    </r>
    <r>
      <rPr>
        <sz val="10"/>
        <rFont val="Arial"/>
        <family val="0"/>
        <charset val="1"/>
      </rPr>
      <t xml:space="preserve">), 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화</t>
    </r>
  </si>
  <si>
    <t xml:space="preserve">Marco, Galileo, Gramsci</t>
  </si>
  <si>
    <r>
      <rPr>
        <sz val="10"/>
        <rFont val="WenQuanYi Zen Hei"/>
        <family val="2"/>
      </rPr>
      <t xml:space="preserve">의회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사법 최고회의</t>
    </r>
    <r>
      <rPr>
        <sz val="10"/>
        <rFont val="Noto Sans CJK SC"/>
        <family val="2"/>
        <charset val="1"/>
      </rPr>
      <t xml:space="preserve">(CSM), </t>
    </r>
    <r>
      <rPr>
        <sz val="10"/>
        <rFont val="WenQuanYi Zen Hei"/>
        <family val="2"/>
      </rPr>
      <t xml:space="preserve">사법부</t>
    </r>
  </si>
  <si>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104~112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형사소송법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형법 제</t>
    </r>
    <r>
      <rPr>
        <sz val="10"/>
        <rFont val="Noto Sans CJK SC"/>
        <family val="2"/>
        <charset val="1"/>
      </rPr>
      <t xml:space="preserve">2</t>
    </r>
    <r>
      <rPr>
        <sz val="10"/>
        <rFont val="WenQuanYi Zen Hei"/>
        <family val="2"/>
      </rPr>
      <t xml:space="preserve">조</t>
    </r>
  </si>
  <si>
    <t xml:space="preserve">CSM, magistratura, prescrizione, intercettazioni, abolitio criminis</t>
  </si>
  <si>
    <r>
      <rPr>
        <sz val="10"/>
        <rFont val="WenQuanYi Zen Hei"/>
        <family val="2"/>
      </rPr>
      <t xml:space="preserve">여야 모두가 사법부를 압박한다는 비판을 각각 담는다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실제 재판 결과를 단정하지 않는다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</si>
  <si>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검사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판사 경력 분리 개헌은 </t>
    </r>
    <r>
      <rPr>
        <sz val="10"/>
        <rFont val="Noto Sans CJK SC"/>
        <family val="2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Noto Sans CJK SC"/>
        <family val="2"/>
        <charset val="1"/>
      </rPr>
      <t xml:space="preserve">3</t>
    </r>
    <r>
      <rPr>
        <sz val="10"/>
        <rFont val="WenQuanYi Zen Hei"/>
        <family val="2"/>
      </rPr>
      <t xml:space="preserve">월 국민투표에서 부결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반대 약 </t>
    </r>
    <r>
      <rPr>
        <sz val="10"/>
        <rFont val="Noto Sans CJK SC"/>
        <family val="2"/>
        <charset val="1"/>
      </rPr>
      <t xml:space="preserve">53.6%, </t>
    </r>
    <r>
      <rPr>
        <sz val="10"/>
        <rFont val="WenQuanYi Zen Hei"/>
        <family val="2"/>
      </rPr>
      <t xml:space="preserve">투표율 약 </t>
    </r>
    <r>
      <rPr>
        <sz val="10"/>
        <rFont val="Noto Sans CJK SC"/>
        <family val="2"/>
        <charset val="1"/>
      </rPr>
      <t xml:space="preserve">58.9%). </t>
    </r>
    <r>
      <rPr>
        <sz val="10"/>
        <rFont val="WenQuanYi Zen Hei"/>
        <family val="2"/>
      </rPr>
      <t xml:space="preserve">이후 논의는 반영 전 확인</t>
    </r>
  </si>
  <si>
    <t xml:space="preserve">경제</t>
  </si>
  <si>
    <t xml:space="preserve">주거난과 단기 관광 임대</t>
  </si>
  <si>
    <t xml:space="preserve">emergenza abitativa, affitti brevi, sfratto, canone concordato, overtourism</t>
  </si>
  <si>
    <r>
      <rPr>
        <sz val="10"/>
        <rFont val="WenQuanYi Zen Hei"/>
        <family val="2"/>
      </rPr>
      <t xml:space="preserve">로마 중심가 월세가 임금보다 빨리 오르고 단기 관광 임대가 동네를 비운다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소규모 임대인의 입장</t>
    </r>
    <r>
      <rPr>
        <sz val="10"/>
        <rFont val="Noto Sans CJK SC"/>
        <family val="2"/>
        <charset val="1"/>
      </rPr>
      <t xml:space="preserve">(Rosa</t>
    </r>
    <r>
      <rPr>
        <sz val="10"/>
        <rFont val="WenQuanYi Zen Hei"/>
        <family val="2"/>
      </rPr>
      <t xml:space="preserve">의 친구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도 대사에 넣는다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</si>
  <si>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조항 설계</t>
    </r>
    <r>
      <rPr>
        <sz val="10"/>
        <rFont val="Arial"/>
        <family val="0"/>
        <charset val="1"/>
      </rPr>
      <t xml:space="preserve">), 6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1·3·8·10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(Quarticciolo), 9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임대료 보조 삭감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단기임대 조항</t>
    </r>
    <r>
      <rPr>
        <sz val="10"/>
        <rFont val="Arial"/>
        <family val="0"/>
        <charset val="1"/>
      </rPr>
      <t xml:space="preserve">), 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2·3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</si>
  <si>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1·2·11·12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(Fatima), 8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1·9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13</t>
    </r>
    <r>
      <rPr>
        <sz val="10"/>
        <rFont val="WenQuanYi Zen Hei"/>
        <family val="2"/>
      </rPr>
      <t xml:space="preserve">부</t>
    </r>
  </si>
  <si>
    <t xml:space="preserve">Rosa, Sofia, Alessandro, Marco</t>
  </si>
  <si>
    <r>
      <rPr>
        <sz val="10"/>
        <rFont val="WenQuanYi Zen Hei"/>
        <family val="2"/>
      </rPr>
      <t xml:space="preserve">국가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임대차 기본법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세제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주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관광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주거 정책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시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도시계획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인허가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</si>
  <si>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Arial"/>
        <family val="0"/>
        <charset val="1"/>
      </rPr>
      <t xml:space="preserve">legge 431/1998, </t>
    </r>
    <r>
      <rPr>
        <sz val="10"/>
        <rFont val="WenQuanYi Zen Hei"/>
        <family val="2"/>
      </rPr>
      <t xml:space="preserve">단기임대 </t>
    </r>
    <r>
      <rPr>
        <sz val="10"/>
        <rFont val="Arial"/>
        <family val="0"/>
        <charset val="1"/>
      </rPr>
      <t xml:space="preserve">CIN </t>
    </r>
    <r>
      <rPr>
        <sz val="10"/>
        <rFont val="WenQuanYi Zen Hei"/>
        <family val="2"/>
      </rPr>
      <t xml:space="preserve">코드</t>
    </r>
    <r>
      <rPr>
        <sz val="10"/>
        <rFont val="Arial"/>
        <family val="0"/>
        <charset val="1"/>
      </rPr>
      <t xml:space="preserve">(d.l. 145/2023), </t>
    </r>
    <r>
      <rPr>
        <sz val="10"/>
        <rFont val="WenQuanYi Zen Hei"/>
        <family val="2"/>
      </rPr>
      <t xml:space="preserve">비귀책 체납 기금</t>
    </r>
  </si>
  <si>
    <t xml:space="preserve">affitti brevi, sfratto, canone, piccolo proprietario, CIN</t>
  </si>
  <si>
    <r>
      <rPr>
        <sz val="10"/>
        <rFont val="WenQuanYi Zen Hei"/>
        <family val="2"/>
      </rPr>
      <t xml:space="preserve">임차인만 피해자로 그리지 않는다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소규모 임대인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대형 보유자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펀드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를 구분해서 말한다</t>
    </r>
    <r>
      <rPr>
        <sz val="10"/>
        <rFont val="Noto Sans CJK SC"/>
        <family val="2"/>
        <charset val="1"/>
      </rPr>
      <t xml:space="preserve">.</t>
    </r>
  </si>
  <si>
    <t xml:space="preserve">단기임대 규제와 로마 시 조치의 세부는 반영 전 확인</t>
  </si>
  <si>
    <r>
      <rPr>
        <sz val="10"/>
        <rFont val="WenQuanYi Zen Hei"/>
        <family val="2"/>
      </rPr>
      <t xml:space="preserve">저생산성과 영세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가족 기업 구조</t>
    </r>
  </si>
  <si>
    <t xml:space="preserve">microimpresa, PMI, produttività, impresa familiare, passaggio generazionale</t>
  </si>
  <si>
    <r>
      <rPr>
        <sz val="10"/>
        <rFont val="Arial"/>
        <family val="0"/>
        <charset val="1"/>
      </rPr>
      <t xml:space="preserve">Chiara</t>
    </r>
    <r>
      <rPr>
        <sz val="10"/>
        <rFont val="WenQuanYi Zen Hei"/>
        <family val="2"/>
      </rPr>
      <t xml:space="preserve">가 컨설팅한 규모의 경제 없는 가족 공방들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해고 없이 살릴 길을 못 찾았던 과거</t>
    </r>
    <r>
      <rPr>
        <sz val="10"/>
        <rFont val="Arial"/>
        <family val="0"/>
        <charset val="1"/>
      </rPr>
      <t xml:space="preserve">. 11</t>
    </r>
    <r>
      <rPr>
        <sz val="10"/>
        <rFont val="WenQuanYi Zen Hei"/>
        <family val="2"/>
      </rPr>
      <t xml:space="preserve">부에서 영세 기업 통합</t>
    </r>
    <r>
      <rPr>
        <sz val="10"/>
        <rFont val="Arial"/>
        <family val="0"/>
        <charset val="1"/>
      </rPr>
      <t xml:space="preserve">·R&amp;D </t>
    </r>
    <r>
      <rPr>
        <sz val="10"/>
        <rFont val="WenQuanYi Zen Hei"/>
        <family val="2"/>
      </rPr>
      <t xml:space="preserve">전환 사업을 설계한다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</si>
  <si>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화 </t>
    </r>
    <r>
      <rPr>
        <sz val="10"/>
        <rFont val="Arial"/>
        <family val="0"/>
        <charset val="1"/>
      </rPr>
      <t xml:space="preserve">Ruggeri </t>
    </r>
    <r>
      <rPr>
        <sz val="10"/>
        <rFont val="WenQuanYi Zen Hei"/>
        <family val="2"/>
      </rPr>
      <t xml:space="preserve">공방</t>
    </r>
  </si>
  <si>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골목 상권</t>
    </r>
    <r>
      <rPr>
        <sz val="10"/>
        <rFont val="Arial"/>
        <family val="0"/>
        <charset val="1"/>
      </rPr>
      <t xml:space="preserve">), 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13</t>
    </r>
    <r>
      <rPr>
        <sz val="10"/>
        <rFont val="WenQuanYi Zen Hei"/>
        <family val="2"/>
      </rPr>
      <t xml:space="preserve">부</t>
    </r>
  </si>
  <si>
    <t xml:space="preserve">Chiara, Rosa, Paolo</t>
  </si>
  <si>
    <r>
      <rPr>
        <sz val="10"/>
        <rFont val="WenQuanYi Zen Hei"/>
        <family val="2"/>
      </rPr>
      <t xml:space="preserve">국가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주</t>
    </r>
  </si>
  <si>
    <r>
      <rPr>
        <sz val="10"/>
        <rFont val="Arial"/>
        <family val="0"/>
        <charset val="1"/>
      </rPr>
      <t xml:space="preserve">R&amp;D </t>
    </r>
    <r>
      <rPr>
        <sz val="10"/>
        <rFont val="WenQuanYi Zen Hei"/>
        <family val="2"/>
      </rPr>
      <t xml:space="preserve">세액공제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기업 지원 제도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집단해고법</t>
    </r>
  </si>
  <si>
    <t xml:space="preserve">produttività, scalare, aggregazione, ricerca e sviluppo</t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</si>
  <si>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영세 기업이 문제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라는 식의 낙인 대신 구조 문제로 설명한다</t>
    </r>
    <r>
      <rPr>
        <sz val="10"/>
        <rFont val="Arial"/>
        <family val="0"/>
        <charset val="1"/>
      </rPr>
      <t xml:space="preserve">.</t>
    </r>
  </si>
  <si>
    <t xml:space="preserve">통계 수치는 반영 전 확인</t>
  </si>
  <si>
    <t xml:space="preserve">국가 부채와 재정 건전성</t>
  </si>
  <si>
    <t xml:space="preserve">debito pubblico, spread, deficit, procedura per deficit eccessivo, pensioni</t>
  </si>
  <si>
    <r>
      <rPr>
        <sz val="10"/>
        <rFont val="Noto Sans CJK SC"/>
        <family val="2"/>
        <charset val="1"/>
      </rPr>
      <t xml:space="preserve">GDP</t>
    </r>
    <r>
      <rPr>
        <sz val="10"/>
        <rFont val="WenQuanYi Zen Hei"/>
        <family val="2"/>
      </rPr>
      <t xml:space="preserve">의 </t>
    </r>
    <r>
      <rPr>
        <sz val="10"/>
        <rFont val="Noto Sans CJK SC"/>
        <family val="2"/>
        <charset val="1"/>
      </rPr>
      <t xml:space="preserve">130%</t>
    </r>
    <r>
      <rPr>
        <sz val="10"/>
        <rFont val="WenQuanYi Zen Hei"/>
        <family val="2"/>
      </rPr>
      <t xml:space="preserve">를 넘는 부채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과도한 재정적자 절차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연금 지출 증가 사이의 줄타기</t>
    </r>
    <r>
      <rPr>
        <sz val="10"/>
        <rFont val="Noto Sans CJK SC"/>
        <family val="2"/>
        <charset val="1"/>
      </rPr>
      <t xml:space="preserve">. Alessandro</t>
    </r>
    <r>
      <rPr>
        <sz val="10"/>
        <rFont val="WenQuanYi Zen Hei"/>
        <family val="2"/>
      </rPr>
      <t xml:space="preserve">가 숫자로 설명하고 </t>
    </r>
    <r>
      <rPr>
        <sz val="10"/>
        <rFont val="Noto Sans CJK SC"/>
        <family val="2"/>
        <charset val="1"/>
      </rPr>
      <t xml:space="preserve">Sofia</t>
    </r>
    <r>
      <rPr>
        <sz val="10"/>
        <rFont val="WenQuanYi Zen Hei"/>
        <family val="2"/>
      </rPr>
      <t xml:space="preserve">가 되묻는다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</si>
  <si>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(EU </t>
    </r>
    <r>
      <rPr>
        <sz val="10"/>
        <rFont val="WenQuanYi Zen Hei"/>
        <family val="2"/>
      </rPr>
      <t xml:space="preserve">재정규칙</t>
    </r>
    <r>
      <rPr>
        <sz val="10"/>
        <rFont val="Arial"/>
        <family val="0"/>
        <charset val="1"/>
      </rPr>
      <t xml:space="preserve">), 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11~12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예산안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</si>
  <si>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13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</si>
  <si>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Alessandro, Cesare(</t>
    </r>
    <r>
      <rPr>
        <sz val="10"/>
        <rFont val="WenQuanYi Zen Hei"/>
        <family val="2"/>
      </rPr>
      <t xml:space="preserve">메모</t>
    </r>
    <r>
      <rPr>
        <sz val="10"/>
        <rFont val="Arial"/>
        <family val="0"/>
        <charset val="1"/>
      </rPr>
      <t xml:space="preserve">), Francesco</t>
    </r>
  </si>
  <si>
    <r>
      <rPr>
        <sz val="10"/>
        <rFont val="WenQuanYi Zen Hei"/>
        <family val="2"/>
      </rPr>
      <t xml:space="preserve">국가</t>
    </r>
    <r>
      <rPr>
        <sz val="10"/>
        <rFont val="Noto Sans CJK SC"/>
        <family val="2"/>
        <charset val="1"/>
      </rPr>
      <t xml:space="preserve">·EU</t>
    </r>
  </si>
  <si>
    <r>
      <rPr>
        <sz val="10"/>
        <rFont val="Noto Sans CJK SC"/>
        <family val="2"/>
        <charset val="1"/>
      </rPr>
      <t xml:space="preserve">EU </t>
    </r>
    <r>
      <rPr>
        <sz val="10"/>
        <rFont val="WenQuanYi Zen Hei"/>
        <family val="2"/>
      </rPr>
      <t xml:space="preserve">재정규칙과 중기 재정구조계획</t>
    </r>
    <r>
      <rPr>
        <sz val="10"/>
        <rFont val="Noto Sans CJK SC"/>
        <family val="2"/>
        <charset val="1"/>
      </rPr>
      <t xml:space="preserve">, TFUE </t>
    </r>
    <r>
      <rPr>
        <sz val="10"/>
        <rFont val="WenQuanYi Zen Hei"/>
        <family val="2"/>
      </rPr>
      <t xml:space="preserve">제</t>
    </r>
    <r>
      <rPr>
        <sz val="10"/>
        <rFont val="Noto Sans CJK SC"/>
        <family val="2"/>
        <charset val="1"/>
      </rPr>
      <t xml:space="preserve">126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81</t>
    </r>
    <r>
      <rPr>
        <sz val="10"/>
        <rFont val="WenQuanYi Zen Hei"/>
        <family val="2"/>
      </rPr>
      <t xml:space="preserve">조</t>
    </r>
  </si>
  <si>
    <t xml:space="preserve">debito, deficit, spread, sostenibilità, pensioni</t>
  </si>
  <si>
    <r>
      <rPr>
        <sz val="10"/>
        <rFont val="WenQuanYi Zen Hei"/>
        <family val="2"/>
      </rPr>
      <t xml:space="preserve">긴축 </t>
    </r>
    <r>
      <rPr>
        <sz val="10"/>
        <rFont val="Noto Sans CJK SC"/>
        <family val="2"/>
        <charset val="1"/>
      </rPr>
      <t xml:space="preserve">vs </t>
    </r>
    <r>
      <rPr>
        <sz val="10"/>
        <rFont val="WenQuanYi Zen Hei"/>
        <family val="2"/>
      </rPr>
      <t xml:space="preserve">확대 양쪽 논거를 모두 숫자로 제시한다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</si>
  <si>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부채 </t>
    </r>
    <r>
      <rPr>
        <sz val="10"/>
        <rFont val="Noto Sans CJK SC"/>
        <family val="2"/>
        <charset val="1"/>
      </rPr>
      <t xml:space="preserve">GDP </t>
    </r>
    <r>
      <rPr>
        <sz val="10"/>
        <rFont val="WenQuanYi Zen Hei"/>
        <family val="2"/>
      </rPr>
      <t xml:space="preserve">대비 </t>
    </r>
    <r>
      <rPr>
        <sz val="10"/>
        <rFont val="Noto Sans CJK SC"/>
        <family val="2"/>
        <charset val="1"/>
      </rPr>
      <t xml:space="preserve">137.1%(2025</t>
    </r>
    <r>
      <rPr>
        <sz val="10"/>
        <rFont val="WenQuanYi Zen Hei"/>
        <family val="2"/>
      </rPr>
      <t xml:space="preserve">년 말</t>
    </r>
    <r>
      <rPr>
        <sz val="10"/>
        <rFont val="Noto Sans CJK SC"/>
        <family val="2"/>
        <charset val="1"/>
      </rPr>
      <t xml:space="preserve">, ISTAT), 2025</t>
    </r>
    <r>
      <rPr>
        <sz val="10"/>
        <rFont val="WenQuanYi Zen Hei"/>
        <family val="2"/>
      </rPr>
      <t xml:space="preserve">년 적자 </t>
    </r>
    <r>
      <rPr>
        <sz val="10"/>
        <rFont val="Noto Sans CJK SC"/>
        <family val="2"/>
        <charset val="1"/>
      </rPr>
      <t xml:space="preserve">3.1%</t>
    </r>
    <r>
      <rPr>
        <sz val="10"/>
        <rFont val="WenQuanYi Zen Hei"/>
        <family val="2"/>
      </rPr>
      <t xml:space="preserve">로 과도한 재정적자 절차 조기 졸업 불발</t>
    </r>
  </si>
  <si>
    <t xml:space="preserve">사회</t>
  </si>
  <si>
    <t xml:space="preserve">청년 고용 불안과 두뇌 유출</t>
  </si>
  <si>
    <t xml:space="preserve">tirocinio, contratto a termine, NEET, salario minimo, fuga dei cervelli</t>
  </si>
  <si>
    <r>
      <rPr>
        <sz val="10"/>
        <rFont val="WenQuanYi Zen Hei"/>
        <family val="2"/>
      </rPr>
      <t xml:space="preserve">무급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저임금 인턴과 기간제 계약으로 청년의 자립이 늦어지고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많은 청년이 해외로 떠난다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법정 최저임금이 없는 나라에서 </t>
    </r>
    <r>
      <rPr>
        <sz val="10"/>
        <rFont val="Noto Sans CJK SC"/>
        <family val="2"/>
        <charset val="1"/>
      </rPr>
      <t xml:space="preserve">Sofia</t>
    </r>
    <r>
      <rPr>
        <sz val="10"/>
        <rFont val="WenQuanYi Zen Hei"/>
        <family val="2"/>
      </rPr>
      <t xml:space="preserve">가 그 당사자이자 질문자다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</si>
  <si>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13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5·6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</si>
  <si>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5·6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(Davide), 5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(Chiara</t>
    </r>
    <r>
      <rPr>
        <sz val="10"/>
        <rFont val="WenQuanYi Zen Hei"/>
        <family val="2"/>
      </rPr>
      <t xml:space="preserve">의 인력 감축</t>
    </r>
    <r>
      <rPr>
        <sz val="10"/>
        <rFont val="Arial"/>
        <family val="0"/>
        <charset val="1"/>
      </rPr>
      <t xml:space="preserve">), 7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8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, 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화</t>
    </r>
  </si>
  <si>
    <t xml:space="preserve">Sofia, Paolo, Chiara</t>
  </si>
  <si>
    <r>
      <rPr>
        <sz val="10"/>
        <rFont val="WenQuanYi Zen Hei"/>
        <family val="2"/>
      </rPr>
      <t xml:space="preserve">국가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노동법</t>
    </r>
    <r>
      <rPr>
        <sz val="10"/>
        <rFont val="Noto Sans CJK SC"/>
        <family val="2"/>
        <charset val="1"/>
      </rPr>
      <t xml:space="preserve">)·</t>
    </r>
    <r>
      <rPr>
        <sz val="10"/>
        <rFont val="WenQuanYi Zen Hei"/>
        <family val="2"/>
      </rPr>
      <t xml:space="preserve">단체협약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주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인턴 규율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</si>
  <si>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WenQuanYi Zen Hei"/>
        <family val="2"/>
      </rPr>
      <t xml:space="preserve">사회적 대화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단체협약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인턴 규율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주별 지침</t>
    </r>
    <r>
      <rPr>
        <sz val="10"/>
        <rFont val="Noto Sans CJK SC"/>
        <family val="2"/>
        <charset val="1"/>
      </rPr>
      <t xml:space="preserve">)</t>
    </r>
  </si>
  <si>
    <t xml:space="preserve">tirocinio, contratto, salario minimo, precariato, NEET</t>
  </si>
  <si>
    <r>
      <rPr>
        <sz val="10"/>
        <rFont val="WenQuanYi Zen Hei"/>
        <family val="2"/>
      </rPr>
      <t xml:space="preserve">청년 </t>
    </r>
    <r>
      <rPr>
        <sz val="10"/>
        <rFont val="Noto Sans CJK SC"/>
        <family val="2"/>
        <charset val="1"/>
      </rPr>
      <t xml:space="preserve">vs </t>
    </r>
    <r>
      <rPr>
        <sz val="10"/>
        <rFont val="WenQuanYi Zen Hei"/>
        <family val="2"/>
      </rPr>
      <t xml:space="preserve">기성세대 구도로 몰지 않는다</t>
    </r>
    <r>
      <rPr>
        <sz val="10"/>
        <rFont val="Noto Sans CJK SC"/>
        <family val="2"/>
        <charset val="1"/>
      </rPr>
      <t xml:space="preserve">(Paolo</t>
    </r>
    <r>
      <rPr>
        <sz val="10"/>
        <rFont val="WenQuanYi Zen Hei"/>
        <family val="2"/>
      </rPr>
      <t xml:space="preserve">도 </t>
    </r>
    <r>
      <rPr>
        <sz val="10"/>
        <rFont val="Noto Sans CJK SC"/>
        <family val="2"/>
        <charset val="1"/>
      </rPr>
      <t xml:space="preserve">Cesare</t>
    </r>
    <r>
      <rPr>
        <sz val="10"/>
        <rFont val="WenQuanYi Zen Hei"/>
        <family val="2"/>
      </rPr>
      <t xml:space="preserve">도 청년의 편에서 돕는다</t>
    </r>
    <r>
      <rPr>
        <sz val="10"/>
        <rFont val="Noto Sans CJK SC"/>
        <family val="2"/>
        <charset val="1"/>
      </rPr>
      <t xml:space="preserve">).</t>
    </r>
  </si>
  <si>
    <r>
      <rPr>
        <sz val="10"/>
        <rFont val="WenQuanYi Zen Hei"/>
        <family val="2"/>
      </rPr>
      <t xml:space="preserve">청년</t>
    </r>
    <r>
      <rPr>
        <sz val="10"/>
        <rFont val="Arial"/>
        <family val="0"/>
        <charset val="1"/>
      </rPr>
      <t xml:space="preserve">(15~24</t>
    </r>
    <r>
      <rPr>
        <sz val="10"/>
        <rFont val="WenQuanYi Zen Hei"/>
        <family val="2"/>
      </rPr>
      <t xml:space="preserve">세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실업률 </t>
    </r>
    <r>
      <rPr>
        <sz val="10"/>
        <rFont val="Arial"/>
        <family val="0"/>
        <charset val="1"/>
      </rPr>
      <t xml:space="preserve">18.9%, </t>
    </r>
    <r>
      <rPr>
        <sz val="10"/>
        <rFont val="WenQuanYi Zen Hei"/>
        <family val="2"/>
      </rPr>
      <t xml:space="preserve">전체 </t>
    </r>
    <r>
      <rPr>
        <sz val="10"/>
        <rFont val="Arial"/>
        <family val="0"/>
        <charset val="1"/>
      </rPr>
      <t xml:space="preserve">5.8% (2026</t>
    </r>
    <r>
      <rPr>
        <sz val="10"/>
        <rFont val="WenQuanYi Zen Hei"/>
        <family val="2"/>
      </rPr>
      <t xml:space="preserve">년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월</t>
    </r>
    <r>
      <rPr>
        <sz val="10"/>
        <rFont val="Arial"/>
        <family val="0"/>
        <charset val="1"/>
      </rPr>
      <t xml:space="preserve">, ISTAT </t>
    </r>
    <r>
      <rPr>
        <sz val="10"/>
        <rFont val="WenQuanYi Zen Hei"/>
        <family val="2"/>
      </rPr>
      <t xml:space="preserve">잠정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</si>
  <si>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이민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난민과 수용 분담</t>
    </r>
  </si>
  <si>
    <t xml:space="preserve">permesso di soggiorno, protezione speciale, accoglienza, MSNA, cittadinanza</t>
  </si>
  <si>
    <r>
      <rPr>
        <sz val="10"/>
        <rFont val="Arial"/>
        <family val="0"/>
        <charset val="1"/>
      </rPr>
      <t xml:space="preserve">Testaccio·Esquilino</t>
    </r>
    <r>
      <rPr>
        <sz val="10"/>
        <rFont val="WenQuanYi Zen Hei"/>
        <family val="2"/>
      </rPr>
      <t xml:space="preserve">는 다국적 동네다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서류 없는 이웃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체류허가 사건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람페두사 도착과 수용 과부하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보호자 없는 미성년자 비용을 둘러싼 떠넘기기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</si>
  <si>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8·9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퇴거 저지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서류 없는 이웃</t>
    </r>
    <r>
      <rPr>
        <sz val="10"/>
        <rFont val="Arial"/>
        <family val="0"/>
        <charset val="1"/>
      </rPr>
      <t xml:space="preserve">), 7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체류허가</t>
    </r>
    <r>
      <rPr>
        <sz val="10"/>
        <rFont val="Arial"/>
        <family val="0"/>
        <charset val="1"/>
      </rPr>
      <t xml:space="preserve">), 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화 분담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</si>
  <si>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7·8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3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서류 없는 환자</t>
    </r>
    <r>
      <rPr>
        <sz val="10"/>
        <rFont val="Arial"/>
        <family val="0"/>
        <charset val="1"/>
      </rPr>
      <t xml:space="preserve">), 8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투표권 없는 이웃</t>
    </r>
    <r>
      <rPr>
        <sz val="10"/>
        <rFont val="Arial"/>
        <family val="0"/>
        <charset val="1"/>
      </rPr>
      <t xml:space="preserve">), 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화</t>
    </r>
  </si>
  <si>
    <t xml:space="preserve">Rosa, Giulia, Marco, Paolo, Montessori</t>
  </si>
  <si>
    <r>
      <rPr>
        <sz val="10"/>
        <rFont val="WenQuanYi Zen Hei"/>
        <family val="2"/>
      </rPr>
      <t xml:space="preserve">국가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이민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국경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수용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지자체</t>
    </r>
    <r>
      <rPr>
        <sz val="10"/>
        <rFont val="Noto Sans CJK SC"/>
        <family val="2"/>
        <charset val="1"/>
      </rPr>
      <t xml:space="preserve">(SAI·</t>
    </r>
    <r>
      <rPr>
        <sz val="10"/>
        <rFont val="WenQuanYi Zen Hei"/>
        <family val="2"/>
      </rPr>
      <t xml:space="preserve">아동 보호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</si>
  <si>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Arial"/>
        <family val="0"/>
        <charset val="1"/>
      </rPr>
      <t xml:space="preserve">d.lgs. 286/1998, legge 47/2017, </t>
    </r>
    <r>
      <rPr>
        <sz val="10"/>
        <rFont val="WenQuanYi Zen Hei"/>
        <family val="2"/>
      </rPr>
      <t xml:space="preserve">수용 체계</t>
    </r>
    <r>
      <rPr>
        <sz val="10"/>
        <rFont val="Arial"/>
        <family val="0"/>
        <charset val="1"/>
      </rPr>
      <t xml:space="preserve">(CAS·SAI)</t>
    </r>
  </si>
  <si>
    <t xml:space="preserve">permesso di soggiorno, accoglienza, minore non accompagnato, richiesta d'asilo, cittadinanza</t>
  </si>
  <si>
    <r>
      <rPr>
        <sz val="10"/>
        <rFont val="WenQuanYi Zen Hei"/>
        <family val="2"/>
      </rPr>
      <t xml:space="preserve">반이민 여론</t>
    </r>
    <r>
      <rPr>
        <sz val="10"/>
        <rFont val="Noto Sans CJK SC"/>
        <family val="2"/>
        <charset val="1"/>
      </rPr>
      <t xml:space="preserve">(IU)</t>
    </r>
    <r>
      <rPr>
        <sz val="10"/>
        <rFont val="WenQuanYi Zen Hei"/>
        <family val="2"/>
      </rPr>
      <t xml:space="preserve">과 수용 부담 지역의 실제 어려움을 함께 담고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이주민을 배경이 아닌 화자로 세운다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</si>
  <si>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알바니아 수용 시설 협정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시민권 요건 국민투표</t>
    </r>
    <r>
      <rPr>
        <sz val="10"/>
        <rFont val="Arial"/>
        <family val="0"/>
        <charset val="1"/>
      </rPr>
      <t xml:space="preserve">(2025</t>
    </r>
    <r>
      <rPr>
        <sz val="10"/>
        <rFont val="WenQuanYi Zen Hei"/>
        <family val="2"/>
      </rPr>
      <t xml:space="preserve">년 정족수 미달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등 최신 상황은 반영 전 확인</t>
    </r>
  </si>
  <si>
    <r>
      <rPr>
        <sz val="10"/>
        <rFont val="WenQuanYi Zen Hei"/>
        <family val="2"/>
      </rPr>
      <t xml:space="preserve">고령화와 내륙 과소지역</t>
    </r>
    <r>
      <rPr>
        <sz val="10"/>
        <rFont val="Noto Sans CJK SC"/>
        <family val="2"/>
        <charset val="1"/>
      </rPr>
      <t xml:space="preserve">(aree interne)</t>
    </r>
  </si>
  <si>
    <t xml:space="preserve">spopolamento, aree interne, denatalità, guardia medica, piccoli comuni</t>
  </si>
  <si>
    <r>
      <rPr>
        <sz val="10"/>
        <rFont val="WenQuanYi Zen Hei"/>
        <family val="2"/>
      </rPr>
      <t xml:space="preserve">내륙 마을의 야간 진료소가 문을 닫고 주는 병원 외주를 늘린다</t>
    </r>
    <r>
      <rPr>
        <sz val="10"/>
        <rFont val="Noto Sans CJK SC"/>
        <family val="2"/>
        <charset val="1"/>
      </rPr>
      <t xml:space="preserve">(9</t>
    </r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). Garibaldi</t>
    </r>
    <r>
      <rPr>
        <sz val="10"/>
        <rFont val="WenQuanYi Zen Hei"/>
        <family val="2"/>
      </rPr>
      <t xml:space="preserve">가 말년을 보낸 사르데냐 일대의 과소 마을을 캠페인이 지나며 일자리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의료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연금 문제가 되풀이된다</t>
    </r>
    <r>
      <rPr>
        <sz val="10"/>
        <rFont val="Noto Sans CJK SC"/>
        <family val="2"/>
        <charset val="1"/>
      </rPr>
      <t xml:space="preserve">(10</t>
    </r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).</t>
    </r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</si>
  <si>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화 주의회에서의 보건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</si>
  <si>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응급실 고령 환자</t>
    </r>
    <r>
      <rPr>
        <sz val="10"/>
        <rFont val="Arial"/>
        <family val="0"/>
        <charset val="1"/>
      </rPr>
      <t xml:space="preserve">), 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사르데냐 내륙</t>
    </r>
    <r>
      <rPr>
        <sz val="10"/>
        <rFont val="Arial"/>
        <family val="0"/>
        <charset val="1"/>
      </rPr>
      <t xml:space="preserve">), 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13</t>
    </r>
    <r>
      <rPr>
        <sz val="10"/>
        <rFont val="WenQuanYi Zen Hei"/>
        <family val="2"/>
      </rPr>
      <t xml:space="preserve">부</t>
    </r>
  </si>
  <si>
    <t xml:space="preserve">Garibaldi, Giulia, Sofia</t>
  </si>
  <si>
    <r>
      <rPr>
        <sz val="10"/>
        <rFont val="WenQuanYi Zen Hei"/>
        <family val="2"/>
      </rPr>
      <t xml:space="preserve">주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시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국가</t>
    </r>
  </si>
  <si>
    <r>
      <rPr>
        <sz val="10"/>
        <rFont val="WenQuanYi Zen Hei"/>
        <family val="2"/>
      </rPr>
      <t xml:space="preserve">내륙 지역 국가 전략</t>
    </r>
    <r>
      <rPr>
        <sz val="10"/>
        <rFont val="Noto Sans CJK SC"/>
        <family val="2"/>
        <charset val="1"/>
      </rPr>
      <t xml:space="preserve">(SNAI), </t>
    </r>
    <r>
      <rPr>
        <sz val="10"/>
        <rFont val="WenQuanYi Zen Hei"/>
        <family val="2"/>
      </rPr>
      <t xml:space="preserve">주 보건서비스</t>
    </r>
  </si>
  <si>
    <t xml:space="preserve">spopolamento, invecchiamento, natalità, guardia medica</t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</si>
  <si>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텅 빈 마을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을 동정하지 않고 마을 사람들이 직접 말하게 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</si>
  <si>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출생률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인구 통계는 반영 전 확인</t>
    </r>
  </si>
  <si>
    <r>
      <rPr>
        <sz val="10"/>
        <rFont val="WenQuanYi Zen Hei"/>
        <family val="2"/>
      </rPr>
      <t xml:space="preserve">가뭄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폭염과 에너지 전환 부담</t>
    </r>
  </si>
  <si>
    <t xml:space="preserve">siccità, ondata di calore, bollino rosso, bollette, transizione energetica</t>
  </si>
  <si>
    <r>
      <rPr>
        <sz val="10"/>
        <rFont val="WenQuanYi Zen Hei"/>
        <family val="2"/>
      </rPr>
      <t xml:space="preserve">폭염 경보에 응급실이 넘치고</t>
    </r>
    <r>
      <rPr>
        <sz val="10"/>
        <rFont val="Noto Sans CJK SC"/>
        <family val="2"/>
        <charset val="1"/>
      </rPr>
      <t xml:space="preserve">(3</t>
    </r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저수지가 마른 남부 마을을 지나며</t>
    </r>
    <r>
      <rPr>
        <sz val="10"/>
        <rFont val="Noto Sans CJK SC"/>
        <family val="2"/>
        <charset val="1"/>
      </rPr>
      <t xml:space="preserve">(10</t>
    </r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횡재세 재원을 전환 비용과 전기요금에 쓸지 논쟁한다</t>
    </r>
    <r>
      <rPr>
        <sz val="10"/>
        <rFont val="Noto Sans CJK SC"/>
        <family val="2"/>
        <charset val="1"/>
      </rPr>
      <t xml:space="preserve">(11</t>
    </r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).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</si>
  <si>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3·10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폭염 응급실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</si>
  <si>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4·8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화</t>
    </r>
  </si>
  <si>
    <t xml:space="preserve">Giulia, Garibaldi, Alessandro</t>
  </si>
  <si>
    <r>
      <rPr>
        <sz val="10"/>
        <rFont val="WenQuanYi Zen Hei"/>
        <family val="2"/>
      </rPr>
      <t xml:space="preserve">국가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주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유역 관리 기구</t>
    </r>
  </si>
  <si>
    <r>
      <rPr>
        <sz val="10"/>
        <rFont val="WenQuanYi Zen Hei"/>
        <family val="2"/>
      </rPr>
      <t xml:space="preserve">폭염 경보 체계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수자원 관리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Noto Sans CJK SC"/>
        <family val="2"/>
        <charset val="1"/>
      </rPr>
      <t xml:space="preserve">)</t>
    </r>
  </si>
  <si>
    <t xml:space="preserve">siccità, ondata di calore, bollino rosso, bolletta, transizione energetica</t>
  </si>
  <si>
    <r>
      <rPr>
        <sz val="10"/>
        <rFont val="WenQuanYi Zen Hei"/>
        <family val="2"/>
      </rPr>
      <t xml:space="preserve">기후를 정치적 구호로 쓰지 않고 현장 사건으로 보여 준다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</si>
  <si>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최신 가뭄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폭염 통계 확인</t>
    </r>
  </si>
  <si>
    <t xml:space="preserve">N1</t>
  </si>
  <si>
    <t xml:space="preserve">재난</t>
  </si>
  <si>
    <r>
      <rPr>
        <sz val="10"/>
        <rFont val="WenQuanYi Zen Hei"/>
        <family val="2"/>
      </rPr>
      <t xml:space="preserve">홍수와 수리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지반 취약성</t>
    </r>
  </si>
  <si>
    <t xml:space="preserve">alluvione, allerta rossa, IT-alert, Protezione Civile, dissesto idrogeologico</t>
  </si>
  <si>
    <r>
      <rPr>
        <sz val="10"/>
        <rFont val="WenQuanYi Zen Hei"/>
        <family val="2"/>
      </rPr>
      <t xml:space="preserve">가상의 중부 지방에 집중호우와 하천 범람이 덮친다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경보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대피 지연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주–중앙정부 책임 공방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국가 비상사태 선포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민방위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군 투입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복구와 보상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</si>
  <si>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화 </t>
    </r>
    <r>
      <rPr>
        <sz val="10"/>
        <rFont val="Arial"/>
        <family val="0"/>
        <charset val="1"/>
      </rPr>
      <t xml:space="preserve">L'alluvione</t>
    </r>
  </si>
  <si>
    <r>
      <rPr>
        <sz val="10"/>
        <rFont val="Arial"/>
        <family val="0"/>
        <charset val="1"/>
      </rPr>
      <t xml:space="preserve">13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복구 결산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</si>
  <si>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주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시</t>
    </r>
    <r>
      <rPr>
        <sz val="10"/>
        <rFont val="Noto Sans CJK SC"/>
        <family val="2"/>
        <charset val="1"/>
      </rPr>
      <t xml:space="preserve">(1</t>
    </r>
    <r>
      <rPr>
        <sz val="10"/>
        <rFont val="WenQuanYi Zen Hei"/>
        <family val="2"/>
      </rPr>
      <t xml:space="preserve">차 대응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국가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비상사태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민방위 국</t>
    </r>
    <r>
      <rPr>
        <sz val="10"/>
        <rFont val="Noto Sans CJK SC"/>
        <family val="2"/>
        <charset val="1"/>
      </rPr>
      <t xml:space="preserve">), EU</t>
    </r>
  </si>
  <si>
    <r>
      <rPr>
        <sz val="10"/>
        <rFont val="Arial"/>
        <family val="0"/>
        <charset val="1"/>
      </rPr>
      <t xml:space="preserve">d.lgs. 1/2018(</t>
    </r>
    <r>
      <rPr>
        <sz val="10"/>
        <rFont val="WenQuanYi Zen Hei"/>
        <family val="2"/>
      </rPr>
      <t xml:space="preserve">민방위법</t>
    </r>
    <r>
      <rPr>
        <sz val="10"/>
        <rFont val="Arial"/>
        <family val="0"/>
        <charset val="1"/>
      </rPr>
      <t xml:space="preserve">), EU </t>
    </r>
    <r>
      <rPr>
        <sz val="10"/>
        <rFont val="WenQuanYi Zen Hei"/>
        <family val="2"/>
      </rPr>
      <t xml:space="preserve">연대기금</t>
    </r>
  </si>
  <si>
    <t xml:space="preserve">protezione civile, allerta rossa, stato di emergenza, sfollati</t>
  </si>
  <si>
    <r>
      <rPr>
        <sz val="10"/>
        <rFont val="WenQuanYi Zen Hei"/>
        <family val="2"/>
      </rPr>
      <t xml:space="preserve">실제 참사와 희생자를 연상시키므로 추모의 톤을 지키고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특정 정치인 비난 없이 제도의 공백을 보여 준다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</si>
  <si>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실제 홍수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에밀리아로마냐 </t>
    </r>
    <r>
      <rPr>
        <sz val="10"/>
        <rFont val="Noto Sans CJK SC"/>
        <family val="2"/>
        <charset val="1"/>
      </rPr>
      <t xml:space="preserve">2023 </t>
    </r>
    <r>
      <rPr>
        <sz val="10"/>
        <rFont val="WenQuanYi Zen Hei"/>
        <family val="2"/>
      </rPr>
      <t xml:space="preserve">등</t>
    </r>
    <r>
      <rPr>
        <sz val="10"/>
        <rFont val="Noto Sans CJK SC"/>
        <family val="2"/>
        <charset val="1"/>
      </rPr>
      <t xml:space="preserve">) </t>
    </r>
    <r>
      <rPr>
        <sz val="10"/>
        <rFont val="WenQuanYi Zen Hei"/>
        <family val="2"/>
      </rPr>
      <t xml:space="preserve">후속 조치는 반영 전 확인</t>
    </r>
  </si>
  <si>
    <t xml:space="preserve">EU</t>
  </si>
  <si>
    <r>
      <rPr>
        <sz val="10"/>
        <rFont val="WenQuanYi Zen Hei"/>
        <family val="2"/>
      </rPr>
      <t xml:space="preserve">회복기금</t>
    </r>
    <r>
      <rPr>
        <sz val="10"/>
        <rFont val="Noto Sans CJK SC"/>
        <family val="2"/>
        <charset val="1"/>
      </rPr>
      <t xml:space="preserve">(PNRR) </t>
    </r>
    <r>
      <rPr>
        <sz val="10"/>
        <rFont val="WenQuanYi Zen Hei"/>
        <family val="2"/>
      </rPr>
      <t xml:space="preserve">집행</t>
    </r>
  </si>
  <si>
    <t xml:space="preserve">PNRR, milestone, target, rendicontazione, soggetti attuatori</t>
  </si>
  <si>
    <r>
      <rPr>
        <sz val="10"/>
        <rFont val="Noto Sans CJK SC"/>
        <family val="2"/>
        <charset val="1"/>
      </rPr>
      <t xml:space="preserve">EU </t>
    </r>
    <r>
      <rPr>
        <sz val="10"/>
        <rFont val="WenQuanYi Zen Hei"/>
        <family val="2"/>
      </rPr>
      <t xml:space="preserve">최대 규모의 회복기금이 시 계약으로 흘러가 소수 업체가 독점하고 행정 병목으로 지연된다</t>
    </r>
    <r>
      <rPr>
        <sz val="10"/>
        <rFont val="Noto Sans CJK SC"/>
        <family val="2"/>
        <charset val="1"/>
      </rPr>
      <t xml:space="preserve">. Alessandro·Francesco</t>
    </r>
    <r>
      <rPr>
        <sz val="10"/>
        <rFont val="WenQuanYi Zen Hei"/>
        <family val="2"/>
      </rPr>
      <t xml:space="preserve">가 자금 흐름을 추적한다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</si>
  <si>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화 돋보기 아래의 계약들</t>
    </r>
  </si>
  <si>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화</t>
    </r>
  </si>
  <si>
    <t xml:space="preserve">Alessandro, Francesco, Chiara</t>
  </si>
  <si>
    <r>
      <rPr>
        <sz val="10"/>
        <rFont val="WenQuanYi Zen Hei"/>
        <family val="2"/>
      </rPr>
      <t xml:space="preserve">국가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주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시</t>
    </r>
    <r>
      <rPr>
        <sz val="10"/>
        <rFont val="Noto Sans CJK SC"/>
        <family val="2"/>
        <charset val="1"/>
      </rPr>
      <t xml:space="preserve">·EU</t>
    </r>
  </si>
  <si>
    <r>
      <rPr>
        <sz val="10"/>
        <rFont val="Arial"/>
        <family val="0"/>
        <charset val="1"/>
      </rPr>
      <t xml:space="preserve">PNRR </t>
    </r>
    <r>
      <rPr>
        <sz val="10"/>
        <rFont val="WenQuanYi Zen Hei"/>
        <family val="2"/>
      </rPr>
      <t xml:space="preserve">거버넌스</t>
    </r>
    <r>
      <rPr>
        <sz val="10"/>
        <rFont val="Arial"/>
        <family val="0"/>
        <charset val="1"/>
      </rPr>
      <t xml:space="preserve">(d.l. 77/2021), </t>
    </r>
    <r>
      <rPr>
        <sz val="10"/>
        <rFont val="WenQuanYi Zen Hei"/>
        <family val="2"/>
      </rPr>
      <t xml:space="preserve">공공계약법</t>
    </r>
    <r>
      <rPr>
        <sz val="10"/>
        <rFont val="Arial"/>
        <family val="0"/>
        <charset val="1"/>
      </rPr>
      <t xml:space="preserve">(d.lgs. 36/2023)</t>
    </r>
  </si>
  <si>
    <t xml:space="preserve">fondi europei, gara, milestone, attuazione</t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</si>
  <si>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기금이 낭비된다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는 단정 대신 병목의 원인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절차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인력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배분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을 나눠서 보여 준다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</si>
  <si>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  <charset val="1"/>
      </rPr>
      <t xml:space="preserve">PNRR </t>
    </r>
    <r>
      <rPr>
        <sz val="10"/>
        <rFont val="WenQuanYi Zen Hei"/>
        <family val="2"/>
      </rPr>
      <t xml:space="preserve">사업 완료 시한</t>
    </r>
    <r>
      <rPr>
        <sz val="10"/>
        <rFont val="Noto Sans CJK SC"/>
        <family val="2"/>
        <charset val="1"/>
      </rPr>
      <t xml:space="preserve">(2026</t>
    </r>
    <r>
      <rPr>
        <sz val="10"/>
        <rFont val="WenQuanYi Zen Hei"/>
        <family val="2"/>
      </rPr>
      <t xml:space="preserve">년 </t>
    </r>
    <r>
      <rPr>
        <sz val="10"/>
        <rFont val="Noto Sans CJK SC"/>
        <family val="2"/>
        <charset val="1"/>
      </rPr>
      <t xml:space="preserve">8</t>
    </r>
    <r>
      <rPr>
        <sz val="10"/>
        <rFont val="WenQuanYi Zen Hei"/>
        <family val="2"/>
      </rPr>
      <t xml:space="preserve">월</t>
    </r>
    <r>
      <rPr>
        <sz val="10"/>
        <rFont val="Noto Sans CJK SC"/>
        <family val="2"/>
        <charset val="1"/>
      </rPr>
      <t xml:space="preserve">) </t>
    </r>
    <r>
      <rPr>
        <sz val="10"/>
        <rFont val="WenQuanYi Zen Hei"/>
        <family val="2"/>
      </rPr>
      <t xml:space="preserve">이후 최종 결산은 반영 전 확인</t>
    </r>
  </si>
  <si>
    <t xml:space="preserve">EU·NATO</t>
  </si>
  <si>
    <r>
      <rPr>
        <sz val="10"/>
        <rFont val="WenQuanYi Zen Hei"/>
        <family val="2"/>
      </rPr>
      <t xml:space="preserve">국방비 증액과 </t>
    </r>
    <r>
      <rPr>
        <sz val="10"/>
        <rFont val="Noto Sans CJK SC"/>
        <family val="2"/>
        <charset val="1"/>
      </rPr>
      <t xml:space="preserve">NATO</t>
    </r>
  </si>
  <si>
    <t xml:space="preserve">spesa per la difesa, NATO, 5%, clausola di salvaguardia, SAFE</t>
  </si>
  <si>
    <r>
      <rPr>
        <sz val="10"/>
        <rFont val="Arial"/>
        <family val="0"/>
        <charset val="1"/>
      </rPr>
      <t xml:space="preserve">2025</t>
    </r>
    <r>
      <rPr>
        <sz val="10"/>
        <rFont val="WenQuanYi Zen Hei"/>
        <family val="2"/>
      </rPr>
      <t xml:space="preserve">년 헤이그 합의로 </t>
    </r>
    <r>
      <rPr>
        <sz val="10"/>
        <rFont val="Arial"/>
        <family val="0"/>
        <charset val="1"/>
      </rPr>
      <t xml:space="preserve">NATO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5%(</t>
    </r>
    <r>
      <rPr>
        <sz val="10"/>
        <rFont val="WenQuanYi Zen Hei"/>
        <family val="2"/>
      </rPr>
      <t xml:space="preserve">핵심 </t>
    </r>
    <r>
      <rPr>
        <sz val="10"/>
        <rFont val="Arial"/>
        <family val="0"/>
        <charset val="1"/>
      </rPr>
      <t xml:space="preserve">3.5%+</t>
    </r>
    <r>
      <rPr>
        <sz val="10"/>
        <rFont val="WenQuanYi Zen Hei"/>
        <family val="2"/>
      </rPr>
      <t xml:space="preserve">관련 </t>
    </r>
    <r>
      <rPr>
        <sz val="10"/>
        <rFont val="Arial"/>
        <family val="0"/>
        <charset val="1"/>
      </rPr>
      <t xml:space="preserve">1.5%) </t>
    </r>
    <r>
      <rPr>
        <sz val="10"/>
        <rFont val="WenQuanYi Zen Hei"/>
        <family val="2"/>
      </rPr>
      <t xml:space="preserve">목표를 </t>
    </r>
    <r>
      <rPr>
        <sz val="10"/>
        <rFont val="Arial"/>
        <family val="0"/>
        <charset val="1"/>
      </rPr>
      <t xml:space="preserve">2035</t>
    </r>
    <r>
      <rPr>
        <sz val="10"/>
        <rFont val="WenQuanYi Zen Hei"/>
        <family val="2"/>
      </rPr>
      <t xml:space="preserve">년까지 세웠고 이탈리아도 서명했다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과도한 재정적자 절차 아래서 재원이 없다</t>
    </r>
    <r>
      <rPr>
        <sz val="10"/>
        <rFont val="Arial"/>
        <family val="0"/>
        <charset val="1"/>
      </rPr>
      <t xml:space="preserve">. Cesare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부에서 직접 나서 검증 가능한 단계 경로와 재정 유연성을 얻어내고</t>
    </r>
    <r>
      <rPr>
        <sz val="10"/>
        <rFont val="Arial"/>
        <family val="0"/>
        <charset val="1"/>
      </rPr>
      <t xml:space="preserve">, 12</t>
    </r>
    <r>
      <rPr>
        <sz val="10"/>
        <rFont val="WenQuanYi Zen Hei"/>
        <family val="2"/>
      </rPr>
      <t xml:space="preserve">부에서 그 경로를 예산에 반영하는 논쟁이 이어진다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</si>
  <si>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9~11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(Cesare</t>
    </r>
    <r>
      <rPr>
        <sz val="10"/>
        <rFont val="WenQuanYi Zen Hei"/>
        <family val="2"/>
      </rPr>
      <t xml:space="preserve">의 직접 협상</t>
    </r>
    <r>
      <rPr>
        <sz val="10"/>
        <rFont val="Arial"/>
        <family val="0"/>
        <charset val="1"/>
      </rPr>
      <t xml:space="preserve">), 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사망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</si>
  <si>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(TV </t>
    </r>
    <r>
      <rPr>
        <sz val="10"/>
        <rFont val="WenQuanYi Zen Hei"/>
        <family val="2"/>
      </rPr>
      <t xml:space="preserve">토론</t>
    </r>
    <r>
      <rPr>
        <sz val="10"/>
        <rFont val="Arial"/>
        <family val="0"/>
        <charset val="1"/>
      </rPr>
      <t xml:space="preserve">), 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후속 협상</t>
    </r>
    <r>
      <rPr>
        <sz val="10"/>
        <rFont val="Arial"/>
        <family val="0"/>
        <charset val="1"/>
      </rPr>
      <t xml:space="preserve">), 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예산 반영</t>
    </r>
    <r>
      <rPr>
        <sz val="10"/>
        <rFont val="Arial"/>
        <family val="0"/>
        <charset val="1"/>
      </rPr>
      <t xml:space="preserve">)</t>
    </r>
  </si>
  <si>
    <t xml:space="preserve">Cesare, Alessandro, Dante, Garibaldi, Marco</t>
  </si>
  <si>
    <r>
      <rPr>
        <sz val="10"/>
        <rFont val="WenQuanYi Zen Hei"/>
        <family val="2"/>
      </rPr>
      <t xml:space="preserve">국가</t>
    </r>
    <r>
      <rPr>
        <sz val="10"/>
        <rFont val="Noto Sans CJK SC"/>
        <family val="2"/>
        <charset val="1"/>
      </rPr>
      <t xml:space="preserve">·NATO·EU</t>
    </r>
  </si>
  <si>
    <r>
      <rPr>
        <sz val="10"/>
        <rFont val="Arial"/>
        <family val="0"/>
        <charset val="1"/>
      </rPr>
      <t xml:space="preserve">2025 </t>
    </r>
    <r>
      <rPr>
        <sz val="10"/>
        <rFont val="WenQuanYi Zen Hei"/>
        <family val="2"/>
      </rPr>
      <t xml:space="preserve">헤이그 합의</t>
    </r>
    <r>
      <rPr>
        <sz val="10"/>
        <rFont val="Arial"/>
        <family val="0"/>
        <charset val="1"/>
      </rPr>
      <t xml:space="preserve">, EU </t>
    </r>
    <r>
      <rPr>
        <sz val="10"/>
        <rFont val="WenQuanYi Zen Hei"/>
        <family val="2"/>
      </rPr>
      <t xml:space="preserve">재정규칙 국가 예외 조항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81</t>
    </r>
    <r>
      <rPr>
        <sz val="10"/>
        <rFont val="WenQuanYi Zen Hei"/>
        <family val="2"/>
      </rPr>
      <t xml:space="preserve">조</t>
    </r>
  </si>
  <si>
    <t xml:space="preserve">spesa per la difesa, capacità, impegno, deterrenza</t>
  </si>
  <si>
    <r>
      <rPr>
        <sz val="10"/>
        <rFont val="WenQuanYi Zen Hei"/>
        <family val="2"/>
      </rPr>
      <t xml:space="preserve">안보 강화 </t>
    </r>
    <r>
      <rPr>
        <sz val="10"/>
        <rFont val="Noto Sans CJK SC"/>
        <family val="2"/>
        <charset val="1"/>
      </rPr>
      <t xml:space="preserve">vs </t>
    </r>
    <r>
      <rPr>
        <sz val="10"/>
        <rFont val="WenQuanYi Zen Hei"/>
        <family val="2"/>
      </rPr>
      <t xml:space="preserve">복지 우선 두 입장을 모두 설득력 있게 들려준다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</si>
  <si>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이탈리아는 회계 방식 변경으로 </t>
    </r>
    <r>
      <rPr>
        <sz val="10"/>
        <rFont val="Arial"/>
        <family val="0"/>
        <charset val="1"/>
      </rPr>
      <t xml:space="preserve">2% </t>
    </r>
    <r>
      <rPr>
        <sz val="10"/>
        <rFont val="WenQuanYi Zen Hei"/>
        <family val="2"/>
      </rPr>
      <t xml:space="preserve">도달을 발표</t>
    </r>
    <r>
      <rPr>
        <sz val="10"/>
        <rFont val="Arial"/>
        <family val="0"/>
        <charset val="1"/>
      </rPr>
      <t xml:space="preserve">(2025), 2026</t>
    </r>
    <r>
      <rPr>
        <sz val="10"/>
        <rFont val="WenQuanYi Zen Hei"/>
        <family val="2"/>
      </rPr>
      <t xml:space="preserve">년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월 국방비용 예외 조항 활용 포기 보도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최신 수치 확인</t>
    </r>
  </si>
  <si>
    <t xml:space="preserve">젠더</t>
  </si>
  <si>
    <r>
      <rPr>
        <sz val="10"/>
        <rFont val="WenQuanYi Zen Hei"/>
        <family val="2"/>
      </rPr>
      <t xml:space="preserve">성폭력 법의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동의</t>
    </r>
    <r>
      <rPr>
        <sz val="10"/>
        <rFont val="Noto Sans CJK SC"/>
        <family val="2"/>
        <charset val="1"/>
      </rPr>
      <t xml:space="preserve">' </t>
    </r>
    <r>
      <rPr>
        <sz val="10"/>
        <rFont val="WenQuanYi Zen Hei"/>
        <family val="2"/>
      </rPr>
      <t xml:space="preserve">기준과 재판 지연</t>
    </r>
  </si>
  <si>
    <t xml:space="preserve">consenso, violenza sessuale, prescrizione, femminicidio, vittimizzazione secondaria</t>
  </si>
  <si>
    <r>
      <rPr>
        <sz val="10"/>
        <rFont val="WenQuanYi Zen Hei"/>
        <family val="2"/>
      </rPr>
      <t xml:space="preserve">폭력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위협 입증 중심의 현행 조항과 재판 지연 때문에 피해자가 다시 심문대에 서고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공소시효가 다가온다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사무소가 피해자 사건을 돕고 </t>
    </r>
    <r>
      <rPr>
        <sz val="10"/>
        <rFont val="Arial"/>
        <family val="0"/>
        <charset val="1"/>
      </rPr>
      <t xml:space="preserve">Marco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법은 있는데 정의가 늦는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현실을 마주한다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</si>
  <si>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화 피해자를 벌한 시간</t>
    </r>
  </si>
  <si>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성별 균형 명부</t>
    </r>
    <r>
      <rPr>
        <sz val="10"/>
        <rFont val="Arial"/>
        <family val="0"/>
        <charset val="1"/>
      </rPr>
      <t xml:space="preserve">), 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(TV </t>
    </r>
    <r>
      <rPr>
        <sz val="10"/>
        <rFont val="WenQuanYi Zen Hei"/>
        <family val="2"/>
      </rPr>
      <t xml:space="preserve">토론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</si>
  <si>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국가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형법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형사소송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</si>
  <si>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WenQuanYi Zen Hei"/>
        <family val="2"/>
      </rPr>
      <t xml:space="preserve">형법 제</t>
    </r>
    <r>
      <rPr>
        <sz val="10"/>
        <rFont val="Arial"/>
        <family val="0"/>
        <charset val="1"/>
      </rPr>
      <t xml:space="preserve">609-bis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공소시효 규정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여성 살해 가중 처벌 입법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</si>
  <si>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t xml:space="preserve">consenso, violenza sessuale, prescrizione, vittima</t>
  </si>
  <si>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동의</t>
    </r>
    <r>
      <rPr>
        <sz val="10"/>
        <rFont val="Noto Sans CJK SC"/>
        <family val="2"/>
        <charset val="1"/>
      </rPr>
      <t xml:space="preserve">' </t>
    </r>
    <r>
      <rPr>
        <sz val="10"/>
        <rFont val="WenQuanYi Zen Hei"/>
        <family val="2"/>
      </rPr>
      <t xml:space="preserve">명문화 주장과 절차 개혁 우선 주장을 각자의 가장 강한 논거로 제시한다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트랜스 관련 법은 본문에서 다루지 않거나 언급 수준으로 최소화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미결</t>
    </r>
    <r>
      <rPr>
        <sz val="10"/>
        <rFont val="Noto Sans CJK SC"/>
        <family val="2"/>
        <charset val="1"/>
      </rPr>
      <t xml:space="preserve">).</t>
    </r>
  </si>
  <si>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동의</t>
    </r>
    <r>
      <rPr>
        <sz val="10"/>
        <rFont val="Noto Sans CJK SC"/>
        <family val="2"/>
        <charset val="1"/>
      </rPr>
      <t xml:space="preserve">' </t>
    </r>
    <r>
      <rPr>
        <sz val="10"/>
        <rFont val="WenQuanYi Zen Hei"/>
        <family val="2"/>
      </rPr>
      <t xml:space="preserve">기준 개정안과 여성 살해죄 신설의 입법 진행 상황 확인</t>
    </r>
  </si>
  <si>
    <t xml:space="preserve">N5</t>
  </si>
  <si>
    <t xml:space="preserve">에너지</t>
  </si>
  <si>
    <r>
      <rPr>
        <sz val="10"/>
        <rFont val="WenQuanYi Zen Hei"/>
        <family val="2"/>
      </rPr>
      <t xml:space="preserve">재생에너지 입지 갈등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녹색 대 녹색</t>
    </r>
    <r>
      <rPr>
        <sz val="10"/>
        <rFont val="Noto Sans CJK SC"/>
        <family val="2"/>
        <charset val="1"/>
      </rPr>
      <t xml:space="preserve">)</t>
    </r>
  </si>
  <si>
    <t xml:space="preserve">agrivoltaico, pale eoliche, aree idonee, paesaggio, VIA</t>
  </si>
  <si>
    <r>
      <rPr>
        <sz val="10"/>
        <rFont val="WenQuanYi Zen Hei"/>
        <family val="2"/>
      </rPr>
      <t xml:space="preserve">사르데냐 내륙의 대형 풍력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태양광 단지 계획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일자리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세수 </t>
    </r>
    <r>
      <rPr>
        <sz val="10"/>
        <rFont val="Noto Sans CJK SC"/>
        <family val="2"/>
        <charset val="1"/>
      </rPr>
      <t xml:space="preserve">vs </t>
    </r>
    <r>
      <rPr>
        <sz val="10"/>
        <rFont val="WenQuanYi Zen Hei"/>
        <family val="2"/>
      </rPr>
      <t xml:space="preserve">농지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경관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생태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주민 찬반이 갈리고 </t>
    </r>
    <r>
      <rPr>
        <sz val="10"/>
        <rFont val="Noto Sans CJK SC"/>
        <family val="2"/>
        <charset val="1"/>
      </rPr>
      <t xml:space="preserve">Montessori</t>
    </r>
    <r>
      <rPr>
        <sz val="10"/>
        <rFont val="WenQuanYi Zen Hei"/>
        <family val="2"/>
      </rPr>
      <t xml:space="preserve">가 중재한다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</si>
  <si>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화 전국 유세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사르데냐 내륙의 풍력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태양광 단지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</si>
  <si>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횡재세 재원</t>
    </r>
    <r>
      <rPr>
        <sz val="10"/>
        <rFont val="Arial"/>
        <family val="0"/>
        <charset val="1"/>
      </rPr>
      <t xml:space="preserve">), 13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화</t>
    </r>
  </si>
  <si>
    <t xml:space="preserve">Garibaldi, Dante, Sofia, Montessori</t>
  </si>
  <si>
    <r>
      <rPr>
        <sz val="10"/>
        <rFont val="WenQuanYi Zen Hei"/>
        <family val="2"/>
      </rPr>
      <t xml:space="preserve">국가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대형 설비</t>
    </r>
    <r>
      <rPr>
        <sz val="10"/>
        <rFont val="Noto Sans CJK SC"/>
        <family val="2"/>
        <charset val="1"/>
      </rPr>
      <t xml:space="preserve">)·</t>
    </r>
    <r>
      <rPr>
        <sz val="10"/>
        <rFont val="WenQuanYi Zen Hei"/>
        <family val="2"/>
      </rPr>
      <t xml:space="preserve">주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적합 부지 지정</t>
    </r>
    <r>
      <rPr>
        <sz val="10"/>
        <rFont val="Noto Sans CJK SC"/>
        <family val="2"/>
        <charset val="1"/>
      </rPr>
      <t xml:space="preserve">)·</t>
    </r>
    <r>
      <rPr>
        <sz val="10"/>
        <rFont val="WenQuanYi Zen Hei"/>
        <family val="2"/>
      </rPr>
      <t xml:space="preserve">시</t>
    </r>
  </si>
  <si>
    <r>
      <rPr>
        <sz val="10"/>
        <rFont val="WenQuanYi Zen Hei"/>
        <family val="2"/>
      </rPr>
      <t xml:space="preserve">적합 부지</t>
    </r>
    <r>
      <rPr>
        <sz val="10"/>
        <rFont val="Arial"/>
        <family val="0"/>
        <charset val="1"/>
      </rPr>
      <t xml:space="preserve">(aree idonee) </t>
    </r>
    <r>
      <rPr>
        <sz val="10"/>
        <rFont val="WenQuanYi Zen Hei"/>
        <family val="2"/>
      </rPr>
      <t xml:space="preserve">규정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환경영향평가</t>
    </r>
    <r>
      <rPr>
        <sz val="10"/>
        <rFont val="Arial"/>
        <family val="0"/>
        <charset val="1"/>
      </rPr>
      <t xml:space="preserve">(VIA), </t>
    </r>
    <r>
      <rPr>
        <sz val="10"/>
        <rFont val="WenQuanYi Zen Hei"/>
        <family val="2"/>
      </rPr>
      <t xml:space="preserve">농지 지상 태양광 제한</t>
    </r>
    <r>
      <rPr>
        <sz val="10"/>
        <rFont val="Arial"/>
        <family val="0"/>
        <charset val="1"/>
      </rPr>
      <t xml:space="preserve">(2024)</t>
    </r>
  </si>
  <si>
    <t xml:space="preserve">parco eolico, agrivoltaico, valutazione di impatto ambientale, agricoltore</t>
  </si>
  <si>
    <r>
      <rPr>
        <sz val="10"/>
        <rFont val="WenQuanYi Zen Hei"/>
        <family val="2"/>
      </rPr>
      <t xml:space="preserve">어느 쪽도 악역으로 만들지 않는다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마을 안의 두 목소리가 모두 옳다는 형태로</t>
    </r>
    <r>
      <rPr>
        <sz val="10"/>
        <rFont val="Noto Sans CJK SC"/>
        <family val="2"/>
        <charset val="1"/>
      </rPr>
      <t xml:space="preserve">.</t>
    </r>
  </si>
  <si>
    <t xml:space="preserve">사르데냐 주 적합 부지 법과 헌법재판소 다툼 등 인허가 기준 확인</t>
  </si>
  <si>
    <t xml:space="preserve">노동</t>
  </si>
  <si>
    <r>
      <rPr>
        <sz val="10"/>
        <rFont val="WenQuanYi Zen Hei"/>
        <family val="2"/>
      </rPr>
      <t xml:space="preserve">플랫폼 노동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라이더</t>
    </r>
    <r>
      <rPr>
        <sz val="10"/>
        <rFont val="Noto Sans CJK SC"/>
        <family val="2"/>
        <charset val="1"/>
      </rPr>
      <t xml:space="preserve">) </t>
    </r>
    <r>
      <rPr>
        <sz val="10"/>
        <rFont val="WenQuanYi Zen Hei"/>
        <family val="2"/>
      </rPr>
      <t xml:space="preserve">이후의 갈등</t>
    </r>
  </si>
  <si>
    <t xml:space="preserve">rider, algoritmo, piattaforma, caporalato digitale, subordinazione</t>
  </si>
  <si>
    <r>
      <rPr>
        <sz val="10"/>
        <rFont val="WenQuanYi Zen Hei"/>
        <family val="2"/>
      </rPr>
      <t xml:space="preserve">배달 라이더가 알고리즘 배차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일방적 계정 차단에 항의한다</t>
    </r>
    <r>
      <rPr>
        <sz val="10"/>
        <rFont val="Noto Sans CJK SC"/>
        <family val="2"/>
        <charset val="1"/>
      </rPr>
      <t xml:space="preserve">. 2019</t>
    </r>
    <r>
      <rPr>
        <sz val="10"/>
        <rFont val="WenQuanYi Zen Hei"/>
        <family val="2"/>
      </rPr>
      <t xml:space="preserve">년 보호 조항 이후에도 고용 지위 분쟁과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디지털 불법 중개</t>
    </r>
    <r>
      <rPr>
        <sz val="10"/>
        <rFont val="Noto Sans CJK SC"/>
        <family val="2"/>
        <charset val="1"/>
      </rPr>
      <t xml:space="preserve">' </t>
    </r>
    <r>
      <rPr>
        <sz val="10"/>
        <rFont val="WenQuanYi Zen Hei"/>
        <family val="2"/>
      </rPr>
      <t xml:space="preserve">수사가 계속됨을 </t>
    </r>
    <r>
      <rPr>
        <sz val="10"/>
        <rFont val="Noto Sans CJK SC"/>
        <family val="2"/>
        <charset val="1"/>
      </rPr>
      <t xml:space="preserve">Paolo</t>
    </r>
    <r>
      <rPr>
        <sz val="10"/>
        <rFont val="WenQuanYi Zen Hei"/>
        <family val="2"/>
      </rPr>
      <t xml:space="preserve">가 현장에서 겪는다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</si>
  <si>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화 </t>
    </r>
    <r>
      <rPr>
        <sz val="10"/>
        <rFont val="Arial"/>
        <family val="0"/>
        <charset val="1"/>
      </rPr>
      <t xml:space="preserve">L'app che decide</t>
    </r>
  </si>
  <si>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(Chiara</t>
    </r>
    <r>
      <rPr>
        <sz val="10"/>
        <rFont val="WenQuanYi Zen Hei"/>
        <family val="2"/>
      </rPr>
      <t xml:space="preserve">의 과거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곁가지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</si>
  <si>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국가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노동법</t>
    </r>
    <r>
      <rPr>
        <sz val="10"/>
        <rFont val="Noto Sans CJK SC"/>
        <family val="2"/>
        <charset val="1"/>
      </rPr>
      <t xml:space="preserve">)·EU</t>
    </r>
  </si>
  <si>
    <r>
      <rPr>
        <sz val="10"/>
        <rFont val="Arial"/>
        <family val="0"/>
        <charset val="1"/>
      </rPr>
      <t xml:space="preserve">d.lgs. 81/2015 </t>
    </r>
    <r>
      <rPr>
        <sz val="10"/>
        <rFont val="WenQuanYi Zen Hei"/>
        <family val="2"/>
      </rPr>
      <t xml:space="preserve">제</t>
    </r>
    <r>
      <rPr>
        <sz val="10"/>
        <rFont val="Arial"/>
        <family val="0"/>
        <charset val="1"/>
      </rPr>
      <t xml:space="preserve">47-bis</t>
    </r>
    <r>
      <rPr>
        <sz val="10"/>
        <rFont val="WenQuanYi Zen Hei"/>
        <family val="2"/>
      </rPr>
      <t xml:space="preserve">조 이하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라이더 보호</t>
    </r>
    <r>
      <rPr>
        <sz val="10"/>
        <rFont val="Arial"/>
        <family val="0"/>
        <charset val="1"/>
      </rPr>
      <t xml:space="preserve">), EU </t>
    </r>
    <r>
      <rPr>
        <sz val="10"/>
        <rFont val="WenQuanYi Zen Hei"/>
        <family val="2"/>
      </rPr>
      <t xml:space="preserve">지침 </t>
    </r>
    <r>
      <rPr>
        <sz val="10"/>
        <rFont val="Arial"/>
        <family val="0"/>
        <charset val="1"/>
      </rPr>
      <t xml:space="preserve">2024/2831</t>
    </r>
  </si>
  <si>
    <t xml:space="preserve">algoritmo, piattaforma, lavoro subordinato, disconnessione</t>
  </si>
  <si>
    <r>
      <rPr>
        <sz val="10"/>
        <rFont val="WenQuanYi Zen Hei"/>
        <family val="2"/>
      </rPr>
      <t xml:space="preserve">플랫폼 </t>
    </r>
    <r>
      <rPr>
        <sz val="10"/>
        <rFont val="Noto Sans CJK SC"/>
        <family val="2"/>
        <charset val="1"/>
      </rPr>
      <t xml:space="preserve">vs </t>
    </r>
    <r>
      <rPr>
        <sz val="10"/>
        <rFont val="WenQuanYi Zen Hei"/>
        <family val="2"/>
      </rPr>
      <t xml:space="preserve">라이더 구도를 단순화하지 않는다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자영업을 원하는 라이더의 목소리도 담는다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</si>
  <si>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EU </t>
    </r>
    <r>
      <rPr>
        <sz val="10"/>
        <rFont val="WenQuanYi Zen Hei"/>
        <family val="2"/>
      </rPr>
      <t xml:space="preserve">플랫폼노동 지침 국내 이행 시한 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월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최신 적용 사례는 확인 필요</t>
    </r>
  </si>
  <si>
    <r>
      <rPr>
        <sz val="10"/>
        <rFont val="WenQuanYi Zen Hei"/>
        <family val="2"/>
      </rPr>
      <t xml:space="preserve">사법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통제</t>
    </r>
  </si>
  <si>
    <r>
      <rPr>
        <sz val="10"/>
        <rFont val="WenQuanYi Zen Hei"/>
        <family val="2"/>
      </rPr>
      <t xml:space="preserve">스파이웨어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정보기관 감시 스캔들</t>
    </r>
  </si>
  <si>
    <t xml:space="preserve">spyware, intercettazioni illegali, COPASIR, servizi segreti, giornalisti</t>
  </si>
  <si>
    <r>
      <rPr>
        <sz val="10"/>
        <rFont val="WenQuanYi Zen Hei"/>
        <family val="2"/>
      </rPr>
      <t xml:space="preserve">언론인과 시민단체 활동가 휴대전화에 군사급 스파이웨어가 심어졌다는 의혹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파시스트 정치경찰에게 감시당했던 </t>
    </r>
    <r>
      <rPr>
        <sz val="10"/>
        <rFont val="Noto Sans CJK SC"/>
        <family val="2"/>
        <charset val="1"/>
      </rPr>
      <t xml:space="preserve">Gramsci</t>
    </r>
    <r>
      <rPr>
        <sz val="10"/>
        <rFont val="WenQuanYi Zen Hei"/>
        <family val="2"/>
      </rPr>
      <t xml:space="preserve">가 흔적을 알아채고 </t>
    </r>
    <r>
      <rPr>
        <sz val="10"/>
        <rFont val="Noto Sans CJK SC"/>
        <family val="2"/>
        <charset val="1"/>
      </rPr>
      <t xml:space="preserve">Marco</t>
    </r>
    <r>
      <rPr>
        <sz val="10"/>
        <rFont val="WenQuanYi Zen Hei"/>
        <family val="2"/>
      </rPr>
      <t xml:space="preserve">는 합법적 감독 경로를 고집한다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</si>
  <si>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화 </t>
    </r>
    <r>
      <rPr>
        <sz val="10"/>
        <rFont val="Arial"/>
        <family val="0"/>
        <charset val="1"/>
      </rPr>
      <t xml:space="preserve">Il software che nessuno ha autorizzato</t>
    </r>
  </si>
  <si>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도청 논쟁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와 연결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확장</t>
    </r>
  </si>
  <si>
    <r>
      <rPr>
        <sz val="10"/>
        <rFont val="WenQuanYi Zen Hei"/>
        <family val="2"/>
      </rPr>
      <t xml:space="preserve">정보기관</t>
    </r>
    <r>
      <rPr>
        <sz val="10"/>
        <rFont val="Noto Sans CJK SC"/>
        <family val="2"/>
        <charset val="1"/>
      </rPr>
      <t xml:space="preserve">(DIS·AISE·AISI)·</t>
    </r>
    <r>
      <rPr>
        <sz val="10"/>
        <rFont val="WenQuanYi Zen Hei"/>
        <family val="2"/>
      </rPr>
      <t xml:space="preserve">사법부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의회</t>
    </r>
    <r>
      <rPr>
        <sz val="10"/>
        <rFont val="Noto Sans CJK SC"/>
        <family val="2"/>
        <charset val="1"/>
      </rPr>
      <t xml:space="preserve">(COPASIR)</t>
    </r>
  </si>
  <si>
    <r>
      <rPr>
        <sz val="10"/>
        <rFont val="Arial"/>
        <family val="0"/>
        <charset val="1"/>
      </rPr>
      <t xml:space="preserve">legge 124/2007, </t>
    </r>
    <r>
      <rPr>
        <sz val="10"/>
        <rFont val="WenQuanYi Zen Hei"/>
        <family val="2"/>
      </rPr>
      <t xml:space="preserve">형사소송법 감청 규정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의회 조사위원회</t>
    </r>
  </si>
  <si>
    <t xml:space="preserve">spyware, controllo parlamentare, intercettazione, segreto di Stato</t>
  </si>
  <si>
    <r>
      <rPr>
        <sz val="10"/>
        <rFont val="WenQuanYi Zen Hei"/>
        <family val="2"/>
      </rPr>
      <t xml:space="preserve">실제 사건을 특정하지 않는다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가상의 스캔들로 각색하고 여야 모두를 향한 감독 공백을 보여 준다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</si>
  <si>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2025</t>
    </r>
    <r>
      <rPr>
        <sz val="10"/>
        <rFont val="WenQuanYi Zen Hei"/>
        <family val="2"/>
      </rPr>
      <t xml:space="preserve">년 언론인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활동가 스파이웨어 의혹 등 실제 사례가 있음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세부는 반영 전 확인</t>
    </r>
  </si>
  <si>
    <t xml:space="preserve">청년 정신건강 위기</t>
  </si>
  <si>
    <t xml:space="preserve">salute mentale, ansia, liste d'attesa, bonus psicologo, CSM</t>
  </si>
  <si>
    <r>
      <rPr>
        <sz val="10"/>
        <rFont val="WenQuanYi Zen Hei"/>
        <family val="2"/>
      </rPr>
      <t xml:space="preserve">청년 정신건강 상담 대기가 몇 달씩 밀린다</t>
    </r>
    <r>
      <rPr>
        <sz val="10"/>
        <rFont val="Noto Sans CJK SC"/>
        <family val="2"/>
        <charset val="1"/>
      </rPr>
      <t xml:space="preserve">. Montessori</t>
    </r>
    <r>
      <rPr>
        <sz val="10"/>
        <rFont val="WenQuanYi Zen Hei"/>
        <family val="2"/>
      </rPr>
      <t xml:space="preserve">가 현장에서</t>
    </r>
    <r>
      <rPr>
        <sz val="10"/>
        <rFont val="Noto Sans CJK SC"/>
        <family val="2"/>
        <charset val="1"/>
      </rPr>
      <t xml:space="preserve">, Sofia</t>
    </r>
    <r>
      <rPr>
        <sz val="10"/>
        <rFont val="WenQuanYi Zen Hei"/>
        <family val="2"/>
      </rPr>
      <t xml:space="preserve">가 자신의 불안을 처음 인정하며 함께 부딪힌다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</si>
  <si>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화 </t>
    </r>
    <r>
      <rPr>
        <sz val="10"/>
        <rFont val="Arial"/>
        <family val="0"/>
        <charset val="1"/>
      </rPr>
      <t xml:space="preserve">Le liste d'attesa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</si>
  <si>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(Sofia</t>
    </r>
    <r>
      <rPr>
        <sz val="10"/>
        <rFont val="WenQuanYi Zen Hei"/>
        <family val="2"/>
      </rPr>
      <t xml:space="preserve">의 폭발과 연결 가능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곁가지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</si>
  <si>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주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정신건강 서비스</t>
    </r>
    <r>
      <rPr>
        <sz val="10"/>
        <rFont val="Noto Sans CJK SC"/>
        <family val="2"/>
        <charset val="1"/>
      </rPr>
      <t xml:space="preserve">)·</t>
    </r>
    <r>
      <rPr>
        <sz val="10"/>
        <rFont val="WenQuanYi Zen Hei"/>
        <family val="2"/>
      </rPr>
      <t xml:space="preserve">국가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지원 예산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</si>
  <si>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WenQuanYi Zen Hei"/>
        <family val="2"/>
      </rPr>
      <t xml:space="preserve">공공 심리 지원</t>
    </r>
    <r>
      <rPr>
        <sz val="10"/>
        <rFont val="Noto Sans CJK SC"/>
        <family val="2"/>
        <charset val="1"/>
      </rPr>
      <t xml:space="preserve">(bonus psicologo), </t>
    </r>
    <r>
      <rPr>
        <sz val="10"/>
        <rFont val="WenQuanYi Zen Hei"/>
        <family val="2"/>
      </rPr>
      <t xml:space="preserve">지역 정신건강센터</t>
    </r>
  </si>
  <si>
    <t xml:space="preserve">salute mentale, ansia, terapia, lista d'attesa</t>
  </si>
  <si>
    <r>
      <rPr>
        <sz val="10"/>
        <rFont val="WenQuanYi Zen Hei"/>
        <family val="2"/>
      </rPr>
      <t xml:space="preserve">청년 정신건강을 극적 소재로만 소비하지 않는다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낙인 없이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도움을 구하는 것이 자연스럽다는 톤으로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</si>
  <si>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청년 불안장애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상담 대기 증가는 이탈리아에서 널리 보도된 추세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최신 통계는 확인 필요</t>
    </r>
  </si>
  <si>
    <r>
      <rPr>
        <b val="true"/>
        <sz val="10"/>
        <rFont val="WenQuanYi Zen Hei"/>
        <family val="2"/>
      </rPr>
      <t xml:space="preserve">현실 기준값 </t>
    </r>
    <r>
      <rPr>
        <b val="true"/>
        <sz val="10"/>
        <rFont val="Noto Sans CJK SC"/>
        <family val="2"/>
        <charset val="1"/>
      </rPr>
      <t xml:space="preserve">(</t>
    </r>
    <r>
      <rPr>
        <b val="true"/>
        <sz val="10"/>
        <rFont val="WenQuanYi Zen Hei"/>
        <family val="2"/>
      </rPr>
      <t xml:space="preserve">확인일 </t>
    </r>
    <r>
      <rPr>
        <b val="true"/>
        <sz val="10"/>
        <rFont val="Noto Sans CJK SC"/>
        <family val="2"/>
        <charset val="1"/>
      </rPr>
      <t xml:space="preserve">2026-09-24)</t>
    </r>
  </si>
  <si>
    <t xml:space="preserve">구분</t>
  </si>
  <si>
    <t xml:space="preserve">항목</t>
  </si>
  <si>
    <t xml:space="preserve">값</t>
  </si>
  <si>
    <r>
      <rPr>
        <b val="true"/>
        <sz val="10"/>
        <color rgb="FFFFFFFF"/>
        <rFont val="WenQuanYi Zen Hei"/>
        <family val="2"/>
      </rPr>
      <t xml:space="preserve">출처</t>
    </r>
    <r>
      <rPr>
        <b val="true"/>
        <sz val="10"/>
        <color rgb="FFFFFFFF"/>
        <rFont val="Noto Sans CJK SC"/>
        <family val="2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비고</t>
    </r>
  </si>
  <si>
    <t xml:space="preserve">1</t>
  </si>
  <si>
    <r>
      <rPr>
        <sz val="10"/>
        <rFont val="WenQuanYi Zen Hei"/>
        <family val="2"/>
      </rPr>
      <t xml:space="preserve">정부 부채 </t>
    </r>
    <r>
      <rPr>
        <sz val="10"/>
        <rFont val="Noto Sans CJK SC"/>
        <family val="2"/>
        <charset val="1"/>
      </rPr>
      <t xml:space="preserve">/ GDP</t>
    </r>
  </si>
  <si>
    <r>
      <rPr>
        <sz val="10"/>
        <rFont val="Noto Sans CJK SC"/>
        <family val="2"/>
        <charset val="1"/>
      </rPr>
      <t xml:space="preserve">137.1% (2025</t>
    </r>
    <r>
      <rPr>
        <sz val="10"/>
        <rFont val="WenQuanYi Zen Hei"/>
        <family val="2"/>
      </rPr>
      <t xml:space="preserve">년 말</t>
    </r>
    <r>
      <rPr>
        <sz val="10"/>
        <rFont val="Noto Sans CJK SC"/>
        <family val="2"/>
        <charset val="1"/>
      </rPr>
      <t xml:space="preserve">), 2025</t>
    </r>
    <r>
      <rPr>
        <sz val="10"/>
        <rFont val="WenQuanYi Zen Hei"/>
        <family val="2"/>
      </rPr>
      <t xml:space="preserve">년 적자 </t>
    </r>
    <r>
      <rPr>
        <sz val="10"/>
        <rFont val="Noto Sans CJK SC"/>
        <family val="2"/>
        <charset val="1"/>
      </rPr>
      <t xml:space="preserve">3.1%</t>
    </r>
  </si>
  <si>
    <r>
      <rPr>
        <sz val="10"/>
        <rFont val="Noto Sans CJK SC"/>
        <family val="2"/>
        <charset val="1"/>
      </rPr>
      <t xml:space="preserve">ISTAT 2026</t>
    </r>
    <r>
      <rPr>
        <sz val="10"/>
        <rFont val="WenQuanYi Zen Hei"/>
        <family val="2"/>
      </rPr>
      <t xml:space="preserve">년 </t>
    </r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차 </t>
    </r>
    <r>
      <rPr>
        <sz val="10"/>
        <rFont val="Noto Sans CJK SC"/>
        <family val="2"/>
        <charset val="1"/>
      </rPr>
      <t xml:space="preserve">EU </t>
    </r>
    <r>
      <rPr>
        <sz val="10"/>
        <rFont val="WenQuanYi Zen Hei"/>
        <family val="2"/>
      </rPr>
      <t xml:space="preserve">통보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과도한 재정적자 절차</t>
    </r>
    <r>
      <rPr>
        <sz val="10"/>
        <rFont val="Noto Sans CJK SC"/>
        <family val="2"/>
        <charset val="1"/>
      </rPr>
      <t xml:space="preserve">(2024~)</t>
    </r>
    <r>
      <rPr>
        <sz val="10"/>
        <rFont val="WenQuanYi Zen Hei"/>
        <family val="2"/>
      </rPr>
      <t xml:space="preserve">는 </t>
    </r>
    <r>
      <rPr>
        <sz val="10"/>
        <rFont val="Noto Sans CJK SC"/>
        <family val="2"/>
        <charset val="1"/>
      </rPr>
      <t xml:space="preserve">2027</t>
    </r>
    <r>
      <rPr>
        <sz val="10"/>
        <rFont val="WenQuanYi Zen Hei"/>
        <family val="2"/>
      </rPr>
      <t xml:space="preserve">년 졸업 전망 보도</t>
    </r>
    <r>
      <rPr>
        <sz val="10"/>
        <rFont val="Noto Sans CJK SC"/>
        <family val="2"/>
        <charset val="1"/>
      </rPr>
      <t xml:space="preserve">.</t>
    </r>
  </si>
  <si>
    <t xml:space="preserve">2</t>
  </si>
  <si>
    <r>
      <rPr>
        <sz val="10"/>
        <rFont val="WenQuanYi Zen Hei"/>
        <family val="2"/>
      </rPr>
      <t xml:space="preserve">청년</t>
    </r>
    <r>
      <rPr>
        <sz val="10"/>
        <rFont val="Arial"/>
        <family val="0"/>
        <charset val="1"/>
      </rPr>
      <t xml:space="preserve">(15~24</t>
    </r>
    <r>
      <rPr>
        <sz val="10"/>
        <rFont val="WenQuanYi Zen Hei"/>
        <family val="2"/>
      </rPr>
      <t xml:space="preserve">세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실업률</t>
    </r>
  </si>
  <si>
    <r>
      <rPr>
        <sz val="10"/>
        <rFont val="Arial"/>
        <family val="0"/>
        <charset val="1"/>
      </rPr>
      <t xml:space="preserve">18.9% (2026</t>
    </r>
    <r>
      <rPr>
        <sz val="10"/>
        <rFont val="WenQuanYi Zen Hei"/>
        <family val="2"/>
      </rPr>
      <t xml:space="preserve">년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월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전체 </t>
    </r>
    <r>
      <rPr>
        <sz val="10"/>
        <rFont val="Arial"/>
        <family val="0"/>
        <charset val="1"/>
      </rPr>
      <t xml:space="preserve">5.8%</t>
    </r>
  </si>
  <si>
    <r>
      <rPr>
        <sz val="10"/>
        <rFont val="Arial"/>
        <family val="0"/>
        <charset val="1"/>
      </rPr>
      <t xml:space="preserve">ISTAT </t>
    </r>
    <r>
      <rPr>
        <sz val="10"/>
        <rFont val="WenQuanYi Zen Hei"/>
        <family val="2"/>
      </rPr>
      <t xml:space="preserve">월간 잠정치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트레이딩이코노믹스 인용 포함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청년 실업은 전체의 약 </t>
    </r>
    <r>
      <rPr>
        <sz val="10"/>
        <rFont val="Arial"/>
        <family val="0"/>
        <charset val="1"/>
      </rPr>
      <t xml:space="preserve">3.3</t>
    </r>
    <r>
      <rPr>
        <sz val="10"/>
        <rFont val="WenQuanYi Zen Hei"/>
        <family val="2"/>
      </rPr>
      <t xml:space="preserve">배</t>
    </r>
    <r>
      <rPr>
        <sz val="10"/>
        <rFont val="Arial"/>
        <family val="0"/>
        <charset val="1"/>
      </rPr>
      <t xml:space="preserve">.</t>
    </r>
  </si>
  <si>
    <t xml:space="preserve">3</t>
  </si>
  <si>
    <t xml:space="preserve">현 정부 형태</t>
  </si>
  <si>
    <r>
      <rPr>
        <sz val="10"/>
        <rFont val="WenQuanYi Zen Hei"/>
        <family val="2"/>
      </rPr>
      <t xml:space="preserve">우파 연립 다수 정부</t>
    </r>
    <r>
      <rPr>
        <sz val="10"/>
        <rFont val="Noto Sans CJK SC"/>
        <family val="2"/>
        <charset val="1"/>
      </rPr>
      <t xml:space="preserve">(2022~)</t>
    </r>
  </si>
  <si>
    <r>
      <rPr>
        <sz val="10"/>
        <rFont val="WenQuanYi Zen Hei"/>
        <family val="2"/>
      </rPr>
      <t xml:space="preserve">이야기에는 실존 정당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인물을 쓰지 않는다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이야기 속은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연립 정부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와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소수 야당</t>
    </r>
    <r>
      <rPr>
        <sz val="10"/>
        <rFont val="Noto Sans CJK SC"/>
        <family val="2"/>
        <charset val="1"/>
      </rPr>
      <t xml:space="preserve">'.</t>
    </r>
  </si>
  <si>
    <t xml:space="preserve">4</t>
  </si>
  <si>
    <t xml:space="preserve">확인 필요</t>
  </si>
  <si>
    <t xml:space="preserve">변동이 잦은 항목</t>
  </si>
  <si>
    <r>
      <rPr>
        <sz val="10"/>
        <rFont val="WenQuanYi Zen Hei"/>
        <family val="2"/>
      </rPr>
      <t xml:space="preserve">차등 자치 입법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사법 개혁 후속</t>
    </r>
    <r>
      <rPr>
        <sz val="10"/>
        <rFont val="Noto Sans CJK SC"/>
        <family val="2"/>
        <charset val="1"/>
      </rPr>
      <t xml:space="preserve">, NATO </t>
    </r>
    <r>
      <rPr>
        <sz val="10"/>
        <rFont val="WenQuanYi Zen Hei"/>
        <family val="2"/>
      </rPr>
      <t xml:space="preserve">경로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이민 협정</t>
    </r>
    <r>
      <rPr>
        <sz val="10"/>
        <rFont val="Noto Sans CJK SC"/>
        <family val="2"/>
        <charset val="1"/>
      </rPr>
      <t xml:space="preserve">, PNRR </t>
    </r>
    <r>
      <rPr>
        <sz val="10"/>
        <rFont val="WenQuanYi Zen Hei"/>
        <family val="2"/>
      </rPr>
      <t xml:space="preserve">결산</t>
    </r>
    <r>
      <rPr>
        <sz val="10"/>
        <rFont val="Noto Sans CJK SC"/>
        <family val="2"/>
        <charset val="1"/>
      </rPr>
      <t xml:space="preserve">, '</t>
    </r>
    <r>
      <rPr>
        <sz val="10"/>
        <rFont val="WenQuanYi Zen Hei"/>
        <family val="2"/>
      </rPr>
      <t xml:space="preserve">동의</t>
    </r>
    <r>
      <rPr>
        <sz val="10"/>
        <rFont val="Noto Sans CJK SC"/>
        <family val="2"/>
        <charset val="1"/>
      </rPr>
      <t xml:space="preserve">' </t>
    </r>
    <r>
      <rPr>
        <sz val="10"/>
        <rFont val="WenQuanYi Zen Hei"/>
        <family val="2"/>
      </rPr>
      <t xml:space="preserve">기준 개정</t>
    </r>
  </si>
  <si>
    <r>
      <rPr>
        <sz val="10"/>
        <rFont val="WenQuanYi Zen Hei"/>
        <family val="2"/>
      </rPr>
      <t xml:space="preserve">교재에 넣기 직전 최신 상태를 확인한다</t>
    </r>
    <r>
      <rPr>
        <sz val="10"/>
        <rFont val="Noto Sans CJK SC"/>
        <family val="2"/>
        <charset val="1"/>
      </rPr>
      <t xml:space="preserve">. (</t>
    </r>
    <r>
      <rPr>
        <sz val="10"/>
        <rFont val="WenQuanYi Zen Hei"/>
        <family val="2"/>
      </rPr>
      <t xml:space="preserve">확인일 </t>
    </r>
    <r>
      <rPr>
        <sz val="10"/>
        <rFont val="Noto Sans CJK SC"/>
        <family val="2"/>
        <charset val="1"/>
      </rPr>
      <t xml:space="preserve">2026-09-24)</t>
    </r>
  </si>
  <si>
    <r>
      <rPr>
        <b val="true"/>
        <sz val="14"/>
        <color rgb="FF1F3864"/>
        <rFont val="WenQuanYi Zen Hei"/>
        <family val="2"/>
      </rPr>
      <t xml:space="preserve">현안 분포표 </t>
    </r>
    <r>
      <rPr>
        <b val="true"/>
        <sz val="14"/>
        <color rgb="FF1F3864"/>
        <rFont val="Noto Sans CJK SC"/>
        <family val="2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부 </t>
    </r>
    <r>
      <rPr>
        <b val="true"/>
        <sz val="14"/>
        <color rgb="FF1F3864"/>
        <rFont val="Noto Sans CJK SC"/>
        <family val="2"/>
        <charset val="1"/>
      </rPr>
      <t xml:space="preserve">× </t>
    </r>
    <r>
      <rPr>
        <b val="true"/>
        <sz val="14"/>
        <color rgb="FF1F3864"/>
        <rFont val="WenQuanYi Zen Hei"/>
        <family val="2"/>
      </rPr>
      <t xml:space="preserve">현안</t>
    </r>
    <r>
      <rPr>
        <b val="true"/>
        <sz val="14"/>
        <color rgb="FF1F3864"/>
        <rFont val="Noto Sans CJK SC"/>
        <family val="2"/>
        <charset val="1"/>
      </rPr>
      <t xml:space="preserve">)</t>
    </r>
  </si>
  <si>
    <r>
      <rPr>
        <i val="true"/>
        <sz val="9"/>
        <color rgb="FF595959"/>
        <rFont val="Arial"/>
        <family val="0"/>
        <charset val="1"/>
      </rPr>
      <t xml:space="preserve">● = </t>
    </r>
    <r>
      <rPr>
        <i val="true"/>
        <sz val="9"/>
        <color rgb="FF595959"/>
        <rFont val="WenQuanYi Zen Hei"/>
        <family val="2"/>
      </rPr>
      <t xml:space="preserve">그 화의 주된 사건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전용 화</t>
    </r>
    <r>
      <rPr>
        <i val="true"/>
        <sz val="9"/>
        <color rgb="FF595959"/>
        <rFont val="Arial"/>
        <family val="0"/>
        <charset val="1"/>
      </rPr>
      <t xml:space="preserve">), ○ = </t>
    </r>
    <r>
      <rPr>
        <i val="true"/>
        <sz val="9"/>
        <color rgb="FF595959"/>
        <rFont val="WenQuanYi Zen Hei"/>
        <family val="2"/>
      </rPr>
      <t xml:space="preserve">곁가지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대사</t>
    </r>
    <r>
      <rPr>
        <i val="true"/>
        <sz val="9"/>
        <color rgb="FF595959"/>
        <rFont val="Arial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서브플롯</t>
    </r>
    <r>
      <rPr>
        <i val="true"/>
        <sz val="9"/>
        <color rgb="FF595959"/>
        <rFont val="Arial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기호를 바꾸면 아래 집계가 자동 갱신됩니다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</si>
  <si>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● 수</t>
  </si>
  <si>
    <t xml:space="preserve">○ 수</t>
  </si>
  <si>
    <r>
      <rPr>
        <sz val="10"/>
        <rFont val="WenQuanYi Zen Hei"/>
        <family val="2"/>
      </rPr>
      <t xml:space="preserve">정부 불안정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연정 협상</t>
    </r>
  </si>
  <si>
    <t xml:space="preserve">○</t>
  </si>
  <si>
    <t xml:space="preserve">●</t>
  </si>
  <si>
    <r>
      <rPr>
        <sz val="10"/>
        <rFont val="WenQuanYi Zen Hei"/>
        <family val="2"/>
      </rPr>
      <t xml:space="preserve">남북 격차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차등 자치</t>
    </r>
  </si>
  <si>
    <r>
      <rPr>
        <sz val="10"/>
        <rFont val="WenQuanYi Zen Hei"/>
        <family val="2"/>
      </rPr>
      <t xml:space="preserve">사법 개혁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정치 대립</t>
    </r>
  </si>
  <si>
    <r>
      <rPr>
        <sz val="10"/>
        <rFont val="WenQuanYi Zen Hei"/>
        <family val="2"/>
      </rPr>
      <t xml:space="preserve">주거난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단기 관광 임대</t>
    </r>
  </si>
  <si>
    <r>
      <rPr>
        <sz val="10"/>
        <rFont val="WenQuanYi Zen Hei"/>
        <family val="2"/>
      </rPr>
      <t xml:space="preserve">저생산성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영세 기업</t>
    </r>
  </si>
  <si>
    <r>
      <rPr>
        <sz val="10"/>
        <rFont val="WenQuanYi Zen Hei"/>
        <family val="2"/>
      </rPr>
      <t xml:space="preserve">부채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재정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연금</t>
    </r>
  </si>
  <si>
    <r>
      <rPr>
        <sz val="10"/>
        <rFont val="WenQuanYi Zen Hei"/>
        <family val="2"/>
      </rPr>
      <t xml:space="preserve">청년 고용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두뇌 유출</t>
    </r>
  </si>
  <si>
    <r>
      <rPr>
        <sz val="10"/>
        <rFont val="WenQuanYi Zen Hei"/>
        <family val="2"/>
      </rPr>
      <t xml:space="preserve">이민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난민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수용 분담</t>
    </r>
  </si>
  <si>
    <r>
      <rPr>
        <sz val="10"/>
        <rFont val="WenQuanYi Zen Hei"/>
        <family val="2"/>
      </rPr>
      <t xml:space="preserve">고령화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내륙 과소지역</t>
    </r>
  </si>
  <si>
    <r>
      <rPr>
        <sz val="10"/>
        <rFont val="WenQuanYi Zen Hei"/>
        <family val="2"/>
      </rPr>
      <t xml:space="preserve">가뭄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폭염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에너지 전환</t>
    </r>
  </si>
  <si>
    <r>
      <rPr>
        <sz val="10"/>
        <rFont val="WenQuanYi Zen Hei"/>
        <family val="2"/>
      </rPr>
      <t xml:space="preserve">홍수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지반 취약성</t>
    </r>
  </si>
  <si>
    <r>
      <rPr>
        <sz val="10"/>
        <rFont val="Noto Sans CJK SC"/>
        <family val="2"/>
        <charset val="1"/>
      </rPr>
      <t xml:space="preserve">PNRR </t>
    </r>
    <r>
      <rPr>
        <sz val="10"/>
        <rFont val="WenQuanYi Zen Hei"/>
        <family val="2"/>
      </rPr>
      <t xml:space="preserve">집행</t>
    </r>
  </si>
  <si>
    <r>
      <rPr>
        <sz val="10"/>
        <rFont val="WenQuanYi Zen Hei"/>
        <family val="2"/>
      </rPr>
      <t xml:space="preserve">국방비</t>
    </r>
    <r>
      <rPr>
        <sz val="10"/>
        <rFont val="Noto Sans CJK SC"/>
        <family val="2"/>
        <charset val="1"/>
      </rPr>
      <t xml:space="preserve">·NATO</t>
    </r>
  </si>
  <si>
    <r>
      <rPr>
        <sz val="10"/>
        <rFont val="WenQuanYi Zen Hei"/>
        <family val="2"/>
      </rPr>
      <t xml:space="preserve">성폭력 법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재판 지연</t>
    </r>
  </si>
  <si>
    <t xml:space="preserve">녹색 대 녹색</t>
  </si>
  <si>
    <r>
      <rPr>
        <sz val="10"/>
        <rFont val="WenQuanYi Zen Hei"/>
        <family val="2"/>
      </rPr>
      <t xml:space="preserve">플랫폼 노동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라이더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</si>
  <si>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WenQuanYi Zen Hei"/>
        <family val="2"/>
      </rPr>
      <t xml:space="preserve">스파이웨어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정보기관 감시</t>
    </r>
  </si>
  <si>
    <t xml:space="preserve">청년 정신건강</t>
  </si>
  <si>
    <t xml:space="preserve">부별 ● 수</t>
  </si>
  <si>
    <t xml:space="preserve">부별 ○ 수</t>
  </si>
  <si>
    <r>
      <rPr>
        <i val="true"/>
        <sz val="9"/>
        <color rgb="FF595959"/>
        <rFont val="WenQuanYi Zen Hei"/>
        <family val="2"/>
      </rPr>
      <t xml:space="preserve">읽는 법</t>
    </r>
    <r>
      <rPr>
        <i val="true"/>
        <sz val="9"/>
        <color rgb="FF595959"/>
        <rFont val="Noto Sans CJK SC"/>
        <family val="2"/>
        <charset val="1"/>
      </rPr>
      <t xml:space="preserve">: 1~5</t>
    </r>
    <r>
      <rPr>
        <i val="true"/>
        <sz val="9"/>
        <color rgb="FF595959"/>
        <rFont val="WenQuanYi Zen Hei"/>
        <family val="2"/>
      </rPr>
      <t xml:space="preserve">부는 곁가지 중심이라 </t>
    </r>
    <r>
      <rPr>
        <i val="true"/>
        <sz val="9"/>
        <color rgb="FF595959"/>
        <rFont val="Noto Sans CJK SC"/>
        <family val="2"/>
        <charset val="1"/>
      </rPr>
      <t xml:space="preserve">B1~B2 </t>
    </r>
    <r>
      <rPr>
        <i val="true"/>
        <sz val="9"/>
        <color rgb="FF595959"/>
        <rFont val="WenQuanYi Zen Hei"/>
        <family val="2"/>
      </rPr>
      <t xml:space="preserve">난이도를 지키고</t>
    </r>
    <r>
      <rPr>
        <i val="true"/>
        <sz val="9"/>
        <color rgb="FF595959"/>
        <rFont val="Noto Sans CJK SC"/>
        <family val="2"/>
        <charset val="1"/>
      </rPr>
      <t xml:space="preserve">, 9~12</t>
    </r>
    <r>
      <rPr>
        <i val="true"/>
        <sz val="9"/>
        <color rgb="FF595959"/>
        <rFont val="WenQuanYi Zen Hei"/>
        <family val="2"/>
      </rPr>
      <t xml:space="preserve">부에서 전용 화가 몰린다</t>
    </r>
    <r>
      <rPr>
        <i val="true"/>
        <sz val="9"/>
        <color rgb="FF595959"/>
        <rFont val="Noto Sans CJK SC"/>
        <family val="2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화당 전용 현안은 </t>
    </r>
    <r>
      <rPr>
        <i val="true"/>
        <sz val="9"/>
        <color rgb="FF595959"/>
        <rFont val="Noto Sans CJK SC"/>
        <family val="2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개</t>
    </r>
    <r>
      <rPr>
        <i val="true"/>
        <sz val="9"/>
        <color rgb="FF595959"/>
        <rFont val="Noto Sans CJK SC"/>
        <family val="2"/>
        <charset val="1"/>
      </rPr>
      <t xml:space="preserve">(+</t>
    </r>
    <r>
      <rPr>
        <i val="true"/>
        <sz val="9"/>
        <color rgb="FF595959"/>
        <rFont val="WenQuanYi Zen Hei"/>
        <family val="2"/>
      </rPr>
      <t xml:space="preserve">곁가지 </t>
    </r>
    <r>
      <rPr>
        <i val="true"/>
        <sz val="9"/>
        <color rgb="FF595959"/>
        <rFont val="Noto Sans CJK SC"/>
        <family val="2"/>
        <charset val="1"/>
      </rPr>
      <t xml:space="preserve">1~2</t>
    </r>
    <r>
      <rPr>
        <i val="true"/>
        <sz val="9"/>
        <color rgb="FF595959"/>
        <rFont val="WenQuanYi Zen Hei"/>
        <family val="2"/>
      </rPr>
      <t xml:space="preserve">개</t>
    </r>
    <r>
      <rPr>
        <i val="true"/>
        <sz val="9"/>
        <color rgb="FF595959"/>
        <rFont val="Noto Sans CJK SC"/>
        <family val="2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로 제한해 낭독 분량을 지킨다</t>
    </r>
    <r>
      <rPr>
        <i val="true"/>
        <sz val="9"/>
        <color rgb="FF595959"/>
        <rFont val="Noto Sans CJK SC"/>
        <family val="2"/>
        <charset val="1"/>
      </rPr>
      <t xml:space="preserve">. N6~N8</t>
    </r>
    <r>
      <rPr>
        <i val="true"/>
        <sz val="9"/>
        <color rgb="FF595959"/>
        <rFont val="WenQuanYi Zen Hei"/>
        <family val="2"/>
      </rPr>
      <t xml:space="preserve">은 </t>
    </r>
    <r>
      <rPr>
        <i val="true"/>
        <sz val="9"/>
        <color rgb="FF595959"/>
        <rFont val="Noto Sans CJK SC"/>
        <family val="2"/>
        <charset val="1"/>
      </rPr>
      <t xml:space="preserve">12</t>
    </r>
    <r>
      <rPr>
        <i val="true"/>
        <sz val="9"/>
        <color rgb="FF595959"/>
        <rFont val="WenQuanYi Zen Hei"/>
        <family val="2"/>
      </rPr>
      <t xml:space="preserve">부의 신규 현안으로 각 </t>
    </r>
    <r>
      <rPr>
        <i val="true"/>
        <sz val="9"/>
        <color rgb="FF595959"/>
        <rFont val="Noto Sans CJK SC"/>
        <family val="2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개 전용 화를 받는다</t>
    </r>
    <r>
      <rPr>
        <i val="true"/>
        <sz val="9"/>
        <color rgb="FF595959"/>
        <rFont val="Noto Sans CJK SC"/>
        <family val="2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</si>
  <si>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현안 </t>
    </r>
    <r>
      <rPr>
        <i val="true"/>
        <sz val="9"/>
        <color rgb="FF595959"/>
        <rFont val="Noto Sans CJK SC"/>
        <family val="2"/>
        <charset val="1"/>
      </rPr>
      <t xml:space="preserve">ID</t>
    </r>
    <r>
      <rPr>
        <i val="true"/>
        <sz val="9"/>
        <color rgb="FF595959"/>
        <rFont val="WenQuanYi Zen Hei"/>
        <family val="2"/>
      </rPr>
      <t xml:space="preserve">와 설명은 </t>
    </r>
    <r>
      <rPr>
        <i val="true"/>
        <sz val="9"/>
        <color rgb="FF595959"/>
        <rFont val="Noto Sans CJK SC"/>
        <family val="2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현안</t>
    </r>
    <r>
      <rPr>
        <i val="true"/>
        <sz val="9"/>
        <color rgb="FF595959"/>
        <rFont val="Noto Sans CJK SC"/>
        <family val="2"/>
        <charset val="1"/>
      </rPr>
      <t xml:space="preserve">_</t>
    </r>
    <r>
      <rPr>
        <i val="true"/>
        <sz val="9"/>
        <color rgb="FF595959"/>
        <rFont val="WenQuanYi Zen Hei"/>
        <family val="2"/>
      </rPr>
      <t xml:space="preserve">배치</t>
    </r>
    <r>
      <rPr>
        <i val="true"/>
        <sz val="9"/>
        <color rgb="FF595959"/>
        <rFont val="Noto Sans CJK SC"/>
        <family val="2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시트</t>
    </r>
    <r>
      <rPr>
        <i val="true"/>
        <sz val="9"/>
        <color rgb="FF595959"/>
        <rFont val="Noto Sans CJK SC"/>
        <family val="2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화별 반영은 </t>
    </r>
    <r>
      <rPr>
        <i val="true"/>
        <sz val="9"/>
        <color rgb="FF595959"/>
        <rFont val="Noto Sans CJK SC"/>
        <family val="2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화별목차</t>
    </r>
    <r>
      <rPr>
        <i val="true"/>
        <sz val="9"/>
        <color rgb="FF595959"/>
        <rFont val="Noto Sans CJK SC"/>
        <family val="2"/>
        <charset val="1"/>
      </rPr>
      <t xml:space="preserve">_</t>
    </r>
    <r>
      <rPr>
        <i val="true"/>
        <sz val="9"/>
        <color rgb="FF595959"/>
        <rFont val="WenQuanYi Zen Hei"/>
        <family val="2"/>
      </rPr>
      <t xml:space="preserve">전체</t>
    </r>
    <r>
      <rPr>
        <i val="true"/>
        <sz val="9"/>
        <color rgb="FF595959"/>
        <rFont val="Noto Sans CJK SC"/>
        <family val="2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의 </t>
    </r>
    <r>
      <rPr>
        <i val="true"/>
        <sz val="9"/>
        <color rgb="FF595959"/>
        <rFont val="Noto Sans CJK SC"/>
        <family val="2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반영 현안</t>
    </r>
    <r>
      <rPr>
        <i val="true"/>
        <sz val="9"/>
        <color rgb="FF595959"/>
        <rFont val="Noto Sans CJK SC"/>
        <family val="2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열을 참고</t>
    </r>
    <r>
      <rPr>
        <i val="true"/>
        <sz val="9"/>
        <color rgb="FF595959"/>
        <rFont val="Noto Sans CJK SC"/>
        <family val="2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</si>
  <si>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현실 정치 제도 기준표 </t>
    </r>
    <r>
      <rPr>
        <b val="true"/>
        <sz val="14"/>
        <color rgb="FF1F3864"/>
        <rFont val="Noto Sans CJK SC"/>
        <family val="2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이탈리아</t>
    </r>
    <r>
      <rPr>
        <b val="true"/>
        <sz val="14"/>
        <color rgb="FF1F3864"/>
        <rFont val="Noto Sans CJK SC"/>
        <family val="2"/>
        <charset val="1"/>
      </rPr>
      <t xml:space="preserve">)</t>
    </r>
  </si>
  <si>
    <r>
      <rPr>
        <i val="true"/>
        <sz val="9"/>
        <color rgb="FF595959"/>
        <rFont val="Arial"/>
        <family val="0"/>
        <charset val="1"/>
      </rPr>
      <t xml:space="preserve">8~12</t>
    </r>
    <r>
      <rPr>
        <i val="true"/>
        <sz val="9"/>
        <color rgb="FF595959"/>
        <rFont val="WenQuanYi Zen Hei"/>
        <family val="2"/>
      </rPr>
      <t xml:space="preserve">부에 반영한 실제 제도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정당</t>
    </r>
    <r>
      <rPr>
        <i val="true"/>
        <sz val="9"/>
        <color rgb="FF595959"/>
        <rFont val="Arial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정치인은 전부 가상이며 실존 정치인의 대사는 쓰지 않는다</t>
    </r>
    <r>
      <rPr>
        <i val="true"/>
        <sz val="9"/>
        <color rgb="FF595959"/>
        <rFont val="Arial"/>
        <family val="0"/>
        <charset val="1"/>
      </rPr>
      <t xml:space="preserve">. '</t>
    </r>
    <r>
      <rPr>
        <i val="true"/>
        <sz val="9"/>
        <color rgb="FF595959"/>
        <rFont val="WenQuanYi Zen Hei"/>
        <family val="2"/>
      </rPr>
      <t xml:space="preserve">검색 확인</t>
    </r>
    <r>
      <rPr>
        <i val="true"/>
        <sz val="9"/>
        <color rgb="FF595959"/>
        <rFont val="Arial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표시는 </t>
    </r>
    <r>
      <rPr>
        <i val="true"/>
        <sz val="9"/>
        <color rgb="FF595959"/>
        <rFont val="Arial"/>
        <family val="0"/>
        <charset val="1"/>
      </rPr>
      <t xml:space="preserve">2026-09-24 </t>
    </r>
    <r>
      <rPr>
        <i val="true"/>
        <sz val="9"/>
        <color rgb="FF595959"/>
        <rFont val="WenQuanYi Zen Hei"/>
        <family val="2"/>
      </rPr>
      <t xml:space="preserve">기준 자료로 확인한 항목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</si>
  <si>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영역</t>
  </si>
  <si>
    <r>
      <rPr>
        <b val="true"/>
        <sz val="10"/>
        <color rgb="FFFFFFFF"/>
        <rFont val="WenQuanYi Zen Hei"/>
        <family val="2"/>
      </rPr>
      <t xml:space="preserve">제도</t>
    </r>
    <r>
      <rPr>
        <b val="true"/>
        <sz val="10"/>
        <color rgb="FFFFFFFF"/>
        <rFont val="Noto Sans CJK SC"/>
        <family val="2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규칙</t>
    </r>
  </si>
  <si>
    <t xml:space="preserve">근거</t>
  </si>
  <si>
    <t xml:space="preserve">이야기 반영</t>
  </si>
  <si>
    <t xml:space="preserve">확인 상태</t>
  </si>
  <si>
    <r>
      <rPr>
        <b val="true"/>
        <sz val="10"/>
        <rFont val="WenQuanYi Zen Hei"/>
        <family val="2"/>
      </rPr>
      <t xml:space="preserve">정당</t>
    </r>
    <r>
      <rPr>
        <b val="true"/>
        <sz val="10"/>
        <rFont val="Noto Sans CJK SC"/>
        <family val="2"/>
        <charset val="1"/>
      </rPr>
      <t xml:space="preserve">·</t>
    </r>
    <r>
      <rPr>
        <b val="true"/>
        <sz val="10"/>
        <rFont val="WenQuanYi Zen Hei"/>
        <family val="2"/>
      </rPr>
      <t xml:space="preserve">선거</t>
    </r>
  </si>
  <si>
    <t xml:space="preserve">정당 설립</t>
  </si>
  <si>
    <r>
      <rPr>
        <sz val="10"/>
        <rFont val="WenQuanYi Zen Hei"/>
        <family val="2"/>
      </rPr>
      <t xml:space="preserve">이탈리아 정당은 대개 법인격 없는 사단</t>
    </r>
    <r>
      <rPr>
        <sz val="10"/>
        <rFont val="Noto Sans CJK SC"/>
        <family val="2"/>
        <charset val="1"/>
      </rPr>
      <t xml:space="preserve">(associazione non riconosciuta)</t>
    </r>
    <r>
      <rPr>
        <sz val="10"/>
        <rFont val="WenQuanYi Zen Hei"/>
        <family val="2"/>
      </rPr>
      <t xml:space="preserve">으로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공증인 앞에서 설립 문서</t>
    </r>
    <r>
      <rPr>
        <sz val="10"/>
        <rFont val="Noto Sans CJK SC"/>
        <family val="2"/>
        <charset val="1"/>
      </rPr>
      <t xml:space="preserve">(atto costitutivo)</t>
    </r>
    <r>
      <rPr>
        <sz val="10"/>
        <rFont val="WenQuanYi Zen Hei"/>
        <family val="2"/>
      </rPr>
      <t xml:space="preserve">와 정관</t>
    </r>
    <r>
      <rPr>
        <sz val="10"/>
        <rFont val="Noto Sans CJK SC"/>
        <family val="2"/>
        <charset val="1"/>
      </rPr>
      <t xml:space="preserve">(statuto)</t>
    </r>
    <r>
      <rPr>
        <sz val="10"/>
        <rFont val="WenQuanYi Zen Hei"/>
        <family val="2"/>
      </rPr>
      <t xml:space="preserve">을 작성해 만든다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국가 정당 등록부에 등록하면 </t>
    </r>
    <r>
      <rPr>
        <sz val="10"/>
        <rFont val="Noto Sans CJK SC"/>
        <family val="2"/>
        <charset val="1"/>
      </rPr>
      <t xml:space="preserve">2x1000 </t>
    </r>
    <r>
      <rPr>
        <sz val="10"/>
        <rFont val="WenQuanYi Zen Hei"/>
        <family val="2"/>
      </rPr>
      <t xml:space="preserve">기부 등 혜택 자격을 얻는다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</si>
  <si>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49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민법 제</t>
    </r>
    <r>
      <rPr>
        <sz val="10"/>
        <rFont val="Arial"/>
        <family val="0"/>
        <charset val="1"/>
      </rPr>
      <t xml:space="preserve">36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, d.l. 149/2013 </t>
    </r>
    <r>
      <rPr>
        <sz val="10"/>
        <rFont val="WenQuanYi Zen Hei"/>
        <family val="2"/>
      </rPr>
      <t xml:space="preserve">제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조</t>
    </r>
  </si>
  <si>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화</t>
    </r>
  </si>
  <si>
    <t xml:space="preserve">atto costitutivo, statuto, iscrizione, associazione</t>
  </si>
  <si>
    <r>
      <rPr>
        <sz val="10"/>
        <rFont val="WenQuanYi Zen Hei"/>
        <family val="2"/>
      </rPr>
      <t xml:space="preserve">기획 시점 지식 — </t>
    </r>
    <r>
      <rPr>
        <sz val="10"/>
        <rFont val="Noto Sans CJK SC"/>
        <family val="2"/>
        <charset val="1"/>
      </rPr>
      <t xml:space="preserve">Normattiva </t>
    </r>
    <r>
      <rPr>
        <sz val="10"/>
        <rFont val="WenQuanYi Zen Hei"/>
        <family val="2"/>
      </rPr>
      <t xml:space="preserve">확인 필요</t>
    </r>
  </si>
  <si>
    <t xml:space="preserve">정당의 민주적 내부 운영</t>
  </si>
  <si>
    <r>
      <rPr>
        <sz val="10"/>
        <rFont val="WenQuanYi Zen Hei"/>
        <family val="2"/>
      </rPr>
      <t xml:space="preserve">시민은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민주적 방법으로</t>
    </r>
    <r>
      <rPr>
        <sz val="10"/>
        <rFont val="Noto Sans CJK SC"/>
        <family val="2"/>
        <charset val="1"/>
      </rPr>
      <t xml:space="preserve">' </t>
    </r>
    <r>
      <rPr>
        <sz val="10"/>
        <rFont val="WenQuanYi Zen Hei"/>
        <family val="2"/>
      </rPr>
      <t xml:space="preserve">국가 정책 결정에 참여하기 위해 정당을 결성한다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등록 정당의 정관은 기관 구성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당원 권리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후보 선출 절차 등을 명시해야 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</si>
  <si>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49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, d.l. 149/2013 </t>
    </r>
    <r>
      <rPr>
        <sz val="10"/>
        <rFont val="WenQuanYi Zen Hei"/>
        <family val="2"/>
      </rPr>
      <t xml:space="preserve">제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조</t>
    </r>
  </si>
  <si>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화</t>
    </r>
  </si>
  <si>
    <t xml:space="preserve">metodo democratico, statuto, iscritto, organi</t>
  </si>
  <si>
    <t xml:space="preserve">정당 재정</t>
  </si>
  <si>
    <r>
      <rPr>
        <sz val="10"/>
        <rFont val="WenQuanYi Zen Hei"/>
        <family val="2"/>
      </rPr>
      <t xml:space="preserve">공적 직접 보조금은 폐지되고</t>
    </r>
    <r>
      <rPr>
        <sz val="10"/>
        <rFont val="Noto Sans CJK SC"/>
        <family val="2"/>
        <charset val="1"/>
      </rPr>
      <t xml:space="preserve">(2013~), </t>
    </r>
    <r>
      <rPr>
        <sz val="10"/>
        <rFont val="WenQuanYi Zen Hei"/>
        <family val="2"/>
      </rPr>
      <t xml:space="preserve">개인의 </t>
    </r>
    <r>
      <rPr>
        <sz val="10"/>
        <rFont val="Noto Sans CJK SC"/>
        <family val="2"/>
        <charset val="1"/>
      </rPr>
      <t xml:space="preserve">2x1000 </t>
    </r>
    <r>
      <rPr>
        <sz val="10"/>
        <rFont val="WenQuanYi Zen Hei"/>
        <family val="2"/>
      </rPr>
      <t xml:space="preserve">세금 기부와 공개 의무가 있는 후원으로 운영된다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정당 회계는 독립 위원회</t>
    </r>
    <r>
      <rPr>
        <sz val="10"/>
        <rFont val="Noto Sans CJK SC"/>
        <family val="2"/>
        <charset val="1"/>
      </rPr>
      <t xml:space="preserve">(Commissione di garanzia)</t>
    </r>
    <r>
      <rPr>
        <sz val="10"/>
        <rFont val="WenQuanYi Zen Hei"/>
        <family val="2"/>
      </rPr>
      <t xml:space="preserve">가 감독한다</t>
    </r>
    <r>
      <rPr>
        <sz val="10"/>
        <rFont val="Noto Sans CJK SC"/>
        <family val="2"/>
        <charset val="1"/>
      </rPr>
      <t xml:space="preserve">.</t>
    </r>
  </si>
  <si>
    <t xml:space="preserve">d.l. 149/2013, legge 3/2019</t>
  </si>
  <si>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화</t>
    </r>
  </si>
  <si>
    <t xml:space="preserve">finanziamento, 2x1000, donazione, rendiconto</t>
  </si>
  <si>
    <t xml:space="preserve">집회 신고</t>
  </si>
  <si>
    <r>
      <rPr>
        <sz val="10"/>
        <rFont val="WenQuanYi Zen Hei"/>
        <family val="2"/>
      </rPr>
      <t xml:space="preserve">공공장소 집회는 최소 </t>
    </r>
    <r>
      <rPr>
        <sz val="10"/>
        <rFont val="Noto Sans CJK SC"/>
        <family val="2"/>
        <charset val="1"/>
      </rPr>
      <t xml:space="preserve">3</t>
    </r>
    <r>
      <rPr>
        <sz val="10"/>
        <rFont val="WenQuanYi Zen Hei"/>
        <family val="2"/>
      </rPr>
      <t xml:space="preserve">일 전 경찰청장</t>
    </r>
    <r>
      <rPr>
        <sz val="10"/>
        <rFont val="Noto Sans CJK SC"/>
        <family val="2"/>
        <charset val="1"/>
      </rPr>
      <t xml:space="preserve">(Questore)</t>
    </r>
    <r>
      <rPr>
        <sz val="10"/>
        <rFont val="WenQuanYi Zen Hei"/>
        <family val="2"/>
      </rPr>
      <t xml:space="preserve">에게 통지한다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허가가 아니라 통지이며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공공질서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안전을 이유로만 금지할 수 있다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</si>
  <si>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17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, TULPS </t>
    </r>
    <r>
      <rPr>
        <sz val="10"/>
        <rFont val="WenQuanYi Zen Hei"/>
        <family val="2"/>
      </rPr>
      <t xml:space="preserve">제</t>
    </r>
    <r>
      <rPr>
        <sz val="10"/>
        <rFont val="Arial"/>
        <family val="0"/>
        <charset val="1"/>
      </rPr>
      <t xml:space="preserve">18</t>
    </r>
    <r>
      <rPr>
        <sz val="10"/>
        <rFont val="WenQuanYi Zen Hei"/>
        <family val="2"/>
      </rPr>
      <t xml:space="preserve">조</t>
    </r>
  </si>
  <si>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화</t>
    </r>
  </si>
  <si>
    <t xml:space="preserve">preavviso, manifestazione, Questura, piazza</t>
  </si>
  <si>
    <t xml:space="preserve">국민 발의와 폐지 국민투표</t>
  </si>
  <si>
    <r>
      <rPr>
        <sz val="10"/>
        <rFont val="WenQuanYi Zen Hei"/>
        <family val="2"/>
      </rPr>
      <t xml:space="preserve">국민 </t>
    </r>
    <r>
      <rPr>
        <sz val="10"/>
        <rFont val="Noto Sans CJK SC"/>
        <family val="2"/>
        <charset val="1"/>
      </rPr>
      <t xml:space="preserve">5</t>
    </r>
    <r>
      <rPr>
        <sz val="10"/>
        <rFont val="WenQuanYi Zen Hei"/>
        <family val="2"/>
      </rPr>
      <t xml:space="preserve">만 명 서명으로 법안을 발의할 수 있다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의회 심의 의무는 약함</t>
    </r>
    <r>
      <rPr>
        <sz val="10"/>
        <rFont val="Noto Sans CJK SC"/>
        <family val="2"/>
        <charset val="1"/>
      </rPr>
      <t xml:space="preserve">). </t>
    </r>
    <r>
      <rPr>
        <sz val="10"/>
        <rFont val="WenQuanYi Zen Hei"/>
        <family val="2"/>
      </rPr>
      <t xml:space="preserve">유권자 </t>
    </r>
    <r>
      <rPr>
        <sz val="10"/>
        <rFont val="Noto Sans CJK SC"/>
        <family val="2"/>
        <charset val="1"/>
      </rPr>
      <t xml:space="preserve">50</t>
    </r>
    <r>
      <rPr>
        <sz val="10"/>
        <rFont val="WenQuanYi Zen Hei"/>
        <family val="2"/>
      </rPr>
      <t xml:space="preserve">만 명 서명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또는 주의회 </t>
    </r>
    <r>
      <rPr>
        <sz val="10"/>
        <rFont val="Noto Sans CJK SC"/>
        <family val="2"/>
        <charset val="1"/>
      </rPr>
      <t xml:space="preserve">5</t>
    </r>
    <r>
      <rPr>
        <sz val="10"/>
        <rFont val="WenQuanYi Zen Hei"/>
        <family val="2"/>
      </rPr>
      <t xml:space="preserve">곳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으로 법률 폐지 국민투표를 청구하며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헌법재판소 허용 심사를 거친다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유권자 과반이 투표해야 유효하다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</si>
  <si>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71·75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, legge 352/1970</t>
    </r>
  </si>
  <si>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2~4</t>
    </r>
    <r>
      <rPr>
        <sz val="10"/>
        <rFont val="WenQuanYi Zen Hei"/>
        <family val="2"/>
      </rPr>
      <t xml:space="preserve">화</t>
    </r>
  </si>
  <si>
    <t xml:space="preserve">iniziativa popolare, referendum abrogativo, quorum, ammissibilità</t>
  </si>
  <si>
    <t xml:space="preserve">총선 제도</t>
  </si>
  <si>
    <r>
      <rPr>
        <sz val="10"/>
        <rFont val="WenQuanYi Zen Hei"/>
        <family val="2"/>
      </rPr>
      <t xml:space="preserve">하원 </t>
    </r>
    <r>
      <rPr>
        <sz val="10"/>
        <rFont val="Noto Sans CJK SC"/>
        <family val="2"/>
        <charset val="1"/>
      </rPr>
      <t xml:space="preserve">400</t>
    </r>
    <r>
      <rPr>
        <sz val="10"/>
        <rFont val="WenQuanYi Zen Hei"/>
        <family val="2"/>
      </rPr>
      <t xml:space="preserve">석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상원 </t>
    </r>
    <r>
      <rPr>
        <sz val="10"/>
        <rFont val="Noto Sans CJK SC"/>
        <family val="2"/>
        <charset val="1"/>
      </rPr>
      <t xml:space="preserve">200</t>
    </r>
    <r>
      <rPr>
        <sz val="10"/>
        <rFont val="WenQuanYi Zen Hei"/>
        <family val="2"/>
      </rPr>
      <t xml:space="preserve">석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선출</t>
    </r>
    <r>
      <rPr>
        <sz val="10"/>
        <rFont val="Noto Sans CJK SC"/>
        <family val="2"/>
        <charset val="1"/>
      </rPr>
      <t xml:space="preserve">). </t>
    </r>
    <r>
      <rPr>
        <sz val="10"/>
        <rFont val="WenQuanYi Zen Hei"/>
        <family val="2"/>
      </rPr>
      <t xml:space="preserve">약 </t>
    </r>
    <r>
      <rPr>
        <sz val="10"/>
        <rFont val="Noto Sans CJK SC"/>
        <family val="2"/>
        <charset val="1"/>
      </rPr>
      <t xml:space="preserve">3/8</t>
    </r>
    <r>
      <rPr>
        <sz val="10"/>
        <rFont val="WenQuanYi Zen Hei"/>
        <family val="2"/>
      </rPr>
      <t xml:space="preserve">은 소선거구 단순다수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나머지는 비례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해외 선거구 별도</t>
    </r>
    <r>
      <rPr>
        <sz val="10"/>
        <rFont val="Noto Sans CJK SC"/>
        <family val="2"/>
        <charset val="1"/>
      </rPr>
      <t xml:space="preserve">). </t>
    </r>
    <r>
      <rPr>
        <sz val="10"/>
        <rFont val="WenQuanYi Zen Hei"/>
        <family val="2"/>
      </rPr>
      <t xml:space="preserve">명부 문턱 </t>
    </r>
    <r>
      <rPr>
        <sz val="10"/>
        <rFont val="Noto Sans CJK SC"/>
        <family val="2"/>
        <charset val="1"/>
      </rPr>
      <t xml:space="preserve">3%, </t>
    </r>
    <r>
      <rPr>
        <sz val="10"/>
        <rFont val="WenQuanYi Zen Hei"/>
        <family val="2"/>
      </rPr>
      <t xml:space="preserve">연합 문턱 </t>
    </r>
    <r>
      <rPr>
        <sz val="10"/>
        <rFont val="Noto Sans CJK SC"/>
        <family val="2"/>
        <charset val="1"/>
      </rPr>
      <t xml:space="preserve">10%. </t>
    </r>
    <r>
      <rPr>
        <sz val="10"/>
        <rFont val="WenQuanYi Zen Hei"/>
        <family val="2"/>
      </rPr>
      <t xml:space="preserve">하원 과반 </t>
    </r>
    <r>
      <rPr>
        <sz val="10"/>
        <rFont val="Noto Sans CJK SC"/>
        <family val="2"/>
        <charset val="1"/>
      </rPr>
      <t xml:space="preserve">201</t>
    </r>
    <r>
      <rPr>
        <sz val="10"/>
        <rFont val="WenQuanYi Zen Hei"/>
        <family val="2"/>
      </rPr>
      <t xml:space="preserve">석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</si>
  <si>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legge 165/2017 (Rosatellum), </t>
    </r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56·57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(2020 </t>
    </r>
    <r>
      <rPr>
        <sz val="10"/>
        <rFont val="WenQuanYi Zen Hei"/>
        <family val="2"/>
      </rPr>
      <t xml:space="preserve">의석 축소 개헌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</si>
  <si>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부</t>
    </r>
  </si>
  <si>
    <t xml:space="preserve">collegio uninominale, proporzionale, soglia di sbarramento, seggio</t>
  </si>
  <si>
    <t xml:space="preserve">명부 제출 서명 요건</t>
  </si>
  <si>
    <r>
      <rPr>
        <sz val="10"/>
        <rFont val="WenQuanYi Zen Hei"/>
        <family val="2"/>
      </rPr>
      <t xml:space="preserve">의회에 교섭단체가 없는 정당은 선거구마다 일정 수의 유권자 서명을 받아야 명부를 낼 수 있다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전자 서명 허용 확대 중</t>
    </r>
    <r>
      <rPr>
        <sz val="10"/>
        <rFont val="Noto Sans CJK SC"/>
        <family val="2"/>
        <charset val="1"/>
      </rPr>
      <t xml:space="preserve">). </t>
    </r>
    <r>
      <rPr>
        <sz val="10"/>
        <rFont val="WenQuanYi Zen Hei"/>
        <family val="2"/>
      </rPr>
      <t xml:space="preserve">지방선거도 인구 규모에 따라 서명이 필요하다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</si>
  <si>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legge 165/2017, </t>
    </r>
    <r>
      <rPr>
        <sz val="10"/>
        <rFont val="WenQuanYi Zen Hei"/>
        <family val="2"/>
      </rPr>
      <t xml:space="preserve">지방선거법</t>
    </r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</si>
  <si>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화</t>
    </r>
  </si>
  <si>
    <t xml:space="preserve">raccolta firme, presentazione delle liste, sottoscrittori</t>
  </si>
  <si>
    <r>
      <rPr>
        <sz val="10"/>
        <rFont val="WenQuanYi Zen Hei"/>
        <family val="2"/>
      </rPr>
      <t xml:space="preserve">서명 수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면제 요건 확인 필요</t>
    </r>
  </si>
  <si>
    <t xml:space="preserve">선거 일정</t>
  </si>
  <si>
    <r>
      <rPr>
        <sz val="10"/>
        <rFont val="WenQuanYi Zen Hei"/>
        <family val="2"/>
      </rPr>
      <t xml:space="preserve">해산 후 </t>
    </r>
    <r>
      <rPr>
        <sz val="10"/>
        <rFont val="Noto Sans CJK SC"/>
        <family val="2"/>
        <charset val="1"/>
      </rPr>
      <t xml:space="preserve">70</t>
    </r>
    <r>
      <rPr>
        <sz val="10"/>
        <rFont val="WenQuanYi Zen Hei"/>
        <family val="2"/>
      </rPr>
      <t xml:space="preserve">일 안에 선거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새 의회는 선거 후 </t>
    </r>
    <r>
      <rPr>
        <sz val="10"/>
        <rFont val="Noto Sans CJK SC"/>
        <family val="2"/>
        <charset val="1"/>
      </rPr>
      <t xml:space="preserve">20</t>
    </r>
    <r>
      <rPr>
        <sz val="10"/>
        <rFont val="WenQuanYi Zen Hei"/>
        <family val="2"/>
      </rPr>
      <t xml:space="preserve">일 안에 소집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선거 전날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당일은 선거운동 금지</t>
    </r>
    <r>
      <rPr>
        <sz val="10"/>
        <rFont val="Noto Sans CJK SC"/>
        <family val="2"/>
        <charset val="1"/>
      </rPr>
      <t xml:space="preserve">(silenzio elettorale), </t>
    </r>
    <r>
      <rPr>
        <sz val="10"/>
        <rFont val="WenQuanYi Zen Hei"/>
        <family val="2"/>
      </rPr>
      <t xml:space="preserve">마지막 </t>
    </r>
    <r>
      <rPr>
        <sz val="10"/>
        <rFont val="Noto Sans CJK SC"/>
        <family val="2"/>
        <charset val="1"/>
      </rPr>
      <t xml:space="preserve">15</t>
    </r>
    <r>
      <rPr>
        <sz val="10"/>
        <rFont val="WenQuanYi Zen Hei"/>
        <family val="2"/>
      </rPr>
      <t xml:space="preserve">일은 여론조사 공표 금지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방송 노출은 균등 원칙</t>
    </r>
    <r>
      <rPr>
        <sz val="10"/>
        <rFont val="Noto Sans CJK SC"/>
        <family val="2"/>
        <charset val="1"/>
      </rPr>
      <t xml:space="preserve">(par condicio)</t>
    </r>
    <r>
      <rPr>
        <sz val="10"/>
        <rFont val="WenQuanYi Zen Hei"/>
        <family val="2"/>
      </rPr>
      <t xml:space="preserve">과 </t>
    </r>
    <r>
      <rPr>
        <sz val="10"/>
        <rFont val="Noto Sans CJK SC"/>
        <family val="2"/>
        <charset val="1"/>
      </rPr>
      <t xml:space="preserve">AGCOM </t>
    </r>
    <r>
      <rPr>
        <sz val="10"/>
        <rFont val="WenQuanYi Zen Hei"/>
        <family val="2"/>
      </rPr>
      <t xml:space="preserve">감독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</si>
  <si>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61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, legge 212/1956, legge 28/2000</t>
    </r>
  </si>
  <si>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10</t>
    </r>
    <r>
      <rPr>
        <sz val="10"/>
        <rFont val="WenQuanYi Zen Hei"/>
        <family val="2"/>
      </rPr>
      <t xml:space="preserve">부</t>
    </r>
  </si>
  <si>
    <t xml:space="preserve">campagna elettorale, silenzio elettorale, sondaggio, par condicio</t>
  </si>
  <si>
    <r>
      <rPr>
        <sz val="10"/>
        <rFont val="WenQuanYi Zen Hei"/>
        <family val="2"/>
      </rPr>
      <t xml:space="preserve">로마 시의회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라치오 주의회 선거</t>
    </r>
  </si>
  <si>
    <r>
      <rPr>
        <sz val="10"/>
        <rFont val="WenQuanYi Zen Hei"/>
        <family val="2"/>
      </rPr>
      <t xml:space="preserve">로마 시장은 직선제이며 과반 득표자가 없으면 </t>
    </r>
    <r>
      <rPr>
        <sz val="10"/>
        <rFont val="Noto Sans CJK SC"/>
        <family val="2"/>
        <charset val="1"/>
      </rPr>
      <t xml:space="preserve">2</t>
    </r>
    <r>
      <rPr>
        <sz val="10"/>
        <rFont val="WenQuanYi Zen Hei"/>
        <family val="2"/>
      </rPr>
      <t xml:space="preserve">주 뒤 결선</t>
    </r>
    <r>
      <rPr>
        <sz val="10"/>
        <rFont val="Noto Sans CJK SC"/>
        <family val="2"/>
        <charset val="1"/>
      </rPr>
      <t xml:space="preserve">(ballottaggio). </t>
    </r>
    <r>
      <rPr>
        <sz val="10"/>
        <rFont val="WenQuanYi Zen Hei"/>
        <family val="2"/>
      </rPr>
      <t xml:space="preserve">시의회</t>
    </r>
    <r>
      <rPr>
        <sz val="10"/>
        <rFont val="Noto Sans CJK SC"/>
        <family val="2"/>
        <charset val="1"/>
      </rPr>
      <t xml:space="preserve">(Assemblea Capitolina)</t>
    </r>
    <r>
      <rPr>
        <sz val="10"/>
        <rFont val="WenQuanYi Zen Hei"/>
        <family val="2"/>
      </rPr>
      <t xml:space="preserve">는 </t>
    </r>
    <r>
      <rPr>
        <sz val="10"/>
        <rFont val="Noto Sans CJK SC"/>
        <family val="2"/>
        <charset val="1"/>
      </rPr>
      <t xml:space="preserve">48</t>
    </r>
    <r>
      <rPr>
        <sz val="10"/>
        <rFont val="WenQuanYi Zen Hei"/>
        <family val="2"/>
      </rPr>
      <t xml:space="preserve">석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당선 시장 연합에 과반 보너스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라치오 주지사도 직선제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주의회는 약 </t>
    </r>
    <r>
      <rPr>
        <sz val="10"/>
        <rFont val="Noto Sans CJK SC"/>
        <family val="2"/>
        <charset val="1"/>
      </rPr>
      <t xml:space="preserve">50</t>
    </r>
    <r>
      <rPr>
        <sz val="10"/>
        <rFont val="WenQuanYi Zen Hei"/>
        <family val="2"/>
      </rPr>
      <t xml:space="preserve">석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</si>
  <si>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TUEL(d.lgs. 267/2000) </t>
    </r>
    <r>
      <rPr>
        <sz val="10"/>
        <rFont val="WenQuanYi Zen Hei"/>
        <family val="2"/>
      </rPr>
      <t xml:space="preserve">제</t>
    </r>
    <r>
      <rPr>
        <sz val="10"/>
        <rFont val="Arial"/>
        <family val="0"/>
        <charset val="1"/>
      </rPr>
      <t xml:space="preserve">71~73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라치오 주 선거법</t>
    </r>
  </si>
  <si>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9</t>
    </r>
    <r>
      <rPr>
        <sz val="10"/>
        <rFont val="WenQuanYi Zen Hei"/>
        <family val="2"/>
      </rPr>
      <t xml:space="preserve">부</t>
    </r>
  </si>
  <si>
    <t xml:space="preserve">sindaco, ballottaggio, consigliere, premio di maggioranza</t>
  </si>
  <si>
    <r>
      <rPr>
        <sz val="10"/>
        <rFont val="WenQuanYi Zen Hei"/>
        <family val="2"/>
      </rPr>
      <t xml:space="preserve">의석 수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문턱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동시 선거 여부 확인 필요</t>
    </r>
  </si>
  <si>
    <t xml:space="preserve">낙선 시장 후보의 의석</t>
  </si>
  <si>
    <r>
      <rPr>
        <sz val="10"/>
        <rFont val="WenQuanYi Zen Hei"/>
        <family val="2"/>
      </rPr>
      <t xml:space="preserve">결선에 오르지 못한 시장 후보라도 연계 명부가 의석을 얻으면 시의원으로 선출될 수 있다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</si>
  <si>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TUEL </t>
    </r>
    <r>
      <rPr>
        <sz val="10"/>
        <rFont val="WenQuanYi Zen Hei"/>
        <family val="2"/>
      </rPr>
      <t xml:space="preserve">제</t>
    </r>
    <r>
      <rPr>
        <sz val="10"/>
        <rFont val="Arial"/>
        <family val="0"/>
        <charset val="1"/>
      </rPr>
      <t xml:space="preserve">73</t>
    </r>
    <r>
      <rPr>
        <sz val="10"/>
        <rFont val="WenQuanYi Zen Hei"/>
        <family val="2"/>
      </rPr>
      <t xml:space="preserve">조</t>
    </r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</si>
  <si>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화</t>
    </r>
  </si>
  <si>
    <t xml:space="preserve">candidato sindaco, consigliere, proclamazione</t>
  </si>
  <si>
    <t xml:space="preserve">조항 세부 확인 필요</t>
  </si>
  <si>
    <t xml:space="preserve">선거 분쟁</t>
  </si>
  <si>
    <r>
      <rPr>
        <sz val="10"/>
        <rFont val="WenQuanYi Zen Hei"/>
        <family val="2"/>
      </rPr>
      <t xml:space="preserve">명부 제출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접수는 선거 사무국</t>
    </r>
    <r>
      <rPr>
        <sz val="10"/>
        <rFont val="Noto Sans CJK SC"/>
        <family val="2"/>
        <charset val="1"/>
      </rPr>
      <t xml:space="preserve">(Ufficio elettorale)</t>
    </r>
    <r>
      <rPr>
        <sz val="10"/>
        <rFont val="WenQuanYi Zen Hei"/>
        <family val="2"/>
      </rPr>
      <t xml:space="preserve">이 심사하고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거부 결정은 행정법원</t>
    </r>
    <r>
      <rPr>
        <sz val="10"/>
        <rFont val="Noto Sans CJK SC"/>
        <family val="2"/>
        <charset val="1"/>
      </rPr>
      <t xml:space="preserve">(TAR) </t>
    </r>
    <r>
      <rPr>
        <sz val="10"/>
        <rFont val="WenQuanYi Zen Hei"/>
        <family val="2"/>
      </rPr>
      <t xml:space="preserve">등으로 다툰다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방송 불공정은 </t>
    </r>
    <r>
      <rPr>
        <sz val="10"/>
        <rFont val="Noto Sans CJK SC"/>
        <family val="2"/>
        <charset val="1"/>
      </rPr>
      <t xml:space="preserve">AGCOM</t>
    </r>
    <r>
      <rPr>
        <sz val="10"/>
        <rFont val="WenQuanYi Zen Hei"/>
        <family val="2"/>
      </rPr>
      <t xml:space="preserve">에 제소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</si>
  <si>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선거법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행정소송법</t>
    </r>
  </si>
  <si>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10~11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10</t>
    </r>
    <r>
      <rPr>
        <sz val="10"/>
        <rFont val="WenQuanYi Zen Hei"/>
        <family val="2"/>
      </rPr>
      <t xml:space="preserve">부</t>
    </r>
  </si>
  <si>
    <t xml:space="preserve">ricorso, TAR, AGCOM, esclusione della lista</t>
  </si>
  <si>
    <t xml:space="preserve">정정권</t>
  </si>
  <si>
    <r>
      <rPr>
        <sz val="10"/>
        <rFont val="WenQuanYi Zen Hei"/>
        <family val="2"/>
      </rPr>
      <t xml:space="preserve">보도로 명예가 훼손된 사람은 해당 매체에 정정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반론 게재를 청구할 수 있다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</si>
  <si>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legge 47/1948 </t>
    </r>
    <r>
      <rPr>
        <sz val="10"/>
        <rFont val="WenQuanYi Zen Hei"/>
        <family val="2"/>
      </rPr>
      <t xml:space="preserve">제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조</t>
    </r>
  </si>
  <si>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화</t>
    </r>
  </si>
  <si>
    <t xml:space="preserve">rettifica, replica, diffamazione</t>
  </si>
  <si>
    <t xml:space="preserve">성별 균형 명부</t>
  </si>
  <si>
    <r>
      <rPr>
        <sz val="10"/>
        <rFont val="WenQuanYi Zen Hei"/>
        <family val="2"/>
      </rPr>
      <t xml:space="preserve">명부 안에서 한 성별이 </t>
    </r>
    <r>
      <rPr>
        <sz val="10"/>
        <rFont val="Noto Sans CJK SC"/>
        <family val="2"/>
        <charset val="1"/>
      </rPr>
      <t xml:space="preserve">2/3</t>
    </r>
    <r>
      <rPr>
        <sz val="10"/>
        <rFont val="WenQuanYi Zen Hei"/>
        <family val="2"/>
      </rPr>
      <t xml:space="preserve">를 넘을 수 없고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선호 투표를 두 명 할 때는 성별을 달리해야 한다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지방선거</t>
    </r>
    <r>
      <rPr>
        <sz val="10"/>
        <rFont val="Noto Sans CJK SC"/>
        <family val="2"/>
        <charset val="1"/>
      </rPr>
      <t xml:space="preserve">).</t>
    </r>
  </si>
  <si>
    <t xml:space="preserve">legge 215/2012, legge 165/2017</t>
  </si>
  <si>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화</t>
    </r>
  </si>
  <si>
    <t xml:space="preserve">parità di genere, doppia preferenza di genere</t>
  </si>
  <si>
    <t xml:space="preserve">의회</t>
  </si>
  <si>
    <t xml:space="preserve">양원제</t>
  </si>
  <si>
    <r>
      <rPr>
        <sz val="10"/>
        <rFont val="WenQuanYi Zen Hei"/>
        <family val="2"/>
      </rPr>
      <t xml:space="preserve">하원</t>
    </r>
    <r>
      <rPr>
        <sz val="10"/>
        <rFont val="Noto Sans CJK SC"/>
        <family val="2"/>
        <charset val="1"/>
      </rPr>
      <t xml:space="preserve">(Camera, Montecitorio)</t>
    </r>
    <r>
      <rPr>
        <sz val="10"/>
        <rFont val="WenQuanYi Zen Hei"/>
        <family val="2"/>
      </rPr>
      <t xml:space="preserve">과 상원</t>
    </r>
    <r>
      <rPr>
        <sz val="10"/>
        <rFont val="Noto Sans CJK SC"/>
        <family val="2"/>
        <charset val="1"/>
      </rPr>
      <t xml:space="preserve">(Senato, Palazzo Madama)</t>
    </r>
    <r>
      <rPr>
        <sz val="10"/>
        <rFont val="WenQuanYi Zen Hei"/>
        <family val="2"/>
      </rPr>
      <t xml:space="preserve">이 동등한 권한을 가진 완전 양원제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법안은 양원이 같은 문안으로 통과시켜야 한다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수정되면 다시 반대편 원으로 — </t>
    </r>
    <r>
      <rPr>
        <sz val="10"/>
        <rFont val="Noto Sans CJK SC"/>
        <family val="2"/>
        <charset val="1"/>
      </rPr>
      <t xml:space="preserve">navetta).</t>
    </r>
  </si>
  <si>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55·70</t>
    </r>
    <r>
      <rPr>
        <sz val="10"/>
        <rFont val="WenQuanYi Zen Hei"/>
        <family val="2"/>
      </rPr>
      <t xml:space="preserve">조</t>
    </r>
  </si>
  <si>
    <r>
      <rPr>
        <sz val="10"/>
        <rFont val="Arial"/>
        <family val="0"/>
        <charset val="1"/>
      </rPr>
      <t xml:space="preserve">10~12</t>
    </r>
    <r>
      <rPr>
        <sz val="10"/>
        <rFont val="WenQuanYi Zen Hei"/>
        <family val="2"/>
      </rPr>
      <t xml:space="preserve">부</t>
    </r>
  </si>
  <si>
    <t xml:space="preserve">bicameralismo perfetto, navetta, Camera, Senato</t>
  </si>
  <si>
    <r>
      <rPr>
        <sz val="10"/>
        <rFont val="WenQuanYi Zen Hei"/>
        <family val="2"/>
      </rPr>
      <t xml:space="preserve">개원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의장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교섭단체</t>
    </r>
  </si>
  <si>
    <r>
      <rPr>
        <sz val="10"/>
        <rFont val="WenQuanYi Zen Hei"/>
        <family val="2"/>
      </rPr>
      <t xml:space="preserve">새 의회 첫 회의에서 양원 의장을 선출한다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교섭단체</t>
    </r>
    <r>
      <rPr>
        <sz val="10"/>
        <rFont val="Noto Sans CJK SC"/>
        <family val="2"/>
        <charset val="1"/>
      </rPr>
      <t xml:space="preserve">(gruppo parlamentare)</t>
    </r>
    <r>
      <rPr>
        <sz val="10"/>
        <rFont val="WenQuanYi Zen Hei"/>
        <family val="2"/>
      </rPr>
      <t xml:space="preserve">는 하원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상원 각각의 최소 인원 요건이 있고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미달하면 혼합 그룹</t>
    </r>
    <r>
      <rPr>
        <sz val="10"/>
        <rFont val="Noto Sans CJK SC"/>
        <family val="2"/>
        <charset val="1"/>
      </rPr>
      <t xml:space="preserve">(Gruppo misto).</t>
    </r>
  </si>
  <si>
    <t xml:space="preserve">양원 의사규칙</t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</si>
  <si>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화</t>
    </r>
  </si>
  <si>
    <t xml:space="preserve">Presidente della Camera, gruppo parlamentare, Gruppo misto</t>
  </si>
  <si>
    <r>
      <rPr>
        <sz val="10"/>
        <rFont val="WenQuanYi Zen Hei"/>
        <family val="2"/>
      </rPr>
      <t xml:space="preserve">최소 인원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하원 </t>
    </r>
    <r>
      <rPr>
        <sz val="10"/>
        <rFont val="Noto Sans CJK SC"/>
        <family val="2"/>
        <charset val="1"/>
      </rPr>
      <t xml:space="preserve">20</t>
    </r>
    <r>
      <rPr>
        <sz val="10"/>
        <rFont val="WenQuanYi Zen Hei"/>
        <family val="2"/>
      </rPr>
      <t xml:space="preserve">명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상원 </t>
    </r>
    <r>
      <rPr>
        <sz val="10"/>
        <rFont val="Noto Sans CJK SC"/>
        <family val="2"/>
        <charset val="1"/>
      </rPr>
      <t xml:space="preserve">6</t>
    </r>
    <r>
      <rPr>
        <sz val="10"/>
        <rFont val="WenQuanYi Zen Hei"/>
        <family val="2"/>
      </rPr>
      <t xml:space="preserve">명 등</t>
    </r>
    <r>
      <rPr>
        <sz val="10"/>
        <rFont val="Noto Sans CJK SC"/>
        <family val="2"/>
        <charset val="1"/>
      </rPr>
      <t xml:space="preserve">) </t>
    </r>
    <r>
      <rPr>
        <sz val="10"/>
        <rFont val="WenQuanYi Zen Hei"/>
        <family val="2"/>
      </rPr>
      <t xml:space="preserve">확인 필요</t>
    </r>
  </si>
  <si>
    <t xml:space="preserve">입법 절차</t>
  </si>
  <si>
    <r>
      <rPr>
        <sz val="10"/>
        <rFont val="WenQuanYi Zen Hei"/>
        <family val="2"/>
      </rPr>
      <t xml:space="preserve">정부 법안</t>
    </r>
    <r>
      <rPr>
        <sz val="10"/>
        <rFont val="Noto Sans CJK SC"/>
        <family val="2"/>
        <charset val="1"/>
      </rPr>
      <t xml:space="preserve">(disegno di legge)·</t>
    </r>
    <r>
      <rPr>
        <sz val="10"/>
        <rFont val="WenQuanYi Zen Hei"/>
        <family val="2"/>
      </rPr>
      <t xml:space="preserve">의원 발의</t>
    </r>
    <r>
      <rPr>
        <sz val="10"/>
        <rFont val="Noto Sans CJK SC"/>
        <family val="2"/>
        <charset val="1"/>
      </rPr>
      <t xml:space="preserve">(proposta di legge)·</t>
    </r>
    <r>
      <rPr>
        <sz val="10"/>
        <rFont val="WenQuanYi Zen Hei"/>
        <family val="2"/>
      </rPr>
      <t xml:space="preserve">국민 발의 → 위원회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본회의 → 양원 동일 문안 의결 → 대통령 공포</t>
    </r>
    <r>
      <rPr>
        <sz val="10"/>
        <rFont val="Noto Sans CJK SC"/>
        <family val="2"/>
        <charset val="1"/>
      </rPr>
      <t xml:space="preserve">(1</t>
    </r>
    <r>
      <rPr>
        <sz val="10"/>
        <rFont val="WenQuanYi Zen Hei"/>
        <family val="2"/>
      </rPr>
      <t xml:space="preserve">개월 내</t>
    </r>
    <r>
      <rPr>
        <sz val="10"/>
        <rFont val="Noto Sans CJK SC"/>
        <family val="2"/>
        <charset val="1"/>
      </rPr>
      <t xml:space="preserve">) → </t>
    </r>
    <r>
      <rPr>
        <sz val="10"/>
        <rFont val="WenQuanYi Zen Hei"/>
        <family val="2"/>
      </rPr>
      <t xml:space="preserve">관보</t>
    </r>
    <r>
      <rPr>
        <sz val="10"/>
        <rFont val="Noto Sans CJK SC"/>
        <family val="2"/>
        <charset val="1"/>
      </rPr>
      <t xml:space="preserve">(Gazzetta Ufficiale) </t>
    </r>
    <r>
      <rPr>
        <sz val="10"/>
        <rFont val="WenQuanYi Zen Hei"/>
        <family val="2"/>
      </rPr>
      <t xml:space="preserve">게재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</si>
  <si>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70~74</t>
    </r>
    <r>
      <rPr>
        <sz val="10"/>
        <rFont val="WenQuanYi Zen Hei"/>
        <family val="2"/>
      </rPr>
      <t xml:space="preserve">조</t>
    </r>
  </si>
  <si>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</t>
    </r>
  </si>
  <si>
    <t xml:space="preserve">disegno di legge, emendamento, commissione, promulgazione</t>
  </si>
  <si>
    <r>
      <rPr>
        <sz val="10"/>
        <rFont val="WenQuanYi Zen Hei"/>
        <family val="2"/>
      </rPr>
      <t xml:space="preserve">긴급 명령 </t>
    </r>
    <r>
      <rPr>
        <sz val="10"/>
        <rFont val="Noto Sans CJK SC"/>
        <family val="2"/>
        <charset val="1"/>
      </rPr>
      <t xml:space="preserve">(decreto-legge)</t>
    </r>
  </si>
  <si>
    <r>
      <rPr>
        <sz val="10"/>
        <rFont val="WenQuanYi Zen Hei"/>
        <family val="2"/>
      </rPr>
      <t xml:space="preserve">정부가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특별한 필요와 긴급성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이 있을 때 발령</t>
    </r>
    <r>
      <rPr>
        <sz val="10"/>
        <rFont val="Noto Sans CJK SC"/>
        <family val="2"/>
        <charset val="1"/>
      </rPr>
      <t xml:space="preserve">, 60</t>
    </r>
    <r>
      <rPr>
        <sz val="10"/>
        <rFont val="WenQuanYi Zen Hei"/>
        <family val="2"/>
      </rPr>
      <t xml:space="preserve">일 안에 의회가 법률로 전환</t>
    </r>
    <r>
      <rPr>
        <sz val="10"/>
        <rFont val="Noto Sans CJK SC"/>
        <family val="2"/>
        <charset val="1"/>
      </rPr>
      <t xml:space="preserve">(conversione)</t>
    </r>
    <r>
      <rPr>
        <sz val="10"/>
        <rFont val="WenQuanYi Zen Hei"/>
        <family val="2"/>
      </rPr>
      <t xml:space="preserve">하지 않으면 소급해 효력을 잃는다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세금 조치에도 쓰인다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Noto Sans CJK SC"/>
        <family val="2"/>
        <charset val="1"/>
      </rPr>
      <t xml:space="preserve">: 2023</t>
    </r>
    <r>
      <rPr>
        <sz val="10"/>
        <rFont val="WenQuanYi Zen Hei"/>
        <family val="2"/>
      </rPr>
      <t xml:space="preserve">년 은행 횡재세</t>
    </r>
    <r>
      <rPr>
        <sz val="10"/>
        <rFont val="Noto Sans CJK SC"/>
        <family val="2"/>
        <charset val="1"/>
      </rPr>
      <t xml:space="preserve">).</t>
    </r>
  </si>
  <si>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77</t>
    </r>
    <r>
      <rPr>
        <sz val="10"/>
        <rFont val="WenQuanYi Zen Hei"/>
        <family val="2"/>
      </rPr>
      <t xml:space="preserve">조</t>
    </r>
  </si>
  <si>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화</t>
    </r>
  </si>
  <si>
    <t xml:space="preserve">decreto-legge, conversione in legge, necessità e urgenza</t>
  </si>
  <si>
    <t xml:space="preserve">예산안</t>
  </si>
  <si>
    <r>
      <rPr>
        <sz val="10"/>
        <rFont val="WenQuanYi Zen Hei"/>
        <family val="2"/>
      </rPr>
      <t xml:space="preserve">정부는 매년 </t>
    </r>
    <r>
      <rPr>
        <sz val="10"/>
        <rFont val="Noto Sans CJK SC"/>
        <family val="2"/>
        <charset val="1"/>
      </rPr>
      <t xml:space="preserve">10</t>
    </r>
    <r>
      <rPr>
        <sz val="10"/>
        <rFont val="WenQuanYi Zen Hei"/>
        <family val="2"/>
      </rPr>
      <t xml:space="preserve">월 </t>
    </r>
    <r>
      <rPr>
        <sz val="10"/>
        <rFont val="Noto Sans CJK SC"/>
        <family val="2"/>
        <charset val="1"/>
      </rPr>
      <t xml:space="preserve">20</t>
    </r>
    <r>
      <rPr>
        <sz val="10"/>
        <rFont val="WenQuanYi Zen Hei"/>
        <family val="2"/>
      </rPr>
      <t xml:space="preserve">일까지 예산안</t>
    </r>
    <r>
      <rPr>
        <sz val="10"/>
        <rFont val="Noto Sans CJK SC"/>
        <family val="2"/>
        <charset val="1"/>
      </rPr>
      <t xml:space="preserve">(legge di bilancio)</t>
    </r>
    <r>
      <rPr>
        <sz val="10"/>
        <rFont val="WenQuanYi Zen Hei"/>
        <family val="2"/>
      </rPr>
      <t xml:space="preserve">을 의회에 제출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연말까지 통과시켜야 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못 하면 법률로 최대 </t>
    </r>
    <r>
      <rPr>
        <sz val="10"/>
        <rFont val="Noto Sans CJK SC"/>
        <family val="2"/>
        <charset val="1"/>
      </rPr>
      <t xml:space="preserve">4</t>
    </r>
    <r>
      <rPr>
        <sz val="10"/>
        <rFont val="WenQuanYi Zen Hei"/>
        <family val="2"/>
      </rPr>
      <t xml:space="preserve">개월 잠정 집행</t>
    </r>
    <r>
      <rPr>
        <sz val="10"/>
        <rFont val="Noto Sans CJK SC"/>
        <family val="2"/>
        <charset val="1"/>
      </rPr>
      <t xml:space="preserve">(esercizio provvisorio). </t>
    </r>
    <r>
      <rPr>
        <sz val="10"/>
        <rFont val="WenQuanYi Zen Hei"/>
        <family val="2"/>
      </rPr>
      <t xml:space="preserve">헌법은 균형 재정 원칙을 둔다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</si>
  <si>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81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, legge 196/2009</t>
    </r>
  </si>
  <si>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11~12</t>
    </r>
    <r>
      <rPr>
        <sz val="10"/>
        <rFont val="WenQuanYi Zen Hei"/>
        <family val="2"/>
      </rPr>
      <t xml:space="preserve">화</t>
    </r>
  </si>
  <si>
    <t xml:space="preserve">legge di bilancio, esercizio provvisorio, pareggio di bilancio</t>
  </si>
  <si>
    <t xml:space="preserve">의원 특권</t>
  </si>
  <si>
    <r>
      <rPr>
        <sz val="10"/>
        <rFont val="WenQuanYi Zen Hei"/>
        <family val="2"/>
      </rPr>
      <t xml:space="preserve">의원은 직무상 표결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발언에 면책되고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체포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수색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감청에는 소속 원의 허가가 필요하다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</si>
  <si>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68</t>
    </r>
    <r>
      <rPr>
        <sz val="10"/>
        <rFont val="WenQuanYi Zen Hei"/>
        <family val="2"/>
      </rPr>
      <t xml:space="preserve">조</t>
    </r>
  </si>
  <si>
    <t xml:space="preserve">insindacabilità, autorizzazione a procedere</t>
  </si>
  <si>
    <t xml:space="preserve">조사위원회</t>
  </si>
  <si>
    <r>
      <rPr>
        <sz val="10"/>
        <rFont val="WenQuanYi Zen Hei"/>
        <family val="2"/>
      </rPr>
      <t xml:space="preserve">각 원은 공익 사안에 대해 사법기관과 같은 권한을 가진 조사위원회를 설치할 수 있다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</si>
  <si>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82</t>
    </r>
    <r>
      <rPr>
        <sz val="10"/>
        <rFont val="WenQuanYi Zen Hei"/>
        <family val="2"/>
      </rPr>
      <t xml:space="preserve">조</t>
    </r>
  </si>
  <si>
    <r>
      <rPr>
        <sz val="10"/>
        <rFont val="Arial"/>
        <family val="0"/>
        <charset val="1"/>
      </rPr>
      <t xml:space="preserve">9~12</t>
    </r>
    <r>
      <rPr>
        <sz val="10"/>
        <rFont val="WenQuanYi Zen Hei"/>
        <family val="2"/>
      </rPr>
      <t xml:space="preserve">부</t>
    </r>
  </si>
  <si>
    <t xml:space="preserve">commissione d'inchiesta, audizione</t>
  </si>
  <si>
    <t xml:space="preserve">정부</t>
  </si>
  <si>
    <t xml:space="preserve">정부 구성</t>
  </si>
  <si>
    <r>
      <rPr>
        <sz val="10"/>
        <rFont val="WenQuanYi Zen Hei"/>
        <family val="2"/>
      </rPr>
      <t xml:space="preserve">대통령이 정당 대표 등과 협의</t>
    </r>
    <r>
      <rPr>
        <sz val="10"/>
        <rFont val="Noto Sans CJK SC"/>
        <family val="2"/>
        <charset val="1"/>
      </rPr>
      <t xml:space="preserve">(consultazioni) → </t>
    </r>
    <r>
      <rPr>
        <sz val="10"/>
        <rFont val="WenQuanYi Zen Hei"/>
        <family val="2"/>
      </rPr>
      <t xml:space="preserve">총리 후보에게 조각 위임</t>
    </r>
    <r>
      <rPr>
        <sz val="10"/>
        <rFont val="Noto Sans CJK SC"/>
        <family val="2"/>
        <charset val="1"/>
      </rPr>
      <t xml:space="preserve">(incarico) → </t>
    </r>
    <r>
      <rPr>
        <sz val="10"/>
        <rFont val="WenQuanYi Zen Hei"/>
        <family val="2"/>
      </rPr>
      <t xml:space="preserve">후보가 장관 명단 제출 → 대통령이 임명 → </t>
    </r>
    <r>
      <rPr>
        <sz val="10"/>
        <rFont val="Noto Sans CJK SC"/>
        <family val="2"/>
        <charset val="1"/>
      </rPr>
      <t xml:space="preserve">Quirinale</t>
    </r>
    <r>
      <rPr>
        <sz val="10"/>
        <rFont val="WenQuanYi Zen Hei"/>
        <family val="2"/>
      </rPr>
      <t xml:space="preserve">에서 선서</t>
    </r>
    <r>
      <rPr>
        <sz val="10"/>
        <rFont val="Noto Sans CJK SC"/>
        <family val="2"/>
        <charset val="1"/>
      </rPr>
      <t xml:space="preserve">(giuramento) → 10</t>
    </r>
    <r>
      <rPr>
        <sz val="10"/>
        <rFont val="WenQuanYi Zen Hei"/>
        <family val="2"/>
      </rPr>
      <t xml:space="preserve">일 안에 양원 각각 신임</t>
    </r>
    <r>
      <rPr>
        <sz val="10"/>
        <rFont val="Noto Sans CJK SC"/>
        <family val="2"/>
        <charset val="1"/>
      </rPr>
      <t xml:space="preserve">(fiducia). </t>
    </r>
    <r>
      <rPr>
        <sz val="10"/>
        <rFont val="WenQuanYi Zen Hei"/>
        <family val="2"/>
      </rPr>
      <t xml:space="preserve">다수가 불분명하면 대통령이 탐색 위임</t>
    </r>
    <r>
      <rPr>
        <sz val="10"/>
        <rFont val="Noto Sans CJK SC"/>
        <family val="2"/>
        <charset val="1"/>
      </rPr>
      <t xml:space="preserve">(mandato esplorativo)</t>
    </r>
    <r>
      <rPr>
        <sz val="10"/>
        <rFont val="WenQuanYi Zen Hei"/>
        <family val="2"/>
      </rPr>
      <t xml:space="preserve">을 주기도 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</si>
  <si>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92~94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헌정 관행</t>
    </r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</si>
  <si>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6~12</t>
    </r>
    <r>
      <rPr>
        <sz val="10"/>
        <rFont val="WenQuanYi Zen Hei"/>
        <family val="2"/>
      </rPr>
      <t xml:space="preserve">화</t>
    </r>
  </si>
  <si>
    <t xml:space="preserve">consultazioni, incarico, giuramento, fiducia, mandato esplorativo</t>
  </si>
  <si>
    <r>
      <rPr>
        <sz val="10"/>
        <rFont val="WenQuanYi Zen Hei"/>
        <family val="2"/>
      </rPr>
      <t xml:space="preserve">검색 확인 </t>
    </r>
    <r>
      <rPr>
        <sz val="10"/>
        <rFont val="Noto Sans CJK SC"/>
        <family val="2"/>
        <charset val="1"/>
      </rPr>
      <t xml:space="preserve">(2026-09-24) (1987</t>
    </r>
    <r>
      <rPr>
        <sz val="10"/>
        <rFont val="WenQuanYi Zen Hei"/>
        <family val="2"/>
      </rPr>
      <t xml:space="preserve">년</t>
    </r>
    <r>
      <rPr>
        <sz val="10"/>
        <rFont val="Noto Sans CJK SC"/>
        <family val="2"/>
        <charset val="1"/>
      </rPr>
      <t xml:space="preserve">·1972</t>
    </r>
    <r>
      <rPr>
        <sz val="10"/>
        <rFont val="WenQuanYi Zen Hei"/>
        <family val="2"/>
      </rPr>
      <t xml:space="preserve">년 등 신임 부결 선례 있음</t>
    </r>
    <r>
      <rPr>
        <sz val="10"/>
        <rFont val="Noto Sans CJK SC"/>
        <family val="2"/>
        <charset val="1"/>
      </rPr>
      <t xml:space="preserve">)</t>
    </r>
  </si>
  <si>
    <t xml:space="preserve">신임 투표 방식</t>
  </si>
  <si>
    <r>
      <rPr>
        <sz val="10"/>
        <rFont val="WenQuanYi Zen Hei"/>
        <family val="2"/>
      </rPr>
      <t xml:space="preserve">신임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불신임은 이유를 붙인 동의안으로 호명 투표</t>
    </r>
    <r>
      <rPr>
        <sz val="10"/>
        <rFont val="Noto Sans CJK SC"/>
        <family val="2"/>
        <charset val="1"/>
      </rPr>
      <t xml:space="preserve">(appello nominale). </t>
    </r>
    <r>
      <rPr>
        <sz val="10"/>
        <rFont val="WenQuanYi Zen Hei"/>
        <family val="2"/>
      </rPr>
      <t xml:space="preserve">찬성이 반대보다 많으면 가결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단순다수</t>
    </r>
    <r>
      <rPr>
        <sz val="10"/>
        <rFont val="Noto Sans CJK SC"/>
        <family val="2"/>
        <charset val="1"/>
      </rPr>
      <t xml:space="preserve">). </t>
    </r>
    <r>
      <rPr>
        <sz val="10"/>
        <rFont val="WenQuanYi Zen Hei"/>
        <family val="2"/>
      </rPr>
      <t xml:space="preserve">종신 상원의원도 투표권이 있다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</si>
  <si>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59·94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양원 의사규칙</t>
    </r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</si>
  <si>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화</t>
    </r>
  </si>
  <si>
    <t xml:space="preserve">appello nominale, maggioranza semplice, senatore a vita</t>
  </si>
  <si>
    <r>
      <rPr>
        <sz val="10"/>
        <rFont val="WenQuanYi Zen Hei"/>
        <family val="2"/>
      </rPr>
      <t xml:space="preserve">상원 기권 산정 방식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규칙 개정</t>
    </r>
    <r>
      <rPr>
        <sz val="10"/>
        <rFont val="Noto Sans CJK SC"/>
        <family val="2"/>
        <charset val="1"/>
      </rPr>
      <t xml:space="preserve">) </t>
    </r>
    <r>
      <rPr>
        <sz val="10"/>
        <rFont val="WenQuanYi Zen Hei"/>
        <family val="2"/>
      </rPr>
      <t xml:space="preserve">확인 필요</t>
    </r>
  </si>
  <si>
    <t xml:space="preserve">취임과 내각</t>
  </si>
  <si>
    <r>
      <rPr>
        <sz val="10"/>
        <rFont val="WenQuanYi Zen Hei"/>
        <family val="2"/>
      </rPr>
      <t xml:space="preserve">총리</t>
    </r>
    <r>
      <rPr>
        <sz val="10"/>
        <rFont val="Noto Sans CJK SC"/>
        <family val="2"/>
        <charset val="1"/>
      </rPr>
      <t xml:space="preserve">(Presidente del Consiglio)</t>
    </r>
    <r>
      <rPr>
        <sz val="10"/>
        <rFont val="WenQuanYi Zen Hei"/>
        <family val="2"/>
      </rPr>
      <t xml:space="preserve">와 장관은 대통령 앞에서 선서한다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국무회의</t>
    </r>
    <r>
      <rPr>
        <sz val="10"/>
        <rFont val="Noto Sans CJK SC"/>
        <family val="2"/>
        <charset val="1"/>
      </rPr>
      <t xml:space="preserve">(Consiglio dei Ministri)</t>
    </r>
    <r>
      <rPr>
        <sz val="10"/>
        <rFont val="WenQuanYi Zen Hei"/>
        <family val="2"/>
      </rPr>
      <t xml:space="preserve">는 </t>
    </r>
    <r>
      <rPr>
        <sz val="10"/>
        <rFont val="Noto Sans CJK SC"/>
        <family val="2"/>
        <charset val="1"/>
      </rPr>
      <t xml:space="preserve">Palazzo Chigi</t>
    </r>
    <r>
      <rPr>
        <sz val="10"/>
        <rFont val="WenQuanYi Zen Hei"/>
        <family val="2"/>
      </rPr>
      <t xml:space="preserve">에서 열리며 요일은 고정되어 있지 않다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</si>
  <si>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93·95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, legge 400/1988</t>
    </r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</si>
  <si>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화</t>
    </r>
  </si>
  <si>
    <t xml:space="preserve">giuramento, Presidente del Consiglio, Consiglio dei Ministri</t>
  </si>
  <si>
    <t xml:space="preserve">총리실 직제</t>
  </si>
  <si>
    <r>
      <rPr>
        <sz val="10"/>
        <rFont val="WenQuanYi Zen Hei"/>
        <family val="2"/>
      </rPr>
      <t xml:space="preserve">총리실</t>
    </r>
    <r>
      <rPr>
        <sz val="10"/>
        <rFont val="Noto Sans CJK SC"/>
        <family val="2"/>
        <charset val="1"/>
      </rPr>
      <t xml:space="preserve">(Presidenza del Consiglio)</t>
    </r>
    <r>
      <rPr>
        <sz val="10"/>
        <rFont val="WenQuanYi Zen Hei"/>
        <family val="2"/>
      </rPr>
      <t xml:space="preserve">에 실장</t>
    </r>
    <r>
      <rPr>
        <sz val="10"/>
        <rFont val="Noto Sans CJK SC"/>
        <family val="2"/>
        <charset val="1"/>
      </rPr>
      <t xml:space="preserve">(Segretario generale), </t>
    </r>
    <r>
      <rPr>
        <sz val="10"/>
        <rFont val="WenQuanYi Zen Hei"/>
        <family val="2"/>
      </rPr>
      <t xml:space="preserve">국무차관</t>
    </r>
    <r>
      <rPr>
        <sz val="10"/>
        <rFont val="Noto Sans CJK SC"/>
        <family val="2"/>
        <charset val="1"/>
      </rPr>
      <t xml:space="preserve">(sottosegretario alla Presidenza), </t>
    </r>
    <r>
      <rPr>
        <sz val="10"/>
        <rFont val="WenQuanYi Zen Hei"/>
        <family val="2"/>
      </rPr>
      <t xml:space="preserve">대변인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정보기관 총괄</t>
    </r>
    <r>
      <rPr>
        <sz val="10"/>
        <rFont val="Noto Sans CJK SC"/>
        <family val="2"/>
        <charset val="1"/>
      </rPr>
      <t xml:space="preserve">(DIS) </t>
    </r>
    <r>
      <rPr>
        <sz val="10"/>
        <rFont val="WenQuanYi Zen Hei"/>
        <family val="2"/>
      </rPr>
      <t xml:space="preserve">위임 등</t>
    </r>
    <r>
      <rPr>
        <sz val="10"/>
        <rFont val="Noto Sans CJK SC"/>
        <family val="2"/>
        <charset val="1"/>
      </rPr>
      <t xml:space="preserve">.</t>
    </r>
  </si>
  <si>
    <t xml:space="preserve">legge 400/1988, d.lgs. 303/1999</t>
  </si>
  <si>
    <t xml:space="preserve">Presidenza del Consiglio, sottosegretario, portavoce</t>
  </si>
  <si>
    <t xml:space="preserve">불신임안</t>
  </si>
  <si>
    <r>
      <rPr>
        <sz val="10"/>
        <rFont val="WenQuanYi Zen Hei"/>
        <family val="2"/>
      </rPr>
      <t xml:space="preserve">의원 </t>
    </r>
    <r>
      <rPr>
        <sz val="10"/>
        <rFont val="Noto Sans CJK SC"/>
        <family val="2"/>
        <charset val="1"/>
      </rPr>
      <t xml:space="preserve">1/10 </t>
    </r>
    <r>
      <rPr>
        <sz val="10"/>
        <rFont val="WenQuanYi Zen Hei"/>
        <family val="2"/>
      </rPr>
      <t xml:space="preserve">이상 서명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제출 </t>
    </r>
    <r>
      <rPr>
        <sz val="10"/>
        <rFont val="Noto Sans CJK SC"/>
        <family val="2"/>
        <charset val="1"/>
      </rPr>
      <t xml:space="preserve">3</t>
    </r>
    <r>
      <rPr>
        <sz val="10"/>
        <rFont val="WenQuanYi Zen Hei"/>
        <family val="2"/>
      </rPr>
      <t xml:space="preserve">일 뒤부터 토론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호명 투표 단순다수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대안 총리 후보는 필요 없다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건설적 불신임 아님</t>
    </r>
    <r>
      <rPr>
        <sz val="10"/>
        <rFont val="Noto Sans CJK SC"/>
        <family val="2"/>
        <charset val="1"/>
      </rPr>
      <t xml:space="preserve">).</t>
    </r>
  </si>
  <si>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94</t>
    </r>
    <r>
      <rPr>
        <sz val="10"/>
        <rFont val="WenQuanYi Zen Hei"/>
        <family val="2"/>
      </rPr>
      <t xml:space="preserve">조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항</t>
    </r>
  </si>
  <si>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화</t>
    </r>
  </si>
  <si>
    <t xml:space="preserve">mozione di sfiducia, appello nominale</t>
  </si>
  <si>
    <t xml:space="preserve">해산</t>
  </si>
  <si>
    <r>
      <rPr>
        <sz val="10"/>
        <rFont val="WenQuanYi Zen Hei"/>
        <family val="2"/>
      </rPr>
      <t xml:space="preserve">대통령이 양원 의장의 의견을 들은 뒤 양원 또는 한 원을 해산한다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대통령 임기 마지막 </t>
    </r>
    <r>
      <rPr>
        <sz val="10"/>
        <rFont val="Noto Sans CJK SC"/>
        <family val="2"/>
        <charset val="1"/>
      </rPr>
      <t xml:space="preserve">6</t>
    </r>
    <r>
      <rPr>
        <sz val="10"/>
        <rFont val="WenQuanYi Zen Hei"/>
        <family val="2"/>
      </rPr>
      <t xml:space="preserve">개월에는 원칙적으로 불가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</si>
  <si>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88</t>
    </r>
    <r>
      <rPr>
        <sz val="10"/>
        <rFont val="WenQuanYi Zen Hei"/>
        <family val="2"/>
      </rPr>
      <t xml:space="preserve">조</t>
    </r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</si>
  <si>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1·9</t>
    </r>
    <r>
      <rPr>
        <sz val="10"/>
        <rFont val="WenQuanYi Zen Hei"/>
        <family val="2"/>
      </rPr>
      <t xml:space="preserve">화</t>
    </r>
  </si>
  <si>
    <t xml:space="preserve">scioglimento delle Camere, decreto, elezioni anticipate</t>
  </si>
  <si>
    <t xml:space="preserve">정부 구성원 이해충돌</t>
  </si>
  <si>
    <r>
      <rPr>
        <sz val="10"/>
        <rFont val="WenQuanYi Zen Hei"/>
        <family val="2"/>
      </rPr>
      <t xml:space="preserve">총리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장관 등은 겸직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민간 활동이 제한되며 </t>
    </r>
    <r>
      <rPr>
        <sz val="10"/>
        <rFont val="Noto Sans CJK SC"/>
        <family val="2"/>
        <charset val="1"/>
      </rPr>
      <t xml:space="preserve">AGCM </t>
    </r>
    <r>
      <rPr>
        <sz val="10"/>
        <rFont val="WenQuanYi Zen Hei"/>
        <family val="2"/>
      </rPr>
      <t xml:space="preserve">등이 이해충돌을 감독한다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공직 간 겸직 불가 규정도 따로 있다</t>
    </r>
    <r>
      <rPr>
        <sz val="10"/>
        <rFont val="Noto Sans CJK SC"/>
        <family val="2"/>
        <charset val="1"/>
      </rPr>
      <t xml:space="preserve">.</t>
    </r>
  </si>
  <si>
    <t xml:space="preserve">legge 215/2004, d.lgs. 39/2013</t>
  </si>
  <si>
    <r>
      <rPr>
        <sz val="10"/>
        <rFont val="Arial"/>
        <family val="0"/>
        <charset val="1"/>
      </rPr>
      <t xml:space="preserve">13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1·4</t>
    </r>
    <r>
      <rPr>
        <sz val="10"/>
        <rFont val="WenQuanYi Zen Hei"/>
        <family val="2"/>
      </rPr>
      <t xml:space="preserve">화</t>
    </r>
  </si>
  <si>
    <t xml:space="preserve">conflitto di interessi, incompatibilità</t>
  </si>
  <si>
    <t xml:space="preserve">영토</t>
  </si>
  <si>
    <t xml:space="preserve">국가–주 권한 배분</t>
  </si>
  <si>
    <r>
      <rPr>
        <sz val="10"/>
        <rFont val="WenQuanYi Zen Hei"/>
        <family val="2"/>
      </rPr>
      <t xml:space="preserve">국가 전속 권한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공동 입법 권한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보건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도시계획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에너지 등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국가가 기본 원칙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주의 잔여 권한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관광 등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으로 나뉜다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병원 운영은 주 보건서비스</t>
    </r>
    <r>
      <rPr>
        <sz val="10"/>
        <rFont val="Noto Sans CJK SC"/>
        <family val="2"/>
        <charset val="1"/>
      </rPr>
      <t xml:space="preserve">(SSR)</t>
    </r>
    <r>
      <rPr>
        <sz val="10"/>
        <rFont val="WenQuanYi Zen Hei"/>
        <family val="2"/>
      </rPr>
      <t xml:space="preserve">와 </t>
    </r>
    <r>
      <rPr>
        <sz val="10"/>
        <rFont val="Noto Sans CJK SC"/>
        <family val="2"/>
        <charset val="1"/>
      </rPr>
      <t xml:space="preserve">ASL</t>
    </r>
    <r>
      <rPr>
        <sz val="10"/>
        <rFont val="WenQuanYi Zen Hei"/>
        <family val="2"/>
      </rPr>
      <t xml:space="preserve">이 맡는다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</si>
  <si>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117</t>
    </r>
    <r>
      <rPr>
        <sz val="10"/>
        <rFont val="WenQuanYi Zen Hei"/>
        <family val="2"/>
      </rPr>
      <t xml:space="preserve">조</t>
    </r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</si>
  <si>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3~5</t>
    </r>
    <r>
      <rPr>
        <sz val="10"/>
        <rFont val="WenQuanYi Zen Hei"/>
        <family val="2"/>
      </rPr>
      <t xml:space="preserve">화</t>
    </r>
  </si>
  <si>
    <t xml:space="preserve">competenza concorrente, competenza esclusiva, Regione, ASL</t>
  </si>
  <si>
    <t xml:space="preserve">라치오 주</t>
  </si>
  <si>
    <r>
      <rPr>
        <sz val="10"/>
        <rFont val="WenQuanYi Zen Hei"/>
        <family val="2"/>
      </rPr>
      <t xml:space="preserve">주지사</t>
    </r>
    <r>
      <rPr>
        <sz val="10"/>
        <rFont val="Noto Sans CJK SC"/>
        <family val="2"/>
        <charset val="1"/>
      </rPr>
      <t xml:space="preserve">(Presidente della Regione)</t>
    </r>
    <r>
      <rPr>
        <sz val="10"/>
        <rFont val="WenQuanYi Zen Hei"/>
        <family val="2"/>
      </rPr>
      <t xml:space="preserve">와 주정부</t>
    </r>
    <r>
      <rPr>
        <sz val="10"/>
        <rFont val="Noto Sans CJK SC"/>
        <family val="2"/>
        <charset val="1"/>
      </rPr>
      <t xml:space="preserve">(Giunta), </t>
    </r>
    <r>
      <rPr>
        <sz val="10"/>
        <rFont val="WenQuanYi Zen Hei"/>
        <family val="2"/>
      </rPr>
      <t xml:space="preserve">주의회</t>
    </r>
    <r>
      <rPr>
        <sz val="10"/>
        <rFont val="Noto Sans CJK SC"/>
        <family val="2"/>
        <charset val="1"/>
      </rPr>
      <t xml:space="preserve">(Consiglio regionale, Via della Pisana). </t>
    </r>
    <r>
      <rPr>
        <sz val="10"/>
        <rFont val="WenQuanYi Zen Hei"/>
        <family val="2"/>
      </rPr>
      <t xml:space="preserve">주 보건서비스를 운영한다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</si>
  <si>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라치오 주 헌장</t>
    </r>
    <r>
      <rPr>
        <sz val="10"/>
        <rFont val="Arial"/>
        <family val="0"/>
        <charset val="1"/>
      </rPr>
      <t xml:space="preserve">(Statuto)</t>
    </r>
  </si>
  <si>
    <t xml:space="preserve">Consiglio regionale, Giunta, assessore</t>
  </si>
  <si>
    <t xml:space="preserve">협의체</t>
  </si>
  <si>
    <r>
      <rPr>
        <sz val="10"/>
        <rFont val="WenQuanYi Zen Hei"/>
        <family val="2"/>
      </rPr>
      <t xml:space="preserve">국가–주 조정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국가–주 협의회</t>
    </r>
    <r>
      <rPr>
        <sz val="10"/>
        <rFont val="Noto Sans CJK SC"/>
        <family val="2"/>
        <charset val="1"/>
      </rPr>
      <t xml:space="preserve">(Conferenza Stato-Regioni), </t>
    </r>
    <r>
      <rPr>
        <sz val="10"/>
        <rFont val="WenQuanYi Zen Hei"/>
        <family val="2"/>
      </rPr>
      <t xml:space="preserve">국가–지자체 통합 협의회</t>
    </r>
    <r>
      <rPr>
        <sz val="10"/>
        <rFont val="Noto Sans CJK SC"/>
        <family val="2"/>
        <charset val="1"/>
      </rPr>
      <t xml:space="preserve">(Conferenza Unificata), </t>
    </r>
    <r>
      <rPr>
        <sz val="10"/>
        <rFont val="WenQuanYi Zen Hei"/>
        <family val="2"/>
      </rPr>
      <t xml:space="preserve">보건 협약</t>
    </r>
    <r>
      <rPr>
        <sz val="10"/>
        <rFont val="Noto Sans CJK SC"/>
        <family val="2"/>
        <charset val="1"/>
      </rPr>
      <t xml:space="preserve">(Patto per la Salute), </t>
    </r>
    <r>
      <rPr>
        <sz val="10"/>
        <rFont val="WenQuanYi Zen Hei"/>
        <family val="2"/>
      </rPr>
      <t xml:space="preserve">국가 보건기금 배분</t>
    </r>
    <r>
      <rPr>
        <sz val="10"/>
        <rFont val="Noto Sans CJK SC"/>
        <family val="2"/>
        <charset val="1"/>
      </rPr>
      <t xml:space="preserve">.</t>
    </r>
  </si>
  <si>
    <t xml:space="preserve">d.lgs. 281/1997</t>
  </si>
  <si>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3~5</t>
    </r>
    <r>
      <rPr>
        <sz val="10"/>
        <rFont val="WenQuanYi Zen Hei"/>
        <family val="2"/>
      </rPr>
      <t xml:space="preserve">화</t>
    </r>
  </si>
  <si>
    <t xml:space="preserve">Conferenza Stato-Regioni, intesa, riparto</t>
  </si>
  <si>
    <r>
      <rPr>
        <sz val="10"/>
        <rFont val="WenQuanYi Zen Hei"/>
        <family val="2"/>
      </rPr>
      <t xml:space="preserve">로마 수도</t>
    </r>
    <r>
      <rPr>
        <sz val="10"/>
        <rFont val="Noto Sans CJK SC"/>
        <family val="2"/>
        <charset val="1"/>
      </rPr>
      <t xml:space="preserve">(Roma Capitale)</t>
    </r>
  </si>
  <si>
    <r>
      <rPr>
        <sz val="10"/>
        <rFont val="WenQuanYi Zen Hei"/>
        <family val="2"/>
      </rPr>
      <t xml:space="preserve">시장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시정부</t>
    </r>
    <r>
      <rPr>
        <sz val="10"/>
        <rFont val="Noto Sans CJK SC"/>
        <family val="2"/>
        <charset val="1"/>
      </rPr>
      <t xml:space="preserve">(Giunta)·Assemblea Capitolina, 15</t>
    </r>
    <r>
      <rPr>
        <sz val="10"/>
        <rFont val="WenQuanYi Zen Hei"/>
        <family val="2"/>
      </rPr>
      <t xml:space="preserve">개 구</t>
    </r>
    <r>
      <rPr>
        <sz val="10"/>
        <rFont val="Noto Sans CJK SC"/>
        <family val="2"/>
        <charset val="1"/>
      </rPr>
      <t xml:space="preserve">(Municipi). </t>
    </r>
    <r>
      <rPr>
        <sz val="10"/>
        <rFont val="WenQuanYi Zen Hei"/>
        <family val="2"/>
      </rPr>
      <t xml:space="preserve">수도로서 특별 권한 확대 논의가 계속된다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시 산하 기업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기관 계약은 공공계약법 적용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</si>
  <si>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TUEL, legge 42/2009 </t>
    </r>
    <r>
      <rPr>
        <sz val="10"/>
        <rFont val="WenQuanYi Zen Hei"/>
        <family val="2"/>
      </rPr>
      <t xml:space="preserve">제</t>
    </r>
    <r>
      <rPr>
        <sz val="10"/>
        <rFont val="Arial"/>
        <family val="0"/>
        <charset val="1"/>
      </rPr>
      <t xml:space="preserve">24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, d.lgs. 36/2023</t>
    </r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</si>
  <si>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부</t>
    </r>
  </si>
  <si>
    <t xml:space="preserve">Assemblea Capitolina, Giunta, Municipio, gara</t>
  </si>
  <si>
    <t xml:space="preserve">차등 자치</t>
  </si>
  <si>
    <r>
      <rPr>
        <sz val="10"/>
        <rFont val="WenQuanYi Zen Hei"/>
        <family val="2"/>
      </rPr>
      <t xml:space="preserve">주가 추가 권한을 국가와 협약으로 가져올 수 있다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시행법</t>
    </r>
    <r>
      <rPr>
        <sz val="10"/>
        <rFont val="Noto Sans CJK SC"/>
        <family val="2"/>
        <charset val="1"/>
      </rPr>
      <t xml:space="preserve">(2024)</t>
    </r>
    <r>
      <rPr>
        <sz val="10"/>
        <rFont val="WenQuanYi Zen Hei"/>
        <family val="2"/>
      </rPr>
      <t xml:space="preserve">은 헌법재판소에서 일부 위헌 판단을 받았고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필수 급부 수준</t>
    </r>
    <r>
      <rPr>
        <sz val="10"/>
        <rFont val="Noto Sans CJK SC"/>
        <family val="2"/>
        <charset val="1"/>
      </rPr>
      <t xml:space="preserve">(LEP) </t>
    </r>
    <r>
      <rPr>
        <sz val="10"/>
        <rFont val="WenQuanYi Zen Hei"/>
        <family val="2"/>
      </rPr>
      <t xml:space="preserve">설정이 쟁점이다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</si>
  <si>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116</t>
    </r>
    <r>
      <rPr>
        <sz val="10"/>
        <rFont val="WenQuanYi Zen Hei"/>
        <family val="2"/>
      </rPr>
      <t xml:space="preserve">조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항</t>
    </r>
    <r>
      <rPr>
        <sz val="10"/>
        <rFont val="Arial"/>
        <family val="0"/>
        <charset val="1"/>
      </rPr>
      <t xml:space="preserve">, legge 86/2024, </t>
    </r>
    <r>
      <rPr>
        <sz val="10"/>
        <rFont val="WenQuanYi Zen Hei"/>
        <family val="2"/>
      </rPr>
      <t xml:space="preserve">헌법재판소 </t>
    </r>
    <r>
      <rPr>
        <sz val="10"/>
        <rFont val="Arial"/>
        <family val="0"/>
        <charset val="1"/>
      </rPr>
      <t xml:space="preserve">2024</t>
    </r>
    <r>
      <rPr>
        <sz val="10"/>
        <rFont val="WenQuanYi Zen Hei"/>
        <family val="2"/>
      </rPr>
      <t xml:space="preserve">년 판결 </t>
    </r>
    <r>
      <rPr>
        <sz val="10"/>
        <rFont val="Arial"/>
        <family val="0"/>
        <charset val="1"/>
      </rPr>
      <t xml:space="preserve">192</t>
    </r>
    <r>
      <rPr>
        <sz val="10"/>
        <rFont val="WenQuanYi Zen Hei"/>
        <family val="2"/>
      </rPr>
      <t xml:space="preserve">호</t>
    </r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</si>
  <si>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화</t>
    </r>
  </si>
  <si>
    <t xml:space="preserve">autonomia differenziata, LEP, intesa</t>
  </si>
  <si>
    <t xml:space="preserve">최신 입법 상황 확인 필요</t>
  </si>
  <si>
    <r>
      <rPr>
        <b val="true"/>
        <sz val="10"/>
        <rFont val="WenQuanYi Zen Hei"/>
        <family val="2"/>
      </rPr>
      <t xml:space="preserve">사법</t>
    </r>
    <r>
      <rPr>
        <b val="true"/>
        <sz val="10"/>
        <rFont val="Noto Sans CJK SC"/>
        <family val="2"/>
        <charset val="1"/>
      </rPr>
      <t xml:space="preserve">·</t>
    </r>
    <r>
      <rPr>
        <b val="true"/>
        <sz val="10"/>
        <rFont val="WenQuanYi Zen Hei"/>
        <family val="2"/>
      </rPr>
      <t xml:space="preserve">통제</t>
    </r>
  </si>
  <si>
    <t xml:space="preserve">헌법재판소</t>
  </si>
  <si>
    <r>
      <rPr>
        <sz val="10"/>
        <rFont val="WenQuanYi Zen Hei"/>
        <family val="2"/>
      </rPr>
      <t xml:space="preserve">법률의 위헌 여부를 판단한다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국가는 주 법률을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주는 국가 법률을 공표 </t>
    </r>
    <r>
      <rPr>
        <sz val="10"/>
        <rFont val="Noto Sans CJK SC"/>
        <family val="2"/>
        <charset val="1"/>
      </rPr>
      <t xml:space="preserve">60</t>
    </r>
    <r>
      <rPr>
        <sz val="10"/>
        <rFont val="WenQuanYi Zen Hei"/>
        <family val="2"/>
      </rPr>
      <t xml:space="preserve">일 안에 직접 제소할 수 있다</t>
    </r>
    <r>
      <rPr>
        <sz val="10"/>
        <rFont val="Noto Sans CJK SC"/>
        <family val="2"/>
        <charset val="1"/>
      </rPr>
      <t xml:space="preserve">(ricorso in via principale). </t>
    </r>
    <r>
      <rPr>
        <sz val="10"/>
        <rFont val="WenQuanYi Zen Hei"/>
        <family val="2"/>
      </rPr>
      <t xml:space="preserve">국가 기관 간 권한 다툼은 </t>
    </r>
    <r>
      <rPr>
        <sz val="10"/>
        <rFont val="Noto Sans CJK SC"/>
        <family val="2"/>
        <charset val="1"/>
      </rPr>
      <t xml:space="preserve">conflitto di attribuzione.</t>
    </r>
  </si>
  <si>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127·134</t>
    </r>
    <r>
      <rPr>
        <sz val="10"/>
        <rFont val="WenQuanYi Zen Hei"/>
        <family val="2"/>
      </rPr>
      <t xml:space="preserve">조</t>
    </r>
  </si>
  <si>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3·5</t>
    </r>
    <r>
      <rPr>
        <sz val="10"/>
        <rFont val="WenQuanYi Zen Hei"/>
        <family val="2"/>
      </rPr>
      <t xml:space="preserve">화</t>
    </r>
  </si>
  <si>
    <t xml:space="preserve">Corte costituzionale, ricorso in via principale, conflitto di attribuzione</t>
  </si>
  <si>
    <r>
      <rPr>
        <sz val="10"/>
        <rFont val="WenQuanYi Zen Hei"/>
        <family val="2"/>
      </rPr>
      <t xml:space="preserve">검찰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반부패</t>
    </r>
  </si>
  <si>
    <r>
      <rPr>
        <sz val="10"/>
        <rFont val="WenQuanYi Zen Hei"/>
        <family val="2"/>
      </rPr>
      <t xml:space="preserve">검사는 기소 의무를 진다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시민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단체는 고발</t>
    </r>
    <r>
      <rPr>
        <sz val="10"/>
        <rFont val="Noto Sans CJK SC"/>
        <family val="2"/>
        <charset val="1"/>
      </rPr>
      <t xml:space="preserve">(esposto·denuncia)</t>
    </r>
    <r>
      <rPr>
        <sz val="10"/>
        <rFont val="WenQuanYi Zen Hei"/>
        <family val="2"/>
      </rPr>
      <t xml:space="preserve">할 수 있고 피해자는 민사 당사자</t>
    </r>
    <r>
      <rPr>
        <sz val="10"/>
        <rFont val="Noto Sans CJK SC"/>
        <family val="2"/>
        <charset val="1"/>
      </rPr>
      <t xml:space="preserve">(parte civile)</t>
    </r>
    <r>
      <rPr>
        <sz val="10"/>
        <rFont val="WenQuanYi Zen Hei"/>
        <family val="2"/>
      </rPr>
      <t xml:space="preserve">로 재판에 참여한다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부패 예방은 </t>
    </r>
    <r>
      <rPr>
        <sz val="10"/>
        <rFont val="Noto Sans CJK SC"/>
        <family val="2"/>
        <charset val="1"/>
      </rPr>
      <t xml:space="preserve">ANAC, </t>
    </r>
    <r>
      <rPr>
        <sz val="10"/>
        <rFont val="WenQuanYi Zen Hei"/>
        <family val="2"/>
      </rPr>
      <t xml:space="preserve">재정 손해는 감사원</t>
    </r>
    <r>
      <rPr>
        <sz val="10"/>
        <rFont val="Noto Sans CJK SC"/>
        <family val="2"/>
        <charset val="1"/>
      </rPr>
      <t xml:space="preserve">(Corte dei conti).</t>
    </r>
  </si>
  <si>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112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형사소송법</t>
    </r>
  </si>
  <si>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, 9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화</t>
    </r>
  </si>
  <si>
    <t xml:space="preserve">내부고발자 보호</t>
  </si>
  <si>
    <r>
      <rPr>
        <sz val="10"/>
        <rFont val="WenQuanYi Zen Hei"/>
        <family val="2"/>
      </rPr>
      <t xml:space="preserve">위반을 신고한 사람을 보복에서 보호하고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내부 채널</t>
    </r>
    <r>
      <rPr>
        <sz val="10"/>
        <rFont val="Noto Sans CJK SC"/>
        <family val="2"/>
        <charset val="1"/>
      </rPr>
      <t xml:space="preserve">·ANAC </t>
    </r>
    <r>
      <rPr>
        <sz val="10"/>
        <rFont val="WenQuanYi Zen Hei"/>
        <family val="2"/>
      </rPr>
      <t xml:space="preserve">외부 채널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공개의 단계를 둔다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</si>
  <si>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d.lgs. 24/2023 (EU </t>
    </r>
    <r>
      <rPr>
        <sz val="10"/>
        <rFont val="WenQuanYi Zen Hei"/>
        <family val="2"/>
      </rPr>
      <t xml:space="preserve">지침 이행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</si>
  <si>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, 9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화</t>
    </r>
  </si>
  <si>
    <t xml:space="preserve">whistleblower, segnalazione, ritorsione, ANAC</t>
  </si>
  <si>
    <t xml:space="preserve">사용할 수 없는 증거</t>
  </si>
  <si>
    <r>
      <rPr>
        <sz val="10"/>
        <rFont val="WenQuanYi Zen Hei"/>
        <family val="2"/>
      </rPr>
      <t xml:space="preserve">법이 금지한 방식으로 얻은 증거는 쓸 수 없다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감청은 예비수사판사</t>
    </r>
    <r>
      <rPr>
        <sz val="10"/>
        <rFont val="Noto Sans CJK SC"/>
        <family val="2"/>
        <charset val="1"/>
      </rPr>
      <t xml:space="preserve">(GIP)</t>
    </r>
    <r>
      <rPr>
        <sz val="10"/>
        <rFont val="WenQuanYi Zen Hei"/>
        <family val="2"/>
      </rPr>
      <t xml:space="preserve">의 허가가 필요하다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</si>
  <si>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형사소송법 제</t>
    </r>
    <r>
      <rPr>
        <sz val="10"/>
        <rFont val="Arial"/>
        <family val="0"/>
        <charset val="1"/>
      </rPr>
      <t xml:space="preserve">191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제</t>
    </r>
    <r>
      <rPr>
        <sz val="10"/>
        <rFont val="Arial"/>
        <family val="0"/>
        <charset val="1"/>
      </rPr>
      <t xml:space="preserve">266</t>
    </r>
    <r>
      <rPr>
        <sz val="10"/>
        <rFont val="WenQuanYi Zen Hei"/>
        <family val="2"/>
      </rPr>
      <t xml:space="preserve">조 이하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조</t>
    </r>
  </si>
  <si>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화</t>
    </r>
  </si>
  <si>
    <t xml:space="preserve">prove inutilizzabili, intercettazione, autorizzazione del GIP</t>
  </si>
  <si>
    <t xml:space="preserve">정보기관 통제</t>
  </si>
  <si>
    <r>
      <rPr>
        <sz val="10"/>
        <rFont val="WenQuanYi Zen Hei"/>
        <family val="2"/>
      </rPr>
      <t xml:space="preserve">정보기관은 </t>
    </r>
    <r>
      <rPr>
        <sz val="10"/>
        <rFont val="Noto Sans CJK SC"/>
        <family val="2"/>
        <charset val="1"/>
      </rPr>
      <t xml:space="preserve">DIS(</t>
    </r>
    <r>
      <rPr>
        <sz val="10"/>
        <rFont val="WenQuanYi Zen Hei"/>
        <family val="2"/>
      </rPr>
      <t xml:space="preserve">총괄</t>
    </r>
    <r>
      <rPr>
        <sz val="10"/>
        <rFont val="Noto Sans CJK SC"/>
        <family val="2"/>
        <charset val="1"/>
      </rPr>
      <t xml:space="preserve">)·AISE(</t>
    </r>
    <r>
      <rPr>
        <sz val="10"/>
        <rFont val="WenQuanYi Zen Hei"/>
        <family val="2"/>
      </rPr>
      <t xml:space="preserve">대외</t>
    </r>
    <r>
      <rPr>
        <sz val="10"/>
        <rFont val="Noto Sans CJK SC"/>
        <family val="2"/>
        <charset val="1"/>
      </rPr>
      <t xml:space="preserve">)·AISI(</t>
    </r>
    <r>
      <rPr>
        <sz val="10"/>
        <rFont val="WenQuanYi Zen Hei"/>
        <family val="2"/>
      </rPr>
      <t xml:space="preserve">대내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로 구성되며 총리 책임 아래 있고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의회 정보위원회</t>
    </r>
    <r>
      <rPr>
        <sz val="10"/>
        <rFont val="Noto Sans CJK SC"/>
        <family val="2"/>
        <charset val="1"/>
      </rPr>
      <t xml:space="preserve">(COPASIR)</t>
    </r>
    <r>
      <rPr>
        <sz val="10"/>
        <rFont val="WenQuanYi Zen Hei"/>
        <family val="2"/>
      </rPr>
      <t xml:space="preserve">가 감독한다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국가 기밀 규정도 같은 법에 있다</t>
    </r>
    <r>
      <rPr>
        <sz val="10"/>
        <rFont val="Noto Sans CJK SC"/>
        <family val="2"/>
        <charset val="1"/>
      </rPr>
      <t xml:space="preserve">.</t>
    </r>
  </si>
  <si>
    <t xml:space="preserve">legge 124/2007</t>
  </si>
  <si>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화</t>
    </r>
  </si>
  <si>
    <t xml:space="preserve">servizi segreti, COPASIR, segreto di Stato</t>
  </si>
  <si>
    <r>
      <rPr>
        <sz val="10"/>
        <rFont val="Noto Sans CJK SC"/>
        <family val="2"/>
        <charset val="1"/>
      </rPr>
      <t xml:space="preserve">EU </t>
    </r>
    <r>
      <rPr>
        <sz val="10"/>
        <rFont val="WenQuanYi Zen Hei"/>
        <family val="2"/>
      </rPr>
      <t xml:space="preserve">재정 규칙</t>
    </r>
  </si>
  <si>
    <r>
      <rPr>
        <sz val="10"/>
        <rFont val="Noto Sans CJK SC"/>
        <family val="2"/>
        <charset val="1"/>
      </rPr>
      <t xml:space="preserve">2024</t>
    </r>
    <r>
      <rPr>
        <sz val="10"/>
        <rFont val="WenQuanYi Zen Hei"/>
        <family val="2"/>
      </rPr>
      <t xml:space="preserve">년 개정 규칙에 따라 중기 재정구조계획과 순지출 경로를 제출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협의한다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이탈리아는 </t>
    </r>
    <r>
      <rPr>
        <sz val="10"/>
        <rFont val="Noto Sans CJK SC"/>
        <family val="2"/>
        <charset val="1"/>
      </rPr>
      <t xml:space="preserve">2024</t>
    </r>
    <r>
      <rPr>
        <sz val="10"/>
        <rFont val="WenQuanYi Zen Hei"/>
        <family val="2"/>
      </rPr>
      <t xml:space="preserve">년부터 과도한 재정적자 절차 대상이다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</si>
  <si>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TFUE </t>
    </r>
    <r>
      <rPr>
        <sz val="10"/>
        <rFont val="WenQuanYi Zen Hei"/>
        <family val="2"/>
      </rPr>
      <t xml:space="preserve">제</t>
    </r>
    <r>
      <rPr>
        <sz val="10"/>
        <rFont val="Arial"/>
        <family val="0"/>
        <charset val="1"/>
      </rPr>
      <t xml:space="preserve">126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, EU </t>
    </r>
    <r>
      <rPr>
        <sz val="10"/>
        <rFont val="WenQuanYi Zen Hei"/>
        <family val="2"/>
      </rPr>
      <t xml:space="preserve">재정규칙 개정</t>
    </r>
    <r>
      <rPr>
        <sz val="10"/>
        <rFont val="Arial"/>
        <family val="0"/>
        <charset val="1"/>
      </rPr>
      <t xml:space="preserve">(2024)</t>
    </r>
  </si>
  <si>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9~10</t>
    </r>
    <r>
      <rPr>
        <sz val="10"/>
        <rFont val="WenQuanYi Zen Hei"/>
        <family val="2"/>
      </rPr>
      <t xml:space="preserve">화</t>
    </r>
  </si>
  <si>
    <t xml:space="preserve">piano strutturale di bilancio, deficit eccessivo, ECOFIN, Commissione europea</t>
  </si>
  <si>
    <r>
      <rPr>
        <sz val="10"/>
        <rFont val="WenQuanYi Zen Hei"/>
        <family val="2"/>
      </rPr>
      <t xml:space="preserve">검색 확인 </t>
    </r>
    <r>
      <rPr>
        <sz val="10"/>
        <rFont val="Noto Sans CJK SC"/>
        <family val="2"/>
        <charset val="1"/>
      </rPr>
      <t xml:space="preserve">(2026-09-24) (2025</t>
    </r>
    <r>
      <rPr>
        <sz val="10"/>
        <rFont val="WenQuanYi Zen Hei"/>
        <family val="2"/>
      </rPr>
      <t xml:space="preserve">년 적자 </t>
    </r>
    <r>
      <rPr>
        <sz val="10"/>
        <rFont val="Noto Sans CJK SC"/>
        <family val="2"/>
        <charset val="1"/>
      </rPr>
      <t xml:space="preserve">3.1%</t>
    </r>
    <r>
      <rPr>
        <sz val="10"/>
        <rFont val="WenQuanYi Zen Hei"/>
        <family val="2"/>
      </rPr>
      <t xml:space="preserve">로 조기 졸업 불발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</si>
  <si>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WenQuanYi Zen Hei"/>
        <family val="2"/>
      </rPr>
      <t xml:space="preserve">재난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민방위</t>
    </r>
  </si>
  <si>
    <r>
      <rPr>
        <sz val="10"/>
        <rFont val="WenQuanYi Zen Hei"/>
        <family val="2"/>
      </rPr>
      <t xml:space="preserve">민방위 국가 체계</t>
    </r>
    <r>
      <rPr>
        <sz val="10"/>
        <rFont val="Noto Sans CJK SC"/>
        <family val="2"/>
        <charset val="1"/>
      </rPr>
      <t xml:space="preserve">(Servizio nazionale della Protezione Civile)</t>
    </r>
    <r>
      <rPr>
        <sz val="10"/>
        <rFont val="WenQuanYi Zen Hei"/>
        <family val="2"/>
      </rPr>
      <t xml:space="preserve">는 시장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주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국가가 단계적으로 대응한다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국가 비상사태는 국무회의가 선포하고 민방위국이 지휘한다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경보는 </t>
    </r>
    <r>
      <rPr>
        <sz val="10"/>
        <rFont val="Noto Sans CJK SC"/>
        <family val="2"/>
        <charset val="1"/>
      </rPr>
      <t xml:space="preserve">IT-alert</t>
    </r>
    <r>
      <rPr>
        <sz val="10"/>
        <rFont val="WenQuanYi Zen Hei"/>
        <family val="2"/>
      </rPr>
      <t xml:space="preserve">로 휴대전화에 전송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</si>
  <si>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d.lgs. 1/2018 (</t>
    </r>
    <r>
      <rPr>
        <sz val="10"/>
        <rFont val="WenQuanYi Zen Hei"/>
        <family val="2"/>
      </rPr>
      <t xml:space="preserve">민방위법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</si>
  <si>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화</t>
    </r>
  </si>
  <si>
    <t xml:space="preserve">protezione civile, allerta rossa, IT-alert, stato di emergenza</t>
  </si>
  <si>
    <r>
      <rPr>
        <sz val="10"/>
        <rFont val="WenQuanYi Zen Hei"/>
        <family val="2"/>
      </rPr>
      <t xml:space="preserve">이민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외국인</t>
    </r>
  </si>
  <si>
    <r>
      <rPr>
        <sz val="10"/>
        <rFont val="WenQuanYi Zen Hei"/>
        <family val="2"/>
      </rPr>
      <t xml:space="preserve">체류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난민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국경은 국가 권한</t>
    </r>
    <r>
      <rPr>
        <sz val="10"/>
        <rFont val="Noto Sans CJK SC"/>
        <family val="2"/>
        <charset val="1"/>
      </rPr>
      <t xml:space="preserve">. 1</t>
    </r>
    <r>
      <rPr>
        <sz val="10"/>
        <rFont val="WenQuanYi Zen Hei"/>
        <family val="2"/>
      </rPr>
      <t xml:space="preserve">차 수용</t>
    </r>
    <r>
      <rPr>
        <sz val="10"/>
        <rFont val="Noto Sans CJK SC"/>
        <family val="2"/>
        <charset val="1"/>
      </rPr>
      <t xml:space="preserve">(CAS)</t>
    </r>
    <r>
      <rPr>
        <sz val="10"/>
        <rFont val="WenQuanYi Zen Hei"/>
        <family val="2"/>
      </rPr>
      <t xml:space="preserve">은 도청</t>
    </r>
    <r>
      <rPr>
        <sz val="10"/>
        <rFont val="Noto Sans CJK SC"/>
        <family val="2"/>
        <charset val="1"/>
      </rPr>
      <t xml:space="preserve">(Prefettura), 2</t>
    </r>
    <r>
      <rPr>
        <sz val="10"/>
        <rFont val="WenQuanYi Zen Hei"/>
        <family val="2"/>
      </rPr>
      <t xml:space="preserve">차 통합 수용</t>
    </r>
    <r>
      <rPr>
        <sz val="10"/>
        <rFont val="Noto Sans CJK SC"/>
        <family val="2"/>
        <charset val="1"/>
      </rPr>
      <t xml:space="preserve">(SAI)</t>
    </r>
    <r>
      <rPr>
        <sz val="10"/>
        <rFont val="WenQuanYi Zen Hei"/>
        <family val="2"/>
      </rPr>
      <t xml:space="preserve">은 지자체 네트워크가 맡아 비용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분담 갈등이 생긴다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보호자 없는 미성년자는 별도 보호 체계</t>
    </r>
    <r>
      <rPr>
        <sz val="10"/>
        <rFont val="Noto Sans CJK SC"/>
        <family val="2"/>
        <charset val="1"/>
      </rPr>
      <t xml:space="preserve">.</t>
    </r>
  </si>
  <si>
    <t xml:space="preserve">d.lgs. 286/1998, d.lgs. 142/2015, legge 47/2017</t>
  </si>
  <si>
    <r>
      <rPr>
        <sz val="10"/>
        <rFont val="Arial"/>
        <family val="0"/>
        <charset val="1"/>
      </rPr>
      <t xml:space="preserve">6·7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, 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화</t>
    </r>
  </si>
  <si>
    <t xml:space="preserve">permesso di soggiorno, accoglienza, CAS, SAI, MSNA</t>
  </si>
  <si>
    <r>
      <rPr>
        <sz val="10"/>
        <rFont val="WenQuanYi Zen Hei"/>
        <family val="2"/>
      </rPr>
      <t xml:space="preserve">최신 협정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법 개정 확인 필요</t>
    </r>
  </si>
  <si>
    <t xml:space="preserve">성폭력 관련 법</t>
  </si>
  <si>
    <r>
      <rPr>
        <sz val="10"/>
        <rFont val="WenQuanYi Zen Hei"/>
        <family val="2"/>
      </rPr>
      <t xml:space="preserve">형법의 성폭력 조항은 폭력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위협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권한 남용 등을 구성 요건으로 둔다</t>
    </r>
    <r>
      <rPr>
        <sz val="10"/>
        <rFont val="Noto Sans CJK SC"/>
        <family val="2"/>
        <charset val="1"/>
      </rPr>
      <t xml:space="preserve">. '</t>
    </r>
    <r>
      <rPr>
        <sz val="10"/>
        <rFont val="WenQuanYi Zen Hei"/>
        <family val="2"/>
      </rPr>
      <t xml:space="preserve">자유롭고 현재적인 동의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를 명문화하는 개정 논의와 여성 살해 가중 처벌 입법이 이어졌다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</si>
  <si>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형법 제</t>
    </r>
    <r>
      <rPr>
        <sz val="10"/>
        <rFont val="Arial"/>
        <family val="0"/>
        <charset val="1"/>
      </rPr>
      <t xml:space="preserve">609-bis</t>
    </r>
    <r>
      <rPr>
        <sz val="10"/>
        <rFont val="WenQuanYi Zen Hei"/>
        <family val="2"/>
      </rPr>
      <t xml:space="preserve">조</t>
    </r>
  </si>
  <si>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8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, 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화</t>
    </r>
  </si>
  <si>
    <t xml:space="preserve">consenso, violenza sessuale, femminicidio</t>
  </si>
  <si>
    <t xml:space="preserve">개정 진행 상황 확인 필요</t>
  </si>
  <si>
    <t xml:space="preserve">범죄 폐지의 소급</t>
  </si>
  <si>
    <r>
      <rPr>
        <sz val="10"/>
        <rFont val="WenQuanYi Zen Hei"/>
        <family val="2"/>
      </rPr>
      <t xml:space="preserve">나중의 법률이 어떤 행위를 범죄에서 제외하면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이미 확정된 판결도 그 효력이 멈춘다</t>
    </r>
    <r>
      <rPr>
        <sz val="10"/>
        <rFont val="Noto Sans CJK SC"/>
        <family val="2"/>
        <charset val="1"/>
      </rPr>
      <t xml:space="preserve">(abolitio criminis).</t>
    </r>
  </si>
  <si>
    <r>
      <rPr>
        <sz val="10"/>
        <rFont val="WenQuanYi Zen Hei"/>
        <family val="2"/>
      </rPr>
      <t xml:space="preserve">형법 제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조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항</t>
    </r>
  </si>
  <si>
    <t xml:space="preserve">abolitio criminis, retroattività, reato</t>
  </si>
  <si>
    <r>
      <rPr>
        <sz val="10"/>
        <rFont val="WenQuanYi Zen Hei"/>
        <family val="2"/>
      </rPr>
      <t xml:space="preserve">사법 최고회의</t>
    </r>
    <r>
      <rPr>
        <sz val="10"/>
        <rFont val="Noto Sans CJK SC"/>
        <family val="2"/>
        <charset val="1"/>
      </rPr>
      <t xml:space="preserve">(CSM)</t>
    </r>
    <r>
      <rPr>
        <sz val="10"/>
        <rFont val="WenQuanYi Zen Hei"/>
        <family val="2"/>
      </rPr>
      <t xml:space="preserve">와 사법 개혁</t>
    </r>
  </si>
  <si>
    <r>
      <rPr>
        <sz val="10"/>
        <rFont val="Noto Sans CJK SC"/>
        <family val="2"/>
        <charset val="1"/>
      </rPr>
      <t xml:space="preserve">CSM</t>
    </r>
    <r>
      <rPr>
        <sz val="10"/>
        <rFont val="WenQuanYi Zen Hei"/>
        <family val="2"/>
      </rPr>
      <t xml:space="preserve">은 판사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검사의 인사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징계를 맡는 헌법 기관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검사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판사 경력 분리와 </t>
    </r>
    <r>
      <rPr>
        <sz val="10"/>
        <rFont val="Noto Sans CJK SC"/>
        <family val="2"/>
        <charset val="1"/>
      </rPr>
      <t xml:space="preserve">CSM </t>
    </r>
    <r>
      <rPr>
        <sz val="10"/>
        <rFont val="WenQuanYi Zen Hei"/>
        <family val="2"/>
      </rPr>
      <t xml:space="preserve">분할을 담은 개헌은 </t>
    </r>
    <r>
      <rPr>
        <sz val="10"/>
        <rFont val="Noto Sans CJK SC"/>
        <family val="2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Noto Sans CJK SC"/>
        <family val="2"/>
        <charset val="1"/>
      </rPr>
      <t xml:space="preserve">3</t>
    </r>
    <r>
      <rPr>
        <sz val="10"/>
        <rFont val="WenQuanYi Zen Hei"/>
        <family val="2"/>
      </rPr>
      <t xml:space="preserve">월 국민투표에서 부결되었다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</si>
  <si>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104~107</t>
    </r>
    <r>
      <rPr>
        <sz val="10"/>
        <rFont val="WenQuanYi Zen Hei"/>
        <family val="2"/>
      </rPr>
      <t xml:space="preserve">조</t>
    </r>
  </si>
  <si>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화</t>
    </r>
  </si>
  <si>
    <t xml:space="preserve">CSM, separazione delle carriere, magistratura</t>
  </si>
  <si>
    <r>
      <rPr>
        <sz val="10"/>
        <rFont val="WenQuanYi Zen Hei"/>
        <family val="2"/>
      </rPr>
      <t xml:space="preserve">검색 확인 </t>
    </r>
    <r>
      <rPr>
        <sz val="10"/>
        <rFont val="Noto Sans CJK SC"/>
        <family val="2"/>
        <charset val="1"/>
      </rPr>
      <t xml:space="preserve">(2026-09-24)</t>
    </r>
  </si>
  <si>
    <r>
      <rPr>
        <sz val="10"/>
        <rFont val="WenQuanYi Zen Hei"/>
        <family val="2"/>
      </rPr>
      <t xml:space="preserve">회복기금</t>
    </r>
    <r>
      <rPr>
        <sz val="10"/>
        <rFont val="Noto Sans CJK SC"/>
        <family val="2"/>
        <charset val="1"/>
      </rPr>
      <t xml:space="preserve">(PNRR)</t>
    </r>
  </si>
  <si>
    <r>
      <rPr>
        <sz val="10"/>
        <rFont val="WenQuanYi Zen Hei"/>
        <family val="2"/>
      </rPr>
      <t xml:space="preserve">이탈리아는 </t>
    </r>
    <r>
      <rPr>
        <sz val="10"/>
        <rFont val="Noto Sans CJK SC"/>
        <family val="2"/>
        <charset val="1"/>
      </rPr>
      <t xml:space="preserve">EU </t>
    </r>
    <r>
      <rPr>
        <sz val="10"/>
        <rFont val="WenQuanYi Zen Hei"/>
        <family val="2"/>
      </rPr>
      <t xml:space="preserve">회복기금의 최대 수혜국으로 국가 회복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복원력 계획</t>
    </r>
    <r>
      <rPr>
        <sz val="10"/>
        <rFont val="Noto Sans CJK SC"/>
        <family val="2"/>
        <charset val="1"/>
      </rPr>
      <t xml:space="preserve">(PNRR)</t>
    </r>
    <r>
      <rPr>
        <sz val="10"/>
        <rFont val="WenQuanYi Zen Hei"/>
        <family val="2"/>
      </rPr>
      <t xml:space="preserve">을 집행한다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목표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이정표 달성에 따라 분할 지급되며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사업 완료 시한은 </t>
    </r>
    <r>
      <rPr>
        <sz val="10"/>
        <rFont val="Noto Sans CJK SC"/>
        <family val="2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Noto Sans CJK SC"/>
        <family val="2"/>
        <charset val="1"/>
      </rPr>
      <t xml:space="preserve">8</t>
    </r>
    <r>
      <rPr>
        <sz val="10"/>
        <rFont val="WenQuanYi Zen Hei"/>
        <family val="2"/>
      </rPr>
      <t xml:space="preserve">월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</si>
  <si>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d.l. 77/2021 (PNRR </t>
    </r>
    <r>
      <rPr>
        <sz val="10"/>
        <rFont val="WenQuanYi Zen Hei"/>
        <family val="2"/>
      </rPr>
      <t xml:space="preserve">거버넌스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</si>
  <si>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화</t>
    </r>
  </si>
  <si>
    <t xml:space="preserve">PNRR, milestone, target, soggetto attuatore</t>
  </si>
  <si>
    <r>
      <rPr>
        <sz val="10"/>
        <rFont val="WenQuanYi Zen Hei"/>
        <family val="2"/>
      </rPr>
      <t xml:space="preserve">최종 결산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집행률 확인 필요</t>
    </r>
  </si>
  <si>
    <r>
      <rPr>
        <sz val="10"/>
        <rFont val="WenQuanYi Zen Hei"/>
        <family val="2"/>
      </rPr>
      <t xml:space="preserve">국방비와 </t>
    </r>
    <r>
      <rPr>
        <sz val="10"/>
        <rFont val="Noto Sans CJK SC"/>
        <family val="2"/>
        <charset val="1"/>
      </rPr>
      <t xml:space="preserve">NATO</t>
    </r>
  </si>
  <si>
    <r>
      <rPr>
        <sz val="10"/>
        <rFont val="Noto Sans CJK SC"/>
        <family val="2"/>
        <charset val="1"/>
      </rPr>
      <t xml:space="preserve">2025</t>
    </r>
    <r>
      <rPr>
        <sz val="10"/>
        <rFont val="WenQuanYi Zen Hei"/>
        <family val="2"/>
      </rPr>
      <t xml:space="preserve">년 헤이그 정상회의에서 </t>
    </r>
    <r>
      <rPr>
        <sz val="10"/>
        <rFont val="Noto Sans CJK SC"/>
        <family val="2"/>
        <charset val="1"/>
      </rPr>
      <t xml:space="preserve">NATO</t>
    </r>
    <r>
      <rPr>
        <sz val="10"/>
        <rFont val="WenQuanYi Zen Hei"/>
        <family val="2"/>
      </rPr>
      <t xml:space="preserve">가 </t>
    </r>
    <r>
      <rPr>
        <sz val="10"/>
        <rFont val="Noto Sans CJK SC"/>
        <family val="2"/>
        <charset val="1"/>
      </rPr>
      <t xml:space="preserve">GDP 5%(</t>
    </r>
    <r>
      <rPr>
        <sz val="10"/>
        <rFont val="WenQuanYi Zen Hei"/>
        <family val="2"/>
      </rPr>
      <t xml:space="preserve">핵심 방위 </t>
    </r>
    <r>
      <rPr>
        <sz val="10"/>
        <rFont val="Noto Sans CJK SC"/>
        <family val="2"/>
        <charset val="1"/>
      </rPr>
      <t xml:space="preserve">3.5% + </t>
    </r>
    <r>
      <rPr>
        <sz val="10"/>
        <rFont val="WenQuanYi Zen Hei"/>
        <family val="2"/>
      </rPr>
      <t xml:space="preserve">관련 지출 </t>
    </r>
    <r>
      <rPr>
        <sz val="10"/>
        <rFont val="Noto Sans CJK SC"/>
        <family val="2"/>
        <charset val="1"/>
      </rPr>
      <t xml:space="preserve">1.5%) </t>
    </r>
    <r>
      <rPr>
        <sz val="10"/>
        <rFont val="WenQuanYi Zen Hei"/>
        <family val="2"/>
      </rPr>
      <t xml:space="preserve">목표를 </t>
    </r>
    <r>
      <rPr>
        <sz val="10"/>
        <rFont val="Noto Sans CJK SC"/>
        <family val="2"/>
        <charset val="1"/>
      </rPr>
      <t xml:space="preserve">2035</t>
    </r>
    <r>
      <rPr>
        <sz val="10"/>
        <rFont val="WenQuanYi Zen Hei"/>
        <family val="2"/>
      </rPr>
      <t xml:space="preserve">년까지 합의했다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스페인만 예외</t>
    </r>
    <r>
      <rPr>
        <sz val="10"/>
        <rFont val="Noto Sans CJK SC"/>
        <family val="2"/>
        <charset val="1"/>
      </rPr>
      <t xml:space="preserve">). </t>
    </r>
    <r>
      <rPr>
        <sz val="10"/>
        <rFont val="WenQuanYi Zen Hei"/>
        <family val="2"/>
      </rPr>
      <t xml:space="preserve">이탈리아는 회계 방식 변경으로 </t>
    </r>
    <r>
      <rPr>
        <sz val="10"/>
        <rFont val="Noto Sans CJK SC"/>
        <family val="2"/>
        <charset val="1"/>
      </rPr>
      <t xml:space="preserve">2% </t>
    </r>
    <r>
      <rPr>
        <sz val="10"/>
        <rFont val="WenQuanYi Zen Hei"/>
        <family val="2"/>
      </rPr>
      <t xml:space="preserve">도달을 발표했고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재정 적자 절차 때문에 증액 속도가 쟁점이다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이 갈등을 배경으로 </t>
    </r>
    <r>
      <rPr>
        <sz val="10"/>
        <rFont val="Noto Sans CJK SC"/>
        <family val="2"/>
        <charset val="1"/>
      </rPr>
      <t xml:space="preserve">Cesare</t>
    </r>
    <r>
      <rPr>
        <sz val="10"/>
        <rFont val="WenQuanYi Zen Hei"/>
        <family val="2"/>
      </rPr>
      <t xml:space="preserve">가 검증 가능한 단계 경로를 협상한다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</si>
  <si>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2025 </t>
    </r>
    <r>
      <rPr>
        <sz val="10"/>
        <rFont val="WenQuanYi Zen Hei"/>
        <family val="2"/>
      </rPr>
      <t xml:space="preserve">헤이그 합의</t>
    </r>
    <r>
      <rPr>
        <sz val="10"/>
        <rFont val="Arial"/>
        <family val="0"/>
        <charset val="1"/>
      </rPr>
      <t xml:space="preserve">, EU </t>
    </r>
    <r>
      <rPr>
        <sz val="10"/>
        <rFont val="WenQuanYi Zen Hei"/>
        <family val="2"/>
      </rPr>
      <t xml:space="preserve">재정규칙 국가 예외 조항</t>
    </r>
  </si>
  <si>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9~11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(Cesare</t>
    </r>
    <r>
      <rPr>
        <sz val="10"/>
        <rFont val="WenQuanYi Zen Hei"/>
        <family val="2"/>
      </rPr>
      <t xml:space="preserve">의 직접 협상</t>
    </r>
    <r>
      <rPr>
        <sz val="10"/>
        <rFont val="Arial"/>
        <family val="0"/>
        <charset val="1"/>
      </rPr>
      <t xml:space="preserve">), 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3·11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후속</t>
    </r>
    <r>
      <rPr>
        <sz val="10"/>
        <rFont val="Arial"/>
        <family val="0"/>
        <charset val="1"/>
      </rPr>
      <t xml:space="preserve">)</t>
    </r>
  </si>
  <si>
    <t xml:space="preserve">spesa per la difesa, NATO, capacità, impegno</t>
  </si>
  <si>
    <r>
      <rPr>
        <sz val="10"/>
        <rFont val="WenQuanYi Zen Hei"/>
        <family val="2"/>
      </rPr>
      <t xml:space="preserve">검색 확인 </t>
    </r>
    <r>
      <rPr>
        <sz val="10"/>
        <rFont val="Noto Sans CJK SC"/>
        <family val="2"/>
        <charset val="1"/>
      </rPr>
      <t xml:space="preserve">(2026-09-24) (</t>
    </r>
    <r>
      <rPr>
        <sz val="10"/>
        <rFont val="WenQuanYi Zen Hei"/>
        <family val="2"/>
      </rPr>
      <t xml:space="preserve">헤이그 합의 수치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이탈리아 </t>
    </r>
    <r>
      <rPr>
        <sz val="10"/>
        <rFont val="Noto Sans CJK SC"/>
        <family val="2"/>
        <charset val="1"/>
      </rPr>
      <t xml:space="preserve">2% </t>
    </r>
    <r>
      <rPr>
        <sz val="10"/>
        <rFont val="WenQuanYi Zen Hei"/>
        <family val="2"/>
      </rPr>
      <t xml:space="preserve">발표</t>
    </r>
    <r>
      <rPr>
        <sz val="10"/>
        <rFont val="Noto Sans CJK SC"/>
        <family val="2"/>
        <charset val="1"/>
      </rPr>
      <t xml:space="preserve">)</t>
    </r>
  </si>
  <si>
    <t xml:space="preserve">재생에너지 인허가</t>
  </si>
  <si>
    <r>
      <rPr>
        <sz val="10"/>
        <rFont val="WenQuanYi Zen Hei"/>
        <family val="2"/>
      </rPr>
      <t xml:space="preserve">대형 설비는 국가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그 밖은 주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시가 인허가하며 환경영향평가</t>
    </r>
    <r>
      <rPr>
        <sz val="10"/>
        <rFont val="Noto Sans CJK SC"/>
        <family val="2"/>
        <charset val="1"/>
      </rPr>
      <t xml:space="preserve">(VIA)</t>
    </r>
    <r>
      <rPr>
        <sz val="10"/>
        <rFont val="WenQuanYi Zen Hei"/>
        <family val="2"/>
      </rPr>
      <t xml:space="preserve">가 필요하다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주가 적합 부지</t>
    </r>
    <r>
      <rPr>
        <sz val="10"/>
        <rFont val="Noto Sans CJK SC"/>
        <family val="2"/>
        <charset val="1"/>
      </rPr>
      <t xml:space="preserve">(aree idonee)</t>
    </r>
    <r>
      <rPr>
        <sz val="10"/>
        <rFont val="WenQuanYi Zen Hei"/>
        <family val="2"/>
      </rPr>
      <t xml:space="preserve">를 지정하고</t>
    </r>
    <r>
      <rPr>
        <sz val="10"/>
        <rFont val="Noto Sans CJK SC"/>
        <family val="2"/>
        <charset val="1"/>
      </rPr>
      <t xml:space="preserve">, 2024</t>
    </r>
    <r>
      <rPr>
        <sz val="10"/>
        <rFont val="WenQuanYi Zen Hei"/>
        <family val="2"/>
      </rPr>
      <t xml:space="preserve">년부터 농지 지상 태양광이 제한되었다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사르데냐 등에서 주민 반발이 크다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</si>
  <si>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d.lgs. 199/2021, d.l. 63/2024, </t>
    </r>
    <r>
      <rPr>
        <sz val="10"/>
        <rFont val="WenQuanYi Zen Hei"/>
        <family val="2"/>
      </rPr>
      <t xml:space="preserve">환경법</t>
    </r>
    <r>
      <rPr>
        <sz val="10"/>
        <rFont val="Arial"/>
        <family val="0"/>
        <charset val="1"/>
      </rPr>
      <t xml:space="preserve">(d.lgs. 152/2006)</t>
    </r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</si>
  <si>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, 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화</t>
    </r>
  </si>
  <si>
    <t xml:space="preserve">aree idonee, agrivoltaico, pale eoliche, VIA</t>
  </si>
  <si>
    <t xml:space="preserve">최신 기준 확인 필요</t>
  </si>
  <si>
    <t xml:space="preserve">내륙 과소지역</t>
  </si>
  <si>
    <r>
      <rPr>
        <sz val="10"/>
        <rFont val="WenQuanYi Zen Hei"/>
        <family val="2"/>
      </rPr>
      <t xml:space="preserve">내륙 지역 국가 전략</t>
    </r>
    <r>
      <rPr>
        <sz val="10"/>
        <rFont val="Noto Sans CJK SC"/>
        <family val="2"/>
        <charset val="1"/>
      </rPr>
      <t xml:space="preserve">(SNAI)</t>
    </r>
    <r>
      <rPr>
        <sz val="10"/>
        <rFont val="WenQuanYi Zen Hei"/>
        <family val="2"/>
      </rPr>
      <t xml:space="preserve">이 인구 감소 지역의 교통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보건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교육을 지원한다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선거구 재조정</t>
    </r>
    <r>
      <rPr>
        <sz val="10"/>
        <rFont val="Noto Sans CJK SC"/>
        <family val="2"/>
        <charset val="1"/>
      </rPr>
      <t xml:space="preserve">(2020 </t>
    </r>
    <r>
      <rPr>
        <sz val="10"/>
        <rFont val="WenQuanYi Zen Hei"/>
        <family val="2"/>
      </rPr>
      <t xml:space="preserve">의석 축소</t>
    </r>
    <r>
      <rPr>
        <sz val="10"/>
        <rFont val="Noto Sans CJK SC"/>
        <family val="2"/>
        <charset val="1"/>
      </rPr>
      <t xml:space="preserve">) </t>
    </r>
    <r>
      <rPr>
        <sz val="10"/>
        <rFont val="WenQuanYi Zen Hei"/>
        <family val="2"/>
      </rPr>
      <t xml:space="preserve">이후 농촌 대표성도 쟁점이다</t>
    </r>
    <r>
      <rPr>
        <sz val="10"/>
        <rFont val="Noto Sans CJK SC"/>
        <family val="2"/>
        <charset val="1"/>
      </rPr>
      <t xml:space="preserve">.</t>
    </r>
  </si>
  <si>
    <t xml:space="preserve">SNAI, legge 51/2019</t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</si>
  <si>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화</t>
    </r>
  </si>
  <si>
    <t xml:space="preserve">aree interne, spopolamento, piccoli comuni</t>
  </si>
  <si>
    <t xml:space="preserve">사회적 대화</t>
  </si>
  <si>
    <r>
      <rPr>
        <sz val="10"/>
        <rFont val="WenQuanYi Zen Hei"/>
        <family val="2"/>
      </rPr>
      <t xml:space="preserve">정부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노조</t>
    </r>
    <r>
      <rPr>
        <sz val="10"/>
        <rFont val="Noto Sans CJK SC"/>
        <family val="2"/>
        <charset val="1"/>
      </rPr>
      <t xml:space="preserve">(CGIL·CISL·UIL)·</t>
    </r>
    <r>
      <rPr>
        <sz val="10"/>
        <rFont val="WenQuanYi Zen Hei"/>
        <family val="2"/>
      </rPr>
      <t xml:space="preserve">경영단체</t>
    </r>
    <r>
      <rPr>
        <sz val="10"/>
        <rFont val="Noto Sans CJK SC"/>
        <family val="2"/>
        <charset val="1"/>
      </rPr>
      <t xml:space="preserve">(Confindustria </t>
    </r>
    <r>
      <rPr>
        <sz val="10"/>
        <rFont val="WenQuanYi Zen Hei"/>
        <family val="2"/>
      </rPr>
      <t xml:space="preserve">등</t>
    </r>
    <r>
      <rPr>
        <sz val="10"/>
        <rFont val="Noto Sans CJK SC"/>
        <family val="2"/>
        <charset val="1"/>
      </rPr>
      <t xml:space="preserve">) </t>
    </r>
    <r>
      <rPr>
        <sz val="10"/>
        <rFont val="WenQuanYi Zen Hei"/>
        <family val="2"/>
      </rPr>
      <t xml:space="preserve">협의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법정 최저임금이 없고 단체협약이 임금을 정하며</t>
    </r>
    <r>
      <rPr>
        <sz val="10"/>
        <rFont val="Noto Sans CJK SC"/>
        <family val="2"/>
        <charset val="1"/>
      </rPr>
      <t xml:space="preserve">, CNEL</t>
    </r>
    <r>
      <rPr>
        <sz val="10"/>
        <rFont val="WenQuanYi Zen Hei"/>
        <family val="2"/>
      </rPr>
      <t xml:space="preserve">은 헌법 자문 기관이다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</si>
  <si>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39·99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관행</t>
    </r>
  </si>
  <si>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화</t>
    </r>
  </si>
  <si>
    <t xml:space="preserve">concertazione, sindacati, contratto collettivo, salario minimo</t>
  </si>
  <si>
    <t xml:space="preserve">연금</t>
  </si>
  <si>
    <r>
      <rPr>
        <sz val="10"/>
        <rFont val="WenQuanYi Zen Hei"/>
        <family val="2"/>
      </rPr>
      <t xml:space="preserve">노령 연금 수급 연령과 조기 퇴직 제도</t>
    </r>
    <r>
      <rPr>
        <sz val="10"/>
        <rFont val="Noto Sans CJK SC"/>
        <family val="2"/>
        <charset val="1"/>
      </rPr>
      <t xml:space="preserve">(Quota </t>
    </r>
    <r>
      <rPr>
        <sz val="10"/>
        <rFont val="WenQuanYi Zen Hei"/>
        <family val="2"/>
      </rPr>
      <t xml:space="preserve">등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가 매년 예산안 논쟁의 중심이다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연금 지출은 </t>
    </r>
    <r>
      <rPr>
        <sz val="10"/>
        <rFont val="Noto Sans CJK SC"/>
        <family val="2"/>
        <charset val="1"/>
      </rPr>
      <t xml:space="preserve">GDP </t>
    </r>
    <r>
      <rPr>
        <sz val="10"/>
        <rFont val="WenQuanYi Zen Hei"/>
        <family val="2"/>
      </rPr>
      <t xml:space="preserve">대비 </t>
    </r>
    <r>
      <rPr>
        <sz val="10"/>
        <rFont val="Noto Sans CJK SC"/>
        <family val="2"/>
        <charset val="1"/>
      </rPr>
      <t xml:space="preserve">EU </t>
    </r>
    <r>
      <rPr>
        <sz val="10"/>
        <rFont val="WenQuanYi Zen Hei"/>
        <family val="2"/>
      </rPr>
      <t xml:space="preserve">최고 수준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</si>
  <si>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legge 214/2011 (Fornero), </t>
    </r>
    <r>
      <rPr>
        <sz val="10"/>
        <rFont val="WenQuanYi Zen Hei"/>
        <family val="2"/>
      </rPr>
      <t xml:space="preserve">매년 예산법</t>
    </r>
  </si>
  <si>
    <t xml:space="preserve">pensioni, età pensionabile, Quota</t>
  </si>
  <si>
    <r>
      <rPr>
        <i val="true"/>
        <sz val="9"/>
        <color rgb="FF595959"/>
        <rFont val="WenQuanYi Zen Hei"/>
        <family val="2"/>
      </rPr>
      <t xml:space="preserve">※ 법령 번호</t>
    </r>
    <r>
      <rPr>
        <i val="true"/>
        <sz val="9"/>
        <color rgb="FF595959"/>
        <rFont val="Noto Sans CJK SC"/>
        <family val="2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조항은 교재에 넣기 전에 </t>
    </r>
    <r>
      <rPr>
        <i val="true"/>
        <sz val="9"/>
        <color rgb="FF595959"/>
        <rFont val="Noto Sans CJK SC"/>
        <family val="2"/>
        <charset val="1"/>
      </rPr>
      <t xml:space="preserve">Normattiva(normattiva.it)</t>
    </r>
    <r>
      <rPr>
        <i val="true"/>
        <sz val="9"/>
        <color rgb="FF595959"/>
        <rFont val="WenQuanYi Zen Hei"/>
        <family val="2"/>
      </rPr>
      <t xml:space="preserve">의 현행 통합본</t>
    </r>
    <r>
      <rPr>
        <i val="true"/>
        <sz val="9"/>
        <color rgb="FF595959"/>
        <rFont val="Noto Sans CJK SC"/>
        <family val="2"/>
        <charset val="1"/>
      </rPr>
      <t xml:space="preserve">(testo vigente)</t>
    </r>
    <r>
      <rPr>
        <i val="true"/>
        <sz val="9"/>
        <color rgb="FF595959"/>
        <rFont val="WenQuanYi Zen Hei"/>
        <family val="2"/>
      </rPr>
      <t xml:space="preserve">으로 반드시 확인하세요</t>
    </r>
    <r>
      <rPr>
        <i val="true"/>
        <sz val="9"/>
        <color rgb="FF595959"/>
        <rFont val="Noto Sans CJK SC"/>
        <family val="2"/>
        <charset val="1"/>
      </rPr>
      <t xml:space="preserve">. '</t>
    </r>
    <r>
      <rPr>
        <i val="true"/>
        <sz val="9"/>
        <color rgb="FF595959"/>
        <rFont val="WenQuanYi Zen Hei"/>
        <family val="2"/>
      </rPr>
      <t xml:space="preserve">검색 확인</t>
    </r>
    <r>
      <rPr>
        <i val="true"/>
        <sz val="9"/>
        <color rgb="FF595959"/>
        <rFont val="Noto Sans CJK SC"/>
        <family val="2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은 공개 자료에서 교차 확인한 항목이며</t>
    </r>
    <r>
      <rPr>
        <i val="true"/>
        <sz val="9"/>
        <color rgb="FF595959"/>
        <rFont val="Noto Sans CJK SC"/>
        <family val="2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나머지는 기획 시점 지식입니다</t>
    </r>
    <r>
      <rPr>
        <i val="true"/>
        <sz val="9"/>
        <color rgb="FF595959"/>
        <rFont val="Noto Sans CJK SC"/>
        <family val="2"/>
        <charset val="1"/>
      </rPr>
      <t xml:space="preserve">.</t>
    </r>
  </si>
  <si>
    <t xml:space="preserve">정치 경로와 가상 의석 시뮬레이션</t>
  </si>
  <si>
    <r>
      <rPr>
        <i val="true"/>
        <sz val="9"/>
        <color rgb="FF595959"/>
        <rFont val="WenQuanYi Zen Hei"/>
        <family val="2"/>
      </rPr>
      <t xml:space="preserve">창당에서 총리까지의 경로를 이탈리아 현실 제도에 맞춰 단계화했다</t>
    </r>
    <r>
      <rPr>
        <i val="true"/>
        <sz val="9"/>
        <color rgb="FF595959"/>
        <rFont val="Noto Sans CJK SC"/>
        <family val="2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정당</t>
    </r>
    <r>
      <rPr>
        <i val="true"/>
        <sz val="9"/>
        <color rgb="FF595959"/>
        <rFont val="Noto Sans CJK SC"/>
        <family val="2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의석 수는 전부 가상의 교육용 수치이며</t>
    </r>
    <r>
      <rPr>
        <i val="true"/>
        <sz val="9"/>
        <color rgb="FF595959"/>
        <rFont val="Noto Sans CJK SC"/>
        <family val="2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파란 숫자</t>
    </r>
    <r>
      <rPr>
        <i val="true"/>
        <sz val="9"/>
        <color rgb="FF595959"/>
        <rFont val="Noto Sans CJK SC"/>
        <family val="2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표결 값은 수정하면 결과가 자동 갱신된다</t>
    </r>
    <r>
      <rPr>
        <i val="true"/>
        <sz val="9"/>
        <color rgb="FF595959"/>
        <rFont val="Noto Sans CJK SC"/>
        <family val="2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표결 값</t>
    </r>
    <r>
      <rPr>
        <i val="true"/>
        <sz val="9"/>
        <color rgb="FF595959"/>
        <rFont val="Noto Sans CJK SC"/>
        <family val="2"/>
        <charset val="1"/>
      </rPr>
      <t xml:space="preserve">: Sì(</t>
    </r>
    <r>
      <rPr>
        <i val="true"/>
        <sz val="9"/>
        <color rgb="FF595959"/>
        <rFont val="WenQuanYi Zen Hei"/>
        <family val="2"/>
      </rPr>
      <t xml:space="preserve">찬성</t>
    </r>
    <r>
      <rPr>
        <i val="true"/>
        <sz val="9"/>
        <color rgb="FF595959"/>
        <rFont val="Noto Sans CJK SC"/>
        <family val="2"/>
        <charset val="1"/>
      </rPr>
      <t xml:space="preserve">) / No(</t>
    </r>
    <r>
      <rPr>
        <i val="true"/>
        <sz val="9"/>
        <color rgb="FF595959"/>
        <rFont val="WenQuanYi Zen Hei"/>
        <family val="2"/>
      </rPr>
      <t xml:space="preserve">반대</t>
    </r>
    <r>
      <rPr>
        <i val="true"/>
        <sz val="9"/>
        <color rgb="FF595959"/>
        <rFont val="Noto Sans CJK SC"/>
        <family val="2"/>
        <charset val="1"/>
      </rPr>
      <t xml:space="preserve">) / Astenuto(</t>
    </r>
    <r>
      <rPr>
        <i val="true"/>
        <sz val="9"/>
        <color rgb="FF595959"/>
        <rFont val="WenQuanYi Zen Hei"/>
        <family val="2"/>
      </rPr>
      <t xml:space="preserve">기권</t>
    </r>
    <r>
      <rPr>
        <i val="true"/>
        <sz val="9"/>
        <color rgb="FF595959"/>
        <rFont val="Noto Sans CJK SC"/>
        <family val="2"/>
        <charset val="1"/>
      </rPr>
      <t xml:space="preserve">) / Assente(</t>
    </r>
    <r>
      <rPr>
        <i val="true"/>
        <sz val="9"/>
        <color rgb="FF595959"/>
        <rFont val="WenQuanYi Zen Hei"/>
        <family val="2"/>
      </rPr>
      <t xml:space="preserve">불참</t>
    </r>
    <r>
      <rPr>
        <i val="true"/>
        <sz val="9"/>
        <color rgb="FF595959"/>
        <rFont val="Noto Sans CJK SC"/>
        <family val="2"/>
        <charset val="1"/>
      </rPr>
      <t xml:space="preserve">).</t>
    </r>
  </si>
  <si>
    <r>
      <rPr>
        <b val="true"/>
        <sz val="10"/>
        <rFont val="Arial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정치 경로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창당 → 총리</t>
    </r>
    <r>
      <rPr>
        <b val="true"/>
        <sz val="10"/>
        <rFont val="Arial"/>
        <family val="0"/>
        <charset val="1"/>
      </rPr>
      <t xml:space="preserve">)</t>
    </r>
  </si>
  <si>
    <t xml:space="preserve">단계</t>
  </si>
  <si>
    <r>
      <rPr>
        <b val="true"/>
        <sz val="10"/>
        <color rgb="FFFFFFFF"/>
        <rFont val="WenQuanYi Zen Hei"/>
        <family val="2"/>
      </rPr>
      <t xml:space="preserve">부</t>
    </r>
    <r>
      <rPr>
        <b val="true"/>
        <sz val="10"/>
        <color rgb="FFFFFFFF"/>
        <rFont val="Noto Sans CJK SC"/>
        <family val="2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화</t>
    </r>
  </si>
  <si>
    <t xml:space="preserve">이야기 사건</t>
  </si>
  <si>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1~4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</si>
  <si>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San Giovanni </t>
    </r>
    <r>
      <rPr>
        <sz val="10"/>
        <rFont val="WenQuanYi Zen Hei"/>
        <family val="2"/>
      </rPr>
      <t xml:space="preserve">집회 → 폐지 국민투표 서명 </t>
    </r>
    <r>
      <rPr>
        <sz val="10"/>
        <rFont val="Arial"/>
        <family val="0"/>
        <charset val="1"/>
      </rPr>
      <t xml:space="preserve">50</t>
    </r>
    <r>
      <rPr>
        <sz val="10"/>
        <rFont val="WenQuanYi Zen Hei"/>
        <family val="2"/>
      </rPr>
      <t xml:space="preserve">만 → 정족수 미달로 무효</t>
    </r>
  </si>
  <si>
    <r>
      <rPr>
        <sz val="10"/>
        <rFont val="WenQuanYi Zen Hei"/>
        <family val="2"/>
      </rPr>
      <t xml:space="preserve">집회 사전 통지</t>
    </r>
    <r>
      <rPr>
        <sz val="10"/>
        <rFont val="Arial"/>
        <family val="0"/>
        <charset val="1"/>
      </rPr>
      <t xml:space="preserve">(3</t>
    </r>
    <r>
      <rPr>
        <sz val="10"/>
        <rFont val="WenQuanYi Zen Hei"/>
        <family val="2"/>
      </rPr>
      <t xml:space="preserve">일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75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헌법재판소 허용 심사</t>
    </r>
  </si>
  <si>
    <t xml:space="preserve">기획 지식</t>
  </si>
  <si>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5~7</t>
    </r>
    <r>
      <rPr>
        <sz val="10"/>
        <rFont val="WenQuanYi Zen Hei"/>
        <family val="2"/>
      </rPr>
      <t xml:space="preserve">화</t>
    </r>
  </si>
  <si>
    <r>
      <rPr>
        <sz val="10"/>
        <rFont val="WenQuanYi Zen Hei"/>
        <family val="2"/>
      </rPr>
      <t xml:space="preserve">정당 </t>
    </r>
    <r>
      <rPr>
        <sz val="10"/>
        <rFont val="Arial"/>
        <family val="0"/>
        <charset val="1"/>
      </rPr>
      <t xml:space="preserve">«Casa Comune» </t>
    </r>
    <r>
      <rPr>
        <sz val="10"/>
        <rFont val="WenQuanYi Zen Hei"/>
        <family val="2"/>
      </rPr>
      <t xml:space="preserve">창당</t>
    </r>
  </si>
  <si>
    <r>
      <rPr>
        <sz val="10"/>
        <rFont val="WenQuanYi Zen Hei"/>
        <family val="2"/>
      </rPr>
      <t xml:space="preserve">공증인 앞 설립 문서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정관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국가 정당 등록부</t>
    </r>
    <r>
      <rPr>
        <sz val="10"/>
        <rFont val="Arial"/>
        <family val="0"/>
        <charset val="1"/>
      </rPr>
      <t xml:space="preserve">(d.l. 149/2013), </t>
    </r>
    <r>
      <rPr>
        <sz val="10"/>
        <rFont val="WenQuanYi Zen Hei"/>
        <family val="2"/>
      </rPr>
      <t xml:space="preserve">후원 공개</t>
    </r>
    <r>
      <rPr>
        <sz val="10"/>
        <rFont val="Arial"/>
        <family val="0"/>
        <charset val="1"/>
      </rPr>
      <t xml:space="preserve">(legge 3/2019)</t>
    </r>
  </si>
  <si>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8~12</t>
    </r>
    <r>
      <rPr>
        <sz val="10"/>
        <rFont val="WenQuanYi Zen Hei"/>
        <family val="2"/>
      </rPr>
      <t xml:space="preserve">화</t>
    </r>
  </si>
  <si>
    <r>
      <rPr>
        <sz val="10"/>
        <rFont val="WenQuanYi Zen Hei"/>
        <family val="2"/>
      </rPr>
      <t xml:space="preserve">첫 로마 시의회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라치오 주의회 선거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시의회 </t>
    </r>
    <r>
      <rPr>
        <sz val="10"/>
        <rFont val="Arial"/>
        <family val="0"/>
        <charset val="1"/>
      </rPr>
      <t xml:space="preserve">48</t>
    </r>
    <r>
      <rPr>
        <sz val="10"/>
        <rFont val="WenQuanYi Zen Hei"/>
        <family val="2"/>
      </rPr>
      <t xml:space="preserve">석 중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주의회 진출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가상 수치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</si>
  <si>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시장 직선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결선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과반 보너스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문턱 </t>
    </r>
    <r>
      <rPr>
        <sz val="10"/>
        <rFont val="Arial"/>
        <family val="0"/>
        <charset val="1"/>
      </rPr>
      <t xml:space="preserve">3%, </t>
    </r>
    <r>
      <rPr>
        <sz val="10"/>
        <rFont val="WenQuanYi Zen Hei"/>
        <family val="2"/>
      </rPr>
      <t xml:space="preserve">성별 균형 명부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정정권</t>
    </r>
  </si>
  <si>
    <r>
      <rPr>
        <sz val="10"/>
        <rFont val="WenQuanYi Zen Hei"/>
        <family val="2"/>
      </rPr>
      <t xml:space="preserve">의석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문턱 확인 필요</t>
    </r>
  </si>
  <si>
    <r>
      <rPr>
        <sz val="10"/>
        <rFont val="WenQuanYi Zen Hei"/>
        <family val="2"/>
      </rPr>
      <t xml:space="preserve">결선에서 다른 당 시장 당선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낙선 시장 후보 </t>
    </r>
    <r>
      <rPr>
        <sz val="10"/>
        <rFont val="Arial"/>
        <family val="0"/>
        <charset val="1"/>
      </rPr>
      <t xml:space="preserve">Alessandro</t>
    </r>
    <r>
      <rPr>
        <sz val="10"/>
        <rFont val="WenQuanYi Zen Hei"/>
        <family val="2"/>
      </rPr>
      <t xml:space="preserve">는 시의원으로</t>
    </r>
  </si>
  <si>
    <r>
      <rPr>
        <sz val="10"/>
        <rFont val="Arial"/>
        <family val="0"/>
        <charset val="1"/>
      </rPr>
      <t xml:space="preserve">TUEL </t>
    </r>
    <r>
      <rPr>
        <sz val="10"/>
        <rFont val="WenQuanYi Zen Hei"/>
        <family val="2"/>
      </rPr>
      <t xml:space="preserve">제</t>
    </r>
    <r>
      <rPr>
        <sz val="10"/>
        <rFont val="Arial"/>
        <family val="0"/>
        <charset val="1"/>
      </rPr>
      <t xml:space="preserve">72·73</t>
    </r>
    <r>
      <rPr>
        <sz val="10"/>
        <rFont val="WenQuanYi Zen Hei"/>
        <family val="2"/>
      </rPr>
      <t xml:space="preserve">조</t>
    </r>
  </si>
  <si>
    <t xml:space="preserve">조항 확인 필요</t>
  </si>
  <si>
    <t xml:space="preserve">5</t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</si>
  <si>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2~11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</si>
  <si>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Alessandro</t>
    </r>
    <r>
      <rPr>
        <sz val="10"/>
        <rFont val="WenQuanYi Zen Hei"/>
        <family val="2"/>
      </rPr>
      <t xml:space="preserve">는 시의회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예산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계약</t>
    </r>
    <r>
      <rPr>
        <sz val="10"/>
        <rFont val="Arial"/>
        <family val="0"/>
        <charset val="1"/>
      </rPr>
      <t xml:space="preserve">), Giulia</t>
    </r>
    <r>
      <rPr>
        <sz val="10"/>
        <rFont val="WenQuanYi Zen Hei"/>
        <family val="2"/>
      </rPr>
      <t xml:space="preserve">는 주의회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보건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에서 활동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스캔들 폭로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검찰 고발</t>
    </r>
  </si>
  <si>
    <r>
      <rPr>
        <sz val="10"/>
        <rFont val="WenQuanYi Zen Hei"/>
        <family val="2"/>
      </rPr>
      <t xml:space="preserve">보건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도시계획은 국가–주 공동 권한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117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), d.lgs. 24/2023, </t>
    </r>
    <r>
      <rPr>
        <sz val="10"/>
        <rFont val="WenQuanYi Zen Hei"/>
        <family val="2"/>
      </rPr>
      <t xml:space="preserve">형사소송법 제</t>
    </r>
    <r>
      <rPr>
        <sz val="10"/>
        <rFont val="Arial"/>
        <family val="0"/>
        <charset val="1"/>
      </rPr>
      <t xml:space="preserve">191</t>
    </r>
    <r>
      <rPr>
        <sz val="10"/>
        <rFont val="WenQuanYi Zen Hei"/>
        <family val="2"/>
      </rPr>
      <t xml:space="preserve">조</t>
    </r>
  </si>
  <si>
    <t xml:space="preserve">6</t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</si>
  <si>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</si>
  <si>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UCN </t>
    </r>
    <r>
      <rPr>
        <sz val="10"/>
        <rFont val="WenQuanYi Zen Hei"/>
        <family val="2"/>
      </rPr>
      <t xml:space="preserve">정부가 예산 신임 투표에서 패배 → 대통령이 해산</t>
    </r>
  </si>
  <si>
    <r>
      <rPr>
        <sz val="10"/>
        <rFont val="WenQuanYi Zen Hei"/>
        <family val="2"/>
      </rPr>
      <t xml:space="preserve">해산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대통령이 양원 의장 의견 청취 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88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명부 제출 서명 필요</t>
    </r>
  </si>
  <si>
    <t xml:space="preserve">7</t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</si>
  <si>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1~4</t>
    </r>
    <r>
      <rPr>
        <sz val="10"/>
        <rFont val="WenQuanYi Zen Hei"/>
        <family val="2"/>
      </rPr>
      <t xml:space="preserve">화</t>
    </r>
  </si>
  <si>
    <r>
      <rPr>
        <sz val="10"/>
        <rFont val="WenQuanYi Zen Hei"/>
        <family val="2"/>
      </rPr>
      <t xml:space="preserve">총선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차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캠페인</t>
    </r>
    <r>
      <rPr>
        <sz val="10"/>
        <rFont val="Arial"/>
        <family val="0"/>
        <charset val="1"/>
      </rPr>
      <t xml:space="preserve">, TV </t>
    </r>
    <r>
      <rPr>
        <sz val="10"/>
        <rFont val="WenQuanYi Zen Hei"/>
        <family val="2"/>
      </rPr>
      <t xml:space="preserve">토론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결과 </t>
    </r>
    <r>
      <rPr>
        <sz val="10"/>
        <rFont val="Arial"/>
        <family val="0"/>
        <charset val="1"/>
      </rPr>
      <t xml:space="preserve">CC </t>
    </r>
    <r>
      <rPr>
        <sz val="10"/>
        <rFont val="WenQuanYi Zen Hei"/>
        <family val="2"/>
      </rPr>
      <t xml:space="preserve">하원 </t>
    </r>
    <r>
      <rPr>
        <sz val="10"/>
        <rFont val="Arial"/>
        <family val="0"/>
        <charset val="1"/>
      </rPr>
      <t xml:space="preserve">70</t>
    </r>
    <r>
      <rPr>
        <sz val="10"/>
        <rFont val="WenQuanYi Zen Hei"/>
        <family val="2"/>
      </rPr>
      <t xml:space="preserve">석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위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아래 </t>
    </r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블록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</si>
  <si>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해산 후 </t>
    </r>
    <r>
      <rPr>
        <sz val="10"/>
        <rFont val="Arial"/>
        <family val="0"/>
        <charset val="1"/>
      </rPr>
      <t xml:space="preserve">70</t>
    </r>
    <r>
      <rPr>
        <sz val="10"/>
        <rFont val="WenQuanYi Zen Hei"/>
        <family val="2"/>
      </rPr>
      <t xml:space="preserve">일 이내 선거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하원 </t>
    </r>
    <r>
      <rPr>
        <sz val="10"/>
        <rFont val="Arial"/>
        <family val="0"/>
        <charset val="1"/>
      </rPr>
      <t xml:space="preserve">400</t>
    </r>
    <r>
      <rPr>
        <sz val="10"/>
        <rFont val="WenQuanYi Zen Hei"/>
        <family val="2"/>
      </rPr>
      <t xml:space="preserve">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상원 </t>
    </r>
    <r>
      <rPr>
        <sz val="10"/>
        <rFont val="Arial"/>
        <family val="0"/>
        <charset val="1"/>
      </rPr>
      <t xml:space="preserve">200</t>
    </r>
    <r>
      <rPr>
        <sz val="10"/>
        <rFont val="WenQuanYi Zen Hei"/>
        <family val="2"/>
      </rPr>
      <t xml:space="preserve">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문턱 </t>
    </r>
    <r>
      <rPr>
        <sz val="10"/>
        <rFont val="Arial"/>
        <family val="0"/>
        <charset val="1"/>
      </rPr>
      <t xml:space="preserve">3%</t>
    </r>
  </si>
  <si>
    <t xml:space="preserve">8</t>
  </si>
  <si>
    <r>
      <rPr>
        <sz val="10"/>
        <rFont val="WenQuanYi Zen Hei"/>
        <family val="2"/>
      </rPr>
      <t xml:space="preserve">개원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양원 의장 선출</t>
    </r>
    <r>
      <rPr>
        <sz val="10"/>
        <rFont val="Arial"/>
        <family val="0"/>
        <charset val="1"/>
      </rPr>
      <t xml:space="preserve">, CC </t>
    </r>
    <r>
      <rPr>
        <sz val="10"/>
        <rFont val="WenQuanYi Zen Hei"/>
        <family val="2"/>
      </rPr>
      <t xml:space="preserve">교섭단체 구성</t>
    </r>
  </si>
  <si>
    <r>
      <rPr>
        <sz val="10"/>
        <rFont val="WenQuanYi Zen Hei"/>
        <family val="2"/>
      </rPr>
      <t xml:space="preserve">교섭단체 최소 인원 </t>
    </r>
    <r>
      <rPr>
        <sz val="10"/>
        <rFont val="Arial"/>
        <family val="0"/>
        <charset val="1"/>
      </rPr>
      <t xml:space="preserve">(CC 70</t>
    </r>
    <r>
      <rPr>
        <sz val="10"/>
        <rFont val="WenQuanYi Zen Hei"/>
        <family val="2"/>
      </rPr>
      <t xml:space="preserve">석이라 충족</t>
    </r>
    <r>
      <rPr>
        <sz val="10"/>
        <rFont val="Arial"/>
        <family val="0"/>
        <charset val="1"/>
      </rPr>
      <t xml:space="preserve">)</t>
    </r>
  </si>
  <si>
    <t xml:space="preserve">인원 요건 확인 필요</t>
  </si>
  <si>
    <t xml:space="preserve">9</t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</si>
  <si>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6~7</t>
    </r>
    <r>
      <rPr>
        <sz val="10"/>
        <rFont val="WenQuanYi Zen Hei"/>
        <family val="2"/>
      </rPr>
      <t xml:space="preserve">화</t>
    </r>
  </si>
  <si>
    <r>
      <rPr>
        <sz val="10"/>
        <rFont val="WenQuanYi Zen Hei"/>
        <family val="2"/>
      </rPr>
      <t xml:space="preserve">대통령 협의 → </t>
    </r>
    <r>
      <rPr>
        <sz val="10"/>
        <rFont val="Arial"/>
        <family val="0"/>
        <charset val="1"/>
      </rPr>
      <t xml:space="preserve">UCN </t>
    </r>
    <r>
      <rPr>
        <sz val="10"/>
        <rFont val="WenQuanYi Zen Hei"/>
        <family val="2"/>
      </rPr>
      <t xml:space="preserve">지도자 조각 위임 → 선서 → 하원 신임 부결 </t>
    </r>
    <r>
      <rPr>
        <sz val="10"/>
        <rFont val="Arial"/>
        <family val="0"/>
        <charset val="1"/>
      </rPr>
      <t xml:space="preserve">(A</t>
    </r>
    <r>
      <rPr>
        <sz val="10"/>
        <rFont val="WenQuanYi Zen Hei"/>
        <family val="2"/>
      </rPr>
      <t xml:space="preserve">블록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</si>
  <si>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92~94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선서 후 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일 안에 양원 신임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찬성</t>
    </r>
    <r>
      <rPr>
        <sz val="10"/>
        <rFont val="Arial"/>
        <family val="0"/>
        <charset val="1"/>
      </rPr>
      <t xml:space="preserve">&gt;</t>
    </r>
    <r>
      <rPr>
        <sz val="10"/>
        <rFont val="WenQuanYi Zen Hei"/>
        <family val="2"/>
      </rPr>
      <t xml:space="preserve">반대</t>
    </r>
  </si>
  <si>
    <r>
      <rPr>
        <sz val="10"/>
        <rFont val="WenQuanYi Zen Hei"/>
        <family val="2"/>
      </rPr>
      <t xml:space="preserve">검색 확인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선례</t>
    </r>
    <r>
      <rPr>
        <sz val="10"/>
        <rFont val="Arial"/>
        <family val="0"/>
        <charset val="1"/>
      </rPr>
      <t xml:space="preserve">)</t>
    </r>
  </si>
  <si>
    <t xml:space="preserve">10</t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</si>
  <si>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화</t>
    </r>
  </si>
  <si>
    <r>
      <rPr>
        <sz val="10"/>
        <rFont val="WenQuanYi Zen Hei"/>
        <family val="2"/>
      </rPr>
      <t xml:space="preserve">탐색 위임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상원의장</t>
    </r>
    <r>
      <rPr>
        <sz val="10"/>
        <rFont val="Arial"/>
        <family val="0"/>
        <charset val="1"/>
      </rPr>
      <t xml:space="preserve">) → </t>
    </r>
    <r>
      <rPr>
        <sz val="10"/>
        <rFont val="WenQuanYi Zen Hei"/>
        <family val="2"/>
      </rPr>
      <t xml:space="preserve">다수파 불성립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부결된 정부는 일상 업무만</t>
    </r>
  </si>
  <si>
    <r>
      <rPr>
        <sz val="10"/>
        <rFont val="WenQuanYi Zen Hei"/>
        <family val="2"/>
      </rPr>
      <t xml:space="preserve">헌정 관행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사퇴 정부의 </t>
    </r>
    <r>
      <rPr>
        <sz val="10"/>
        <rFont val="Arial"/>
        <family val="0"/>
        <charset val="1"/>
      </rPr>
      <t xml:space="preserve">affari correnti</t>
    </r>
  </si>
  <si>
    <t xml:space="preserve">11</t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</si>
  <si>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9~10</t>
    </r>
    <r>
      <rPr>
        <sz val="10"/>
        <rFont val="WenQuanYi Zen Hei"/>
        <family val="2"/>
      </rPr>
      <t xml:space="preserve">화</t>
    </r>
  </si>
  <si>
    <r>
      <rPr>
        <sz val="10"/>
        <rFont val="WenQuanYi Zen Hei"/>
        <family val="2"/>
      </rPr>
      <t xml:space="preserve">재해산과 재선거</t>
    </r>
    <r>
      <rPr>
        <sz val="10"/>
        <rFont val="Arial"/>
        <family val="0"/>
        <charset val="1"/>
      </rPr>
      <t xml:space="preserve">: CC </t>
    </r>
    <r>
      <rPr>
        <sz val="10"/>
        <rFont val="WenQuanYi Zen Hei"/>
        <family val="2"/>
      </rPr>
      <t xml:space="preserve">하원 </t>
    </r>
    <r>
      <rPr>
        <sz val="10"/>
        <rFont val="Arial"/>
        <family val="0"/>
        <charset val="1"/>
      </rPr>
      <t xml:space="preserve">130</t>
    </r>
    <r>
      <rPr>
        <sz val="10"/>
        <rFont val="WenQuanYi Zen Hei"/>
        <family val="2"/>
      </rPr>
      <t xml:space="preserve">석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당이지만 과반 아님 </t>
    </r>
    <r>
      <rPr>
        <sz val="10"/>
        <rFont val="Arial"/>
        <family val="0"/>
        <charset val="1"/>
      </rPr>
      <t xml:space="preserve">(B</t>
    </r>
    <r>
      <rPr>
        <sz val="10"/>
        <rFont val="WenQuanYi Zen Hei"/>
        <family val="2"/>
      </rPr>
      <t xml:space="preserve">블록</t>
    </r>
    <r>
      <rPr>
        <sz val="10"/>
        <rFont val="Arial"/>
        <family val="0"/>
        <charset val="1"/>
      </rPr>
      <t xml:space="preserve">)</t>
    </r>
  </si>
  <si>
    <t xml:space="preserve">가상 수치</t>
  </si>
  <si>
    <t xml:space="preserve">12</t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</si>
  <si>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</si>
  <si>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PPS·</t>
    </r>
    <r>
      <rPr>
        <sz val="10"/>
        <rFont val="WenQuanYi Zen Hei"/>
        <family val="2"/>
      </rPr>
      <t xml:space="preserve">지역정당 연합과 연정 협상 </t>
    </r>
    <r>
      <rPr>
        <sz val="10"/>
        <rFont val="Arial"/>
        <family val="0"/>
        <charset val="1"/>
      </rPr>
      <t xml:space="preserve">(TB</t>
    </r>
    <r>
      <rPr>
        <sz val="10"/>
        <rFont val="WenQuanYi Zen Hei"/>
        <family val="2"/>
      </rPr>
      <t xml:space="preserve">는 차등 자치 가속 요구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</si>
  <si>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연정 협약</t>
    </r>
    <r>
      <rPr>
        <sz val="10"/>
        <rFont val="Arial"/>
        <family val="0"/>
        <charset val="1"/>
      </rPr>
      <t xml:space="preserve">, legge 86/2024</t>
    </r>
  </si>
  <si>
    <t xml:space="preserve">13</t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</si>
  <si>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</si>
  <si>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Marco </t>
    </r>
    <r>
      <rPr>
        <sz val="10"/>
        <rFont val="WenQuanYi Zen Hei"/>
        <family val="2"/>
      </rPr>
      <t xml:space="preserve">조각 위임 → </t>
    </r>
    <r>
      <rPr>
        <sz val="10"/>
        <rFont val="Arial"/>
        <family val="0"/>
        <charset val="1"/>
      </rPr>
      <t xml:space="preserve">Quirinale </t>
    </r>
    <r>
      <rPr>
        <sz val="10"/>
        <rFont val="WenQuanYi Zen Hei"/>
        <family val="2"/>
      </rPr>
      <t xml:space="preserve">선서 → 하원 신임 통과 → 상원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표 차 신임 </t>
    </r>
    <r>
      <rPr>
        <sz val="10"/>
        <rFont val="Arial"/>
        <family val="0"/>
        <charset val="1"/>
      </rPr>
      <t xml:space="preserve">(B</t>
    </r>
    <r>
      <rPr>
        <sz val="10"/>
        <rFont val="WenQuanYi Zen Hei"/>
        <family val="2"/>
      </rPr>
      <t xml:space="preserve">블록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</si>
  <si>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양원 각각 단순다수 신임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종신 상원의원 투표권</t>
    </r>
  </si>
  <si>
    <t xml:space="preserve">14</t>
  </si>
  <si>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화</t>
    </r>
  </si>
  <si>
    <r>
      <rPr>
        <sz val="10"/>
        <rFont val="WenQuanYi Zen Hei"/>
        <family val="2"/>
      </rPr>
      <t xml:space="preserve">첫 국무회의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장관 임명</t>
    </r>
  </si>
  <si>
    <t xml:space="preserve">legge 400/1988</t>
  </si>
  <si>
    <t xml:space="preserve">15</t>
  </si>
  <si>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2~5·8</t>
    </r>
    <r>
      <rPr>
        <sz val="10"/>
        <rFont val="WenQuanYi Zen Hei"/>
        <family val="2"/>
      </rPr>
      <t xml:space="preserve">화</t>
    </r>
  </si>
  <si>
    <r>
      <rPr>
        <sz val="10"/>
        <rFont val="WenQuanYi Zen Hei"/>
        <family val="2"/>
      </rPr>
      <t xml:space="preserve">국정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주거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보건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이민은 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지자체와 나눠 가진 권한의 벽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횡재세는 </t>
    </r>
    <r>
      <rPr>
        <sz val="10"/>
        <rFont val="Arial"/>
        <family val="0"/>
        <charset val="1"/>
      </rPr>
      <t xml:space="preserve">decreto-legge</t>
    </r>
    <r>
      <rPr>
        <sz val="10"/>
        <rFont val="WenQuanYi Zen Hei"/>
        <family val="2"/>
      </rPr>
      <t xml:space="preserve">와 법률 전환</t>
    </r>
  </si>
  <si>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117·77·127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국가–주 협의회</t>
    </r>
  </si>
  <si>
    <t xml:space="preserve">16</t>
  </si>
  <si>
    <r>
      <rPr>
        <sz val="10"/>
        <rFont val="WenQuanYi Zen Hei"/>
        <family val="2"/>
      </rPr>
      <t xml:space="preserve">야당이 불신임안 제출 → 부결 </t>
    </r>
    <r>
      <rPr>
        <sz val="10"/>
        <rFont val="Arial"/>
        <family val="0"/>
        <charset val="1"/>
      </rPr>
      <t xml:space="preserve">(C</t>
    </r>
    <r>
      <rPr>
        <sz val="10"/>
        <rFont val="WenQuanYi Zen Hei"/>
        <family val="2"/>
      </rPr>
      <t xml:space="preserve">블록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</si>
  <si>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94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: 1/10 </t>
    </r>
    <r>
      <rPr>
        <sz val="10"/>
        <rFont val="WenQuanYi Zen Hei"/>
        <family val="2"/>
      </rPr>
      <t xml:space="preserve">서명</t>
    </r>
    <r>
      <rPr>
        <sz val="10"/>
        <rFont val="Arial"/>
        <family val="0"/>
        <charset val="1"/>
      </rPr>
      <t xml:space="preserve">, 3</t>
    </r>
    <r>
      <rPr>
        <sz val="10"/>
        <rFont val="WenQuanYi Zen Hei"/>
        <family val="2"/>
      </rPr>
      <t xml:space="preserve">일 뒤 토론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단순다수</t>
    </r>
  </si>
  <si>
    <t xml:space="preserve">17</t>
  </si>
  <si>
    <r>
      <rPr>
        <sz val="10"/>
        <rFont val="WenQuanYi Zen Hei"/>
        <family val="2"/>
      </rPr>
      <t xml:space="preserve">대규모 홍수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): </t>
    </r>
    <r>
      <rPr>
        <sz val="10"/>
        <rFont val="WenQuanYi Zen Hei"/>
        <family val="2"/>
      </rPr>
      <t xml:space="preserve">경보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대피 책임 공방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국가 비상사태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민방위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군 투입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보상</t>
    </r>
  </si>
  <si>
    <r>
      <rPr>
        <sz val="10"/>
        <rFont val="Arial"/>
        <family val="0"/>
        <charset val="1"/>
      </rPr>
      <t xml:space="preserve">d.lgs. 1/2018, IT-alert, EU </t>
    </r>
    <r>
      <rPr>
        <sz val="10"/>
        <rFont val="WenQuanYi Zen Hei"/>
        <family val="2"/>
      </rPr>
      <t xml:space="preserve">연대기금</t>
    </r>
  </si>
  <si>
    <t xml:space="preserve">18</t>
  </si>
  <si>
    <r>
      <rPr>
        <sz val="10"/>
        <rFont val="WenQuanYi Zen Hei"/>
        <family val="2"/>
      </rPr>
      <t xml:space="preserve">예산안 제출 준비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연금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부채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방위비 사이의 줄타기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</si>
  <si>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월 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일 제출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연말 미통과 시 잠정 집행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81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)</t>
    </r>
  </si>
  <si>
    <t xml:space="preserve">19</t>
  </si>
  <si>
    <r>
      <rPr>
        <sz val="10"/>
        <rFont val="Arial"/>
        <family val="0"/>
        <charset val="1"/>
      </rPr>
      <t xml:space="preserve">13</t>
    </r>
    <r>
      <rPr>
        <sz val="10"/>
        <rFont val="WenQuanYi Zen Hei"/>
        <family val="2"/>
      </rPr>
      <t xml:space="preserve">부</t>
    </r>
  </si>
  <si>
    <r>
      <rPr>
        <sz val="10"/>
        <rFont val="WenQuanYi Zen Hei"/>
        <family val="2"/>
      </rPr>
      <t xml:space="preserve">임기 후반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사무소를 재단으로 전환</t>
    </r>
  </si>
  <si>
    <r>
      <rPr>
        <sz val="10"/>
        <rFont val="WenQuanYi Zen Hei"/>
        <family val="2"/>
      </rPr>
      <t xml:space="preserve">정부 구성원 이해충돌</t>
    </r>
    <r>
      <rPr>
        <sz val="10"/>
        <rFont val="Arial"/>
        <family val="0"/>
        <charset val="1"/>
      </rPr>
      <t xml:space="preserve">(legge 215/2004)</t>
    </r>
  </si>
  <si>
    <r>
      <rPr>
        <b val="true"/>
        <sz val="10"/>
        <rFont val="Arial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가상 정당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실존 정당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정치인 사용 금지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</si>
  <si>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정당명 </t>
    </r>
    <r>
      <rPr>
        <b val="true"/>
        <sz val="10"/>
        <color rgb="FFFFFFFF"/>
        <rFont val="Noto Sans CJK SC"/>
        <family val="2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가상</t>
    </r>
    <r>
      <rPr>
        <b val="true"/>
        <sz val="10"/>
        <color rgb="FFFFFFFF"/>
        <rFont val="Noto Sans CJK SC"/>
        <family val="2"/>
        <charset val="1"/>
      </rPr>
      <t xml:space="preserve">)</t>
    </r>
  </si>
  <si>
    <t xml:space="preserve">성격</t>
  </si>
  <si>
    <t xml:space="preserve">이야기 속 역할</t>
  </si>
  <si>
    <t xml:space="preserve">CC</t>
  </si>
  <si>
    <t xml:space="preserve">Casa Comune</t>
  </si>
  <si>
    <r>
      <rPr>
        <sz val="10"/>
        <rFont val="WenQuanYi Zen Hei"/>
        <family val="2"/>
      </rPr>
      <t xml:space="preserve">주인공 정당</t>
    </r>
    <r>
      <rPr>
        <sz val="10"/>
        <rFont val="Arial"/>
        <family val="0"/>
        <charset val="1"/>
      </rPr>
      <t xml:space="preserve">. Rosa</t>
    </r>
    <r>
      <rPr>
        <sz val="10"/>
        <rFont val="WenQuanYi Zen Hei"/>
        <family val="2"/>
      </rPr>
      <t xml:space="preserve">의 식탁에서 나온 이름</t>
    </r>
  </si>
  <si>
    <r>
      <rPr>
        <sz val="10"/>
        <rFont val="WenQuanYi Zen Hei"/>
        <family val="2"/>
      </rPr>
      <t xml:space="preserve">시민 정당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창당 → 지방 → 총선 → 총리</t>
    </r>
  </si>
  <si>
    <t xml:space="preserve">UCN</t>
  </si>
  <si>
    <t xml:space="preserve">Unione Civica Nazionale</t>
  </si>
  <si>
    <t xml:space="preserve">거대 보수 정당</t>
  </si>
  <si>
    <r>
      <rPr>
        <sz val="10"/>
        <rFont val="WenQuanYi Zen Hei"/>
        <family val="2"/>
      </rPr>
      <t xml:space="preserve">현직 총리 배출</t>
    </r>
    <r>
      <rPr>
        <sz val="10"/>
        <rFont val="Arial"/>
        <family val="0"/>
        <charset val="1"/>
      </rPr>
      <t xml:space="preserve">, 1</t>
    </r>
    <r>
      <rPr>
        <sz val="10"/>
        <rFont val="WenQuanYi Zen Hei"/>
        <family val="2"/>
      </rPr>
      <t xml:space="preserve">차 총선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정부가 하원 신임 부결</t>
    </r>
  </si>
  <si>
    <t xml:space="preserve">PPS</t>
  </si>
  <si>
    <t xml:space="preserve">Partito del Progresso Sociale</t>
  </si>
  <si>
    <t xml:space="preserve">거대 중도좌파 정당</t>
  </si>
  <si>
    <r>
      <rPr>
        <sz val="10"/>
        <rFont val="WenQuanYi Zen Hei"/>
        <family val="2"/>
      </rPr>
      <t xml:space="preserve">재선거에서 </t>
    </r>
    <r>
      <rPr>
        <sz val="10"/>
        <rFont val="Arial"/>
        <family val="0"/>
        <charset val="1"/>
      </rPr>
      <t xml:space="preserve">52</t>
    </r>
    <r>
      <rPr>
        <sz val="10"/>
        <rFont val="WenQuanYi Zen Hei"/>
        <family val="2"/>
      </rPr>
      <t xml:space="preserve">석으로 추락</t>
    </r>
    <r>
      <rPr>
        <sz val="10"/>
        <rFont val="Arial"/>
        <family val="0"/>
        <charset val="1"/>
      </rPr>
      <t xml:space="preserve">, Marco </t>
    </r>
    <r>
      <rPr>
        <sz val="10"/>
        <rFont val="WenQuanYi Zen Hei"/>
        <family val="2"/>
      </rPr>
      <t xml:space="preserve">정부의 연정 파트너</t>
    </r>
  </si>
  <si>
    <t xml:space="preserve">IU</t>
  </si>
  <si>
    <t xml:space="preserve">Italia Unita</t>
  </si>
  <si>
    <t xml:space="preserve">민족주의 성향 소수당</t>
  </si>
  <si>
    <r>
      <rPr>
        <sz val="10"/>
        <rFont val="Arial"/>
        <family val="0"/>
        <charset val="1"/>
      </rPr>
      <t xml:space="preserve">UCN</t>
    </r>
    <r>
      <rPr>
        <sz val="10"/>
        <rFont val="WenQuanYi Zen Hei"/>
        <family val="2"/>
      </rPr>
      <t xml:space="preserve">과 함께 반대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불신임안 지지</t>
    </r>
  </si>
  <si>
    <t xml:space="preserve">TA</t>
  </si>
  <si>
    <t xml:space="preserve">Coalizione Territoriale A</t>
  </si>
  <si>
    <r>
      <rPr>
        <sz val="10"/>
        <rFont val="WenQuanYi Zen Hei"/>
        <family val="2"/>
      </rPr>
      <t xml:space="preserve">남부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섬 지역정당 연합</t>
    </r>
  </si>
  <si>
    <r>
      <rPr>
        <sz val="10"/>
        <rFont val="WenQuanYi Zen Hei"/>
        <family val="2"/>
      </rPr>
      <t xml:space="preserve">조건부 친여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필수 급부 수준 보장 요구</t>
    </r>
    <r>
      <rPr>
        <sz val="10"/>
        <rFont val="Arial"/>
        <family val="0"/>
        <charset val="1"/>
      </rPr>
      <t xml:space="preserve">)</t>
    </r>
  </si>
  <si>
    <t xml:space="preserve">TB</t>
  </si>
  <si>
    <t xml:space="preserve">Coalizione Territoriale B</t>
  </si>
  <si>
    <t xml:space="preserve">북부 자치주의 지역정당 연합</t>
  </si>
  <si>
    <r>
      <rPr>
        <sz val="10"/>
        <rFont val="WenQuanYi Zen Hei"/>
        <family val="2"/>
      </rPr>
      <t xml:space="preserve">캐스팅보트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차등 자치 가속을 조건으로 하원 기권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상원 반대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협상의 열쇠</t>
    </r>
    <r>
      <rPr>
        <sz val="1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</si>
  <si>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3-A. </t>
    </r>
    <r>
      <rPr>
        <b val="true"/>
        <sz val="10"/>
        <rFont val="WenQuanYi Zen Hei"/>
        <family val="2"/>
      </rPr>
      <t xml:space="preserve">총선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차 결과와 </t>
    </r>
    <r>
      <rPr>
        <b val="true"/>
        <sz val="10"/>
        <rFont val="Arial"/>
        <family val="0"/>
        <charset val="1"/>
      </rPr>
      <t xml:space="preserve">UCN </t>
    </r>
    <r>
      <rPr>
        <b val="true"/>
        <sz val="10"/>
        <rFont val="WenQuanYi Zen Hei"/>
        <family val="2"/>
      </rPr>
      <t xml:space="preserve">정부의 하원 신임 투표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가상</t>
    </r>
    <r>
      <rPr>
        <b val="true"/>
        <sz val="10"/>
        <rFont val="Arial"/>
        <family val="0"/>
        <charset val="1"/>
      </rPr>
      <t xml:space="preserve">, 10</t>
    </r>
    <r>
      <rPr>
        <b val="true"/>
        <sz val="10"/>
        <rFont val="WenQuanYi Zen Hei"/>
        <family val="2"/>
      </rPr>
      <t xml:space="preserve">부 </t>
    </r>
    <r>
      <rPr>
        <b val="true"/>
        <sz val="10"/>
        <rFont val="Arial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</si>
  <si>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t xml:space="preserve">정당</t>
  </si>
  <si>
    <t xml:space="preserve">의석</t>
  </si>
  <si>
    <t xml:space="preserve">표결</t>
  </si>
  <si>
    <t xml:space="preserve">비고</t>
  </si>
  <si>
    <t xml:space="preserve">Sì</t>
  </si>
  <si>
    <t xml:space="preserve">Astenuto</t>
  </si>
  <si>
    <t xml:space="preserve">총 의석</t>
  </si>
  <si>
    <r>
      <rPr>
        <b val="true"/>
        <sz val="10"/>
        <rFont val="WenQuanYi Zen Hei"/>
        <family val="2"/>
      </rPr>
      <t xml:space="preserve">절대다수 </t>
    </r>
    <r>
      <rPr>
        <b val="true"/>
        <sz val="10"/>
        <rFont val="Noto Sans CJK SC"/>
        <family val="2"/>
        <charset val="1"/>
      </rPr>
      <t xml:space="preserve">(</t>
    </r>
    <r>
      <rPr>
        <b val="true"/>
        <sz val="10"/>
        <rFont val="WenQuanYi Zen Hei"/>
        <family val="2"/>
      </rPr>
      <t xml:space="preserve">참고</t>
    </r>
    <r>
      <rPr>
        <b val="true"/>
        <sz val="10"/>
        <rFont val="Noto Sans CJK SC"/>
        <family val="2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</si>
  <si>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찬성 </t>
    </r>
    <r>
      <rPr>
        <b val="true"/>
        <sz val="10"/>
        <rFont val="Noto Sans CJK SC"/>
        <family val="2"/>
        <charset val="1"/>
      </rPr>
      <t xml:space="preserve">(Sì)</t>
    </r>
  </si>
  <si>
    <r>
      <rPr>
        <b val="true"/>
        <sz val="10"/>
        <rFont val="WenQuanYi Zen Hei"/>
        <family val="2"/>
      </rPr>
      <t xml:space="preserve">반대 </t>
    </r>
    <r>
      <rPr>
        <b val="true"/>
        <sz val="10"/>
        <rFont val="Noto Sans CJK SC"/>
        <family val="2"/>
        <charset val="1"/>
      </rPr>
      <t xml:space="preserve">(No)</t>
    </r>
  </si>
  <si>
    <r>
      <rPr>
        <b val="true"/>
        <sz val="10"/>
        <rFont val="WenQuanYi Zen Hei"/>
        <family val="2"/>
      </rPr>
      <t xml:space="preserve">기권 </t>
    </r>
    <r>
      <rPr>
        <b val="true"/>
        <sz val="10"/>
        <rFont val="Noto Sans CJK SC"/>
        <family val="2"/>
        <charset val="1"/>
      </rPr>
      <t xml:space="preserve">(Astenuto)</t>
    </r>
  </si>
  <si>
    <r>
      <rPr>
        <b val="true"/>
        <sz val="10"/>
        <rFont val="WenQuanYi Zen Hei"/>
        <family val="2"/>
      </rPr>
      <t xml:space="preserve">불참 </t>
    </r>
    <r>
      <rPr>
        <b val="true"/>
        <sz val="10"/>
        <rFont val="Noto Sans CJK SC"/>
        <family val="2"/>
        <charset val="1"/>
      </rPr>
      <t xml:space="preserve">(Assente)</t>
    </r>
  </si>
  <si>
    <t xml:space="preserve">결과</t>
  </si>
  <si>
    <r>
      <rPr>
        <sz val="10"/>
        <rFont val="WenQuanYi Zen Hei"/>
        <family val="2"/>
      </rPr>
      <t xml:space="preserve">찬성 </t>
    </r>
    <r>
      <rPr>
        <sz val="10"/>
        <rFont val="Arial"/>
        <family val="0"/>
        <charset val="1"/>
      </rPr>
      <t xml:space="preserve">&gt; </t>
    </r>
    <r>
      <rPr>
        <sz val="10"/>
        <rFont val="WenQuanYi Zen Hei"/>
        <family val="2"/>
      </rPr>
      <t xml:space="preserve">반대이면 가결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단순다수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</si>
  <si>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해석</t>
    </r>
    <r>
      <rPr>
        <i val="true"/>
        <sz val="9"/>
        <color rgb="FF595959"/>
        <rFont val="Noto Sans CJK SC"/>
        <family val="2"/>
        <charset val="1"/>
      </rPr>
      <t xml:space="preserve">: UCN </t>
    </r>
    <r>
      <rPr>
        <i val="true"/>
        <sz val="9"/>
        <color rgb="FF595959"/>
        <rFont val="WenQuanYi Zen Hei"/>
        <family val="2"/>
      </rPr>
      <t xml:space="preserve">정부는 찬성 </t>
    </r>
    <r>
      <rPr>
        <i val="true"/>
        <sz val="9"/>
        <color rgb="FF595959"/>
        <rFont val="Noto Sans CJK SC"/>
        <family val="2"/>
        <charset val="1"/>
      </rPr>
      <t xml:space="preserve">185 </t>
    </r>
    <r>
      <rPr>
        <i val="true"/>
        <sz val="9"/>
        <color rgb="FF595959"/>
        <rFont val="WenQuanYi Zen Hei"/>
        <family val="2"/>
      </rPr>
      <t xml:space="preserve">대 반대 </t>
    </r>
    <r>
      <rPr>
        <i val="true"/>
        <sz val="9"/>
        <color rgb="FF595959"/>
        <rFont val="Noto Sans CJK SC"/>
        <family val="2"/>
        <charset val="1"/>
      </rPr>
      <t xml:space="preserve">190</t>
    </r>
    <r>
      <rPr>
        <i val="true"/>
        <sz val="9"/>
        <color rgb="FF595959"/>
        <rFont val="WenQuanYi Zen Hei"/>
        <family val="2"/>
      </rPr>
      <t xml:space="preserve">으로 하원 신임을 얻지 못한다</t>
    </r>
    <r>
      <rPr>
        <i val="true"/>
        <sz val="9"/>
        <color rgb="FF595959"/>
        <rFont val="Noto Sans CJK SC"/>
        <family val="2"/>
        <charset val="1"/>
      </rPr>
      <t xml:space="preserve">(TB </t>
    </r>
    <r>
      <rPr>
        <i val="true"/>
        <sz val="9"/>
        <color rgb="FF595959"/>
        <rFont val="WenQuanYi Zen Hei"/>
        <family val="2"/>
      </rPr>
      <t xml:space="preserve">기권 </t>
    </r>
    <r>
      <rPr>
        <i val="true"/>
        <sz val="9"/>
        <color rgb="FF595959"/>
        <rFont val="Noto Sans CJK SC"/>
        <family val="2"/>
        <charset val="1"/>
      </rPr>
      <t xml:space="preserve">25). </t>
    </r>
    <r>
      <rPr>
        <i val="true"/>
        <sz val="9"/>
        <color rgb="FF595959"/>
        <rFont val="WenQuanYi Zen Hei"/>
        <family val="2"/>
      </rPr>
      <t xml:space="preserve">신임 없는 정부는 사퇴하고 일상 업무만 처리한다</t>
    </r>
    <r>
      <rPr>
        <i val="true"/>
        <sz val="9"/>
        <color rgb="FF595959"/>
        <rFont val="Noto Sans CJK SC"/>
        <family val="2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대통령은 탐색 위임을 시도하지만 다수파가 나오지 않자 양원 의장의 의견을 들어 해산한다</t>
    </r>
    <r>
      <rPr>
        <i val="true"/>
        <sz val="9"/>
        <color rgb="FF595959"/>
        <rFont val="Noto Sans CJK SC"/>
        <family val="2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헌법 제</t>
    </r>
    <r>
      <rPr>
        <i val="true"/>
        <sz val="9"/>
        <color rgb="FF595959"/>
        <rFont val="Noto Sans CJK SC"/>
        <family val="2"/>
        <charset val="1"/>
      </rPr>
      <t xml:space="preserve">88</t>
    </r>
    <r>
      <rPr>
        <i val="true"/>
        <sz val="9"/>
        <color rgb="FF595959"/>
        <rFont val="WenQuanYi Zen Hei"/>
        <family val="2"/>
      </rPr>
      <t xml:space="preserve">조</t>
    </r>
    <r>
      <rPr>
        <i val="true"/>
        <sz val="9"/>
        <color rgb="FF595959"/>
        <rFont val="Noto Sans CJK SC"/>
        <family val="2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첫 정부가 신임 투표에서 부결된 실제 선례가 있다</t>
    </r>
    <r>
      <rPr>
        <i val="true"/>
        <sz val="9"/>
        <color rgb="FF595959"/>
        <rFont val="Noto Sans CJK SC"/>
        <family val="2"/>
        <charset val="1"/>
      </rPr>
      <t xml:space="preserve">(1987</t>
    </r>
    <r>
      <rPr>
        <i val="true"/>
        <sz val="9"/>
        <color rgb="FF595959"/>
        <rFont val="WenQuanYi Zen Hei"/>
        <family val="2"/>
      </rPr>
      <t xml:space="preserve">년 등</t>
    </r>
    <r>
      <rPr>
        <i val="true"/>
        <sz val="9"/>
        <color rgb="FF595959"/>
        <rFont val="Noto Sans CJK SC"/>
        <family val="2"/>
        <charset val="1"/>
      </rPr>
      <t xml:space="preserve">).</t>
    </r>
  </si>
  <si>
    <r>
      <rPr>
        <b val="true"/>
        <sz val="10"/>
        <rFont val="Arial"/>
        <family val="0"/>
        <charset val="1"/>
      </rPr>
      <t xml:space="preserve">3-B. </t>
    </r>
    <r>
      <rPr>
        <b val="true"/>
        <sz val="10"/>
        <rFont val="WenQuanYi Zen Hei"/>
        <family val="2"/>
      </rPr>
      <t xml:space="preserve">재선거 결과와 </t>
    </r>
    <r>
      <rPr>
        <b val="true"/>
        <sz val="10"/>
        <rFont val="Arial"/>
        <family val="0"/>
        <charset val="1"/>
      </rPr>
      <t xml:space="preserve">Marco </t>
    </r>
    <r>
      <rPr>
        <b val="true"/>
        <sz val="10"/>
        <rFont val="WenQuanYi Zen Hei"/>
        <family val="2"/>
      </rPr>
      <t xml:space="preserve">정부의 양원 신임 투표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가상</t>
    </r>
    <r>
      <rPr>
        <b val="true"/>
        <sz val="10"/>
        <rFont val="Arial"/>
        <family val="0"/>
        <charset val="1"/>
      </rPr>
      <t xml:space="preserve">, 10</t>
    </r>
    <r>
      <rPr>
        <b val="true"/>
        <sz val="10"/>
        <rFont val="WenQuanYi Zen Hei"/>
        <family val="2"/>
      </rPr>
      <t xml:space="preserve">부 </t>
    </r>
    <r>
      <rPr>
        <b val="true"/>
        <sz val="10"/>
        <rFont val="Arial"/>
        <family val="0"/>
        <charset val="1"/>
      </rPr>
      <t xml:space="preserve">12</t>
    </r>
    <r>
      <rPr>
        <b val="true"/>
        <sz val="10"/>
        <rFont val="WenQuanYi Zen Hei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</si>
  <si>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t xml:space="preserve">하원 의석</t>
  </si>
  <si>
    <t xml:space="preserve">하원 표결</t>
  </si>
  <si>
    <t xml:space="preserve">상원 의석</t>
  </si>
  <si>
    <t xml:space="preserve">상원 표결</t>
  </si>
  <si>
    <r>
      <rPr>
        <b val="true"/>
        <sz val="10"/>
        <rFont val="WenQuanYi Zen Hei"/>
        <family val="2"/>
      </rPr>
      <t xml:space="preserve">종신 상원의원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찬성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</si>
  <si>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종신 상원의원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반대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</si>
  <si>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종신 상원의원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불참</t>
    </r>
    <r>
      <rPr>
        <b val="true"/>
        <sz val="10"/>
        <rFont val="Arial"/>
        <family val="0"/>
        <charset val="1"/>
      </rPr>
      <t xml:space="preserve">)</t>
    </r>
  </si>
  <si>
    <t xml:space="preserve">Assente</t>
  </si>
  <si>
    <t xml:space="preserve">선출 의석 합계</t>
  </si>
  <si>
    <t xml:space="preserve">종신 상원의원</t>
  </si>
  <si>
    <r>
      <rPr>
        <sz val="10"/>
        <rFont val="WenQuanYi Zen Hei"/>
        <family val="2"/>
      </rPr>
      <t xml:space="preserve">투표권 있음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가상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명</t>
    </r>
    <r>
      <rPr>
        <sz val="10"/>
        <rFont val="Arial"/>
        <family val="0"/>
        <charset val="1"/>
      </rPr>
      <t xml:space="preserve">)</t>
    </r>
  </si>
  <si>
    <t xml:space="preserve">상원 표 차</t>
  </si>
  <si>
    <r>
      <rPr>
        <i val="true"/>
        <sz val="9"/>
        <color rgb="FF595959"/>
        <rFont val="WenQuanYi Zen Hei"/>
        <family val="2"/>
      </rPr>
      <t xml:space="preserve">해석</t>
    </r>
    <r>
      <rPr>
        <i val="true"/>
        <sz val="9"/>
        <color rgb="FF595959"/>
        <rFont val="Noto Sans CJK SC"/>
        <family val="2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하원은 </t>
    </r>
    <r>
      <rPr>
        <i val="true"/>
        <sz val="9"/>
        <color rgb="FF595959"/>
        <rFont val="Noto Sans CJK SC"/>
        <family val="2"/>
        <charset val="1"/>
      </rPr>
      <t xml:space="preserve">CC·PPS·TA</t>
    </r>
    <r>
      <rPr>
        <i val="true"/>
        <sz val="9"/>
        <color rgb="FF595959"/>
        <rFont val="WenQuanYi Zen Hei"/>
        <family val="2"/>
      </rPr>
      <t xml:space="preserve">의 </t>
    </r>
    <r>
      <rPr>
        <i val="true"/>
        <sz val="9"/>
        <color rgb="FF595959"/>
        <rFont val="Noto Sans CJK SC"/>
        <family val="2"/>
        <charset val="1"/>
      </rPr>
      <t xml:space="preserve">202</t>
    </r>
    <r>
      <rPr>
        <i val="true"/>
        <sz val="9"/>
        <color rgb="FF595959"/>
        <rFont val="WenQuanYi Zen Hei"/>
        <family val="2"/>
      </rPr>
      <t xml:space="preserve">표로 여유 있게 통과</t>
    </r>
    <r>
      <rPr>
        <i val="true"/>
        <sz val="9"/>
        <color rgb="FF595959"/>
        <rFont val="Noto Sans CJK SC"/>
        <family val="2"/>
        <charset val="1"/>
      </rPr>
      <t xml:space="preserve">(TB </t>
    </r>
    <r>
      <rPr>
        <i val="true"/>
        <sz val="9"/>
        <color rgb="FF595959"/>
        <rFont val="WenQuanYi Zen Hei"/>
        <family val="2"/>
      </rPr>
      <t xml:space="preserve">기권</t>
    </r>
    <r>
      <rPr>
        <i val="true"/>
        <sz val="9"/>
        <color rgb="FF595959"/>
        <rFont val="Noto Sans CJK SC"/>
        <family val="2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상원에서는 </t>
    </r>
    <r>
      <rPr>
        <i val="true"/>
        <sz val="9"/>
        <color rgb="FF595959"/>
        <rFont val="Noto Sans CJK SC"/>
        <family val="2"/>
        <charset val="1"/>
      </rPr>
      <t xml:space="preserve">TB</t>
    </r>
    <r>
      <rPr>
        <i val="true"/>
        <sz val="9"/>
        <color rgb="FF595959"/>
        <rFont val="WenQuanYi Zen Hei"/>
        <family val="2"/>
      </rPr>
      <t xml:space="preserve">가 차등 자치 조건을 이유로 반대로 돌아서 선출 의원만으로는 </t>
    </r>
    <r>
      <rPr>
        <i val="true"/>
        <sz val="9"/>
        <color rgb="FF595959"/>
        <rFont val="Noto Sans CJK SC"/>
        <family val="2"/>
        <charset val="1"/>
      </rPr>
      <t xml:space="preserve">100 </t>
    </r>
    <r>
      <rPr>
        <i val="true"/>
        <sz val="9"/>
        <color rgb="FF595959"/>
        <rFont val="WenQuanYi Zen Hei"/>
        <family val="2"/>
      </rPr>
      <t xml:space="preserve">대 </t>
    </r>
    <r>
      <rPr>
        <i val="true"/>
        <sz val="9"/>
        <color rgb="FF595959"/>
        <rFont val="Noto Sans CJK SC"/>
        <family val="2"/>
        <charset val="1"/>
      </rPr>
      <t xml:space="preserve">100 </t>
    </r>
    <r>
      <rPr>
        <i val="true"/>
        <sz val="9"/>
        <color rgb="FF595959"/>
        <rFont val="WenQuanYi Zen Hei"/>
        <family val="2"/>
      </rPr>
      <t xml:space="preserve">동수 — 종신 상원의원 두 명의 찬성과 한 명의 반대로 </t>
    </r>
    <r>
      <rPr>
        <i val="true"/>
        <sz val="9"/>
        <color rgb="FF595959"/>
        <rFont val="Noto Sans CJK SC"/>
        <family val="2"/>
        <charset val="1"/>
      </rPr>
      <t xml:space="preserve">102 </t>
    </r>
    <r>
      <rPr>
        <i val="true"/>
        <sz val="9"/>
        <color rgb="FF595959"/>
        <rFont val="WenQuanYi Zen Hei"/>
        <family val="2"/>
      </rPr>
      <t xml:space="preserve">대 </t>
    </r>
    <r>
      <rPr>
        <i val="true"/>
        <sz val="9"/>
        <color rgb="FF595959"/>
        <rFont val="Noto Sans CJK SC"/>
        <family val="2"/>
        <charset val="1"/>
      </rPr>
      <t xml:space="preserve">101, 1</t>
    </r>
    <r>
      <rPr>
        <i val="true"/>
        <sz val="9"/>
        <color rgb="FF595959"/>
        <rFont val="WenQuanYi Zen Hei"/>
        <family val="2"/>
      </rPr>
      <t xml:space="preserve">표 차로 신임이 가결된다</t>
    </r>
    <r>
      <rPr>
        <i val="true"/>
        <sz val="9"/>
        <color rgb="FF595959"/>
        <rFont val="Noto Sans CJK SC"/>
        <family val="2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종신 상원의원의 표가 정부의 운명을 가른 실제 사례</t>
    </r>
    <r>
      <rPr>
        <i val="true"/>
        <sz val="9"/>
        <color rgb="FF595959"/>
        <rFont val="Noto Sans CJK SC"/>
        <family val="2"/>
        <charset val="1"/>
      </rPr>
      <t xml:space="preserve">(2006</t>
    </r>
    <r>
      <rPr>
        <i val="true"/>
        <sz val="9"/>
        <color rgb="FF595959"/>
        <rFont val="WenQuanYi Zen Hei"/>
        <family val="2"/>
      </rPr>
      <t xml:space="preserve">년 등</t>
    </r>
    <r>
      <rPr>
        <i val="true"/>
        <sz val="9"/>
        <color rgb="FF595959"/>
        <rFont val="Noto Sans CJK SC"/>
        <family val="2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가 있다</t>
    </r>
    <r>
      <rPr>
        <i val="true"/>
        <sz val="9"/>
        <color rgb="FF595959"/>
        <rFont val="Noto Sans CJK SC"/>
        <family val="2"/>
        <charset val="1"/>
      </rPr>
      <t xml:space="preserve">.</t>
    </r>
  </si>
  <si>
    <r>
      <rPr>
        <b val="true"/>
        <sz val="10"/>
        <rFont val="Arial"/>
        <family val="0"/>
        <charset val="1"/>
      </rPr>
      <t xml:space="preserve">3-C. </t>
    </r>
    <r>
      <rPr>
        <b val="true"/>
        <sz val="10"/>
        <rFont val="WenQuanYi Zen Hei"/>
        <family val="2"/>
      </rPr>
      <t xml:space="preserve">야당의 불신임안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가상</t>
    </r>
    <r>
      <rPr>
        <b val="true"/>
        <sz val="10"/>
        <rFont val="Arial"/>
        <family val="0"/>
        <charset val="1"/>
      </rPr>
      <t xml:space="preserve">, 12</t>
    </r>
    <r>
      <rPr>
        <b val="true"/>
        <sz val="10"/>
        <rFont val="WenQuanYi Zen Hei"/>
        <family val="2"/>
      </rPr>
      <t xml:space="preserve">부 </t>
    </r>
    <r>
      <rPr>
        <b val="true"/>
        <sz val="10"/>
        <rFont val="Arial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하원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</si>
  <si>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찬성 </t>
    </r>
    <r>
      <rPr>
        <sz val="10"/>
        <rFont val="Arial"/>
        <family val="0"/>
        <charset val="1"/>
      </rPr>
      <t xml:space="preserve">&gt; </t>
    </r>
    <r>
      <rPr>
        <sz val="10"/>
        <rFont val="WenQuanYi Zen Hei"/>
        <family val="2"/>
      </rPr>
      <t xml:space="preserve">반대이면 가결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대안 후보 불필요</t>
    </r>
    <r>
      <rPr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</si>
  <si>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발의 필요 서명 </t>
    </r>
    <r>
      <rPr>
        <b val="true"/>
        <sz val="10"/>
        <rFont val="Noto Sans CJK SC"/>
        <family val="2"/>
        <charset val="1"/>
      </rPr>
      <t xml:space="preserve">(1/10)</t>
    </r>
  </si>
  <si>
    <r>
      <rPr>
        <i val="true"/>
        <sz val="9"/>
        <color rgb="FF595959"/>
        <rFont val="WenQuanYi Zen Hei"/>
        <family val="2"/>
      </rPr>
      <t xml:space="preserve">해석</t>
    </r>
    <r>
      <rPr>
        <i val="true"/>
        <sz val="9"/>
        <color rgb="FF595959"/>
        <rFont val="Noto Sans CJK SC"/>
        <family val="2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발의 요건</t>
    </r>
    <r>
      <rPr>
        <i val="true"/>
        <sz val="9"/>
        <color rgb="FF595959"/>
        <rFont val="Noto Sans CJK SC"/>
        <family val="2"/>
        <charset val="1"/>
      </rPr>
      <t xml:space="preserve">(40</t>
    </r>
    <r>
      <rPr>
        <i val="true"/>
        <sz val="9"/>
        <color rgb="FF595959"/>
        <rFont val="WenQuanYi Zen Hei"/>
        <family val="2"/>
      </rPr>
      <t xml:space="preserve">명</t>
    </r>
    <r>
      <rPr>
        <i val="true"/>
        <sz val="9"/>
        <color rgb="FF595959"/>
        <rFont val="Noto Sans CJK SC"/>
        <family val="2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은 </t>
    </r>
    <r>
      <rPr>
        <i val="true"/>
        <sz val="9"/>
        <color rgb="FF595959"/>
        <rFont val="Noto Sans CJK SC"/>
        <family val="2"/>
        <charset val="1"/>
      </rPr>
      <t xml:space="preserve">UCN </t>
    </r>
    <r>
      <rPr>
        <i val="true"/>
        <sz val="9"/>
        <color rgb="FF595959"/>
        <rFont val="WenQuanYi Zen Hei"/>
        <family val="2"/>
      </rPr>
      <t xml:space="preserve">단독으로 충족하지만</t>
    </r>
    <r>
      <rPr>
        <i val="true"/>
        <sz val="9"/>
        <color rgb="FF595959"/>
        <rFont val="Noto Sans CJK SC"/>
        <family val="2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찬성 </t>
    </r>
    <r>
      <rPr>
        <i val="true"/>
        <sz val="9"/>
        <color rgb="FF595959"/>
        <rFont val="Noto Sans CJK SC"/>
        <family val="2"/>
        <charset val="1"/>
      </rPr>
      <t xml:space="preserve">160 </t>
    </r>
    <r>
      <rPr>
        <i val="true"/>
        <sz val="9"/>
        <color rgb="FF595959"/>
        <rFont val="WenQuanYi Zen Hei"/>
        <family val="2"/>
      </rPr>
      <t xml:space="preserve">대 반대 </t>
    </r>
    <r>
      <rPr>
        <i val="true"/>
        <sz val="9"/>
        <color rgb="FF595959"/>
        <rFont val="Noto Sans CJK SC"/>
        <family val="2"/>
        <charset val="1"/>
      </rPr>
      <t xml:space="preserve">202</t>
    </r>
    <r>
      <rPr>
        <i val="true"/>
        <sz val="9"/>
        <color rgb="FF595959"/>
        <rFont val="WenQuanYi Zen Hei"/>
        <family val="2"/>
      </rPr>
      <t xml:space="preserve">로 부결</t>
    </r>
    <r>
      <rPr>
        <i val="true"/>
        <sz val="9"/>
        <color rgb="FF595959"/>
        <rFont val="Noto Sans CJK SC"/>
        <family val="2"/>
        <charset val="1"/>
      </rPr>
      <t xml:space="preserve">(TB </t>
    </r>
    <r>
      <rPr>
        <i val="true"/>
        <sz val="9"/>
        <color rgb="FF595959"/>
        <rFont val="WenQuanYi Zen Hei"/>
        <family val="2"/>
      </rPr>
      <t xml:space="preserve">기권 </t>
    </r>
    <r>
      <rPr>
        <i val="true"/>
        <sz val="9"/>
        <color rgb="FF595959"/>
        <rFont val="Noto Sans CJK SC"/>
        <family val="2"/>
        <charset val="1"/>
      </rPr>
      <t xml:space="preserve">38). </t>
    </r>
    <r>
      <rPr>
        <i val="true"/>
        <sz val="9"/>
        <color rgb="FF595959"/>
        <rFont val="WenQuanYi Zen Hei"/>
        <family val="2"/>
      </rPr>
      <t xml:space="preserve">제출 후 </t>
    </r>
    <r>
      <rPr>
        <i val="true"/>
        <sz val="9"/>
        <color rgb="FF595959"/>
        <rFont val="Noto Sans CJK SC"/>
        <family val="2"/>
        <charset val="1"/>
      </rPr>
      <t xml:space="preserve">3</t>
    </r>
    <r>
      <rPr>
        <i val="true"/>
        <sz val="9"/>
        <color rgb="FF595959"/>
        <rFont val="WenQuanYi Zen Hei"/>
        <family val="2"/>
      </rPr>
      <t xml:space="preserve">일이 지나야 토론할 수 있고 호명 투표로 표결한다</t>
    </r>
    <r>
      <rPr>
        <i val="true"/>
        <sz val="9"/>
        <color rgb="FF595959"/>
        <rFont val="Noto Sans CJK SC"/>
        <family val="2"/>
        <charset val="1"/>
      </rPr>
      <t xml:space="preserve">. PPS(52</t>
    </r>
    <r>
      <rPr>
        <i val="true"/>
        <sz val="9"/>
        <color rgb="FF595959"/>
        <rFont val="WenQuanYi Zen Hei"/>
        <family val="2"/>
      </rPr>
      <t xml:space="preserve">석</t>
    </r>
    <r>
      <rPr>
        <i val="true"/>
        <sz val="9"/>
        <color rgb="FF595959"/>
        <rFont val="Noto Sans CJK SC"/>
        <family val="2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가 돌아서면 찬성 </t>
    </r>
    <r>
      <rPr>
        <i val="true"/>
        <sz val="9"/>
        <color rgb="FF595959"/>
        <rFont val="Noto Sans CJK SC"/>
        <family val="2"/>
        <charset val="1"/>
      </rPr>
      <t xml:space="preserve">212 </t>
    </r>
    <r>
      <rPr>
        <i val="true"/>
        <sz val="9"/>
        <color rgb="FF595959"/>
        <rFont val="WenQuanYi Zen Hei"/>
        <family val="2"/>
      </rPr>
      <t xml:space="preserve">대 반대 </t>
    </r>
    <r>
      <rPr>
        <i val="true"/>
        <sz val="9"/>
        <color rgb="FF595959"/>
        <rFont val="Noto Sans CJK SC"/>
        <family val="2"/>
        <charset val="1"/>
      </rPr>
      <t xml:space="preserve">150</t>
    </r>
    <r>
      <rPr>
        <i val="true"/>
        <sz val="9"/>
        <color rgb="FF595959"/>
        <rFont val="WenQuanYi Zen Hei"/>
        <family val="2"/>
      </rPr>
      <t xml:space="preserve">으로 가결될 수 있다는 긴장이 이 화의 서스펜스</t>
    </r>
    <r>
      <rPr>
        <i val="true"/>
        <sz val="9"/>
        <color rgb="FF595959"/>
        <rFont val="Noto Sans CJK SC"/>
        <family val="2"/>
        <charset val="1"/>
      </rPr>
      <t xml:space="preserve">.</t>
    </r>
  </si>
  <si>
    <r>
      <rPr>
        <b val="true"/>
        <sz val="10"/>
        <rFont val="Arial"/>
        <family val="0"/>
        <charset val="1"/>
      </rPr>
      <t xml:space="preserve">4. </t>
    </r>
    <r>
      <rPr>
        <b val="true"/>
        <sz val="10"/>
        <rFont val="WenQuanYi Zen Hei"/>
        <family val="2"/>
      </rPr>
      <t xml:space="preserve">이야기 속 엑스트라 화자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전부 가상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</si>
  <si>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PRESIDENTE DELLA CAMERA / PRESIDENTE DEL SENATO(</t>
    </r>
    <r>
      <rPr>
        <sz val="10"/>
        <rFont val="WenQuanYi Zen Hei"/>
        <family val="2"/>
      </rPr>
      <t xml:space="preserve">표결 결과를 낭독</t>
    </r>
    <r>
      <rPr>
        <sz val="10"/>
        <rFont val="Arial"/>
        <family val="0"/>
        <charset val="1"/>
      </rPr>
      <t xml:space="preserve">), SINDACO / SINDACA(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), PRESIDENTE DEL CONSIGLIO USCENTE(UCN, 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), MODERATRICE(TV </t>
    </r>
    <r>
      <rPr>
        <sz val="10"/>
        <rFont val="WenQuanYi Zen Hei"/>
        <family val="2"/>
      </rPr>
      <t xml:space="preserve">토론</t>
    </r>
    <r>
      <rPr>
        <sz val="10"/>
        <rFont val="Arial"/>
        <family val="0"/>
        <charset val="1"/>
      </rPr>
      <t xml:space="preserve">), NOTAIO(13</t>
    </r>
    <r>
      <rPr>
        <sz val="10"/>
        <rFont val="WenQuanYi Zen Hei"/>
        <family val="2"/>
      </rPr>
      <t xml:space="preserve">부 유언장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대통령</t>
    </r>
    <r>
      <rPr>
        <sz val="10"/>
        <rFont val="Arial"/>
        <family val="0"/>
        <charset val="1"/>
      </rPr>
      <t xml:space="preserve">(Presidente della Repubblica)</t>
    </r>
    <r>
      <rPr>
        <sz val="10"/>
        <rFont val="WenQuanYi Zen Hei"/>
        <family val="2"/>
      </rPr>
      <t xml:space="preserve">은 직접 대사를 주지 않고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협의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조각 위임 결과는 대통령실 사무총장의 발표문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이나 인물들의 대사로 전달한다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실존 정치인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정당명은 쓰지 않는다</t>
    </r>
    <r>
      <rPr>
        <sz val="10"/>
        <rFont val="Arial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</si>
  <si>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호칭 규칙 </t>
    </r>
    <r>
      <rPr>
        <b val="true"/>
        <sz val="14"/>
        <color rgb="FF1F3864"/>
        <rFont val="Noto Sans CJK SC"/>
        <family val="2"/>
        <charset val="1"/>
      </rPr>
      <t xml:space="preserve">(tu / Lei / voi / Loro)</t>
    </r>
  </si>
  <si>
    <r>
      <rPr>
        <i val="true"/>
        <sz val="9"/>
        <color rgb="FF595959"/>
        <rFont val="WenQuanYi Zen Hei"/>
        <family val="2"/>
      </rPr>
      <t xml:space="preserve">표준 이탈리아어 기준</t>
    </r>
    <r>
      <rPr>
        <i val="true"/>
        <sz val="9"/>
        <color rgb="FF595959"/>
        <rFont val="Noto Sans CJK SC"/>
        <family val="2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격식 복수 </t>
    </r>
    <r>
      <rPr>
        <i val="true"/>
        <sz val="9"/>
        <color rgb="FF595959"/>
        <rFont val="Noto Sans CJK SC"/>
        <family val="2"/>
        <charset val="1"/>
      </rPr>
      <t xml:space="preserve">Loro</t>
    </r>
    <r>
      <rPr>
        <i val="true"/>
        <sz val="9"/>
        <color rgb="FF595959"/>
        <rFont val="WenQuanYi Zen Hei"/>
        <family val="2"/>
      </rPr>
      <t xml:space="preserve">는 현대 구어에서 거의 쓰지 않으므로 </t>
    </r>
    <r>
      <rPr>
        <i val="true"/>
        <sz val="9"/>
        <color rgb="FF595959"/>
        <rFont val="Noto Sans CJK SC"/>
        <family val="2"/>
        <charset val="1"/>
      </rPr>
      <t xml:space="preserve">Cesare</t>
    </r>
    <r>
      <rPr>
        <i val="true"/>
        <sz val="9"/>
        <color rgb="FF595959"/>
        <rFont val="WenQuanYi Zen Hei"/>
        <family val="2"/>
      </rPr>
      <t xml:space="preserve">의 고풍 캐릭터 장치로만 사용</t>
    </r>
    <r>
      <rPr>
        <i val="true"/>
        <sz val="9"/>
        <color rgb="FF595959"/>
        <rFont val="Noto Sans CJK SC"/>
        <family val="2"/>
        <charset val="1"/>
      </rPr>
      <t xml:space="preserve">. 2~5</t>
    </r>
    <r>
      <rPr>
        <i val="true"/>
        <sz val="9"/>
        <color rgb="FF595959"/>
        <rFont val="WenQuanYi Zen Hei"/>
        <family val="2"/>
      </rPr>
      <t xml:space="preserve">부 </t>
    </r>
    <r>
      <rPr>
        <i val="true"/>
        <sz val="9"/>
        <color rgb="FF595959"/>
        <rFont val="Noto Sans CJK SC"/>
        <family val="2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사무소 프레임 장면</t>
    </r>
    <r>
      <rPr>
        <i val="true"/>
        <sz val="9"/>
        <color rgb="FF595959"/>
        <rFont val="Noto Sans CJK SC"/>
        <family val="2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은 </t>
    </r>
    <r>
      <rPr>
        <i val="true"/>
        <sz val="9"/>
        <color rgb="FF595959"/>
        <rFont val="Noto Sans CJK SC"/>
        <family val="2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부와 같은 규칙을 따른다</t>
    </r>
    <r>
      <rPr>
        <i val="true"/>
        <sz val="9"/>
        <color rgb="FF595959"/>
        <rFont val="Noto Sans CJK SC"/>
        <family val="2"/>
        <charset val="1"/>
      </rPr>
      <t xml:space="preserve">.</t>
    </r>
  </si>
  <si>
    <t xml:space="preserve">화자 → 청자</t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</si>
  <si>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부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현재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</si>
  <si>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2~5</t>
    </r>
    <r>
      <rPr>
        <b val="true"/>
        <sz val="10"/>
        <color rgb="FFFFFFFF"/>
        <rFont val="WenQuanYi Zen Hei"/>
        <family val="2"/>
      </rPr>
      <t xml:space="preserve">부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각자의 과거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</si>
  <si>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부 이후</t>
    </r>
  </si>
  <si>
    <r>
      <rPr>
        <b val="true"/>
        <sz val="10"/>
        <rFont val="WenQuanYi Zen Hei"/>
        <family val="2"/>
      </rPr>
      <t xml:space="preserve">주력 </t>
    </r>
    <r>
      <rPr>
        <b val="true"/>
        <sz val="10"/>
        <rFont val="Noto Sans CJK SC"/>
        <family val="2"/>
        <charset val="1"/>
      </rPr>
      <t xml:space="preserve">4</t>
    </r>
    <r>
      <rPr>
        <b val="true"/>
        <sz val="10"/>
        <rFont val="WenQuanYi Zen Hei"/>
        <family val="2"/>
      </rPr>
      <t xml:space="preserve">인 상호</t>
    </r>
  </si>
  <si>
    <t xml:space="preserve">tu</t>
  </si>
  <si>
    <r>
      <rPr>
        <sz val="10"/>
        <rFont val="Arial"/>
        <family val="0"/>
        <charset val="1"/>
      </rPr>
      <t xml:space="preserve">Lei (</t>
    </r>
    <r>
      <rPr>
        <sz val="10"/>
        <rFont val="WenQuanYi Zen Hei"/>
        <family val="2"/>
      </rPr>
      <t xml:space="preserve">만나기 전이라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</si>
  <si>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부 만남을 기점으로 전환 — </t>
    </r>
    <r>
      <rPr>
        <sz val="10"/>
        <rFont val="Arial"/>
        <family val="0"/>
        <charset val="1"/>
      </rPr>
      <t xml:space="preserve">«Diamoci del tu.» </t>
    </r>
    <r>
      <rPr>
        <sz val="10"/>
        <rFont val="WenQuanYi Zen Hei"/>
        <family val="2"/>
      </rPr>
      <t xml:space="preserve">같은 전환 순간을 대사로 드러낼 것</t>
    </r>
  </si>
  <si>
    <r>
      <rPr>
        <b val="true"/>
        <sz val="10"/>
        <rFont val="WenQuanYi Zen Hei"/>
        <family val="2"/>
      </rPr>
      <t xml:space="preserve">주력 </t>
    </r>
    <r>
      <rPr>
        <b val="true"/>
        <sz val="10"/>
        <rFont val="Noto Sans CJK SC"/>
        <family val="2"/>
        <charset val="1"/>
      </rPr>
      <t xml:space="preserve">4</t>
    </r>
    <r>
      <rPr>
        <b val="true"/>
        <sz val="10"/>
        <rFont val="WenQuanYi Zen Hei"/>
        <family val="2"/>
      </rPr>
      <t xml:space="preserve">인 → </t>
    </r>
    <r>
      <rPr>
        <b val="true"/>
        <sz val="10"/>
        <rFont val="Noto Sans CJK SC"/>
        <family val="2"/>
        <charset val="1"/>
      </rPr>
      <t xml:space="preserve">Sofia</t>
    </r>
  </si>
  <si>
    <r>
      <rPr>
        <sz val="10"/>
        <rFont val="Arial"/>
        <family val="0"/>
        <charset val="1"/>
      </rPr>
      <t xml:space="preserve">tu (</t>
    </r>
    <r>
      <rPr>
        <sz val="10"/>
        <rFont val="WenQuanYi Zen Hei"/>
        <family val="2"/>
      </rPr>
      <t xml:space="preserve">프레임 장면</t>
    </r>
    <r>
      <rPr>
        <sz val="10"/>
        <rFont val="Arial"/>
        <family val="0"/>
        <charset val="1"/>
      </rPr>
      <t xml:space="preserve">)</t>
    </r>
  </si>
  <si>
    <r>
      <rPr>
        <b val="true"/>
        <sz val="10"/>
        <rFont val="Noto Sans CJK SC"/>
        <family val="2"/>
        <charset val="1"/>
      </rPr>
      <t xml:space="preserve">Sofia → </t>
    </r>
    <r>
      <rPr>
        <b val="true"/>
        <sz val="10"/>
        <rFont val="WenQuanYi Zen Hei"/>
        <family val="2"/>
      </rPr>
      <t xml:space="preserve">주력 </t>
    </r>
    <r>
      <rPr>
        <b val="true"/>
        <sz val="10"/>
        <rFont val="Noto Sans CJK SC"/>
        <family val="2"/>
        <charset val="1"/>
      </rPr>
      <t xml:space="preserve">4</t>
    </r>
    <r>
      <rPr>
        <b val="true"/>
        <sz val="10"/>
        <rFont val="WenQuanYi Zen Hei"/>
        <family val="2"/>
      </rPr>
      <t xml:space="preserve">인</t>
    </r>
  </si>
  <si>
    <t xml:space="preserve">Lei</t>
  </si>
  <si>
    <r>
      <rPr>
        <sz val="10"/>
        <rFont val="Arial"/>
        <family val="0"/>
        <charset val="1"/>
      </rPr>
      <t xml:space="preserve">Lei (</t>
    </r>
    <r>
      <rPr>
        <sz val="10"/>
        <rFont val="WenQuanYi Zen Hei"/>
        <family val="2"/>
      </rPr>
      <t xml:space="preserve">프레임 장면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</si>
  <si>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tu (</t>
    </r>
    <r>
      <rPr>
        <sz val="10"/>
        <rFont val="WenQuanYi Zen Hei"/>
        <family val="2"/>
      </rPr>
      <t xml:space="preserve">제안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</si>
  <si>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부에서는 이웃 사이라 </t>
    </r>
    <r>
      <rPr>
        <sz val="10"/>
        <rFont val="Arial"/>
        <family val="0"/>
        <charset val="1"/>
      </rPr>
      <t xml:space="preserve">tu, </t>
    </r>
    <r>
      <rPr>
        <sz val="10"/>
        <rFont val="WenQuanYi Zen Hei"/>
        <family val="2"/>
      </rPr>
      <t xml:space="preserve">인턴이 되면서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) Lei</t>
    </r>
    <r>
      <rPr>
        <sz val="10"/>
        <rFont val="WenQuanYi Zen Hei"/>
        <family val="2"/>
      </rPr>
      <t xml:space="preserve">로 바뀐다 —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화 대본에서 </t>
    </r>
    <r>
      <rPr>
        <sz val="10"/>
        <rFont val="Arial"/>
        <family val="0"/>
        <charset val="1"/>
      </rPr>
      <t xml:space="preserve">«Al Quarticciolo mi davi del tu.»</t>
    </r>
    <r>
      <rPr>
        <sz val="10"/>
        <rFont val="WenQuanYi Zen Hei"/>
        <family val="2"/>
      </rPr>
      <t xml:space="preserve">로 대사 설명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이후 </t>
    </r>
    <r>
      <rPr>
        <sz val="10"/>
        <rFont val="Arial"/>
        <family val="0"/>
        <charset val="1"/>
      </rPr>
      <t xml:space="preserve">tu</t>
    </r>
    <r>
      <rPr>
        <sz val="10"/>
        <rFont val="WenQuanYi Zen Hei"/>
        <family val="2"/>
      </rPr>
      <t xml:space="preserve">로 돌아갈 시점은 미확정</t>
    </r>
  </si>
  <si>
    <t xml:space="preserve">Sofia → Cesare</t>
  </si>
  <si>
    <r>
      <rPr>
        <sz val="10"/>
        <rFont val="Arial"/>
        <family val="0"/>
        <charset val="1"/>
      </rPr>
      <t xml:space="preserve">Lei </t>
    </r>
    <r>
      <rPr>
        <sz val="10"/>
        <rFont val="WenQuanYi Zen Hei"/>
        <family val="2"/>
      </rPr>
      <t xml:space="preserve">유지 →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화 조사에서 처음 </t>
    </r>
    <r>
      <rPr>
        <sz val="10"/>
        <rFont val="Arial"/>
        <family val="0"/>
        <charset val="1"/>
      </rPr>
      <t xml:space="preserve">tu</t>
    </r>
  </si>
  <si>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부에서 </t>
    </r>
    <r>
      <rPr>
        <sz val="10"/>
        <rFont val="Arial"/>
        <family val="0"/>
        <charset val="1"/>
      </rPr>
      <t xml:space="preserve">Cesare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«Puoi darmi del tu.»</t>
    </r>
    <r>
      <rPr>
        <sz val="10"/>
        <rFont val="WenQuanYi Zen Hei"/>
        <family val="2"/>
      </rPr>
      <t xml:space="preserve">라고 허락해도 </t>
    </r>
    <r>
      <rPr>
        <sz val="10"/>
        <rFont val="Arial"/>
        <family val="0"/>
        <charset val="1"/>
      </rPr>
      <t xml:space="preserve">Sofia</t>
    </r>
    <r>
      <rPr>
        <sz val="10"/>
        <rFont val="WenQuanYi Zen Hei"/>
        <family val="2"/>
      </rPr>
      <t xml:space="preserve">는 습관 때문에 끝내 </t>
    </r>
    <r>
      <rPr>
        <sz val="10"/>
        <rFont val="Arial"/>
        <family val="0"/>
        <charset val="1"/>
      </rPr>
      <t xml:space="preserve">Lei. </t>
    </r>
    <r>
      <rPr>
        <sz val="10"/>
        <rFont val="WenQuanYi Zen Hei"/>
        <family val="2"/>
      </rPr>
      <t xml:space="preserve">폭발 중에도 </t>
    </r>
    <r>
      <rPr>
        <sz val="10"/>
        <rFont val="Arial"/>
        <family val="0"/>
        <charset val="1"/>
      </rPr>
      <t xml:space="preserve">Lei (</t>
    </r>
    <r>
      <rPr>
        <sz val="10"/>
        <rFont val="WenQuanYi Zen Hei"/>
        <family val="2"/>
      </rPr>
      <t xml:space="preserve">예</t>
    </r>
    <r>
      <rPr>
        <sz val="10"/>
        <rFont val="Arial"/>
        <family val="0"/>
        <charset val="1"/>
      </rPr>
      <t xml:space="preserve">: «Proprio Lei non mi chiami stolta!»). </t>
    </r>
    <r>
      <rPr>
        <sz val="10"/>
        <rFont val="WenQuanYi Zen Hei"/>
        <family val="2"/>
      </rPr>
      <t xml:space="preserve">폭발 중 </t>
    </r>
    <r>
      <rPr>
        <sz val="10"/>
        <rFont val="Arial"/>
        <family val="0"/>
        <charset val="1"/>
      </rPr>
      <t xml:space="preserve">tu </t>
    </r>
    <r>
      <rPr>
        <sz val="10"/>
        <rFont val="WenQuanYi Zen Hei"/>
        <family val="2"/>
      </rPr>
      <t xml:space="preserve">실수 금지 — 장례식 전환의 복선</t>
    </r>
    <r>
      <rPr>
        <sz val="10"/>
        <rFont val="Arial"/>
        <family val="0"/>
        <charset val="1"/>
      </rPr>
      <t xml:space="preserve">.</t>
    </r>
  </si>
  <si>
    <t xml:space="preserve">Sofia → Garibaldi, Francesco</t>
  </si>
  <si>
    <t xml:space="preserve">해당 없음</t>
  </si>
  <si>
    <r>
      <rPr>
        <sz val="10"/>
        <rFont val="Arial"/>
        <family val="0"/>
        <charset val="1"/>
      </rPr>
      <t xml:space="preserve">Lei (</t>
    </r>
    <r>
      <rPr>
        <sz val="10"/>
        <rFont val="WenQuanYi Zen Hei"/>
        <family val="2"/>
      </rPr>
      <t xml:space="preserve">전환 시점 미정</t>
    </r>
    <r>
      <rPr>
        <sz val="10"/>
        <rFont val="Arial"/>
        <family val="0"/>
        <charset val="1"/>
      </rPr>
      <t xml:space="preserve">)</t>
    </r>
  </si>
  <si>
    <t xml:space="preserve">Cesare → Sofia</t>
  </si>
  <si>
    <t xml:space="preserve">tu («ragazza»)</t>
  </si>
  <si>
    <r>
      <rPr>
        <sz val="10"/>
        <rFont val="WenQuanYi Zen Hei"/>
        <family val="2"/>
      </rPr>
      <t xml:space="preserve">처음부터 </t>
    </r>
    <r>
      <rPr>
        <sz val="10"/>
        <rFont val="Arial"/>
        <family val="0"/>
        <charset val="1"/>
      </rPr>
      <t xml:space="preserve">tu — </t>
    </r>
    <r>
      <rPr>
        <sz val="10"/>
        <rFont val="WenQuanYi Zen Hei"/>
        <family val="2"/>
      </rPr>
      <t xml:space="preserve">욕</t>
    </r>
    <r>
      <rPr>
        <sz val="10"/>
        <rFont val="Arial"/>
        <family val="0"/>
        <charset val="1"/>
      </rPr>
      <t xml:space="preserve">(stolta)</t>
    </r>
    <r>
      <rPr>
        <sz val="10"/>
        <rFont val="WenQuanYi Zen Hei"/>
        <family val="2"/>
      </rPr>
      <t xml:space="preserve">도 </t>
    </r>
    <r>
      <rPr>
        <sz val="10"/>
        <rFont val="Arial"/>
        <family val="0"/>
        <charset val="1"/>
      </rPr>
      <t xml:space="preserve">Sofia</t>
    </r>
    <r>
      <rPr>
        <sz val="10"/>
        <rFont val="WenQuanYi Zen Hei"/>
        <family val="2"/>
      </rPr>
      <t xml:space="preserve">에게만</t>
    </r>
  </si>
  <si>
    <r>
      <rPr>
        <b val="true"/>
        <sz val="10"/>
        <rFont val="Noto Sans CJK SC"/>
        <family val="2"/>
        <charset val="1"/>
      </rPr>
      <t xml:space="preserve">Cesare → </t>
    </r>
    <r>
      <rPr>
        <b val="true"/>
        <sz val="10"/>
        <rFont val="WenQuanYi Zen Hei"/>
        <family val="2"/>
      </rPr>
      <t xml:space="preserve">여럿</t>
    </r>
    <r>
      <rPr>
        <b val="true"/>
        <sz val="10"/>
        <rFont val="Noto Sans CJK SC"/>
        <family val="2"/>
        <charset val="1"/>
      </rPr>
      <t xml:space="preserve">(</t>
    </r>
    <r>
      <rPr>
        <b val="true"/>
        <sz val="10"/>
        <rFont val="WenQuanYi Zen Hei"/>
        <family val="2"/>
      </rPr>
      <t xml:space="preserve">집단</t>
    </r>
    <r>
      <rPr>
        <b val="true"/>
        <sz val="10"/>
        <rFont val="Noto Sans CJK SC"/>
        <family val="2"/>
        <charset val="1"/>
      </rPr>
      <t xml:space="preserve">)</t>
    </r>
  </si>
  <si>
    <r>
      <rPr>
        <sz val="10"/>
        <rFont val="Arial"/>
        <family val="0"/>
        <charset val="1"/>
      </rPr>
      <t xml:space="preserve">Loro (</t>
    </r>
    <r>
      <rPr>
        <sz val="10"/>
        <rFont val="WenQuanYi Zen Hei"/>
        <family val="2"/>
      </rPr>
      <t xml:space="preserve">고풍 격식 복수</t>
    </r>
    <r>
      <rPr>
        <sz val="10"/>
        <rFont val="Arial"/>
        <family val="0"/>
        <charset val="1"/>
      </rPr>
      <t xml:space="preserve">)</t>
    </r>
  </si>
  <si>
    <t xml:space="preserve">Loro</t>
  </si>
  <si>
    <r>
      <rPr>
        <sz val="10"/>
        <rFont val="WenQuanYi Zen Hei"/>
        <family val="2"/>
      </rPr>
      <t xml:space="preserve">사무소 안에서도 일부러 거리를 두는 심술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현대 이탈리아어에서는 거의 쓰지 않는 격식 복수 </t>
    </r>
    <r>
      <rPr>
        <sz val="10"/>
        <rFont val="Arial"/>
        <family val="0"/>
        <charset val="1"/>
      </rPr>
      <t xml:space="preserve">Loro</t>
    </r>
    <r>
      <rPr>
        <sz val="10"/>
        <rFont val="WenQuanYi Zen Hei"/>
        <family val="2"/>
      </rPr>
      <t xml:space="preserve">를 다른 인물의 </t>
    </r>
    <r>
      <rPr>
        <sz val="10"/>
        <rFont val="Arial"/>
        <family val="0"/>
        <charset val="1"/>
      </rPr>
      <t xml:space="preserve">voi</t>
    </r>
    <r>
      <rPr>
        <sz val="10"/>
        <rFont val="WenQuanYi Zen Hei"/>
        <family val="2"/>
      </rPr>
      <t xml:space="preserve">와 비교 학습</t>
    </r>
    <r>
      <rPr>
        <sz val="10"/>
        <rFont val="Arial"/>
        <family val="0"/>
        <charset val="1"/>
      </rPr>
      <t xml:space="preserve">. 3</t>
    </r>
    <r>
      <rPr>
        <sz val="10"/>
        <rFont val="WenQuanYi Zen Hei"/>
        <family val="2"/>
      </rPr>
      <t xml:space="preserve">인칭 자기 지칭</t>
    </r>
    <r>
      <rPr>
        <sz val="10"/>
        <rFont val="Arial"/>
        <family val="0"/>
        <charset val="1"/>
      </rPr>
      <t xml:space="preserve">(«Cesare pensa…»)</t>
    </r>
    <r>
      <rPr>
        <sz val="10"/>
        <rFont val="WenQuanYi Zen Hei"/>
        <family val="2"/>
      </rPr>
      <t xml:space="preserve">과 함께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</si>
  <si>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Noto Sans CJK SC"/>
        <family val="2"/>
        <charset val="1"/>
      </rPr>
      <t xml:space="preserve">Cesare → </t>
    </r>
    <r>
      <rPr>
        <b val="true"/>
        <sz val="10"/>
        <rFont val="WenQuanYi Zen Hei"/>
        <family val="2"/>
      </rPr>
      <t xml:space="preserve">개인 </t>
    </r>
    <r>
      <rPr>
        <b val="true"/>
        <sz val="10"/>
        <rFont val="Noto Sans CJK SC"/>
        <family val="2"/>
        <charset val="1"/>
      </rPr>
      <t xml:space="preserve">(Sofia </t>
    </r>
    <r>
      <rPr>
        <b val="true"/>
        <sz val="10"/>
        <rFont val="WenQuanYi Zen Hei"/>
        <family val="2"/>
      </rPr>
      <t xml:space="preserve">외</t>
    </r>
    <r>
      <rPr>
        <b val="true"/>
        <sz val="10"/>
        <rFont val="Noto Sans CJK SC"/>
        <family val="2"/>
        <charset val="1"/>
      </rPr>
      <t xml:space="preserve">)</t>
    </r>
  </si>
  <si>
    <r>
      <rPr>
        <sz val="10"/>
        <rFont val="WenQuanYi Zen Hei"/>
        <family val="2"/>
      </rPr>
      <t xml:space="preserve">소수에게만 </t>
    </r>
    <r>
      <rPr>
        <sz val="10"/>
        <rFont val="Arial"/>
        <family val="0"/>
        <charset val="1"/>
      </rPr>
      <t xml:space="preserve">tu</t>
    </r>
  </si>
  <si>
    <r>
      <rPr>
        <b val="true"/>
        <sz val="10"/>
        <rFont val="Noto Sans CJK SC"/>
        <family val="2"/>
        <charset val="1"/>
      </rPr>
      <t xml:space="preserve">Garibaldi → </t>
    </r>
    <r>
      <rPr>
        <b val="true"/>
        <sz val="10"/>
        <rFont val="WenQuanYi Zen Hei"/>
        <family val="2"/>
      </rPr>
      <t xml:space="preserve">후배들</t>
    </r>
  </si>
  <si>
    <r>
      <rPr>
        <sz val="10"/>
        <rFont val="Arial"/>
        <family val="0"/>
        <charset val="1"/>
      </rPr>
      <t xml:space="preserve">tu (</t>
    </r>
    <r>
      <rPr>
        <sz val="10"/>
        <rFont val="WenQuanYi Zen Hei"/>
        <family val="2"/>
      </rPr>
      <t xml:space="preserve">명령조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</si>
  <si>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tu / Lei </t>
    </r>
    <r>
      <rPr>
        <sz val="10"/>
        <rFont val="WenQuanYi Zen Hei"/>
        <family val="2"/>
      </rPr>
      <t xml:space="preserve">혼용</t>
    </r>
  </si>
  <si>
    <r>
      <rPr>
        <sz val="10"/>
        <rFont val="WenQuanYi Zen Hei"/>
        <family val="2"/>
      </rPr>
      <t xml:space="preserve">정치 무대에서는 </t>
    </r>
    <r>
      <rPr>
        <sz val="10"/>
        <rFont val="Arial"/>
        <family val="0"/>
        <charset val="1"/>
      </rPr>
      <t xml:space="preserve">Lei</t>
    </r>
  </si>
  <si>
    <r>
      <rPr>
        <sz val="10"/>
        <rFont val="WenQuanYi Zen Hei"/>
        <family val="2"/>
      </rPr>
      <t xml:space="preserve">의용군 지휘관의 버릇으로 모두를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동지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처럼 부른다</t>
    </r>
  </si>
  <si>
    <r>
      <rPr>
        <b val="true"/>
        <sz val="10"/>
        <rFont val="Noto Sans CJK SC"/>
        <family val="2"/>
        <charset val="1"/>
      </rPr>
      <t xml:space="preserve">Gramsci → </t>
    </r>
    <r>
      <rPr>
        <b val="true"/>
        <sz val="10"/>
        <rFont val="WenQuanYi Zen Hei"/>
        <family val="2"/>
      </rPr>
      <t xml:space="preserve">전원</t>
    </r>
  </si>
  <si>
    <r>
      <rPr>
        <sz val="10"/>
        <rFont val="WenQuanYi Zen Hei"/>
        <family val="2"/>
      </rPr>
      <t xml:space="preserve">모두에게 </t>
    </r>
    <r>
      <rPr>
        <sz val="10"/>
        <rFont val="Arial"/>
        <family val="0"/>
        <charset val="1"/>
      </rPr>
      <t xml:space="preserve">tu — </t>
    </r>
    <r>
      <rPr>
        <sz val="10"/>
        <rFont val="WenQuanYi Zen Hei"/>
        <family val="2"/>
      </rPr>
      <t xml:space="preserve">그래서 더 단호하다</t>
    </r>
    <r>
      <rPr>
        <sz val="10"/>
        <rFont val="Arial"/>
        <family val="0"/>
        <charset val="1"/>
      </rPr>
      <t xml:space="preserve">. «Cercalo tu.»</t>
    </r>
  </si>
  <si>
    <r>
      <rPr>
        <b val="true"/>
        <sz val="10"/>
        <rFont val="Noto Sans CJK SC"/>
        <family val="2"/>
        <charset val="1"/>
      </rPr>
      <t xml:space="preserve">Rosa, Paolo → </t>
    </r>
    <r>
      <rPr>
        <b val="true"/>
        <sz val="10"/>
        <rFont val="WenQuanYi Zen Hei"/>
        <family val="2"/>
      </rPr>
      <t xml:space="preserve">전원</t>
    </r>
  </si>
  <si>
    <r>
      <rPr>
        <sz val="10"/>
        <rFont val="Arial"/>
        <family val="0"/>
        <charset val="1"/>
      </rPr>
      <t xml:space="preserve">Rosa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'amore/tesoro', </t>
    </r>
    <r>
      <rPr>
        <sz val="10"/>
        <rFont val="WenQuanYi Zen Hei"/>
        <family val="2"/>
      </rPr>
      <t xml:space="preserve">로마 사투리 한두 마디</t>
    </r>
    <r>
      <rPr>
        <sz val="10"/>
        <rFont val="Arial"/>
        <family val="0"/>
        <charset val="1"/>
      </rPr>
      <t xml:space="preserve">(«daje», «che te serve?»)</t>
    </r>
  </si>
  <si>
    <r>
      <rPr>
        <b val="true"/>
        <sz val="10"/>
        <rFont val="Noto Sans CJK SC"/>
        <family val="2"/>
        <charset val="1"/>
      </rPr>
      <t xml:space="preserve">Galileo → </t>
    </r>
    <r>
      <rPr>
        <b val="true"/>
        <sz val="10"/>
        <rFont val="WenQuanYi Zen Hei"/>
        <family val="2"/>
      </rPr>
      <t xml:space="preserve">취재</t>
    </r>
    <r>
      <rPr>
        <b val="true"/>
        <sz val="10"/>
        <rFont val="Noto Sans CJK SC"/>
        <family val="2"/>
        <charset val="1"/>
      </rPr>
      <t xml:space="preserve">·</t>
    </r>
    <r>
      <rPr>
        <b val="true"/>
        <sz val="10"/>
        <rFont val="WenQuanYi Zen Hei"/>
        <family val="2"/>
      </rPr>
      <t xml:space="preserve">관찰 대상</t>
    </r>
  </si>
  <si>
    <r>
      <rPr>
        <sz val="10"/>
        <rFont val="Arial"/>
        <family val="0"/>
        <charset val="1"/>
      </rPr>
      <t xml:space="preserve">Lei (</t>
    </r>
    <r>
      <rPr>
        <sz val="10"/>
        <rFont val="WenQuanYi Zen Hei"/>
        <family val="2"/>
      </rPr>
      <t xml:space="preserve">취재 시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</si>
  <si>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친해지면 </t>
    </r>
    <r>
      <rPr>
        <sz val="10"/>
        <rFont val="Arial"/>
        <family val="0"/>
        <charset val="1"/>
      </rPr>
      <t xml:space="preserve">tu</t>
    </r>
  </si>
  <si>
    <r>
      <rPr>
        <b val="true"/>
        <sz val="10"/>
        <rFont val="Noto Sans CJK SC"/>
        <family val="2"/>
        <charset val="1"/>
      </rPr>
      <t xml:space="preserve">Machiavelli, Dante, Montessori → </t>
    </r>
    <r>
      <rPr>
        <b val="true"/>
        <sz val="10"/>
        <rFont val="WenQuanYi Zen Hei"/>
        <family val="2"/>
      </rPr>
      <t xml:space="preserve">전원</t>
    </r>
  </si>
  <si>
    <r>
      <rPr>
        <sz val="10"/>
        <rFont val="WenQuanYi Zen Hei"/>
        <family val="2"/>
      </rPr>
      <t xml:space="preserve">가까운 사람에게만 </t>
    </r>
    <r>
      <rPr>
        <sz val="10"/>
        <rFont val="Arial"/>
        <family val="0"/>
        <charset val="1"/>
      </rPr>
      <t xml:space="preserve">tu</t>
    </r>
  </si>
  <si>
    <r>
      <rPr>
        <sz val="10"/>
        <rFont val="WenQuanYi Zen Hei"/>
        <family val="2"/>
      </rPr>
      <t xml:space="preserve">부활자들은 격식이 기본</t>
    </r>
    <r>
      <rPr>
        <sz val="10"/>
        <rFont val="Arial"/>
        <family val="0"/>
        <charset val="1"/>
      </rPr>
      <t xml:space="preserve">. Dante</t>
    </r>
    <r>
      <rPr>
        <sz val="10"/>
        <rFont val="WenQuanYi Zen Hei"/>
        <family val="2"/>
      </rPr>
      <t xml:space="preserve">는 가끔 옛 존칭 </t>
    </r>
    <r>
      <rPr>
        <sz val="10"/>
        <rFont val="Arial"/>
        <family val="0"/>
        <charset val="1"/>
      </rPr>
      <t xml:space="preserve">voi</t>
    </r>
    <r>
      <rPr>
        <sz val="10"/>
        <rFont val="WenQuanYi Zen Hei"/>
        <family val="2"/>
      </rPr>
      <t xml:space="preserve">를 한 사람에게 써서 웃음을 준다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옛 이탈리아어의 존칭 </t>
    </r>
    <r>
      <rPr>
        <sz val="10"/>
        <rFont val="Arial"/>
        <family val="0"/>
        <charset val="1"/>
      </rPr>
      <t xml:space="preserve">voi).</t>
    </r>
  </si>
  <si>
    <r>
      <rPr>
        <b val="true"/>
        <sz val="10"/>
        <rFont val="WenQuanYi Zen Hei"/>
        <family val="2"/>
      </rPr>
      <t xml:space="preserve">집단 대화 </t>
    </r>
    <r>
      <rPr>
        <b val="true"/>
        <sz val="10"/>
        <rFont val="Noto Sans CJK SC"/>
        <family val="2"/>
        <charset val="1"/>
      </rPr>
      <t xml:space="preserve">(</t>
    </r>
    <r>
      <rPr>
        <b val="true"/>
        <sz val="10"/>
        <rFont val="WenQuanYi Zen Hei"/>
        <family val="2"/>
      </rPr>
      <t xml:space="preserve">사무소 안</t>
    </r>
    <r>
      <rPr>
        <b val="true"/>
        <sz val="10"/>
        <rFont val="Noto Sans CJK SC"/>
        <family val="2"/>
        <charset val="1"/>
      </rPr>
      <t xml:space="preserve">)</t>
    </r>
  </si>
  <si>
    <t xml:space="preserve">voi</t>
  </si>
  <si>
    <r>
      <rPr>
        <sz val="10"/>
        <rFont val="WenQuanYi Zen Hei"/>
        <family val="2"/>
      </rPr>
      <t xml:space="preserve">예</t>
    </r>
    <r>
      <rPr>
        <sz val="10"/>
        <rFont val="Arial"/>
        <family val="0"/>
        <charset val="1"/>
      </rPr>
      <t xml:space="preserve">: «Sedetevi, che vi porto qualcosa.»</t>
    </r>
  </si>
  <si>
    <r>
      <rPr>
        <b val="true"/>
        <sz val="10"/>
        <rFont val="WenQuanYi Zen Hei"/>
        <family val="2"/>
      </rPr>
      <t xml:space="preserve">공식 연설</t>
    </r>
    <r>
      <rPr>
        <b val="true"/>
        <sz val="10"/>
        <rFont val="Noto Sans CJK SC"/>
        <family val="2"/>
        <charset val="1"/>
      </rPr>
      <t xml:space="preserve">·</t>
    </r>
    <r>
      <rPr>
        <b val="true"/>
        <sz val="10"/>
        <rFont val="WenQuanYi Zen Hei"/>
        <family val="2"/>
      </rPr>
      <t xml:space="preserve">의회</t>
    </r>
  </si>
  <si>
    <t xml:space="preserve">voi / Loro, «Onorevoli colleghi»</t>
  </si>
  <si>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부 이후 대중 연설</t>
    </r>
    <r>
      <rPr>
        <sz val="10"/>
        <rFont val="Arial"/>
        <family val="0"/>
        <charset val="1"/>
      </rPr>
      <t xml:space="preserve">, 9</t>
    </r>
    <r>
      <rPr>
        <sz val="10"/>
        <rFont val="WenQuanYi Zen Hei"/>
        <family val="2"/>
      </rPr>
      <t xml:space="preserve">부 이후 시의회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주의회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양원 토론</t>
    </r>
  </si>
  <si>
    <r>
      <rPr>
        <b val="true"/>
        <sz val="10"/>
        <rFont val="WenQuanYi Zen Hei"/>
        <family val="2"/>
      </rPr>
      <t xml:space="preserve">하원</t>
    </r>
    <r>
      <rPr>
        <b val="true"/>
        <sz val="10"/>
        <rFont val="Noto Sans CJK SC"/>
        <family val="2"/>
        <charset val="1"/>
      </rPr>
      <t xml:space="preserve">·</t>
    </r>
    <r>
      <rPr>
        <b val="true"/>
        <sz val="10"/>
        <rFont val="WenQuanYi Zen Hei"/>
        <family val="2"/>
      </rPr>
      <t xml:space="preserve">상원</t>
    </r>
  </si>
  <si>
    <r>
      <rPr>
        <sz val="10"/>
        <rFont val="Arial"/>
        <family val="0"/>
        <charset val="1"/>
      </rPr>
      <t xml:space="preserve">«Signor Presidente / Signora Presidente»(</t>
    </r>
    <r>
      <rPr>
        <sz val="10"/>
        <rFont val="WenQuanYi Zen Hei"/>
        <family val="2"/>
      </rPr>
      <t xml:space="preserve">의장</t>
    </r>
    <r>
      <rPr>
        <sz val="10"/>
        <rFont val="Arial"/>
        <family val="0"/>
        <charset val="1"/>
      </rPr>
      <t xml:space="preserve">), «onorevole»(</t>
    </r>
    <r>
      <rPr>
        <sz val="10"/>
        <rFont val="WenQuanYi Zen Hei"/>
        <family val="2"/>
      </rPr>
      <t xml:space="preserve">하원의원</t>
    </r>
    <r>
      <rPr>
        <sz val="10"/>
        <rFont val="Arial"/>
        <family val="0"/>
        <charset val="1"/>
      </rPr>
      <t xml:space="preserve">), «senatore/senatrice», «signor Ministro / signora Ministra»</t>
    </r>
  </si>
  <si>
    <r>
      <rPr>
        <sz val="10"/>
        <rFont val="WenQuanYi Zen Hei"/>
        <family val="2"/>
      </rPr>
      <t xml:space="preserve">의원끼리는 </t>
    </r>
    <r>
      <rPr>
        <sz val="10"/>
        <rFont val="Arial"/>
        <family val="0"/>
        <charset val="1"/>
      </rPr>
      <t xml:space="preserve">«collega», </t>
    </r>
    <r>
      <rPr>
        <sz val="10"/>
        <rFont val="WenQuanYi Zen Hei"/>
        <family val="2"/>
      </rPr>
      <t xml:space="preserve">총리는 </t>
    </r>
    <r>
      <rPr>
        <sz val="10"/>
        <rFont val="Arial"/>
        <family val="0"/>
        <charset val="1"/>
      </rPr>
      <t xml:space="preserve">«Presidente del Consiglio»</t>
    </r>
    <r>
      <rPr>
        <sz val="10"/>
        <rFont val="WenQuanYi Zen Hei"/>
        <family val="2"/>
      </rPr>
      <t xml:space="preserve">로 부른다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발언은 의장을 향해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인칭</t>
    </r>
  </si>
  <si>
    <r>
      <rPr>
        <b val="true"/>
        <sz val="10"/>
        <rFont val="WenQuanYi Zen Hei"/>
        <family val="2"/>
      </rPr>
      <t xml:space="preserve">시의회 </t>
    </r>
    <r>
      <rPr>
        <b val="true"/>
        <sz val="10"/>
        <rFont val="Noto Sans CJK SC"/>
        <family val="2"/>
        <charset val="1"/>
      </rPr>
      <t xml:space="preserve">(Assemblea Capitolina)</t>
    </r>
  </si>
  <si>
    <t xml:space="preserve">«Signor Sindaco / Signora Sindaca», «Presidente», «consigliera / consigliere»</t>
  </si>
  <si>
    <r>
      <rPr>
        <sz val="10"/>
        <rFont val="WenQuanYi Zen Hei"/>
        <family val="2"/>
      </rPr>
      <t xml:space="preserve">발언은 </t>
    </r>
    <r>
      <rPr>
        <sz val="10"/>
        <rFont val="Arial"/>
        <family val="0"/>
        <charset val="1"/>
      </rPr>
      <t xml:space="preserve">Lei, </t>
    </r>
    <r>
      <rPr>
        <sz val="10"/>
        <rFont val="WenQuanYi Zen Hei"/>
        <family val="2"/>
      </rPr>
      <t xml:space="preserve">회의 밖 동료끼리는 </t>
    </r>
    <r>
      <rPr>
        <sz val="10"/>
        <rFont val="Arial"/>
        <family val="0"/>
        <charset val="1"/>
      </rPr>
      <t xml:space="preserve">tu</t>
    </r>
    <r>
      <rPr>
        <sz val="10"/>
        <rFont val="WenQuanYi Zen Hei"/>
        <family val="2"/>
      </rPr>
      <t xml:space="preserve">로 돌아간다</t>
    </r>
  </si>
  <si>
    <t xml:space="preserve">대통령</t>
  </si>
  <si>
    <t xml:space="preserve">«Signor Presidente della Repubblica»</t>
  </si>
  <si>
    <r>
      <rPr>
        <sz val="10"/>
        <rFont val="WenQuanYi Zen Hei"/>
        <family val="2"/>
      </rPr>
      <t xml:space="preserve">대통령은 직접 대사를 주지 않는다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절차와 결과는 공식 발표문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가상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이나 인물의 대사로 전달</t>
    </r>
  </si>
  <si>
    <r>
      <rPr>
        <b val="true"/>
        <sz val="14"/>
        <color rgb="FF1F3864"/>
        <rFont val="Arial"/>
        <family val="0"/>
        <charset val="1"/>
      </rPr>
      <t xml:space="preserve">Sofia</t>
    </r>
    <r>
      <rPr>
        <b val="true"/>
        <sz val="14"/>
        <color rgb="FF1F3864"/>
        <rFont val="WenQuanYi Zen Hei"/>
        <family val="2"/>
      </rPr>
      <t xml:space="preserve">의 폭발 </t>
    </r>
    <r>
      <rPr>
        <b val="true"/>
        <sz val="14"/>
        <color rgb="FF1F3864"/>
        <rFont val="Arial"/>
        <family val="0"/>
        <charset val="1"/>
      </rPr>
      <t xml:space="preserve">(Lo Sfogo) </t>
    </r>
    <r>
      <rPr>
        <b val="true"/>
        <sz val="14"/>
        <color rgb="FF1F3864"/>
        <rFont val="WenQuanYi Zen Hei"/>
        <family val="2"/>
      </rPr>
      <t xml:space="preserve">과 욕 배정</t>
    </r>
  </si>
  <si>
    <r>
      <rPr>
        <i val="true"/>
        <sz val="9"/>
        <color rgb="FF595959"/>
        <rFont val="WenQuanYi Zen Hei"/>
        <family val="2"/>
      </rPr>
      <t xml:space="preserve">폭발은 총 </t>
    </r>
    <r>
      <rPr>
        <i val="true"/>
        <sz val="9"/>
        <color rgb="FF595959"/>
        <rFont val="Noto Sans CJK SC"/>
        <family val="2"/>
        <charset val="1"/>
      </rPr>
      <t xml:space="preserve">2</t>
    </r>
    <r>
      <rPr>
        <i val="true"/>
        <sz val="9"/>
        <color rgb="FF595959"/>
        <rFont val="WenQuanYi Zen Hei"/>
        <family val="2"/>
      </rPr>
      <t xml:space="preserve">회</t>
    </r>
    <r>
      <rPr>
        <i val="true"/>
        <sz val="9"/>
        <color rgb="FF595959"/>
        <rFont val="Noto Sans CJK SC"/>
        <family val="2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희소성이 가치다</t>
    </r>
    <r>
      <rPr>
        <i val="true"/>
        <sz val="9"/>
        <color rgb="FF595959"/>
        <rFont val="Noto Sans CJK SC"/>
        <family val="2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폭발 뒤에는 반드시 쉬운 말로 다시 설명하는 어휘 교습 장면이 이어진다</t>
    </r>
    <r>
      <rPr>
        <i val="true"/>
        <sz val="9"/>
        <color rgb="FF595959"/>
        <rFont val="Noto Sans CJK SC"/>
        <family val="2"/>
        <charset val="1"/>
      </rPr>
      <t xml:space="preserve">.</t>
    </r>
  </si>
  <si>
    <r>
      <rPr>
        <b val="true"/>
        <sz val="10"/>
        <rFont val="Arial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폭발 배치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총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회</t>
    </r>
    <r>
      <rPr>
        <b val="true"/>
        <sz val="10"/>
        <rFont val="Arial"/>
        <family val="0"/>
        <charset val="1"/>
      </rPr>
      <t xml:space="preserve">)</t>
    </r>
  </si>
  <si>
    <t xml:space="preserve">회차</t>
  </si>
  <si>
    <t xml:space="preserve">위치</t>
  </si>
  <si>
    <t xml:space="preserve">단계 구성</t>
  </si>
  <si>
    <t xml:space="preserve">특기 사항</t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</si>
  <si>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차 폭발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</si>
  <si>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화 </t>
    </r>
    <r>
      <rPr>
        <sz val="10"/>
        <rFont val="Arial"/>
        <family val="0"/>
        <charset val="1"/>
      </rPr>
      <t xml:space="preserve">«Basta!» (</t>
    </r>
    <r>
      <rPr>
        <sz val="10"/>
        <rFont val="WenQuanYi Zen Hei"/>
        <family val="2"/>
      </rPr>
      <t xml:space="preserve">사건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위장 인턴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임금 체불 해결 화</t>
    </r>
    <r>
      <rPr>
        <sz val="10"/>
        <rFont val="Arial"/>
        <family val="0"/>
        <charset val="1"/>
      </rPr>
      <t xml:space="preserve">, Chiara</t>
    </r>
    <r>
      <rPr>
        <sz val="10"/>
        <rFont val="WenQuanYi Zen Hei"/>
        <family val="2"/>
      </rPr>
      <t xml:space="preserve">의 경영 용어가 협상을 막는 장면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</si>
  <si>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코미디 — 「몰라서 화내는 </t>
    </r>
    <r>
      <rPr>
        <sz val="10"/>
        <rFont val="Noto Sans CJK SC"/>
        <family val="2"/>
        <charset val="1"/>
      </rPr>
      <t xml:space="preserve">Sofia</t>
    </r>
    <r>
      <rPr>
        <sz val="10"/>
        <rFont val="WenQuanYi Zen Hei"/>
        <family val="2"/>
      </rPr>
      <t xml:space="preserve">」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</si>
  <si>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단계 →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단계 →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단계 전부 노출</t>
    </r>
  </si>
  <si>
    <r>
      <rPr>
        <sz val="10"/>
        <rFont val="WenQuanYi Zen Hei"/>
        <family val="2"/>
      </rPr>
      <t xml:space="preserve">인물별 고정 반응 패턴을 여기서 한 번에 보여 준다</t>
    </r>
    <r>
      <rPr>
        <sz val="10"/>
        <rFont val="Noto Sans CJK SC"/>
        <family val="2"/>
        <charset val="1"/>
      </rPr>
      <t xml:space="preserve">. Garibaldi·Rosa·Gramsci</t>
    </r>
    <r>
      <rPr>
        <sz val="10"/>
        <rFont val="WenQuanYi Zen Hei"/>
        <family val="2"/>
      </rPr>
      <t xml:space="preserve">가 이 화에 함께 등장 — </t>
    </r>
    <r>
      <rPr>
        <sz val="10"/>
        <rFont val="Noto Sans CJK SC"/>
        <family val="2"/>
        <charset val="1"/>
      </rPr>
      <t xml:space="preserve">Paolo</t>
    </r>
    <r>
      <rPr>
        <sz val="10"/>
        <rFont val="WenQuanYi Zen Hei"/>
        <family val="2"/>
      </rPr>
      <t xml:space="preserve">의 욕은 </t>
    </r>
    <r>
      <rPr>
        <sz val="10"/>
        <rFont val="Noto Sans CJK SC"/>
        <family val="2"/>
        <charset val="1"/>
      </rPr>
      <t xml:space="preserve">9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2</t>
    </r>
    <r>
      <rPr>
        <sz val="10"/>
        <rFont val="WenQuanYi Zen Hei"/>
        <family val="2"/>
      </rPr>
      <t xml:space="preserve">차 폭발로 이관해 과밀을 피함</t>
    </r>
    <r>
      <rPr>
        <sz val="10"/>
        <rFont val="Noto Sans CJK SC"/>
        <family val="2"/>
        <charset val="1"/>
      </rPr>
      <t xml:space="preserve">.</t>
    </r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</si>
  <si>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차 폭발</t>
    </r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</si>
  <si>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화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시의회 예산 심의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</si>
  <si>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역전 — 「알아서 화내는 </t>
    </r>
    <r>
      <rPr>
        <sz val="10"/>
        <rFont val="Noto Sans CJK SC"/>
        <family val="2"/>
        <charset val="1"/>
      </rPr>
      <t xml:space="preserve">Sofia</t>
    </r>
    <r>
      <rPr>
        <sz val="10"/>
        <rFont val="WenQuanYi Zen Hei"/>
        <family val="2"/>
      </rPr>
      <t xml:space="preserve">」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이번엔 </t>
    </r>
    <r>
      <rPr>
        <sz val="10"/>
        <rFont val="Noto Sans CJK SC"/>
        <family val="2"/>
        <charset val="1"/>
      </rPr>
      <t xml:space="preserve">Sofia</t>
    </r>
    <r>
      <rPr>
        <sz val="10"/>
        <rFont val="WenQuanYi Zen Hei"/>
        <family val="2"/>
      </rPr>
      <t xml:space="preserve">가 옳다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</si>
  <si>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단계에서 곧바로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단계로 </t>
    </r>
    <r>
      <rPr>
        <sz val="10"/>
        <rFont val="Arial"/>
        <family val="0"/>
        <charset val="1"/>
      </rPr>
      <t xml:space="preserve">(2</t>
    </r>
    <r>
      <rPr>
        <sz val="10"/>
        <rFont val="WenQuanYi Zen Hei"/>
        <family val="2"/>
      </rPr>
      <t xml:space="preserve">단계 생략</t>
    </r>
    <r>
      <rPr>
        <sz val="10"/>
        <rFont val="Arial"/>
        <family val="0"/>
        <charset val="1"/>
      </rPr>
      <t xml:space="preserve">: '</t>
    </r>
    <r>
      <rPr>
        <sz val="10"/>
        <rFont val="WenQuanYi Zen Hei"/>
        <family val="2"/>
      </rPr>
      <t xml:space="preserve">이번엔 참지 않는다</t>
    </r>
    <r>
      <rPr>
        <sz val="10"/>
        <rFont val="Arial"/>
        <family val="0"/>
        <charset val="1"/>
      </rPr>
      <t xml:space="preserve">')</t>
    </r>
  </si>
  <si>
    <r>
      <rPr>
        <sz val="10"/>
        <rFont val="WenQuanYi Zen Hei"/>
        <family val="2"/>
      </rPr>
      <t xml:space="preserve">관료 전문 용어 속에 서민 예산을 깎는 조항이 숨어 있었고 </t>
    </r>
    <r>
      <rPr>
        <sz val="10"/>
        <rFont val="Noto Sans CJK SC"/>
        <family val="2"/>
        <charset val="1"/>
      </rPr>
      <t xml:space="preserve">Sofia</t>
    </r>
    <r>
      <rPr>
        <sz val="10"/>
        <rFont val="WenQuanYi Zen Hei"/>
        <family val="2"/>
      </rPr>
      <t xml:space="preserve">가 짚어 낸다</t>
    </r>
    <r>
      <rPr>
        <sz val="10"/>
        <rFont val="Noto Sans CJK SC"/>
        <family val="2"/>
        <charset val="1"/>
      </rPr>
      <t xml:space="preserve">. Cesare</t>
    </r>
    <r>
      <rPr>
        <sz val="10"/>
        <rFont val="WenQuanYi Zen Hei"/>
        <family val="2"/>
      </rPr>
      <t xml:space="preserve">가 선을 넘는 말을 하고 </t>
    </r>
    <r>
      <rPr>
        <sz val="10"/>
        <rFont val="Noto Sans CJK SC"/>
        <family val="2"/>
        <charset val="1"/>
      </rPr>
      <t xml:space="preserve">Garibaldi·Rosa</t>
    </r>
    <r>
      <rPr>
        <sz val="10"/>
        <rFont val="WenQuanYi Zen Hei"/>
        <family val="2"/>
      </rPr>
      <t xml:space="preserve">가 나무란다</t>
    </r>
    <r>
      <rPr>
        <sz val="10"/>
        <rFont val="Noto Sans CJK SC"/>
        <family val="2"/>
        <charset val="1"/>
      </rPr>
      <t xml:space="preserve">.</t>
    </r>
  </si>
  <si>
    <t xml:space="preserve">사이 구간</t>
  </si>
  <si>
    <r>
      <rPr>
        <sz val="10"/>
        <rFont val="Arial"/>
        <family val="0"/>
        <charset val="1"/>
      </rPr>
      <t xml:space="preserve">2~8</t>
    </r>
    <r>
      <rPr>
        <sz val="10"/>
        <rFont val="WenQuanYi Zen Hei"/>
        <family val="2"/>
      </rPr>
      <t xml:space="preserve">부</t>
    </r>
  </si>
  <si>
    <t xml:space="preserve">폭발 없음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</si>
  <si>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단계 질문만 일상 장치로 반복</t>
    </r>
  </si>
  <si>
    <r>
      <rPr>
        <sz val="10"/>
        <rFont val="WenQuanYi Zen Hei"/>
        <family val="2"/>
      </rPr>
      <t xml:space="preserve">어휘 학습의 핵심은 </t>
    </r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단계 질문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폭발은 정점 이벤트일 뿐</t>
    </r>
    <r>
      <rPr>
        <sz val="10"/>
        <rFont val="Noto Sans CJK SC"/>
        <family val="2"/>
        <charset val="1"/>
      </rPr>
      <t xml:space="preserve">.</t>
    </r>
  </si>
  <si>
    <r>
      <rPr>
        <b val="true"/>
        <sz val="10"/>
        <rFont val="Arial"/>
        <family val="0"/>
        <charset val="1"/>
      </rPr>
      <t xml:space="preserve">2. 3</t>
    </r>
    <r>
      <rPr>
        <b val="true"/>
        <sz val="10"/>
        <rFont val="WenQuanYi Zen Hei"/>
        <family val="2"/>
      </rPr>
      <t xml:space="preserve">단계 계단</t>
    </r>
  </si>
  <si>
    <r>
      <rPr>
        <b val="true"/>
        <sz val="10"/>
        <color rgb="FFFFFFFF"/>
        <rFont val="WenQuanYi Zen Hei"/>
        <family val="2"/>
      </rPr>
      <t xml:space="preserve">대사 </t>
    </r>
    <r>
      <rPr>
        <b val="true"/>
        <sz val="10"/>
        <color rgb="FFFFFFFF"/>
        <rFont val="Noto Sans CJK SC"/>
        <family val="2"/>
        <charset val="1"/>
      </rPr>
      <t xml:space="preserve">(IT)</t>
    </r>
  </si>
  <si>
    <t xml:space="preserve">분위기</t>
  </si>
  <si>
    <t xml:space="preserve">사용</t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</si>
  <si>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단계</t>
    </r>
  </si>
  <si>
    <t xml:space="preserve">Scusi, cosa significa?</t>
  </si>
  <si>
    <r>
      <rPr>
        <sz val="10"/>
        <rFont val="WenQuanYi Zen Hei"/>
        <family val="2"/>
      </rPr>
      <t xml:space="preserve">실례지만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그게 무슨 뜻이에요</t>
    </r>
    <r>
      <rPr>
        <sz val="10"/>
        <rFont val="Noto Sans CJK SC"/>
        <family val="2"/>
        <charset val="1"/>
      </rPr>
      <t xml:space="preserve">?</t>
    </r>
  </si>
  <si>
    <t xml:space="preserve">정중한 질문</t>
  </si>
  <si>
    <r>
      <rPr>
        <sz val="10"/>
        <rFont val="WenQuanYi Zen Hei"/>
        <family val="2"/>
      </rPr>
      <t xml:space="preserve">상시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매 화 가능</t>
    </r>
    <r>
      <rPr>
        <sz val="10"/>
        <rFont val="Noto Sans CJK SC"/>
        <family val="2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</si>
  <si>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단계</t>
    </r>
  </si>
  <si>
    <t xml:space="preserve">Me lo spiega come se avessi cinque anni?</t>
  </si>
  <si>
    <r>
      <rPr>
        <sz val="10"/>
        <rFont val="WenQuanYi Zen Hei"/>
        <family val="2"/>
      </rPr>
      <t xml:space="preserve">다섯 살한테 설명하듯 해 주실래요</t>
    </r>
    <r>
      <rPr>
        <sz val="10"/>
        <rFont val="Noto Sans CJK SC"/>
        <family val="2"/>
        <charset val="1"/>
      </rPr>
      <t xml:space="preserve">?</t>
    </r>
  </si>
  <si>
    <t xml:space="preserve">슬슬 짜증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</si>
  <si>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차 폭발에서만</t>
    </r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</si>
  <si>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단계</t>
    </r>
  </si>
  <si>
    <t xml:space="preserve">BASTA! Non capisco niente!</t>
  </si>
  <si>
    <r>
      <rPr>
        <sz val="10"/>
        <rFont val="WenQuanYi Zen Hei"/>
        <family val="2"/>
      </rPr>
      <t xml:space="preserve">그만</t>
    </r>
    <r>
      <rPr>
        <sz val="10"/>
        <rFont val="Noto Sans CJK SC"/>
        <family val="2"/>
        <charset val="1"/>
      </rPr>
      <t xml:space="preserve">! </t>
    </r>
    <r>
      <rPr>
        <sz val="10"/>
        <rFont val="WenQuanYi Zen Hei"/>
        <family val="2"/>
      </rPr>
      <t xml:space="preserve">하나도 모르겠다고요</t>
    </r>
    <r>
      <rPr>
        <sz val="10"/>
        <rFont val="Noto Sans CJK SC"/>
        <family val="2"/>
        <charset val="1"/>
      </rPr>
      <t xml:space="preserve">!</t>
    </r>
  </si>
  <si>
    <t xml:space="preserve">폭발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</si>
  <si>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차 </t>
    </r>
    <r>
      <rPr>
        <sz val="10"/>
        <rFont val="Arial"/>
        <family val="0"/>
        <charset val="1"/>
      </rPr>
      <t xml:space="preserve">· 2</t>
    </r>
    <r>
      <rPr>
        <sz val="10"/>
        <rFont val="WenQuanYi Zen Hei"/>
        <family val="2"/>
      </rPr>
      <t xml:space="preserve">차</t>
    </r>
    <r>
      <rPr>
        <sz val="10"/>
        <rFont val="Arial"/>
        <family val="0"/>
        <charset val="1"/>
      </rPr>
      <t xml:space="preserve">(9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</si>
  <si>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폭발 직후 고정 반응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전부 대사로 처리 — 지문 폐기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</si>
  <si>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반응 대사 </t>
    </r>
    <r>
      <rPr>
        <b val="true"/>
        <sz val="10"/>
        <color rgb="FFFFFFFF"/>
        <rFont val="Noto Sans CJK SC"/>
        <family val="2"/>
        <charset val="1"/>
      </rPr>
      <t xml:space="preserve">(IT)</t>
    </r>
  </si>
  <si>
    <r>
      <rPr>
        <b val="true"/>
        <sz val="10"/>
        <color rgb="FFFFFFFF"/>
        <rFont val="WenQuanYi Zen Hei"/>
        <family val="2"/>
      </rPr>
      <t xml:space="preserve">기존 지문 </t>
    </r>
    <r>
      <rPr>
        <b val="true"/>
        <sz val="10"/>
        <color rgb="FFFFFFFF"/>
        <rFont val="Noto Sans CJK SC"/>
        <family val="2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폐기</t>
    </r>
    <r>
      <rPr>
        <b val="true"/>
        <sz val="10"/>
        <color rgb="FFFFFFFF"/>
        <rFont val="Noto Sans CJK SC"/>
        <family val="2"/>
        <charset val="1"/>
      </rPr>
      <t xml:space="preserve">)</t>
    </r>
  </si>
  <si>
    <t xml:space="preserve">Prima, respira.</t>
  </si>
  <si>
    <r>
      <rPr>
        <sz val="10"/>
        <rFont val="WenQuanYi Zen Hei"/>
        <family val="2"/>
      </rPr>
      <t xml:space="preserve">우선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숨 쉬어요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</si>
  <si>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Sofia: «Non mi dica "respira"!»</t>
    </r>
    <r>
      <rPr>
        <sz val="10"/>
        <rFont val="WenQuanYi Zen Hei"/>
        <family val="2"/>
      </rPr>
      <t xml:space="preserve">로 받는다</t>
    </r>
  </si>
  <si>
    <t xml:space="preserve">Uh. Poso 'sto piatto sul tavolo prima che voli.</t>
  </si>
  <si>
    <r>
      <rPr>
        <sz val="10"/>
        <rFont val="WenQuanYi Zen Hei"/>
        <family val="2"/>
      </rPr>
      <t xml:space="preserve">어이쿠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접시 날아가기 전에 식탁에 내려놔야겠네</t>
    </r>
    <r>
      <rPr>
        <sz val="10"/>
        <rFont val="Noto Sans CJK SC"/>
        <family val="2"/>
        <charset val="1"/>
      </rPr>
      <t xml:space="preserve">.</t>
    </r>
  </si>
  <si>
    <t xml:space="preserve">말없이 접시를 내려놓음</t>
  </si>
  <si>
    <r>
      <rPr>
        <sz val="10"/>
        <rFont val="WenQuanYi Zen Hei"/>
        <family val="2"/>
      </rPr>
      <t xml:space="preserve">정적의 순간을 웃음으로 대신한다</t>
    </r>
    <r>
      <rPr>
        <sz val="10"/>
        <rFont val="Noto Sans CJK SC"/>
        <family val="2"/>
        <charset val="1"/>
      </rPr>
      <t xml:space="preserve">. 'sto = questo (</t>
    </r>
    <r>
      <rPr>
        <sz val="10"/>
        <rFont val="WenQuanYi Zen Hei"/>
        <family val="2"/>
      </rPr>
      <t xml:space="preserve">로마 구어</t>
    </r>
    <r>
      <rPr>
        <sz val="10"/>
        <rFont val="Noto Sans CJK SC"/>
        <family val="2"/>
        <charset val="1"/>
      </rPr>
      <t xml:space="preserve">)</t>
    </r>
  </si>
  <si>
    <t xml:space="preserve">Nulla da segn… No. Meglio che stia zitto.</t>
  </si>
  <si>
    <r>
      <rPr>
        <sz val="10"/>
        <rFont val="WenQuanYi Zen Hei"/>
        <family val="2"/>
      </rPr>
      <t xml:space="preserve">이상 없… 아니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입 다무는 게 낫겠군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</si>
  <si>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«Nulla da segnalare»</t>
    </r>
    <r>
      <rPr>
        <sz val="10"/>
        <rFont val="WenQuanYi Zen Hei"/>
        <family val="2"/>
      </rPr>
      <t xml:space="preserve">를 하려다 입을 다묾</t>
    </r>
  </si>
  <si>
    <t xml:space="preserve">Io non ho detto niente.</t>
  </si>
  <si>
    <r>
      <rPr>
        <sz val="10"/>
        <rFont val="WenQuanYi Zen Hei"/>
        <family val="2"/>
      </rPr>
      <t xml:space="preserve">나는 아무 말도 안 했어</t>
    </r>
    <r>
      <rPr>
        <sz val="10"/>
        <rFont val="Noto Sans CJK SC"/>
        <family val="2"/>
        <charset val="1"/>
      </rPr>
      <t xml:space="preserve">.</t>
    </r>
  </si>
  <si>
    <t xml:space="preserve">아무 말도 하지 않아 오히려 가장 긴장됨</t>
  </si>
  <si>
    <t xml:space="preserve">침묵 설정을 폐지하고 시그니처 대사로 대체</t>
  </si>
  <si>
    <r>
      <rPr>
        <b val="true"/>
        <sz val="10"/>
        <rFont val="Arial"/>
        <family val="0"/>
        <charset val="1"/>
      </rPr>
      <t xml:space="preserve">4. </t>
    </r>
    <r>
      <rPr>
        <b val="true"/>
        <sz val="10"/>
        <rFont val="WenQuanYi Zen Hei"/>
        <family val="2"/>
      </rPr>
      <t xml:space="preserve">욕 배정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폭발 장면 한정 — 교재용 순한 표현만</t>
    </r>
    <r>
      <rPr>
        <b val="true"/>
        <sz val="10"/>
        <rFont val="Arial"/>
        <family val="0"/>
        <charset val="1"/>
      </rPr>
      <t xml:space="preserve">)</t>
    </r>
  </si>
  <si>
    <t xml:space="preserve">표현</t>
  </si>
  <si>
    <t xml:space="preserve">뉘앙스</t>
  </si>
  <si>
    <t xml:space="preserve">사용 규칙</t>
  </si>
  <si>
    <t xml:space="preserve">Stolta / Testa di rapa</t>
  </si>
  <si>
    <r>
      <rPr>
        <sz val="10"/>
        <rFont val="WenQuanYi Zen Hei"/>
        <family val="2"/>
      </rPr>
      <t xml:space="preserve">고풍스럽고 격식 있는 욕 — 우아하게 기분 나쁨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라틴어 </t>
    </r>
    <r>
      <rPr>
        <sz val="10"/>
        <rFont val="Noto Sans CJK SC"/>
        <family val="2"/>
        <charset val="1"/>
      </rPr>
      <t xml:space="preserve">stulta</t>
    </r>
    <r>
      <rPr>
        <sz val="10"/>
        <rFont val="WenQuanYi Zen Hei"/>
        <family val="2"/>
      </rPr>
      <t xml:space="preserve">의 후손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</si>
  <si>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차</t>
    </r>
    <r>
      <rPr>
        <sz val="10"/>
        <rFont val="Arial"/>
        <family val="0"/>
        <charset val="1"/>
      </rPr>
      <t xml:space="preserve">·2</t>
    </r>
    <r>
      <rPr>
        <sz val="10"/>
        <rFont val="WenQuanYi Zen Hei"/>
        <family val="2"/>
      </rPr>
      <t xml:space="preserve">차 폭발에서만</t>
    </r>
    <r>
      <rPr>
        <sz val="10"/>
        <rFont val="Arial"/>
        <family val="0"/>
        <charset val="1"/>
      </rPr>
      <t xml:space="preserve">, Sofia</t>
    </r>
    <r>
      <rPr>
        <sz val="10"/>
        <rFont val="WenQuanYi Zen Hei"/>
        <family val="2"/>
      </rPr>
      <t xml:space="preserve">에게만</t>
    </r>
  </si>
  <si>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화 마지막에 </t>
    </r>
    <r>
      <rPr>
        <sz val="10"/>
        <rFont val="Arial"/>
        <family val="0"/>
        <charset val="1"/>
      </rPr>
      <t xml:space="preserve">«stolta» </t>
    </r>
    <r>
      <rPr>
        <sz val="10"/>
        <rFont val="WenQuanYi Zen Hei"/>
        <family val="2"/>
      </rPr>
      <t xml:space="preserve">대신 </t>
    </r>
    <r>
      <rPr>
        <sz val="10"/>
        <rFont val="Arial"/>
        <family val="0"/>
        <charset val="1"/>
      </rPr>
      <t xml:space="preserve">«Niente male.»</t>
    </r>
    <r>
      <rPr>
        <sz val="10"/>
        <rFont val="WenQuanYi Zen Hei"/>
        <family val="2"/>
      </rPr>
      <t xml:space="preserve">이 나올 때 낙차가 커진다</t>
    </r>
    <r>
      <rPr>
        <sz val="10"/>
        <rFont val="Arial"/>
        <family val="0"/>
        <charset val="1"/>
      </rPr>
      <t xml:space="preserve">.</t>
    </r>
  </si>
  <si>
    <t xml:space="preserve">Recluta! / Pivella</t>
  </si>
  <si>
    <t xml:space="preserve">의용군식 신병 취급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</si>
  <si>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차에서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</si>
  <si>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폭발 화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에 카메오로 함께 있으므로 여기서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확정</t>
    </r>
    <r>
      <rPr>
        <sz val="10"/>
        <rFont val="Arial"/>
        <family val="0"/>
        <charset val="1"/>
      </rPr>
      <t xml:space="preserve">)</t>
    </r>
  </si>
  <si>
    <t xml:space="preserve">Zuccona / Testona</t>
  </si>
  <si>
    <t xml:space="preserve">시장통식 직설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</si>
  <si>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차</t>
    </r>
    <r>
      <rPr>
        <sz val="10"/>
        <rFont val="Arial"/>
        <family val="0"/>
        <charset val="1"/>
      </rPr>
      <t xml:space="preserve">(9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에서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</si>
  <si>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차 폭발 화의 카메오 과밀을 피해 이관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확정</t>
    </r>
    <r>
      <rPr>
        <sz val="10"/>
        <rFont val="Arial"/>
        <family val="0"/>
        <charset val="1"/>
      </rPr>
      <t xml:space="preserve">)</t>
    </r>
  </si>
  <si>
    <t xml:space="preserve">Svampita / Scemotta + «amore»</t>
  </si>
  <si>
    <r>
      <rPr>
        <sz val="10"/>
        <rFont val="WenQuanYi Zen Hei"/>
        <family val="2"/>
      </rPr>
      <t xml:space="preserve">애정이 섞여 욕인 줄 모름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로마 할머니 화법</t>
    </r>
    <r>
      <rPr>
        <sz val="10"/>
        <rFont val="Noto Sans CJK SC"/>
        <family val="2"/>
        <charset val="1"/>
      </rPr>
      <t xml:space="preserve">)</t>
    </r>
  </si>
  <si>
    <t xml:space="preserve">욕하지 않음</t>
  </si>
  <si>
    <t xml:space="preserve">대신 출처를 가리킨다</t>
  </si>
  <si>
    <t xml:space="preserve">«Cercalo tu.»</t>
  </si>
  <si>
    <r>
      <rPr>
        <b val="true"/>
        <sz val="10"/>
        <rFont val="Arial"/>
        <family val="0"/>
        <charset val="1"/>
      </rPr>
      <t xml:space="preserve">5. </t>
    </r>
    <r>
      <rPr>
        <b val="true"/>
        <sz val="10"/>
        <rFont val="WenQuanYi Zen Hei"/>
        <family val="2"/>
      </rPr>
      <t xml:space="preserve">유지 규칙</t>
    </r>
  </si>
  <si>
    <r>
      <rPr>
        <sz val="10"/>
        <rFont val="Arial"/>
        <family val="0"/>
        <charset val="1"/>
      </rPr>
      <t xml:space="preserve">1. Sofia</t>
    </r>
    <r>
      <rPr>
        <sz val="10"/>
        <rFont val="WenQuanYi Zen Hei"/>
        <family val="2"/>
      </rPr>
      <t xml:space="preserve">가 옳은 경우가 있어야 한다</t>
    </r>
    <r>
      <rPr>
        <sz val="10"/>
        <rFont val="Arial"/>
        <family val="0"/>
        <charset val="1"/>
      </rPr>
      <t xml:space="preserve">. 2</t>
    </r>
    <r>
      <rPr>
        <sz val="10"/>
        <rFont val="WenQuanYi Zen Hei"/>
        <family val="2"/>
      </rPr>
      <t xml:space="preserve">차</t>
    </r>
    <r>
      <rPr>
        <sz val="10"/>
        <rFont val="Arial"/>
        <family val="0"/>
        <charset val="1"/>
      </rPr>
      <t xml:space="preserve">(9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에서는 관료 용어에 숨은 삭감 조항을 짚어 낸다</t>
    </r>
    <r>
      <rPr>
        <sz val="10"/>
        <rFont val="Arial"/>
        <family val="0"/>
        <charset val="1"/>
      </rPr>
      <t xml:space="preserve">. 1</t>
    </r>
    <r>
      <rPr>
        <sz val="10"/>
        <rFont val="WenQuanYi Zen Hei"/>
        <family val="2"/>
      </rPr>
      <t xml:space="preserve">차에서도 </t>
    </r>
    <r>
      <rPr>
        <sz val="10"/>
        <rFont val="Arial"/>
        <family val="0"/>
        <charset val="1"/>
      </rPr>
      <t xml:space="preserve">Chiara</t>
    </r>
    <r>
      <rPr>
        <sz val="10"/>
        <rFont val="WenQuanYi Zen Hei"/>
        <family val="2"/>
      </rPr>
      <t xml:space="preserve">의 용어</t>
    </r>
    <r>
      <rPr>
        <sz val="10"/>
        <rFont val="Arial"/>
        <family val="0"/>
        <charset val="1"/>
      </rPr>
      <t xml:space="preserve">(sinergie, scalabile)</t>
    </r>
    <r>
      <rPr>
        <sz val="10"/>
        <rFont val="WenQuanYi Zen Hei"/>
        <family val="2"/>
      </rPr>
      <t xml:space="preserve">가 알맹이 없었음이 드러난다</t>
    </r>
    <r>
      <rPr>
        <sz val="10"/>
        <rFont val="Arial"/>
        <family val="0"/>
        <charset val="1"/>
      </rPr>
      <t xml:space="preserve">. Sofia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어려운 말로 숨는 어른들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을 드러내는 인물이다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</si>
  <si>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폭발 직후에는 누군가 쉬운 말로 다시 설명한다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전문 표현 → 쉬운 표현 짝 학습</t>
    </r>
    <r>
      <rPr>
        <sz val="10"/>
        <rFont val="Arial"/>
        <family val="0"/>
        <charset val="1"/>
      </rPr>
      <t xml:space="preserve">). 1</t>
    </r>
    <r>
      <rPr>
        <sz val="10"/>
        <rFont val="WenQuanYi Zen Hei"/>
        <family val="2"/>
      </rPr>
      <t xml:space="preserve">차 담당</t>
    </r>
    <r>
      <rPr>
        <sz val="10"/>
        <rFont val="Arial"/>
        <family val="0"/>
        <charset val="1"/>
      </rPr>
      <t xml:space="preserve">: Alessandro — «Traduco io. Vuol dire: licenziare gente per risparmiare.»</t>
    </r>
  </si>
  <si>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욕과 괴롭힘의 선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별도 에피소드를 만들지 않고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차 폭발에 합친다</t>
    </r>
    <r>
      <rPr>
        <sz val="10"/>
        <rFont val="Arial"/>
        <family val="0"/>
        <charset val="1"/>
      </rPr>
      <t xml:space="preserve">. Cesare</t>
    </r>
    <r>
      <rPr>
        <sz val="10"/>
        <rFont val="WenQuanYi Zen Hei"/>
        <family val="2"/>
      </rPr>
      <t xml:space="preserve">가 정말 아픈 말을 하고 </t>
    </r>
    <r>
      <rPr>
        <sz val="10"/>
        <rFont val="Arial"/>
        <family val="0"/>
        <charset val="1"/>
      </rPr>
      <t xml:space="preserve">Garibaldi·Rosa</t>
    </r>
    <r>
      <rPr>
        <sz val="10"/>
        <rFont val="WenQuanYi Zen Hei"/>
        <family val="2"/>
      </rPr>
      <t xml:space="preserve">가 나무라며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사과는 </t>
    </r>
    <r>
      <rPr>
        <sz val="10"/>
        <rFont val="Arial"/>
        <family val="0"/>
        <charset val="1"/>
      </rPr>
      <t xml:space="preserve">«Ritiro quello che ho detto… in parte.» </t>
    </r>
    <r>
      <rPr>
        <sz val="10"/>
        <rFont val="WenQuanYi Zen Hei"/>
        <family val="2"/>
      </rPr>
      <t xml:space="preserve">정도로 삐딱하게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</si>
  <si>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4. </t>
    </r>
    <r>
      <rPr>
        <sz val="10"/>
        <rFont val="WenQuanYi Zen Hei"/>
        <family val="2"/>
      </rPr>
      <t xml:space="preserve">욕설 수위</t>
    </r>
    <r>
      <rPr>
        <sz val="10"/>
        <rFont val="Arial"/>
        <family val="0"/>
        <charset val="1"/>
      </rPr>
      <t xml:space="preserve">: cazzo, vaffanculo </t>
    </r>
    <r>
      <rPr>
        <sz val="10"/>
        <rFont val="WenQuanYi Zen Hei"/>
        <family val="2"/>
      </rPr>
      <t xml:space="preserve">등은 교재에서 제외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필요하면 각주로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실제로는 더 거칠게 말한다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고만 알려 준다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로마 사투리 욕도 순한 것만</t>
    </r>
    <r>
      <rPr>
        <sz val="10"/>
        <rFont val="Arial"/>
        <family val="0"/>
        <charset val="1"/>
      </rPr>
      <t xml:space="preserve">.</t>
    </r>
  </si>
  <si>
    <r>
      <rPr>
        <b val="true"/>
        <sz val="14"/>
        <color rgb="FF1F3864"/>
        <rFont val="Arial"/>
        <family val="0"/>
        <charset val="1"/>
      </rPr>
      <t xml:space="preserve">Cesare — </t>
    </r>
    <r>
      <rPr>
        <b val="true"/>
        <sz val="14"/>
        <color rgb="FF1F3864"/>
        <rFont val="WenQuanYi Zen Hei"/>
        <family val="2"/>
      </rPr>
      <t xml:space="preserve">부활한 독재관</t>
    </r>
    <r>
      <rPr>
        <b val="true"/>
        <sz val="14"/>
        <color rgb="FF1F3864"/>
        <rFont val="Arial"/>
        <family val="0"/>
        <charset val="1"/>
      </rPr>
      <t xml:space="preserve">, </t>
    </r>
    <r>
      <rPr>
        <b val="true"/>
        <sz val="14"/>
        <color rgb="FF1F3864"/>
        <rFont val="WenQuanYi Zen Hei"/>
        <family val="2"/>
      </rPr>
      <t xml:space="preserve">협상 승리 직후 두 번째 죽음</t>
    </r>
  </si>
  <si>
    <r>
      <rPr>
        <i val="true"/>
        <sz val="9"/>
        <color rgb="FF595959"/>
        <rFont val="Arial"/>
        <family val="0"/>
        <charset val="1"/>
      </rPr>
      <t xml:space="preserve">10</t>
    </r>
    <r>
      <rPr>
        <i val="true"/>
        <sz val="9"/>
        <color rgb="FF595959"/>
        <rFont val="WenQuanYi Zen Hei"/>
        <family val="2"/>
      </rPr>
      <t xml:space="preserve">부 동안 매 겨울 </t>
    </r>
    <r>
      <rPr>
        <i val="true"/>
        <sz val="9"/>
        <color rgb="FF595959"/>
        <rFont val="Arial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마지막</t>
    </r>
    <r>
      <rPr>
        <i val="true"/>
        <sz val="9"/>
        <color rgb="FF595959"/>
        <rFont val="Arial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이라고 외치는 양치기 소년 → </t>
    </r>
    <r>
      <rPr>
        <i val="true"/>
        <sz val="9"/>
        <color rgb="FF595959"/>
        <rFont val="Arial"/>
        <family val="0"/>
        <charset val="1"/>
      </rPr>
      <t xml:space="preserve">11</t>
    </r>
    <r>
      <rPr>
        <i val="true"/>
        <sz val="9"/>
        <color rgb="FF595959"/>
        <rFont val="WenQuanYi Zen Hei"/>
        <family val="2"/>
      </rPr>
      <t xml:space="preserve">부에서 </t>
    </r>
    <r>
      <rPr>
        <i val="true"/>
        <sz val="9"/>
        <color rgb="FF595959"/>
        <rFont val="Arial"/>
        <family val="0"/>
        <charset val="1"/>
      </rPr>
      <t xml:space="preserve">2</t>
    </r>
    <r>
      <rPr>
        <i val="true"/>
        <sz val="9"/>
        <color rgb="FF595959"/>
        <rFont val="WenQuanYi Zen Hei"/>
        <family val="2"/>
      </rPr>
      <t xml:space="preserve">천 년 만에 다시 협상가가 되어 브뤼셀에서 승리하고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그 직후 </t>
    </r>
    <r>
      <rPr>
        <i val="true"/>
        <sz val="9"/>
        <color rgb="FF595959"/>
        <rFont val="Arial"/>
        <family val="0"/>
        <charset val="1"/>
      </rPr>
      <t xml:space="preserve">12</t>
    </r>
    <r>
      <rPr>
        <i val="true"/>
        <sz val="9"/>
        <color rgb="FF595959"/>
        <rFont val="WenQuanYi Zen Hei"/>
        <family val="2"/>
      </rPr>
      <t xml:space="preserve">화에서 진짜로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두 번째로</t>
    </r>
    <r>
      <rPr>
        <i val="true"/>
        <sz val="9"/>
        <color rgb="FF595959"/>
        <rFont val="Arial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죽는다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</si>
  <si>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내용</t>
  </si>
  <si>
    <t xml:space="preserve">나이</t>
  </si>
  <si>
    <r>
      <rPr>
        <sz val="10"/>
        <rFont val="WenQuanYi Zen Hei"/>
        <family val="2"/>
      </rPr>
      <t xml:space="preserve">정중하게 독을 뿌리는 심술 영감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예의를 지키며 비꼬는 화법이라 </t>
    </r>
    <r>
      <rPr>
        <sz val="10"/>
        <rFont val="Noto Sans CJK SC"/>
        <family val="2"/>
        <charset val="1"/>
      </rPr>
      <t xml:space="preserve">Paolo·Garibaldi</t>
    </r>
    <r>
      <rPr>
        <sz val="10"/>
        <rFont val="WenQuanYi Zen Hei"/>
        <family val="2"/>
      </rPr>
      <t xml:space="preserve">의 큰 소리 화법과 구분된다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자기 자신을 </t>
    </r>
    <r>
      <rPr>
        <sz val="10"/>
        <rFont val="Noto Sans CJK SC"/>
        <family val="2"/>
        <charset val="1"/>
      </rPr>
      <t xml:space="preserve">3</t>
    </r>
    <r>
      <rPr>
        <sz val="10"/>
        <rFont val="WenQuanYi Zen Hei"/>
        <family val="2"/>
      </rPr>
      <t xml:space="preserve">인칭</t>
    </r>
    <r>
      <rPr>
        <sz val="10"/>
        <rFont val="Noto Sans CJK SC"/>
        <family val="2"/>
        <charset val="1"/>
      </rPr>
      <t xml:space="preserve">(«Cesare pensa…»)</t>
    </r>
    <r>
      <rPr>
        <sz val="10"/>
        <rFont val="WenQuanYi Zen Hei"/>
        <family val="2"/>
      </rPr>
      <t xml:space="preserve">으로 부른다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낭독하면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정중한데 기분 나쁜</t>
    </r>
    <r>
      <rPr>
        <sz val="10"/>
        <rFont val="Noto Sans CJK SC"/>
        <family val="2"/>
        <charset val="1"/>
      </rPr>
      <t xml:space="preserve">' </t>
    </r>
    <r>
      <rPr>
        <sz val="10"/>
        <rFont val="WenQuanYi Zen Hei"/>
        <family val="2"/>
      </rPr>
      <t xml:space="preserve">억양 연습이 된다</t>
    </r>
    <r>
      <rPr>
        <sz val="10"/>
        <rFont val="Noto Sans CJK SC"/>
        <family val="2"/>
        <charset val="1"/>
      </rPr>
      <t xml:space="preserve">.</t>
    </r>
  </si>
  <si>
    <t xml:space="preserve">심술 패턴</t>
  </si>
  <si>
    <r>
      <rPr>
        <sz val="10"/>
        <rFont val="WenQuanYi Zen Hei"/>
        <family val="2"/>
      </rPr>
      <t xml:space="preserve">커피가 맛없다고 매일 불평</t>
    </r>
    <r>
      <rPr>
        <sz val="10"/>
        <rFont val="Noto Sans CJK SC"/>
        <family val="2"/>
        <charset val="1"/>
      </rPr>
      <t xml:space="preserve">(«Che modo di rovinare un buon caffè.»). Chiara</t>
    </r>
    <r>
      <rPr>
        <sz val="10"/>
        <rFont val="WenQuanYi Zen Hei"/>
        <family val="2"/>
      </rPr>
      <t xml:space="preserve">를 </t>
    </r>
    <r>
      <rPr>
        <sz val="10"/>
        <rFont val="Noto Sans CJK SC"/>
        <family val="2"/>
        <charset val="1"/>
      </rPr>
      <t xml:space="preserve">«quella delle slide», Dante</t>
    </r>
    <r>
      <rPr>
        <sz val="10"/>
        <rFont val="WenQuanYi Zen Hei"/>
        <family val="2"/>
      </rPr>
      <t xml:space="preserve">의 원고를 </t>
    </r>
    <r>
      <rPr>
        <sz val="10"/>
        <rFont val="Noto Sans CJK SC"/>
        <family val="2"/>
        <charset val="1"/>
      </rPr>
      <t xml:space="preserve">«le mille bozze»</t>
    </r>
    <r>
      <rPr>
        <sz val="10"/>
        <rFont val="WenQuanYi Zen Hei"/>
        <family val="2"/>
      </rPr>
      <t xml:space="preserve">라고 놀림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모든 것이 </t>
    </r>
    <r>
      <rPr>
        <sz val="10"/>
        <rFont val="Noto Sans CJK SC"/>
        <family val="2"/>
        <charset val="1"/>
      </rPr>
      <t xml:space="preserve">«Ai miei tempi»(</t>
    </r>
    <r>
      <rPr>
        <sz val="10"/>
        <rFont val="WenQuanYi Zen Hei"/>
        <family val="2"/>
      </rPr>
      <t xml:space="preserve">기원전</t>
    </r>
    <r>
      <rPr>
        <sz val="10"/>
        <rFont val="Noto Sans CJK SC"/>
        <family val="2"/>
        <charset val="1"/>
      </rPr>
      <t xml:space="preserve">!)</t>
    </r>
    <r>
      <rPr>
        <sz val="10"/>
        <rFont val="WenQuanYi Zen Hei"/>
        <family val="2"/>
      </rPr>
      <t xml:space="preserve">보다 못하다</t>
    </r>
    <r>
      <rPr>
        <sz val="10"/>
        <rFont val="Noto Sans CJK SC"/>
        <family val="2"/>
        <charset val="1"/>
      </rPr>
      <t xml:space="preserve">.</t>
    </r>
  </si>
  <si>
    <t xml:space="preserve">반복 개그</t>
  </si>
  <si>
    <r>
      <rPr>
        <sz val="10"/>
        <rFont val="WenQuanYi Zen Hei"/>
        <family val="2"/>
      </rPr>
      <t xml:space="preserve">매 겨울 </t>
    </r>
    <r>
      <rPr>
        <sz val="10"/>
        <rFont val="Noto Sans CJK SC"/>
        <family val="2"/>
        <charset val="1"/>
      </rPr>
      <t xml:space="preserve">«Questo sarà il mio ultimo inverno.» </t>
    </r>
    <r>
      <rPr>
        <sz val="10"/>
        <rFont val="WenQuanYi Zen Hei"/>
        <family val="2"/>
      </rPr>
      <t xml:space="preserve">선언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유언장을 계속 고쳐 씀 </t>
    </r>
    <r>
      <rPr>
        <sz val="10"/>
        <rFont val="Noto Sans CJK SC"/>
        <family val="2"/>
        <charset val="1"/>
      </rPr>
      <t xml:space="preserve">(Sofia</t>
    </r>
    <r>
      <rPr>
        <sz val="10"/>
        <rFont val="WenQuanYi Zen Hei"/>
        <family val="2"/>
      </rPr>
      <t xml:space="preserve">에게 우산을 물려주겠다 등</t>
    </r>
    <r>
      <rPr>
        <sz val="10"/>
        <rFont val="Noto Sans CJK SC"/>
        <family val="2"/>
        <charset val="1"/>
      </rPr>
      <t xml:space="preserve">). </t>
    </r>
    <r>
      <rPr>
        <sz val="10"/>
        <rFont val="WenQuanYi Zen Hei"/>
        <family val="2"/>
      </rPr>
      <t xml:space="preserve">입버릇 </t>
    </r>
    <r>
      <rPr>
        <sz val="10"/>
        <rFont val="Noto Sans CJK SC"/>
        <family val="2"/>
        <charset val="1"/>
      </rPr>
      <t xml:space="preserve">«Lo scrivano nel mio testamento.»(</t>
    </r>
    <r>
      <rPr>
        <sz val="10"/>
        <rFont val="WenQuanYi Zen Hei"/>
        <family val="2"/>
      </rPr>
      <t xml:space="preserve">고풍 격식 복수 </t>
    </r>
    <r>
      <rPr>
        <sz val="10"/>
        <rFont val="Noto Sans CJK SC"/>
        <family val="2"/>
        <charset val="1"/>
      </rPr>
      <t xml:space="preserve">Loro). </t>
    </r>
    <r>
      <rPr>
        <sz val="10"/>
        <rFont val="WenQuanYi Zen Hei"/>
        <family val="2"/>
      </rPr>
      <t xml:space="preserve">모두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또 시작이네</t>
    </r>
    <r>
      <rPr>
        <sz val="10"/>
        <rFont val="Noto Sans CJK SC"/>
        <family val="2"/>
        <charset val="1"/>
      </rPr>
      <t xml:space="preserve">' </t>
    </r>
    <r>
      <rPr>
        <sz val="10"/>
        <rFont val="WenQuanYi Zen Hei"/>
        <family val="2"/>
      </rPr>
      <t xml:space="preserve">하며 웃어넘긴다</t>
    </r>
    <r>
      <rPr>
        <sz val="10"/>
        <rFont val="Noto Sans CJK SC"/>
        <family val="2"/>
        <charset val="1"/>
      </rPr>
      <t xml:space="preserve">.</t>
    </r>
  </si>
  <si>
    <t xml:space="preserve">가짜 병</t>
  </si>
  <si>
    <r>
      <rPr>
        <sz val="10"/>
        <rFont val="WenQuanYi Zen Hei"/>
        <family val="2"/>
      </rPr>
      <t xml:space="preserve">무릎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소화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불면 — 전부 엄살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부은 발목은 </t>
    </r>
    <r>
      <rPr>
        <sz val="10"/>
        <rFont val="Noto Sans CJK SC"/>
        <family val="2"/>
        <charset val="1"/>
      </rPr>
      <t xml:space="preserve">«Sono i calzari.»(</t>
    </r>
    <r>
      <rPr>
        <sz val="10"/>
        <rFont val="WenQuanYi Zen Hei"/>
        <family val="2"/>
      </rPr>
      <t xml:space="preserve">샌들 탓</t>
    </r>
    <r>
      <rPr>
        <sz val="10"/>
        <rFont val="Noto Sans CJK SC"/>
        <family val="2"/>
        <charset val="1"/>
      </rPr>
      <t xml:space="preserve">). </t>
    </r>
    <r>
      <rPr>
        <sz val="10"/>
        <rFont val="WenQuanYi Zen Hei"/>
        <family val="2"/>
      </rPr>
      <t xml:space="preserve">소란스러운 엄살이 진짜 병의 위장이 된다</t>
    </r>
    <r>
      <rPr>
        <sz val="10"/>
        <rFont val="Noto Sans CJK SC"/>
        <family val="2"/>
        <charset val="1"/>
      </rPr>
      <t xml:space="preserve">.</t>
    </r>
  </si>
  <si>
    <t xml:space="preserve">진짜 병</t>
  </si>
  <si>
    <r>
      <rPr>
        <sz val="10"/>
        <rFont val="WenQuanYi Zen Hei"/>
        <family val="2"/>
      </rPr>
      <t xml:space="preserve">만성 심부전 </t>
    </r>
    <r>
      <rPr>
        <sz val="10"/>
        <rFont val="Noto Sans CJK SC"/>
        <family val="2"/>
        <charset val="1"/>
      </rPr>
      <t xml:space="preserve">(insufficienza cardiaca cronica). </t>
    </r>
    <r>
      <rPr>
        <sz val="10"/>
        <rFont val="WenQuanYi Zen Hei"/>
        <family val="2"/>
      </rPr>
      <t xml:space="preserve">이것만 숨긴다</t>
    </r>
    <r>
      <rPr>
        <sz val="10"/>
        <rFont val="Noto Sans CJK SC"/>
        <family val="2"/>
        <charset val="1"/>
      </rPr>
      <t xml:space="preserve">.</t>
    </r>
  </si>
  <si>
    <r>
      <rPr>
        <b val="true"/>
        <sz val="10"/>
        <rFont val="Arial"/>
        <family val="0"/>
        <charset val="1"/>
      </rPr>
      <t xml:space="preserve">Giulia</t>
    </r>
    <r>
      <rPr>
        <b val="true"/>
        <sz val="10"/>
        <rFont val="WenQuanYi Zen Hei"/>
        <family val="2"/>
      </rPr>
      <t xml:space="preserve">의 딜레마</t>
    </r>
  </si>
  <si>
    <r>
      <rPr>
        <sz val="10"/>
        <rFont val="Noto Sans CJK SC"/>
        <family val="2"/>
        <charset val="1"/>
      </rPr>
      <t xml:space="preserve">Giulia</t>
    </r>
    <r>
      <rPr>
        <sz val="10"/>
        <rFont val="WenQuanYi Zen Hei"/>
        <family val="2"/>
      </rPr>
      <t xml:space="preserve">는 진단을 알지만 의사의 비밀유지</t>
    </r>
    <r>
      <rPr>
        <sz val="10"/>
        <rFont val="Noto Sans CJK SC"/>
        <family val="2"/>
        <charset val="1"/>
      </rPr>
      <t xml:space="preserve">(segreto professionale)</t>
    </r>
    <r>
      <rPr>
        <sz val="10"/>
        <rFont val="WenQuanYi Zen Hei"/>
        <family val="2"/>
      </rPr>
      <t xml:space="preserve">를 지킨다</t>
    </r>
    <r>
      <rPr>
        <sz val="10"/>
        <rFont val="Noto Sans CJK SC"/>
        <family val="2"/>
        <charset val="1"/>
      </rPr>
      <t xml:space="preserve">. Cesare</t>
    </r>
    <r>
      <rPr>
        <sz val="10"/>
        <rFont val="WenQuanYi Zen Hei"/>
        <family val="2"/>
      </rPr>
      <t xml:space="preserve">가 </t>
    </r>
    <r>
      <rPr>
        <sz val="10"/>
        <rFont val="Noto Sans CJK SC"/>
        <family val="2"/>
        <charset val="1"/>
      </rPr>
      <t xml:space="preserve">«Dottoressa, questo resta tra noi.»</t>
    </r>
    <r>
      <rPr>
        <sz val="10"/>
        <rFont val="WenQuanYi Zen Hei"/>
        <family val="2"/>
      </rPr>
      <t xml:space="preserve">라고 못 박았기 때문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시청자가 뒤늦게 </t>
    </r>
    <r>
      <rPr>
        <sz val="10"/>
        <rFont val="Noto Sans CJK SC"/>
        <family val="2"/>
        <charset val="1"/>
      </rPr>
      <t xml:space="preserve">'Giulia</t>
    </r>
    <r>
      <rPr>
        <sz val="10"/>
        <rFont val="WenQuanYi Zen Hei"/>
        <family val="2"/>
      </rPr>
      <t xml:space="preserve">가 왜 조용했는지</t>
    </r>
    <r>
      <rPr>
        <sz val="10"/>
        <rFont val="Noto Sans CJK SC"/>
        <family val="2"/>
        <charset val="1"/>
      </rPr>
      <t xml:space="preserve">' </t>
    </r>
    <r>
      <rPr>
        <sz val="10"/>
        <rFont val="WenQuanYi Zen Hei"/>
        <family val="2"/>
      </rPr>
      <t xml:space="preserve">깨닫는 구조</t>
    </r>
    <r>
      <rPr>
        <sz val="10"/>
        <rFont val="Noto Sans CJK SC"/>
        <family val="2"/>
        <charset val="1"/>
      </rPr>
      <t xml:space="preserve">.</t>
    </r>
  </si>
  <si>
    <t xml:space="preserve">최고의 칭찬</t>
  </si>
  <si>
    <r>
      <rPr>
        <sz val="10"/>
        <rFont val="Arial"/>
        <family val="0"/>
        <charset val="1"/>
      </rPr>
      <t xml:space="preserve">«Niente male.» — </t>
    </r>
    <r>
      <rPr>
        <sz val="10"/>
        <rFont val="WenQuanYi Zen Hei"/>
        <family val="2"/>
      </rPr>
      <t xml:space="preserve">극히 드물게 쓰는 표현</t>
    </r>
    <r>
      <rPr>
        <sz val="10"/>
        <rFont val="Arial"/>
        <family val="0"/>
        <charset val="1"/>
      </rPr>
      <t xml:space="preserve">. Sofia</t>
    </r>
    <r>
      <rPr>
        <sz val="10"/>
        <rFont val="WenQuanYi Zen Hei"/>
        <family val="2"/>
      </rPr>
      <t xml:space="preserve">에게는 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사망 직전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가 사실상 처음이어야 낙차가 산다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</si>
  <si>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호칭</t>
    </r>
    <r>
      <rPr>
        <b val="true"/>
        <sz val="10"/>
        <rFont val="Noto Sans CJK SC"/>
        <family val="2"/>
        <charset val="1"/>
      </rPr>
      <t xml:space="preserve">·</t>
    </r>
    <r>
      <rPr>
        <b val="true"/>
        <sz val="10"/>
        <rFont val="WenQuanYi Zen Hei"/>
        <family val="2"/>
      </rPr>
      <t xml:space="preserve">욕</t>
    </r>
  </si>
  <si>
    <r>
      <rPr>
        <sz val="10"/>
        <rFont val="WenQuanYi Zen Hei"/>
        <family val="2"/>
      </rPr>
      <t xml:space="preserve">여럿에게는 </t>
    </r>
    <r>
      <rPr>
        <sz val="10"/>
        <rFont val="Noto Sans CJK SC"/>
        <family val="2"/>
        <charset val="1"/>
      </rPr>
      <t xml:space="preserve">Loro, Sofia</t>
    </r>
    <r>
      <rPr>
        <sz val="10"/>
        <rFont val="WenQuanYi Zen Hei"/>
        <family val="2"/>
      </rPr>
      <t xml:space="preserve">에게는 </t>
    </r>
    <r>
      <rPr>
        <sz val="10"/>
        <rFont val="Noto Sans CJK SC"/>
        <family val="2"/>
        <charset val="1"/>
      </rPr>
      <t xml:space="preserve">tu(«ragazza»). </t>
    </r>
    <r>
      <rPr>
        <sz val="10"/>
        <rFont val="WenQuanYi Zen Hei"/>
        <family val="2"/>
      </rPr>
      <t xml:space="preserve">욕</t>
    </r>
    <r>
      <rPr>
        <sz val="10"/>
        <rFont val="Noto Sans CJK SC"/>
        <family val="2"/>
        <charset val="1"/>
      </rPr>
      <t xml:space="preserve">(«stolta»)</t>
    </r>
    <r>
      <rPr>
        <sz val="10"/>
        <rFont val="WenQuanYi Zen Hei"/>
        <family val="2"/>
      </rPr>
      <t xml:space="preserve">은 </t>
    </r>
    <r>
      <rPr>
        <sz val="10"/>
        <rFont val="Noto Sans CJK SC"/>
        <family val="2"/>
        <charset val="1"/>
      </rPr>
      <t xml:space="preserve">Sofia</t>
    </r>
    <r>
      <rPr>
        <sz val="10"/>
        <rFont val="WenQuanYi Zen Hei"/>
        <family val="2"/>
      </rPr>
      <t xml:space="preserve">에게만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폭발 장면 </t>
    </r>
    <r>
      <rPr>
        <sz val="10"/>
        <rFont val="Noto Sans CJK SC"/>
        <family val="2"/>
        <charset val="1"/>
      </rPr>
      <t xml:space="preserve">2</t>
    </r>
    <r>
      <rPr>
        <sz val="10"/>
        <rFont val="WenQuanYi Zen Hei"/>
        <family val="2"/>
      </rPr>
      <t xml:space="preserve">회 한정</t>
    </r>
    <r>
      <rPr>
        <sz val="10"/>
        <rFont val="Noto Sans CJK SC"/>
        <family val="2"/>
        <charset val="1"/>
      </rPr>
      <t xml:space="preserve">.</t>
    </r>
  </si>
  <si>
    <t xml:space="preserve">죽음 이후</t>
  </si>
  <si>
    <r>
      <rPr>
        <sz val="10"/>
        <rFont val="Arial"/>
        <family val="0"/>
        <charset val="1"/>
      </rPr>
      <t xml:space="preserve">La Vecchia Guardia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Garibaldi + Gramsci + Machiavelli + </t>
    </r>
    <r>
      <rPr>
        <sz val="10"/>
        <rFont val="WenQuanYi Zen Hei"/>
        <family val="2"/>
      </rPr>
      <t xml:space="preserve">빈 의자</t>
    </r>
    <r>
      <rPr>
        <sz val="10"/>
        <rFont val="Arial"/>
        <family val="0"/>
        <charset val="1"/>
      </rPr>
      <t xml:space="preserve">. 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화 </t>
    </r>
    <r>
      <rPr>
        <sz val="10"/>
        <rFont val="Arial"/>
        <family val="0"/>
        <charset val="1"/>
      </rPr>
      <t xml:space="preserve">'Il vuoto nella Vecchia Guardia'</t>
    </r>
    <r>
      <rPr>
        <sz val="10"/>
        <rFont val="WenQuanYi Zen Hei"/>
        <family val="2"/>
      </rPr>
      <t xml:space="preserve">에서 정면으로 다룬다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</si>
  <si>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Arial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복선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사망 타임라인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전부 대사로 처리</t>
    </r>
    <r>
      <rPr>
        <b val="true"/>
        <sz val="10"/>
        <rFont val="Arial"/>
        <family val="0"/>
        <charset val="1"/>
      </rPr>
      <t xml:space="preserve">)</t>
    </r>
  </si>
  <si>
    <t xml:space="preserve">대화문 처리 방식</t>
  </si>
  <si>
    <r>
      <rPr>
        <b val="true"/>
        <sz val="10"/>
        <color rgb="FFFFFFFF"/>
        <rFont val="WenQuanYi Zen Hei"/>
        <family val="2"/>
      </rPr>
      <t xml:space="preserve">대사 예시 </t>
    </r>
    <r>
      <rPr>
        <b val="true"/>
        <sz val="10"/>
        <color rgb="FFFFFFFF"/>
        <rFont val="Noto Sans CJK SC"/>
        <family val="2"/>
        <charset val="1"/>
      </rPr>
      <t xml:space="preserve">(IT)</t>
    </r>
  </si>
  <si>
    <t xml:space="preserve">학습 어휘</t>
  </si>
  <si>
    <r>
      <rPr>
        <b val="true"/>
        <sz val="10"/>
        <rFont val="Arial"/>
        <family val="0"/>
        <charset val="1"/>
      </rPr>
      <t xml:space="preserve">1~10</t>
    </r>
    <r>
      <rPr>
        <b val="true"/>
        <sz val="10"/>
        <rFont val="WenQuanYi Zen Hei"/>
        <family val="2"/>
      </rPr>
      <t xml:space="preserve">부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매 겨울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</si>
  <si>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마지막 겨울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선언과 유언장 수정</t>
    </r>
    <r>
      <rPr>
        <sz val="10"/>
        <rFont val="Arial"/>
        <family val="0"/>
        <charset val="1"/>
      </rPr>
      <t xml:space="preserve">. 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개소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개월 시점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부터 이미 반복되어 온 농담으로 등장한다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</si>
  <si>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본인이 선언하고 주변이 </t>
    </r>
    <r>
      <rPr>
        <sz val="10"/>
        <rFont val="Noto Sans CJK SC"/>
        <family val="2"/>
        <charset val="1"/>
      </rPr>
      <t xml:space="preserve">«Di nuovo…»</t>
    </r>
    <r>
      <rPr>
        <sz val="10"/>
        <rFont val="WenQuanYi Zen Hei"/>
        <family val="2"/>
      </rPr>
      <t xml:space="preserve">로 받는다</t>
    </r>
    <r>
      <rPr>
        <sz val="10"/>
        <rFont val="Noto Sans CJK SC"/>
        <family val="2"/>
        <charset val="1"/>
      </rPr>
      <t xml:space="preserve">.</t>
    </r>
  </si>
  <si>
    <t xml:space="preserve">Questo sarà il mio ultimo inverno. Lo scrivano nel mio testamento.</t>
  </si>
  <si>
    <t xml:space="preserve">testamento, lasciare in eredità, inverno</t>
  </si>
  <si>
    <r>
      <rPr>
        <b val="true"/>
        <sz val="10"/>
        <rFont val="Arial"/>
        <family val="0"/>
        <charset val="1"/>
      </rPr>
      <t xml:space="preserve">1~11</t>
    </r>
    <r>
      <rPr>
        <b val="true"/>
        <sz val="10"/>
        <rFont val="WenQuanYi Zen Hei"/>
        <family val="2"/>
      </rPr>
      <t xml:space="preserve">부</t>
    </r>
  </si>
  <si>
    <r>
      <rPr>
        <sz val="10"/>
        <rFont val="WenQuanYi Zen Hei"/>
        <family val="2"/>
      </rPr>
      <t xml:space="preserve">가짜 병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무릎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소화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불면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</si>
  <si>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Arial"/>
        <family val="0"/>
        <charset val="1"/>
      </rPr>
      <t xml:space="preserve">Giulia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«Non ha niente.»</t>
    </r>
    <r>
      <rPr>
        <sz val="10"/>
        <rFont val="WenQuanYi Zen Hei"/>
        <family val="2"/>
      </rPr>
      <t xml:space="preserve">로 넘긴다</t>
    </r>
    <r>
      <rPr>
        <sz val="10"/>
        <rFont val="Arial"/>
        <family val="0"/>
        <charset val="1"/>
      </rPr>
      <t xml:space="preserve">.</t>
    </r>
  </si>
  <si>
    <t xml:space="preserve">Mi fa male il ginocchio. È la fine.</t>
  </si>
  <si>
    <t xml:space="preserve">ginocchio, digestione, insonnia, acciacco</t>
  </si>
  <si>
    <r>
      <rPr>
        <sz val="10"/>
        <rFont val="Arial"/>
        <family val="0"/>
        <charset val="1"/>
      </rPr>
      <t xml:space="preserve">«Puoi darmi del tu.» </t>
    </r>
    <r>
      <rPr>
        <sz val="10"/>
        <rFont val="WenQuanYi Zen Hei"/>
        <family val="2"/>
      </rPr>
      <t xml:space="preserve">허락 — </t>
    </r>
    <r>
      <rPr>
        <sz val="10"/>
        <rFont val="Arial"/>
        <family val="0"/>
        <charset val="1"/>
      </rPr>
      <t xml:space="preserve">Sofia</t>
    </r>
    <r>
      <rPr>
        <sz val="10"/>
        <rFont val="WenQuanYi Zen Hei"/>
        <family val="2"/>
      </rPr>
      <t xml:space="preserve">는 습관 때문에 </t>
    </r>
    <r>
      <rPr>
        <sz val="10"/>
        <rFont val="Arial"/>
        <family val="0"/>
        <charset val="1"/>
      </rPr>
      <t xml:space="preserve">Lei </t>
    </r>
    <r>
      <rPr>
        <sz val="10"/>
        <rFont val="WenQuanYi Zen Hei"/>
        <family val="2"/>
      </rPr>
      <t xml:space="preserve">유지</t>
    </r>
  </si>
  <si>
    <r>
      <rPr>
        <sz val="10"/>
        <rFont val="WenQuanYi Zen Hei"/>
        <family val="2"/>
      </rPr>
      <t xml:space="preserve">허락과 거절이 모두 대사로 나온다</t>
    </r>
    <r>
      <rPr>
        <sz val="10"/>
        <rFont val="Noto Sans CJK SC"/>
        <family val="2"/>
        <charset val="1"/>
      </rPr>
      <t xml:space="preserve">.</t>
    </r>
  </si>
  <si>
    <t xml:space="preserve">Puoi darmi del tu, ragazza. / Mi scusi, è l'abitudine.</t>
  </si>
  <si>
    <t xml:space="preserve">dare del tu, abitudine</t>
  </si>
  <si>
    <r>
      <rPr>
        <sz val="10"/>
        <rFont val="Arial"/>
        <family val="0"/>
        <charset val="1"/>
      </rPr>
      <t xml:space="preserve">Sofia 2</t>
    </r>
    <r>
      <rPr>
        <sz val="10"/>
        <rFont val="WenQuanYi Zen Hei"/>
        <family val="2"/>
      </rPr>
      <t xml:space="preserve">차 폭발에서 </t>
    </r>
    <r>
      <rPr>
        <sz val="10"/>
        <rFont val="Arial"/>
        <family val="0"/>
        <charset val="1"/>
      </rPr>
      <t xml:space="preserve">Cesare</t>
    </r>
    <r>
      <rPr>
        <sz val="10"/>
        <rFont val="WenQuanYi Zen Hei"/>
        <family val="2"/>
      </rPr>
      <t xml:space="preserve">가 선을 넘음 → </t>
    </r>
    <r>
      <rPr>
        <sz val="10"/>
        <rFont val="Arial"/>
        <family val="0"/>
        <charset val="1"/>
      </rPr>
      <t xml:space="preserve">Garibaldi·Rosa</t>
    </r>
    <r>
      <rPr>
        <sz val="10"/>
        <rFont val="WenQuanYi Zen Hei"/>
        <family val="2"/>
      </rPr>
      <t xml:space="preserve">가 나무람</t>
    </r>
  </si>
  <si>
    <r>
      <rPr>
        <sz val="10"/>
        <rFont val="WenQuanYi Zen Hei"/>
        <family val="2"/>
      </rPr>
      <t xml:space="preserve">선을 넘는 말과 사과 모두 대사로</t>
    </r>
    <r>
      <rPr>
        <sz val="10"/>
        <rFont val="Noto Sans CJK SC"/>
        <family val="2"/>
        <charset val="1"/>
      </rPr>
      <t xml:space="preserve">.</t>
    </r>
  </si>
  <si>
    <t xml:space="preserve">Ritiro quello che ho detto… in parte.</t>
  </si>
  <si>
    <t xml:space="preserve">ritirare, scusarsi</t>
  </si>
  <si>
    <r>
      <rPr>
        <b val="true"/>
        <sz val="10"/>
        <rFont val="Arial"/>
        <family val="0"/>
        <charset val="1"/>
      </rPr>
      <t xml:space="preserve">11</t>
    </r>
    <r>
      <rPr>
        <b val="true"/>
        <sz val="10"/>
        <rFont val="WenQuanYi Zen Hei"/>
        <family val="2"/>
      </rPr>
      <t xml:space="preserve">부 </t>
    </r>
    <r>
      <rPr>
        <b val="true"/>
        <sz val="10"/>
        <rFont val="Arial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화</t>
    </r>
  </si>
  <si>
    <r>
      <rPr>
        <sz val="10"/>
        <rFont val="WenQuanYi Zen Hei"/>
        <family val="2"/>
      </rPr>
      <t xml:space="preserve">청년 고용 협상에서 좋은 조언을 하지만 계단에서 숨이 가쁜 게 처음으로 드러남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죽음은 아직 아님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</si>
  <si>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Arial"/>
        <family val="0"/>
        <charset val="1"/>
      </rPr>
      <t xml:space="preserve">«Non ha niente»</t>
    </r>
    <r>
      <rPr>
        <sz val="10"/>
        <rFont val="WenQuanYi Zen Hei"/>
        <family val="2"/>
      </rPr>
      <t xml:space="preserve">가 아니라 </t>
    </r>
    <r>
      <rPr>
        <sz val="10"/>
        <rFont val="Arial"/>
        <family val="0"/>
        <charset val="1"/>
      </rPr>
      <t xml:space="preserve">«Sto bene, sono solo le scale»</t>
    </r>
    <r>
      <rPr>
        <sz val="10"/>
        <rFont val="WenQuanYi Zen Hei"/>
        <family val="2"/>
      </rPr>
      <t xml:space="preserve">로 처음 균열</t>
    </r>
    <r>
      <rPr>
        <sz val="10"/>
        <rFont val="Arial"/>
        <family val="0"/>
        <charset val="1"/>
      </rPr>
      <t xml:space="preserve">.</t>
    </r>
  </si>
  <si>
    <t xml:space="preserve">Sto bene. Sono solo le scale, ragazza.</t>
  </si>
  <si>
    <t xml:space="preserve">scale, fiato, affanno, stanchezza</t>
  </si>
  <si>
    <r>
      <rPr>
        <b val="true"/>
        <sz val="10"/>
        <rFont val="Arial"/>
        <family val="0"/>
        <charset val="1"/>
      </rPr>
      <t xml:space="preserve">11</t>
    </r>
    <r>
      <rPr>
        <b val="true"/>
        <sz val="10"/>
        <rFont val="WenQuanYi Zen Hei"/>
        <family val="2"/>
      </rPr>
      <t xml:space="preserve">부 </t>
    </r>
    <r>
      <rPr>
        <b val="true"/>
        <sz val="10"/>
        <rFont val="Arial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화</t>
    </r>
  </si>
  <si>
    <r>
      <rPr>
        <sz val="10"/>
        <rFont val="WenQuanYi Zen Hei"/>
        <family val="2"/>
      </rPr>
      <t xml:space="preserve">브뤼셀行 자원</t>
    </r>
    <r>
      <rPr>
        <sz val="10"/>
        <rFont val="Noto Sans CJK SC"/>
        <family val="2"/>
        <charset val="1"/>
      </rPr>
      <t xml:space="preserve">(«Cesare andrà.»). Dante</t>
    </r>
    <r>
      <rPr>
        <sz val="10"/>
        <rFont val="WenQuanYi Zen Hei"/>
        <family val="2"/>
      </rPr>
      <t xml:space="preserve">에게 짐을 싸며 두 지도자를 특징으로만 묘사 — 건물에 금박 이름을 새긴 사업가 출신과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정보기관 출신으로 이웃 나라 땅을 가져간 인물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이름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국가는 끝내 말하지 않는다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</si>
  <si>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실명 대신 행동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이력의 특징만 나열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실존 인물 실명 미사용</t>
    </r>
    <r>
      <rPr>
        <sz val="10"/>
        <rFont val="Noto Sans CJK SC"/>
        <family val="2"/>
        <charset val="1"/>
      </rPr>
      <t xml:space="preserve">.</t>
    </r>
  </si>
  <si>
    <t xml:space="preserve">Uno ha scritto il suo nome in lettere d'oro sui suoi palazzi. Ora vende dazi allo stesso modo, urlando. / Somiglierà a chi vuole Lei, giovanotto. Io descrivo solo il paesaggio.</t>
  </si>
  <si>
    <t xml:space="preserve">dazi, servizi segreti, regime, discrezione diplomatica</t>
  </si>
  <si>
    <r>
      <rPr>
        <b val="true"/>
        <sz val="10"/>
        <rFont val="Arial"/>
        <family val="0"/>
        <charset val="1"/>
      </rPr>
      <t xml:space="preserve">11</t>
    </r>
    <r>
      <rPr>
        <b val="true"/>
        <sz val="10"/>
        <rFont val="WenQuanYi Zen Hei"/>
        <family val="2"/>
      </rPr>
      <t xml:space="preserve">부 </t>
    </r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화</t>
    </r>
  </si>
  <si>
    <r>
      <rPr>
        <sz val="10"/>
        <rFont val="WenQuanYi Zen Hei"/>
        <family val="2"/>
      </rPr>
      <t xml:space="preserve">직접 협상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상대의 과장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거짓 주장을 합의문의 날짜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조항으로 정확히 반박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벨가이 인용으로 긴장을 푼다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</si>
  <si>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«Mi permetta di correggerLa»</t>
    </r>
    <r>
      <rPr>
        <sz val="10"/>
        <rFont val="WenQuanYi Zen Hei"/>
        <family val="2"/>
      </rPr>
      <t xml:space="preserve">로 시작하는 반박 대사</t>
    </r>
    <r>
      <rPr>
        <sz val="10"/>
        <rFont val="Arial"/>
        <family val="0"/>
        <charset val="1"/>
      </rPr>
      <t xml:space="preserve">.</t>
    </r>
  </si>
  <si>
    <t xml:space="preserve">Horum omnium fortissimi sunt Belgae. / Cesare ricorda le date meglio dei vostri archivi, giovanotto. Li rilegga con più attenzione.</t>
  </si>
  <si>
    <t xml:space="preserve">correggere, archivio, precisione diplomatica</t>
  </si>
  <si>
    <r>
      <rPr>
        <b val="true"/>
        <sz val="10"/>
        <rFont val="Arial"/>
        <family val="0"/>
        <charset val="1"/>
      </rPr>
      <t xml:space="preserve">11</t>
    </r>
    <r>
      <rPr>
        <b val="true"/>
        <sz val="10"/>
        <rFont val="WenQuanYi Zen Hei"/>
        <family val="2"/>
      </rPr>
      <t xml:space="preserve">부 </t>
    </r>
    <r>
      <rPr>
        <b val="true"/>
        <sz val="10"/>
        <rFont val="Arial"/>
        <family val="0"/>
        <charset val="1"/>
      </rPr>
      <t xml:space="preserve">11</t>
    </r>
    <r>
      <rPr>
        <b val="true"/>
        <sz val="10"/>
        <rFont val="WenQuanYi Zen Hei"/>
        <family val="2"/>
      </rPr>
      <t xml:space="preserve">화</t>
    </r>
  </si>
  <si>
    <r>
      <rPr>
        <sz val="10"/>
        <rFont val="WenQuanYi Zen Hei"/>
        <family val="2"/>
      </rPr>
      <t xml:space="preserve">타결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귀국길에 피로를 숨기고 </t>
    </r>
    <r>
      <rPr>
        <sz val="10"/>
        <rFont val="Noto Sans CJK SC"/>
        <family val="2"/>
        <charset val="1"/>
      </rPr>
      <t xml:space="preserve">Alessandro</t>
    </r>
    <r>
      <rPr>
        <sz val="10"/>
        <rFont val="WenQuanYi Zen Hei"/>
        <family val="2"/>
      </rPr>
      <t xml:space="preserve">에게 메모를 남기라고 지시</t>
    </r>
  </si>
  <si>
    <r>
      <rPr>
        <sz val="10"/>
        <rFont val="WenQuanYi Zen Hei"/>
        <family val="2"/>
      </rPr>
      <t xml:space="preserve">직접 증상을 말하지 않고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메모를 남기라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는 명령으로 암시</t>
    </r>
    <r>
      <rPr>
        <sz val="10"/>
        <rFont val="Noto Sans CJK SC"/>
        <family val="2"/>
        <charset val="1"/>
      </rPr>
      <t xml:space="preserve">.</t>
    </r>
  </si>
  <si>
    <t xml:space="preserve">Per sicurezza, annota anche questo, Alessandro.</t>
  </si>
  <si>
    <t xml:space="preserve">per sicurezza, eredità, istruzione</t>
  </si>
  <si>
    <r>
      <rPr>
        <b val="true"/>
        <sz val="10"/>
        <rFont val="Arial"/>
        <family val="0"/>
        <charset val="1"/>
      </rPr>
      <t xml:space="preserve">11</t>
    </r>
    <r>
      <rPr>
        <b val="true"/>
        <sz val="10"/>
        <rFont val="WenQuanYi Zen Hei"/>
        <family val="2"/>
      </rPr>
      <t xml:space="preserve">부 </t>
    </r>
    <r>
      <rPr>
        <b val="true"/>
        <sz val="10"/>
        <rFont val="Arial"/>
        <family val="0"/>
        <charset val="1"/>
      </rPr>
      <t xml:space="preserve">12</t>
    </r>
    <r>
      <rPr>
        <b val="true"/>
        <sz val="10"/>
        <rFont val="WenQuanYi Zen Hei"/>
        <family val="2"/>
      </rPr>
      <t xml:space="preserve">화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사망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</si>
  <si>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귀국 직후 </t>
    </r>
    <r>
      <rPr>
        <sz val="10"/>
        <rFont val="Noto Sans CJK SC"/>
        <family val="2"/>
        <charset val="1"/>
      </rPr>
      <t xml:space="preserve">Testaccio </t>
    </r>
    <r>
      <rPr>
        <sz val="10"/>
        <rFont val="WenQuanYi Zen Hei"/>
        <family val="2"/>
      </rPr>
      <t xml:space="preserve">자택에서 심부전으로 두 번째 죽음</t>
    </r>
    <r>
      <rPr>
        <sz val="10"/>
        <rFont val="Noto Sans CJK SC"/>
        <family val="2"/>
        <charset val="1"/>
      </rPr>
      <t xml:space="preserve">. Sofia</t>
    </r>
    <r>
      <rPr>
        <sz val="10"/>
        <rFont val="WenQuanYi Zen Hei"/>
        <family val="2"/>
      </rPr>
      <t xml:space="preserve">가 서명을 받으러 왔다가 발견</t>
    </r>
  </si>
  <si>
    <r>
      <rPr>
        <sz val="10"/>
        <rFont val="WenQuanYi Zen Hei"/>
        <family val="2"/>
      </rPr>
      <t xml:space="preserve">사망은 지문 없이 호명과 확인 대사로</t>
    </r>
    <r>
      <rPr>
        <sz val="10"/>
        <rFont val="Noto Sans CJK SC"/>
        <family val="2"/>
        <charset val="1"/>
      </rPr>
      <t xml:space="preserve">: Sofia</t>
    </r>
    <r>
      <rPr>
        <sz val="10"/>
        <rFont val="WenQuanYi Zen Hei"/>
        <family val="2"/>
      </rPr>
      <t xml:space="preserve">가 부르고 </t>
    </r>
    <r>
      <rPr>
        <sz val="10"/>
        <rFont val="Noto Sans CJK SC"/>
        <family val="2"/>
        <charset val="1"/>
      </rPr>
      <t xml:space="preserve">Giulia</t>
    </r>
    <r>
      <rPr>
        <sz val="10"/>
        <rFont val="WenQuanYi Zen Hei"/>
        <family val="2"/>
      </rPr>
      <t xml:space="preserve">가 </t>
    </r>
    <r>
      <rPr>
        <sz val="10"/>
        <rFont val="Noto Sans CJK SC"/>
        <family val="2"/>
        <charset val="1"/>
      </rPr>
      <t xml:space="preserve">«Non c'è più.»</t>
    </r>
    <r>
      <rPr>
        <sz val="10"/>
        <rFont val="WenQuanYi Zen Hei"/>
        <family val="2"/>
      </rPr>
      <t xml:space="preserve">라고 말한다</t>
    </r>
    <r>
      <rPr>
        <sz val="10"/>
        <rFont val="Noto Sans CJK SC"/>
        <family val="2"/>
        <charset val="1"/>
      </rPr>
      <t xml:space="preserve">.</t>
    </r>
  </si>
  <si>
    <t xml:space="preserve">Niente male.  /  Cesare? — Non c'è più, Sofia.</t>
  </si>
  <si>
    <t xml:space="preserve">polso, arresto cardiaco, rianimazione, morire</t>
  </si>
  <si>
    <r>
      <rPr>
        <b val="true"/>
        <sz val="10"/>
        <rFont val="Arial"/>
        <family val="0"/>
        <charset val="1"/>
      </rPr>
      <t xml:space="preserve">12</t>
    </r>
    <r>
      <rPr>
        <b val="true"/>
        <sz val="10"/>
        <rFont val="WenQuanYi Zen Hei"/>
        <family val="2"/>
      </rPr>
      <t xml:space="preserve">부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화</t>
    </r>
  </si>
  <si>
    <r>
      <rPr>
        <sz val="10"/>
        <rFont val="WenQuanYi Zen Hei"/>
        <family val="2"/>
      </rPr>
      <t xml:space="preserve">장례식이 첫 화</t>
    </r>
    <r>
      <rPr>
        <sz val="10"/>
        <rFont val="Noto Sans CJK SC"/>
        <family val="2"/>
        <charset val="1"/>
      </rPr>
      <t xml:space="preserve">. Trattoria da Rosa</t>
    </r>
    <r>
      <rPr>
        <sz val="10"/>
        <rFont val="WenQuanYi Zen Hei"/>
        <family val="2"/>
      </rPr>
      <t xml:space="preserve">에 빈자리</t>
    </r>
    <r>
      <rPr>
        <sz val="10"/>
        <rFont val="Noto Sans CJK SC"/>
        <family val="2"/>
        <charset val="1"/>
      </rPr>
      <t xml:space="preserve">, Rosa</t>
    </r>
    <r>
      <rPr>
        <sz val="10"/>
        <rFont val="WenQuanYi Zen Hei"/>
        <family val="2"/>
      </rPr>
      <t xml:space="preserve">가 커피 한 잔을 계속 내놓음</t>
    </r>
    <r>
      <rPr>
        <sz val="10"/>
        <rFont val="Noto Sans CJK SC"/>
        <family val="2"/>
        <charset val="1"/>
      </rPr>
      <t xml:space="preserve">. Sofia</t>
    </r>
    <r>
      <rPr>
        <sz val="10"/>
        <rFont val="WenQuanYi Zen Hei"/>
        <family val="2"/>
      </rPr>
      <t xml:space="preserve">가 조사에서 처음으로 </t>
    </r>
    <r>
      <rPr>
        <sz val="10"/>
        <rFont val="Noto Sans CJK SC"/>
        <family val="2"/>
        <charset val="1"/>
      </rPr>
      <t xml:space="preserve">tu </t>
    </r>
    <r>
      <rPr>
        <sz val="10"/>
        <rFont val="WenQuanYi Zen Hei"/>
        <family val="2"/>
      </rPr>
      <t xml:space="preserve">사용</t>
    </r>
  </si>
  <si>
    <r>
      <rPr>
        <sz val="10"/>
        <rFont val="WenQuanYi Zen Hei"/>
        <family val="2"/>
      </rPr>
      <t xml:space="preserve">장소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상황은 </t>
    </r>
    <r>
      <rPr>
        <sz val="10"/>
        <rFont val="Noto Sans CJK SC"/>
        <family val="2"/>
        <charset val="1"/>
      </rPr>
      <t xml:space="preserve">Rosa·Sofia</t>
    </r>
    <r>
      <rPr>
        <sz val="10"/>
        <rFont val="WenQuanYi Zen Hei"/>
        <family val="2"/>
      </rPr>
      <t xml:space="preserve">의 대사로</t>
    </r>
    <r>
      <rPr>
        <sz val="10"/>
        <rFont val="Noto Sans CJK SC"/>
        <family val="2"/>
        <charset val="1"/>
      </rPr>
      <t xml:space="preserve">.</t>
    </r>
  </si>
  <si>
    <t xml:space="preserve">Un caffè per Cesare. Come sempre. / Per te, "niente male" era il complimento più grande.</t>
  </si>
  <si>
    <r>
      <rPr>
        <b val="true"/>
        <sz val="10"/>
        <rFont val="Arial"/>
        <family val="0"/>
        <charset val="1"/>
      </rPr>
      <t xml:space="preserve">12</t>
    </r>
    <r>
      <rPr>
        <b val="true"/>
        <sz val="10"/>
        <rFont val="WenQuanYi Zen Hei"/>
        <family val="2"/>
      </rPr>
      <t xml:space="preserve">부 </t>
    </r>
    <r>
      <rPr>
        <b val="true"/>
        <sz val="10"/>
        <rFont val="Arial"/>
        <family val="0"/>
        <charset val="1"/>
      </rPr>
      <t xml:space="preserve">2~3</t>
    </r>
    <r>
      <rPr>
        <b val="true"/>
        <sz val="10"/>
        <rFont val="WenQuanYi Zen Hei"/>
        <family val="2"/>
      </rPr>
      <t xml:space="preserve">화</t>
    </r>
  </si>
  <si>
    <r>
      <rPr>
        <sz val="10"/>
        <rFont val="WenQuanYi Zen Hei"/>
        <family val="2"/>
      </rPr>
      <t xml:space="preserve">유작 메모 발견 → </t>
    </r>
    <r>
      <rPr>
        <sz val="10"/>
        <rFont val="Noto Sans CJK SC"/>
        <family val="2"/>
        <charset val="1"/>
      </rPr>
      <t xml:space="preserve">2</t>
    </r>
    <r>
      <rPr>
        <sz val="10"/>
        <rFont val="WenQuanYi Zen Hei"/>
        <family val="2"/>
      </rPr>
      <t xml:space="preserve">차 브뤼셀 협상에서 </t>
    </r>
    <r>
      <rPr>
        <sz val="10"/>
        <rFont val="Noto Sans CJK SC"/>
        <family val="2"/>
        <charset val="1"/>
      </rPr>
      <t xml:space="preserve">Dante</t>
    </r>
    <r>
      <rPr>
        <sz val="10"/>
        <rFont val="WenQuanYi Zen Hei"/>
        <family val="2"/>
      </rPr>
      <t xml:space="preserve">가 다듬은 그의 문장을 인용</t>
    </r>
  </si>
  <si>
    <r>
      <rPr>
        <sz val="10"/>
        <rFont val="Arial"/>
        <family val="0"/>
        <charset val="1"/>
      </rPr>
      <t xml:space="preserve">Dante</t>
    </r>
    <r>
      <rPr>
        <sz val="10"/>
        <rFont val="WenQuanYi Zen Hei"/>
        <family val="2"/>
      </rPr>
      <t xml:space="preserve">가 메모를 소리 내어 읽고 </t>
    </r>
    <r>
      <rPr>
        <sz val="10"/>
        <rFont val="Arial"/>
        <family val="0"/>
        <charset val="1"/>
      </rPr>
      <t xml:space="preserve">Alessandro</t>
    </r>
    <r>
      <rPr>
        <sz val="10"/>
        <rFont val="WenQuanYi Zen Hei"/>
        <family val="2"/>
      </rPr>
      <t xml:space="preserve">가 협상장에서 그 문장을 인용한다</t>
    </r>
    <r>
      <rPr>
        <sz val="10"/>
        <rFont val="Arial"/>
        <family val="0"/>
        <charset val="1"/>
      </rPr>
      <t xml:space="preserve">.</t>
    </r>
  </si>
  <si>
    <t xml:space="preserve">Mi permettano un'ultima precisazione: non è stato niente male.</t>
  </si>
  <si>
    <t xml:space="preserve">promemoria, eredità, precisazione, ECOFIN</t>
  </si>
  <si>
    <r>
      <rPr>
        <b val="true"/>
        <sz val="10"/>
        <rFont val="Arial"/>
        <family val="0"/>
        <charset val="1"/>
      </rPr>
      <t xml:space="preserve">12</t>
    </r>
    <r>
      <rPr>
        <b val="true"/>
        <sz val="10"/>
        <rFont val="WenQuanYi Zen Hei"/>
        <family val="2"/>
      </rPr>
      <t xml:space="preserve">부 </t>
    </r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화</t>
    </r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</si>
  <si>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올드 가드의 빈자리</t>
    </r>
    <r>
      <rPr>
        <sz val="10"/>
        <rFont val="Arial"/>
        <family val="0"/>
        <charset val="1"/>
      </rPr>
      <t xml:space="preserve">' — Garibaldi·Gramsci·Machiavelli</t>
    </r>
    <r>
      <rPr>
        <sz val="10"/>
        <rFont val="WenQuanYi Zen Hei"/>
        <family val="2"/>
      </rPr>
      <t xml:space="preserve">가 그의 커피 불평을 그리워한다고 인정</t>
    </r>
  </si>
  <si>
    <r>
      <rPr>
        <sz val="10"/>
        <rFont val="WenQuanYi Zen Hei"/>
        <family val="2"/>
      </rPr>
      <t xml:space="preserve">회상은 </t>
    </r>
    <r>
      <rPr>
        <sz val="10"/>
        <rFont val="Noto Sans CJK SC"/>
        <family val="2"/>
        <charset val="1"/>
      </rPr>
      <t xml:space="preserve">Rosa·Garibaldi·Gramsci</t>
    </r>
    <r>
      <rPr>
        <sz val="10"/>
        <rFont val="WenQuanYi Zen Hei"/>
        <family val="2"/>
      </rPr>
      <t xml:space="preserve">의 대사로</t>
    </r>
    <r>
      <rPr>
        <sz val="10"/>
        <rFont val="Noto Sans CJK SC"/>
        <family val="2"/>
        <charset val="1"/>
      </rPr>
      <t xml:space="preserve">.</t>
    </r>
  </si>
  <si>
    <t xml:space="preserve">Manca qualcuno a questo tavolo, e manca il suo caffè freddo.</t>
  </si>
  <si>
    <t xml:space="preserve">ricordare, vuoto, assenza</t>
  </si>
  <si>
    <r>
      <rPr>
        <b val="true"/>
        <sz val="10"/>
        <rFont val="Arial"/>
        <family val="0"/>
        <charset val="1"/>
      </rPr>
      <t xml:space="preserve">13</t>
    </r>
    <r>
      <rPr>
        <b val="true"/>
        <sz val="10"/>
        <rFont val="WenQuanYi Zen Hei"/>
        <family val="2"/>
      </rPr>
      <t xml:space="preserve">부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화</t>
    </r>
  </si>
  <si>
    <r>
      <rPr>
        <sz val="10"/>
        <rFont val="WenQuanYi Zen Hei"/>
        <family val="2"/>
      </rPr>
      <t xml:space="preserve">유언장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공증인 앞에서 우산이 </t>
    </r>
    <r>
      <rPr>
        <sz val="10"/>
        <rFont val="Noto Sans CJK SC"/>
        <family val="2"/>
        <charset val="1"/>
      </rPr>
      <t xml:space="preserve">Sofia</t>
    </r>
    <r>
      <rPr>
        <sz val="10"/>
        <rFont val="WenQuanYi Zen Hei"/>
        <family val="2"/>
      </rPr>
      <t xml:space="preserve">에게 간다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양치기 소년 개그의 회수</t>
    </r>
    <r>
      <rPr>
        <sz val="10"/>
        <rFont val="Noto Sans CJK SC"/>
        <family val="2"/>
        <charset val="1"/>
      </rPr>
      <t xml:space="preserve">). Garibaldi</t>
    </r>
    <r>
      <rPr>
        <sz val="10"/>
        <rFont val="WenQuanYi Zen Hei"/>
        <family val="2"/>
      </rPr>
      <t xml:space="preserve">가 유언집행자</t>
    </r>
    <r>
      <rPr>
        <sz val="10"/>
        <rFont val="Noto Sans CJK SC"/>
        <family val="2"/>
        <charset val="1"/>
      </rPr>
      <t xml:space="preserve">(esecutore testamentario). </t>
    </r>
    <r>
      <rPr>
        <sz val="10"/>
        <rFont val="WenQuanYi Zen Hei"/>
        <family val="2"/>
      </rPr>
      <t xml:space="preserve">공증인은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부활자의 유언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에 곤혹스러워한다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</si>
  <si>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공증인</t>
    </r>
    <r>
      <rPr>
        <sz val="10"/>
        <rFont val="Noto Sans CJK SC"/>
        <family val="2"/>
        <charset val="1"/>
      </rPr>
      <t xml:space="preserve">(NOTAIO)</t>
    </r>
    <r>
      <rPr>
        <sz val="10"/>
        <rFont val="WenQuanYi Zen Hei"/>
        <family val="2"/>
      </rPr>
      <t xml:space="preserve">이 유언 내용을 낭독하고 </t>
    </r>
    <r>
      <rPr>
        <sz val="10"/>
        <rFont val="Noto Sans CJK SC"/>
        <family val="2"/>
        <charset val="1"/>
      </rPr>
      <t xml:space="preserve">Sofia</t>
    </r>
    <r>
      <rPr>
        <sz val="10"/>
        <rFont val="WenQuanYi Zen Hei"/>
        <family val="2"/>
      </rPr>
      <t xml:space="preserve">가 되묻는다</t>
    </r>
    <r>
      <rPr>
        <sz val="10"/>
        <rFont val="Noto Sans CJK SC"/>
        <family val="2"/>
        <charset val="1"/>
      </rPr>
      <t xml:space="preserve">.</t>
    </r>
  </si>
  <si>
    <t xml:space="preserve">A Sofia, il mio ombrello. Lo scrivano nel mio testamento.</t>
  </si>
  <si>
    <t xml:space="preserve">testamento, esecutore testamentario, notaio, pubblicazione del testamento</t>
  </si>
  <si>
    <r>
      <rPr>
        <b val="true"/>
        <sz val="10"/>
        <rFont val="Arial"/>
        <family val="0"/>
        <charset val="1"/>
      </rPr>
      <t xml:space="preserve">12</t>
    </r>
    <r>
      <rPr>
        <b val="true"/>
        <sz val="10"/>
        <rFont val="WenQuanYi Zen Hei"/>
        <family val="2"/>
      </rPr>
      <t xml:space="preserve">부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선택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</si>
  <si>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Montessori</t>
    </r>
    <r>
      <rPr>
        <sz val="10"/>
        <rFont val="WenQuanYi Zen Hei"/>
        <family val="2"/>
      </rPr>
      <t xml:space="preserve">의 애도 상담</t>
    </r>
  </si>
  <si>
    <r>
      <rPr>
        <sz val="10"/>
        <rFont val="WenQuanYi Zen Hei"/>
        <family val="2"/>
      </rPr>
      <t xml:space="preserve">다들 질색하던 </t>
    </r>
    <r>
      <rPr>
        <sz val="10"/>
        <rFont val="Noto Sans CJK SC"/>
        <family val="2"/>
        <charset val="1"/>
      </rPr>
      <t xml:space="preserve">«E questo come ti fa sentire?»</t>
    </r>
    <r>
      <rPr>
        <sz val="10"/>
        <rFont val="WenQuanYi Zen Hei"/>
        <family val="2"/>
      </rPr>
      <t xml:space="preserve">가 처음으로 진지하게 쓰인다</t>
    </r>
    <r>
      <rPr>
        <sz val="10"/>
        <rFont val="Noto Sans CJK SC"/>
        <family val="2"/>
        <charset val="1"/>
      </rPr>
      <t xml:space="preserve">.</t>
    </r>
  </si>
  <si>
    <t xml:space="preserve">E questo come ti fa sentire?</t>
  </si>
  <si>
    <t xml:space="preserve">lutto, perdita, dolore</t>
  </si>
  <si>
    <r>
      <rPr>
        <b val="true"/>
        <sz val="14"/>
        <color rgb="FF1F3864"/>
        <rFont val="Arial"/>
        <family val="0"/>
        <charset val="1"/>
      </rPr>
      <t xml:space="preserve">Gramsci — </t>
    </r>
    <r>
      <rPr>
        <b val="true"/>
        <sz val="14"/>
        <color rgb="FF1F3864"/>
        <rFont val="WenQuanYi Zen Hei"/>
        <family val="2"/>
      </rPr>
      <t xml:space="preserve">결론 대신 출처를 가리키는 사람</t>
    </r>
  </si>
  <si>
    <r>
      <rPr>
        <i val="true"/>
        <sz val="9"/>
        <color rgb="FF595959"/>
        <rFont val="WenQuanYi Zen Hei"/>
        <family val="2"/>
      </rPr>
      <t xml:space="preserve">직접 답하지 않고 </t>
    </r>
    <r>
      <rPr>
        <i val="true"/>
        <sz val="9"/>
        <color rgb="FF595959"/>
        <rFont val="Noto Sans CJK SC"/>
        <family val="2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어디를 찾을지</t>
    </r>
    <r>
      <rPr>
        <i val="true"/>
        <sz val="9"/>
        <color rgb="FF595959"/>
        <rFont val="Noto Sans CJK SC"/>
        <family val="2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만 알려 준다</t>
    </r>
    <r>
      <rPr>
        <i val="true"/>
        <sz val="9"/>
        <color rgb="FF595959"/>
        <rFont val="Noto Sans CJK SC"/>
        <family val="2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감옥에서 노트</t>
    </r>
    <r>
      <rPr>
        <i val="true"/>
        <sz val="9"/>
        <color rgb="FF595959"/>
        <rFont val="Noto Sans CJK SC"/>
        <family val="2"/>
        <charset val="1"/>
      </rPr>
      <t xml:space="preserve">(Quaderni)</t>
    </r>
    <r>
      <rPr>
        <i val="true"/>
        <sz val="9"/>
        <color rgb="FF595959"/>
        <rFont val="WenQuanYi Zen Hei"/>
        <family val="2"/>
      </rPr>
      <t xml:space="preserve">로 세상을 읽던 사람의 논리</t>
    </r>
    <r>
      <rPr>
        <i val="true"/>
        <sz val="9"/>
        <color rgb="FF595959"/>
        <rFont val="Noto Sans CJK SC"/>
        <family val="2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정보의 대부분은 공개 출처에 있다</t>
    </r>
    <r>
      <rPr>
        <i val="true"/>
        <sz val="9"/>
        <color rgb="FF595959"/>
        <rFont val="Noto Sans CJK SC"/>
        <family val="2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평생 정치경찰에게 감시당해 감시의 흔적도 알아본다</t>
    </r>
    <r>
      <rPr>
        <i val="true"/>
        <sz val="9"/>
        <color rgb="FF595959"/>
        <rFont val="Noto Sans CJK SC"/>
        <family val="2"/>
        <charset val="1"/>
      </rPr>
      <t xml:space="preserve">.</t>
    </r>
  </si>
  <si>
    <r>
      <rPr>
        <b val="true"/>
        <sz val="10"/>
        <rFont val="Arial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설정 변경</t>
    </r>
  </si>
  <si>
    <t xml:space="preserve">답하는 방식</t>
  </si>
  <si>
    <r>
      <rPr>
        <sz val="10"/>
        <rFont val="WenQuanYi Zen Hei"/>
        <family val="2"/>
      </rPr>
      <t xml:space="preserve">침묵 → 결론은 말하지 않고 출처만 가리킨다</t>
    </r>
    <r>
      <rPr>
        <sz val="10"/>
        <rFont val="Noto Sans CJK SC"/>
        <family val="2"/>
        <charset val="1"/>
      </rPr>
      <t xml:space="preserve">.</t>
    </r>
  </si>
  <si>
    <t xml:space="preserve">시그니처</t>
  </si>
  <si>
    <t xml:space="preserve">«Io non ho detto niente. Ma guarda in…» / «Non te lo dico. Ti dico dov'è.» / «Quasi tutto è nelle fonti aperte. Basta saper leggere.»</t>
  </si>
  <si>
    <r>
      <rPr>
        <b val="true"/>
        <sz val="10"/>
        <rFont val="WenQuanYi Zen Hei"/>
        <family val="2"/>
      </rPr>
      <t xml:space="preserve">도구 </t>
    </r>
    <r>
      <rPr>
        <b val="true"/>
        <sz val="10"/>
        <rFont val="Noto Sans CJK SC"/>
        <family val="2"/>
        <charset val="1"/>
      </rPr>
      <t xml:space="preserve">(</t>
    </r>
    <r>
      <rPr>
        <b val="true"/>
        <sz val="10"/>
        <rFont val="WenQuanYi Zen Hei"/>
        <family val="2"/>
      </rPr>
      <t xml:space="preserve">대화문 처리</t>
    </r>
    <r>
      <rPr>
        <b val="true"/>
        <sz val="10"/>
        <rFont val="Noto Sans CJK SC"/>
        <family val="2"/>
        <charset val="1"/>
      </rPr>
      <t xml:space="preserve">)</t>
    </r>
  </si>
  <si>
    <r>
      <rPr>
        <sz val="10"/>
        <rFont val="WenQuanYi Zen Hei"/>
        <family val="2"/>
      </rPr>
      <t xml:space="preserve">책을 꺼내 건네거나 카드에 적어 주는 행동은 지문 대신 대사로 말한다</t>
    </r>
    <r>
      <rPr>
        <sz val="10"/>
        <rFont val="Noto Sans CJK SC"/>
        <family val="2"/>
        <charset val="1"/>
      </rPr>
      <t xml:space="preserve">: «Terzo ripiano, a sinistra.» / «Annota. Cerca: …»</t>
    </r>
  </si>
  <si>
    <r>
      <rPr>
        <sz val="10"/>
        <rFont val="WenQuanYi Zen Hei"/>
        <family val="2"/>
      </rPr>
      <t xml:space="preserve">전원에게 </t>
    </r>
    <r>
      <rPr>
        <sz val="10"/>
        <rFont val="Noto Sans CJK SC"/>
        <family val="2"/>
        <charset val="1"/>
      </rPr>
      <t xml:space="preserve">tu — «Cercalo tu.»</t>
    </r>
    <r>
      <rPr>
        <sz val="10"/>
        <rFont val="WenQuanYi Zen Hei"/>
        <family val="2"/>
      </rPr>
      <t xml:space="preserve">가 명령조라 더 단호하다</t>
    </r>
    <r>
      <rPr>
        <sz val="10"/>
        <rFont val="Noto Sans CJK SC"/>
        <family val="2"/>
        <charset val="1"/>
      </rPr>
      <t xml:space="preserve">.</t>
    </r>
  </si>
  <si>
    <r>
      <rPr>
        <b val="true"/>
        <sz val="10"/>
        <rFont val="Arial"/>
        <family val="0"/>
        <charset val="1"/>
      </rPr>
      <t xml:space="preserve">Sofia</t>
    </r>
    <r>
      <rPr>
        <b val="true"/>
        <sz val="10"/>
        <rFont val="WenQuanYi Zen Hei"/>
        <family val="2"/>
      </rPr>
      <t xml:space="preserve">와의 관계</t>
    </r>
  </si>
  <si>
    <r>
      <rPr>
        <sz val="10"/>
        <rFont val="Arial"/>
        <family val="0"/>
        <charset val="1"/>
      </rPr>
      <t xml:space="preserve">Sofia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«Dimmi la risposta!» </t>
    </r>
    <r>
      <rPr>
        <sz val="10"/>
        <rFont val="WenQuanYi Zen Hei"/>
        <family val="2"/>
      </rPr>
      <t xml:space="preserve">하면 서가 위치만 말한다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짜증 나지만 정답을 떠먹이지 않는 이 교재의 태도와 같다</t>
    </r>
    <r>
      <rPr>
        <sz val="10"/>
        <rFont val="Arial"/>
        <family val="0"/>
        <charset val="1"/>
      </rPr>
      <t xml:space="preserve">.</t>
    </r>
  </si>
  <si>
    <t xml:space="preserve">현실 요소</t>
  </si>
  <si>
    <r>
      <rPr>
        <sz val="10"/>
        <rFont val="Arial"/>
        <family val="0"/>
        <charset val="1"/>
      </rPr>
      <t xml:space="preserve">Piazza Borghese</t>
    </r>
    <r>
      <rPr>
        <sz val="10"/>
        <rFont val="WenQuanYi Zen Hei"/>
        <family val="2"/>
      </rPr>
      <t xml:space="preserve">의 고서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판화 노점</t>
    </r>
    <r>
      <rPr>
        <sz val="10"/>
        <rFont val="Arial"/>
        <family val="0"/>
        <charset val="1"/>
      </rPr>
      <t xml:space="preserve">(Mercato delle stampe), </t>
    </r>
    <r>
      <rPr>
        <sz val="10"/>
        <rFont val="WenQuanYi Zen Hei"/>
        <family val="2"/>
      </rPr>
      <t xml:space="preserve">일요일 </t>
    </r>
    <r>
      <rPr>
        <sz val="10"/>
        <rFont val="Arial"/>
        <family val="0"/>
        <charset val="1"/>
      </rPr>
      <t xml:space="preserve">Porta Portese </t>
    </r>
    <r>
      <rPr>
        <sz val="10"/>
        <rFont val="WenQuanYi Zen Hei"/>
        <family val="2"/>
      </rPr>
      <t xml:space="preserve">벼룩시장의 헌책 좌판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국립중앙도서관</t>
    </r>
    <r>
      <rPr>
        <sz val="10"/>
        <rFont val="Arial"/>
        <family val="0"/>
        <charset val="1"/>
      </rPr>
      <t xml:space="preserve">(Biblioteca Nazionale Centrale di Roma, Castro Pretorio)</t>
    </r>
    <r>
      <rPr>
        <sz val="10"/>
        <rFont val="WenQuanYi Zen Hei"/>
        <family val="2"/>
      </rPr>
      <t xml:space="preserve">을 단골 출처로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학습자가 실제 로마에서 따라 걸어 볼 수 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국립중앙문서고</t>
    </r>
    <r>
      <rPr>
        <sz val="10"/>
        <rFont val="Arial"/>
        <family val="0"/>
        <charset val="1"/>
      </rPr>
      <t xml:space="preserve">(Archivio Centrale dello Stato, EUR)</t>
    </r>
    <r>
      <rPr>
        <sz val="10"/>
        <rFont val="WenQuanYi Zen Hei"/>
        <family val="2"/>
      </rPr>
      <t xml:space="preserve">에는 그 자신의 감시 파일도 있다</t>
    </r>
    <r>
      <rPr>
        <sz val="10"/>
        <rFont val="Arial"/>
        <family val="0"/>
        <charset val="1"/>
      </rPr>
      <t xml:space="preserve">.</t>
    </r>
  </si>
  <si>
    <t xml:space="preserve">서점 원칙</t>
  </si>
  <si>
    <r>
      <rPr>
        <sz val="10"/>
        <rFont val="WenQuanYi Zen Hei"/>
        <family val="2"/>
      </rPr>
      <t xml:space="preserve">손님이 찾던 답이 든 책일 때만 값을 받지 않는다</t>
    </r>
    <r>
      <rPr>
        <sz val="10"/>
        <rFont val="Noto Sans CJK SC"/>
        <family val="2"/>
        <charset val="1"/>
      </rPr>
      <t xml:space="preserve">.</t>
    </r>
  </si>
  <si>
    <r>
      <rPr>
        <b val="true"/>
        <sz val="10"/>
        <rFont val="Arial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그의 서가 </t>
    </r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칸</t>
    </r>
  </si>
  <si>
    <t xml:space="preserve">칸</t>
  </si>
  <si>
    <t xml:space="preserve">대표 출처</t>
  </si>
  <si>
    <t xml:space="preserve">법령칸</t>
  </si>
  <si>
    <t xml:space="preserve">법과 조문</t>
  </si>
  <si>
    <r>
      <rPr>
        <sz val="10"/>
        <rFont val="Arial"/>
        <family val="0"/>
        <charset val="1"/>
      </rPr>
      <t xml:space="preserve">Normattiva(normattiva.it), </t>
    </r>
    <r>
      <rPr>
        <sz val="10"/>
        <rFont val="WenQuanYi Zen Hei"/>
        <family val="2"/>
      </rPr>
      <t xml:space="preserve">관보</t>
    </r>
    <r>
      <rPr>
        <sz val="10"/>
        <rFont val="Arial"/>
        <family val="0"/>
        <charset val="1"/>
      </rPr>
      <t xml:space="preserve">(gazzettaufficiale.it), </t>
    </r>
    <r>
      <rPr>
        <sz val="10"/>
        <rFont val="WenQuanYi Zen Hei"/>
        <family val="2"/>
      </rPr>
      <t xml:space="preserve">헌법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각 법률</t>
    </r>
  </si>
  <si>
    <t xml:space="preserve">문서칸</t>
  </si>
  <si>
    <t xml:space="preserve">기록과 자료</t>
  </si>
  <si>
    <r>
      <rPr>
        <sz val="10"/>
        <rFont val="WenQuanYi Zen Hei"/>
        <family val="2"/>
      </rPr>
      <t xml:space="preserve">국립중앙문서고</t>
    </r>
    <r>
      <rPr>
        <sz val="10"/>
        <rFont val="Noto Sans CJK SC"/>
        <family val="2"/>
        <charset val="1"/>
      </rPr>
      <t xml:space="preserve">(ACS)</t>
    </r>
    <r>
      <rPr>
        <sz val="10"/>
        <rFont val="WenQuanYi Zen Hei"/>
        <family val="2"/>
      </rPr>
      <t xml:space="preserve">의 정치범 기록</t>
    </r>
    <r>
      <rPr>
        <sz val="10"/>
        <rFont val="Noto Sans CJK SC"/>
        <family val="2"/>
        <charset val="1"/>
      </rPr>
      <t xml:space="preserve">(Casellario Politico Centrale), </t>
    </r>
    <r>
      <rPr>
        <sz val="10"/>
        <rFont val="WenQuanYi Zen Hei"/>
        <family val="2"/>
      </rPr>
      <t xml:space="preserve">로마 시 역사 문서고</t>
    </r>
    <r>
      <rPr>
        <sz val="10"/>
        <rFont val="Noto Sans CJK SC"/>
        <family val="2"/>
        <charset val="1"/>
      </rPr>
      <t xml:space="preserve">(Archivio Storico Capitolino), </t>
    </r>
    <r>
      <rPr>
        <sz val="10"/>
        <rFont val="WenQuanYi Zen Hei"/>
        <family val="2"/>
      </rPr>
      <t xml:space="preserve">양원 속기록</t>
    </r>
    <r>
      <rPr>
        <sz val="10"/>
        <rFont val="Noto Sans CJK SC"/>
        <family val="2"/>
        <charset val="1"/>
      </rPr>
      <t xml:space="preserve">(resoconti stenografici)</t>
    </r>
  </si>
  <si>
    <t xml:space="preserve">신문칸</t>
  </si>
  <si>
    <t xml:space="preserve">과거 기사</t>
  </si>
  <si>
    <r>
      <rPr>
        <sz val="10"/>
        <rFont val="WenQuanYi Zen Hei"/>
        <family val="2"/>
      </rPr>
      <t xml:space="preserve">국립중앙도서관 디지털 신문 자료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신문사 온라인 아카이브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Noto Sans CJK SC"/>
        <family val="2"/>
        <charset val="1"/>
      </rPr>
      <t xml:space="preserve">: La Stampa </t>
    </r>
    <r>
      <rPr>
        <sz val="10"/>
        <rFont val="WenQuanYi Zen Hei"/>
        <family val="2"/>
      </rPr>
      <t xml:space="preserve">역사 아카이브</t>
    </r>
    <r>
      <rPr>
        <sz val="10"/>
        <rFont val="Noto Sans CJK SC"/>
        <family val="2"/>
        <charset val="1"/>
      </rPr>
      <t xml:space="preserve">)</t>
    </r>
  </si>
  <si>
    <t xml:space="preserve">사전칸</t>
  </si>
  <si>
    <t xml:space="preserve">용어</t>
  </si>
  <si>
    <r>
      <rPr>
        <sz val="10"/>
        <rFont val="Arial"/>
        <family val="0"/>
        <charset val="1"/>
      </rPr>
      <t xml:space="preserve">Treccani(treccani.it) </t>
    </r>
    <r>
      <rPr>
        <sz val="10"/>
        <rFont val="WenQuanYi Zen Hei"/>
        <family val="2"/>
      </rPr>
      <t xml:space="preserve">사전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백과</t>
    </r>
    <r>
      <rPr>
        <sz val="10"/>
        <rFont val="Arial"/>
        <family val="0"/>
        <charset val="1"/>
      </rPr>
      <t xml:space="preserve">, Accademia della Crusca </t>
    </r>
    <r>
      <rPr>
        <sz val="10"/>
        <rFont val="WenQuanYi Zen Hei"/>
        <family val="2"/>
      </rPr>
      <t xml:space="preserve">언어 상담</t>
    </r>
  </si>
  <si>
    <r>
      <rPr>
        <b val="true"/>
        <sz val="10"/>
        <rFont val="Arial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주제별 출처표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기획한 에피소드 기준</t>
    </r>
    <r>
      <rPr>
        <b val="true"/>
        <sz val="10"/>
        <rFont val="Arial"/>
        <family val="0"/>
        <charset val="1"/>
      </rPr>
      <t xml:space="preserve">)</t>
    </r>
  </si>
  <si>
    <t xml:space="preserve">상황</t>
  </si>
  <si>
    <r>
      <rPr>
        <b val="true"/>
        <sz val="10"/>
        <color rgb="FFFFFFFF"/>
        <rFont val="WenQuanYi Zen Hei"/>
        <family val="2"/>
      </rPr>
      <t xml:space="preserve">관련 부</t>
    </r>
    <r>
      <rPr>
        <b val="true"/>
        <sz val="10"/>
        <color rgb="FFFFFFFF"/>
        <rFont val="Noto Sans CJK SC"/>
        <family val="2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화</t>
    </r>
  </si>
  <si>
    <r>
      <rPr>
        <b val="true"/>
        <sz val="10"/>
        <color rgb="FFFFFFFF"/>
        <rFont val="Arial"/>
        <family val="0"/>
        <charset val="1"/>
      </rPr>
      <t xml:space="preserve">Gramsci</t>
    </r>
    <r>
      <rPr>
        <b val="true"/>
        <sz val="10"/>
        <color rgb="FFFFFFFF"/>
        <rFont val="WenQuanYi Zen Hei"/>
        <family val="2"/>
      </rPr>
      <t xml:space="preserve">의 대사 </t>
    </r>
    <r>
      <rPr>
        <b val="true"/>
        <sz val="10"/>
        <color rgb="FFFFFFFF"/>
        <rFont val="Arial"/>
        <family val="0"/>
        <charset val="1"/>
      </rPr>
      <t xml:space="preserve">(IT)</t>
    </r>
  </si>
  <si>
    <t xml:space="preserve">찾을 곳</t>
  </si>
  <si>
    <r>
      <rPr>
        <b val="true"/>
        <sz val="10"/>
        <color rgb="FFFFFFFF"/>
        <rFont val="WenQuanYi Zen Hei"/>
        <family val="2"/>
      </rPr>
      <t xml:space="preserve">검색어</t>
    </r>
    <r>
      <rPr>
        <b val="true"/>
        <sz val="10"/>
        <color rgb="FFFFFFFF"/>
        <rFont val="Noto Sans CJK SC"/>
        <family val="2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키워드</t>
    </r>
  </si>
  <si>
    <t xml:space="preserve">서가칸</t>
  </si>
  <si>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화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스파이웨어</t>
    </r>
    <r>
      <rPr>
        <sz val="10"/>
        <rFont val="Arial"/>
        <family val="0"/>
        <charset val="1"/>
      </rPr>
      <t xml:space="preserve">)</t>
    </r>
  </si>
  <si>
    <t xml:space="preserve">Comincia dalla legge che li ha creati.</t>
  </si>
  <si>
    <r>
      <rPr>
        <sz val="10"/>
        <rFont val="Arial"/>
        <family val="0"/>
        <charset val="1"/>
      </rPr>
      <t xml:space="preserve">legge 124/2007 (</t>
    </r>
    <r>
      <rPr>
        <sz val="10"/>
        <rFont val="WenQuanYi Zen Hei"/>
        <family val="2"/>
      </rPr>
      <t xml:space="preserve">정보기관 체계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국가 기밀</t>
    </r>
    <r>
      <rPr>
        <sz val="10"/>
        <rFont val="Arial"/>
        <family val="0"/>
        <charset val="1"/>
      </rPr>
      <t xml:space="preserve">), COPASIR </t>
    </r>
    <r>
      <rPr>
        <sz val="10"/>
        <rFont val="WenQuanYi Zen Hei"/>
        <family val="2"/>
      </rPr>
      <t xml:space="preserve">연례 보고서 — </t>
    </r>
    <r>
      <rPr>
        <sz val="10"/>
        <rFont val="Arial"/>
        <family val="0"/>
        <charset val="1"/>
      </rPr>
      <t xml:space="preserve">Normattiva·</t>
    </r>
    <r>
      <rPr>
        <sz val="10"/>
        <rFont val="WenQuanYi Zen Hei"/>
        <family val="2"/>
      </rPr>
      <t xml:space="preserve">의회 사이트에서 검색</t>
    </r>
  </si>
  <si>
    <t xml:space="preserve">legge 124/2007; COPASIR relazione annuale</t>
  </si>
  <si>
    <t xml:space="preserve">도청의 합법성</t>
  </si>
  <si>
    <t xml:space="preserve">Una prova vietata non vale. Cercalo.</t>
  </si>
  <si>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15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통신의 비밀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형사소송법 제</t>
    </r>
    <r>
      <rPr>
        <sz val="10"/>
        <rFont val="Noto Sans CJK SC"/>
        <family val="2"/>
        <charset val="1"/>
      </rPr>
      <t xml:space="preserve">191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사용할 수 없는 증거</t>
    </r>
    <r>
      <rPr>
        <sz val="10"/>
        <rFont val="Noto Sans CJK SC"/>
        <family val="2"/>
        <charset val="1"/>
      </rPr>
      <t xml:space="preserve">)·</t>
    </r>
    <r>
      <rPr>
        <sz val="10"/>
        <rFont val="WenQuanYi Zen Hei"/>
        <family val="2"/>
      </rPr>
      <t xml:space="preserve">제</t>
    </r>
    <r>
      <rPr>
        <sz val="10"/>
        <rFont val="Noto Sans CJK SC"/>
        <family val="2"/>
        <charset val="1"/>
      </rPr>
      <t xml:space="preserve">266</t>
    </r>
    <r>
      <rPr>
        <sz val="10"/>
        <rFont val="WenQuanYi Zen Hei"/>
        <family val="2"/>
      </rPr>
      <t xml:space="preserve">조 이하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감청</t>
    </r>
    <r>
      <rPr>
        <sz val="10"/>
        <rFont val="Noto Sans CJK SC"/>
        <family val="2"/>
        <charset val="1"/>
      </rPr>
      <t xml:space="preserve">)</t>
    </r>
  </si>
  <si>
    <t xml:space="preserve">intercettazioni, autorizzazione del GIP, catena di custodia, prove inutilizzabili</t>
  </si>
  <si>
    <t xml:space="preserve">국가 기밀과 공개</t>
  </si>
  <si>
    <t xml:space="preserve">스파이웨어 관련</t>
  </si>
  <si>
    <t xml:space="preserve">C'è un segreto di Stato, e c'è una legge che lo limita.</t>
  </si>
  <si>
    <r>
      <rPr>
        <sz val="10"/>
        <rFont val="Arial"/>
        <family val="0"/>
        <charset val="1"/>
      </rPr>
      <t xml:space="preserve">legge 124/2007 </t>
    </r>
    <r>
      <rPr>
        <sz val="10"/>
        <rFont val="WenQuanYi Zen Hei"/>
        <family val="2"/>
      </rPr>
      <t xml:space="preserve">제</t>
    </r>
    <r>
      <rPr>
        <sz val="10"/>
        <rFont val="Arial"/>
        <family val="0"/>
        <charset val="1"/>
      </rPr>
      <t xml:space="preserve">39</t>
    </r>
    <r>
      <rPr>
        <sz val="10"/>
        <rFont val="WenQuanYi Zen Hei"/>
        <family val="2"/>
      </rPr>
      <t xml:space="preserve">조 이하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국가 기밀</t>
    </r>
    <r>
      <rPr>
        <sz val="10"/>
        <rFont val="Arial"/>
        <family val="0"/>
        <charset val="1"/>
      </rPr>
      <t xml:space="preserve">), d.lgs. 33/2013·97/2016(</t>
    </r>
    <r>
      <rPr>
        <sz val="10"/>
        <rFont val="WenQuanYi Zen Hei"/>
        <family val="2"/>
      </rPr>
      <t xml:space="preserve">정보공개 </t>
    </r>
    <r>
      <rPr>
        <sz val="10"/>
        <rFont val="Arial"/>
        <family val="0"/>
        <charset val="1"/>
      </rPr>
      <t xml:space="preserve">FOIA)</t>
    </r>
  </si>
  <si>
    <t xml:space="preserve">segreto di Stato, accesso civico generalizzato</t>
  </si>
  <si>
    <t xml:space="preserve">의사의 비밀유지</t>
  </si>
  <si>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4~6</t>
    </r>
    <r>
      <rPr>
        <sz val="10"/>
        <rFont val="WenQuanYi Zen Hei"/>
        <family val="2"/>
      </rPr>
      <t xml:space="preserve">화 </t>
    </r>
    <r>
      <rPr>
        <sz val="10"/>
        <rFont val="Arial"/>
        <family val="0"/>
        <charset val="1"/>
      </rPr>
      <t xml:space="preserve">(Cesare </t>
    </r>
    <r>
      <rPr>
        <sz val="10"/>
        <rFont val="WenQuanYi Zen Hei"/>
        <family val="2"/>
      </rPr>
      <t xml:space="preserve">복선</t>
    </r>
    <r>
      <rPr>
        <sz val="10"/>
        <rFont val="Arial"/>
        <family val="0"/>
        <charset val="1"/>
      </rPr>
      <t xml:space="preserve">)</t>
    </r>
  </si>
  <si>
    <t xml:space="preserve">Chiedi alla dottoressa cosa dice il suo codice.</t>
  </si>
  <si>
    <r>
      <rPr>
        <sz val="10"/>
        <rFont val="WenQuanYi Zen Hei"/>
        <family val="2"/>
      </rPr>
      <t xml:space="preserve">형법 제</t>
    </r>
    <r>
      <rPr>
        <sz val="10"/>
        <rFont val="Noto Sans CJK SC"/>
        <family val="2"/>
        <charset val="1"/>
      </rPr>
      <t xml:space="preserve">622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직업상 비밀 누설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의사 윤리강령</t>
    </r>
    <r>
      <rPr>
        <sz val="10"/>
        <rFont val="Noto Sans CJK SC"/>
        <family val="2"/>
        <charset val="1"/>
      </rPr>
      <t xml:space="preserve">(FNOMCeO Codice di deontologia medica)</t>
    </r>
  </si>
  <si>
    <t xml:space="preserve">segreto professionale, cartella clinica</t>
  </si>
  <si>
    <t xml:space="preserve">자금 세탁</t>
  </si>
  <si>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, 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주거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금융 전투</t>
    </r>
    <r>
      <rPr>
        <sz val="10"/>
        <rFont val="Arial"/>
        <family val="0"/>
        <charset val="1"/>
      </rPr>
      <t xml:space="preserve">)</t>
    </r>
  </si>
  <si>
    <t xml:space="preserve">Ogni denaro ha una legge che lo sorveglia. Cercala.</t>
  </si>
  <si>
    <r>
      <rPr>
        <sz val="10"/>
        <rFont val="Arial"/>
        <family val="0"/>
        <charset val="1"/>
      </rPr>
      <t xml:space="preserve">d.lgs. 231/2007 (</t>
    </r>
    <r>
      <rPr>
        <sz val="10"/>
        <rFont val="WenQuanYi Zen Hei"/>
        <family val="2"/>
      </rPr>
      <t xml:space="preserve">자금세탁방지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금융정보분석원</t>
    </r>
    <r>
      <rPr>
        <sz val="10"/>
        <rFont val="Arial"/>
        <family val="0"/>
        <charset val="1"/>
      </rPr>
      <t xml:space="preserve">(UIF, Banca d'Italia </t>
    </r>
    <r>
      <rPr>
        <sz val="10"/>
        <rFont val="WenQuanYi Zen Hei"/>
        <family val="2"/>
      </rPr>
      <t xml:space="preserve">소속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기업 등록부</t>
    </r>
  </si>
  <si>
    <t xml:space="preserve">riciclaggio, titolare effettivo, paradiso fiscale</t>
  </si>
  <si>
    <r>
      <rPr>
        <sz val="10"/>
        <rFont val="WenQuanYi Zen Hei"/>
        <family val="2"/>
      </rPr>
      <t xml:space="preserve">문서칸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법령칸</t>
    </r>
  </si>
  <si>
    <r>
      <rPr>
        <b val="true"/>
        <sz val="10"/>
        <rFont val="WenQuanYi Zen Hei"/>
        <family val="2"/>
      </rPr>
      <t xml:space="preserve">주거</t>
    </r>
    <r>
      <rPr>
        <b val="true"/>
        <sz val="10"/>
        <rFont val="Noto Sans CJK SC"/>
        <family val="2"/>
        <charset val="1"/>
      </rPr>
      <t xml:space="preserve">·</t>
    </r>
    <r>
      <rPr>
        <b val="true"/>
        <sz val="10"/>
        <rFont val="WenQuanYi Zen Hei"/>
        <family val="2"/>
      </rPr>
      <t xml:space="preserve">퇴거</t>
    </r>
  </si>
  <si>
    <r>
      <rPr>
        <sz val="10"/>
        <rFont val="Arial"/>
        <family val="0"/>
        <charset val="1"/>
      </rPr>
      <t xml:space="preserve">1·2·11</t>
    </r>
    <r>
      <rPr>
        <sz val="10"/>
        <rFont val="WenQuanYi Zen Hei"/>
        <family val="2"/>
      </rPr>
      <t xml:space="preserve">부</t>
    </r>
  </si>
  <si>
    <t xml:space="preserve">Confronta quello che dicono con quello che esiste.</t>
  </si>
  <si>
    <r>
      <rPr>
        <sz val="10"/>
        <rFont val="Arial"/>
        <family val="0"/>
        <charset val="1"/>
      </rPr>
      <t xml:space="preserve">legge 431/1998(</t>
    </r>
    <r>
      <rPr>
        <sz val="10"/>
        <rFont val="WenQuanYi Zen Hei"/>
        <family val="2"/>
      </rPr>
      <t xml:space="preserve">주거 임대차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민사소송법 제</t>
    </r>
    <r>
      <rPr>
        <sz val="10"/>
        <rFont val="Arial"/>
        <family val="0"/>
        <charset val="1"/>
      </rPr>
      <t xml:space="preserve">657</t>
    </r>
    <r>
      <rPr>
        <sz val="10"/>
        <rFont val="WenQuanYi Zen Hei"/>
        <family val="2"/>
      </rPr>
      <t xml:space="preserve">조 이하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퇴거 확인 절차</t>
    </r>
    <r>
      <rPr>
        <sz val="10"/>
        <rFont val="Arial"/>
        <family val="0"/>
        <charset val="1"/>
      </rPr>
      <t xml:space="preserve">), d.l. 145/2023(</t>
    </r>
    <r>
      <rPr>
        <sz val="10"/>
        <rFont val="WenQuanYi Zen Hei"/>
        <family val="2"/>
      </rPr>
      <t xml:space="preserve">단기임대 </t>
    </r>
    <r>
      <rPr>
        <sz val="10"/>
        <rFont val="Arial"/>
        <family val="0"/>
        <charset val="1"/>
      </rPr>
      <t xml:space="preserve">CIN)</t>
    </r>
  </si>
  <si>
    <t xml:space="preserve">sfratto, locazione, diniego di rinnovo</t>
  </si>
  <si>
    <t xml:space="preserve">가격 담합</t>
  </si>
  <si>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화</t>
    </r>
  </si>
  <si>
    <t xml:space="preserve">Guarda nella Concorrenza.</t>
  </si>
  <si>
    <r>
      <rPr>
        <sz val="10"/>
        <rFont val="Arial"/>
        <family val="0"/>
        <charset val="1"/>
      </rPr>
      <t xml:space="preserve">legge 287/1990(</t>
    </r>
    <r>
      <rPr>
        <sz val="10"/>
        <rFont val="WenQuanYi Zen Hei"/>
        <family val="2"/>
      </rPr>
      <t xml:space="preserve">경쟁법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공정거래위원회</t>
    </r>
    <r>
      <rPr>
        <sz val="10"/>
        <rFont val="Arial"/>
        <family val="0"/>
        <charset val="1"/>
      </rPr>
      <t xml:space="preserve">(AGCM, agcm.it)</t>
    </r>
    <r>
      <rPr>
        <sz val="10"/>
        <rFont val="WenQuanYi Zen Hei"/>
        <family val="2"/>
      </rPr>
      <t xml:space="preserve">의 제재 결정</t>
    </r>
  </si>
  <si>
    <t xml:space="preserve">cartello, istruttoria, concorrenza</t>
  </si>
  <si>
    <r>
      <rPr>
        <sz val="10"/>
        <rFont val="WenQuanYi Zen Hei"/>
        <family val="2"/>
      </rPr>
      <t xml:space="preserve">법령칸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문서칸</t>
    </r>
  </si>
  <si>
    <t xml:space="preserve">횡재세</t>
  </si>
  <si>
    <t xml:space="preserve">Non l'hai inventato tu. È già stato fatto.</t>
  </si>
  <si>
    <r>
      <rPr>
        <sz val="10"/>
        <rFont val="Arial"/>
        <family val="0"/>
        <charset val="1"/>
      </rPr>
      <t xml:space="preserve">d.l. 104/2023(</t>
    </r>
    <r>
      <rPr>
        <sz val="10"/>
        <rFont val="WenQuanYi Zen Hei"/>
        <family val="2"/>
      </rPr>
      <t xml:space="preserve">은행 특별 부담금</t>
    </r>
    <r>
      <rPr>
        <sz val="10"/>
        <rFont val="Arial"/>
        <family val="0"/>
        <charset val="1"/>
      </rPr>
      <t xml:space="preserve">), d.l. 21/2022(</t>
    </r>
    <r>
      <rPr>
        <sz val="10"/>
        <rFont val="WenQuanYi Zen Hei"/>
        <family val="2"/>
      </rPr>
      <t xml:space="preserve">에너지 기업 특별 부담금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와 관련 헌법재판소 판결</t>
    </r>
  </si>
  <si>
    <t xml:space="preserve">contributo straordinario, extraprofitti</t>
  </si>
  <si>
    <r>
      <rPr>
        <b val="true"/>
        <sz val="10"/>
        <rFont val="Arial"/>
        <family val="0"/>
        <charset val="1"/>
      </rPr>
      <t xml:space="preserve">EU </t>
    </r>
    <r>
      <rPr>
        <b val="true"/>
        <sz val="10"/>
        <rFont val="WenQuanYi Zen Hei"/>
        <family val="2"/>
      </rPr>
      <t xml:space="preserve">긴축 압박</t>
    </r>
  </si>
  <si>
    <t xml:space="preserve">Quell'articolo non dice quello che ti hanno detto.</t>
  </si>
  <si>
    <r>
      <rPr>
        <sz val="10"/>
        <rFont val="WenQuanYi Zen Hei"/>
        <family val="2"/>
      </rPr>
      <t xml:space="preserve">유럽연합기능조약</t>
    </r>
    <r>
      <rPr>
        <sz val="10"/>
        <rFont val="Noto Sans CJK SC"/>
        <family val="2"/>
        <charset val="1"/>
      </rPr>
      <t xml:space="preserve">(TFUE) </t>
    </r>
    <r>
      <rPr>
        <sz val="10"/>
        <rFont val="WenQuanYi Zen Hei"/>
        <family val="2"/>
      </rPr>
      <t xml:space="preserve">제</t>
    </r>
    <r>
      <rPr>
        <sz val="10"/>
        <rFont val="Noto Sans CJK SC"/>
        <family val="2"/>
        <charset val="1"/>
      </rPr>
      <t xml:space="preserve">126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과도한 재정적자 절차</t>
    </r>
    <r>
      <rPr>
        <sz val="10"/>
        <rFont val="Noto Sans CJK SC"/>
        <family val="2"/>
        <charset val="1"/>
      </rPr>
      <t xml:space="preserve">), EUR-Lex(eur-lex.europa.eu)</t>
    </r>
  </si>
  <si>
    <t xml:space="preserve">procedura per deficit eccessivo</t>
  </si>
  <si>
    <t xml:space="preserve">과거 감시 스캔들</t>
  </si>
  <si>
    <r>
      <rPr>
        <sz val="10"/>
        <rFont val="Arial"/>
        <family val="0"/>
        <charset val="1"/>
      </rPr>
      <t xml:space="preserve">6~7</t>
    </r>
    <r>
      <rPr>
        <sz val="10"/>
        <rFont val="WenQuanYi Zen Hei"/>
        <family val="2"/>
      </rPr>
      <t xml:space="preserve">부</t>
    </r>
  </si>
  <si>
    <t xml:space="preserve">Gli archivi ricordano quello che la gente dimentica.</t>
  </si>
  <si>
    <r>
      <rPr>
        <sz val="10"/>
        <rFont val="WenQuanYi Zen Hei"/>
        <family val="2"/>
      </rPr>
      <t xml:space="preserve">국립중앙문서고의 정치범 기록</t>
    </r>
    <r>
      <rPr>
        <sz val="10"/>
        <rFont val="Noto Sans CJK SC"/>
        <family val="2"/>
        <charset val="1"/>
      </rPr>
      <t xml:space="preserve">(Casellario Politico Centrale), </t>
    </r>
    <r>
      <rPr>
        <sz val="10"/>
        <rFont val="WenQuanYi Zen Hei"/>
        <family val="2"/>
      </rPr>
      <t xml:space="preserve">신문 아카이브</t>
    </r>
  </si>
  <si>
    <r>
      <rPr>
        <sz val="10"/>
        <rFont val="Arial"/>
        <family val="0"/>
        <charset val="1"/>
      </rPr>
      <t xml:space="preserve">'fascicoli SIFAR'</t>
    </r>
    <r>
      <rPr>
        <sz val="10"/>
        <rFont val="WenQuanYi Zen Hei"/>
        <family val="2"/>
      </rPr>
      <t xml:space="preserve">로 검색</t>
    </r>
    <r>
      <rPr>
        <sz val="10"/>
        <rFont val="Arial"/>
        <family val="0"/>
        <charset val="1"/>
      </rPr>
      <t xml:space="preserve">, Casellario Politico Centrale</t>
    </r>
  </si>
  <si>
    <r>
      <rPr>
        <sz val="10"/>
        <rFont val="WenQuanYi Zen Hei"/>
        <family val="2"/>
      </rPr>
      <t xml:space="preserve">신문칸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문서칸</t>
    </r>
  </si>
  <si>
    <t xml:space="preserve">의회 발언 확인</t>
  </si>
  <si>
    <t xml:space="preserve">Tutto quello che si è detto in aula è scritto.</t>
  </si>
  <si>
    <r>
      <rPr>
        <sz val="10"/>
        <rFont val="WenQuanYi Zen Hei"/>
        <family val="2"/>
      </rPr>
      <t xml:space="preserve">양원 속기록</t>
    </r>
    <r>
      <rPr>
        <sz val="10"/>
        <rFont val="Noto Sans CJK SC"/>
        <family val="2"/>
        <charset val="1"/>
      </rPr>
      <t xml:space="preserve">(camera.it, senato.it), </t>
    </r>
    <r>
      <rPr>
        <sz val="10"/>
        <rFont val="WenQuanYi Zen Hei"/>
        <family val="2"/>
      </rPr>
      <t xml:space="preserve">로마 시의회 회의록</t>
    </r>
  </si>
  <si>
    <t xml:space="preserve">resoconto stenografico, intervento</t>
  </si>
  <si>
    <t xml:space="preserve">정당 창당</t>
  </si>
  <si>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5~6</t>
    </r>
    <r>
      <rPr>
        <sz val="10"/>
        <rFont val="WenQuanYi Zen Hei"/>
        <family val="2"/>
      </rPr>
      <t xml:space="preserve">화</t>
    </r>
  </si>
  <si>
    <t xml:space="preserve">Un partito comincia su un foglio pubblico. Cercalo.</t>
  </si>
  <si>
    <r>
      <rPr>
        <sz val="10"/>
        <rFont val="WenQuanYi Zen Hei"/>
        <family val="2"/>
      </rPr>
      <t xml:space="preserve">헌법 제</t>
    </r>
    <r>
      <rPr>
        <sz val="10"/>
        <rFont val="Arial"/>
        <family val="0"/>
        <charset val="1"/>
      </rPr>
      <t xml:space="preserve">49</t>
    </r>
    <r>
      <rPr>
        <sz val="10"/>
        <rFont val="WenQuanYi Zen Hei"/>
        <family val="2"/>
      </rPr>
      <t xml:space="preserve">조</t>
    </r>
    <r>
      <rPr>
        <sz val="10"/>
        <rFont val="Arial"/>
        <family val="0"/>
        <charset val="1"/>
      </rPr>
      <t xml:space="preserve">, d.l. 149/2013(</t>
    </r>
    <r>
      <rPr>
        <sz val="10"/>
        <rFont val="WenQuanYi Zen Hei"/>
        <family val="2"/>
      </rPr>
      <t xml:space="preserve">정당 등록부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정관 요건</t>
    </r>
    <r>
      <rPr>
        <sz val="10"/>
        <rFont val="Arial"/>
        <family val="0"/>
        <charset val="1"/>
      </rPr>
      <t xml:space="preserve">)</t>
    </r>
  </si>
  <si>
    <t xml:space="preserve">atto costitutivo, statuto, registro dei partiti</t>
  </si>
  <si>
    <t xml:space="preserve">Chi conta i soldi di un partito lascia anche lui una traccia.</t>
  </si>
  <si>
    <r>
      <rPr>
        <sz val="10"/>
        <rFont val="Arial"/>
        <family val="0"/>
        <charset val="1"/>
      </rPr>
      <t xml:space="preserve">legge 3/2019(</t>
    </r>
    <r>
      <rPr>
        <sz val="10"/>
        <rFont val="WenQuanYi Zen Hei"/>
        <family val="2"/>
      </rPr>
      <t xml:space="preserve">후원 공개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정당 회계 감독위원회 보고서</t>
    </r>
  </si>
  <si>
    <t xml:space="preserve">finanziamento dei partiti, rendiconto</t>
  </si>
  <si>
    <t xml:space="preserve">선거 규칙</t>
  </si>
  <si>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·10</t>
    </r>
    <r>
      <rPr>
        <sz val="10"/>
        <rFont val="WenQuanYi Zen Hei"/>
        <family val="2"/>
      </rPr>
      <t xml:space="preserve">부</t>
    </r>
  </si>
  <si>
    <t xml:space="preserve">Le regole del gioco sono nella legge elettorale.</t>
  </si>
  <si>
    <r>
      <rPr>
        <sz val="10"/>
        <rFont val="Arial"/>
        <family val="0"/>
        <charset val="1"/>
      </rPr>
      <t xml:space="preserve">legge 165/2017(</t>
    </r>
    <r>
      <rPr>
        <sz val="10"/>
        <rFont val="WenQuanYi Zen Hei"/>
        <family val="2"/>
      </rPr>
      <t xml:space="preserve">총선</t>
    </r>
    <r>
      <rPr>
        <sz val="10"/>
        <rFont val="Arial"/>
        <family val="0"/>
        <charset val="1"/>
      </rPr>
      <t xml:space="preserve">), TUEL(</t>
    </r>
    <r>
      <rPr>
        <sz val="10"/>
        <rFont val="WenQuanYi Zen Hei"/>
        <family val="2"/>
      </rPr>
      <t xml:space="preserve">지방선거</t>
    </r>
    <r>
      <rPr>
        <sz val="10"/>
        <rFont val="Arial"/>
        <family val="0"/>
        <charset val="1"/>
      </rPr>
      <t xml:space="preserve">), legge 28/2000(</t>
    </r>
    <r>
      <rPr>
        <sz val="10"/>
        <rFont val="WenQuanYi Zen Hei"/>
        <family val="2"/>
      </rPr>
      <t xml:space="preserve">방송 균등 노출</t>
    </r>
    <r>
      <rPr>
        <sz val="10"/>
        <rFont val="Arial"/>
        <family val="0"/>
        <charset val="1"/>
      </rPr>
      <t xml:space="preserve">)</t>
    </r>
  </si>
  <si>
    <t xml:space="preserve">presentazione delle liste, soglia, par condicio</t>
  </si>
  <si>
    <r>
      <rPr>
        <b val="true"/>
        <sz val="10"/>
        <rFont val="WenQuanYi Zen Hei"/>
        <family val="2"/>
      </rPr>
      <t xml:space="preserve">정부 구성</t>
    </r>
    <r>
      <rPr>
        <b val="true"/>
        <sz val="10"/>
        <rFont val="Noto Sans CJK SC"/>
        <family val="2"/>
        <charset val="1"/>
      </rPr>
      <t xml:space="preserve">·</t>
    </r>
    <r>
      <rPr>
        <b val="true"/>
        <sz val="10"/>
        <rFont val="WenQuanYi Zen Hei"/>
        <family val="2"/>
      </rPr>
      <t xml:space="preserve">해산</t>
    </r>
  </si>
  <si>
    <t xml:space="preserve">Articolo 94. Leggilo piano, due volte.</t>
  </si>
  <si>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88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해산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제</t>
    </r>
    <r>
      <rPr>
        <sz val="10"/>
        <rFont val="Noto Sans CJK SC"/>
        <family val="2"/>
        <charset val="1"/>
      </rPr>
      <t xml:space="preserve">92~94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조각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선서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신임</t>
    </r>
    <r>
      <rPr>
        <sz val="10"/>
        <rFont val="Noto Sans CJK SC"/>
        <family val="2"/>
        <charset val="1"/>
      </rPr>
      <t xml:space="preserve">)</t>
    </r>
  </si>
  <si>
    <t xml:space="preserve">incarico, fiducia, scioglimento, mozione di sfiducia</t>
  </si>
  <si>
    <t xml:space="preserve">권한 배분</t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</si>
  <si>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·11</t>
    </r>
    <r>
      <rPr>
        <sz val="10"/>
        <rFont val="WenQuanYi Zen Hei"/>
        <family val="2"/>
      </rPr>
      <t xml:space="preserve">부</t>
    </r>
  </si>
  <si>
    <t xml:space="preserve">Chi comanda qui? Guarda il Titolo V.</t>
  </si>
  <si>
    <r>
      <rPr>
        <sz val="10"/>
        <rFont val="WenQuanYi Zen Hei"/>
        <family val="2"/>
      </rPr>
      <t xml:space="preserve">헌법 제</t>
    </r>
    <r>
      <rPr>
        <sz val="10"/>
        <rFont val="Noto Sans CJK SC"/>
        <family val="2"/>
        <charset val="1"/>
      </rPr>
      <t xml:space="preserve">5</t>
    </r>
    <r>
      <rPr>
        <sz val="10"/>
        <rFont val="WenQuanYi Zen Hei"/>
        <family val="2"/>
      </rPr>
      <t xml:space="preserve">장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제</t>
    </r>
    <r>
      <rPr>
        <sz val="10"/>
        <rFont val="Noto Sans CJK SC"/>
        <family val="2"/>
        <charset val="1"/>
      </rPr>
      <t xml:space="preserve">114~133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특히 제</t>
    </r>
    <r>
      <rPr>
        <sz val="10"/>
        <rFont val="Noto Sans CJK SC"/>
        <family val="2"/>
        <charset val="1"/>
      </rPr>
      <t xml:space="preserve">117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라치오 주 헌장</t>
    </r>
  </si>
  <si>
    <t xml:space="preserve">competenza concorrente, Regione, Titolo V</t>
  </si>
  <si>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·9</t>
    </r>
    <r>
      <rPr>
        <sz val="10"/>
        <rFont val="WenQuanYi Zen Hei"/>
        <family val="2"/>
      </rPr>
      <t xml:space="preserve">부</t>
    </r>
  </si>
  <si>
    <t xml:space="preserve">C'è una legge per chi avvisa.</t>
  </si>
  <si>
    <r>
      <rPr>
        <sz val="10"/>
        <rFont val="Arial"/>
        <family val="0"/>
        <charset val="1"/>
      </rPr>
      <t xml:space="preserve">d.lgs. 24/2023 (</t>
    </r>
    <r>
      <rPr>
        <sz val="10"/>
        <rFont val="WenQuanYi Zen Hei"/>
        <family val="2"/>
      </rPr>
      <t xml:space="preserve">내부고발자 보호</t>
    </r>
    <r>
      <rPr>
        <sz val="10"/>
        <rFont val="Arial"/>
        <family val="0"/>
        <charset val="1"/>
      </rPr>
      <t xml:space="preserve">), ANAC </t>
    </r>
    <r>
      <rPr>
        <sz val="10"/>
        <rFont val="WenQuanYi Zen Hei"/>
        <family val="2"/>
      </rPr>
      <t xml:space="preserve">신고 채널</t>
    </r>
  </si>
  <si>
    <t xml:space="preserve">whistleblowing, segnalazione, ritorsione</t>
  </si>
  <si>
    <t xml:space="preserve">의회 표결 확인</t>
  </si>
  <si>
    <t xml:space="preserve">Ogni voto resta scritto.</t>
  </si>
  <si>
    <r>
      <rPr>
        <sz val="10"/>
        <rFont val="WenQuanYi Zen Hei"/>
        <family val="2"/>
      </rPr>
      <t xml:space="preserve">양원 속기록과 호명 투표 결과</t>
    </r>
    <r>
      <rPr>
        <sz val="10"/>
        <rFont val="Noto Sans CJK SC"/>
        <family val="2"/>
        <charset val="1"/>
      </rPr>
      <t xml:space="preserve">(camera.it, senato.it)</t>
    </r>
  </si>
  <si>
    <t xml:space="preserve">appello nominale, votazione, fiducia</t>
  </si>
  <si>
    <t xml:space="preserve">모르는 단어</t>
  </si>
  <si>
    <t xml:space="preserve">전 부</t>
  </si>
  <si>
    <t xml:space="preserve">Se non sai la parola, non sai la legge.</t>
  </si>
  <si>
    <t xml:space="preserve">Treccani, Accademia della Crusca</t>
  </si>
  <si>
    <r>
      <rPr>
        <i val="true"/>
        <sz val="9"/>
        <color rgb="FF595959"/>
        <rFont val="WenQuanYi Zen Hei"/>
        <family val="2"/>
      </rPr>
      <t xml:space="preserve">※ 법령 번호와 조항은 기획 시점 지식으로 정리한 것입니다</t>
    </r>
    <r>
      <rPr>
        <i val="true"/>
        <sz val="9"/>
        <color rgb="FF595959"/>
        <rFont val="Noto Sans CJK SC"/>
        <family val="2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교재에 넣기 전에 </t>
    </r>
    <r>
      <rPr>
        <i val="true"/>
        <sz val="9"/>
        <color rgb="FF595959"/>
        <rFont val="Noto Sans CJK SC"/>
        <family val="2"/>
        <charset val="1"/>
      </rPr>
      <t xml:space="preserve">Normattiva(normattiva.it)</t>
    </r>
    <r>
      <rPr>
        <i val="true"/>
        <sz val="9"/>
        <color rgb="FF595959"/>
        <rFont val="WenQuanYi Zen Hei"/>
        <family val="2"/>
      </rPr>
      <t xml:space="preserve">의 현행 통합본</t>
    </r>
    <r>
      <rPr>
        <i val="true"/>
        <sz val="9"/>
        <color rgb="FF595959"/>
        <rFont val="Noto Sans CJK SC"/>
        <family val="2"/>
        <charset val="1"/>
      </rPr>
      <t xml:space="preserve">(testo vigente)</t>
    </r>
    <r>
      <rPr>
        <i val="true"/>
        <sz val="9"/>
        <color rgb="FF595959"/>
        <rFont val="WenQuanYi Zen Hei"/>
        <family val="2"/>
      </rPr>
      <t xml:space="preserve">으로 반드시 확인하세요</t>
    </r>
    <r>
      <rPr>
        <i val="true"/>
        <sz val="9"/>
        <color rgb="FF595959"/>
        <rFont val="Noto Sans CJK SC"/>
        <family val="2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참고 도서 제목은 지어낼 위험이 있어 제외하고 검색어만 적었습니다</t>
    </r>
    <r>
      <rPr>
        <i val="true"/>
        <sz val="9"/>
        <color rgb="FF595959"/>
        <rFont val="Noto Sans CJK SC"/>
        <family val="2"/>
        <charset val="1"/>
      </rPr>
      <t xml:space="preserve">.</t>
    </r>
  </si>
  <si>
    <r>
      <rPr>
        <b val="true"/>
        <sz val="10"/>
        <rFont val="Arial"/>
        <family val="0"/>
        <charset val="1"/>
      </rPr>
      <t xml:space="preserve">4. </t>
    </r>
    <r>
      <rPr>
        <b val="true"/>
        <sz val="10"/>
        <rFont val="WenQuanYi Zen Hei"/>
        <family val="2"/>
      </rPr>
      <t xml:space="preserve">카드</t>
    </r>
    <r>
      <rPr>
        <b val="true"/>
        <sz val="10"/>
        <rFont val="Arial"/>
        <family val="0"/>
        <charset val="1"/>
      </rPr>
      <t xml:space="preserve">(FICHA) </t>
    </r>
    <r>
      <rPr>
        <b val="true"/>
        <sz val="10"/>
        <rFont val="WenQuanYi Zen Hei"/>
        <family val="2"/>
      </rPr>
      <t xml:space="preserve">구술 템플릿 — 지문 없이 대사로만</t>
    </r>
  </si>
  <si>
    <t xml:space="preserve">화자</t>
  </si>
  <si>
    <t xml:space="preserve">기능</t>
  </si>
  <si>
    <t xml:space="preserve">GRAMSCI</t>
  </si>
  <si>
    <r>
      <rPr>
        <sz val="10"/>
        <rFont val="WenQuanYi Zen Hei"/>
        <family val="2"/>
      </rPr>
      <t xml:space="preserve">검색어 </t>
    </r>
    <r>
      <rPr>
        <sz val="10"/>
        <rFont val="Noto Sans CJK SC"/>
        <family val="2"/>
        <charset val="1"/>
      </rPr>
      <t xml:space="preserve">(Cerca)</t>
    </r>
  </si>
  <si>
    <t xml:space="preserve">Annota. Cerca: «prove inutilizzabili».</t>
  </si>
  <si>
    <r>
      <rPr>
        <sz val="10"/>
        <rFont val="WenQuanYi Zen Hei"/>
        <family val="2"/>
      </rPr>
      <t xml:space="preserve">적어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찾을 것</t>
    </r>
    <r>
      <rPr>
        <sz val="10"/>
        <rFont val="Noto Sans CJK SC"/>
        <family val="2"/>
        <charset val="1"/>
      </rPr>
      <t xml:space="preserve">: «</t>
    </r>
    <r>
      <rPr>
        <sz val="10"/>
        <rFont val="WenQuanYi Zen Hei"/>
        <family val="2"/>
      </rPr>
      <t xml:space="preserve">사용할 수 없는 증거</t>
    </r>
    <r>
      <rPr>
        <sz val="10"/>
        <rFont val="Noto Sans CJK SC"/>
        <family val="2"/>
        <charset val="1"/>
      </rPr>
      <t xml:space="preserve">».</t>
    </r>
  </si>
  <si>
    <t xml:space="preserve">SOFIA</t>
  </si>
  <si>
    <t xml:space="preserve">질문으로 다음 항목을 끌어냄</t>
  </si>
  <si>
    <t xml:space="preserve">Va bene. Dove?</t>
  </si>
  <si>
    <r>
      <rPr>
        <sz val="10"/>
        <rFont val="WenQuanYi Zen Hei"/>
        <family val="2"/>
      </rPr>
      <t xml:space="preserve">알겠어요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어디서요</t>
    </r>
    <r>
      <rPr>
        <sz val="10"/>
        <rFont val="Noto Sans CJK SC"/>
        <family val="2"/>
        <charset val="1"/>
      </rPr>
      <t xml:space="preserve">?</t>
    </r>
  </si>
  <si>
    <r>
      <rPr>
        <sz val="10"/>
        <rFont val="WenQuanYi Zen Hei"/>
        <family val="2"/>
      </rPr>
      <t xml:space="preserve">출처 </t>
    </r>
    <r>
      <rPr>
        <sz val="10"/>
        <rFont val="Noto Sans CJK SC"/>
        <family val="2"/>
        <charset val="1"/>
      </rPr>
      <t xml:space="preserve">(Dove)</t>
    </r>
  </si>
  <si>
    <t xml:space="preserve">Normattiva. Codice di procedura penale, articolo 191.</t>
  </si>
  <si>
    <r>
      <rPr>
        <sz val="10"/>
        <rFont val="WenQuanYi Zen Hei"/>
        <family val="2"/>
      </rPr>
      <t xml:space="preserve">노르마티바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형사소송법 제</t>
    </r>
    <r>
      <rPr>
        <sz val="10"/>
        <rFont val="Noto Sans CJK SC"/>
        <family val="2"/>
        <charset val="1"/>
      </rPr>
      <t xml:space="preserve">191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.</t>
    </r>
  </si>
  <si>
    <t xml:space="preserve">질문</t>
  </si>
  <si>
    <t xml:space="preserve">E che parole cerco?</t>
  </si>
  <si>
    <r>
      <rPr>
        <sz val="10"/>
        <rFont val="WenQuanYi Zen Hei"/>
        <family val="2"/>
      </rPr>
      <t xml:space="preserve">그럼 어떤 단어를 찾죠</t>
    </r>
    <r>
      <rPr>
        <sz val="10"/>
        <rFont val="Noto Sans CJK SC"/>
        <family val="2"/>
        <charset val="1"/>
      </rPr>
      <t xml:space="preserve">?</t>
    </r>
  </si>
  <si>
    <r>
      <rPr>
        <sz val="10"/>
        <rFont val="WenQuanYi Zen Hei"/>
        <family val="2"/>
      </rPr>
      <t xml:space="preserve">키워드 </t>
    </r>
    <r>
      <rPr>
        <sz val="10"/>
        <rFont val="Noto Sans CJK SC"/>
        <family val="2"/>
        <charset val="1"/>
      </rPr>
      <t xml:space="preserve">(Parole chiave)</t>
    </r>
  </si>
  <si>
    <t xml:space="preserve">Intercettazioni. Autorizzazione del giudice. Catena di custodia.</t>
  </si>
  <si>
    <r>
      <rPr>
        <sz val="10"/>
        <rFont val="WenQuanYi Zen Hei"/>
        <family val="2"/>
      </rPr>
      <t xml:space="preserve">감청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판사의 허가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증거 보관 연속성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</si>
  <si>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Sofia</t>
    </r>
    <r>
      <rPr>
        <sz val="10"/>
        <rFont val="WenQuanYi Zen Hei"/>
        <family val="2"/>
      </rPr>
      <t xml:space="preserve">의 조급함</t>
    </r>
  </si>
  <si>
    <t xml:space="preserve">E la risposta?</t>
  </si>
  <si>
    <r>
      <rPr>
        <sz val="10"/>
        <rFont val="WenQuanYi Zen Hei"/>
        <family val="2"/>
      </rPr>
      <t xml:space="preserve">그럼 답은요</t>
    </r>
    <r>
      <rPr>
        <sz val="10"/>
        <rFont val="Noto Sans CJK SC"/>
        <family val="2"/>
        <charset val="1"/>
      </rPr>
      <t xml:space="preserve">?</t>
    </r>
  </si>
  <si>
    <r>
      <rPr>
        <sz val="10"/>
        <rFont val="WenQuanYi Zen Hei"/>
        <family val="2"/>
      </rPr>
      <t xml:space="preserve">시그니처 </t>
    </r>
    <r>
      <rPr>
        <sz val="10"/>
        <rFont val="Noto Sans CJK SC"/>
        <family val="2"/>
        <charset val="1"/>
      </rPr>
      <t xml:space="preserve">+ </t>
    </r>
    <r>
      <rPr>
        <sz val="10"/>
        <rFont val="WenQuanYi Zen Hei"/>
        <family val="2"/>
      </rPr>
      <t xml:space="preserve">서가 위치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손짓 지문 대체</t>
    </r>
    <r>
      <rPr>
        <sz val="10"/>
        <rFont val="Noto Sans CJK SC"/>
        <family val="2"/>
        <charset val="1"/>
      </rPr>
      <t xml:space="preserve">)</t>
    </r>
  </si>
  <si>
    <t xml:space="preserve">Io non ho detto niente. Terzo ripiano, a sinistra.</t>
  </si>
  <si>
    <r>
      <rPr>
        <sz val="10"/>
        <rFont val="WenQuanYi Zen Hei"/>
        <family val="2"/>
      </rPr>
      <t xml:space="preserve">나는 아무 말도 안 했어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세 번째 선반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왼쪽이야</t>
    </r>
    <r>
      <rPr>
        <sz val="10"/>
        <rFont val="Noto Sans CJK SC"/>
        <family val="2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</si>
  <si>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카드는 </t>
    </r>
    <r>
      <rPr>
        <i val="true"/>
        <sz val="9"/>
        <color rgb="FF595959"/>
        <rFont val="Noto Sans CJK SC"/>
        <family val="2"/>
        <charset val="1"/>
      </rPr>
      <t xml:space="preserve">3</t>
    </r>
    <r>
      <rPr>
        <i val="true"/>
        <sz val="9"/>
        <color rgb="FF595959"/>
        <rFont val="WenQuanYi Zen Hei"/>
        <family val="2"/>
      </rPr>
      <t xml:space="preserve">줄</t>
    </r>
    <r>
      <rPr>
        <i val="true"/>
        <sz val="9"/>
        <color rgb="FF595959"/>
        <rFont val="Noto Sans CJK SC"/>
        <family val="2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검색어</t>
    </r>
    <r>
      <rPr>
        <i val="true"/>
        <sz val="9"/>
        <color rgb="FF595959"/>
        <rFont val="Noto Sans CJK SC"/>
        <family val="2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Noto Sans CJK SC"/>
        <family val="2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키워드</t>
    </r>
    <r>
      <rPr>
        <i val="true"/>
        <sz val="9"/>
        <color rgb="FF595959"/>
        <rFont val="Noto Sans CJK SC"/>
        <family val="2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과 마지막 시그니처로 짧게 유지한다</t>
    </r>
    <r>
      <rPr>
        <i val="true"/>
        <sz val="9"/>
        <color rgb="FF595959"/>
        <rFont val="Noto Sans CJK SC"/>
        <family val="2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이 카드가 모이면 교재 전체의 이탈리아어 자료 색인이 된다</t>
    </r>
    <r>
      <rPr>
        <i val="true"/>
        <sz val="9"/>
        <color rgb="FF595959"/>
        <rFont val="Noto Sans CJK SC"/>
        <family val="2"/>
        <charset val="1"/>
      </rPr>
      <t xml:space="preserve">(Gramsci</t>
    </r>
    <r>
      <rPr>
        <i val="true"/>
        <sz val="9"/>
        <color rgb="FF595959"/>
        <rFont val="WenQuanYi Zen Hei"/>
        <family val="2"/>
      </rPr>
      <t xml:space="preserve">의 </t>
    </r>
    <r>
      <rPr>
        <i val="true"/>
        <sz val="9"/>
        <color rgb="FF595959"/>
        <rFont val="Noto Sans CJK SC"/>
        <family val="2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수첩</t>
    </r>
    <r>
      <rPr>
        <i val="true"/>
        <sz val="9"/>
        <color rgb="FF595959"/>
        <rFont val="Noto Sans CJK SC"/>
        <family val="2"/>
        <charset val="1"/>
      </rPr>
      <t xml:space="preserve">'). </t>
    </r>
    <r>
      <rPr>
        <i val="true"/>
        <sz val="9"/>
        <color rgb="FF595959"/>
        <rFont val="WenQuanYi Zen Hei"/>
        <family val="2"/>
      </rPr>
      <t xml:space="preserve">카드를 넣을 화의 범위</t>
    </r>
    <r>
      <rPr>
        <i val="true"/>
        <sz val="9"/>
        <color rgb="FF595959"/>
        <rFont val="Noto Sans CJK SC"/>
        <family val="2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전 화 </t>
    </r>
    <r>
      <rPr>
        <i val="true"/>
        <sz val="9"/>
        <color rgb="FF595959"/>
        <rFont val="Noto Sans CJK SC"/>
        <family val="2"/>
        <charset val="1"/>
      </rPr>
      <t xml:space="preserve">vs Gramsci </t>
    </r>
    <r>
      <rPr>
        <i val="true"/>
        <sz val="9"/>
        <color rgb="FF595959"/>
        <rFont val="WenQuanYi Zen Hei"/>
        <family val="2"/>
      </rPr>
      <t xml:space="preserve">등장 화</t>
    </r>
    <r>
      <rPr>
        <i val="true"/>
        <sz val="9"/>
        <color rgb="FF595959"/>
        <rFont val="Noto Sans CJK SC"/>
        <family val="2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는 미결사항 참고</t>
    </r>
    <r>
      <rPr>
        <i val="true"/>
        <sz val="9"/>
        <color rgb="FF595959"/>
        <rFont val="Noto Sans CJK SC"/>
        <family val="2"/>
        <charset val="1"/>
      </rPr>
      <t xml:space="preserve">.</t>
    </r>
  </si>
  <si>
    <t xml:space="preserve">대화문 규칙 — 모든 것은 대화문으로 풀어간다</t>
  </si>
  <si>
    <r>
      <rPr>
        <i val="true"/>
        <sz val="9"/>
        <color rgb="FF595959"/>
        <rFont val="WenQuanYi Zen Hei"/>
        <family val="2"/>
      </rPr>
      <t xml:space="preserve">이전 안</t>
    </r>
    <r>
      <rPr>
        <i val="true"/>
        <sz val="9"/>
        <color rgb="FF595959"/>
        <rFont val="Noto Sans CJK SC"/>
        <family val="2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상황 </t>
    </r>
    <r>
      <rPr>
        <i val="true"/>
        <sz val="9"/>
        <color rgb="FF595959"/>
        <rFont val="Noto Sans CJK SC"/>
        <family val="2"/>
        <charset val="1"/>
      </rPr>
      <t xml:space="preserve">30% + </t>
    </r>
    <r>
      <rPr>
        <i val="true"/>
        <sz val="9"/>
        <color rgb="FF595959"/>
        <rFont val="WenQuanYi Zen Hei"/>
        <family val="2"/>
      </rPr>
      <t xml:space="preserve">대화 </t>
    </r>
    <r>
      <rPr>
        <i val="true"/>
        <sz val="9"/>
        <color rgb="FF595959"/>
        <rFont val="Noto Sans CJK SC"/>
        <family val="2"/>
        <charset val="1"/>
      </rPr>
      <t xml:space="preserve">70%)</t>
    </r>
    <r>
      <rPr>
        <i val="true"/>
        <sz val="9"/>
        <color rgb="FF595959"/>
        <rFont val="WenQuanYi Zen Hei"/>
        <family val="2"/>
      </rPr>
      <t xml:space="preserve">을 폐기하고</t>
    </r>
    <r>
      <rPr>
        <i val="true"/>
        <sz val="9"/>
        <color rgb="FF595959"/>
        <rFont val="Noto Sans CJK SC"/>
        <family val="2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전 화를 「화자명</t>
    </r>
    <r>
      <rPr>
        <i val="true"/>
        <sz val="9"/>
        <color rgb="FF595959"/>
        <rFont val="Noto Sans CJK SC"/>
        <family val="2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대사」만으로 구성한다</t>
    </r>
    <r>
      <rPr>
        <i val="true"/>
        <sz val="9"/>
        <color rgb="FF595959"/>
        <rFont val="Noto Sans CJK SC"/>
        <family val="2"/>
        <charset val="1"/>
      </rPr>
      <t xml:space="preserve">.</t>
    </r>
  </si>
  <si>
    <r>
      <rPr>
        <b val="true"/>
        <sz val="10"/>
        <rFont val="Arial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원칙</t>
    </r>
  </si>
  <si>
    <t xml:space="preserve">예시</t>
  </si>
  <si>
    <r>
      <rPr>
        <sz val="10"/>
        <rFont val="WenQuanYi Zen Hei"/>
        <family val="2"/>
      </rPr>
      <t xml:space="preserve">전 화 </t>
    </r>
    <r>
      <rPr>
        <sz val="10"/>
        <rFont val="Noto Sans CJK SC"/>
        <family val="2"/>
        <charset val="1"/>
      </rPr>
      <t xml:space="preserve">100% </t>
    </r>
    <r>
      <rPr>
        <sz val="10"/>
        <rFont val="WenQuanYi Zen Hei"/>
        <family val="2"/>
      </rPr>
      <t xml:space="preserve">대화문</t>
    </r>
  </si>
  <si>
    <r>
      <rPr>
        <sz val="10"/>
        <rFont val="WenQuanYi Zen Hei"/>
        <family val="2"/>
      </rPr>
      <t xml:space="preserve">지문</t>
    </r>
    <r>
      <rPr>
        <sz val="10"/>
        <rFont val="Noto Sans CJK SC"/>
        <family val="2"/>
        <charset val="1"/>
      </rPr>
      <t xml:space="preserve">(narrazione)</t>
    </r>
    <r>
      <rPr>
        <sz val="10"/>
        <rFont val="WenQuanYi Zen Hei"/>
        <family val="2"/>
      </rPr>
      <t xml:space="preserve">은 </t>
    </r>
    <r>
      <rPr>
        <sz val="10"/>
        <rFont val="Noto Sans CJK SC"/>
        <family val="2"/>
        <charset val="1"/>
      </rPr>
      <t xml:space="preserve">0%. </t>
    </r>
    <r>
      <rPr>
        <sz val="10"/>
        <rFont val="WenQuanYi Zen Hei"/>
        <family val="2"/>
      </rPr>
      <t xml:space="preserve">각 화는 화자명 </t>
    </r>
    <r>
      <rPr>
        <sz val="10"/>
        <rFont val="Noto Sans CJK SC"/>
        <family val="2"/>
        <charset val="1"/>
      </rPr>
      <t xml:space="preserve">+ </t>
    </r>
    <r>
      <rPr>
        <sz val="10"/>
        <rFont val="WenQuanYi Zen Hei"/>
        <family val="2"/>
      </rPr>
      <t xml:space="preserve">대사로만 구성한다</t>
    </r>
    <r>
      <rPr>
        <sz val="10"/>
        <rFont val="Noto Sans CJK SC"/>
        <family val="2"/>
        <charset val="1"/>
      </rPr>
      <t xml:space="preserve">.</t>
    </r>
  </si>
  <si>
    <t xml:space="preserve">ROSA: Sono le cinque. Comincia la riunione.</t>
  </si>
  <si>
    <t xml:space="preserve">화 머리 표기</t>
  </si>
  <si>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화 번호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제목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장소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날짜는 낭독하지 않는 표기 전용 한 줄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메타</t>
    </r>
    <r>
      <rPr>
        <sz val="10"/>
        <rFont val="Noto Sans CJK SC"/>
        <family val="2"/>
        <charset val="1"/>
      </rPr>
      <t xml:space="preserve">). </t>
    </r>
    <r>
      <rPr>
        <sz val="10"/>
        <rFont val="WenQuanYi Zen Hei"/>
        <family val="2"/>
      </rPr>
      <t xml:space="preserve">낭독 본문에는 넣지 않는다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</si>
  <si>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[11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화 </t>
    </r>
    <r>
      <rPr>
        <sz val="10"/>
        <rFont val="Arial"/>
        <family val="0"/>
        <charset val="1"/>
      </rPr>
      <t xml:space="preserve">· Pronto soccorso al collasso]</t>
    </r>
  </si>
  <si>
    <t xml:space="preserve">괄호 무대지시 금지</t>
  </si>
  <si>
    <r>
      <rPr>
        <sz val="10"/>
        <rFont val="WenQuanYi Zen Hei"/>
        <family val="2"/>
      </rPr>
      <t xml:space="preserve">행동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표정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침묵은 괄호 지문이 아니라 대사로 표현한다</t>
    </r>
    <r>
      <rPr>
        <sz val="10"/>
        <rFont val="Noto Sans CJK SC"/>
        <family val="2"/>
        <charset val="1"/>
      </rPr>
      <t xml:space="preserve">.</t>
    </r>
  </si>
  <si>
    <t xml:space="preserve">(Rosa posa il piatto) → ROSA: Poso 'sto piatto prima che voli.</t>
  </si>
  <si>
    <r>
      <rPr>
        <sz val="10"/>
        <rFont val="WenQuanYi Zen Hei"/>
        <family val="2"/>
      </rPr>
      <t xml:space="preserve">장소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시간 소개</t>
    </r>
  </si>
  <si>
    <r>
      <rPr>
        <sz val="10"/>
        <rFont val="WenQuanYi Zen Hei"/>
        <family val="2"/>
      </rPr>
      <t xml:space="preserve">지정 화자가 대사로 알린다</t>
    </r>
    <r>
      <rPr>
        <sz val="10"/>
        <rFont val="Noto Sans CJK SC"/>
        <family val="2"/>
        <charset val="1"/>
      </rPr>
      <t xml:space="preserve">: Rosa(</t>
    </r>
    <r>
      <rPr>
        <sz val="10"/>
        <rFont val="WenQuanYi Zen Hei"/>
        <family val="2"/>
      </rPr>
      <t xml:space="preserve">식사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장소</t>
    </r>
    <r>
      <rPr>
        <sz val="10"/>
        <rFont val="Noto Sans CJK SC"/>
        <family val="2"/>
        <charset val="1"/>
      </rPr>
      <t xml:space="preserve">), Sofia(</t>
    </r>
    <r>
      <rPr>
        <sz val="10"/>
        <rFont val="WenQuanYi Zen Hei"/>
        <family val="2"/>
      </rPr>
      <t xml:space="preserve">질문</t>
    </r>
    <r>
      <rPr>
        <sz val="10"/>
        <rFont val="Noto Sans CJK SC"/>
        <family val="2"/>
        <charset val="1"/>
      </rPr>
      <t xml:space="preserve">), Garibaldi(</t>
    </r>
    <r>
      <rPr>
        <sz val="10"/>
        <rFont val="WenQuanYi Zen Hei"/>
        <family val="2"/>
      </rPr>
      <t xml:space="preserve">보고</t>
    </r>
    <r>
      <rPr>
        <sz val="10"/>
        <rFont val="Noto Sans CJK SC"/>
        <family val="2"/>
        <charset val="1"/>
      </rPr>
      <t xml:space="preserve">).</t>
    </r>
  </si>
  <si>
    <t xml:space="preserve">ROSA: Sono le cinque. Riunione al mio tavolo.</t>
  </si>
  <si>
    <r>
      <rPr>
        <sz val="10"/>
        <rFont val="WenQuanYi Zen Hei"/>
        <family val="2"/>
      </rPr>
      <t xml:space="preserve">시간 경과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장면 전환</t>
    </r>
  </si>
  <si>
    <r>
      <rPr>
        <sz val="10"/>
        <rFont val="WenQuanYi Zen Hei"/>
        <family val="2"/>
      </rPr>
      <t xml:space="preserve">인물이 말로 알린다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전환은 화자 교체 </t>
    </r>
    <r>
      <rPr>
        <sz val="10"/>
        <rFont val="Noto Sans CJK SC"/>
        <family val="2"/>
        <charset val="1"/>
      </rPr>
      <t xml:space="preserve">+ </t>
    </r>
    <r>
      <rPr>
        <sz val="10"/>
        <rFont val="WenQuanYi Zen Hei"/>
        <family val="2"/>
      </rPr>
      <t xml:space="preserve">장소 언급으로</t>
    </r>
    <r>
      <rPr>
        <sz val="10"/>
        <rFont val="Noto Sans CJK SC"/>
        <family val="2"/>
        <charset val="1"/>
      </rPr>
      <t xml:space="preserve">.</t>
    </r>
  </si>
  <si>
    <t xml:space="preserve">GALILEO: Sono passati tre mesi dallo sfratto, vero?</t>
  </si>
  <si>
    <r>
      <rPr>
        <sz val="10"/>
        <rFont val="WenQuanYi Zen Hei"/>
        <family val="2"/>
      </rPr>
      <t xml:space="preserve">문서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기사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메모</t>
    </r>
  </si>
  <si>
    <r>
      <rPr>
        <sz val="10"/>
        <rFont val="WenQuanYi Zen Hei"/>
        <family val="2"/>
      </rPr>
      <t xml:space="preserve">소리 내어 읽는다</t>
    </r>
    <r>
      <rPr>
        <sz val="10"/>
        <rFont val="Noto Sans CJK SC"/>
        <family val="2"/>
        <charset val="1"/>
      </rPr>
      <t xml:space="preserve">: Marco=</t>
    </r>
    <r>
      <rPr>
        <sz val="10"/>
        <rFont val="WenQuanYi Zen Hei"/>
        <family val="2"/>
      </rPr>
      <t xml:space="preserve">조항</t>
    </r>
    <r>
      <rPr>
        <sz val="10"/>
        <rFont val="Noto Sans CJK SC"/>
        <family val="2"/>
        <charset val="1"/>
      </rPr>
      <t xml:space="preserve">, Galileo=</t>
    </r>
    <r>
      <rPr>
        <sz val="10"/>
        <rFont val="WenQuanYi Zen Hei"/>
        <family val="2"/>
      </rPr>
      <t xml:space="preserve">기사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뉴스레터</t>
    </r>
    <r>
      <rPr>
        <sz val="10"/>
        <rFont val="Noto Sans CJK SC"/>
        <family val="2"/>
        <charset val="1"/>
      </rPr>
      <t xml:space="preserve">, Dante=</t>
    </r>
    <r>
      <rPr>
        <sz val="10"/>
        <rFont val="WenQuanYi Zen Hei"/>
        <family val="2"/>
      </rPr>
      <t xml:space="preserve">초고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메모</t>
    </r>
    <r>
      <rPr>
        <sz val="10"/>
        <rFont val="Noto Sans CJK SC"/>
        <family val="2"/>
        <charset val="1"/>
      </rPr>
      <t xml:space="preserve">, Gramsci=</t>
    </r>
    <r>
      <rPr>
        <sz val="10"/>
        <rFont val="WenQuanYi Zen Hei"/>
        <family val="2"/>
      </rPr>
      <t xml:space="preserve">카드</t>
    </r>
    <r>
      <rPr>
        <sz val="10"/>
        <rFont val="Noto Sans CJK SC"/>
        <family val="2"/>
        <charset val="1"/>
      </rPr>
      <t xml:space="preserve">.</t>
    </r>
  </si>
  <si>
    <t xml:space="preserve">MARCO: Articolo 3: «Tutti i cittadini hanno pari dignità sociale…»</t>
  </si>
  <si>
    <r>
      <rPr>
        <sz val="10"/>
        <rFont val="WenQuanYi Zen Hei"/>
        <family val="2"/>
      </rPr>
      <t xml:space="preserve">무거운 장면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죽음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침묵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</si>
  <si>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WenQuanYi Zen Hei"/>
        <family val="2"/>
      </rPr>
      <t xml:space="preserve">짧은 호명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확인 대사로 처리한다</t>
    </r>
    <r>
      <rPr>
        <sz val="10"/>
        <rFont val="Noto Sans CJK SC"/>
        <family val="2"/>
        <charset val="1"/>
      </rPr>
      <t xml:space="preserve">.</t>
    </r>
  </si>
  <si>
    <t xml:space="preserve">SOFIA: Cesare? / GIULIA: Non c'è più, Sofia.</t>
  </si>
  <si>
    <r>
      <rPr>
        <sz val="10"/>
        <rFont val="WenQuanYi Zen Hei"/>
        <family val="2"/>
      </rPr>
      <t xml:space="preserve">내면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감정</t>
    </r>
  </si>
  <si>
    <r>
      <rPr>
        <sz val="10"/>
        <rFont val="WenQuanYi Zen Hei"/>
        <family val="2"/>
      </rPr>
      <t xml:space="preserve">독백은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소리 내어 하는 말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로만 허용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감정 노출은 </t>
    </r>
    <r>
      <rPr>
        <sz val="10"/>
        <rFont val="Noto Sans CJK SC"/>
        <family val="2"/>
        <charset val="1"/>
      </rPr>
      <t xml:space="preserve">Montessori</t>
    </r>
    <r>
      <rPr>
        <sz val="10"/>
        <rFont val="WenQuanYi Zen Hei"/>
        <family val="2"/>
      </rPr>
      <t xml:space="preserve">의 되받기 화법을 활용</t>
    </r>
    <r>
      <rPr>
        <sz val="10"/>
        <rFont val="Noto Sans CJK SC"/>
        <family val="2"/>
        <charset val="1"/>
      </rPr>
      <t xml:space="preserve">.</t>
    </r>
  </si>
  <si>
    <t xml:space="preserve">MONTESSORI: Allora ti senti sola. È così?</t>
  </si>
  <si>
    <t xml:space="preserve">문장 길이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</si>
  <si>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(B1): </t>
    </r>
    <r>
      <rPr>
        <sz val="10"/>
        <rFont val="WenQuanYi Zen Hei"/>
        <family val="2"/>
      </rPr>
      <t xml:space="preserve">대사 한 줄 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단어 이내</t>
    </r>
    <r>
      <rPr>
        <sz val="10"/>
        <rFont val="Arial"/>
        <family val="0"/>
        <charset val="1"/>
      </rPr>
      <t xml:space="preserve">. Cesare·Marco</t>
    </r>
    <r>
      <rPr>
        <sz val="10"/>
        <rFont val="WenQuanYi Zen Hei"/>
        <family val="2"/>
      </rPr>
      <t xml:space="preserve">의 격식체는 한두 줄만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어른들 말투 맛보기</t>
    </r>
    <r>
      <rPr>
        <sz val="10"/>
        <rFont val="Arial"/>
        <family val="0"/>
        <charset val="1"/>
      </rPr>
      <t xml:space="preserve">'. </t>
    </r>
    <r>
      <rPr>
        <sz val="10"/>
        <rFont val="WenQuanYi Zen Hei"/>
        <family val="2"/>
      </rPr>
      <t xml:space="preserve">부가 올라갈수록 인물별 허용 길이 확대</t>
    </r>
    <r>
      <rPr>
        <sz val="10"/>
        <rFont val="Arial"/>
        <family val="0"/>
        <charset val="1"/>
      </rPr>
      <t xml:space="preserve">. Sofia</t>
    </r>
    <r>
      <rPr>
        <sz val="10"/>
        <rFont val="WenQuanYi Zen Hei"/>
        <family val="2"/>
      </rPr>
      <t xml:space="preserve">의 질문은 끝까지 짧게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</si>
  <si>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'1</t>
    </r>
    <r>
      <rPr>
        <sz val="10"/>
        <rFont val="WenQuanYi Zen Hei"/>
        <family val="2"/>
      </rPr>
      <t xml:space="preserve">부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시범대사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시트에서 단어 수 자동 점검</t>
    </r>
  </si>
  <si>
    <r>
      <rPr>
        <sz val="10"/>
        <rFont val="WenQuanYi Zen Hei"/>
        <family val="2"/>
      </rPr>
      <t xml:space="preserve">화당 분량 </t>
    </r>
    <r>
      <rPr>
        <sz val="10"/>
        <rFont val="Noto Sans CJK SC"/>
        <family val="2"/>
        <charset val="1"/>
      </rPr>
      <t xml:space="preserve">= 120</t>
    </r>
    <r>
      <rPr>
        <sz val="10"/>
        <rFont val="WenQuanYi Zen Hei"/>
        <family val="2"/>
      </rPr>
      <t xml:space="preserve">턴</t>
    </r>
  </si>
  <si>
    <r>
      <rPr>
        <sz val="10"/>
        <rFont val="WenQuanYi Zen Hei"/>
        <family val="2"/>
      </rPr>
      <t xml:space="preserve">한 화는 대화 </t>
    </r>
    <r>
      <rPr>
        <sz val="10"/>
        <rFont val="Noto Sans CJK SC"/>
        <family val="2"/>
        <charset val="1"/>
      </rPr>
      <t xml:space="preserve">120</t>
    </r>
    <r>
      <rPr>
        <sz val="10"/>
        <rFont val="WenQuanYi Zen Hei"/>
        <family val="2"/>
      </rPr>
      <t xml:space="preserve">턴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화자 교대 </t>
    </r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Noto Sans CJK SC"/>
        <family val="2"/>
        <charset val="1"/>
      </rPr>
      <t xml:space="preserve">= 1</t>
    </r>
    <r>
      <rPr>
        <sz val="10"/>
        <rFont val="WenQuanYi Zen Hei"/>
        <family val="2"/>
      </rPr>
      <t xml:space="preserve">턴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으로 구성한다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한 턴은 </t>
    </r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15</t>
    </r>
    <r>
      <rPr>
        <sz val="10"/>
        <rFont val="WenQuanYi Zen Hei"/>
        <family val="2"/>
      </rPr>
      <t xml:space="preserve">단어 이내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연설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조항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기사 낭독은 긴 턴 </t>
    </r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개로 세되 화당 </t>
    </r>
    <r>
      <rPr>
        <sz val="10"/>
        <rFont val="Noto Sans CJK SC"/>
        <family val="2"/>
        <charset val="1"/>
      </rPr>
      <t xml:space="preserve">3</t>
    </r>
    <r>
      <rPr>
        <sz val="10"/>
        <rFont val="WenQuanYi Zen Hei"/>
        <family val="2"/>
      </rPr>
      <t xml:space="preserve">개까지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화 유형별 도입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장면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절정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마무리 배분과 화자 점유율은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턴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설계</t>
    </r>
    <r>
      <rPr>
        <sz val="10"/>
        <rFont val="Noto Sans CJK SC"/>
        <family val="2"/>
        <charset val="1"/>
      </rPr>
      <t xml:space="preserve">' </t>
    </r>
    <r>
      <rPr>
        <sz val="10"/>
        <rFont val="WenQuanYi Zen Hei"/>
        <family val="2"/>
      </rPr>
      <t xml:space="preserve">시트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</si>
  <si>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120</t>
    </r>
    <r>
      <rPr>
        <sz val="10"/>
        <rFont val="WenQuanYi Zen Hei"/>
        <family val="2"/>
      </rPr>
      <t xml:space="preserve">턴 중 장면 전환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장소 안내 </t>
    </r>
    <r>
      <rPr>
        <sz val="10"/>
        <rFont val="Arial"/>
        <family val="0"/>
        <charset val="1"/>
      </rPr>
      <t xml:space="preserve">5~10</t>
    </r>
    <r>
      <rPr>
        <sz val="10"/>
        <rFont val="WenQuanYi Zen Hei"/>
        <family val="2"/>
      </rPr>
      <t xml:space="preserve">턴</t>
    </r>
    <r>
      <rPr>
        <sz val="10"/>
        <rFont val="Arial"/>
        <family val="0"/>
        <charset val="1"/>
      </rPr>
      <t xml:space="preserve">, Sofia </t>
    </r>
    <r>
      <rPr>
        <sz val="10"/>
        <rFont val="WenQuanYi Zen Hei"/>
        <family val="2"/>
      </rPr>
      <t xml:space="preserve">질문→재설명 </t>
    </r>
    <r>
      <rPr>
        <sz val="10"/>
        <rFont val="Arial"/>
        <family val="0"/>
        <charset val="1"/>
      </rPr>
      <t xml:space="preserve">6~12</t>
    </r>
    <r>
      <rPr>
        <sz val="10"/>
        <rFont val="WenQuanYi Zen Hei"/>
        <family val="2"/>
      </rPr>
      <t xml:space="preserve">턴</t>
    </r>
  </si>
  <si>
    <r>
      <rPr>
        <sz val="10"/>
        <rFont val="WenQuanYi Zen Hei"/>
        <family val="2"/>
      </rPr>
      <t xml:space="preserve">화자 식별 장치이자 반복 학습 문장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한 화에 화자당 </t>
    </r>
    <r>
      <rPr>
        <sz val="10"/>
        <rFont val="Noto Sans CJK SC"/>
        <family val="2"/>
        <charset val="1"/>
      </rPr>
      <t xml:space="preserve">1~2</t>
    </r>
    <r>
      <rPr>
        <sz val="10"/>
        <rFont val="WenQuanYi Zen Hei"/>
        <family val="2"/>
      </rPr>
      <t xml:space="preserve">회까지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</si>
  <si>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Sofia</t>
    </r>
    <r>
      <rPr>
        <sz val="10"/>
        <rFont val="WenQuanYi Zen Hei"/>
        <family val="2"/>
      </rPr>
      <t xml:space="preserve">의 질문 장치</t>
    </r>
  </si>
  <si>
    <r>
      <rPr>
        <sz val="10"/>
        <rFont val="WenQuanYi Zen Hei"/>
        <family val="2"/>
      </rPr>
      <t xml:space="preserve">어려운 용어 뒤에는 </t>
    </r>
    <r>
      <rPr>
        <sz val="10"/>
        <rFont val="Noto Sans CJK SC"/>
        <family val="2"/>
        <charset val="1"/>
      </rPr>
      <t xml:space="preserve">Sofia</t>
    </r>
    <r>
      <rPr>
        <sz val="10"/>
        <rFont val="WenQuanYi Zen Hei"/>
        <family val="2"/>
      </rPr>
      <t xml:space="preserve">의 질문 → 쉬운 재설명이 온다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전문 표현 → 쉬운 표현 짝</t>
    </r>
    <r>
      <rPr>
        <sz val="10"/>
        <rFont val="Noto Sans CJK SC"/>
        <family val="2"/>
        <charset val="1"/>
      </rPr>
      <t xml:space="preserve">).</t>
    </r>
  </si>
  <si>
    <t xml:space="preserve">SOFIA: Scusi, cosa significa?</t>
  </si>
  <si>
    <r>
      <rPr>
        <sz val="10"/>
        <rFont val="Arial"/>
        <family val="0"/>
        <charset val="1"/>
      </rPr>
      <t xml:space="preserve">Gramsci</t>
    </r>
    <r>
      <rPr>
        <sz val="10"/>
        <rFont val="WenQuanYi Zen Hei"/>
        <family val="2"/>
      </rPr>
      <t xml:space="preserve">의 카드</t>
    </r>
  </si>
  <si>
    <r>
      <rPr>
        <sz val="10"/>
        <rFont val="WenQuanYi Zen Hei"/>
        <family val="2"/>
      </rPr>
      <t xml:space="preserve">카드는 구술로 처리한다 </t>
    </r>
    <r>
      <rPr>
        <sz val="10"/>
        <rFont val="Noto Sans CJK SC"/>
        <family val="2"/>
        <charset val="1"/>
      </rPr>
      <t xml:space="preserve">(Gramsci_</t>
    </r>
    <r>
      <rPr>
        <sz val="10"/>
        <rFont val="WenQuanYi Zen Hei"/>
        <family val="2"/>
      </rPr>
      <t xml:space="preserve">출처 시트 템플릿</t>
    </r>
    <r>
      <rPr>
        <sz val="10"/>
        <rFont val="Noto Sans CJK SC"/>
        <family val="2"/>
        <charset val="1"/>
      </rPr>
      <t xml:space="preserve">).</t>
    </r>
  </si>
  <si>
    <t xml:space="preserve">GRAMSCI: Annota. Cerca: …</t>
  </si>
  <si>
    <t xml:space="preserve">욕설 수위</t>
  </si>
  <si>
    <r>
      <rPr>
        <sz val="10"/>
        <rFont val="Arial"/>
        <family val="0"/>
        <charset val="1"/>
      </rPr>
      <t xml:space="preserve">cazzo, vaffanculo </t>
    </r>
    <r>
      <rPr>
        <sz val="10"/>
        <rFont val="WenQuanYi Zen Hei"/>
        <family val="2"/>
      </rPr>
      <t xml:space="preserve">등은 교재 제외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순한 표현만 </t>
    </r>
    <r>
      <rPr>
        <sz val="10"/>
        <rFont val="Arial"/>
        <family val="0"/>
        <charset val="1"/>
      </rPr>
      <t xml:space="preserve">(Sofia_</t>
    </r>
    <r>
      <rPr>
        <sz val="10"/>
        <rFont val="WenQuanYi Zen Hei"/>
        <family val="2"/>
      </rPr>
      <t xml:space="preserve">폭발과욕 시트</t>
    </r>
    <r>
      <rPr>
        <sz val="10"/>
        <rFont val="Arial"/>
        <family val="0"/>
        <charset val="1"/>
      </rPr>
      <t xml:space="preserve">).</t>
    </r>
  </si>
  <si>
    <t xml:space="preserve">호칭 전환</t>
  </si>
  <si>
    <r>
      <rPr>
        <sz val="10"/>
        <rFont val="Arial"/>
        <family val="0"/>
        <charset val="1"/>
      </rPr>
      <t xml:space="preserve">tu/Lei </t>
    </r>
    <r>
      <rPr>
        <sz val="10"/>
        <rFont val="WenQuanYi Zen Hei"/>
        <family val="2"/>
      </rPr>
      <t xml:space="preserve">전환은 대사로 명시한다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호칭규칙 시트</t>
    </r>
    <r>
      <rPr>
        <sz val="10"/>
        <rFont val="Arial"/>
        <family val="0"/>
        <charset val="1"/>
      </rPr>
      <t xml:space="preserve">).</t>
    </r>
  </si>
  <si>
    <t xml:space="preserve">CESARE: Puoi darmi del tu.</t>
  </si>
  <si>
    <t xml:space="preserve">가상 정치 세계</t>
  </si>
  <si>
    <r>
      <rPr>
        <sz val="10"/>
        <rFont val="WenQuanYi Zen Hei"/>
        <family val="2"/>
      </rPr>
      <t xml:space="preserve">정당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정치인은 전부 가상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실존 정치인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정당명을 쓰지 않고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대통령은 직접 대사를 주지 않는다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절차 결과는 양원 의장 대사나 공식 발표문으로</t>
    </r>
    <r>
      <rPr>
        <sz val="10"/>
        <rFont val="Noto Sans CJK SC"/>
        <family val="2"/>
        <charset val="1"/>
      </rPr>
      <t xml:space="preserve">).</t>
    </r>
  </si>
  <si>
    <t xml:space="preserve">PRESIDENTE DEL SENATO: Favorevoli: centodue. Contrari: centouno.</t>
  </si>
  <si>
    <t xml:space="preserve">현안을 다루는 법</t>
  </si>
  <si>
    <r>
      <rPr>
        <sz val="10"/>
        <rFont val="WenQuanYi Zen Hei"/>
        <family val="2"/>
      </rPr>
      <t xml:space="preserve">시사 현안은 가상 설정으로 각색하고 실존 인물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참사 희생자를 특정하지 않는다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찬반 양측이 각자의 가장 강한 논거를 말하게 하고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결론은 화 안에서 제도의 결과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표결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판결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협약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로만 닫는다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수치는 </t>
    </r>
    <r>
      <rPr>
        <sz val="10"/>
        <rFont val="Noto Sans CJK SC"/>
        <family val="2"/>
        <charset val="1"/>
      </rPr>
      <t xml:space="preserve">Gramsci</t>
    </r>
    <r>
      <rPr>
        <sz val="10"/>
        <rFont val="WenQuanYi Zen Hei"/>
        <family val="2"/>
      </rPr>
      <t xml:space="preserve">의 카드로 출처를 안내한다</t>
    </r>
    <r>
      <rPr>
        <sz val="10"/>
        <rFont val="Noto Sans CJK SC"/>
        <family val="2"/>
        <charset val="1"/>
      </rPr>
      <t xml:space="preserve">.</t>
    </r>
  </si>
  <si>
    <t xml:space="preserve">SOFIA: Scusi, cosa sono gli «affitti brevi»? / ALESSANDRO: Case affittate ai turisti per pochi giorni.</t>
  </si>
  <si>
    <t xml:space="preserve">화자 표기</t>
  </si>
  <si>
    <r>
      <rPr>
        <sz val="10"/>
        <rFont val="WenQuanYi Zen Hei"/>
        <family val="2"/>
      </rPr>
      <t xml:space="preserve">화자명은 대문자 </t>
    </r>
    <r>
      <rPr>
        <sz val="10"/>
        <rFont val="Noto Sans CJK SC"/>
        <family val="2"/>
        <charset val="1"/>
      </rPr>
      <t xml:space="preserve">+ </t>
    </r>
    <r>
      <rPr>
        <sz val="10"/>
        <rFont val="WenQuanYi Zen Hei"/>
        <family val="2"/>
      </rPr>
      <t xml:space="preserve">콜론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이탈리아어 본문과 한국어 번역은 열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또는 파일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을 분리해 낭독 시 번역이 섞이지 않게 한다</t>
    </r>
    <r>
      <rPr>
        <sz val="10"/>
        <rFont val="Noto Sans CJK SC"/>
        <family val="2"/>
        <charset val="1"/>
      </rPr>
      <t xml:space="preserve">.</t>
    </r>
  </si>
  <si>
    <t xml:space="preserve">SOFIA: BASTA!</t>
  </si>
  <si>
    <t xml:space="preserve">고전 인용</t>
  </si>
  <si>
    <r>
      <rPr>
        <sz val="10"/>
        <rFont val="WenQuanYi Zen Hei"/>
        <family val="2"/>
      </rPr>
      <t xml:space="preserve">인물마다 다른 이탈리아 고전 출처를 맡겨 화마다 </t>
    </r>
    <r>
      <rPr>
        <sz val="10"/>
        <rFont val="Noto Sans CJK SC"/>
        <family val="2"/>
        <charset val="1"/>
      </rPr>
      <t xml:space="preserve">1~2</t>
    </r>
    <r>
      <rPr>
        <sz val="10"/>
        <rFont val="WenQuanYi Zen Hei"/>
        <family val="2"/>
      </rPr>
      <t xml:space="preserve">명이 짧게 인용한다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부활한 인물은 주로 자기 자신의 글을 인용한다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자기 인용 개그</t>
    </r>
    <r>
      <rPr>
        <sz val="10"/>
        <rFont val="Noto Sans CJK SC"/>
        <family val="2"/>
        <charset val="1"/>
      </rPr>
      <t xml:space="preserve">). </t>
    </r>
    <r>
      <rPr>
        <sz val="10"/>
        <rFont val="WenQuanYi Zen Hei"/>
        <family val="2"/>
      </rPr>
      <t xml:space="preserve">전부 저작권 만료 공유 저작물만 쓰고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원문을 정확히 인용한다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배정표는 아래 </t>
    </r>
    <r>
      <rPr>
        <sz val="10"/>
        <rFont val="Noto Sans CJK SC"/>
        <family val="2"/>
        <charset val="1"/>
      </rPr>
      <t xml:space="preserve">3</t>
    </r>
    <r>
      <rPr>
        <sz val="10"/>
        <rFont val="WenQuanYi Zen Hei"/>
        <family val="2"/>
      </rPr>
      <t xml:space="preserve">번</t>
    </r>
    <r>
      <rPr>
        <sz val="10"/>
        <rFont val="Noto Sans CJK SC"/>
        <family val="2"/>
        <charset val="1"/>
      </rPr>
      <t xml:space="preserve">).</t>
    </r>
  </si>
  <si>
    <t xml:space="preserve">DANTE: Fatti non foste a viver come bruti, ma per seguir virtute e canoscenza.</t>
  </si>
  <si>
    <r>
      <rPr>
        <b val="true"/>
        <sz val="10"/>
        <rFont val="Arial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지문 → 대사 대체표</t>
    </r>
  </si>
  <si>
    <t xml:space="preserve">기존 지문</t>
  </si>
  <si>
    <r>
      <rPr>
        <b val="true"/>
        <sz val="10"/>
        <color rgb="FFFFFFFF"/>
        <rFont val="WenQuanYi Zen Hei"/>
        <family val="2"/>
      </rPr>
      <t xml:space="preserve">대사 처리 </t>
    </r>
    <r>
      <rPr>
        <b val="true"/>
        <sz val="10"/>
        <color rgb="FFFFFFFF"/>
        <rFont val="Arial"/>
        <family val="0"/>
        <charset val="1"/>
      </rPr>
      <t xml:space="preserve">(IT)</t>
    </r>
  </si>
  <si>
    <t xml:space="preserve">담당 화자</t>
  </si>
  <si>
    <r>
      <rPr>
        <sz val="10"/>
        <rFont val="Noto Sans CJK SC"/>
        <family val="2"/>
        <charset val="1"/>
      </rPr>
      <t xml:space="preserve">(Silenzio.) </t>
    </r>
    <r>
      <rPr>
        <sz val="10"/>
        <rFont val="WenQuanYi Zen Hei"/>
        <family val="2"/>
      </rPr>
      <t xml:space="preserve">폭발 직후 정적</t>
    </r>
  </si>
  <si>
    <r>
      <rPr>
        <sz val="10"/>
        <rFont val="Arial"/>
        <family val="0"/>
        <charset val="1"/>
      </rPr>
      <t xml:space="preserve">«Uh.» — </t>
    </r>
    <r>
      <rPr>
        <sz val="10"/>
        <rFont val="WenQuanYi Zen Hei"/>
        <family val="2"/>
      </rPr>
      <t xml:space="preserve">정적 대신 짧은 감탄으로 멈춤을 표현</t>
    </r>
  </si>
  <si>
    <r>
      <rPr>
        <sz val="10"/>
        <rFont val="Noto Sans CJK SC"/>
        <family val="2"/>
        <charset val="1"/>
      </rPr>
      <t xml:space="preserve">(Posa il piatto.) </t>
    </r>
    <r>
      <rPr>
        <sz val="10"/>
        <rFont val="WenQuanYi Zen Hei"/>
        <family val="2"/>
      </rPr>
      <t xml:space="preserve">행동</t>
    </r>
  </si>
  <si>
    <t xml:space="preserve">«Poso 'sto piatto prima che voli.»</t>
  </si>
  <si>
    <t xml:space="preserve">장소 도입</t>
  </si>
  <si>
    <t xml:space="preserve">«Sono le cinque. Riunione al mio tavolo.»</t>
  </si>
  <si>
    <r>
      <rPr>
        <sz val="10"/>
        <rFont val="WenQuanYi Zen Hei"/>
        <family val="2"/>
      </rPr>
      <t xml:space="preserve">보고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상황 정리</t>
    </r>
  </si>
  <si>
    <r>
      <rPr>
        <sz val="10"/>
        <rFont val="Arial"/>
        <family val="0"/>
        <charset val="1"/>
      </rPr>
      <t xml:space="preserve">«Nulla da segnalare.» / «C'è da segnalare.»(12</t>
    </r>
    <r>
      <rPr>
        <sz val="10"/>
        <rFont val="WenQuanYi Zen Hei"/>
        <family val="2"/>
      </rPr>
      <t xml:space="preserve">부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</si>
  <si>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t xml:space="preserve">서류를 건넴</t>
  </si>
  <si>
    <t xml:space="preserve">«Terzo ripiano, a sinistra.»</t>
  </si>
  <si>
    <t xml:space="preserve">숫자 제시</t>
  </si>
  <si>
    <t xml:space="preserve">«Tre milioni duecentomila, in quattordici bonifici.»</t>
  </si>
  <si>
    <t xml:space="preserve">감정 드러내기</t>
  </si>
  <si>
    <t xml:space="preserve">«Allora ti senti arrabbiata. È così?»</t>
  </si>
  <si>
    <t xml:space="preserve">시간 경과</t>
  </si>
  <si>
    <t xml:space="preserve">«Sono passati tre mesi dallo sfratto, vero?»</t>
  </si>
  <si>
    <r>
      <rPr>
        <sz val="10"/>
        <rFont val="Noto Sans CJK SC"/>
        <family val="2"/>
        <charset val="1"/>
      </rPr>
      <t xml:space="preserve">Galileo (</t>
    </r>
    <r>
      <rPr>
        <sz val="10"/>
        <rFont val="WenQuanYi Zen Hei"/>
        <family val="2"/>
      </rPr>
      <t xml:space="preserve">질문 형태</t>
    </r>
    <r>
      <rPr>
        <sz val="10"/>
        <rFont val="Noto Sans CJK SC"/>
        <family val="2"/>
        <charset val="1"/>
      </rPr>
      <t xml:space="preserve">)</t>
    </r>
  </si>
  <si>
    <t xml:space="preserve">신문 기사 삽입</t>
  </si>
  <si>
    <r>
      <rPr>
        <sz val="10"/>
        <rFont val="Arial"/>
        <family val="0"/>
        <charset val="1"/>
      </rPr>
      <t xml:space="preserve">Galileo</t>
    </r>
    <r>
      <rPr>
        <sz val="10"/>
        <rFont val="WenQuanYi Zen Hei"/>
        <family val="2"/>
      </rPr>
      <t xml:space="preserve">가 뉴스레터 </t>
    </r>
    <r>
      <rPr>
        <sz val="10"/>
        <rFont val="Arial"/>
        <family val="0"/>
        <charset val="1"/>
      </rPr>
      <t xml:space="preserve">«Nuncius» </t>
    </r>
    <r>
      <rPr>
        <sz val="10"/>
        <rFont val="WenQuanYi Zen Hei"/>
        <family val="2"/>
      </rPr>
      <t xml:space="preserve">첫 문단을 소리 내어 읽는다</t>
    </r>
  </si>
  <si>
    <t xml:space="preserve">연설문 초고 삽입</t>
  </si>
  <si>
    <r>
      <rPr>
        <sz val="10"/>
        <rFont val="Arial"/>
        <family val="0"/>
        <charset val="1"/>
      </rPr>
      <t xml:space="preserve">Dante</t>
    </r>
    <r>
      <rPr>
        <sz val="10"/>
        <rFont val="WenQuanYi Zen Hei"/>
        <family val="2"/>
      </rPr>
      <t xml:space="preserve">가 초고를 읽고 </t>
    </r>
    <r>
      <rPr>
        <sz val="10"/>
        <rFont val="Arial"/>
        <family val="0"/>
        <charset val="1"/>
      </rPr>
      <t xml:space="preserve">Marco</t>
    </r>
    <r>
      <rPr>
        <sz val="10"/>
        <rFont val="WenQuanYi Zen Hei"/>
        <family val="2"/>
      </rPr>
      <t xml:space="preserve">가 고친다</t>
    </r>
  </si>
  <si>
    <t xml:space="preserve">Dante, Marco</t>
  </si>
  <si>
    <r>
      <rPr>
        <sz val="10"/>
        <rFont val="WenQuanYi Zen Hei"/>
        <family val="2"/>
      </rPr>
      <t xml:space="preserve">투표 결과 전광판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자막</t>
    </r>
  </si>
  <si>
    <r>
      <rPr>
        <sz val="10"/>
        <rFont val="WenQuanYi Zen Hei"/>
        <family val="2"/>
      </rPr>
      <t xml:space="preserve">양원 의장이 표결 결과를 낭독한다</t>
    </r>
    <r>
      <rPr>
        <sz val="10"/>
        <rFont val="Arial"/>
        <family val="0"/>
        <charset val="1"/>
      </rPr>
      <t xml:space="preserve">: «Presenti: quattrocento. Votanti… Favorevoli…»</t>
    </r>
  </si>
  <si>
    <t xml:space="preserve">PRESIDENTE DELLA CAMERA / DEL SENATO</t>
  </si>
  <si>
    <r>
      <rPr>
        <sz val="10"/>
        <rFont val="WenQuanYi Zen Hei"/>
        <family val="2"/>
      </rPr>
      <t xml:space="preserve">대통령 협의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선서</t>
    </r>
  </si>
  <si>
    <r>
      <rPr>
        <sz val="10"/>
        <rFont val="WenQuanYi Zen Hei"/>
        <family val="2"/>
      </rPr>
      <t xml:space="preserve">대통령은 대사 없이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협의 결과는 공식 발표문으로 전달하고 </t>
    </r>
    <r>
      <rPr>
        <sz val="10"/>
        <rFont val="Arial"/>
        <family val="0"/>
        <charset val="1"/>
      </rPr>
      <t xml:space="preserve">Marco</t>
    </r>
    <r>
      <rPr>
        <sz val="10"/>
        <rFont val="WenQuanYi Zen Hei"/>
        <family val="2"/>
      </rPr>
      <t xml:space="preserve">가 선서 문구</t>
    </r>
    <r>
      <rPr>
        <sz val="10"/>
        <rFont val="Arial"/>
        <family val="0"/>
        <charset val="1"/>
      </rPr>
      <t xml:space="preserve">(«Giuro di essere fedele alla Repubblica…»)</t>
    </r>
    <r>
      <rPr>
        <sz val="10"/>
        <rFont val="WenQuanYi Zen Hei"/>
        <family val="2"/>
      </rPr>
      <t xml:space="preserve">를 말한다</t>
    </r>
  </si>
  <si>
    <r>
      <rPr>
        <sz val="10"/>
        <rFont val="WenQuanYi Zen Hei"/>
        <family val="2"/>
      </rPr>
      <t xml:space="preserve">발표문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가상</t>
    </r>
    <r>
      <rPr>
        <sz val="10"/>
        <rFont val="Noto Sans CJK SC"/>
        <family val="2"/>
        <charset val="1"/>
      </rPr>
      <t xml:space="preserve">), Marco</t>
    </r>
  </si>
  <si>
    <r>
      <rPr>
        <b val="true"/>
        <sz val="10"/>
        <rFont val="Arial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고전 인용 배정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화마다 </t>
    </r>
    <r>
      <rPr>
        <b val="true"/>
        <sz val="10"/>
        <rFont val="Arial"/>
        <family val="0"/>
        <charset val="1"/>
      </rPr>
      <t xml:space="preserve">1~2</t>
    </r>
    <r>
      <rPr>
        <b val="true"/>
        <sz val="10"/>
        <rFont val="WenQuanYi Zen Hei"/>
        <family val="2"/>
      </rPr>
      <t xml:space="preserve">명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</si>
  <si>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인물마다 다른 출처를 맡겨 반복되지 않게 하고</t>
    </r>
    <r>
      <rPr>
        <sz val="10"/>
        <rFont val="Noto Sans CJK SC"/>
        <family val="2"/>
        <charset val="1"/>
      </rPr>
      <t xml:space="preserve">, Rosa</t>
    </r>
    <r>
      <rPr>
        <sz val="10"/>
        <rFont val="WenQuanYi Zen Hei"/>
        <family val="2"/>
      </rPr>
      <t xml:space="preserve">가 거의 전 화에 등장하므로 로테이션 캐스트인 </t>
    </r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부에서도 대부분의 화가 커버된다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전부 저작권 만료 공유 저작물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단테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마키아벨리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갈릴레이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베카리아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만초니 등은 수백 년 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그람시는 </t>
    </r>
    <r>
      <rPr>
        <sz val="10"/>
        <rFont val="Noto Sans CJK SC"/>
        <family val="2"/>
        <charset val="1"/>
      </rPr>
      <t xml:space="preserve">1937</t>
    </r>
    <r>
      <rPr>
        <sz val="10"/>
        <rFont val="WenQuanYi Zen Hei"/>
        <family val="2"/>
      </rPr>
      <t xml:space="preserve">년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몬테소리는 </t>
    </r>
    <r>
      <rPr>
        <sz val="10"/>
        <rFont val="Noto Sans CJK SC"/>
        <family val="2"/>
        <charset val="1"/>
      </rPr>
      <t xml:space="preserve">1952</t>
    </r>
    <r>
      <rPr>
        <sz val="10"/>
        <rFont val="WenQuanYi Zen Hei"/>
        <family val="2"/>
      </rPr>
      <t xml:space="preserve">년 사망으로 사후 </t>
    </r>
    <r>
      <rPr>
        <sz val="10"/>
        <rFont val="Noto Sans CJK SC"/>
        <family val="2"/>
        <charset val="1"/>
      </rPr>
      <t xml:space="preserve">70</t>
    </r>
    <r>
      <rPr>
        <sz val="10"/>
        <rFont val="WenQuanYi Zen Hei"/>
        <family val="2"/>
      </rPr>
      <t xml:space="preserve">년 경과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과 헌법 조문만 쓰고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원문을 정확히 인용한다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출처가 불확실한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명언</t>
    </r>
    <r>
      <rPr>
        <sz val="10"/>
        <rFont val="Noto Sans CJK SC"/>
        <family val="2"/>
        <charset val="1"/>
      </rPr>
      <t xml:space="preserve">'(</t>
    </r>
    <r>
      <rPr>
        <sz val="10"/>
        <rFont val="WenQuanYi Zen Hei"/>
        <family val="2"/>
      </rPr>
      <t xml:space="preserve">예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가리발디의 </t>
    </r>
    <r>
      <rPr>
        <sz val="10"/>
        <rFont val="Noto Sans CJK SC"/>
        <family val="2"/>
        <charset val="1"/>
      </rPr>
      <t xml:space="preserve">«Qui si fa l'Italia o si muore»</t>
    </r>
    <r>
      <rPr>
        <sz val="10"/>
        <rFont val="WenQuanYi Zen Hei"/>
        <family val="2"/>
      </rPr>
      <t xml:space="preserve">는 전언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은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전해지는 말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임을 대사로 밝히거나 쓰지 않는다</t>
    </r>
    <r>
      <rPr>
        <sz val="10"/>
        <rFont val="Noto Sans CJK SC"/>
        <family val="2"/>
        <charset val="1"/>
      </rPr>
      <t xml:space="preserve">.</t>
    </r>
  </si>
  <si>
    <t xml:space="preserve">출처</t>
  </si>
  <si>
    <t xml:space="preserve">쓰는 방식</t>
  </si>
  <si>
    <r>
      <rPr>
        <b val="true"/>
        <sz val="10"/>
        <color rgb="FFFFFFFF"/>
        <rFont val="WenQuanYi Zen Hei"/>
        <family val="2"/>
      </rPr>
      <t xml:space="preserve">실제 인용 예시 </t>
    </r>
    <r>
      <rPr>
        <b val="true"/>
        <sz val="10"/>
        <color rgb="FFFFFFFF"/>
        <rFont val="Noto Sans CJK SC"/>
        <family val="2"/>
        <charset val="1"/>
      </rPr>
      <t xml:space="preserve">(IT·</t>
    </r>
    <r>
      <rPr>
        <b val="true"/>
        <sz val="10"/>
        <color rgb="FFFFFFFF"/>
        <rFont val="WenQuanYi Zen Hei"/>
        <family val="2"/>
      </rPr>
      <t xml:space="preserve">라틴어</t>
    </r>
    <r>
      <rPr>
        <b val="true"/>
        <sz val="10"/>
        <color rgb="FFFFFFFF"/>
        <rFont val="Noto Sans CJK SC"/>
        <family val="2"/>
        <charset val="1"/>
      </rPr>
      <t xml:space="preserve">)</t>
    </r>
  </si>
  <si>
    <t xml:space="preserve">등장 부</t>
  </si>
  <si>
    <r>
      <rPr>
        <sz val="10"/>
        <rFont val="WenQuanYi Zen Hei"/>
        <family val="2"/>
      </rPr>
      <t xml:space="preserve">로마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이탈리아 속담</t>
    </r>
    <r>
      <rPr>
        <sz val="10"/>
        <rFont val="Noto Sans CJK SC"/>
        <family val="2"/>
        <charset val="1"/>
      </rPr>
      <t xml:space="preserve">(proverbi)</t>
    </r>
  </si>
  <si>
    <r>
      <rPr>
        <sz val="10"/>
        <rFont val="WenQuanYi Zen Hei"/>
        <family val="2"/>
      </rPr>
      <t xml:space="preserve">인용이 아니라 그냥 말버릇처럼 자연스럽게 섞인다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따뜻하고 실용적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로마 사투리 버전도 가끔</t>
    </r>
    <r>
      <rPr>
        <sz val="10"/>
        <rFont val="Noto Sans CJK SC"/>
        <family val="2"/>
        <charset val="1"/>
      </rPr>
      <t xml:space="preserve">.</t>
    </r>
  </si>
  <si>
    <t xml:space="preserve">Roma non fu fatta in un giorno. / Chi va piano va sano e va lontano.</t>
  </si>
  <si>
    <t xml:space="preserve">거의 전 화</t>
  </si>
  <si>
    <r>
      <rPr>
        <sz val="10"/>
        <rFont val="WenQuanYi Zen Hei"/>
        <family val="2"/>
      </rPr>
      <t xml:space="preserve">자신의 『갈리아 전기』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수에토니우스가 전한 말</t>
    </r>
  </si>
  <si>
    <r>
      <rPr>
        <sz val="10"/>
        <rFont val="WenQuanYi Zen Hei"/>
        <family val="2"/>
      </rPr>
      <t xml:space="preserve">정중하게 비꼬는 코미디로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평소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죽음 앞에서는 무겁게</t>
    </r>
    <r>
      <rPr>
        <sz val="10"/>
        <rFont val="Noto Sans CJK SC"/>
        <family val="2"/>
        <charset val="1"/>
      </rPr>
      <t xml:space="preserve">(11</t>
    </r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). </t>
    </r>
    <r>
      <rPr>
        <sz val="10"/>
        <rFont val="WenQuanYi Zen Hei"/>
        <family val="2"/>
      </rPr>
      <t xml:space="preserve">자기 책을 인용하며 </t>
    </r>
    <r>
      <rPr>
        <sz val="10"/>
        <rFont val="Noto Sans CJK SC"/>
        <family val="2"/>
        <charset val="1"/>
      </rPr>
      <t xml:space="preserve">3</t>
    </r>
    <r>
      <rPr>
        <sz val="10"/>
        <rFont val="WenQuanYi Zen Hei"/>
        <family val="2"/>
      </rPr>
      <t xml:space="preserve">인칭으로 자랑한다</t>
    </r>
    <r>
      <rPr>
        <sz val="10"/>
        <rFont val="Noto Sans CJK SC"/>
        <family val="2"/>
        <charset val="1"/>
      </rPr>
      <t xml:space="preserve">.</t>
    </r>
  </si>
  <si>
    <t xml:space="preserve">Gallia est omnis divisa in partes tres. / Horum omnium fortissimi sunt Belgae. (De bello Gallico I, 1)</t>
  </si>
  <si>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, 11</t>
    </r>
    <r>
      <rPr>
        <sz val="10"/>
        <rFont val="WenQuanYi Zen Hei"/>
        <family val="2"/>
      </rPr>
      <t xml:space="preserve">부</t>
    </r>
  </si>
  <si>
    <r>
      <rPr>
        <sz val="10"/>
        <rFont val="WenQuanYi Zen Hei"/>
        <family val="2"/>
      </rPr>
      <t xml:space="preserve">자신의 글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『옥중수고』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『옥중서간』</t>
    </r>
    <r>
      <rPr>
        <sz val="10"/>
        <rFont val="Noto Sans CJK SC"/>
        <family val="2"/>
        <charset val="1"/>
      </rPr>
      <t xml:space="preserve">, 1917</t>
    </r>
    <r>
      <rPr>
        <sz val="10"/>
        <rFont val="WenQuanYi Zen Hei"/>
        <family val="2"/>
      </rPr>
      <t xml:space="preserve">년 기사 등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</si>
  <si>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WenQuanYi Zen Hei"/>
        <family val="2"/>
      </rPr>
      <t xml:space="preserve">감정으로 낭송하지 않고 서지 정보처럼 인용한다 — 「몇 번째 선반」식 습관과 같은 화법</t>
    </r>
    <r>
      <rPr>
        <sz val="10"/>
        <rFont val="Noto Sans CJK SC"/>
        <family val="2"/>
        <charset val="1"/>
      </rPr>
      <t xml:space="preserve">.</t>
    </r>
  </si>
  <si>
    <t xml:space="preserve">Odio gli indifferenti. (La città futura, 1917) / Istruitevi, perché avremo bisogno di tutta la vostra intelligenza. (L'Ordine Nuovo, 1919)</t>
  </si>
  <si>
    <r>
      <rPr>
        <sz val="10"/>
        <rFont val="Noto Sans CJK SC"/>
        <family val="2"/>
        <charset val="1"/>
      </rPr>
      <t xml:space="preserve">1·2·6·11·12·13</t>
    </r>
    <r>
      <rPr>
        <sz val="10"/>
        <rFont val="WenQuanYi Zen Hei"/>
        <family val="2"/>
      </rPr>
      <t xml:space="preserve">부</t>
    </r>
  </si>
  <si>
    <t xml:space="preserve">자신의 『신곡』</t>
  </si>
  <si>
    <r>
      <rPr>
        <sz val="10"/>
        <rFont val="WenQuanYi Zen Hei"/>
        <family val="2"/>
      </rPr>
      <t xml:space="preserve">자기 글이 부끄러운 척하며 결국 인용으로 도피한다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시적이고 머뭇거리는 톤</t>
    </r>
    <r>
      <rPr>
        <sz val="10"/>
        <rFont val="Noto Sans CJK SC"/>
        <family val="2"/>
        <charset val="1"/>
      </rPr>
      <t xml:space="preserve">.</t>
    </r>
  </si>
  <si>
    <t xml:space="preserve">Nel mezzo del cammin di nostra vita… (Inf. I) / Fatti non foste a viver come bruti, ma per seguir virtute e canoscenza. (Inf. XXVI)</t>
  </si>
  <si>
    <r>
      <rPr>
        <sz val="10"/>
        <rFont val="Noto Sans CJK SC"/>
        <family val="2"/>
        <charset val="1"/>
      </rPr>
      <t xml:space="preserve">6</t>
    </r>
    <r>
      <rPr>
        <sz val="10"/>
        <rFont val="WenQuanYi Zen Hei"/>
        <family val="2"/>
      </rPr>
      <t xml:space="preserve">부 이후</t>
    </r>
  </si>
  <si>
    <r>
      <rPr>
        <sz val="10"/>
        <rFont val="WenQuanYi Zen Hei"/>
        <family val="2"/>
      </rPr>
      <t xml:space="preserve">베카리아 『범죄와 형벌』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이탈리아 헌법</t>
    </r>
  </si>
  <si>
    <r>
      <rPr>
        <sz val="10"/>
        <rFont val="WenQuanYi Zen Hei"/>
        <family val="2"/>
      </rPr>
      <t xml:space="preserve">총리가 되어 가며 연설에 섞어 쓴다</t>
    </r>
    <r>
      <rPr>
        <sz val="10"/>
        <rFont val="Noto Sans CJK SC"/>
        <family val="2"/>
        <charset val="1"/>
      </rPr>
      <t xml:space="preserve">.</t>
    </r>
  </si>
  <si>
    <t xml:space="preserve">È meglio prevenire i delitti che punirgli. (Beccaria, cap. XLI) / Costituzione, art. 3: «Tutti i cittadini hanno pari dignità sociale…»</t>
  </si>
  <si>
    <r>
      <rPr>
        <sz val="10"/>
        <rFont val="Noto Sans CJK SC"/>
        <family val="2"/>
        <charset val="1"/>
      </rPr>
      <t xml:space="preserve">8~13</t>
    </r>
    <r>
      <rPr>
        <sz val="10"/>
        <rFont val="WenQuanYi Zen Hei"/>
        <family val="2"/>
      </rPr>
      <t xml:space="preserve">부</t>
    </r>
  </si>
  <si>
    <t xml:space="preserve">자신의 『군주론』</t>
  </si>
  <si>
    <r>
      <rPr>
        <sz val="10"/>
        <rFont val="WenQuanYi Zen Hei"/>
        <family val="2"/>
      </rPr>
      <t xml:space="preserve">현실 분석의 근거로 건조하게 인용하고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오독에 대해 투덜댄다</t>
    </r>
    <r>
      <rPr>
        <sz val="10"/>
        <rFont val="Noto Sans CJK SC"/>
        <family val="2"/>
        <charset val="1"/>
      </rPr>
      <t xml:space="preserve">.</t>
    </r>
  </si>
  <si>
    <t xml:space="preserve">…è molto più sicuro essere temuto che amato, quando si abbia a mancare dell'uno de' dua. (Il Principe, XVII)</t>
  </si>
  <si>
    <r>
      <rPr>
        <sz val="10"/>
        <rFont val="Noto Sans CJK SC"/>
        <family val="2"/>
        <charset val="1"/>
      </rPr>
      <t xml:space="preserve">7</t>
    </r>
    <r>
      <rPr>
        <sz val="10"/>
        <rFont val="WenQuanYi Zen Hei"/>
        <family val="2"/>
      </rPr>
      <t xml:space="preserve">부 이후</t>
    </r>
  </si>
  <si>
    <r>
      <rPr>
        <sz val="10"/>
        <rFont val="WenQuanYi Zen Hei"/>
        <family val="2"/>
      </rPr>
      <t xml:space="preserve">자신의 『시금석</t>
    </r>
    <r>
      <rPr>
        <sz val="10"/>
        <rFont val="Noto Sans CJK SC"/>
        <family val="2"/>
        <charset val="1"/>
      </rPr>
      <t xml:space="preserve">(Il Saggiatore)</t>
    </r>
    <r>
      <rPr>
        <sz val="10"/>
        <rFont val="WenQuanYi Zen Hei"/>
        <family val="2"/>
      </rPr>
      <t xml:space="preserve">』</t>
    </r>
  </si>
  <si>
    <r>
      <rPr>
        <sz val="10"/>
        <rFont val="WenQuanYi Zen Hei"/>
        <family val="2"/>
      </rPr>
      <t xml:space="preserve">관찰과 증거를 강조할 때 한 줄</t>
    </r>
    <r>
      <rPr>
        <sz val="10"/>
        <rFont val="Noto Sans CJK SC"/>
        <family val="2"/>
        <charset val="1"/>
      </rPr>
      <t xml:space="preserve">.</t>
    </r>
  </si>
  <si>
    <t xml:space="preserve">La filosofia è scritta in questo grandissimo libro che continuamente ci sta aperto innanzi a gli occhi (io dico l'universo)… (Il Saggiatore)</t>
  </si>
  <si>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부 이후</t>
    </r>
  </si>
  <si>
    <r>
      <rPr>
        <sz val="10"/>
        <rFont val="WenQuanYi Zen Hei"/>
        <family val="2"/>
      </rPr>
      <t xml:space="preserve">자신의 전보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회고록</t>
    </r>
  </si>
  <si>
    <r>
      <rPr>
        <sz val="10"/>
        <rFont val="WenQuanYi Zen Hei"/>
        <family val="2"/>
      </rPr>
      <t xml:space="preserve">짧고 군인답게</t>
    </r>
    <r>
      <rPr>
        <sz val="10"/>
        <rFont val="Noto Sans CJK SC"/>
        <family val="2"/>
        <charset val="1"/>
      </rPr>
      <t xml:space="preserve">. «Obbedisco»(1866</t>
    </r>
    <r>
      <rPr>
        <sz val="10"/>
        <rFont val="WenQuanYi Zen Hei"/>
        <family val="2"/>
      </rPr>
      <t xml:space="preserve">년 전보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는 명령에 따를 때의 개그로</t>
    </r>
    <r>
      <rPr>
        <sz val="10"/>
        <rFont val="Noto Sans CJK SC"/>
        <family val="2"/>
        <charset val="1"/>
      </rPr>
      <t xml:space="preserve">.</t>
    </r>
  </si>
  <si>
    <t xml:space="preserve">Obbedisco. (1866)</t>
  </si>
  <si>
    <r>
      <rPr>
        <b val="true"/>
        <sz val="14"/>
        <color rgb="FF1F3864"/>
        <rFont val="Arial"/>
        <family val="0"/>
        <charset val="1"/>
      </rPr>
      <t xml:space="preserve">1</t>
    </r>
    <r>
      <rPr>
        <b val="true"/>
        <sz val="14"/>
        <color rgb="FF1F3864"/>
        <rFont val="WenQuanYi Zen Hei"/>
        <family val="2"/>
      </rPr>
      <t xml:space="preserve">부 시범 장면 — </t>
    </r>
    <r>
      <rPr>
        <b val="true"/>
        <sz val="14"/>
        <color rgb="FF1F3864"/>
        <rFont val="Arial"/>
        <family val="0"/>
        <charset val="1"/>
      </rPr>
      <t xml:space="preserve">Sofia 1</t>
    </r>
    <r>
      <rPr>
        <b val="true"/>
        <sz val="14"/>
        <color rgb="FF1F3864"/>
        <rFont val="WenQuanYi Zen Hei"/>
        <family val="2"/>
      </rPr>
      <t xml:space="preserve">차 폭발 </t>
    </r>
    <r>
      <rPr>
        <b val="true"/>
        <sz val="14"/>
        <color rgb="FF1F3864"/>
        <rFont val="Arial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지문 없이 대사만</t>
    </r>
    <r>
      <rPr>
        <b val="true"/>
        <sz val="14"/>
        <color rgb="FF1F3864"/>
        <rFont val="Arial"/>
        <family val="0"/>
        <charset val="1"/>
      </rPr>
      <t xml:space="preserve">, B1, </t>
    </r>
    <r>
      <rPr>
        <b val="true"/>
        <sz val="14"/>
        <color rgb="FF1F3864"/>
        <rFont val="WenQuanYi Zen Hei"/>
        <family val="2"/>
      </rPr>
      <t xml:space="preserve">일반화된 예시</t>
    </r>
    <r>
      <rPr>
        <b val="true"/>
        <sz val="14"/>
        <color rgb="FF1F3864"/>
        <rFont val="Arial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</si>
  <si>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장소</t>
    </r>
    <r>
      <rPr>
        <i val="true"/>
        <sz val="9"/>
        <color rgb="FF595959"/>
        <rFont val="Noto Sans CJK SC"/>
        <family val="2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시간</t>
    </r>
    <r>
      <rPr>
        <i val="true"/>
        <sz val="9"/>
        <color rgb="FF595959"/>
        <rFont val="Noto Sans CJK SC"/>
        <family val="2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행동을 모두 대사로 처리한 샘플로</t>
    </r>
    <r>
      <rPr>
        <i val="true"/>
        <sz val="9"/>
        <color rgb="FF595959"/>
        <rFont val="Noto Sans CJK SC"/>
        <family val="2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한 화</t>
    </r>
    <r>
      <rPr>
        <i val="true"/>
        <sz val="9"/>
        <color rgb="FF595959"/>
        <rFont val="Noto Sans CJK SC"/>
        <family val="2"/>
        <charset val="1"/>
      </rPr>
      <t xml:space="preserve">(120</t>
    </r>
    <r>
      <rPr>
        <i val="true"/>
        <sz val="9"/>
        <color rgb="FF595959"/>
        <rFont val="WenQuanYi Zen Hei"/>
        <family val="2"/>
      </rPr>
      <t xml:space="preserve">턴</t>
    </r>
    <r>
      <rPr>
        <i val="true"/>
        <sz val="9"/>
        <color rgb="FF595959"/>
        <rFont val="Noto Sans CJK SC"/>
        <family val="2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중 폭발 장면 </t>
    </r>
    <r>
      <rPr>
        <i val="true"/>
        <sz val="9"/>
        <color rgb="FF595959"/>
        <rFont val="Noto Sans CJK SC"/>
        <family val="2"/>
        <charset val="1"/>
      </rPr>
      <t xml:space="preserve">22</t>
    </r>
    <r>
      <rPr>
        <i val="true"/>
        <sz val="9"/>
        <color rgb="FF595959"/>
        <rFont val="WenQuanYi Zen Hei"/>
        <family val="2"/>
      </rPr>
      <t xml:space="preserve">턴을 발췌했다</t>
    </r>
    <r>
      <rPr>
        <i val="true"/>
        <sz val="9"/>
        <color rgb="FF595959"/>
        <rFont val="Noto Sans CJK SC"/>
        <family val="2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단어 수는 수식으로 자동 계산되며 상한을 넘으면 </t>
    </r>
    <r>
      <rPr>
        <i val="true"/>
        <sz val="9"/>
        <color rgb="FF595959"/>
        <rFont val="Noto Sans CJK SC"/>
        <family val="2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초과</t>
    </r>
    <r>
      <rPr>
        <i val="true"/>
        <sz val="9"/>
        <color rgb="FF595959"/>
        <rFont val="Noto Sans CJK SC"/>
        <family val="2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로 표시됩니다</t>
    </r>
    <r>
      <rPr>
        <i val="true"/>
        <sz val="9"/>
        <color rgb="FF595959"/>
        <rFont val="Noto Sans CJK SC"/>
        <family val="2"/>
        <charset val="1"/>
      </rPr>
      <t xml:space="preserve">.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</si>
  <si>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부 대사 상한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단어</t>
    </r>
    <r>
      <rPr>
        <b val="true"/>
        <sz val="10"/>
        <rFont val="Arial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</si>
  <si>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← 노란 셀은 가정값 </t>
    </r>
    <r>
      <rPr>
        <i val="true"/>
        <sz val="9"/>
        <color rgb="FF595959"/>
        <rFont val="Noto Sans CJK SC"/>
        <family val="2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교재 규칙 초안</t>
    </r>
    <r>
      <rPr>
        <i val="true"/>
        <sz val="9"/>
        <color rgb="FF595959"/>
        <rFont val="Noto Sans CJK SC"/>
        <family val="2"/>
        <charset val="1"/>
      </rPr>
      <t xml:space="preserve">: 15</t>
    </r>
    <r>
      <rPr>
        <i val="true"/>
        <sz val="9"/>
        <color rgb="FF595959"/>
        <rFont val="WenQuanYi Zen Hei"/>
        <family val="2"/>
      </rPr>
      <t xml:space="preserve">단어 이내</t>
    </r>
    <r>
      <rPr>
        <i val="true"/>
        <sz val="9"/>
        <color rgb="FF595959"/>
        <rFont val="Noto Sans CJK SC"/>
        <family val="2"/>
        <charset val="1"/>
      </rPr>
      <t xml:space="preserve">)</t>
    </r>
  </si>
  <si>
    <t xml:space="preserve">총 대사 수</t>
  </si>
  <si>
    <t xml:space="preserve">상한 초과 대사 수</t>
  </si>
  <si>
    <r>
      <rPr>
        <b val="true"/>
        <sz val="10"/>
        <color rgb="FFFFFFFF"/>
        <rFont val="WenQuanYi Zen Hei"/>
        <family val="2"/>
      </rPr>
      <t xml:space="preserve">한국어 </t>
    </r>
    <r>
      <rPr>
        <b val="true"/>
        <sz val="10"/>
        <color rgb="FFFFFFFF"/>
        <rFont val="Noto Sans CJK SC"/>
        <family val="2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낭독 제외</t>
    </r>
    <r>
      <rPr>
        <b val="true"/>
        <sz val="10"/>
        <color rgb="FFFFFFFF"/>
        <rFont val="Noto Sans CJK SC"/>
        <family val="2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</si>
  <si>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기능</t>
    </r>
    <r>
      <rPr>
        <b val="true"/>
        <sz val="10"/>
        <color rgb="FFFFFFFF"/>
        <rFont val="Noto Sans CJK SC"/>
        <family val="2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학습 포인트</t>
    </r>
  </si>
  <si>
    <t xml:space="preserve">단어 수</t>
  </si>
  <si>
    <t xml:space="preserve">판정</t>
  </si>
  <si>
    <t xml:space="preserve">ROSA</t>
  </si>
  <si>
    <t xml:space="preserve">Sono le cinque. Comincia la riunione dello studio, qui sotto, al mio tavolo.</t>
  </si>
  <si>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시예요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사무소 회의 시작이야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여기 아래 내 테이블에서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</si>
  <si>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지문 대체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시간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장소를 </t>
    </r>
    <r>
      <rPr>
        <sz val="10"/>
        <rFont val="Noto Sans CJK SC"/>
        <family val="2"/>
        <charset val="1"/>
      </rPr>
      <t xml:space="preserve">Rosa</t>
    </r>
    <r>
      <rPr>
        <sz val="10"/>
        <rFont val="WenQuanYi Zen Hei"/>
        <family val="2"/>
      </rPr>
      <t xml:space="preserve">가 알림</t>
    </r>
  </si>
  <si>
    <t xml:space="preserve">CHIARA</t>
  </si>
  <si>
    <t xml:space="preserve">È semplice. Allineiamo gli stakeholder e scaliamo l'impatto.</t>
  </si>
  <si>
    <r>
      <rPr>
        <sz val="10"/>
        <rFont val="WenQuanYi Zen Hei"/>
        <family val="2"/>
      </rPr>
      <t xml:space="preserve">간단해요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이해관계자를 정렬하고 임팩트를 확장합니다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</si>
  <si>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경영 용어 제시 </t>
    </r>
    <r>
      <rPr>
        <sz val="10"/>
        <rFont val="Noto Sans CJK SC"/>
        <family val="2"/>
        <charset val="1"/>
      </rPr>
      <t xml:space="preserve">(allineare, scalare, impatto)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</si>
  <si>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단계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정중한 질문</t>
    </r>
  </si>
  <si>
    <t xml:space="preserve">Ottimizziamo il flusso di valore per massimizzare le sinergie.</t>
  </si>
  <si>
    <r>
      <rPr>
        <sz val="10"/>
        <rFont val="WenQuanYi Zen Hei"/>
        <family val="2"/>
      </rPr>
      <t xml:space="preserve">가치 흐름을 최적화해 시너지를 극대화합니다</t>
    </r>
    <r>
      <rPr>
        <sz val="10"/>
        <rFont val="Noto Sans CJK SC"/>
        <family val="2"/>
        <charset val="1"/>
      </rPr>
      <t xml:space="preserve">.</t>
    </r>
  </si>
  <si>
    <t xml:space="preserve">알맹이 없는 용어의 반복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</si>
  <si>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슬슬 짜증</t>
    </r>
  </si>
  <si>
    <t xml:space="preserve">Certo. Generiamo valore con un modello scalabile e allineato.</t>
  </si>
  <si>
    <r>
      <rPr>
        <sz val="10"/>
        <rFont val="WenQuanYi Zen Hei"/>
        <family val="2"/>
      </rPr>
      <t xml:space="preserve">물론이죠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확장 가능하고 정렬된 모델로 가치를 만듭니다</t>
    </r>
    <r>
      <rPr>
        <sz val="10"/>
        <rFont val="Noto Sans CJK SC"/>
        <family val="2"/>
        <charset val="1"/>
      </rPr>
      <t xml:space="preserve">.</t>
    </r>
  </si>
  <si>
    <t xml:space="preserve">동어반복 — 여전히 설명이 안 됨</t>
  </si>
  <si>
    <t xml:space="preserve">BASTA! Non capisco niente! È un'ora che dico sì come una scema.</t>
  </si>
  <si>
    <r>
      <rPr>
        <sz val="10"/>
        <rFont val="WenQuanYi Zen Hei"/>
        <family val="2"/>
      </rPr>
      <t xml:space="preserve">그만</t>
    </r>
    <r>
      <rPr>
        <sz val="10"/>
        <rFont val="Noto Sans CJK SC"/>
        <family val="2"/>
        <charset val="1"/>
      </rPr>
      <t xml:space="preserve">! </t>
    </r>
    <r>
      <rPr>
        <sz val="10"/>
        <rFont val="WenQuanYi Zen Hei"/>
        <family val="2"/>
      </rPr>
      <t xml:space="preserve">하나도 모르겠어요</t>
    </r>
    <r>
      <rPr>
        <sz val="10"/>
        <rFont val="Noto Sans CJK SC"/>
        <family val="2"/>
        <charset val="1"/>
      </rPr>
      <t xml:space="preserve">! </t>
    </r>
    <r>
      <rPr>
        <sz val="10"/>
        <rFont val="WenQuanYi Zen Hei"/>
        <family val="2"/>
      </rPr>
      <t xml:space="preserve">한 시간째 바보처럼 네네 하고 있었다고요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</si>
  <si>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단계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폭발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톤 급상승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</si>
  <si>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지문 대체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접시 내려놓는 행동을 대사로</t>
    </r>
  </si>
  <si>
    <t xml:space="preserve">GIULIA</t>
  </si>
  <si>
    <r>
      <rPr>
        <sz val="10"/>
        <rFont val="Arial"/>
        <family val="0"/>
        <charset val="1"/>
      </rPr>
      <t xml:space="preserve">Giulia</t>
    </r>
    <r>
      <rPr>
        <sz val="10"/>
        <rFont val="WenQuanYi Zen Hei"/>
        <family val="2"/>
      </rPr>
      <t xml:space="preserve">의 고정 반응</t>
    </r>
  </si>
  <si>
    <t xml:space="preserve">Non mi dica «respira»!</t>
  </si>
  <si>
    <r>
      <rPr>
        <sz val="10"/>
        <rFont val="Arial"/>
        <family val="0"/>
        <charset val="1"/>
      </rPr>
      <t xml:space="preserve">«</t>
    </r>
    <r>
      <rPr>
        <sz val="10"/>
        <rFont val="WenQuanYi Zen Hei"/>
        <family val="2"/>
      </rPr>
      <t xml:space="preserve">숨 쉬어요</t>
    </r>
    <r>
      <rPr>
        <sz val="10"/>
        <rFont val="Arial"/>
        <family val="0"/>
        <charset val="1"/>
      </rPr>
      <t xml:space="preserve">»</t>
    </r>
    <r>
      <rPr>
        <sz val="10"/>
        <rFont val="WenQuanYi Zen Hei"/>
        <family val="2"/>
      </rPr>
      <t xml:space="preserve">라고 하지 마세요</t>
    </r>
    <r>
      <rPr>
        <sz val="10"/>
        <rFont val="Arial"/>
        <family val="0"/>
        <charset val="1"/>
      </rPr>
      <t xml:space="preserve">!</t>
    </r>
  </si>
  <si>
    <r>
      <rPr>
        <sz val="10"/>
        <rFont val="Arial"/>
        <family val="0"/>
        <charset val="1"/>
      </rPr>
      <t xml:space="preserve">Lei </t>
    </r>
    <r>
      <rPr>
        <sz val="10"/>
        <rFont val="WenQuanYi Zen Hei"/>
        <family val="2"/>
      </rPr>
      <t xml:space="preserve">유지 </t>
    </r>
    <r>
      <rPr>
        <sz val="10"/>
        <rFont val="Arial"/>
        <family val="0"/>
        <charset val="1"/>
      </rPr>
      <t xml:space="preserve">(dica = </t>
    </r>
    <r>
      <rPr>
        <sz val="10"/>
        <rFont val="WenQuanYi Zen Hei"/>
        <family val="2"/>
      </rPr>
      <t xml:space="preserve">명령법 </t>
    </r>
    <r>
      <rPr>
        <sz val="10"/>
        <rFont val="Arial"/>
        <family val="0"/>
        <charset val="1"/>
      </rPr>
      <t xml:space="preserve">Lei</t>
    </r>
    <r>
      <rPr>
        <sz val="10"/>
        <rFont val="WenQuanYi Zen Hei"/>
        <family val="2"/>
      </rPr>
      <t xml:space="preserve">형</t>
    </r>
    <r>
      <rPr>
        <sz val="10"/>
        <rFont val="Arial"/>
        <family val="0"/>
        <charset val="1"/>
      </rPr>
      <t xml:space="preserve">)</t>
    </r>
  </si>
  <si>
    <t xml:space="preserve">GARIBALDI</t>
  </si>
  <si>
    <r>
      <rPr>
        <sz val="10"/>
        <rFont val="Arial"/>
        <family val="0"/>
        <charset val="1"/>
      </rPr>
      <t xml:space="preserve">Garibaldi</t>
    </r>
    <r>
      <rPr>
        <sz val="10"/>
        <rFont val="WenQuanYi Zen Hei"/>
        <family val="2"/>
      </rPr>
      <t xml:space="preserve">의 고정 반응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카메오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</si>
  <si>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Gramsci</t>
    </r>
    <r>
      <rPr>
        <sz val="10"/>
        <rFont val="WenQuanYi Zen Hei"/>
        <family val="2"/>
      </rPr>
      <t xml:space="preserve">의 고정 반응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카메오</t>
    </r>
    <r>
      <rPr>
        <sz val="10"/>
        <rFont val="Arial"/>
        <family val="0"/>
        <charset val="1"/>
      </rPr>
      <t xml:space="preserve">) — </t>
    </r>
    <r>
      <rPr>
        <sz val="10"/>
        <rFont val="WenQuanYi Zen Hei"/>
        <family val="2"/>
      </rPr>
      <t xml:space="preserve">침묵 대신 시그니처</t>
    </r>
  </si>
  <si>
    <t xml:space="preserve">CESARE</t>
  </si>
  <si>
    <t xml:space="preserve">Stolta. Nessuno ti chiede di fingere. Domanda.</t>
  </si>
  <si>
    <r>
      <rPr>
        <sz val="10"/>
        <rFont val="WenQuanYi Zen Hei"/>
        <family val="2"/>
      </rPr>
      <t xml:space="preserve">멍청하긴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아무도 네게 아는 척하라고 안 했어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물어봐</t>
    </r>
    <r>
      <rPr>
        <sz val="10"/>
        <rFont val="Noto Sans CJK SC"/>
        <family val="2"/>
        <charset val="1"/>
      </rPr>
      <t xml:space="preserve">.</t>
    </r>
  </si>
  <si>
    <t xml:space="preserve">욕 안에 담긴 가장 좋은 조언</t>
  </si>
  <si>
    <t xml:space="preserve">Lei non mi aiuta!</t>
  </si>
  <si>
    <r>
      <rPr>
        <sz val="10"/>
        <rFont val="WenQuanYi Zen Hei"/>
        <family val="2"/>
      </rPr>
      <t xml:space="preserve">당신은 도움이 안 돼요</t>
    </r>
    <r>
      <rPr>
        <sz val="10"/>
        <rFont val="Noto Sans CJK SC"/>
        <family val="2"/>
        <charset val="1"/>
      </rPr>
      <t xml:space="preserve">!</t>
    </r>
  </si>
  <si>
    <r>
      <rPr>
        <sz val="10"/>
        <rFont val="WenQuanYi Zen Hei"/>
        <family val="2"/>
      </rPr>
      <t xml:space="preserve">폭발 중에도 </t>
    </r>
    <r>
      <rPr>
        <sz val="10"/>
        <rFont val="Noto Sans CJK SC"/>
        <family val="2"/>
        <charset val="1"/>
      </rPr>
      <t xml:space="preserve">Cesare</t>
    </r>
    <r>
      <rPr>
        <sz val="10"/>
        <rFont val="WenQuanYi Zen Hei"/>
        <family val="2"/>
      </rPr>
      <t xml:space="preserve">에게는 </t>
    </r>
    <r>
      <rPr>
        <sz val="10"/>
        <rFont val="Noto Sans CJK SC"/>
        <family val="2"/>
        <charset val="1"/>
      </rPr>
      <t xml:space="preserve">Lei</t>
    </r>
  </si>
  <si>
    <t xml:space="preserve">Cesare ti aiuta più di quella delle slide.</t>
  </si>
  <si>
    <r>
      <rPr>
        <sz val="10"/>
        <rFont val="WenQuanYi Zen Hei"/>
        <family val="2"/>
      </rPr>
      <t xml:space="preserve">슬라이드 아가씨보다는 이 카이사르가 더 도와주지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</si>
  <si>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Chiara </t>
    </r>
    <r>
      <rPr>
        <sz val="10"/>
        <rFont val="WenQuanYi Zen Hei"/>
        <family val="2"/>
      </rPr>
      <t xml:space="preserve">놀리기 </t>
    </r>
    <r>
      <rPr>
        <sz val="10"/>
        <rFont val="Arial"/>
        <family val="0"/>
        <charset val="1"/>
      </rPr>
      <t xml:space="preserve">+ 3</t>
    </r>
    <r>
      <rPr>
        <sz val="10"/>
        <rFont val="WenQuanYi Zen Hei"/>
        <family val="2"/>
      </rPr>
      <t xml:space="preserve">인칭 자기 지칭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심술 패턴</t>
    </r>
    <r>
      <rPr>
        <sz val="10"/>
        <rFont val="Arial"/>
        <family val="0"/>
        <charset val="1"/>
      </rPr>
      <t xml:space="preserve">)</t>
    </r>
  </si>
  <si>
    <t xml:space="preserve">ALESSANDRO</t>
  </si>
  <si>
    <t xml:space="preserve">Traduco io. Vuol dire: licenziare gente per risparmiare.</t>
  </si>
  <si>
    <r>
      <rPr>
        <sz val="10"/>
        <rFont val="WenQuanYi Zen Hei"/>
        <family val="2"/>
      </rPr>
      <t xml:space="preserve">내가 번역하지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사람을 해고해서 돈을 아끼자는 뜻이야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</si>
  <si>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쉬운 말로 재설명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어휘 교습 장면</t>
    </r>
    <r>
      <rPr>
        <sz val="10"/>
        <rFont val="Noto Sans CJK SC"/>
        <family val="2"/>
        <charset val="1"/>
      </rPr>
      <t xml:space="preserve">)</t>
    </r>
  </si>
  <si>
    <t xml:space="preserve">Non è esattamente quello che ho detto.</t>
  </si>
  <si>
    <r>
      <rPr>
        <sz val="10"/>
        <rFont val="WenQuanYi Zen Hei"/>
        <family val="2"/>
      </rPr>
      <t xml:space="preserve">제가 말한 건 정확히 그게 아닌데요</t>
    </r>
    <r>
      <rPr>
        <sz val="10"/>
        <rFont val="Noto Sans CJK SC"/>
        <family val="2"/>
        <charset val="1"/>
      </rPr>
      <t xml:space="preserve">.</t>
    </r>
  </si>
  <si>
    <t xml:space="preserve">È esattamente quello che hai detto.</t>
  </si>
  <si>
    <r>
      <rPr>
        <sz val="10"/>
        <rFont val="WenQuanYi Zen Hei"/>
        <family val="2"/>
      </rPr>
      <t xml:space="preserve">정확히 네가 한 말이야</t>
    </r>
    <r>
      <rPr>
        <sz val="10"/>
        <rFont val="Noto Sans CJK SC"/>
        <family val="2"/>
        <charset val="1"/>
      </rPr>
      <t xml:space="preserve">.</t>
    </r>
  </si>
  <si>
    <t xml:space="preserve">짧은 반박 — 티키타카</t>
  </si>
  <si>
    <t xml:space="preserve">Davvero? Tutte quelle parole per dire questo?</t>
  </si>
  <si>
    <r>
      <rPr>
        <sz val="10"/>
        <rFont val="WenQuanYi Zen Hei"/>
        <family val="2"/>
      </rPr>
      <t xml:space="preserve">정말요</t>
    </r>
    <r>
      <rPr>
        <sz val="10"/>
        <rFont val="Noto Sans CJK SC"/>
        <family val="2"/>
        <charset val="1"/>
      </rPr>
      <t xml:space="preserve">? </t>
    </r>
    <r>
      <rPr>
        <sz val="10"/>
        <rFont val="WenQuanYi Zen Hei"/>
        <family val="2"/>
      </rPr>
      <t xml:space="preserve">겨우 그 말 하려고 그렇게 많은 단어를요</t>
    </r>
    <r>
      <rPr>
        <sz val="10"/>
        <rFont val="Noto Sans CJK SC"/>
        <family val="2"/>
        <charset val="1"/>
      </rPr>
      <t xml:space="preserve">?</t>
    </r>
  </si>
  <si>
    <r>
      <rPr>
        <sz val="10"/>
        <rFont val="Arial"/>
        <family val="0"/>
        <charset val="1"/>
      </rPr>
      <t xml:space="preserve">Sofia</t>
    </r>
    <r>
      <rPr>
        <sz val="10"/>
        <rFont val="WenQuanYi Zen Hei"/>
        <family val="2"/>
      </rPr>
      <t xml:space="preserve">가 옳았음이 드러남</t>
    </r>
  </si>
  <si>
    <t xml:space="preserve">Be'. A volte, sì.</t>
  </si>
  <si>
    <r>
      <rPr>
        <sz val="10"/>
        <rFont val="WenQuanYi Zen Hei"/>
        <family val="2"/>
      </rPr>
      <t xml:space="preserve">음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가끔은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그렇죠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</si>
  <si>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Chiara</t>
    </r>
    <r>
      <rPr>
        <sz val="10"/>
        <rFont val="WenQuanYi Zen Hei"/>
        <family val="2"/>
      </rPr>
      <t xml:space="preserve">의 성장 씨앗</t>
    </r>
  </si>
  <si>
    <t xml:space="preserve">Sedetevi, che vi porto qualcosa. A stomaco vuoto non si pensa bene.</t>
  </si>
  <si>
    <r>
      <rPr>
        <sz val="10"/>
        <rFont val="WenQuanYi Zen Hei"/>
        <family val="2"/>
      </rPr>
      <t xml:space="preserve">다들 앉아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뭐 좀 내줄게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배가 비면 생각이 안 돼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</si>
  <si>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Arial"/>
        <family val="0"/>
        <charset val="1"/>
      </rPr>
      <t xml:space="preserve">voi </t>
    </r>
    <r>
      <rPr>
        <sz val="10"/>
        <rFont val="WenQuanYi Zen Hei"/>
        <family val="2"/>
      </rPr>
      <t xml:space="preserve">명령형</t>
    </r>
    <r>
      <rPr>
        <sz val="10"/>
        <rFont val="Arial"/>
        <family val="0"/>
        <charset val="1"/>
      </rPr>
      <t xml:space="preserve">, Rosa</t>
    </r>
    <r>
      <rPr>
        <sz val="10"/>
        <rFont val="WenQuanYi Zen Hei"/>
        <family val="2"/>
      </rPr>
      <t xml:space="preserve">의 시그니처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</si>
  <si>
    <t xml:space="preserve">Va bene. Ma domani, senza parole strane, per favore.</t>
  </si>
  <si>
    <r>
      <rPr>
        <sz val="10"/>
        <rFont val="WenQuanYi Zen Hei"/>
        <family val="2"/>
      </rPr>
      <t xml:space="preserve">알았어요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그래도 내일은 이상한 말 없이 부탁해요</t>
    </r>
    <r>
      <rPr>
        <sz val="10"/>
        <rFont val="Noto Sans CJK SC"/>
        <family val="2"/>
        <charset val="1"/>
      </rPr>
      <t xml:space="preserve">.</t>
    </r>
  </si>
  <si>
    <t xml:space="preserve">변경 이력과 미결 사항</t>
  </si>
  <si>
    <r>
      <rPr>
        <b val="true"/>
        <sz val="10"/>
        <rFont val="Arial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변경 이력</t>
    </r>
  </si>
  <si>
    <t xml:space="preserve">이전</t>
  </si>
  <si>
    <t xml:space="preserve">이후</t>
  </si>
  <si>
    <t xml:space="preserve">반영 시트</t>
  </si>
  <si>
    <t xml:space="preserve">인원</t>
  </si>
  <si>
    <r>
      <rPr>
        <sz val="10"/>
        <rFont val="Noto Sans CJK SC"/>
        <family val="2"/>
        <charset val="1"/>
      </rPr>
      <t xml:space="preserve">13</t>
    </r>
    <r>
      <rPr>
        <sz val="10"/>
        <rFont val="WenQuanYi Zen Hei"/>
        <family val="2"/>
      </rPr>
      <t xml:space="preserve">인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내각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</si>
  <si>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Noto Sans CJK SC"/>
        <family val="2"/>
        <charset val="1"/>
      </rPr>
      <t xml:space="preserve">15</t>
    </r>
    <r>
      <rPr>
        <sz val="10"/>
        <rFont val="WenQuanYi Zen Hei"/>
        <family val="2"/>
      </rPr>
      <t xml:space="preserve">인 — 주력 </t>
    </r>
    <r>
      <rPr>
        <sz val="10"/>
        <rFont val="Noto Sans CJK SC"/>
        <family val="2"/>
        <charset val="1"/>
      </rPr>
      <t xml:space="preserve">4</t>
    </r>
    <r>
      <rPr>
        <sz val="10"/>
        <rFont val="WenQuanYi Zen Hei"/>
        <family val="2"/>
      </rPr>
      <t xml:space="preserve">인 </t>
    </r>
    <r>
      <rPr>
        <sz val="10"/>
        <rFont val="Noto Sans CJK SC"/>
        <family val="2"/>
        <charset val="1"/>
      </rPr>
      <t xml:space="preserve">+ </t>
    </r>
    <r>
      <rPr>
        <sz val="10"/>
        <rFont val="WenQuanYi Zen Hei"/>
        <family val="2"/>
      </rPr>
      <t xml:space="preserve">부활 </t>
    </r>
    <r>
      <rPr>
        <sz val="10"/>
        <rFont val="Noto Sans CJK SC"/>
        <family val="2"/>
        <charset val="1"/>
      </rPr>
      <t xml:space="preserve">7</t>
    </r>
    <r>
      <rPr>
        <sz val="10"/>
        <rFont val="WenQuanYi Zen Hei"/>
        <family val="2"/>
      </rPr>
      <t xml:space="preserve">인 </t>
    </r>
    <r>
      <rPr>
        <sz val="10"/>
        <rFont val="Noto Sans CJK SC"/>
        <family val="2"/>
        <charset val="1"/>
      </rPr>
      <t xml:space="preserve">+ </t>
    </r>
    <r>
      <rPr>
        <sz val="10"/>
        <rFont val="WenQuanYi Zen Hei"/>
        <family val="2"/>
      </rPr>
      <t xml:space="preserve">서민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청년 </t>
    </r>
    <r>
      <rPr>
        <sz val="10"/>
        <rFont val="Noto Sans CJK SC"/>
        <family val="2"/>
        <charset val="1"/>
      </rPr>
      <t xml:space="preserve">3</t>
    </r>
    <r>
      <rPr>
        <sz val="10"/>
        <rFont val="WenQuanYi Zen Hei"/>
        <family val="2"/>
      </rPr>
      <t xml:space="preserve">인 </t>
    </r>
    <r>
      <rPr>
        <sz val="10"/>
        <rFont val="Noto Sans CJK SC"/>
        <family val="2"/>
        <charset val="1"/>
      </rPr>
      <t xml:space="preserve">+ </t>
    </r>
    <r>
      <rPr>
        <sz val="10"/>
        <rFont val="WenQuanYi Zen Hei"/>
        <family val="2"/>
      </rPr>
      <t xml:space="preserve">금융 </t>
    </r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인</t>
    </r>
    <r>
      <rPr>
        <sz val="10"/>
        <rFont val="Noto Sans CJK SC"/>
        <family val="2"/>
        <charset val="1"/>
      </rPr>
      <t xml:space="preserve">. 15</t>
    </r>
    <r>
      <rPr>
        <sz val="10"/>
        <rFont val="WenQuanYi Zen Hei"/>
        <family val="2"/>
      </rPr>
      <t xml:space="preserve">인 모두가 장관은 아니므로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내각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보다 핵심 그룹</t>
    </r>
    <r>
      <rPr>
        <sz val="10"/>
        <rFont val="Noto Sans CJK SC"/>
        <family val="2"/>
        <charset val="1"/>
      </rPr>
      <t xml:space="preserve">(Il Cerchio di Testaccio) </t>
    </r>
    <r>
      <rPr>
        <sz val="10"/>
        <rFont val="WenQuanYi Zen Hei"/>
        <family val="2"/>
      </rPr>
      <t xml:space="preserve">개념 사용</t>
    </r>
  </si>
  <si>
    <r>
      <rPr>
        <sz val="10"/>
        <rFont val="WenQuanYi Zen Hei"/>
        <family val="2"/>
      </rPr>
      <t xml:space="preserve">개요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캐릭터</t>
    </r>
  </si>
  <si>
    <t xml:space="preserve">부활자 설정</t>
  </si>
  <si>
    <t xml:space="preserve">현대 인물만의 원로 그룹</t>
  </si>
  <si>
    <r>
      <rPr>
        <sz val="10"/>
        <rFont val="WenQuanYi Zen Hei"/>
        <family val="2"/>
      </rPr>
      <t xml:space="preserve">각자의 시대에 죽었다가 이유 없이 현재 로마에 되살아난 역사 인물 </t>
    </r>
    <r>
      <rPr>
        <sz val="10"/>
        <rFont val="Noto Sans CJK SC"/>
        <family val="2"/>
        <charset val="1"/>
      </rPr>
      <t xml:space="preserve">7</t>
    </r>
    <r>
      <rPr>
        <sz val="10"/>
        <rFont val="WenQuanYi Zen Hei"/>
        <family val="2"/>
      </rPr>
      <t xml:space="preserve">인</t>
    </r>
    <r>
      <rPr>
        <sz val="10"/>
        <rFont val="Noto Sans CJK SC"/>
        <family val="2"/>
        <charset val="1"/>
      </rPr>
      <t xml:space="preserve">(Cesare·Machiavelli·Garibaldi·Dante·Gramsci·Galileo·Montessori). </t>
    </r>
    <r>
      <rPr>
        <sz val="10"/>
        <rFont val="WenQuanYi Zen Hei"/>
        <family val="2"/>
      </rPr>
      <t xml:space="preserve">부활의 이유는 끝내 설명하지 않는다</t>
    </r>
  </si>
  <si>
    <t xml:space="preserve">가상 상호명</t>
  </si>
  <si>
    <r>
      <rPr>
        <sz val="10"/>
        <rFont val="WenQuanYi Zen Hei"/>
        <family val="2"/>
      </rPr>
      <t xml:space="preserve">실존 로펌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회계법인명</t>
    </r>
  </si>
  <si>
    <r>
      <rPr>
        <sz val="10"/>
        <rFont val="Noto Sans CJK SC"/>
        <family val="2"/>
        <charset val="1"/>
      </rPr>
      <t xml:space="preserve">Ferrari &amp; Colombo Studio Legale / Conti Revisori / Zenit Consulting (</t>
    </r>
    <r>
      <rPr>
        <sz val="10"/>
        <rFont val="WenQuanYi Zen Hei"/>
        <family val="2"/>
      </rPr>
      <t xml:space="preserve">가상</t>
    </r>
    <r>
      <rPr>
        <sz val="10"/>
        <rFont val="Noto Sans CJK SC"/>
        <family val="2"/>
        <charset val="1"/>
      </rPr>
      <t xml:space="preserve">)</t>
    </r>
  </si>
  <si>
    <t xml:space="preserve">기관 실명</t>
  </si>
  <si>
    <r>
      <rPr>
        <sz val="10"/>
        <rFont val="WenQuanYi Zen Hei"/>
        <family val="2"/>
      </rPr>
      <t xml:space="preserve">실존 은행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병원명</t>
    </r>
  </si>
  <si>
    <r>
      <rPr>
        <sz val="10"/>
        <rFont val="Noto Sans CJK SC"/>
        <family val="2"/>
        <charset val="1"/>
      </rPr>
      <t xml:space="preserve">Banca Adriatica(</t>
    </r>
    <r>
      <rPr>
        <sz val="10"/>
        <rFont val="WenQuanYi Zen Hei"/>
        <family val="2"/>
      </rPr>
      <t xml:space="preserve">가상</t>
    </r>
    <r>
      <rPr>
        <sz val="10"/>
        <rFont val="Noto Sans CJK SC"/>
        <family val="2"/>
        <charset val="1"/>
      </rPr>
      <t xml:space="preserve">), San Camillo </t>
    </r>
    <r>
      <rPr>
        <sz val="10"/>
        <rFont val="WenQuanYi Zen Hei"/>
        <family val="2"/>
      </rPr>
      <t xml:space="preserve">응급실은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가상 설정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으로 운영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인물 모두 허구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이야기 속에서 부패와 얽히기 때문</t>
    </r>
    <r>
      <rPr>
        <sz val="10"/>
        <rFont val="Noto Sans CJK SC"/>
        <family val="2"/>
        <charset val="1"/>
      </rPr>
      <t xml:space="preserve">)</t>
    </r>
  </si>
  <si>
    <t xml:space="preserve">우아한 원로</t>
  </si>
  <si>
    <r>
      <rPr>
        <sz val="10"/>
        <rFont val="WenQuanYi Zen Hei"/>
        <family val="2"/>
      </rPr>
      <t xml:space="preserve">가장 까칠한 심술 영감 </t>
    </r>
    <r>
      <rPr>
        <sz val="10"/>
        <rFont val="Noto Sans CJK SC"/>
        <family val="2"/>
        <charset val="1"/>
      </rPr>
      <t xml:space="preserve">+ </t>
    </r>
    <r>
      <rPr>
        <sz val="10"/>
        <rFont val="WenQuanYi Zen Hei"/>
        <family val="2"/>
      </rPr>
      <t xml:space="preserve">시한부 </t>
    </r>
    <r>
      <rPr>
        <sz val="10"/>
        <rFont val="Noto Sans CJK SC"/>
        <family val="2"/>
        <charset val="1"/>
      </rPr>
      <t xml:space="preserve">(11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12</t>
    </r>
    <r>
      <rPr>
        <sz val="10"/>
        <rFont val="WenQuanYi Zen Hei"/>
        <family val="2"/>
      </rPr>
      <t xml:space="preserve">화 두 번째 죽음</t>
    </r>
    <r>
      <rPr>
        <sz val="10"/>
        <rFont val="Noto Sans CJK SC"/>
        <family val="2"/>
        <charset val="1"/>
      </rPr>
      <t xml:space="preserve">). </t>
    </r>
    <r>
      <rPr>
        <sz val="10"/>
        <rFont val="WenQuanYi Zen Hei"/>
        <family val="2"/>
      </rPr>
      <t xml:space="preserve">가짜 병은 엄살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진짜 병은 만성 심부전</t>
    </r>
  </si>
  <si>
    <r>
      <rPr>
        <sz val="10"/>
        <rFont val="Noto Sans CJK SC"/>
        <family val="2"/>
        <charset val="1"/>
      </rPr>
      <t xml:space="preserve">Cesare_</t>
    </r>
    <r>
      <rPr>
        <sz val="10"/>
        <rFont val="WenQuanYi Zen Hei"/>
        <family val="2"/>
      </rPr>
      <t xml:space="preserve">죽음</t>
    </r>
  </si>
  <si>
    <r>
      <rPr>
        <sz val="10"/>
        <rFont val="Noto Sans CJK SC"/>
        <family val="2"/>
        <charset val="1"/>
      </rPr>
      <t xml:space="preserve">Sofia </t>
    </r>
    <r>
      <rPr>
        <sz val="10"/>
        <rFont val="WenQuanYi Zen Hei"/>
        <family val="2"/>
      </rPr>
      <t xml:space="preserve">폭발</t>
    </r>
  </si>
  <si>
    <r>
      <rPr>
        <sz val="10"/>
        <rFont val="WenQuanYi Zen Hei"/>
        <family val="2"/>
      </rPr>
      <t xml:space="preserve">자주 폭발하는 인물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안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</si>
  <si>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WenQuanYi Zen Hei"/>
        <family val="2"/>
      </rPr>
      <t xml:space="preserve">폭발은 </t>
    </r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·9</t>
    </r>
    <r>
      <rPr>
        <sz val="10"/>
        <rFont val="WenQuanYi Zen Hei"/>
        <family val="2"/>
      </rPr>
      <t xml:space="preserve">부 딱 </t>
    </r>
    <r>
      <rPr>
        <sz val="10"/>
        <rFont val="Noto Sans CJK SC"/>
        <family val="2"/>
        <charset val="1"/>
      </rPr>
      <t xml:space="preserve">2</t>
    </r>
    <r>
      <rPr>
        <sz val="10"/>
        <rFont val="WenQuanYi Zen Hei"/>
        <family val="2"/>
      </rPr>
      <t xml:space="preserve">회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욕은 폭발 장면 한정</t>
    </r>
  </si>
  <si>
    <r>
      <rPr>
        <sz val="10"/>
        <rFont val="Noto Sans CJK SC"/>
        <family val="2"/>
        <charset val="1"/>
      </rPr>
      <t xml:space="preserve">Sofia_</t>
    </r>
    <r>
      <rPr>
        <sz val="10"/>
        <rFont val="WenQuanYi Zen Hei"/>
        <family val="2"/>
      </rPr>
      <t xml:space="preserve">폭발과욕</t>
    </r>
  </si>
  <si>
    <t xml:space="preserve">침묵으로 대답</t>
  </si>
  <si>
    <r>
      <rPr>
        <sz val="10"/>
        <rFont val="WenQuanYi Zen Hei"/>
        <family val="2"/>
      </rPr>
      <t xml:space="preserve">결론 대신 출처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서가 위치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법령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검색어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를 가리킴 — 『옥중수고』의 수첩 습관</t>
    </r>
  </si>
  <si>
    <r>
      <rPr>
        <sz val="10"/>
        <rFont val="Noto Sans CJK SC"/>
        <family val="2"/>
        <charset val="1"/>
      </rPr>
      <t xml:space="preserve">Gramsci_</t>
    </r>
    <r>
      <rPr>
        <sz val="10"/>
        <rFont val="WenQuanYi Zen Hei"/>
        <family val="2"/>
      </rPr>
      <t xml:space="preserve">출처</t>
    </r>
  </si>
  <si>
    <r>
      <rPr>
        <sz val="10"/>
        <rFont val="Noto Sans CJK SC"/>
        <family val="2"/>
        <charset val="1"/>
      </rPr>
      <t xml:space="preserve">Gramsci </t>
    </r>
    <r>
      <rPr>
        <sz val="10"/>
        <rFont val="WenQuanYi Zen Hei"/>
        <family val="2"/>
      </rPr>
      <t xml:space="preserve">대사</t>
    </r>
  </si>
  <si>
    <t xml:space="preserve">«Segui il denaro. E la legge che lo sorveglia.»</t>
  </si>
  <si>
    <r>
      <rPr>
        <sz val="10"/>
        <rFont val="Noto Sans CJK SC"/>
        <family val="2"/>
        <charset val="1"/>
      </rPr>
      <t xml:space="preserve">«Ogni denaro ha una legge che lo sorveglia. Cercala.» — Francesco</t>
    </r>
    <r>
      <rPr>
        <sz val="10"/>
        <rFont val="WenQuanYi Zen Hei"/>
        <family val="2"/>
      </rPr>
      <t xml:space="preserve">의 시그니처 </t>
    </r>
    <r>
      <rPr>
        <sz val="10"/>
        <rFont val="Noto Sans CJK SC"/>
        <family val="2"/>
        <charset val="1"/>
      </rPr>
      <t xml:space="preserve">«Segui il denaro.»</t>
    </r>
    <r>
      <rPr>
        <sz val="10"/>
        <rFont val="WenQuanYi Zen Hei"/>
        <family val="2"/>
      </rPr>
      <t xml:space="preserve">와 중복 방지</t>
    </r>
  </si>
  <si>
    <r>
      <rPr>
        <sz val="10"/>
        <rFont val="WenQuanYi Zen Hei"/>
        <family val="2"/>
      </rPr>
      <t xml:space="preserve">상황 설명 </t>
    </r>
    <r>
      <rPr>
        <sz val="10"/>
        <rFont val="Noto Sans CJK SC"/>
        <family val="2"/>
        <charset val="1"/>
      </rPr>
      <t xml:space="preserve">30% + </t>
    </r>
    <r>
      <rPr>
        <sz val="10"/>
        <rFont val="WenQuanYi Zen Hei"/>
        <family val="2"/>
      </rPr>
      <t xml:space="preserve">대화 </t>
    </r>
    <r>
      <rPr>
        <sz val="10"/>
        <rFont val="Noto Sans CJK SC"/>
        <family val="2"/>
        <charset val="1"/>
      </rPr>
      <t xml:space="preserve">70%</t>
    </r>
  </si>
  <si>
    <r>
      <rPr>
        <sz val="10"/>
        <rFont val="WenQuanYi Zen Hei"/>
        <family val="2"/>
      </rPr>
      <t xml:space="preserve">전 화 </t>
    </r>
    <r>
      <rPr>
        <sz val="10"/>
        <rFont val="Noto Sans CJK SC"/>
        <family val="2"/>
        <charset val="1"/>
      </rPr>
      <t xml:space="preserve">100% </t>
    </r>
    <r>
      <rPr>
        <sz val="10"/>
        <rFont val="WenQuanYi Zen Hei"/>
        <family val="2"/>
      </rPr>
      <t xml:space="preserve">대화문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지문 없음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</si>
  <si>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부 시범 장면</t>
    </r>
  </si>
  <si>
    <t xml:space="preserve">괄호 지문 포함</t>
  </si>
  <si>
    <t xml:space="preserve">모든 지문을 대사로 대체</t>
  </si>
  <si>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시범대사</t>
    </r>
  </si>
  <si>
    <r>
      <rPr>
        <sz val="10"/>
        <rFont val="Noto Sans CJK SC"/>
        <family val="2"/>
        <charset val="1"/>
      </rPr>
      <t xml:space="preserve">11</t>
    </r>
    <r>
      <rPr>
        <sz val="10"/>
        <rFont val="WenQuanYi Zen Hei"/>
        <family val="2"/>
      </rPr>
      <t xml:space="preserve">부작 </t>
    </r>
    <r>
      <rPr>
        <sz val="10"/>
        <rFont val="Noto Sans CJK SC"/>
        <family val="2"/>
        <charset val="1"/>
      </rPr>
      <t xml:space="preserve">(132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 → 12</t>
    </r>
    <r>
      <rPr>
        <sz val="10"/>
        <rFont val="WenQuanYi Zen Hei"/>
        <family val="2"/>
      </rPr>
      <t xml:space="preserve">부작 </t>
    </r>
    <r>
      <rPr>
        <sz val="10"/>
        <rFont val="Noto Sans CJK SC"/>
        <family val="2"/>
        <charset val="1"/>
      </rPr>
      <t xml:space="preserve">(144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</si>
  <si>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Noto Sans CJK SC"/>
        <family val="2"/>
        <charset val="1"/>
      </rPr>
      <t xml:space="preserve">13</t>
    </r>
    <r>
      <rPr>
        <sz val="10"/>
        <rFont val="WenQuanYi Zen Hei"/>
        <family val="2"/>
      </rPr>
      <t xml:space="preserve">부작 </t>
    </r>
    <r>
      <rPr>
        <sz val="10"/>
        <rFont val="Noto Sans CJK SC"/>
        <family val="2"/>
        <charset val="1"/>
      </rPr>
      <t xml:space="preserve">(156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). 11</t>
    </r>
    <r>
      <rPr>
        <sz val="10"/>
        <rFont val="WenQuanYi Zen Hei"/>
        <family val="2"/>
      </rPr>
      <t xml:space="preserve">부를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국정 </t>
    </r>
    <r>
      <rPr>
        <sz val="10"/>
        <rFont val="Noto Sans CJK SC"/>
        <family val="2"/>
        <charset val="1"/>
      </rPr>
      <t xml:space="preserve">I'</t>
    </r>
    <r>
      <rPr>
        <sz val="10"/>
        <rFont val="WenQuanYi Zen Hei"/>
        <family val="2"/>
      </rPr>
      <t xml:space="preserve">과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국정 </t>
    </r>
    <r>
      <rPr>
        <sz val="10"/>
        <rFont val="Noto Sans CJK SC"/>
        <family val="2"/>
        <charset val="1"/>
      </rPr>
      <t xml:space="preserve">II'</t>
    </r>
    <r>
      <rPr>
        <sz val="10"/>
        <rFont val="WenQuanYi Zen Hei"/>
        <family val="2"/>
      </rPr>
      <t xml:space="preserve">로 분리하고 귀환 부를 </t>
    </r>
    <r>
      <rPr>
        <sz val="10"/>
        <rFont val="Noto Sans CJK SC"/>
        <family val="2"/>
        <charset val="1"/>
      </rPr>
      <t xml:space="preserve">13</t>
    </r>
    <r>
      <rPr>
        <sz val="10"/>
        <rFont val="WenQuanYi Zen Hei"/>
        <family val="2"/>
      </rPr>
      <t xml:space="preserve">부로</t>
    </r>
  </si>
  <si>
    <r>
      <rPr>
        <sz val="10"/>
        <rFont val="WenQuanYi Zen Hei"/>
        <family val="2"/>
      </rPr>
      <t xml:space="preserve">개요</t>
    </r>
    <r>
      <rPr>
        <sz val="10"/>
        <rFont val="Noto Sans CJK SC"/>
        <family val="2"/>
        <charset val="1"/>
      </rPr>
      <t xml:space="preserve">, 13</t>
    </r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구성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아크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구성계획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화별목차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전체</t>
    </r>
  </si>
  <si>
    <t xml:space="preserve">정치 파트 구성</t>
  </si>
  <si>
    <r>
      <rPr>
        <sz val="10"/>
        <rFont val="Noto Sans CJK SC"/>
        <family val="2"/>
        <charset val="1"/>
      </rPr>
      <t xml:space="preserve">8 </t>
    </r>
    <r>
      <rPr>
        <sz val="10"/>
        <rFont val="WenQuanYi Zen Hei"/>
        <family val="2"/>
      </rPr>
      <t xml:space="preserve">정치 입문 </t>
    </r>
    <r>
      <rPr>
        <sz val="10"/>
        <rFont val="Noto Sans CJK SC"/>
        <family val="2"/>
        <charset val="1"/>
      </rPr>
      <t xml:space="preserve">· 9 </t>
    </r>
    <r>
      <rPr>
        <sz val="10"/>
        <rFont val="WenQuanYi Zen Hei"/>
        <family val="2"/>
      </rPr>
      <t xml:space="preserve">의회 </t>
    </r>
    <r>
      <rPr>
        <sz val="10"/>
        <rFont val="Noto Sans CJK SC"/>
        <family val="2"/>
        <charset val="1"/>
      </rPr>
      <t xml:space="preserve">· 10 </t>
    </r>
    <r>
      <rPr>
        <sz val="10"/>
        <rFont val="WenQuanYi Zen Hei"/>
        <family val="2"/>
      </rPr>
      <t xml:space="preserve">정부 </t>
    </r>
    <r>
      <rPr>
        <sz val="10"/>
        <rFont val="Noto Sans CJK SC"/>
        <family val="2"/>
        <charset val="1"/>
      </rPr>
      <t xml:space="preserve">· 11 </t>
    </r>
    <r>
      <rPr>
        <sz val="10"/>
        <rFont val="WenQuanYi Zen Hei"/>
        <family val="2"/>
      </rPr>
      <t xml:space="preserve">사회 현안</t>
    </r>
  </si>
  <si>
    <r>
      <rPr>
        <sz val="10"/>
        <rFont val="Noto Sans CJK SC"/>
        <family val="2"/>
        <charset val="1"/>
      </rPr>
      <t xml:space="preserve">8 </t>
    </r>
    <r>
      <rPr>
        <sz val="10"/>
        <rFont val="WenQuanYi Zen Hei"/>
        <family val="2"/>
      </rPr>
      <t xml:space="preserve">창당 </t>
    </r>
    <r>
      <rPr>
        <sz val="10"/>
        <rFont val="Noto Sans CJK SC"/>
        <family val="2"/>
        <charset val="1"/>
      </rPr>
      <t xml:space="preserve">· 9 </t>
    </r>
    <r>
      <rPr>
        <sz val="10"/>
        <rFont val="WenQuanYi Zen Hei"/>
        <family val="2"/>
      </rPr>
      <t xml:space="preserve">시의회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주의회 </t>
    </r>
    <r>
      <rPr>
        <sz val="10"/>
        <rFont val="Noto Sans CJK SC"/>
        <family val="2"/>
        <charset val="1"/>
      </rPr>
      <t xml:space="preserve">· 10 </t>
    </r>
    <r>
      <rPr>
        <sz val="10"/>
        <rFont val="WenQuanYi Zen Hei"/>
        <family val="2"/>
      </rPr>
      <t xml:space="preserve">총선</t>
    </r>
    <r>
      <rPr>
        <sz val="10"/>
        <rFont val="Noto Sans CJK SC"/>
        <family val="2"/>
        <charset val="1"/>
      </rPr>
      <t xml:space="preserve">~</t>
    </r>
    <r>
      <rPr>
        <sz val="10"/>
        <rFont val="WenQuanYi Zen Hei"/>
        <family val="2"/>
      </rPr>
      <t xml:space="preserve">총리 취임 </t>
    </r>
    <r>
      <rPr>
        <sz val="10"/>
        <rFont val="Noto Sans CJK SC"/>
        <family val="2"/>
        <charset val="1"/>
      </rPr>
      <t xml:space="preserve">· 11~12 </t>
    </r>
    <r>
      <rPr>
        <sz val="10"/>
        <rFont val="WenQuanYi Zen Hei"/>
        <family val="2"/>
      </rPr>
      <t xml:space="preserve">국정 </t>
    </r>
    <r>
      <rPr>
        <sz val="10"/>
        <rFont val="Noto Sans CJK SC"/>
        <family val="2"/>
        <charset val="1"/>
      </rPr>
      <t xml:space="preserve">· 13 </t>
    </r>
    <r>
      <rPr>
        <sz val="10"/>
        <rFont val="WenQuanYi Zen Hei"/>
        <family val="2"/>
      </rPr>
      <t xml:space="preserve">귀환</t>
    </r>
  </si>
  <si>
    <r>
      <rPr>
        <sz val="10"/>
        <rFont val="Noto Sans CJK SC"/>
        <family val="2"/>
        <charset val="1"/>
      </rPr>
      <t xml:space="preserve">13</t>
    </r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구성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화별목차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전체</t>
    </r>
  </si>
  <si>
    <t xml:space="preserve">권한 배분 반영</t>
  </si>
  <si>
    <r>
      <rPr>
        <sz val="10"/>
        <rFont val="WenQuanYi Zen Hei"/>
        <family val="2"/>
      </rPr>
      <t xml:space="preserve">총리가 병원 외주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임대료 규제를 직접 결정</t>
    </r>
  </si>
  <si>
    <r>
      <rPr>
        <sz val="10"/>
        <rFont val="WenQuanYi Zen Hei"/>
        <family val="2"/>
      </rPr>
      <t xml:space="preserve">보건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도시계획은 국가–주 공동 권한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관광은 주 권한 → 협의체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법 개정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기금 배분 조건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헌법재판소 다툼으로 재구성</t>
    </r>
  </si>
  <si>
    <r>
      <rPr>
        <sz val="10"/>
        <rFont val="WenQuanYi Zen Hei"/>
        <family val="2"/>
      </rPr>
      <t xml:space="preserve">화별목차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전체 </t>
    </r>
    <r>
      <rPr>
        <sz val="10"/>
        <rFont val="Noto Sans CJK SC"/>
        <family val="2"/>
        <charset val="1"/>
      </rPr>
      <t xml:space="preserve">(11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3~5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</si>
  <si>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WenQuanYi Zen Hei"/>
        <family val="2"/>
      </rPr>
      <t xml:space="preserve">정당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정치인 전부 가상 </t>
    </r>
    <r>
      <rPr>
        <sz val="10"/>
        <rFont val="Noto Sans CJK SC"/>
        <family val="2"/>
        <charset val="1"/>
      </rPr>
      <t xml:space="preserve">(Casa Comune, UCN, PPS </t>
    </r>
    <r>
      <rPr>
        <sz val="10"/>
        <rFont val="WenQuanYi Zen Hei"/>
        <family val="2"/>
      </rPr>
      <t xml:space="preserve">등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실명 금지</t>
    </r>
  </si>
  <si>
    <r>
      <rPr>
        <sz val="10"/>
        <rFont val="WenQuanYi Zen Hei"/>
        <family val="2"/>
      </rPr>
      <t xml:space="preserve">정치경로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의석</t>
    </r>
  </si>
  <si>
    <r>
      <rPr>
        <sz val="10"/>
        <rFont val="Noto Sans CJK SC"/>
        <family val="2"/>
        <charset val="1"/>
      </rPr>
      <t xml:space="preserve">Cesare </t>
    </r>
    <r>
      <rPr>
        <sz val="10"/>
        <rFont val="WenQuanYi Zen Hei"/>
        <family val="2"/>
      </rPr>
      <t xml:space="preserve">사망 시점</t>
    </r>
  </si>
  <si>
    <r>
      <rPr>
        <sz val="10"/>
        <rFont val="Noto Sans CJK SC"/>
        <family val="2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6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청년 고용 협상 화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</si>
  <si>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Noto Sans CJK SC"/>
        <family val="2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9~11</t>
    </r>
    <r>
      <rPr>
        <sz val="10"/>
        <rFont val="WenQuanYi Zen Hei"/>
        <family val="2"/>
      </rPr>
      <t xml:space="preserve">화에서 직접 브뤼셀 협상에 나서 승리한 뒤 </t>
    </r>
    <r>
      <rPr>
        <sz val="10"/>
        <rFont val="Noto Sans CJK SC"/>
        <family val="2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12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귀국 직후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에 사망</t>
    </r>
    <r>
      <rPr>
        <sz val="10"/>
        <rFont val="Noto Sans CJK SC"/>
        <family val="2"/>
        <charset val="1"/>
      </rPr>
      <t xml:space="preserve">. 12</t>
    </r>
    <r>
      <rPr>
        <sz val="10"/>
        <rFont val="WenQuanYi Zen Hei"/>
        <family val="2"/>
      </rPr>
      <t xml:space="preserve">부는 장례식으로 열고 유작 메모로 </t>
    </r>
    <r>
      <rPr>
        <sz val="10"/>
        <rFont val="Noto Sans CJK SC"/>
        <family val="2"/>
        <charset val="1"/>
      </rPr>
      <t xml:space="preserve">2</t>
    </r>
    <r>
      <rPr>
        <sz val="10"/>
        <rFont val="WenQuanYi Zen Hei"/>
        <family val="2"/>
      </rPr>
      <t xml:space="preserve">차 협상을 잇는다</t>
    </r>
  </si>
  <si>
    <r>
      <rPr>
        <sz val="10"/>
        <rFont val="WenQuanYi Zen Hei"/>
        <family val="2"/>
      </rPr>
      <t xml:space="preserve">아크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구성계획</t>
    </r>
    <r>
      <rPr>
        <sz val="10"/>
        <rFont val="Noto Sans CJK SC"/>
        <family val="2"/>
        <charset val="1"/>
      </rPr>
      <t xml:space="preserve">, Cesare_</t>
    </r>
    <r>
      <rPr>
        <sz val="10"/>
        <rFont val="WenQuanYi Zen Hei"/>
        <family val="2"/>
      </rPr>
      <t xml:space="preserve">죽음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화별목차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전체</t>
    </r>
  </si>
  <si>
    <t xml:space="preserve">실존 지도자 표현</t>
  </si>
  <si>
    <r>
      <rPr>
        <sz val="10"/>
        <rFont val="WenQuanYi Zen Hei"/>
        <family val="2"/>
      </rPr>
      <t xml:space="preserve">실존 정치 지도자는 실명으로 쓰지 않고 </t>
    </r>
    <r>
      <rPr>
        <sz val="10"/>
        <rFont val="Noto Sans CJK SC"/>
        <family val="2"/>
        <charset val="1"/>
      </rPr>
      <t xml:space="preserve">Cesare</t>
    </r>
    <r>
      <rPr>
        <sz val="10"/>
        <rFont val="WenQuanYi Zen Hei"/>
        <family val="2"/>
      </rPr>
      <t xml:space="preserve">가 </t>
    </r>
    <r>
      <rPr>
        <sz val="10"/>
        <rFont val="Noto Sans CJK SC"/>
        <family val="2"/>
        <charset val="1"/>
      </rPr>
      <t xml:space="preserve">«</t>
    </r>
    <r>
      <rPr>
        <sz val="10"/>
        <rFont val="WenQuanYi Zen Hei"/>
        <family val="2"/>
      </rPr>
      <t xml:space="preserve">이름은 말하지 않겠다</t>
    </r>
    <r>
      <rPr>
        <sz val="10"/>
        <rFont val="Noto Sans CJK SC"/>
        <family val="2"/>
        <charset val="1"/>
      </rPr>
      <t xml:space="preserve">»</t>
    </r>
    <r>
      <rPr>
        <sz val="10"/>
        <rFont val="WenQuanYi Zen Hei"/>
        <family val="2"/>
      </rPr>
      <t xml:space="preserve">고 스스로 선을 긋는 대사로 처리</t>
    </r>
    <r>
      <rPr>
        <sz val="10"/>
        <rFont val="Noto Sans CJK SC"/>
        <family val="2"/>
        <charset val="1"/>
      </rPr>
      <t xml:space="preserve">(11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9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</si>
  <si>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WenQuanYi Zen Hei"/>
        <family val="2"/>
      </rPr>
      <t xml:space="preserve">화별목차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전체</t>
    </r>
    <r>
      <rPr>
        <sz val="10"/>
        <rFont val="Noto Sans CJK SC"/>
        <family val="2"/>
        <charset val="1"/>
      </rPr>
      <t xml:space="preserve">, Cesare_</t>
    </r>
    <r>
      <rPr>
        <sz val="10"/>
        <rFont val="WenQuanYi Zen Hei"/>
        <family val="2"/>
      </rPr>
      <t xml:space="preserve">죽음</t>
    </r>
  </si>
  <si>
    <r>
      <rPr>
        <sz val="10"/>
        <rFont val="WenQuanYi Zen Hei"/>
        <family val="2"/>
      </rPr>
      <t xml:space="preserve">신규 현안 </t>
    </r>
    <r>
      <rPr>
        <sz val="10"/>
        <rFont val="Noto Sans CJK SC"/>
        <family val="2"/>
        <charset val="1"/>
      </rPr>
      <t xml:space="preserve">3</t>
    </r>
    <r>
      <rPr>
        <sz val="10"/>
        <rFont val="WenQuanYi Zen Hei"/>
        <family val="2"/>
      </rPr>
      <t xml:space="preserve">개</t>
    </r>
  </si>
  <si>
    <r>
      <rPr>
        <sz val="10"/>
        <rFont val="Noto Sans CJK SC"/>
        <family val="2"/>
        <charset val="1"/>
      </rPr>
      <t xml:space="preserve">15</t>
    </r>
    <r>
      <rPr>
        <sz val="10"/>
        <rFont val="WenQuanYi Zen Hei"/>
        <family val="2"/>
      </rPr>
      <t xml:space="preserve">개 현안</t>
    </r>
  </si>
  <si>
    <r>
      <rPr>
        <sz val="10"/>
        <rFont val="Noto Sans CJK SC"/>
        <family val="2"/>
        <charset val="1"/>
      </rPr>
      <t xml:space="preserve">N6 </t>
    </r>
    <r>
      <rPr>
        <sz val="10"/>
        <rFont val="WenQuanYi Zen Hei"/>
        <family val="2"/>
      </rPr>
      <t xml:space="preserve">플랫폼 노동 </t>
    </r>
    <r>
      <rPr>
        <sz val="10"/>
        <rFont val="Noto Sans CJK SC"/>
        <family val="2"/>
        <charset val="1"/>
      </rPr>
      <t xml:space="preserve">· N7 </t>
    </r>
    <r>
      <rPr>
        <sz val="10"/>
        <rFont val="WenQuanYi Zen Hei"/>
        <family val="2"/>
      </rPr>
      <t xml:space="preserve">스파이웨어 스캔들</t>
    </r>
    <r>
      <rPr>
        <sz val="10"/>
        <rFont val="Noto Sans CJK SC"/>
        <family val="2"/>
        <charset val="1"/>
      </rPr>
      <t xml:space="preserve">(7</t>
    </r>
    <r>
      <rPr>
        <sz val="10"/>
        <rFont val="WenQuanYi Zen Hei"/>
        <family val="2"/>
      </rPr>
      <t xml:space="preserve">부 도청 논쟁과 연결</t>
    </r>
    <r>
      <rPr>
        <sz val="10"/>
        <rFont val="Noto Sans CJK SC"/>
        <family val="2"/>
        <charset val="1"/>
      </rPr>
      <t xml:space="preserve">) · N8 </t>
    </r>
    <r>
      <rPr>
        <sz val="10"/>
        <rFont val="WenQuanYi Zen Hei"/>
        <family val="2"/>
      </rPr>
      <t xml:space="preserve">청년 정신건강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모두 </t>
    </r>
    <r>
      <rPr>
        <sz val="10"/>
        <rFont val="Noto Sans CJK SC"/>
        <family val="2"/>
        <charset val="1"/>
      </rPr>
      <t xml:space="preserve">12</t>
    </r>
    <r>
      <rPr>
        <sz val="10"/>
        <rFont val="WenQuanYi Zen Hei"/>
        <family val="2"/>
      </rPr>
      <t xml:space="preserve">부에 전용 화</t>
    </r>
  </si>
  <si>
    <r>
      <rPr>
        <sz val="10"/>
        <rFont val="WenQuanYi Zen Hei"/>
        <family val="2"/>
      </rPr>
      <t xml:space="preserve">현안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배치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현안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분포</t>
    </r>
  </si>
  <si>
    <t xml:space="preserve">화당 분량 확정</t>
  </si>
  <si>
    <r>
      <rPr>
        <sz val="10"/>
        <rFont val="WenQuanYi Zen Hei"/>
        <family val="2"/>
      </rPr>
      <t xml:space="preserve">화당 </t>
    </r>
    <r>
      <rPr>
        <sz val="10"/>
        <rFont val="Noto Sans CJK SC"/>
        <family val="2"/>
        <charset val="1"/>
      </rPr>
      <t xml:space="preserve">250~400</t>
    </r>
    <r>
      <rPr>
        <sz val="10"/>
        <rFont val="WenQuanYi Zen Hei"/>
        <family val="2"/>
      </rPr>
      <t xml:space="preserve">단어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제안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</si>
  <si>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WenQuanYi Zen Hei"/>
        <family val="2"/>
      </rPr>
      <t xml:space="preserve">화당 </t>
    </r>
    <r>
      <rPr>
        <sz val="10"/>
        <rFont val="Noto Sans CJK SC"/>
        <family val="2"/>
        <charset val="1"/>
      </rPr>
      <t xml:space="preserve">120</t>
    </r>
    <r>
      <rPr>
        <sz val="10"/>
        <rFont val="WenQuanYi Zen Hei"/>
        <family val="2"/>
      </rPr>
      <t xml:space="preserve">턴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부당 </t>
    </r>
    <r>
      <rPr>
        <sz val="10"/>
        <rFont val="Noto Sans CJK SC"/>
        <family val="2"/>
        <charset val="1"/>
      </rPr>
      <t xml:space="preserve">1,440</t>
    </r>
    <r>
      <rPr>
        <sz val="10"/>
        <rFont val="WenQuanYi Zen Hei"/>
        <family val="2"/>
      </rPr>
      <t xml:space="preserve">턴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전체 </t>
    </r>
    <r>
      <rPr>
        <sz val="10"/>
        <rFont val="Noto Sans CJK SC"/>
        <family val="2"/>
        <charset val="1"/>
      </rPr>
      <t xml:space="preserve">18,720</t>
    </r>
    <r>
      <rPr>
        <sz val="10"/>
        <rFont val="WenQuanYi Zen Hei"/>
        <family val="2"/>
      </rPr>
      <t xml:space="preserve">턴</t>
    </r>
    <r>
      <rPr>
        <sz val="10"/>
        <rFont val="Noto Sans CJK SC"/>
        <family val="2"/>
        <charset val="1"/>
      </rPr>
      <t xml:space="preserve">). </t>
    </r>
    <r>
      <rPr>
        <sz val="10"/>
        <rFont val="WenQuanYi Zen Hei"/>
        <family val="2"/>
      </rPr>
      <t xml:space="preserve">낭독 시간은 부별 난이도 배율로 추정</t>
    </r>
  </si>
  <si>
    <r>
      <rPr>
        <sz val="10"/>
        <rFont val="WenQuanYi Zen Hei"/>
        <family val="2"/>
      </rPr>
      <t xml:space="preserve">턴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설계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대화문규칙</t>
    </r>
  </si>
  <si>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부 재설계</t>
    </r>
  </si>
  <si>
    <r>
      <rPr>
        <sz val="10"/>
        <rFont val="WenQuanYi Zen Hei"/>
        <family val="2"/>
      </rPr>
      <t xml:space="preserve">소개 중심 </t>
    </r>
    <r>
      <rPr>
        <sz val="10"/>
        <rFont val="Noto Sans CJK SC"/>
        <family val="2"/>
        <charset val="1"/>
      </rPr>
      <t xml:space="preserve">12</t>
    </r>
    <r>
      <rPr>
        <sz val="10"/>
        <rFont val="WenQuanYi Zen Hei"/>
        <family val="2"/>
      </rPr>
      <t xml:space="preserve">화</t>
    </r>
  </si>
  <si>
    <r>
      <rPr>
        <sz val="10"/>
        <rFont val="WenQuanYi Zen Hei"/>
        <family val="2"/>
      </rPr>
      <t xml:space="preserve">개소 </t>
    </r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개월 후 시점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사건 </t>
    </r>
    <r>
      <rPr>
        <sz val="10"/>
        <rFont val="Noto Sans CJK SC"/>
        <family val="2"/>
        <charset val="1"/>
      </rPr>
      <t xml:space="preserve">6</t>
    </r>
    <r>
      <rPr>
        <sz val="10"/>
        <rFont val="WenQuanYi Zen Hei"/>
        <family val="2"/>
      </rPr>
      <t xml:space="preserve">개 </t>
    </r>
    <r>
      <rPr>
        <sz val="10"/>
        <rFont val="Noto Sans CJK SC"/>
        <family val="2"/>
        <charset val="1"/>
      </rPr>
      <t xml:space="preserve">× 2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도입→해결</t>
    </r>
    <r>
      <rPr>
        <sz val="10"/>
        <rFont val="Noto Sans CJK SC"/>
        <family val="2"/>
        <charset val="1"/>
      </rPr>
      <t xml:space="preserve">): ①Fatima </t>
    </r>
    <r>
      <rPr>
        <sz val="10"/>
        <rFont val="WenQuanYi Zen Hei"/>
        <family val="2"/>
      </rPr>
      <t xml:space="preserve">임대료 ②퇴거 집행 ③</t>
    </r>
    <r>
      <rPr>
        <sz val="10"/>
        <rFont val="Noto Sans CJK SC"/>
        <family val="2"/>
        <charset val="1"/>
      </rPr>
      <t xml:space="preserve">Davide </t>
    </r>
    <r>
      <rPr>
        <sz val="10"/>
        <rFont val="WenQuanYi Zen Hei"/>
        <family val="2"/>
      </rPr>
      <t xml:space="preserve">위장 인턴</t>
    </r>
    <r>
      <rPr>
        <sz val="10"/>
        <rFont val="Noto Sans CJK SC"/>
        <family val="2"/>
        <charset val="1"/>
      </rPr>
      <t xml:space="preserve">·Sofia 1</t>
    </r>
    <r>
      <rPr>
        <sz val="10"/>
        <rFont val="WenQuanYi Zen Hei"/>
        <family val="2"/>
      </rPr>
      <t xml:space="preserve">차 폭발 ④의료 접근</t>
    </r>
    <r>
      <rPr>
        <sz val="10"/>
        <rFont val="Noto Sans CJK SC"/>
        <family val="2"/>
        <charset val="1"/>
      </rPr>
      <t xml:space="preserve">(Amina·Noa) ⑤</t>
    </r>
    <r>
      <rPr>
        <sz val="10"/>
        <rFont val="WenQuanYi Zen Hei"/>
        <family val="2"/>
      </rPr>
      <t xml:space="preserve">금융 사기</t>
    </r>
    <r>
      <rPr>
        <sz val="10"/>
        <rFont val="Noto Sans CJK SC"/>
        <family val="2"/>
        <charset val="1"/>
      </rPr>
      <t xml:space="preserve">·Francesco ⑥</t>
    </r>
    <r>
      <rPr>
        <sz val="10"/>
        <rFont val="WenQuanYi Zen Hei"/>
        <family val="2"/>
      </rPr>
      <t xml:space="preserve">오래된 서류</t>
    </r>
    <r>
      <rPr>
        <sz val="10"/>
        <rFont val="Noto Sans CJK SC"/>
        <family val="2"/>
        <charset val="1"/>
      </rPr>
      <t xml:space="preserve">·Marco </t>
    </r>
    <r>
      <rPr>
        <sz val="10"/>
        <rFont val="WenQuanYi Zen Hei"/>
        <family val="2"/>
      </rPr>
      <t xml:space="preserve">훅</t>
    </r>
  </si>
  <si>
    <r>
      <rPr>
        <sz val="10"/>
        <rFont val="WenQuanYi Zen Hei"/>
        <family val="2"/>
      </rPr>
      <t xml:space="preserve">아크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구성계획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화별목차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전체</t>
    </r>
  </si>
  <si>
    <t xml:space="preserve">20</t>
  </si>
  <si>
    <t xml:space="preserve">운영 방침</t>
  </si>
  <si>
    <t xml:space="preserve">화 완성마다 즉시 갱신</t>
  </si>
  <si>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시즌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가 끝날 때만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또는 별도 요청 시에만 워크북 갱신 </t>
    </r>
    <r>
      <rPr>
        <sz val="10"/>
        <rFont val="Noto Sans CJK SC"/>
        <family val="2"/>
        <charset val="1"/>
      </rPr>
      <t xml:space="preserve">(2026-09-22</t>
    </r>
    <r>
      <rPr>
        <sz val="10"/>
        <rFont val="WenQuanYi Zen Hei"/>
        <family val="2"/>
      </rPr>
      <t xml:space="preserve">부터</t>
    </r>
    <r>
      <rPr>
        <sz val="10"/>
        <rFont val="Noto Sans CJK SC"/>
        <family val="2"/>
        <charset val="1"/>
      </rPr>
      <t xml:space="preserve">)</t>
    </r>
  </si>
  <si>
    <t xml:space="preserve">21</t>
  </si>
  <si>
    <r>
      <rPr>
        <sz val="10"/>
        <rFont val="WenQuanYi Zen Hei"/>
        <family val="2"/>
      </rPr>
      <t xml:space="preserve">스페인판 → 이탈리아판 전환 </t>
    </r>
    <r>
      <rPr>
        <sz val="10"/>
        <rFont val="Noto Sans CJK SC"/>
        <family val="2"/>
        <charset val="1"/>
      </rPr>
      <t xml:space="preserve">(2026-09-24)</t>
    </r>
  </si>
  <si>
    <r>
      <rPr>
        <sz val="10"/>
        <rFont val="WenQuanYi Zen Hei"/>
        <family val="2"/>
      </rPr>
      <t xml:space="preserve">스페인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마드리드</t>
    </r>
    <r>
      <rPr>
        <sz val="10"/>
        <rFont val="Noto Sans CJK SC"/>
        <family val="2"/>
        <charset val="1"/>
      </rPr>
      <t xml:space="preserve">) </t>
    </r>
    <r>
      <rPr>
        <sz val="10"/>
        <rFont val="WenQuanYi Zen Hei"/>
        <family val="2"/>
      </rPr>
      <t xml:space="preserve">배경 워크북</t>
    </r>
  </si>
  <si>
    <r>
      <rPr>
        <sz val="10"/>
        <rFont val="WenQuanYi Zen Hei"/>
        <family val="2"/>
      </rPr>
      <t xml:space="preserve">로마 배경으로 전면 현지화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인물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지명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제목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대사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정치 제도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사회 현안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법령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호칭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욕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고전 인용을 모두 이탈리아 기준으로 교체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대응표는 아래 </t>
    </r>
    <r>
      <rPr>
        <sz val="10"/>
        <rFont val="Noto Sans CJK SC"/>
        <family val="2"/>
        <charset val="1"/>
      </rPr>
      <t xml:space="preserve">22~27</t>
    </r>
    <r>
      <rPr>
        <sz val="10"/>
        <rFont val="WenQuanYi Zen Hei"/>
        <family val="2"/>
      </rPr>
      <t xml:space="preserve">번</t>
    </r>
  </si>
  <si>
    <t xml:space="preserve">전 시트</t>
  </si>
  <si>
    <t xml:space="preserve">22</t>
  </si>
  <si>
    <t xml:space="preserve">인물 대응</t>
  </si>
  <si>
    <t xml:space="preserve">Mateo·Javier·Sofía·Diego / Carmen·Pepa·Nieves·Gonzalo / Anselmo·Raimundo·Ramón·Inés·Lucía·Tomás</t>
  </si>
  <si>
    <r>
      <rPr>
        <sz val="10"/>
        <rFont val="Noto Sans CJK SC"/>
        <family val="2"/>
        <charset val="1"/>
      </rPr>
      <t xml:space="preserve">Marco·Giulia(</t>
    </r>
    <r>
      <rPr>
        <sz val="10"/>
        <rFont val="WenQuanYi Zen Hei"/>
        <family val="2"/>
      </rPr>
      <t xml:space="preserve">여</t>
    </r>
    <r>
      <rPr>
        <sz val="10"/>
        <rFont val="Noto Sans CJK SC"/>
        <family val="2"/>
        <charset val="1"/>
      </rPr>
      <t xml:space="preserve">)·Alessandro(</t>
    </r>
    <r>
      <rPr>
        <sz val="10"/>
        <rFont val="WenQuanYi Zen Hei"/>
        <family val="2"/>
      </rPr>
      <t xml:space="preserve">남</t>
    </r>
    <r>
      <rPr>
        <sz val="10"/>
        <rFont val="Noto Sans CJK SC"/>
        <family val="2"/>
        <charset val="1"/>
      </rPr>
      <t xml:space="preserve">)·Chiara(</t>
    </r>
    <r>
      <rPr>
        <sz val="10"/>
        <rFont val="WenQuanYi Zen Hei"/>
        <family val="2"/>
      </rPr>
      <t xml:space="preserve">여</t>
    </r>
    <r>
      <rPr>
        <sz val="10"/>
        <rFont val="Noto Sans CJK SC"/>
        <family val="2"/>
        <charset val="1"/>
      </rPr>
      <t xml:space="preserve">) / Sofia·Rosa·Paolo·Francesco / Cesare·Gramsci·Garibaldi·Galileo·Montessori·Dante. Machiavelli</t>
    </r>
    <r>
      <rPr>
        <sz val="10"/>
        <rFont val="WenQuanYi Zen Hei"/>
        <family val="2"/>
      </rPr>
      <t xml:space="preserve">는 신규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정치 전략</t>
    </r>
    <r>
      <rPr>
        <sz val="10"/>
        <rFont val="Noto Sans CJK SC"/>
        <family val="2"/>
        <charset val="1"/>
      </rPr>
      <t xml:space="preserve">). </t>
    </r>
    <r>
      <rPr>
        <sz val="10"/>
        <rFont val="WenQuanYi Zen Hei"/>
        <family val="2"/>
      </rPr>
      <t xml:space="preserve">의사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회계사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컨설턴트의 성별이 바뀌어 대사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호칭</t>
    </r>
    <r>
      <rPr>
        <sz val="10"/>
        <rFont val="Noto Sans CJK SC"/>
        <family val="2"/>
        <charset val="1"/>
      </rPr>
      <t xml:space="preserve">(dottoressa </t>
    </r>
    <r>
      <rPr>
        <sz val="10"/>
        <rFont val="WenQuanYi Zen Hei"/>
        <family val="2"/>
      </rPr>
      <t xml:space="preserve">등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을 조정</t>
    </r>
  </si>
  <si>
    <r>
      <rPr>
        <sz val="10"/>
        <rFont val="WenQuanYi Zen Hei"/>
        <family val="2"/>
      </rPr>
      <t xml:space="preserve">캐릭터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전 시트</t>
    </r>
  </si>
  <si>
    <t xml:space="preserve">23</t>
  </si>
  <si>
    <t xml:space="preserve">지명 대응</t>
  </si>
  <si>
    <t xml:space="preserve">Lavapiés·Vallecas·Castellana·Salamanca·Sol·Cibeles·Asamblea de Madrid·Moncloa·Zarzuela·Congreso</t>
  </si>
  <si>
    <r>
      <rPr>
        <sz val="10"/>
        <rFont val="Noto Sans CJK SC"/>
        <family val="2"/>
        <charset val="1"/>
      </rPr>
      <t xml:space="preserve">Testaccio·Quarticciolo·Prati·Parioli·Piazza San Giovanni·Campidoglio·</t>
    </r>
    <r>
      <rPr>
        <sz val="10"/>
        <rFont val="WenQuanYi Zen Hei"/>
        <family val="2"/>
      </rPr>
      <t xml:space="preserve">라치오 주의회</t>
    </r>
    <r>
      <rPr>
        <sz val="10"/>
        <rFont val="Noto Sans CJK SC"/>
        <family val="2"/>
        <charset val="1"/>
      </rPr>
      <t xml:space="preserve">(Via della Pisana)·Palazzo Chigi·Quirinale·Montecitorio/Palazzo Madama</t>
    </r>
  </si>
  <si>
    <t xml:space="preserve">24</t>
  </si>
  <si>
    <t xml:space="preserve">제도 대응</t>
  </si>
  <si>
    <r>
      <rPr>
        <sz val="10"/>
        <rFont val="WenQuanYi Zen Hei"/>
        <family val="2"/>
      </rPr>
      <t xml:space="preserve">국왕</t>
    </r>
    <r>
      <rPr>
        <sz val="10"/>
        <rFont val="Noto Sans CJK SC"/>
        <family val="2"/>
        <charset val="1"/>
      </rPr>
      <t xml:space="preserve">·investidura(2</t>
    </r>
    <r>
      <rPr>
        <sz val="10"/>
        <rFont val="WenQuanYi Zen Hei"/>
        <family val="2"/>
      </rPr>
      <t xml:space="preserve">개월 시계</t>
    </r>
    <r>
      <rPr>
        <sz val="10"/>
        <rFont val="Noto Sans CJK SC"/>
        <family val="2"/>
        <charset val="1"/>
      </rPr>
      <t xml:space="preserve">)·</t>
    </r>
    <r>
      <rPr>
        <sz val="10"/>
        <rFont val="WenQuanYi Zen Hei"/>
        <family val="2"/>
      </rPr>
      <t xml:space="preserve">건설적 불신임안</t>
    </r>
    <r>
      <rPr>
        <sz val="10"/>
        <rFont val="Noto Sans CJK SC"/>
        <family val="2"/>
        <charset val="1"/>
      </rPr>
      <t xml:space="preserve">·Real Decreto-ley·LOREG·acusación popular·BOE</t>
    </r>
  </si>
  <si>
    <r>
      <rPr>
        <sz val="10"/>
        <rFont val="WenQuanYi Zen Hei"/>
        <family val="2"/>
      </rPr>
      <t xml:space="preserve">대통령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조각 위임과 양원 신임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탐색 위임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재해산</t>
    </r>
    <r>
      <rPr>
        <sz val="10"/>
        <rFont val="Noto Sans CJK SC"/>
        <family val="2"/>
        <charset val="1"/>
      </rPr>
      <t xml:space="preserve">)·</t>
    </r>
    <r>
      <rPr>
        <sz val="10"/>
        <rFont val="WenQuanYi Zen Hei"/>
        <family val="2"/>
      </rPr>
      <t xml:space="preserve">불신임안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제</t>
    </r>
    <r>
      <rPr>
        <sz val="10"/>
        <rFont val="Noto Sans CJK SC"/>
        <family val="2"/>
        <charset val="1"/>
      </rPr>
      <t xml:space="preserve">94</t>
    </r>
    <r>
      <rPr>
        <sz val="10"/>
        <rFont val="WenQuanYi Zen Hei"/>
        <family val="2"/>
      </rPr>
      <t xml:space="preserve">조</t>
    </r>
    <r>
      <rPr>
        <sz val="10"/>
        <rFont val="Noto Sans CJK SC"/>
        <family val="2"/>
        <charset val="1"/>
      </rPr>
      <t xml:space="preserve">)·decreto-legge(60</t>
    </r>
    <r>
      <rPr>
        <sz val="10"/>
        <rFont val="WenQuanYi Zen Hei"/>
        <family val="2"/>
      </rPr>
      <t xml:space="preserve">일 전환</t>
    </r>
    <r>
      <rPr>
        <sz val="10"/>
        <rFont val="Noto Sans CJK SC"/>
        <family val="2"/>
        <charset val="1"/>
      </rPr>
      <t xml:space="preserve">)·legge 165/2017·</t>
    </r>
    <r>
      <rPr>
        <sz val="10"/>
        <rFont val="WenQuanYi Zen Hei"/>
        <family val="2"/>
      </rPr>
      <t xml:space="preserve">검찰 고발과 </t>
    </r>
    <r>
      <rPr>
        <sz val="10"/>
        <rFont val="Noto Sans CJK SC"/>
        <family val="2"/>
        <charset val="1"/>
      </rPr>
      <t xml:space="preserve">parte civile·Gazzetta Ufficiale/Normattiva</t>
    </r>
  </si>
  <si>
    <r>
      <rPr>
        <sz val="10"/>
        <rFont val="WenQuanYi Zen Hei"/>
        <family val="2"/>
      </rPr>
      <t xml:space="preserve">정치제도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정치경로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의석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화별목차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전체</t>
    </r>
  </si>
  <si>
    <t xml:space="preserve">25</t>
  </si>
  <si>
    <t xml:space="preserve">현안 대응</t>
  </si>
  <si>
    <r>
      <rPr>
        <sz val="10"/>
        <rFont val="WenQuanYi Zen Hei"/>
        <family val="2"/>
      </rPr>
      <t xml:space="preserve">사면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재정 분권 </t>
    </r>
    <r>
      <rPr>
        <sz val="10"/>
        <rFont val="Noto Sans CJK SC"/>
        <family val="2"/>
        <charset val="1"/>
      </rPr>
      <t xml:space="preserve">/ </t>
    </r>
    <r>
      <rPr>
        <sz val="10"/>
        <rFont val="WenQuanYi Zen Hei"/>
        <family val="2"/>
      </rPr>
      <t xml:space="preserve">텅 빈 스페인 </t>
    </r>
    <r>
      <rPr>
        <sz val="10"/>
        <rFont val="Noto Sans CJK SC"/>
        <family val="2"/>
        <charset val="1"/>
      </rPr>
      <t xml:space="preserve">/ DANA / </t>
    </r>
    <r>
      <rPr>
        <sz val="10"/>
        <rFont val="WenQuanYi Zen Hei"/>
        <family val="2"/>
      </rPr>
      <t xml:space="preserve">라이더법 </t>
    </r>
    <r>
      <rPr>
        <sz val="10"/>
        <rFont val="Noto Sans CJK SC"/>
        <family val="2"/>
        <charset val="1"/>
      </rPr>
      <t xml:space="preserve">/ CNI / PRTR</t>
    </r>
  </si>
  <si>
    <r>
      <rPr>
        <sz val="10"/>
        <rFont val="WenQuanYi Zen Hei"/>
        <family val="2"/>
      </rPr>
      <t xml:space="preserve">차등 자치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남북 격차 </t>
    </r>
    <r>
      <rPr>
        <sz val="10"/>
        <rFont val="Noto Sans CJK SC"/>
        <family val="2"/>
        <charset val="1"/>
      </rPr>
      <t xml:space="preserve">/ </t>
    </r>
    <r>
      <rPr>
        <sz val="10"/>
        <rFont val="WenQuanYi Zen Hei"/>
        <family val="2"/>
      </rPr>
      <t xml:space="preserve">내륙 과소지역 </t>
    </r>
    <r>
      <rPr>
        <sz val="10"/>
        <rFont val="Noto Sans CJK SC"/>
        <family val="2"/>
        <charset val="1"/>
      </rPr>
      <t xml:space="preserve">/ </t>
    </r>
    <r>
      <rPr>
        <sz val="10"/>
        <rFont val="WenQuanYi Zen Hei"/>
        <family val="2"/>
      </rPr>
      <t xml:space="preserve">홍수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지반 취약성 </t>
    </r>
    <r>
      <rPr>
        <sz val="10"/>
        <rFont val="Noto Sans CJK SC"/>
        <family val="2"/>
        <charset val="1"/>
      </rPr>
      <t xml:space="preserve">/ </t>
    </r>
    <r>
      <rPr>
        <sz val="10"/>
        <rFont val="WenQuanYi Zen Hei"/>
        <family val="2"/>
      </rPr>
      <t xml:space="preserve">라이더 보호</t>
    </r>
    <r>
      <rPr>
        <sz val="10"/>
        <rFont val="Noto Sans CJK SC"/>
        <family val="2"/>
        <charset val="1"/>
      </rPr>
      <t xml:space="preserve">·EU </t>
    </r>
    <r>
      <rPr>
        <sz val="10"/>
        <rFont val="WenQuanYi Zen Hei"/>
        <family val="2"/>
      </rPr>
      <t xml:space="preserve">지침 </t>
    </r>
    <r>
      <rPr>
        <sz val="10"/>
        <rFont val="Noto Sans CJK SC"/>
        <family val="2"/>
        <charset val="1"/>
      </rPr>
      <t xml:space="preserve">/ </t>
    </r>
    <r>
      <rPr>
        <sz val="10"/>
        <rFont val="WenQuanYi Zen Hei"/>
        <family val="2"/>
      </rPr>
      <t xml:space="preserve">정보기관</t>
    </r>
    <r>
      <rPr>
        <sz val="10"/>
        <rFont val="Noto Sans CJK SC"/>
        <family val="2"/>
        <charset val="1"/>
      </rPr>
      <t xml:space="preserve">·COPASIR·</t>
    </r>
    <r>
      <rPr>
        <sz val="10"/>
        <rFont val="WenQuanYi Zen Hei"/>
        <family val="2"/>
      </rPr>
      <t xml:space="preserve">스파이웨어 </t>
    </r>
    <r>
      <rPr>
        <sz val="10"/>
        <rFont val="Noto Sans CJK SC"/>
        <family val="2"/>
        <charset val="1"/>
      </rPr>
      <t xml:space="preserve">/ PNRR. </t>
    </r>
    <r>
      <rPr>
        <sz val="10"/>
        <rFont val="WenQuanYi Zen Hei"/>
        <family val="2"/>
      </rPr>
      <t xml:space="preserve">기준값을 </t>
    </r>
    <r>
      <rPr>
        <sz val="10"/>
        <rFont val="Noto Sans CJK SC"/>
        <family val="2"/>
        <charset val="1"/>
      </rPr>
      <t xml:space="preserve">ISTAT·NATO </t>
    </r>
    <r>
      <rPr>
        <sz val="10"/>
        <rFont val="WenQuanYi Zen Hei"/>
        <family val="2"/>
      </rPr>
      <t xml:space="preserve">자료로 다시 확인</t>
    </r>
    <r>
      <rPr>
        <sz val="10"/>
        <rFont val="Noto Sans CJK SC"/>
        <family val="2"/>
        <charset val="1"/>
      </rPr>
      <t xml:space="preserve">(2026-09-24)</t>
    </r>
  </si>
  <si>
    <t xml:space="preserve">26</t>
  </si>
  <si>
    <t xml:space="preserve">시뮬레이션 재설계</t>
  </si>
  <si>
    <r>
      <rPr>
        <sz val="10"/>
        <rFont val="WenQuanYi Zen Hei"/>
        <family val="2"/>
      </rPr>
      <t xml:space="preserve">하원 </t>
    </r>
    <r>
      <rPr>
        <sz val="10"/>
        <rFont val="Noto Sans CJK SC"/>
        <family val="2"/>
        <charset val="1"/>
      </rPr>
      <t xml:space="preserve">350</t>
    </r>
    <r>
      <rPr>
        <sz val="10"/>
        <rFont val="WenQuanYi Zen Hei"/>
        <family val="2"/>
      </rPr>
      <t xml:space="preserve">석</t>
    </r>
    <r>
      <rPr>
        <sz val="10"/>
        <rFont val="Noto Sans CJK SC"/>
        <family val="2"/>
        <charset val="1"/>
      </rPr>
      <t xml:space="preserve">, investidura 1·2</t>
    </r>
    <r>
      <rPr>
        <sz val="10"/>
        <rFont val="WenQuanYi Zen Hei"/>
        <family val="2"/>
      </rPr>
      <t xml:space="preserve">차 표결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건설적 불신임안</t>
    </r>
    <r>
      <rPr>
        <sz val="10"/>
        <rFont val="Noto Sans CJK SC"/>
        <family val="2"/>
        <charset val="1"/>
      </rPr>
      <t xml:space="preserve">(176</t>
    </r>
    <r>
      <rPr>
        <sz val="10"/>
        <rFont val="WenQuanYi Zen Hei"/>
        <family val="2"/>
      </rPr>
      <t xml:space="preserve">표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</si>
  <si>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WenQuanYi Zen Hei"/>
        <family val="2"/>
      </rPr>
      <t xml:space="preserve">하원 </t>
    </r>
    <r>
      <rPr>
        <sz val="10"/>
        <rFont val="Noto Sans CJK SC"/>
        <family val="2"/>
        <charset val="1"/>
      </rPr>
      <t xml:space="preserve">400</t>
    </r>
    <r>
      <rPr>
        <sz val="10"/>
        <rFont val="WenQuanYi Zen Hei"/>
        <family val="2"/>
      </rPr>
      <t xml:space="preserve">석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상원 </t>
    </r>
    <r>
      <rPr>
        <sz val="10"/>
        <rFont val="Noto Sans CJK SC"/>
        <family val="2"/>
        <charset val="1"/>
      </rPr>
      <t xml:space="preserve">200</t>
    </r>
    <r>
      <rPr>
        <sz val="10"/>
        <rFont val="WenQuanYi Zen Hei"/>
        <family val="2"/>
      </rPr>
      <t xml:space="preserve">석</t>
    </r>
    <r>
      <rPr>
        <sz val="10"/>
        <rFont val="Noto Sans CJK SC"/>
        <family val="2"/>
        <charset val="1"/>
      </rPr>
      <t xml:space="preserve">, UCN </t>
    </r>
    <r>
      <rPr>
        <sz val="10"/>
        <rFont val="WenQuanYi Zen Hei"/>
        <family val="2"/>
      </rPr>
      <t xml:space="preserve">정부 하원 신임 부결 → 재선거 → </t>
    </r>
    <r>
      <rPr>
        <sz val="10"/>
        <rFont val="Noto Sans CJK SC"/>
        <family val="2"/>
        <charset val="1"/>
      </rPr>
      <t xml:space="preserve">Marco </t>
    </r>
    <r>
      <rPr>
        <sz val="10"/>
        <rFont val="WenQuanYi Zen Hei"/>
        <family val="2"/>
      </rPr>
      <t xml:space="preserve">정부 하원 통과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상원 </t>
    </r>
    <r>
      <rPr>
        <sz val="10"/>
        <rFont val="Noto Sans CJK SC"/>
        <family val="2"/>
        <charset val="1"/>
      </rPr>
      <t xml:space="preserve">102:101(</t>
    </r>
    <r>
      <rPr>
        <sz val="10"/>
        <rFont val="WenQuanYi Zen Hei"/>
        <family val="2"/>
      </rPr>
      <t xml:space="preserve">종신 상원의원 포함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불신임안은 단순다수</t>
    </r>
  </si>
  <si>
    <t xml:space="preserve">27</t>
  </si>
  <si>
    <t xml:space="preserve">언어 장치</t>
  </si>
  <si>
    <r>
      <rPr>
        <sz val="10"/>
        <rFont val="Noto Sans CJK SC"/>
        <family val="2"/>
        <charset val="1"/>
      </rPr>
      <t xml:space="preserve">tú/usted/vosotros/ustedes, </t>
    </r>
    <r>
      <rPr>
        <sz val="10"/>
        <rFont val="WenQuanYi Zen Hei"/>
        <family val="2"/>
      </rPr>
      <t xml:space="preserve">스페인 고전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세르반테스 등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스페인어 욕</t>
    </r>
  </si>
  <si>
    <r>
      <rPr>
        <sz val="10"/>
        <rFont val="Noto Sans CJK SC"/>
        <family val="2"/>
        <charset val="1"/>
      </rPr>
      <t xml:space="preserve">tu/Lei/voi/Loro(Cesare</t>
    </r>
    <r>
      <rPr>
        <sz val="10"/>
        <rFont val="WenQuanYi Zen Hei"/>
        <family val="2"/>
      </rPr>
      <t xml:space="preserve">의 고풍 격식 복수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부활자의 자기 인용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단테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마키아벨리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갈릴레이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카이사르</t>
    </r>
    <r>
      <rPr>
        <sz val="10"/>
        <rFont val="Noto Sans CJK SC"/>
        <family val="2"/>
        <charset val="1"/>
      </rPr>
      <t xml:space="preserve">), </t>
    </r>
    <r>
      <rPr>
        <sz val="10"/>
        <rFont val="WenQuanYi Zen Hei"/>
        <family val="2"/>
      </rPr>
      <t xml:space="preserve">순한 이탈리아어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로마 사투리 욕</t>
    </r>
  </si>
  <si>
    <r>
      <rPr>
        <sz val="10"/>
        <rFont val="WenQuanYi Zen Hei"/>
        <family val="2"/>
      </rPr>
      <t xml:space="preserve">호칭규칙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대화문규칙</t>
    </r>
    <r>
      <rPr>
        <sz val="10"/>
        <rFont val="Noto Sans CJK SC"/>
        <family val="2"/>
        <charset val="1"/>
      </rPr>
      <t xml:space="preserve">, Sofia_</t>
    </r>
    <r>
      <rPr>
        <sz val="10"/>
        <rFont val="WenQuanYi Zen Hei"/>
        <family val="2"/>
      </rPr>
      <t xml:space="preserve">폭발과욕</t>
    </r>
  </si>
  <si>
    <t xml:space="preserve">28</t>
  </si>
  <si>
    <t xml:space="preserve">시트명 변경</t>
  </si>
  <si>
    <r>
      <rPr>
        <sz val="10"/>
        <rFont val="Noto Sans CJK SC"/>
        <family val="2"/>
        <charset val="1"/>
      </rPr>
      <t xml:space="preserve">Carmen_</t>
    </r>
    <r>
      <rPr>
        <sz val="10"/>
        <rFont val="WenQuanYi Zen Hei"/>
        <family val="2"/>
      </rPr>
      <t xml:space="preserve">폭발과욕 </t>
    </r>
    <r>
      <rPr>
        <sz val="10"/>
        <rFont val="Noto Sans CJK SC"/>
        <family val="2"/>
        <charset val="1"/>
      </rPr>
      <t xml:space="preserve">/ Anselmo_</t>
    </r>
    <r>
      <rPr>
        <sz val="10"/>
        <rFont val="WenQuanYi Zen Hei"/>
        <family val="2"/>
      </rPr>
      <t xml:space="preserve">죽음 </t>
    </r>
    <r>
      <rPr>
        <sz val="10"/>
        <rFont val="Noto Sans CJK SC"/>
        <family val="2"/>
        <charset val="1"/>
      </rPr>
      <t xml:space="preserve">/ Raimundo_</t>
    </r>
    <r>
      <rPr>
        <sz val="10"/>
        <rFont val="WenQuanYi Zen Hei"/>
        <family val="2"/>
      </rPr>
      <t xml:space="preserve">출처 </t>
    </r>
    <r>
      <rPr>
        <sz val="10"/>
        <rFont val="Noto Sans CJK SC"/>
        <family val="2"/>
        <charset val="1"/>
      </rPr>
      <t xml:space="preserve">/ 12</t>
    </r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구성</t>
    </r>
  </si>
  <si>
    <r>
      <rPr>
        <sz val="10"/>
        <rFont val="Noto Sans CJK SC"/>
        <family val="2"/>
        <charset val="1"/>
      </rPr>
      <t xml:space="preserve">Sofia_</t>
    </r>
    <r>
      <rPr>
        <sz val="10"/>
        <rFont val="WenQuanYi Zen Hei"/>
        <family val="2"/>
      </rPr>
      <t xml:space="preserve">폭발과욕 </t>
    </r>
    <r>
      <rPr>
        <sz val="10"/>
        <rFont val="Noto Sans CJK SC"/>
        <family val="2"/>
        <charset val="1"/>
      </rPr>
      <t xml:space="preserve">/ Cesare_</t>
    </r>
    <r>
      <rPr>
        <sz val="10"/>
        <rFont val="WenQuanYi Zen Hei"/>
        <family val="2"/>
      </rPr>
      <t xml:space="preserve">죽음 </t>
    </r>
    <r>
      <rPr>
        <sz val="10"/>
        <rFont val="Noto Sans CJK SC"/>
        <family val="2"/>
        <charset val="1"/>
      </rPr>
      <t xml:space="preserve">/ Gramsci_</t>
    </r>
    <r>
      <rPr>
        <sz val="10"/>
        <rFont val="WenQuanYi Zen Hei"/>
        <family val="2"/>
      </rPr>
      <t xml:space="preserve">출처 </t>
    </r>
    <r>
      <rPr>
        <sz val="10"/>
        <rFont val="Noto Sans CJK SC"/>
        <family val="2"/>
        <charset val="1"/>
      </rPr>
      <t xml:space="preserve">/ 13</t>
    </r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구성</t>
    </r>
  </si>
  <si>
    <t xml:space="preserve">개요</t>
  </si>
  <si>
    <t xml:space="preserve">29</t>
  </si>
  <si>
    <r>
      <rPr>
        <sz val="10"/>
        <rFont val="WenQuanYi Zen Hei"/>
        <family val="2"/>
      </rPr>
      <t xml:space="preserve">턴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설계 </t>
    </r>
    <r>
      <rPr>
        <sz val="10"/>
        <rFont val="Noto Sans CJK SC"/>
        <family val="2"/>
        <charset val="1"/>
      </rPr>
      <t xml:space="preserve">13</t>
    </r>
    <r>
      <rPr>
        <sz val="10"/>
        <rFont val="WenQuanYi Zen Hei"/>
        <family val="2"/>
      </rPr>
      <t xml:space="preserve">부 확장</t>
    </r>
  </si>
  <si>
    <r>
      <rPr>
        <sz val="10"/>
        <rFont val="Noto Sans CJK SC"/>
        <family val="2"/>
        <charset val="1"/>
      </rPr>
      <t xml:space="preserve">12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× 14</t>
    </r>
    <r>
      <rPr>
        <sz val="10"/>
        <rFont val="WenQuanYi Zen Hei"/>
        <family val="2"/>
      </rPr>
      <t xml:space="preserve">인 표</t>
    </r>
    <r>
      <rPr>
        <sz val="10"/>
        <rFont val="Noto Sans CJK SC"/>
        <family val="2"/>
        <charset val="1"/>
      </rPr>
      <t xml:space="preserve">, 13</t>
    </r>
    <r>
      <rPr>
        <sz val="10"/>
        <rFont val="WenQuanYi Zen Hei"/>
        <family val="2"/>
      </rPr>
      <t xml:space="preserve">부 대화량이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전체</t>
    </r>
    <r>
      <rPr>
        <sz val="10"/>
        <rFont val="Noto Sans CJK SC"/>
        <family val="2"/>
        <charset val="1"/>
      </rPr>
      <t xml:space="preserve">' </t>
    </r>
    <r>
      <rPr>
        <sz val="10"/>
        <rFont val="WenQuanYi Zen Hei"/>
        <family val="2"/>
      </rPr>
      <t xml:space="preserve">행을 참조하던 오류</t>
    </r>
  </si>
  <si>
    <r>
      <rPr>
        <sz val="10"/>
        <rFont val="Noto Sans CJK SC"/>
        <family val="2"/>
        <charset val="1"/>
      </rPr>
      <t xml:space="preserve">13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× 15</t>
    </r>
    <r>
      <rPr>
        <sz val="10"/>
        <rFont val="WenQuanYi Zen Hei"/>
        <family val="2"/>
      </rPr>
      <t xml:space="preserve">인</t>
    </r>
    <r>
      <rPr>
        <sz val="10"/>
        <rFont val="Noto Sans CJK SC"/>
        <family val="2"/>
        <charset val="1"/>
      </rPr>
      <t xml:space="preserve">(+</t>
    </r>
    <r>
      <rPr>
        <sz val="10"/>
        <rFont val="WenQuanYi Zen Hei"/>
        <family val="2"/>
      </rPr>
      <t xml:space="preserve">엑스트라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으로 확장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신규 </t>
    </r>
    <r>
      <rPr>
        <sz val="10"/>
        <rFont val="Noto Sans CJK SC"/>
        <family val="2"/>
        <charset val="1"/>
      </rPr>
      <t xml:space="preserve">12</t>
    </r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국정 </t>
    </r>
    <r>
      <rPr>
        <sz val="10"/>
        <rFont val="Noto Sans CJK SC"/>
        <family val="2"/>
        <charset val="1"/>
      </rPr>
      <t xml:space="preserve">II) </t>
    </r>
    <r>
      <rPr>
        <sz val="10"/>
        <rFont val="WenQuanYi Zen Hei"/>
        <family val="2"/>
      </rPr>
      <t xml:space="preserve">점유율 추가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아크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구성계획의 대화량 수식을 부별 행에 맞게 재연결</t>
    </r>
  </si>
  <si>
    <r>
      <rPr>
        <sz val="10"/>
        <rFont val="WenQuanYi Zen Hei"/>
        <family val="2"/>
      </rPr>
      <t xml:space="preserve">턴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설계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아크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구성계획</t>
    </r>
  </si>
  <si>
    <t xml:space="preserve">30</t>
  </si>
  <si>
    <r>
      <rPr>
        <sz val="10"/>
        <rFont val="WenQuanYi Zen Hei"/>
        <family val="2"/>
      </rPr>
      <t xml:space="preserve">현안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분포 재집계</t>
    </r>
  </si>
  <si>
    <t xml:space="preserve">화별 목차와 어긋난 기호 배치</t>
  </si>
  <si>
    <r>
      <rPr>
        <sz val="10"/>
        <rFont val="WenQuanYi Zen Hei"/>
        <family val="2"/>
      </rPr>
      <t xml:space="preserve">현안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배치의 주요</t>
    </r>
    <r>
      <rPr>
        <sz val="10"/>
        <rFont val="Noto Sans CJK SC"/>
        <family val="2"/>
        <charset val="1"/>
      </rPr>
      <t xml:space="preserve">(●)·</t>
    </r>
    <r>
      <rPr>
        <sz val="10"/>
        <rFont val="WenQuanYi Zen Hei"/>
        <family val="2"/>
      </rPr>
      <t xml:space="preserve">곁가지</t>
    </r>
    <r>
      <rPr>
        <sz val="10"/>
        <rFont val="Noto Sans CJK SC"/>
        <family val="2"/>
        <charset val="1"/>
      </rPr>
      <t xml:space="preserve">(○) </t>
    </r>
    <r>
      <rPr>
        <sz val="10"/>
        <rFont val="WenQuanYi Zen Hei"/>
        <family val="2"/>
      </rPr>
      <t xml:space="preserve">배치를 기준으로 부별 기호를 다시 채움</t>
    </r>
  </si>
  <si>
    <r>
      <rPr>
        <sz val="10"/>
        <rFont val="WenQuanYi Zen Hei"/>
        <family val="2"/>
      </rPr>
      <t xml:space="preserve">현안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분포</t>
    </r>
  </si>
  <si>
    <r>
      <rPr>
        <b val="true"/>
        <sz val="10"/>
        <rFont val="Arial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미결 사항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확정 필요</t>
    </r>
    <r>
      <rPr>
        <b val="true"/>
        <sz val="10"/>
        <rFont val="Arial"/>
        <family val="0"/>
        <charset val="1"/>
      </rPr>
      <t xml:space="preserve">)</t>
    </r>
  </si>
  <si>
    <t xml:space="preserve">제안</t>
  </si>
  <si>
    <t xml:space="preserve">관련 시트</t>
  </si>
  <si>
    <t xml:space="preserve">부활의 규칙</t>
  </si>
  <si>
    <r>
      <rPr>
        <sz val="10"/>
        <rFont val="WenQuanYi Zen Hei"/>
        <family val="2"/>
      </rPr>
      <t xml:space="preserve">부활자 </t>
    </r>
    <r>
      <rPr>
        <sz val="10"/>
        <rFont val="Noto Sans CJK SC"/>
        <family val="2"/>
        <charset val="1"/>
      </rPr>
      <t xml:space="preserve">7</t>
    </r>
    <r>
      <rPr>
        <sz val="10"/>
        <rFont val="WenQuanYi Zen Hei"/>
        <family val="2"/>
      </rPr>
      <t xml:space="preserve">인의 신분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서류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국적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나이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과 부활 이유를 어디까지 설명할지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</si>
  <si>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끝까지 설명하지 않고 개그로만 처리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공증인의 곤혹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선거 출마 자격 등은 피해 간다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</si>
  <si>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Noto Sans CJK SC"/>
        <family val="2"/>
        <charset val="1"/>
      </rPr>
      <t xml:space="preserve">Gramsci </t>
    </r>
    <r>
      <rPr>
        <sz val="10"/>
        <rFont val="WenQuanYi Zen Hei"/>
        <family val="2"/>
      </rPr>
      <t xml:space="preserve">카드의 범위</t>
    </r>
  </si>
  <si>
    <r>
      <rPr>
        <sz val="10"/>
        <rFont val="WenQuanYi Zen Hei"/>
        <family val="2"/>
      </rPr>
      <t xml:space="preserve">카드를 전 화</t>
    </r>
    <r>
      <rPr>
        <sz val="10"/>
        <rFont val="Noto Sans CJK SC"/>
        <family val="2"/>
        <charset val="1"/>
      </rPr>
      <t xml:space="preserve">(156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에 넣을지</t>
    </r>
    <r>
      <rPr>
        <sz val="10"/>
        <rFont val="Noto Sans CJK SC"/>
        <family val="2"/>
        <charset val="1"/>
      </rPr>
      <t xml:space="preserve">, Gramsci </t>
    </r>
    <r>
      <rPr>
        <sz val="10"/>
        <rFont val="WenQuanYi Zen Hei"/>
        <family val="2"/>
      </rPr>
      <t xml:space="preserve">등장 화에만 넣을지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</si>
  <si>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등장 화에만 넣고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미등장 화는 </t>
    </r>
    <r>
      <rPr>
        <sz val="10"/>
        <rFont val="Noto Sans CJK SC"/>
        <family val="2"/>
        <charset val="1"/>
      </rPr>
      <t xml:space="preserve">Sofia</t>
    </r>
    <r>
      <rPr>
        <sz val="10"/>
        <rFont val="WenQuanYi Zen Hei"/>
        <family val="2"/>
      </rPr>
      <t xml:space="preserve">가 사전</t>
    </r>
    <r>
      <rPr>
        <sz val="10"/>
        <rFont val="Noto Sans CJK SC"/>
        <family val="2"/>
        <charset val="1"/>
      </rPr>
      <t xml:space="preserve">(Treccani)</t>
    </r>
    <r>
      <rPr>
        <sz val="10"/>
        <rFont val="WenQuanYi Zen Hei"/>
        <family val="2"/>
      </rPr>
      <t xml:space="preserve">을 찾는 짧은 대사로 대체</t>
    </r>
  </si>
  <si>
    <r>
      <rPr>
        <sz val="10"/>
        <rFont val="Noto Sans CJK SC"/>
        <family val="2"/>
        <charset val="1"/>
      </rPr>
      <t xml:space="preserve">Sofia → </t>
    </r>
    <r>
      <rPr>
        <sz val="10"/>
        <rFont val="WenQuanYi Zen Hei"/>
        <family val="2"/>
      </rPr>
      <t xml:space="preserve">주력 </t>
    </r>
    <r>
      <rPr>
        <sz val="10"/>
        <rFont val="Noto Sans CJK SC"/>
        <family val="2"/>
        <charset val="1"/>
      </rPr>
      <t xml:space="preserve">4</t>
    </r>
    <r>
      <rPr>
        <sz val="10"/>
        <rFont val="WenQuanYi Zen Hei"/>
        <family val="2"/>
      </rPr>
      <t xml:space="preserve">인 호칭 전환</t>
    </r>
  </si>
  <si>
    <r>
      <rPr>
        <sz val="10"/>
        <rFont val="Noto Sans CJK SC"/>
        <family val="2"/>
        <charset val="1"/>
      </rPr>
      <t xml:space="preserve">Cesare</t>
    </r>
    <r>
      <rPr>
        <sz val="10"/>
        <rFont val="WenQuanYi Zen Hei"/>
        <family val="2"/>
      </rPr>
      <t xml:space="preserve">에게만 </t>
    </r>
    <r>
      <rPr>
        <sz val="10"/>
        <rFont val="Noto Sans CJK SC"/>
        <family val="2"/>
        <charset val="1"/>
      </rPr>
      <t xml:space="preserve">12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화에서 </t>
    </r>
    <r>
      <rPr>
        <sz val="10"/>
        <rFont val="Noto Sans CJK SC"/>
        <family val="2"/>
        <charset val="1"/>
      </rPr>
      <t xml:space="preserve">tu</t>
    </r>
    <r>
      <rPr>
        <sz val="10"/>
        <rFont val="WenQuanYi Zen Hei"/>
        <family val="2"/>
      </rPr>
      <t xml:space="preserve">로 전환한다는 것 외에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다른 인물에게 언제 </t>
    </r>
    <r>
      <rPr>
        <sz val="10"/>
        <rFont val="Noto Sans CJK SC"/>
        <family val="2"/>
        <charset val="1"/>
      </rPr>
      <t xml:space="preserve">tu</t>
    </r>
    <r>
      <rPr>
        <sz val="10"/>
        <rFont val="WenQuanYi Zen Hei"/>
        <family val="2"/>
      </rPr>
      <t xml:space="preserve">로 넘어가는지 미정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</si>
  <si>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Noto Sans CJK SC"/>
        <family val="2"/>
        <charset val="1"/>
      </rPr>
      <t xml:space="preserve">6</t>
    </r>
    <r>
      <rPr>
        <sz val="10"/>
        <rFont val="WenQuanYi Zen Hei"/>
        <family val="2"/>
      </rPr>
      <t xml:space="preserve">부 만남 이후 자연스럽게 </t>
    </r>
    <r>
      <rPr>
        <sz val="10"/>
        <rFont val="Noto Sans CJK SC"/>
        <family val="2"/>
        <charset val="1"/>
      </rPr>
      <t xml:space="preserve">tu (Cesare·Garibaldi·Francesco</t>
    </r>
    <r>
      <rPr>
        <sz val="10"/>
        <rFont val="WenQuanYi Zen Hei"/>
        <family val="2"/>
      </rPr>
      <t xml:space="preserve">는 </t>
    </r>
    <r>
      <rPr>
        <sz val="10"/>
        <rFont val="Noto Sans CJK SC"/>
        <family val="2"/>
        <charset val="1"/>
      </rPr>
      <t xml:space="preserve">Lei </t>
    </r>
    <r>
      <rPr>
        <sz val="10"/>
        <rFont val="WenQuanYi Zen Hei"/>
        <family val="2"/>
      </rPr>
      <t xml:space="preserve">유지</t>
    </r>
    <r>
      <rPr>
        <sz val="10"/>
        <rFont val="Noto Sans CJK SC"/>
        <family val="2"/>
        <charset val="1"/>
      </rPr>
      <t xml:space="preserve">)</t>
    </r>
  </si>
  <si>
    <t xml:space="preserve">경과 연수 가정</t>
  </si>
  <si>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부→</t>
    </r>
    <r>
      <rPr>
        <sz val="10"/>
        <rFont val="Noto Sans CJK SC"/>
        <family val="2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6</t>
    </r>
    <r>
      <rPr>
        <sz val="10"/>
        <rFont val="WenQuanYi Zen Hei"/>
        <family val="2"/>
      </rPr>
      <t xml:space="preserve">년 가정</t>
    </r>
    <r>
      <rPr>
        <sz val="10"/>
        <rFont val="Noto Sans CJK SC"/>
        <family val="2"/>
        <charset val="1"/>
      </rPr>
      <t xml:space="preserve">(Cesare 55→61</t>
    </r>
    <r>
      <rPr>
        <sz val="10"/>
        <rFont val="WenQuanYi Zen Hei"/>
        <family val="2"/>
      </rPr>
      <t xml:space="preserve">세</t>
    </r>
    <r>
      <rPr>
        <sz val="10"/>
        <rFont val="Noto Sans CJK SC"/>
        <family val="2"/>
        <charset val="1"/>
      </rPr>
      <t xml:space="preserve">). 13</t>
    </r>
    <r>
      <rPr>
        <sz val="10"/>
        <rFont val="WenQuanYi Zen Hei"/>
        <family val="2"/>
      </rPr>
      <t xml:space="preserve">부는 그 이후 시점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</si>
  <si>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확정 시 개요</t>
    </r>
    <r>
      <rPr>
        <sz val="10"/>
        <rFont val="Noto Sans CJK SC"/>
        <family val="2"/>
        <charset val="1"/>
      </rPr>
      <t xml:space="preserve">!C11</t>
    </r>
    <r>
      <rPr>
        <sz val="10"/>
        <rFont val="WenQuanYi Zen Hei"/>
        <family val="2"/>
      </rPr>
      <t xml:space="preserve">만 수정</t>
    </r>
  </si>
  <si>
    <t xml:space="preserve">정치 직책</t>
  </si>
  <si>
    <r>
      <rPr>
        <sz val="10"/>
        <rFont val="Noto Sans CJK SC"/>
        <family val="2"/>
        <charset val="1"/>
      </rPr>
      <t xml:space="preserve">15</t>
    </r>
    <r>
      <rPr>
        <sz val="10"/>
        <rFont val="WenQuanYi Zen Hei"/>
        <family val="2"/>
      </rPr>
      <t xml:space="preserve">인의 직책은 제안 단계</t>
    </r>
    <r>
      <rPr>
        <sz val="10"/>
        <rFont val="Noto Sans CJK SC"/>
        <family val="2"/>
        <charset val="1"/>
      </rPr>
      <t xml:space="preserve">. Galileo(</t>
    </r>
    <r>
      <rPr>
        <sz val="10"/>
        <rFont val="WenQuanYi Zen Hei"/>
        <family val="2"/>
      </rPr>
      <t xml:space="preserve">정부 대변인</t>
    </r>
    <r>
      <rPr>
        <sz val="10"/>
        <rFont val="Noto Sans CJK SC"/>
        <family val="2"/>
        <charset val="1"/>
      </rPr>
      <t xml:space="preserve">)·Montessori(</t>
    </r>
    <r>
      <rPr>
        <sz val="10"/>
        <rFont val="WenQuanYi Zen Hei"/>
        <family val="2"/>
      </rPr>
      <t xml:space="preserve">청년 정신건강</t>
    </r>
    <r>
      <rPr>
        <sz val="10"/>
        <rFont val="Noto Sans CJK SC"/>
        <family val="2"/>
        <charset val="1"/>
      </rPr>
      <t xml:space="preserve">) </t>
    </r>
    <r>
      <rPr>
        <sz val="10"/>
        <rFont val="WenQuanYi Zen Hei"/>
        <family val="2"/>
      </rPr>
      <t xml:space="preserve">역할을 캐릭터 시트에 반영함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</si>
  <si>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부활자는 정식 장관보다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자문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으로 두는 안 유지 </t>
    </r>
    <r>
      <rPr>
        <sz val="10"/>
        <rFont val="Noto Sans CJK SC"/>
        <family val="2"/>
        <charset val="1"/>
      </rPr>
      <t xml:space="preserve">(Garibaldi</t>
    </r>
    <r>
      <rPr>
        <sz val="10"/>
        <rFont val="WenQuanYi Zen Hei"/>
        <family val="2"/>
      </rPr>
      <t xml:space="preserve">만 장관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</si>
  <si>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WenQuanYi Zen Hei"/>
        <family val="2"/>
      </rPr>
      <t xml:space="preserve">법령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조항 확인</t>
    </r>
  </si>
  <si>
    <r>
      <rPr>
        <sz val="10"/>
        <rFont val="WenQuanYi Zen Hei"/>
        <family val="2"/>
      </rPr>
      <t xml:space="preserve">출처표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제도표의 법령 번호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조항은 기획 시점 지식 기준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</si>
  <si>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교재 반영 전 </t>
    </r>
    <r>
      <rPr>
        <sz val="10"/>
        <rFont val="Noto Sans CJK SC"/>
        <family val="2"/>
        <charset val="1"/>
      </rPr>
      <t xml:space="preserve">Normattiva </t>
    </r>
    <r>
      <rPr>
        <sz val="10"/>
        <rFont val="WenQuanYi Zen Hei"/>
        <family val="2"/>
      </rPr>
      <t xml:space="preserve">현행 통합본으로 확인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선거 서명 요건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교섭단체 인원</t>
    </r>
    <r>
      <rPr>
        <sz val="10"/>
        <rFont val="Noto Sans CJK SC"/>
        <family val="2"/>
        <charset val="1"/>
      </rPr>
      <t xml:space="preserve">·TUEL </t>
    </r>
    <r>
      <rPr>
        <sz val="10"/>
        <rFont val="WenQuanYi Zen Hei"/>
        <family val="2"/>
      </rPr>
      <t xml:space="preserve">제</t>
    </r>
    <r>
      <rPr>
        <sz val="10"/>
        <rFont val="Noto Sans CJK SC"/>
        <family val="2"/>
        <charset val="1"/>
      </rPr>
      <t xml:space="preserve">73</t>
    </r>
    <r>
      <rPr>
        <sz val="10"/>
        <rFont val="WenQuanYi Zen Hei"/>
        <family val="2"/>
      </rPr>
      <t xml:space="preserve">조는 특히 확인</t>
    </r>
  </si>
  <si>
    <r>
      <rPr>
        <sz val="10"/>
        <rFont val="Noto Sans CJK SC"/>
        <family val="2"/>
        <charset val="1"/>
      </rPr>
      <t xml:space="preserve">Gramsci_</t>
    </r>
    <r>
      <rPr>
        <sz val="10"/>
        <rFont val="WenQuanYi Zen Hei"/>
        <family val="2"/>
      </rPr>
      <t xml:space="preserve">출처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정치제도</t>
    </r>
  </si>
  <si>
    <t xml:space="preserve">대화량 실측 교정</t>
  </si>
  <si>
    <r>
      <rPr>
        <sz val="10"/>
        <rFont val="WenQuanYi Zen Hei"/>
        <family val="2"/>
      </rPr>
      <t xml:space="preserve">화당 </t>
    </r>
    <r>
      <rPr>
        <sz val="10"/>
        <rFont val="Noto Sans CJK SC"/>
        <family val="2"/>
        <charset val="1"/>
      </rPr>
      <t xml:space="preserve">120</t>
    </r>
    <r>
      <rPr>
        <sz val="10"/>
        <rFont val="WenQuanYi Zen Hei"/>
        <family val="2"/>
      </rPr>
      <t xml:space="preserve">턴은 확정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화자 점유율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평균 단어</t>
    </r>
    <r>
      <rPr>
        <sz val="10"/>
        <rFont val="Noto Sans CJK SC"/>
        <family val="2"/>
        <charset val="1"/>
      </rPr>
      <t xml:space="preserve">/</t>
    </r>
    <r>
      <rPr>
        <sz val="10"/>
        <rFont val="WenQuanYi Zen Hei"/>
        <family val="2"/>
      </rPr>
      <t xml:space="preserve">턴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낭독 속도</t>
    </r>
    <r>
      <rPr>
        <sz val="10"/>
        <rFont val="Noto Sans CJK SC"/>
        <family val="2"/>
        <charset val="1"/>
      </rPr>
      <t xml:space="preserve">(130</t>
    </r>
    <r>
      <rPr>
        <sz val="10"/>
        <rFont val="WenQuanYi Zen Hei"/>
        <family val="2"/>
      </rPr>
      <t xml:space="preserve">단어</t>
    </r>
    <r>
      <rPr>
        <sz val="10"/>
        <rFont val="Noto Sans CJK SC"/>
        <family val="2"/>
        <charset val="1"/>
      </rPr>
      <t xml:space="preserve">/</t>
    </r>
    <r>
      <rPr>
        <sz val="10"/>
        <rFont val="WenQuanYi Zen Hei"/>
        <family val="2"/>
      </rPr>
      <t xml:space="preserve">분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는 가정값이다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이탈리아어는 스페인어와 단어 길이가 비슷해 기존 값 유지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</si>
  <si>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1~3</t>
    </r>
    <r>
      <rPr>
        <sz val="10"/>
        <rFont val="WenQuanYi Zen Hei"/>
        <family val="2"/>
      </rPr>
      <t xml:space="preserve">화 대본을 쓴 뒤 실제 턴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단어를 재서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턴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설계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의 파란 값을 교정</t>
    </r>
  </si>
  <si>
    <r>
      <rPr>
        <sz val="10"/>
        <rFont val="WenQuanYi Zen Hei"/>
        <family val="2"/>
      </rPr>
      <t xml:space="preserve">턴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설계</t>
    </r>
  </si>
  <si>
    <r>
      <rPr>
        <sz val="10"/>
        <rFont val="Noto Sans CJK SC"/>
        <family val="2"/>
        <charset val="1"/>
      </rPr>
      <t xml:space="preserve">Montessori·Galileo </t>
    </r>
    <r>
      <rPr>
        <sz val="10"/>
        <rFont val="WenQuanYi Zen Hei"/>
        <family val="2"/>
      </rPr>
      <t xml:space="preserve">비중 보강</t>
    </r>
  </si>
  <si>
    <r>
      <rPr>
        <sz val="10"/>
        <rFont val="WenQuanYi Zen Hei"/>
        <family val="2"/>
      </rPr>
      <t xml:space="preserve">가장 얇은 조연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</si>
  <si>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Noto Sans CJK SC"/>
        <family val="2"/>
        <charset val="1"/>
      </rPr>
      <t xml:space="preserve">3·5</t>
    </r>
    <r>
      <rPr>
        <sz val="10"/>
        <rFont val="WenQuanYi Zen Hei"/>
        <family val="2"/>
      </rPr>
      <t xml:space="preserve">부 상담 장면 확대</t>
    </r>
    <r>
      <rPr>
        <sz val="10"/>
        <rFont val="Noto Sans CJK SC"/>
        <family val="2"/>
        <charset val="1"/>
      </rPr>
      <t xml:space="preserve">, 12</t>
    </r>
    <r>
      <rPr>
        <sz val="10"/>
        <rFont val="WenQuanYi Zen Hei"/>
        <family val="2"/>
      </rPr>
      <t xml:space="preserve">부 애도 상담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스파이웨어 검증 배정</t>
    </r>
  </si>
  <si>
    <r>
      <rPr>
        <sz val="10"/>
        <rFont val="WenQuanYi Zen Hei"/>
        <family val="2"/>
      </rPr>
      <t xml:space="preserve">등장비중</t>
    </r>
    <r>
      <rPr>
        <sz val="10"/>
        <rFont val="Noto Sans CJK SC"/>
        <family val="2"/>
        <charset val="1"/>
      </rPr>
      <t xml:space="preserve">, Cesare_</t>
    </r>
    <r>
      <rPr>
        <sz val="10"/>
        <rFont val="WenQuanYi Zen Hei"/>
        <family val="2"/>
      </rPr>
      <t xml:space="preserve">죽음</t>
    </r>
  </si>
  <si>
    <t xml:space="preserve">정부 형태</t>
  </si>
  <si>
    <r>
      <rPr>
        <sz val="10"/>
        <rFont val="Noto Sans CJK SC"/>
        <family val="2"/>
        <charset val="1"/>
      </rPr>
      <t xml:space="preserve">CC </t>
    </r>
    <r>
      <rPr>
        <sz val="10"/>
        <rFont val="WenQuanYi Zen Hei"/>
        <family val="2"/>
      </rPr>
      <t xml:space="preserve">주도 연립</t>
    </r>
    <r>
      <rPr>
        <sz val="10"/>
        <rFont val="Noto Sans CJK SC"/>
        <family val="2"/>
        <charset val="1"/>
      </rPr>
      <t xml:space="preserve">(PPS·TA) + TB </t>
    </r>
    <r>
      <rPr>
        <sz val="10"/>
        <rFont val="WenQuanYi Zen Hei"/>
        <family val="2"/>
      </rPr>
      <t xml:space="preserve">사안별 지지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현재 설정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</si>
  <si>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Noto Sans CJK SC"/>
        <family val="2"/>
        <charset val="1"/>
      </rPr>
      <t xml:space="preserve">PPS </t>
    </r>
    <r>
      <rPr>
        <sz val="10"/>
        <rFont val="WenQuanYi Zen Hei"/>
        <family val="2"/>
      </rPr>
      <t xml:space="preserve">장관 포함 여부와 연정 협약 문서의 대사화 결정</t>
    </r>
  </si>
  <si>
    <t xml:space="preserve">겸직 규정 확인</t>
  </si>
  <si>
    <r>
      <rPr>
        <sz val="10"/>
        <rFont val="Noto Sans CJK SC"/>
        <family val="2"/>
        <charset val="1"/>
      </rPr>
      <t xml:space="preserve">Alessandro</t>
    </r>
    <r>
      <rPr>
        <sz val="10"/>
        <rFont val="WenQuanYi Zen Hei"/>
        <family val="2"/>
      </rPr>
      <t xml:space="preserve">는 시의원</t>
    </r>
    <r>
      <rPr>
        <sz val="10"/>
        <rFont val="Noto Sans CJK SC"/>
        <family val="2"/>
        <charset val="1"/>
      </rPr>
      <t xml:space="preserve">, Giulia</t>
    </r>
    <r>
      <rPr>
        <sz val="10"/>
        <rFont val="WenQuanYi Zen Hei"/>
        <family val="2"/>
      </rPr>
      <t xml:space="preserve">는 주의원으로 직책을 분리하고 </t>
    </r>
    <r>
      <rPr>
        <sz val="10"/>
        <rFont val="Noto Sans CJK SC"/>
        <family val="2"/>
        <charset val="1"/>
      </rPr>
      <t xml:space="preserve">Marco</t>
    </r>
    <r>
      <rPr>
        <sz val="10"/>
        <rFont val="WenQuanYi Zen Hei"/>
        <family val="2"/>
      </rPr>
      <t xml:space="preserve">만 하원에 출마시키는 설정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이후 장관 임명 시 지방 의원직 처리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</si>
  <si>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지방 의원과 국회의원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장관의 겸직 불가 규정을 확인한 뒤 사퇴 장면을 넣을지 결정</t>
    </r>
  </si>
  <si>
    <r>
      <rPr>
        <sz val="10"/>
        <rFont val="WenQuanYi Zen Hei"/>
        <family val="2"/>
      </rPr>
      <t xml:space="preserve">의석 수</t>
    </r>
    <r>
      <rPr>
        <sz val="10"/>
        <rFont val="Noto Sans CJK SC"/>
        <family val="2"/>
        <charset val="1"/>
      </rPr>
      <t xml:space="preserve">(70·130 </t>
    </r>
    <r>
      <rPr>
        <sz val="10"/>
        <rFont val="WenQuanYi Zen Hei"/>
        <family val="2"/>
      </rPr>
      <t xml:space="preserve">등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와 상원 </t>
    </r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표 차 설정은 교육용 가상 수치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</si>
  <si>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드라마 효과에 맞춰 조정 가능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정치경로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의석의 파란 셀</t>
    </r>
    <r>
      <rPr>
        <sz val="10"/>
        <rFont val="Noto Sans CJK SC"/>
        <family val="2"/>
        <charset val="1"/>
      </rPr>
      <t xml:space="preserve">)</t>
    </r>
  </si>
  <si>
    <t xml:space="preserve">대통령 표현 방침</t>
  </si>
  <si>
    <r>
      <rPr>
        <sz val="10"/>
        <rFont val="WenQuanYi Zen Hei"/>
        <family val="2"/>
      </rPr>
      <t xml:space="preserve">대통령은 직접 대사 없이 공식 발표문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인물 대사로 절차 전달</t>
    </r>
    <r>
      <rPr>
        <sz val="10"/>
        <rFont val="Noto Sans CJK SC"/>
        <family val="2"/>
        <charset val="1"/>
      </rPr>
      <t xml:space="preserve">.</t>
    </r>
  </si>
  <si>
    <t xml:space="preserve">확정 필요</t>
  </si>
  <si>
    <r>
      <rPr>
        <sz val="10"/>
        <rFont val="WenQuanYi Zen Hei"/>
        <family val="2"/>
      </rPr>
      <t xml:space="preserve">법안 형태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협의체 세부</t>
    </r>
  </si>
  <si>
    <r>
      <rPr>
        <sz val="10"/>
        <rFont val="Noto Sans CJK SC"/>
        <family val="2"/>
        <charset val="1"/>
      </rPr>
      <t xml:space="preserve">11</t>
    </r>
    <r>
      <rPr>
        <sz val="10"/>
        <rFont val="WenQuanYi Zen Hei"/>
        <family val="2"/>
      </rPr>
      <t xml:space="preserve">부의 법안 형태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주거법</t>
    </r>
    <r>
      <rPr>
        <sz val="10"/>
        <rFont val="Noto Sans CJK SC"/>
        <family val="2"/>
        <charset val="1"/>
      </rPr>
      <t xml:space="preserve">: </t>
    </r>
    <r>
      <rPr>
        <sz val="10"/>
        <rFont val="WenQuanYi Zen Hei"/>
        <family val="2"/>
      </rPr>
      <t xml:space="preserve">법률 </t>
    </r>
    <r>
      <rPr>
        <sz val="10"/>
        <rFont val="Noto Sans CJK SC"/>
        <family val="2"/>
        <charset val="1"/>
      </rPr>
      <t xml:space="preserve">vs decreto-legge), </t>
    </r>
    <r>
      <rPr>
        <sz val="10"/>
        <rFont val="WenQuanYi Zen Hei"/>
        <family val="2"/>
      </rPr>
      <t xml:space="preserve">국가–주 협의회 세부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</si>
  <si>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Noto Sans CJK SC"/>
        <family val="2"/>
        <charset val="1"/>
      </rPr>
      <t xml:space="preserve">Normattiva·</t>
    </r>
    <r>
      <rPr>
        <sz val="10"/>
        <rFont val="WenQuanYi Zen Hei"/>
        <family val="2"/>
      </rPr>
      <t xml:space="preserve">의회 자료로 확인 후 집필</t>
    </r>
  </si>
  <si>
    <t xml:space="preserve">등장비중 재조정</t>
  </si>
  <si>
    <r>
      <rPr>
        <sz val="10"/>
        <rFont val="WenQuanYi Zen Hei"/>
        <family val="2"/>
      </rPr>
      <t xml:space="preserve">화별 목차의 카메오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교차 출연과 등장비중 표 사이에 미세한 차이가 있다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특히 </t>
    </r>
    <r>
      <rPr>
        <sz val="10"/>
        <rFont val="Noto Sans CJK SC"/>
        <family val="2"/>
        <charset val="1"/>
      </rPr>
      <t xml:space="preserve">Machiavelli </t>
    </r>
    <r>
      <rPr>
        <sz val="10"/>
        <rFont val="WenQuanYi Zen Hei"/>
        <family val="2"/>
      </rPr>
      <t xml:space="preserve">신규 배치</t>
    </r>
    <r>
      <rPr>
        <sz val="10"/>
        <rFont val="Noto Sans CJK SC"/>
        <family val="2"/>
        <charset val="1"/>
      </rPr>
      <t xml:space="preserve">).</t>
    </r>
  </si>
  <si>
    <t xml:space="preserve">화별 대본 집필 전에 표를 화별 목차 기준으로 재집계</t>
  </si>
  <si>
    <r>
      <rPr>
        <sz val="10"/>
        <rFont val="WenQuanYi Zen Hei"/>
        <family val="2"/>
      </rPr>
      <t xml:space="preserve">등장비중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화별목차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전체</t>
    </r>
  </si>
  <si>
    <t xml:space="preserve">가상 인물 목록</t>
  </si>
  <si>
    <r>
      <rPr>
        <sz val="10"/>
        <rFont val="Noto Sans CJK SC"/>
        <family val="2"/>
        <charset val="1"/>
      </rPr>
      <t xml:space="preserve">Santoro(GM </t>
    </r>
    <r>
      <rPr>
        <sz val="10"/>
        <rFont val="WenQuanYi Zen Hei"/>
        <family val="2"/>
      </rPr>
      <t xml:space="preserve">회장</t>
    </r>
    <r>
      <rPr>
        <sz val="10"/>
        <rFont val="Noto Sans CJK SC"/>
        <family val="2"/>
        <charset val="1"/>
      </rPr>
      <t xml:space="preserve">), Colombo·Bassi(</t>
    </r>
    <r>
      <rPr>
        <sz val="10"/>
        <rFont val="WenQuanYi Zen Hei"/>
        <family val="2"/>
      </rPr>
      <t xml:space="preserve">파트너</t>
    </r>
    <r>
      <rPr>
        <sz val="10"/>
        <rFont val="Noto Sans CJK SC"/>
        <family val="2"/>
        <charset val="1"/>
      </rPr>
      <t xml:space="preserve">), Assunta·Marina, Loredana(</t>
    </r>
    <r>
      <rPr>
        <sz val="10"/>
        <rFont val="WenQuanYi Zen Hei"/>
        <family val="2"/>
      </rPr>
      <t xml:space="preserve">간호사</t>
    </r>
    <r>
      <rPr>
        <sz val="10"/>
        <rFont val="Noto Sans CJK SC"/>
        <family val="2"/>
        <charset val="1"/>
      </rPr>
      <t xml:space="preserve">), Ruggeri(</t>
    </r>
    <r>
      <rPr>
        <sz val="10"/>
        <rFont val="WenQuanYi Zen Hei"/>
        <family val="2"/>
      </rPr>
      <t xml:space="preserve">공방</t>
    </r>
    <r>
      <rPr>
        <sz val="10"/>
        <rFont val="Noto Sans CJK SC"/>
        <family val="2"/>
        <charset val="1"/>
      </rPr>
      <t xml:space="preserve">), Luca(</t>
    </r>
    <r>
      <rPr>
        <sz val="10"/>
        <rFont val="WenQuanYi Zen Hei"/>
        <family val="2"/>
      </rPr>
      <t xml:space="preserve">새 인턴</t>
    </r>
    <r>
      <rPr>
        <sz val="10"/>
        <rFont val="Noto Sans CJK SC"/>
        <family val="2"/>
        <charset val="1"/>
      </rPr>
      <t xml:space="preserve">), Fatima·Karim, Davide, Iolanda, Amina·Noa </t>
    </r>
    <r>
      <rPr>
        <sz val="10"/>
        <rFont val="WenQuanYi Zen Hei"/>
        <family val="2"/>
      </rPr>
      <t xml:space="preserve">등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</si>
  <si>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이름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나이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말투를 캐릭터 바이블 부록으로 확정</t>
    </r>
  </si>
  <si>
    <r>
      <rPr>
        <sz val="10"/>
        <rFont val="WenQuanYi Zen Hei"/>
        <family val="2"/>
      </rPr>
      <t xml:space="preserve">아크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구성계획</t>
    </r>
  </si>
  <si>
    <r>
      <rPr>
        <sz val="10"/>
        <rFont val="Noto Sans CJK SC"/>
        <family val="2"/>
        <charset val="1"/>
      </rPr>
      <t xml:space="preserve">Gruppo Meridiano</t>
    </r>
    <r>
      <rPr>
        <sz val="10"/>
        <rFont val="WenQuanYi Zen Hei"/>
        <family val="2"/>
      </rPr>
      <t xml:space="preserve">의 결말</t>
    </r>
  </si>
  <si>
    <r>
      <rPr>
        <sz val="10"/>
        <rFont val="Noto Sans CJK SC"/>
        <family val="2"/>
        <charset val="1"/>
      </rPr>
      <t xml:space="preserve">12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7</t>
    </r>
    <r>
      <rPr>
        <sz val="10"/>
        <rFont val="WenQuanYi Zen Hei"/>
        <family val="2"/>
      </rPr>
      <t xml:space="preserve">화 즈음 재판 시작만 언급하고 판결은 열어 두는 안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</si>
  <si>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판결 여부를 정할지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열린 결말 </t>
    </r>
    <r>
      <rPr>
        <sz val="10"/>
        <rFont val="Noto Sans CJK SC"/>
        <family val="2"/>
        <charset val="1"/>
      </rPr>
      <t xml:space="preserve">vs </t>
    </r>
    <r>
      <rPr>
        <sz val="10"/>
        <rFont val="WenQuanYi Zen Hei"/>
        <family val="2"/>
      </rPr>
      <t xml:space="preserve">유죄</t>
    </r>
    <r>
      <rPr>
        <sz val="10"/>
        <rFont val="Noto Sans CJK SC"/>
        <family val="2"/>
        <charset val="1"/>
      </rPr>
      <t xml:space="preserve">/</t>
    </r>
    <r>
      <rPr>
        <sz val="10"/>
        <rFont val="WenQuanYi Zen Hei"/>
        <family val="2"/>
      </rPr>
      <t xml:space="preserve">무죄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</si>
  <si>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WenQuanYi Zen Hei"/>
        <family val="2"/>
      </rPr>
      <t xml:space="preserve">복선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회수</t>
    </r>
  </si>
  <si>
    <r>
      <rPr>
        <sz val="10"/>
        <rFont val="Noto Sans CJK SC"/>
        <family val="2"/>
        <charset val="1"/>
      </rPr>
      <t xml:space="preserve">7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3</t>
    </r>
    <r>
      <rPr>
        <sz val="10"/>
        <rFont val="WenQuanYi Zen Hei"/>
        <family val="2"/>
      </rPr>
      <t xml:space="preserve">화의 톤</t>
    </r>
  </si>
  <si>
    <r>
      <rPr>
        <sz val="10"/>
        <rFont val="WenQuanYi Zen Hei"/>
        <family val="2"/>
      </rPr>
      <t xml:space="preserve">성폭력 사건 화는 피해자 중심으로</t>
    </r>
    <r>
      <rPr>
        <sz val="10"/>
        <rFont val="Noto Sans CJK SC"/>
        <family val="2"/>
        <charset val="1"/>
      </rPr>
      <t xml:space="preserve">, '</t>
    </r>
    <r>
      <rPr>
        <sz val="10"/>
        <rFont val="WenQuanYi Zen Hei"/>
        <family val="2"/>
      </rPr>
      <t xml:space="preserve">동의</t>
    </r>
    <r>
      <rPr>
        <sz val="10"/>
        <rFont val="Noto Sans CJK SC"/>
        <family val="2"/>
        <charset val="1"/>
      </rPr>
      <t xml:space="preserve">' </t>
    </r>
    <r>
      <rPr>
        <sz val="10"/>
        <rFont val="WenQuanYi Zen Hei"/>
        <family val="2"/>
      </rPr>
      <t xml:space="preserve">명문화와 절차 개혁 양측 논거를 함께 담아야 한다</t>
    </r>
    <r>
      <rPr>
        <sz val="10"/>
        <rFont val="Noto Sans CJK SC"/>
        <family val="2"/>
        <charset val="1"/>
      </rPr>
      <t xml:space="preserve">.</t>
    </r>
  </si>
  <si>
    <t xml:space="preserve">집필 전 톤 가이드 별도 확정</t>
  </si>
  <si>
    <r>
      <rPr>
        <sz val="10"/>
        <rFont val="WenQuanYi Zen Hei"/>
        <family val="2"/>
      </rPr>
      <t xml:space="preserve">현안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배치</t>
    </r>
  </si>
  <si>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부 대본 현지화</t>
    </r>
  </si>
  <si>
    <r>
      <rPr>
        <sz val="10"/>
        <rFont val="WenQuanYi Zen Hei"/>
        <family val="2"/>
      </rPr>
      <t xml:space="preserve">스페인판 </t>
    </r>
    <r>
      <rPr>
        <sz val="10"/>
        <rFont val="Noto Sans CJK SC"/>
        <family val="2"/>
        <charset val="1"/>
      </rPr>
      <t xml:space="preserve">1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12</t>
    </r>
    <r>
      <rPr>
        <sz val="10"/>
        <rFont val="WenQuanYi Zen Hei"/>
        <family val="2"/>
      </rPr>
      <t xml:space="preserve">화 대본이 완성되어 있다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</si>
  <si>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대본을 이 워크북의 인물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지명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제도 대응표에 맞춰 이탈리아어로 다시 쓴다 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직역 금지</t>
    </r>
    <r>
      <rPr>
        <sz val="10"/>
        <rFont val="Noto Sans CJK SC"/>
        <family val="2"/>
        <charset val="1"/>
      </rPr>
      <t xml:space="preserve">, 1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B1 </t>
    </r>
    <r>
      <rPr>
        <sz val="10"/>
        <rFont val="WenQuanYi Zen Hei"/>
        <family val="2"/>
      </rPr>
      <t xml:space="preserve">기준 재집필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</si>
  <si>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WenQuanYi Zen Hei"/>
        <family val="2"/>
      </rPr>
      <t xml:space="preserve">화별목차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전체</t>
    </r>
  </si>
  <si>
    <t xml:space="preserve">차등 자치 수위</t>
  </si>
  <si>
    <r>
      <rPr>
        <sz val="10"/>
        <rFont val="Noto Sans CJK SC"/>
        <family val="2"/>
        <charset val="1"/>
      </rPr>
      <t xml:space="preserve">P2</t>
    </r>
    <r>
      <rPr>
        <sz val="10"/>
        <rFont val="WenQuanYi Zen Hei"/>
        <family val="2"/>
      </rPr>
      <t xml:space="preserve">는 가장 민감한 현안</t>
    </r>
    <r>
      <rPr>
        <sz val="10"/>
        <rFont val="Noto Sans CJK SC"/>
        <family val="2"/>
        <charset val="1"/>
      </rPr>
      <t xml:space="preserve">. </t>
    </r>
    <r>
      <rPr>
        <sz val="10"/>
        <rFont val="WenQuanYi Zen Hei"/>
        <family val="2"/>
      </rPr>
      <t xml:space="preserve">남북 어느 쪽도 악역이 되지 않게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</si>
  <si>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Noto Sans CJK SC"/>
        <family val="2"/>
        <charset val="1"/>
      </rPr>
      <t xml:space="preserve">Garibaldi</t>
    </r>
    <r>
      <rPr>
        <sz val="10"/>
        <rFont val="WenQuanYi Zen Hei"/>
        <family val="2"/>
      </rPr>
      <t xml:space="preserve">의 대사를 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통일의 가치</t>
    </r>
    <r>
      <rPr>
        <sz val="10"/>
        <rFont val="Noto Sans CJK SC"/>
        <family val="2"/>
        <charset val="1"/>
      </rPr>
      <t xml:space="preserve">'</t>
    </r>
    <r>
      <rPr>
        <sz val="10"/>
        <rFont val="WenQuanYi Zen Hei"/>
        <family val="2"/>
      </rPr>
      <t xml:space="preserve">로만 두고 결론은 열어 둔다</t>
    </r>
  </si>
  <si>
    <r>
      <rPr>
        <sz val="10"/>
        <rFont val="Noto Sans CJK SC"/>
        <family val="2"/>
        <charset val="1"/>
      </rPr>
      <t xml:space="preserve">11~12</t>
    </r>
    <r>
      <rPr>
        <sz val="10"/>
        <rFont val="WenQuanYi Zen Hei"/>
        <family val="2"/>
      </rPr>
      <t xml:space="preserve">부 대본</t>
    </r>
  </si>
  <si>
    <r>
      <rPr>
        <sz val="10"/>
        <rFont val="Noto Sans CJK SC"/>
        <family val="2"/>
        <charset val="1"/>
      </rPr>
      <t xml:space="preserve">11</t>
    </r>
    <r>
      <rPr>
        <sz val="10"/>
        <rFont val="WenQuanYi Zen Hei"/>
        <family val="2"/>
      </rPr>
      <t xml:space="preserve">부 후반</t>
    </r>
    <r>
      <rPr>
        <sz val="10"/>
        <rFont val="Noto Sans CJK SC"/>
        <family val="2"/>
        <charset val="1"/>
      </rPr>
      <t xml:space="preserve">(9~12</t>
    </r>
    <r>
      <rPr>
        <sz val="10"/>
        <rFont val="WenQuanYi Zen Hei"/>
        <family val="2"/>
      </rPr>
      <t xml:space="preserve">화</t>
    </r>
    <r>
      <rPr>
        <sz val="10"/>
        <rFont val="Noto Sans CJK SC"/>
        <family val="2"/>
        <charset val="1"/>
      </rPr>
      <t xml:space="preserve">)·12</t>
    </r>
    <r>
      <rPr>
        <sz val="10"/>
        <rFont val="WenQuanYi Zen Hei"/>
        <family val="2"/>
      </rPr>
      <t xml:space="preserve">부 모두 화별 목차만 있고 실제 대본은 미작성</t>
    </r>
    <r>
      <rPr>
        <sz val="10"/>
        <rFont val="Noto Sans CJK SC"/>
        <family val="2"/>
        <charset val="1"/>
      </rPr>
      <t xml:space="preserve">.</t>
    </r>
  </si>
  <si>
    <t xml:space="preserve">극적 중요도가 높아 우선 집필을 검토</t>
  </si>
  <si>
    <t xml:space="preserve">가상 외교 인사</t>
  </si>
  <si>
    <r>
      <rPr>
        <sz val="10"/>
        <rFont val="WenQuanYi Zen Hei"/>
        <family val="2"/>
      </rPr>
      <t xml:space="preserve">브뤼셀 협상의 </t>
    </r>
    <r>
      <rPr>
        <sz val="10"/>
        <rFont val="Noto Sans CJK SC"/>
        <family val="2"/>
        <charset val="1"/>
      </rPr>
      <t xml:space="preserve">NATO·EU </t>
    </r>
    <r>
      <rPr>
        <sz val="10"/>
        <rFont val="WenQuanYi Zen Hei"/>
        <family val="2"/>
      </rPr>
      <t xml:space="preserve">상대역</t>
    </r>
    <r>
      <rPr>
        <sz val="10"/>
        <rFont val="Noto Sans CJK SC"/>
        <family val="2"/>
        <charset val="1"/>
      </rPr>
      <t xml:space="preserve">(</t>
    </r>
    <r>
      <rPr>
        <sz val="10"/>
        <rFont val="WenQuanYi Zen Hei"/>
        <family val="2"/>
      </rPr>
      <t xml:space="preserve">가상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의 이름</t>
    </r>
    <r>
      <rPr>
        <sz val="10"/>
        <rFont val="Noto Sans CJK SC"/>
        <family val="2"/>
        <charset val="1"/>
      </rPr>
      <t xml:space="preserve">·</t>
    </r>
    <r>
      <rPr>
        <sz val="10"/>
        <rFont val="WenQuanYi Zen Hei"/>
        <family val="2"/>
      </rPr>
      <t xml:space="preserve">직급 미정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</si>
  <si>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WenQuanYi Zen Hei"/>
        <family val="2"/>
      </rPr>
      <t xml:space="preserve">실명 조직</t>
    </r>
    <r>
      <rPr>
        <sz val="10"/>
        <rFont val="Noto Sans CJK SC"/>
        <family val="2"/>
        <charset val="1"/>
      </rPr>
      <t xml:space="preserve">(NATO, </t>
    </r>
    <r>
      <rPr>
        <sz val="10"/>
        <rFont val="WenQuanYi Zen Hei"/>
        <family val="2"/>
      </rPr>
      <t xml:space="preserve">유럽집행위원회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은 실제 기구명을 쓰되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개인 인사는 전부 가상으로</t>
    </r>
  </si>
  <si>
    <r>
      <rPr>
        <sz val="10"/>
        <rFont val="WenQuanYi Zen Hei"/>
        <family val="2"/>
      </rPr>
      <t xml:space="preserve">화별목차</t>
    </r>
    <r>
      <rPr>
        <sz val="10"/>
        <rFont val="Noto Sans CJK SC"/>
        <family val="2"/>
        <charset val="1"/>
      </rPr>
      <t xml:space="preserve">_</t>
    </r>
    <r>
      <rPr>
        <sz val="10"/>
        <rFont val="WenQuanYi Zen Hei"/>
        <family val="2"/>
      </rPr>
      <t xml:space="preserve">전체 </t>
    </r>
    <r>
      <rPr>
        <sz val="10"/>
        <rFont val="Noto Sans CJK SC"/>
        <family val="2"/>
        <charset val="1"/>
      </rPr>
      <t xml:space="preserve">11</t>
    </r>
    <r>
      <rPr>
        <sz val="10"/>
        <rFont val="WenQuanYi Zen Hei"/>
        <family val="2"/>
      </rPr>
      <t xml:space="preserve">부 </t>
    </r>
    <r>
      <rPr>
        <sz val="10"/>
        <rFont val="Noto Sans CJK SC"/>
        <family val="2"/>
        <charset val="1"/>
      </rPr>
      <t xml:space="preserve">9~10</t>
    </r>
    <r>
      <rPr>
        <sz val="10"/>
        <rFont val="WenQuanYi Zen Hei"/>
        <family val="2"/>
      </rPr>
      <t xml:space="preserve">화</t>
    </r>
  </si>
  <si>
    <t xml:space="preserve">로마 사투리 비율</t>
  </si>
  <si>
    <r>
      <rPr>
        <sz val="10"/>
        <rFont val="Noto Sans CJK SC"/>
        <family val="2"/>
        <charset val="1"/>
      </rPr>
      <t xml:space="preserve">Rosa·Paolo</t>
    </r>
    <r>
      <rPr>
        <sz val="10"/>
        <rFont val="WenQuanYi Zen Hei"/>
        <family val="2"/>
      </rPr>
      <t xml:space="preserve">의 </t>
    </r>
    <r>
      <rPr>
        <sz val="10"/>
        <rFont val="Noto Sans CJK SC"/>
        <family val="2"/>
        <charset val="1"/>
      </rPr>
      <t xml:space="preserve">romanesco</t>
    </r>
    <r>
      <rPr>
        <sz val="10"/>
        <rFont val="WenQuanYi Zen Hei"/>
        <family val="2"/>
      </rPr>
      <t xml:space="preserve">를 어느 정도 쓸지</t>
    </r>
    <r>
      <rPr>
        <sz val="10"/>
        <rFont val="Noto Sans CJK SC"/>
        <family val="2"/>
        <charset val="1"/>
      </rPr>
      <t xml:space="preserve">.</t>
    </r>
  </si>
  <si>
    <r>
      <rPr>
        <sz val="10"/>
        <rFont val="Noto Sans CJK SC"/>
        <family val="2"/>
        <charset val="1"/>
      </rPr>
      <t xml:space="preserve">B1 </t>
    </r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(1·13</t>
    </r>
    <r>
      <rPr>
        <sz val="10"/>
        <rFont val="WenQuanYi Zen Hei"/>
        <family val="2"/>
      </rPr>
      <t xml:space="preserve">부</t>
    </r>
    <r>
      <rPr>
        <sz val="10"/>
        <rFont val="Noto Sans CJK SC"/>
        <family val="2"/>
        <charset val="1"/>
      </rPr>
      <t xml:space="preserve">)</t>
    </r>
    <r>
      <rPr>
        <sz val="10"/>
        <rFont val="WenQuanYi Zen Hei"/>
        <family val="2"/>
      </rPr>
      <t xml:space="preserve">는 화당 </t>
    </r>
    <r>
      <rPr>
        <sz val="10"/>
        <rFont val="Noto Sans CJK SC"/>
        <family val="2"/>
        <charset val="1"/>
      </rPr>
      <t xml:space="preserve">1~2</t>
    </r>
    <r>
      <rPr>
        <sz val="10"/>
        <rFont val="WenQuanYi Zen Hei"/>
        <family val="2"/>
      </rPr>
      <t xml:space="preserve">마디</t>
    </r>
    <r>
      <rPr>
        <sz val="10"/>
        <rFont val="Noto Sans CJK SC"/>
        <family val="2"/>
        <charset val="1"/>
      </rPr>
      <t xml:space="preserve">, </t>
    </r>
    <r>
      <rPr>
        <sz val="10"/>
        <rFont val="WenQuanYi Zen Hei"/>
        <family val="2"/>
      </rPr>
      <t xml:space="preserve">표준어 병기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</si>
</sst>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%"/>
    <numFmt numFmtId="167" formatCode="0%"/>
    <numFmt numFmtId="168" formatCode="#,##0"/>
    <numFmt numFmtId="169" formatCode="0.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4"/>
      <color rgb="FF1F3864"/>
      <name val="WenQuanYi Zen Hei"/>
      <family val="2"/>
    </font>
    <font>
      <i val="true"/>
      <sz val="9"/>
      <color rgb="FF595959"/>
      <name val="Arial"/>
      <family val="0"/>
      <charset val="1"/>
    </font>
    <font>
      <i val="true"/>
      <sz val="9"/>
      <color rgb="FF595959"/>
      <name val="WenQuanYi Zen Hei"/>
      <family val="2"/>
    </font>
    <font>
      <b val="true"/>
      <sz val="10"/>
      <name val="WenQuanYi Zen Hei"/>
      <family val="2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sz val="10"/>
      <name val="Noto Sans CJK SC"/>
      <family val="2"/>
      <charset val="1"/>
    </font>
    <font>
      <b val="true"/>
      <sz val="10"/>
      <name val="Arial"/>
      <family val="0"/>
      <charset val="1"/>
    </font>
    <font>
      <b val="true"/>
      <sz val="10"/>
      <name val="Noto Sans CJK SC"/>
      <family val="2"/>
      <charset val="1"/>
    </font>
    <font>
      <u val="single"/>
      <sz val="10"/>
      <color rgb="FF0563C1"/>
      <name val="WenQuanYi Zen Hei"/>
      <family val="2"/>
    </font>
    <font>
      <u val="single"/>
      <sz val="10"/>
      <color rgb="FF0563C1"/>
      <name val="Arial"/>
      <family val="0"/>
      <charset val="1"/>
    </font>
    <font>
      <sz val="10"/>
      <color rgb="FF0000FF"/>
      <name val="WenQuanYi Zen Hei"/>
      <family val="2"/>
    </font>
    <font>
      <i val="true"/>
      <sz val="9"/>
      <color rgb="FF595959"/>
      <name val="Noto Sans CJK SC"/>
      <family val="2"/>
      <charset val="1"/>
    </font>
    <font>
      <b val="true"/>
      <sz val="14"/>
      <color rgb="FF1F3864"/>
      <name val="Noto Sans CJK SC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Noto Sans CJK SC"/>
      <family val="2"/>
      <charset val="1"/>
    </font>
    <font>
      <sz val="11"/>
      <color theme="1"/>
      <name val="WenQuanYi Zen Hei"/>
      <family val="2"/>
    </font>
    <font>
      <sz val="11"/>
      <color theme="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D9E2F3"/>
        <bgColor rgb="FFDDEBF7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9DC3E6"/>
        </patternFill>
      </fill>
    </dxf>
    <dxf>
      <fill>
        <patternFill>
          <bgColor rgb="FFDDEBF7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7F7F7F"/>
      <rgbColor rgb="FF9999FF"/>
      <rgbColor rgb="FF7030A0"/>
      <rgbColor rgb="FFF2F2F2"/>
      <rgbColor rgb="FFDDEBF7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C55A11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D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3" min="3" style="1" width="24"/>
    <col collapsed="false" customWidth="true" hidden="false" outlineLevel="0" max="4" min="4" style="1" width="78"/>
  </cols>
  <sheetData>
    <row r="1" customFormat="false" ht="24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B4" s="4" t="s">
        <v>2</v>
      </c>
      <c r="C4" s="5"/>
      <c r="D4" s="5"/>
    </row>
    <row r="5" customFormat="false" ht="42" hidden="false" customHeight="true" outlineLevel="0" collapsed="false">
      <c r="B5" s="6" t="s">
        <v>3</v>
      </c>
      <c r="C5" s="7" t="n">
        <v>13</v>
      </c>
      <c r="D5" s="8" t="s">
        <v>4</v>
      </c>
    </row>
    <row r="6" customFormat="false" ht="16.5" hidden="false" customHeight="true" outlineLevel="0" collapsed="false">
      <c r="B6" s="6" t="s">
        <v>5</v>
      </c>
      <c r="C6" s="7" t="n">
        <v>12</v>
      </c>
      <c r="D6" s="9" t="s">
        <v>6</v>
      </c>
    </row>
    <row r="7" customFormat="false" ht="16.5" hidden="false" customHeight="true" outlineLevel="0" collapsed="false">
      <c r="B7" s="6" t="s">
        <v>7</v>
      </c>
      <c r="C7" s="10" t="n">
        <f aca="false">C5*C6</f>
        <v>156</v>
      </c>
      <c r="D7" s="9" t="s">
        <v>8</v>
      </c>
    </row>
    <row r="8" customFormat="false" ht="16.5" hidden="false" customHeight="true" outlineLevel="0" collapsed="false">
      <c r="B8" s="6" t="s">
        <v>9</v>
      </c>
      <c r="C8" s="10" t="n">
        <f aca="false">COUNTA(캐릭터!$D$5:$D$19)</f>
        <v>15</v>
      </c>
      <c r="D8" s="9" t="s">
        <v>10</v>
      </c>
    </row>
    <row r="9" customFormat="false" ht="16.5" hidden="false" customHeight="true" outlineLevel="0" collapsed="false">
      <c r="B9" s="6" t="s">
        <v>11</v>
      </c>
      <c r="C9" s="10" t="n">
        <f aca="false">COUNTIF(캐릭터!$G$5:$G$19,"남")</f>
        <v>10</v>
      </c>
      <c r="D9" s="9" t="s">
        <v>12</v>
      </c>
    </row>
    <row r="10" customFormat="false" ht="16.5" hidden="false" customHeight="true" outlineLevel="0" collapsed="false">
      <c r="B10" s="6" t="s">
        <v>13</v>
      </c>
      <c r="C10" s="10" t="n">
        <f aca="false">COUNTIF(캐릭터!$G$5:$G$19,"여")</f>
        <v>5</v>
      </c>
      <c r="D10" s="8"/>
    </row>
    <row r="11" customFormat="false" ht="29.25" hidden="false" customHeight="true" outlineLevel="0" collapsed="false">
      <c r="B11" s="11" t="s">
        <v>14</v>
      </c>
      <c r="C11" s="12" t="n">
        <v>6</v>
      </c>
      <c r="D11" s="9" t="s">
        <v>15</v>
      </c>
    </row>
    <row r="12" customFormat="false" ht="16.5" hidden="false" customHeight="true" outlineLevel="0" collapsed="false">
      <c r="B12" s="6" t="s">
        <v>16</v>
      </c>
      <c r="C12" s="9" t="s">
        <v>17</v>
      </c>
      <c r="D12" s="9" t="s">
        <v>18</v>
      </c>
    </row>
    <row r="13" customFormat="false" ht="29.25" hidden="false" customHeight="true" outlineLevel="0" collapsed="false">
      <c r="B13" s="6" t="s">
        <v>19</v>
      </c>
      <c r="C13" s="9" t="s">
        <v>20</v>
      </c>
      <c r="D13" s="8" t="str">
        <f aca="false">"지문(narrazione) 없음. 화당 "&amp;턴_설계!$B$5&amp;"턴 × "&amp;C7&amp;"화 = "&amp;TEXT(C7*턴_설계!$B$5,"#,##0")&amp;"턴. 상세는 '대화문규칙'·'턴_설계' 시트."</f>
        <v>지문(narrazione) 없음. 화당 120턴 × 156화 = 18,720턴. 상세는 '대화문규칙'·'턴_설계' 시트.</v>
      </c>
    </row>
    <row r="15" customFormat="false" ht="15" hidden="false" customHeight="true" outlineLevel="0" collapsed="false">
      <c r="B15" s="4" t="s">
        <v>21</v>
      </c>
      <c r="C15" s="5"/>
      <c r="D15" s="5"/>
    </row>
    <row r="16" customFormat="false" ht="16.5" hidden="false" customHeight="true" outlineLevel="0" collapsed="false">
      <c r="B16" s="13" t="s">
        <v>22</v>
      </c>
      <c r="C16" s="10" t="n">
        <f aca="false">COUNTIF(캐릭터!$B$5:$B$19,B16)</f>
        <v>4</v>
      </c>
      <c r="D16" s="8" t="s">
        <v>23</v>
      </c>
    </row>
    <row r="17" customFormat="false" ht="29.25" hidden="false" customHeight="true" outlineLevel="0" collapsed="false">
      <c r="B17" s="13" t="s">
        <v>24</v>
      </c>
      <c r="C17" s="10" t="n">
        <f aca="false">COUNTIF(캐릭터!$B$5:$B$19,B17)</f>
        <v>7</v>
      </c>
      <c r="D17" s="8" t="s">
        <v>25</v>
      </c>
    </row>
    <row r="18" customFormat="false" ht="16.5" hidden="false" customHeight="true" outlineLevel="0" collapsed="false">
      <c r="B18" s="13" t="s">
        <v>26</v>
      </c>
      <c r="C18" s="10" t="n">
        <f aca="false">COUNTIF(캐릭터!$B$5:$B$19,B18)</f>
        <v>3</v>
      </c>
      <c r="D18" s="8" t="s">
        <v>27</v>
      </c>
    </row>
    <row r="19" customFormat="false" ht="16.5" hidden="false" customHeight="true" outlineLevel="0" collapsed="false">
      <c r="B19" s="13" t="s">
        <v>28</v>
      </c>
      <c r="C19" s="10" t="n">
        <f aca="false">COUNTIF(캐릭터!$B$5:$B$19,B19)</f>
        <v>1</v>
      </c>
      <c r="D19" s="8" t="s">
        <v>29</v>
      </c>
    </row>
    <row r="22" customFormat="false" ht="15" hidden="false" customHeight="true" outlineLevel="0" collapsed="false">
      <c r="B22" s="4" t="s">
        <v>30</v>
      </c>
      <c r="C22" s="5"/>
      <c r="D22" s="5"/>
    </row>
    <row r="23" customFormat="false" ht="15" hidden="false" customHeight="true" outlineLevel="0" collapsed="false">
      <c r="B23" s="14" t="s">
        <v>31</v>
      </c>
      <c r="C23" s="15" t="s">
        <v>32</v>
      </c>
      <c r="D23" s="8" t="s">
        <v>33</v>
      </c>
    </row>
    <row r="24" customFormat="false" ht="15" hidden="false" customHeight="true" outlineLevel="0" collapsed="false">
      <c r="B24" s="14" t="s">
        <v>34</v>
      </c>
      <c r="C24" s="15" t="s">
        <v>32</v>
      </c>
      <c r="D24" s="8" t="s">
        <v>35</v>
      </c>
    </row>
    <row r="25" customFormat="false" ht="29.25" hidden="false" customHeight="true" outlineLevel="0" collapsed="false">
      <c r="B25" s="14" t="s">
        <v>36</v>
      </c>
      <c r="C25" s="15" t="s">
        <v>32</v>
      </c>
      <c r="D25" s="9" t="s">
        <v>37</v>
      </c>
    </row>
    <row r="26" customFormat="false" ht="15" hidden="false" customHeight="true" outlineLevel="0" collapsed="false">
      <c r="B26" s="16" t="s">
        <v>38</v>
      </c>
      <c r="C26" s="15" t="s">
        <v>39</v>
      </c>
      <c r="D26" s="8" t="s">
        <v>40</v>
      </c>
    </row>
    <row r="27" customFormat="false" ht="15" hidden="false" customHeight="true" outlineLevel="0" collapsed="false">
      <c r="B27" s="14" t="s">
        <v>41</v>
      </c>
      <c r="C27" s="15" t="s">
        <v>42</v>
      </c>
      <c r="D27" s="8" t="s">
        <v>43</v>
      </c>
    </row>
    <row r="28" customFormat="false" ht="15" hidden="false" customHeight="true" outlineLevel="0" collapsed="false">
      <c r="B28" s="14" t="s">
        <v>44</v>
      </c>
      <c r="C28" s="15" t="s">
        <v>45</v>
      </c>
      <c r="D28" s="8" t="s">
        <v>46</v>
      </c>
    </row>
    <row r="29" customFormat="false" ht="15" hidden="false" customHeight="true" outlineLevel="0" collapsed="false">
      <c r="B29" s="14" t="s">
        <v>47</v>
      </c>
      <c r="C29" s="15" t="s">
        <v>42</v>
      </c>
      <c r="D29" s="9" t="s">
        <v>48</v>
      </c>
    </row>
    <row r="30" customFormat="false" ht="15" hidden="false" customHeight="true" outlineLevel="0" collapsed="false">
      <c r="B30" s="14" t="s">
        <v>49</v>
      </c>
      <c r="C30" s="15" t="s">
        <v>50</v>
      </c>
      <c r="D30" s="9" t="s">
        <v>51</v>
      </c>
    </row>
    <row r="31" customFormat="false" ht="15" hidden="false" customHeight="true" outlineLevel="0" collapsed="false">
      <c r="B31" s="14" t="s">
        <v>52</v>
      </c>
      <c r="C31" s="15" t="s">
        <v>50</v>
      </c>
      <c r="D31" s="9" t="s">
        <v>53</v>
      </c>
    </row>
    <row r="32" customFormat="false" ht="15" hidden="false" customHeight="true" outlineLevel="0" collapsed="false">
      <c r="B32" s="14" t="s">
        <v>54</v>
      </c>
      <c r="C32" s="15" t="s">
        <v>55</v>
      </c>
      <c r="D32" s="9" t="s">
        <v>56</v>
      </c>
    </row>
    <row r="33" customFormat="false" ht="15" hidden="false" customHeight="true" outlineLevel="0" collapsed="false">
      <c r="B33" s="14" t="s">
        <v>57</v>
      </c>
      <c r="C33" s="15" t="s">
        <v>55</v>
      </c>
      <c r="D33" s="9" t="s">
        <v>58</v>
      </c>
    </row>
    <row r="34" customFormat="false" ht="15" hidden="false" customHeight="true" outlineLevel="0" collapsed="false">
      <c r="B34" s="14" t="s">
        <v>59</v>
      </c>
      <c r="C34" s="15" t="s">
        <v>60</v>
      </c>
      <c r="D34" s="8" t="s">
        <v>61</v>
      </c>
    </row>
    <row r="35" customFormat="false" ht="15" hidden="false" customHeight="true" outlineLevel="0" collapsed="false">
      <c r="B35" s="16" t="s">
        <v>62</v>
      </c>
      <c r="C35" s="15" t="s">
        <v>60</v>
      </c>
      <c r="D35" s="9" t="s">
        <v>63</v>
      </c>
    </row>
    <row r="36" customFormat="false" ht="15" hidden="false" customHeight="true" outlineLevel="0" collapsed="false">
      <c r="B36" s="16" t="s">
        <v>64</v>
      </c>
      <c r="C36" s="15" t="s">
        <v>65</v>
      </c>
      <c r="D36" s="9" t="s">
        <v>66</v>
      </c>
    </row>
    <row r="37" customFormat="false" ht="15" hidden="false" customHeight="true" outlineLevel="0" collapsed="false">
      <c r="B37" s="16" t="s">
        <v>67</v>
      </c>
      <c r="C37" s="15" t="s">
        <v>65</v>
      </c>
      <c r="D37" s="9" t="s">
        <v>68</v>
      </c>
    </row>
    <row r="38" customFormat="false" ht="15" hidden="false" customHeight="true" outlineLevel="0" collapsed="false">
      <c r="B38" s="14" t="s">
        <v>69</v>
      </c>
      <c r="C38" s="15" t="s">
        <v>60</v>
      </c>
      <c r="D38" s="9" t="s">
        <v>70</v>
      </c>
    </row>
    <row r="39" customFormat="false" ht="15" hidden="false" customHeight="true" outlineLevel="0" collapsed="false">
      <c r="B39" s="16" t="s">
        <v>71</v>
      </c>
      <c r="C39" s="15" t="s">
        <v>72</v>
      </c>
      <c r="D39" s="8" t="s">
        <v>73</v>
      </c>
    </row>
    <row r="40" customFormat="false" ht="15" hidden="false" customHeight="true" outlineLevel="0" collapsed="false">
      <c r="B40" s="14" t="s">
        <v>74</v>
      </c>
      <c r="C40" s="15" t="s">
        <v>75</v>
      </c>
      <c r="D40" s="9" t="s">
        <v>76</v>
      </c>
    </row>
    <row r="42" customFormat="false" ht="15" hidden="false" customHeight="true" outlineLevel="0" collapsed="false">
      <c r="B42" s="4" t="s">
        <v>77</v>
      </c>
      <c r="C42" s="5"/>
      <c r="D42" s="5"/>
    </row>
    <row r="43" customFormat="false" ht="15" hidden="false" customHeight="true" outlineLevel="0" collapsed="false">
      <c r="B43" s="17" t="s">
        <v>78</v>
      </c>
      <c r="C43" s="15" t="s">
        <v>79</v>
      </c>
      <c r="D43" s="18"/>
    </row>
    <row r="44" customFormat="false" ht="15" hidden="false" customHeight="true" outlineLevel="0" collapsed="false">
      <c r="B44" s="19" t="s">
        <v>80</v>
      </c>
      <c r="C44" s="15" t="s">
        <v>81</v>
      </c>
      <c r="D44" s="18"/>
    </row>
    <row r="45" customFormat="false" ht="15" hidden="false" customHeight="true" outlineLevel="0" collapsed="false">
      <c r="B45" s="15" t="s">
        <v>82</v>
      </c>
      <c r="C45" s="15" t="s">
        <v>83</v>
      </c>
      <c r="D45" s="18"/>
    </row>
    <row r="47" customFormat="false" ht="15" hidden="false" customHeight="true" outlineLevel="0" collapsed="false">
      <c r="B47" s="20" t="s">
        <v>84</v>
      </c>
    </row>
  </sheetData>
  <hyperlinks>
    <hyperlink ref="B23" location="'캐릭터'!A1" display="캐릭터"/>
    <hyperlink ref="B24" location="'등장비중'!A1" display="등장비중"/>
    <hyperlink ref="B25" location="'턴_설계'!A1" display="턴_설계"/>
    <hyperlink ref="B26" location="'13부_구성'!A1" display="13부_구성"/>
    <hyperlink ref="B27" location="'아크_구성계획'!A1" display="아크_구성계획"/>
    <hyperlink ref="B28" location="'화별목차_전체'!A1" display="화별목차_전체"/>
    <hyperlink ref="B29" location="'복선_회수'!A1" display="복선_회수"/>
    <hyperlink ref="B30" location="'현안_배치'!A1" display="현안_배치"/>
    <hyperlink ref="B31" location="'현안_분포'!A1" display="현안_분포"/>
    <hyperlink ref="B32" location="'정치제도'!A1" display="정치제도"/>
    <hyperlink ref="B33" location="'정치경로_의석'!A1" display="정치경로_의석"/>
    <hyperlink ref="B34" location="'호칭규칙'!A1" display="호칭규칙"/>
    <hyperlink ref="B35" location="'Sofia_폭발과욕'!A1" display="Sofia_폭발과욕"/>
    <hyperlink ref="B36" location="'Cesare_죽음'!A1" display="Cesare_죽음"/>
    <hyperlink ref="B37" location="'Gramsci_출처'!A1" display="Gramsci_출처"/>
    <hyperlink ref="B38" location="'대화문규칙'!A1" display="대화문규칙"/>
    <hyperlink ref="B39" location="'1부_시범대사'!A1" display="1부_시범대사"/>
    <hyperlink ref="B40" location="'변경이력_미결'!A1" display="변경이력_미결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S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24"/>
    <col collapsed="false" customWidth="true" hidden="false" outlineLevel="0" max="4" min="4" style="1" width="10"/>
    <col collapsed="false" customWidth="true" hidden="false" outlineLevel="0" max="5" min="5" style="1" width="8"/>
    <col collapsed="false" customWidth="true" hidden="false" outlineLevel="0" max="6" min="6" style="1" width="10"/>
    <col collapsed="false" customWidth="true" hidden="false" outlineLevel="0" max="7" min="7" style="1" width="6"/>
    <col collapsed="false" customWidth="true" hidden="false" outlineLevel="0" max="8" min="8" style="1" width="22"/>
    <col collapsed="false" customWidth="true" hidden="false" outlineLevel="0" max="9" min="9" style="1" width="26"/>
    <col collapsed="false" customWidth="true" hidden="false" outlineLevel="0" max="10" min="10" style="1" width="30"/>
    <col collapsed="false" customWidth="true" hidden="false" outlineLevel="0" max="11" min="11" style="1" width="34"/>
    <col collapsed="false" customWidth="true" hidden="false" outlineLevel="0" max="12" min="12" style="1" width="44"/>
    <col collapsed="false" customWidth="true" hidden="false" outlineLevel="0" max="13" min="13" style="1" width="30"/>
    <col collapsed="false" customWidth="true" hidden="false" outlineLevel="0" max="14" min="14" style="1" width="36"/>
    <col collapsed="false" customWidth="true" hidden="false" outlineLevel="0" max="15" min="15" style="1" width="24"/>
    <col collapsed="false" customWidth="true" hidden="false" outlineLevel="0" max="16" min="16" style="1" width="20"/>
    <col collapsed="false" customWidth="true" hidden="false" outlineLevel="0" max="17" min="17" style="1" width="9"/>
    <col collapsed="false" customWidth="true" hidden="false" outlineLevel="0" max="18" min="18" style="1" width="11"/>
    <col collapsed="false" customWidth="true" hidden="false" outlineLevel="0" max="19" min="19" style="1" width="16"/>
  </cols>
  <sheetData>
    <row r="1" customFormat="false" ht="24" hidden="false" customHeight="true" outlineLevel="0" collapsed="false">
      <c r="A1" s="21" t="s">
        <v>85</v>
      </c>
    </row>
    <row r="2" customFormat="false" ht="15" hidden="false" customHeight="true" outlineLevel="0" collapsed="false">
      <c r="A2" s="3" t="s">
        <v>1</v>
      </c>
    </row>
    <row r="4" customFormat="false" ht="31.5" hidden="false" customHeight="true" outlineLevel="0" collapsed="false">
      <c r="A4" s="22" t="s">
        <v>86</v>
      </c>
      <c r="B4" s="23" t="s">
        <v>87</v>
      </c>
      <c r="C4" s="23" t="s">
        <v>88</v>
      </c>
      <c r="D4" s="23" t="s">
        <v>89</v>
      </c>
      <c r="E4" s="23" t="s">
        <v>90</v>
      </c>
      <c r="F4" s="23" t="s">
        <v>91</v>
      </c>
      <c r="G4" s="23" t="s">
        <v>92</v>
      </c>
      <c r="H4" s="23" t="s">
        <v>93</v>
      </c>
      <c r="I4" s="23" t="s">
        <v>94</v>
      </c>
      <c r="J4" s="23" t="s">
        <v>95</v>
      </c>
      <c r="K4" s="23" t="s">
        <v>96</v>
      </c>
      <c r="L4" s="23" t="s">
        <v>97</v>
      </c>
      <c r="M4" s="23" t="s">
        <v>98</v>
      </c>
      <c r="N4" s="23" t="s">
        <v>99</v>
      </c>
      <c r="O4" s="23" t="s">
        <v>100</v>
      </c>
      <c r="P4" s="22" t="s">
        <v>101</v>
      </c>
      <c r="Q4" s="23" t="s">
        <v>102</v>
      </c>
      <c r="R4" s="23" t="s">
        <v>103</v>
      </c>
      <c r="S4" s="23" t="s">
        <v>104</v>
      </c>
    </row>
    <row r="5" customFormat="false" ht="93" hidden="false" customHeight="true" outlineLevel="0" collapsed="false">
      <c r="A5" s="24" t="n">
        <v>1</v>
      </c>
      <c r="B5" s="9" t="s">
        <v>105</v>
      </c>
      <c r="C5" s="11" t="s">
        <v>106</v>
      </c>
      <c r="D5" s="11" t="s">
        <v>107</v>
      </c>
      <c r="E5" s="25" t="n">
        <v>39</v>
      </c>
      <c r="F5" s="24" t="n">
        <f aca="false">E5+개요!$C$11</f>
        <v>45</v>
      </c>
      <c r="G5" s="26" t="s">
        <v>108</v>
      </c>
      <c r="H5" s="9" t="s">
        <v>109</v>
      </c>
      <c r="I5" s="8" t="s">
        <v>110</v>
      </c>
      <c r="J5" s="9" t="s">
        <v>111</v>
      </c>
      <c r="K5" s="9" t="s">
        <v>112</v>
      </c>
      <c r="L5" s="8" t="s">
        <v>113</v>
      </c>
      <c r="M5" s="9" t="s">
        <v>114</v>
      </c>
      <c r="N5" s="9" t="s">
        <v>115</v>
      </c>
      <c r="O5" s="9" t="s">
        <v>116</v>
      </c>
      <c r="P5" s="9" t="s">
        <v>117</v>
      </c>
      <c r="Q5" s="24" t="n">
        <f aca="false">INDEX(등장비중!$O$5:$O$19,MATCH($D5,등장비중!$A$5:$A$19,0))</f>
        <v>108</v>
      </c>
      <c r="R5" s="24" t="str">
        <f aca="false">INDEX(등장비중!$Q$5:$Q$19,MATCH($D5,등장비중!$A$5:$A$19,0))</f>
        <v>주연</v>
      </c>
      <c r="S5" s="24" t="s">
        <v>118</v>
      </c>
    </row>
    <row r="6" customFormat="false" ht="54.75" hidden="false" customHeight="true" outlineLevel="0" collapsed="false">
      <c r="A6" s="24" t="n">
        <v>2</v>
      </c>
      <c r="B6" s="9" t="s">
        <v>105</v>
      </c>
      <c r="C6" s="11" t="s">
        <v>119</v>
      </c>
      <c r="D6" s="11" t="s">
        <v>120</v>
      </c>
      <c r="E6" s="25" t="n">
        <v>41</v>
      </c>
      <c r="F6" s="24" t="n">
        <f aca="false">E6+개요!$C$11</f>
        <v>47</v>
      </c>
      <c r="G6" s="26" t="s">
        <v>121</v>
      </c>
      <c r="H6" s="9" t="s">
        <v>122</v>
      </c>
      <c r="I6" s="8" t="s">
        <v>123</v>
      </c>
      <c r="J6" s="9" t="s">
        <v>124</v>
      </c>
      <c r="K6" s="9" t="s">
        <v>125</v>
      </c>
      <c r="L6" s="8" t="s">
        <v>126</v>
      </c>
      <c r="M6" s="9" t="s">
        <v>127</v>
      </c>
      <c r="N6" s="9" t="s">
        <v>128</v>
      </c>
      <c r="O6" s="9" t="s">
        <v>129</v>
      </c>
      <c r="P6" s="9" t="s">
        <v>117</v>
      </c>
      <c r="Q6" s="24" t="n">
        <f aca="false">INDEX(등장비중!$O$5:$O$19,MATCH($D6,등장비중!$A$5:$A$19,0))</f>
        <v>98</v>
      </c>
      <c r="R6" s="24" t="str">
        <f aca="false">INDEX(등장비중!$Q$5:$Q$19,MATCH($D6,등장비중!$A$5:$A$19,0))</f>
        <v>준주연</v>
      </c>
      <c r="S6" s="24" t="s">
        <v>130</v>
      </c>
    </row>
    <row r="7" customFormat="false" ht="42" hidden="false" customHeight="true" outlineLevel="0" collapsed="false">
      <c r="A7" s="24" t="n">
        <v>3</v>
      </c>
      <c r="B7" s="9" t="s">
        <v>105</v>
      </c>
      <c r="C7" s="11" t="s">
        <v>131</v>
      </c>
      <c r="D7" s="11" t="s">
        <v>132</v>
      </c>
      <c r="E7" s="25" t="n">
        <v>37</v>
      </c>
      <c r="F7" s="24" t="n">
        <f aca="false">E7+개요!$C$11</f>
        <v>43</v>
      </c>
      <c r="G7" s="26" t="s">
        <v>108</v>
      </c>
      <c r="H7" s="9" t="s">
        <v>133</v>
      </c>
      <c r="I7" s="8" t="s">
        <v>134</v>
      </c>
      <c r="J7" s="9" t="s">
        <v>135</v>
      </c>
      <c r="K7" s="9" t="s">
        <v>136</v>
      </c>
      <c r="L7" s="8" t="s">
        <v>137</v>
      </c>
      <c r="M7" s="9" t="s">
        <v>138</v>
      </c>
      <c r="N7" s="9" t="s">
        <v>139</v>
      </c>
      <c r="O7" s="9" t="s">
        <v>140</v>
      </c>
      <c r="P7" s="9" t="s">
        <v>117</v>
      </c>
      <c r="Q7" s="24" t="n">
        <f aca="false">INDEX(등장비중!$O$5:$O$19,MATCH($D7,등장비중!$A$5:$A$19,0))</f>
        <v>109</v>
      </c>
      <c r="R7" s="24" t="str">
        <f aca="false">INDEX(등장비중!$Q$5:$Q$19,MATCH($D7,등장비중!$A$5:$A$19,0))</f>
        <v>주연</v>
      </c>
      <c r="S7" s="24" t="s">
        <v>141</v>
      </c>
    </row>
    <row r="8" customFormat="false" ht="67.5" hidden="false" customHeight="true" outlineLevel="0" collapsed="false">
      <c r="A8" s="24" t="n">
        <v>4</v>
      </c>
      <c r="B8" s="9" t="s">
        <v>105</v>
      </c>
      <c r="C8" s="11" t="s">
        <v>142</v>
      </c>
      <c r="D8" s="11" t="s">
        <v>143</v>
      </c>
      <c r="E8" s="25" t="n">
        <v>36</v>
      </c>
      <c r="F8" s="24" t="n">
        <f aca="false">E8+개요!$C$11</f>
        <v>42</v>
      </c>
      <c r="G8" s="26" t="s">
        <v>121</v>
      </c>
      <c r="H8" s="9" t="s">
        <v>144</v>
      </c>
      <c r="I8" s="8" t="s">
        <v>145</v>
      </c>
      <c r="J8" s="9" t="s">
        <v>146</v>
      </c>
      <c r="K8" s="9" t="s">
        <v>147</v>
      </c>
      <c r="L8" s="8" t="s">
        <v>148</v>
      </c>
      <c r="M8" s="9" t="s">
        <v>149</v>
      </c>
      <c r="N8" s="9" t="s">
        <v>150</v>
      </c>
      <c r="O8" s="9" t="s">
        <v>151</v>
      </c>
      <c r="P8" s="9" t="s">
        <v>117</v>
      </c>
      <c r="Q8" s="24" t="n">
        <f aca="false">INDEX(등장비중!$O$5:$O$19,MATCH($D8,등장비중!$A$5:$A$19,0))</f>
        <v>101</v>
      </c>
      <c r="R8" s="24" t="str">
        <f aca="false">INDEX(등장비중!$Q$5:$Q$19,MATCH($D8,등장비중!$A$5:$A$19,0))</f>
        <v>준주연</v>
      </c>
      <c r="S8" s="24" t="s">
        <v>152</v>
      </c>
    </row>
    <row r="9" customFormat="false" ht="170.25" hidden="false" customHeight="true" outlineLevel="0" collapsed="false">
      <c r="A9" s="24" t="n">
        <v>5</v>
      </c>
      <c r="B9" s="9" t="s">
        <v>153</v>
      </c>
      <c r="C9" s="11" t="s">
        <v>154</v>
      </c>
      <c r="D9" s="11" t="s">
        <v>155</v>
      </c>
      <c r="E9" s="25" t="n">
        <v>55</v>
      </c>
      <c r="F9" s="24" t="n">
        <f aca="false">E9+개요!$C$11</f>
        <v>61</v>
      </c>
      <c r="G9" s="26" t="s">
        <v>108</v>
      </c>
      <c r="H9" s="9" t="s">
        <v>156</v>
      </c>
      <c r="I9" s="9" t="s">
        <v>157</v>
      </c>
      <c r="J9" s="9" t="s">
        <v>158</v>
      </c>
      <c r="K9" s="9" t="s">
        <v>159</v>
      </c>
      <c r="L9" s="8" t="s">
        <v>160</v>
      </c>
      <c r="M9" s="9" t="s">
        <v>161</v>
      </c>
      <c r="N9" s="8" t="s">
        <v>162</v>
      </c>
      <c r="O9" s="9" t="s">
        <v>163</v>
      </c>
      <c r="P9" s="9" t="s">
        <v>164</v>
      </c>
      <c r="Q9" s="24" t="n">
        <f aca="false">INDEX(등장비중!$O$5:$O$19,MATCH($D9,등장비중!$A$5:$A$19,0))</f>
        <v>65</v>
      </c>
      <c r="R9" s="24" t="str">
        <f aca="false">INDEX(등장비중!$Q$5:$Q$19,MATCH($D9,등장비중!$A$5:$A$19,0))</f>
        <v>핵심 조연</v>
      </c>
      <c r="S9" s="24" t="s">
        <v>165</v>
      </c>
    </row>
    <row r="10" customFormat="false" ht="54.75" hidden="false" customHeight="true" outlineLevel="0" collapsed="false">
      <c r="A10" s="24" t="n">
        <v>6</v>
      </c>
      <c r="B10" s="9" t="s">
        <v>153</v>
      </c>
      <c r="C10" s="11" t="s">
        <v>166</v>
      </c>
      <c r="D10" s="11" t="s">
        <v>167</v>
      </c>
      <c r="E10" s="25" t="n">
        <v>58</v>
      </c>
      <c r="F10" s="24" t="n">
        <f aca="false">E10+개요!$C$11</f>
        <v>64</v>
      </c>
      <c r="G10" s="26" t="s">
        <v>108</v>
      </c>
      <c r="H10" s="9" t="s">
        <v>168</v>
      </c>
      <c r="I10" s="9" t="s">
        <v>169</v>
      </c>
      <c r="J10" s="9" t="s">
        <v>170</v>
      </c>
      <c r="K10" s="9" t="s">
        <v>171</v>
      </c>
      <c r="L10" s="8" t="s">
        <v>172</v>
      </c>
      <c r="M10" s="9" t="s">
        <v>173</v>
      </c>
      <c r="N10" s="9" t="s">
        <v>174</v>
      </c>
      <c r="O10" s="9" t="s">
        <v>175</v>
      </c>
      <c r="P10" s="9" t="s">
        <v>176</v>
      </c>
      <c r="Q10" s="24" t="n">
        <f aca="false">INDEX(등장비중!$O$5:$O$19,MATCH($D10,등장비중!$A$5:$A$19,0))</f>
        <v>64</v>
      </c>
      <c r="R10" s="24" t="str">
        <f aca="false">INDEX(등장비중!$Q$5:$Q$19,MATCH($D10,등장비중!$A$5:$A$19,0))</f>
        <v>핵심 조연</v>
      </c>
      <c r="S10" s="24" t="s">
        <v>177</v>
      </c>
    </row>
    <row r="11" customFormat="false" ht="132" hidden="false" customHeight="true" outlineLevel="0" collapsed="false">
      <c r="A11" s="24" t="n">
        <v>7</v>
      </c>
      <c r="B11" s="9" t="s">
        <v>153</v>
      </c>
      <c r="C11" s="11" t="s">
        <v>178</v>
      </c>
      <c r="D11" s="11" t="s">
        <v>179</v>
      </c>
      <c r="E11" s="25" t="n">
        <v>74</v>
      </c>
      <c r="F11" s="24" t="n">
        <f aca="false">E11+개요!$C$11</f>
        <v>80</v>
      </c>
      <c r="G11" s="26" t="s">
        <v>108</v>
      </c>
      <c r="H11" s="9" t="s">
        <v>180</v>
      </c>
      <c r="I11" s="9" t="s">
        <v>181</v>
      </c>
      <c r="J11" s="9" t="s">
        <v>182</v>
      </c>
      <c r="K11" s="9" t="s">
        <v>183</v>
      </c>
      <c r="L11" s="8" t="s">
        <v>184</v>
      </c>
      <c r="M11" s="9" t="s">
        <v>185</v>
      </c>
      <c r="N11" s="9" t="s">
        <v>186</v>
      </c>
      <c r="O11" s="9" t="s">
        <v>187</v>
      </c>
      <c r="P11" s="9" t="s">
        <v>176</v>
      </c>
      <c r="Q11" s="24" t="n">
        <f aca="false">INDEX(등장비중!$O$5:$O$19,MATCH($D11,등장비중!$A$5:$A$19,0))</f>
        <v>63</v>
      </c>
      <c r="R11" s="24" t="str">
        <f aca="false">INDEX(등장비중!$Q$5:$Q$19,MATCH($D11,등장비중!$A$5:$A$19,0))</f>
        <v>핵심 조연</v>
      </c>
      <c r="S11" s="24" t="s">
        <v>188</v>
      </c>
    </row>
    <row r="12" customFormat="false" ht="42" hidden="false" customHeight="true" outlineLevel="0" collapsed="false">
      <c r="A12" s="24" t="n">
        <v>8</v>
      </c>
      <c r="B12" s="9" t="s">
        <v>153</v>
      </c>
      <c r="C12" s="11" t="s">
        <v>189</v>
      </c>
      <c r="D12" s="11" t="s">
        <v>190</v>
      </c>
      <c r="E12" s="25" t="n">
        <v>56</v>
      </c>
      <c r="F12" s="24" t="n">
        <f aca="false">E12+개요!$C$11</f>
        <v>62</v>
      </c>
      <c r="G12" s="26" t="s">
        <v>108</v>
      </c>
      <c r="H12" s="9" t="s">
        <v>191</v>
      </c>
      <c r="I12" s="9" t="s">
        <v>192</v>
      </c>
      <c r="J12" s="9" t="s">
        <v>193</v>
      </c>
      <c r="K12" s="9" t="s">
        <v>194</v>
      </c>
      <c r="L12" s="8" t="s">
        <v>195</v>
      </c>
      <c r="M12" s="9" t="s">
        <v>196</v>
      </c>
      <c r="N12" s="9" t="s">
        <v>197</v>
      </c>
      <c r="O12" s="9" t="s">
        <v>198</v>
      </c>
      <c r="P12" s="9" t="s">
        <v>176</v>
      </c>
      <c r="Q12" s="24" t="n">
        <f aca="false">INDEX(등장비중!$O$5:$O$19,MATCH($D12,등장비중!$A$5:$A$19,0))</f>
        <v>54</v>
      </c>
      <c r="R12" s="24" t="str">
        <f aca="false">INDEX(등장비중!$Q$5:$Q$19,MATCH($D12,등장비중!$A$5:$A$19,0))</f>
        <v>조연</v>
      </c>
      <c r="S12" s="24" t="s">
        <v>199</v>
      </c>
    </row>
    <row r="13" customFormat="false" ht="42" hidden="false" customHeight="true" outlineLevel="0" collapsed="false">
      <c r="A13" s="24" t="n">
        <v>9</v>
      </c>
      <c r="B13" s="9" t="s">
        <v>153</v>
      </c>
      <c r="C13" s="11" t="s">
        <v>200</v>
      </c>
      <c r="D13" s="11" t="s">
        <v>201</v>
      </c>
      <c r="E13" s="25" t="n">
        <v>46</v>
      </c>
      <c r="F13" s="24" t="n">
        <f aca="false">E13+개요!$C$11</f>
        <v>52</v>
      </c>
      <c r="G13" s="26" t="s">
        <v>108</v>
      </c>
      <c r="H13" s="9" t="s">
        <v>202</v>
      </c>
      <c r="I13" s="9" t="s">
        <v>203</v>
      </c>
      <c r="J13" s="9" t="s">
        <v>204</v>
      </c>
      <c r="K13" s="9" t="s">
        <v>205</v>
      </c>
      <c r="L13" s="8" t="s">
        <v>206</v>
      </c>
      <c r="M13" s="9" t="s">
        <v>207</v>
      </c>
      <c r="N13" s="9" t="s">
        <v>208</v>
      </c>
      <c r="O13" s="9" t="s">
        <v>209</v>
      </c>
      <c r="P13" s="9" t="s">
        <v>210</v>
      </c>
      <c r="Q13" s="24" t="n">
        <f aca="false">INDEX(등장비중!$O$5:$O$19,MATCH($D13,등장비중!$A$5:$A$19,0))</f>
        <v>58</v>
      </c>
      <c r="R13" s="24" t="str">
        <f aca="false">INDEX(등장비중!$Q$5:$Q$19,MATCH($D13,등장비중!$A$5:$A$19,0))</f>
        <v>조연</v>
      </c>
      <c r="S13" s="24" t="s">
        <v>211</v>
      </c>
    </row>
    <row r="14" customFormat="false" ht="93" hidden="false" customHeight="true" outlineLevel="0" collapsed="false">
      <c r="A14" s="24" t="n">
        <v>10</v>
      </c>
      <c r="B14" s="9" t="s">
        <v>153</v>
      </c>
      <c r="C14" s="11" t="s">
        <v>212</v>
      </c>
      <c r="D14" s="11" t="s">
        <v>213</v>
      </c>
      <c r="E14" s="25" t="n">
        <v>77</v>
      </c>
      <c r="F14" s="24" t="n">
        <f aca="false">E14+개요!$C$11</f>
        <v>83</v>
      </c>
      <c r="G14" s="26" t="s">
        <v>108</v>
      </c>
      <c r="H14" s="9" t="s">
        <v>214</v>
      </c>
      <c r="I14" s="9" t="s">
        <v>215</v>
      </c>
      <c r="J14" s="9" t="s">
        <v>216</v>
      </c>
      <c r="K14" s="9" t="s">
        <v>217</v>
      </c>
      <c r="L14" s="8" t="s">
        <v>218</v>
      </c>
      <c r="M14" s="9" t="s">
        <v>219</v>
      </c>
      <c r="N14" s="9" t="s">
        <v>220</v>
      </c>
      <c r="O14" s="9" t="s">
        <v>221</v>
      </c>
      <c r="P14" s="9" t="s">
        <v>176</v>
      </c>
      <c r="Q14" s="24" t="n">
        <f aca="false">INDEX(등장비중!$O$5:$O$19,MATCH($D14,등장비중!$A$5:$A$19,0))</f>
        <v>46</v>
      </c>
      <c r="R14" s="24" t="str">
        <f aca="false">INDEX(등장비중!$Q$5:$Q$19,MATCH($D14,등장비중!$A$5:$A$19,0))</f>
        <v>조연</v>
      </c>
      <c r="S14" s="24" t="s">
        <v>222</v>
      </c>
    </row>
    <row r="15" customFormat="false" ht="42" hidden="false" customHeight="true" outlineLevel="0" collapsed="false">
      <c r="A15" s="24" t="n">
        <v>11</v>
      </c>
      <c r="B15" s="9" t="s">
        <v>223</v>
      </c>
      <c r="C15" s="11" t="s">
        <v>224</v>
      </c>
      <c r="D15" s="11" t="s">
        <v>225</v>
      </c>
      <c r="E15" s="25" t="n">
        <v>63</v>
      </c>
      <c r="F15" s="24" t="n">
        <f aca="false">E15+개요!$C$11</f>
        <v>69</v>
      </c>
      <c r="G15" s="26" t="s">
        <v>121</v>
      </c>
      <c r="H15" s="9" t="s">
        <v>226</v>
      </c>
      <c r="I15" s="27" t="s">
        <v>227</v>
      </c>
      <c r="J15" s="9" t="s">
        <v>228</v>
      </c>
      <c r="K15" s="9" t="s">
        <v>229</v>
      </c>
      <c r="L15" s="8" t="s">
        <v>230</v>
      </c>
      <c r="M15" s="9" t="s">
        <v>231</v>
      </c>
      <c r="N15" s="9" t="s">
        <v>232</v>
      </c>
      <c r="O15" s="9" t="s">
        <v>233</v>
      </c>
      <c r="P15" s="9" t="s">
        <v>117</v>
      </c>
      <c r="Q15" s="24" t="n">
        <f aca="false">INDEX(등장비중!$O$5:$O$19,MATCH($D15,등장비중!$A$5:$A$19,0))</f>
        <v>69</v>
      </c>
      <c r="R15" s="24" t="str">
        <f aca="false">INDEX(등장비중!$Q$5:$Q$19,MATCH($D15,등장비중!$A$5:$A$19,0))</f>
        <v>핵심 조연</v>
      </c>
      <c r="S15" s="24" t="s">
        <v>234</v>
      </c>
    </row>
    <row r="16" customFormat="false" ht="67.5" hidden="false" customHeight="true" outlineLevel="0" collapsed="false">
      <c r="A16" s="24" t="n">
        <v>12</v>
      </c>
      <c r="B16" s="9" t="s">
        <v>223</v>
      </c>
      <c r="C16" s="11" t="s">
        <v>235</v>
      </c>
      <c r="D16" s="11" t="s">
        <v>236</v>
      </c>
      <c r="E16" s="25" t="n">
        <v>55</v>
      </c>
      <c r="F16" s="24" t="n">
        <f aca="false">E16+개요!$C$11</f>
        <v>61</v>
      </c>
      <c r="G16" s="26" t="s">
        <v>108</v>
      </c>
      <c r="H16" s="9" t="s">
        <v>237</v>
      </c>
      <c r="I16" s="9" t="s">
        <v>238</v>
      </c>
      <c r="J16" s="9" t="s">
        <v>239</v>
      </c>
      <c r="K16" s="9" t="s">
        <v>240</v>
      </c>
      <c r="L16" s="8" t="s">
        <v>241</v>
      </c>
      <c r="M16" s="9" t="s">
        <v>242</v>
      </c>
      <c r="N16" s="9" t="s">
        <v>243</v>
      </c>
      <c r="O16" s="9" t="s">
        <v>244</v>
      </c>
      <c r="P16" s="9" t="s">
        <v>176</v>
      </c>
      <c r="Q16" s="24" t="n">
        <f aca="false">INDEX(등장비중!$O$5:$O$19,MATCH($D16,등장비중!$A$5:$A$19,0))</f>
        <v>58</v>
      </c>
      <c r="R16" s="24" t="str">
        <f aca="false">INDEX(등장비중!$Q$5:$Q$19,MATCH($D16,등장비중!$A$5:$A$19,0))</f>
        <v>조연</v>
      </c>
      <c r="S16" s="24" t="s">
        <v>245</v>
      </c>
    </row>
    <row r="17" customFormat="false" ht="67.5" hidden="false" customHeight="true" outlineLevel="0" collapsed="false">
      <c r="A17" s="24" t="n">
        <v>13</v>
      </c>
      <c r="B17" s="9" t="s">
        <v>223</v>
      </c>
      <c r="C17" s="11" t="s">
        <v>246</v>
      </c>
      <c r="D17" s="11" t="s">
        <v>247</v>
      </c>
      <c r="E17" s="25" t="n">
        <v>23</v>
      </c>
      <c r="F17" s="24" t="n">
        <f aca="false">E17+개요!$C$11</f>
        <v>29</v>
      </c>
      <c r="G17" s="26" t="s">
        <v>121</v>
      </c>
      <c r="H17" s="9" t="s">
        <v>248</v>
      </c>
      <c r="I17" s="9" t="s">
        <v>249</v>
      </c>
      <c r="J17" s="9" t="s">
        <v>250</v>
      </c>
      <c r="K17" s="8" t="s">
        <v>251</v>
      </c>
      <c r="L17" s="8" t="s">
        <v>252</v>
      </c>
      <c r="M17" s="9" t="s">
        <v>253</v>
      </c>
      <c r="N17" s="9" t="s">
        <v>254</v>
      </c>
      <c r="O17" s="9" t="s">
        <v>255</v>
      </c>
      <c r="P17" s="9" t="s">
        <v>117</v>
      </c>
      <c r="Q17" s="24" t="n">
        <f aca="false">INDEX(등장비중!$O$5:$O$19,MATCH($D17,등장비중!$A$5:$A$19,0))</f>
        <v>99</v>
      </c>
      <c r="R17" s="24" t="str">
        <f aca="false">INDEX(등장비중!$Q$5:$Q$19,MATCH($D17,등장비중!$A$5:$A$19,0))</f>
        <v>준주연</v>
      </c>
      <c r="S17" s="24" t="s">
        <v>256</v>
      </c>
    </row>
    <row r="18" customFormat="false" ht="42" hidden="false" customHeight="true" outlineLevel="0" collapsed="false">
      <c r="A18" s="24" t="n">
        <v>14</v>
      </c>
      <c r="B18" s="9" t="s">
        <v>28</v>
      </c>
      <c r="C18" s="11" t="s">
        <v>257</v>
      </c>
      <c r="D18" s="11" t="s">
        <v>258</v>
      </c>
      <c r="E18" s="25" t="n">
        <v>58</v>
      </c>
      <c r="F18" s="24" t="n">
        <f aca="false">E18+개요!$C$11</f>
        <v>64</v>
      </c>
      <c r="G18" s="26" t="s">
        <v>108</v>
      </c>
      <c r="H18" s="9" t="s">
        <v>259</v>
      </c>
      <c r="I18" s="8" t="s">
        <v>260</v>
      </c>
      <c r="J18" s="9" t="s">
        <v>261</v>
      </c>
      <c r="K18" s="9" t="s">
        <v>262</v>
      </c>
      <c r="L18" s="8" t="s">
        <v>263</v>
      </c>
      <c r="M18" s="9" t="s">
        <v>264</v>
      </c>
      <c r="N18" s="9" t="s">
        <v>265</v>
      </c>
      <c r="O18" s="9" t="s">
        <v>266</v>
      </c>
      <c r="P18" s="9" t="s">
        <v>267</v>
      </c>
      <c r="Q18" s="24" t="n">
        <f aca="false">INDEX(등장비중!$O$5:$O$19,MATCH($D18,등장비중!$A$5:$A$19,0))</f>
        <v>56</v>
      </c>
      <c r="R18" s="24" t="str">
        <f aca="false">INDEX(등장비중!$Q$5:$Q$19,MATCH($D18,등장비중!$A$5:$A$19,0))</f>
        <v>조연</v>
      </c>
      <c r="S18" s="24" t="s">
        <v>268</v>
      </c>
    </row>
    <row r="19" customFormat="false" ht="16.5" hidden="false" customHeight="true" outlineLevel="0" collapsed="false">
      <c r="A19" s="1" t="n">
        <v>15</v>
      </c>
      <c r="B19" s="28" t="s">
        <v>269</v>
      </c>
      <c r="C19" s="1" t="s">
        <v>270</v>
      </c>
      <c r="D19" s="1" t="s">
        <v>271</v>
      </c>
      <c r="E19" s="1" t="n">
        <v>81</v>
      </c>
      <c r="F19" s="1" t="n">
        <f aca="false">E19+개요!$C$11</f>
        <v>87</v>
      </c>
      <c r="G19" s="28" t="s">
        <v>121</v>
      </c>
      <c r="H19" s="28" t="s">
        <v>272</v>
      </c>
      <c r="I19" s="28" t="s">
        <v>273</v>
      </c>
      <c r="J19" s="28" t="s">
        <v>274</v>
      </c>
      <c r="K19" s="28" t="s">
        <v>275</v>
      </c>
      <c r="L19" s="1" t="s">
        <v>276</v>
      </c>
      <c r="M19" s="28" t="s">
        <v>277</v>
      </c>
      <c r="N19" s="28" t="s">
        <v>278</v>
      </c>
      <c r="O19" s="28" t="s">
        <v>279</v>
      </c>
      <c r="P19" s="28" t="s">
        <v>176</v>
      </c>
      <c r="Q19" s="1" t="n">
        <f aca="false">INDEX(등장비중!$O$5:$O$19,MATCH($D19,등장비중!$A$5:$A$19,0))</f>
        <v>53</v>
      </c>
      <c r="R19" s="1" t="str">
        <f aca="false">INDEX(등장비중!$Q$5:$Q$19,MATCH($D19,등장비중!$A$5:$A$19,0))</f>
        <v>조연</v>
      </c>
      <c r="S19" s="1" t="s">
        <v>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S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14" min="2" style="1" width="9"/>
    <col collapsed="false" customWidth="true" hidden="false" outlineLevel="0" max="16" min="15" style="1" width="8"/>
    <col collapsed="false" customWidth="true" hidden="false" outlineLevel="0" max="17" min="17" style="1" width="11"/>
    <col collapsed="false" customWidth="true" hidden="false" outlineLevel="0" max="18" min="18" style="1" width="9"/>
    <col collapsed="false" customWidth="true" hidden="false" outlineLevel="0" max="19" min="19" style="1" width="12"/>
  </cols>
  <sheetData>
    <row r="1" customFormat="false" ht="24" hidden="false" customHeight="true" outlineLevel="0" collapsed="false">
      <c r="A1" s="21" t="s">
        <v>281</v>
      </c>
    </row>
    <row r="2" customFormat="false" ht="15" hidden="false" customHeight="true" outlineLevel="0" collapsed="false">
      <c r="A2" s="20" t="s">
        <v>282</v>
      </c>
    </row>
    <row r="4" customFormat="false" ht="43.5" hidden="false" customHeight="true" outlineLevel="0" collapsed="false">
      <c r="A4" s="23" t="s">
        <v>283</v>
      </c>
      <c r="B4" s="22" t="s">
        <v>284</v>
      </c>
      <c r="C4" s="22" t="s">
        <v>285</v>
      </c>
      <c r="D4" s="22" t="s">
        <v>286</v>
      </c>
      <c r="E4" s="22" t="s">
        <v>287</v>
      </c>
      <c r="F4" s="22" t="s">
        <v>288</v>
      </c>
      <c r="G4" s="22" t="s">
        <v>289</v>
      </c>
      <c r="H4" s="22" t="s">
        <v>290</v>
      </c>
      <c r="I4" s="22" t="s">
        <v>291</v>
      </c>
      <c r="J4" s="22" t="s">
        <v>292</v>
      </c>
      <c r="K4" s="22" t="s">
        <v>293</v>
      </c>
      <c r="L4" s="22" t="s">
        <v>294</v>
      </c>
      <c r="M4" s="22" t="s">
        <v>295</v>
      </c>
      <c r="N4" s="22" t="s">
        <v>296</v>
      </c>
      <c r="O4" s="23" t="s">
        <v>297</v>
      </c>
      <c r="P4" s="23" t="s">
        <v>298</v>
      </c>
      <c r="Q4" s="23" t="s">
        <v>103</v>
      </c>
      <c r="R4" s="23" t="s">
        <v>299</v>
      </c>
      <c r="S4" s="23" t="s">
        <v>300</v>
      </c>
    </row>
    <row r="5" customFormat="false" ht="15" hidden="false" customHeight="true" outlineLevel="0" collapsed="false">
      <c r="A5" s="29" t="s">
        <v>107</v>
      </c>
      <c r="B5" s="30" t="n">
        <v>7</v>
      </c>
      <c r="C5" s="30" t="n">
        <v>12</v>
      </c>
      <c r="D5" s="30" t="n">
        <v>3</v>
      </c>
      <c r="E5" s="30" t="n">
        <v>3</v>
      </c>
      <c r="F5" s="30" t="n">
        <v>3</v>
      </c>
      <c r="G5" s="30" t="n">
        <v>12</v>
      </c>
      <c r="H5" s="30" t="n">
        <v>11</v>
      </c>
      <c r="I5" s="30" t="n">
        <v>12</v>
      </c>
      <c r="J5" s="30" t="n">
        <v>11</v>
      </c>
      <c r="K5" s="30" t="n">
        <v>11</v>
      </c>
      <c r="L5" s="30" t="n">
        <v>10</v>
      </c>
      <c r="M5" s="30" t="n">
        <v>3</v>
      </c>
      <c r="N5" s="30" t="n">
        <v>10</v>
      </c>
      <c r="O5" s="31" t="n">
        <f aca="false">SUM(B5:N5)</f>
        <v>108</v>
      </c>
      <c r="P5" s="32" t="n">
        <f aca="false">O5/개요!$C$7</f>
        <v>0.692307692307692</v>
      </c>
      <c r="Q5" s="31" t="str">
        <f aca="false">IF(P5&gt;=$B$23,"주연",IF(P5&gt;=$B$24,"준주연",IF(P5&gt;=$B$25,"핵심 조연","조연")))</f>
        <v>주연</v>
      </c>
      <c r="R5" s="31" t="str">
        <f aca="false">IF(MAX(B5:N5)&lt;=개요!$C$6,"OK","확인")</f>
        <v>OK</v>
      </c>
      <c r="S5" s="31" t="s">
        <v>301</v>
      </c>
    </row>
    <row r="6" customFormat="false" ht="15" hidden="false" customHeight="true" outlineLevel="0" collapsed="false">
      <c r="A6" s="29" t="s">
        <v>120</v>
      </c>
      <c r="B6" s="30" t="n">
        <v>6</v>
      </c>
      <c r="C6" s="30" t="n">
        <v>3</v>
      </c>
      <c r="D6" s="30" t="n">
        <v>12</v>
      </c>
      <c r="E6" s="30" t="n">
        <v>3</v>
      </c>
      <c r="F6" s="30" t="n">
        <v>3</v>
      </c>
      <c r="G6" s="30" t="n">
        <v>12</v>
      </c>
      <c r="H6" s="30" t="n">
        <v>10</v>
      </c>
      <c r="I6" s="30" t="n">
        <v>10</v>
      </c>
      <c r="J6" s="30" t="n">
        <v>8</v>
      </c>
      <c r="K6" s="30" t="n">
        <v>10</v>
      </c>
      <c r="L6" s="30" t="n">
        <v>10</v>
      </c>
      <c r="M6" s="30" t="n">
        <v>2</v>
      </c>
      <c r="N6" s="30" t="n">
        <v>9</v>
      </c>
      <c r="O6" s="31" t="n">
        <f aca="false">SUM(B6:N6)</f>
        <v>98</v>
      </c>
      <c r="P6" s="32" t="n">
        <f aca="false">O6/개요!$C$7</f>
        <v>0.628205128205128</v>
      </c>
      <c r="Q6" s="31" t="str">
        <f aca="false">IF(P6&gt;=$B$23,"주연",IF(P6&gt;=$B$24,"준주연",IF(P6&gt;=$B$25,"핵심 조연","조연")))</f>
        <v>준주연</v>
      </c>
      <c r="R6" s="31" t="str">
        <f aca="false">IF(MAX(B6:N6)&lt;=개요!$C$6,"OK","확인")</f>
        <v>OK</v>
      </c>
      <c r="S6" s="31" t="s">
        <v>301</v>
      </c>
    </row>
    <row r="7" customFormat="false" ht="15" hidden="false" customHeight="true" outlineLevel="0" collapsed="false">
      <c r="A7" s="29" t="s">
        <v>132</v>
      </c>
      <c r="B7" s="30" t="n">
        <v>7</v>
      </c>
      <c r="C7" s="30" t="n">
        <v>3</v>
      </c>
      <c r="D7" s="30" t="n">
        <v>3</v>
      </c>
      <c r="E7" s="30" t="n">
        <v>12</v>
      </c>
      <c r="F7" s="30" t="n">
        <v>3</v>
      </c>
      <c r="G7" s="30" t="n">
        <v>12</v>
      </c>
      <c r="H7" s="30" t="n">
        <v>11</v>
      </c>
      <c r="I7" s="30" t="n">
        <v>10</v>
      </c>
      <c r="J7" s="30" t="n">
        <v>10</v>
      </c>
      <c r="K7" s="30" t="n">
        <v>11</v>
      </c>
      <c r="L7" s="30" t="n">
        <v>10</v>
      </c>
      <c r="M7" s="30" t="n">
        <v>8</v>
      </c>
      <c r="N7" s="30" t="n">
        <v>9</v>
      </c>
      <c r="O7" s="31" t="n">
        <f aca="false">SUM(B7:N7)</f>
        <v>109</v>
      </c>
      <c r="P7" s="32" t="n">
        <f aca="false">O7/개요!$C$7</f>
        <v>0.698717948717949</v>
      </c>
      <c r="Q7" s="31" t="str">
        <f aca="false">IF(P7&gt;=$B$23,"주연",IF(P7&gt;=$B$24,"준주연",IF(P7&gt;=$B$25,"핵심 조연","조연")))</f>
        <v>주연</v>
      </c>
      <c r="R7" s="31" t="str">
        <f aca="false">IF(MAX(B7:N7)&lt;=개요!$C$6,"OK","확인")</f>
        <v>OK</v>
      </c>
      <c r="S7" s="31" t="s">
        <v>301</v>
      </c>
    </row>
    <row r="8" customFormat="false" ht="15" hidden="false" customHeight="true" outlineLevel="0" collapsed="false">
      <c r="A8" s="29" t="s">
        <v>143</v>
      </c>
      <c r="B8" s="30" t="n">
        <v>6</v>
      </c>
      <c r="C8" s="30" t="n">
        <v>3</v>
      </c>
      <c r="D8" s="30" t="n">
        <v>3</v>
      </c>
      <c r="E8" s="30" t="n">
        <v>3</v>
      </c>
      <c r="F8" s="30" t="n">
        <v>12</v>
      </c>
      <c r="G8" s="30" t="n">
        <v>12</v>
      </c>
      <c r="H8" s="30" t="n">
        <v>10</v>
      </c>
      <c r="I8" s="30" t="n">
        <v>11</v>
      </c>
      <c r="J8" s="30" t="n">
        <v>10</v>
      </c>
      <c r="K8" s="30" t="n">
        <v>10</v>
      </c>
      <c r="L8" s="30" t="n">
        <v>9</v>
      </c>
      <c r="M8" s="30" t="n">
        <v>3</v>
      </c>
      <c r="N8" s="30" t="n">
        <v>9</v>
      </c>
      <c r="O8" s="31" t="n">
        <f aca="false">SUM(B8:N8)</f>
        <v>101</v>
      </c>
      <c r="P8" s="32" t="n">
        <f aca="false">O8/개요!$C$7</f>
        <v>0.647435897435898</v>
      </c>
      <c r="Q8" s="31" t="str">
        <f aca="false">IF(P8&gt;=$B$23,"주연",IF(P8&gt;=$B$24,"준주연",IF(P8&gt;=$B$25,"핵심 조연","조연")))</f>
        <v>준주연</v>
      </c>
      <c r="R8" s="31" t="str">
        <f aca="false">IF(MAX(B8:N8)&lt;=개요!$C$6,"OK","확인")</f>
        <v>OK</v>
      </c>
      <c r="S8" s="31" t="s">
        <v>301</v>
      </c>
    </row>
    <row r="9" customFormat="false" ht="15" hidden="false" customHeight="true" outlineLevel="0" collapsed="false">
      <c r="A9" s="29" t="s">
        <v>155</v>
      </c>
      <c r="B9" s="30" t="n">
        <v>4</v>
      </c>
      <c r="C9" s="30" t="n">
        <v>2</v>
      </c>
      <c r="D9" s="30" t="n">
        <v>2</v>
      </c>
      <c r="E9" s="30" t="n">
        <v>2</v>
      </c>
      <c r="F9" s="30" t="n">
        <v>2</v>
      </c>
      <c r="G9" s="30" t="n">
        <v>7</v>
      </c>
      <c r="H9" s="30" t="n">
        <v>9</v>
      </c>
      <c r="I9" s="30" t="n">
        <v>7</v>
      </c>
      <c r="J9" s="30" t="n">
        <v>9</v>
      </c>
      <c r="K9" s="30" t="n">
        <v>9</v>
      </c>
      <c r="L9" s="30" t="n">
        <v>9</v>
      </c>
      <c r="M9" s="30" t="n">
        <v>0</v>
      </c>
      <c r="N9" s="30" t="n">
        <v>3</v>
      </c>
      <c r="O9" s="31" t="n">
        <f aca="false">SUM(B9:N9)</f>
        <v>65</v>
      </c>
      <c r="P9" s="32" t="n">
        <f aca="false">O9/개요!$C$7</f>
        <v>0.416666666666667</v>
      </c>
      <c r="Q9" s="31" t="str">
        <f aca="false">IF(P9&gt;=$B$23,"주연",IF(P9&gt;=$B$24,"준주연",IF(P9&gt;=$B$25,"핵심 조연","조연")))</f>
        <v>핵심 조연</v>
      </c>
      <c r="R9" s="31" t="str">
        <f aca="false">IF(MAX(B9:N9)&lt;=개요!$C$6,"OK","확인")</f>
        <v>OK</v>
      </c>
      <c r="S9" s="30" t="s">
        <v>301</v>
      </c>
    </row>
    <row r="10" customFormat="false" ht="15" hidden="false" customHeight="true" outlineLevel="0" collapsed="false">
      <c r="A10" s="29" t="s">
        <v>167</v>
      </c>
      <c r="B10" s="30" t="n">
        <v>3</v>
      </c>
      <c r="C10" s="30" t="n">
        <v>1</v>
      </c>
      <c r="D10" s="30" t="n">
        <v>1</v>
      </c>
      <c r="E10" s="30" t="n">
        <v>1</v>
      </c>
      <c r="F10" s="30" t="n">
        <v>1</v>
      </c>
      <c r="G10" s="30" t="n">
        <v>6</v>
      </c>
      <c r="H10" s="30" t="n">
        <v>8</v>
      </c>
      <c r="I10" s="30" t="n">
        <v>9</v>
      </c>
      <c r="J10" s="30" t="n">
        <v>8</v>
      </c>
      <c r="K10" s="30" t="n">
        <v>8</v>
      </c>
      <c r="L10" s="30" t="n">
        <v>7</v>
      </c>
      <c r="M10" s="30" t="n">
        <v>4</v>
      </c>
      <c r="N10" s="30" t="n">
        <v>7</v>
      </c>
      <c r="O10" s="31" t="n">
        <f aca="false">SUM(B10:N10)</f>
        <v>64</v>
      </c>
      <c r="P10" s="32" t="n">
        <f aca="false">O10/개요!$C$7</f>
        <v>0.41025641025641</v>
      </c>
      <c r="Q10" s="31" t="str">
        <f aca="false">IF(P10&gt;=$B$23,"주연",IF(P10&gt;=$B$24,"준주연",IF(P10&gt;=$B$25,"핵심 조연","조연")))</f>
        <v>핵심 조연</v>
      </c>
      <c r="R10" s="31" t="str">
        <f aca="false">IF(MAX(B10:N10)&lt;=개요!$C$6,"OK","확인")</f>
        <v>OK</v>
      </c>
      <c r="S10" s="30" t="s">
        <v>301</v>
      </c>
    </row>
    <row r="11" customFormat="false" ht="15" hidden="false" customHeight="true" outlineLevel="0" collapsed="false">
      <c r="A11" s="29" t="s">
        <v>179</v>
      </c>
      <c r="B11" s="30" t="n">
        <v>2</v>
      </c>
      <c r="C11" s="30" t="n">
        <v>1</v>
      </c>
      <c r="D11" s="30" t="n">
        <v>1</v>
      </c>
      <c r="E11" s="30" t="n">
        <v>3</v>
      </c>
      <c r="F11" s="30" t="n">
        <v>1</v>
      </c>
      <c r="G11" s="30" t="n">
        <v>5</v>
      </c>
      <c r="H11" s="30" t="n">
        <v>10</v>
      </c>
      <c r="I11" s="30" t="n">
        <v>7</v>
      </c>
      <c r="J11" s="30" t="n">
        <v>8</v>
      </c>
      <c r="K11" s="30" t="n">
        <v>8</v>
      </c>
      <c r="L11" s="30" t="n">
        <v>7</v>
      </c>
      <c r="M11" s="30" t="n">
        <v>3</v>
      </c>
      <c r="N11" s="30" t="n">
        <v>7</v>
      </c>
      <c r="O11" s="31" t="n">
        <f aca="false">SUM(B11:N11)</f>
        <v>63</v>
      </c>
      <c r="P11" s="32" t="n">
        <f aca="false">O11/개요!$C$7</f>
        <v>0.403846153846154</v>
      </c>
      <c r="Q11" s="31" t="str">
        <f aca="false">IF(P11&gt;=$B$23,"주연",IF(P11&gt;=$B$24,"준주연",IF(P11&gt;=$B$25,"핵심 조연","조연")))</f>
        <v>핵심 조연</v>
      </c>
      <c r="R11" s="31" t="str">
        <f aca="false">IF(MAX(B11:N11)&lt;=개요!$C$6,"OK","확인")</f>
        <v>OK</v>
      </c>
      <c r="S11" s="30" t="s">
        <v>301</v>
      </c>
    </row>
    <row r="12" customFormat="false" ht="15" hidden="false" customHeight="true" outlineLevel="0" collapsed="false">
      <c r="A12" s="29" t="s">
        <v>190</v>
      </c>
      <c r="B12" s="30" t="n">
        <v>1</v>
      </c>
      <c r="C12" s="30" t="n">
        <v>1</v>
      </c>
      <c r="D12" s="30" t="n">
        <v>2</v>
      </c>
      <c r="E12" s="30" t="n">
        <v>1</v>
      </c>
      <c r="F12" s="30" t="n">
        <v>2</v>
      </c>
      <c r="G12" s="30" t="n">
        <v>4</v>
      </c>
      <c r="H12" s="30" t="n">
        <v>7</v>
      </c>
      <c r="I12" s="30" t="n">
        <v>8</v>
      </c>
      <c r="J12" s="30" t="n">
        <v>6</v>
      </c>
      <c r="K12" s="30" t="n">
        <v>7</v>
      </c>
      <c r="L12" s="30" t="n">
        <v>6</v>
      </c>
      <c r="M12" s="30" t="n">
        <v>2</v>
      </c>
      <c r="N12" s="30" t="n">
        <v>7</v>
      </c>
      <c r="O12" s="31" t="n">
        <f aca="false">SUM(B12:N12)</f>
        <v>54</v>
      </c>
      <c r="P12" s="32" t="n">
        <f aca="false">O12/개요!$C$7</f>
        <v>0.346153846153846</v>
      </c>
      <c r="Q12" s="31" t="str">
        <f aca="false">IF(P12&gt;=$B$23,"주연",IF(P12&gt;=$B$24,"준주연",IF(P12&gt;=$B$25,"핵심 조연","조연")))</f>
        <v>조연</v>
      </c>
      <c r="R12" s="31" t="str">
        <f aca="false">IF(MAX(B12:N12)&lt;=개요!$C$6,"OK","확인")</f>
        <v>OK</v>
      </c>
      <c r="S12" s="30" t="s">
        <v>301</v>
      </c>
    </row>
    <row r="13" customFormat="false" ht="15" hidden="false" customHeight="true" outlineLevel="0" collapsed="false">
      <c r="A13" s="29" t="s">
        <v>201</v>
      </c>
      <c r="B13" s="30" t="n">
        <v>1</v>
      </c>
      <c r="C13" s="30" t="n">
        <v>1</v>
      </c>
      <c r="D13" s="30" t="n">
        <v>1</v>
      </c>
      <c r="E13" s="30" t="n">
        <v>1</v>
      </c>
      <c r="F13" s="30" t="n">
        <v>1</v>
      </c>
      <c r="G13" s="30" t="n">
        <v>4</v>
      </c>
      <c r="H13" s="30" t="n">
        <v>6</v>
      </c>
      <c r="I13" s="30" t="n">
        <v>9</v>
      </c>
      <c r="J13" s="30" t="n">
        <v>7</v>
      </c>
      <c r="K13" s="30" t="n">
        <v>9</v>
      </c>
      <c r="L13" s="30" t="n">
        <v>7</v>
      </c>
      <c r="M13" s="30" t="n">
        <v>4</v>
      </c>
      <c r="N13" s="30" t="n">
        <v>7</v>
      </c>
      <c r="O13" s="31" t="n">
        <f aca="false">SUM(B13:N13)</f>
        <v>58</v>
      </c>
      <c r="P13" s="32" t="n">
        <f aca="false">O13/개요!$C$7</f>
        <v>0.371794871794872</v>
      </c>
      <c r="Q13" s="31" t="str">
        <f aca="false">IF(P13&gt;=$B$23,"주연",IF(P13&gt;=$B$24,"준주연",IF(P13&gt;=$B$25,"핵심 조연","조연")))</f>
        <v>조연</v>
      </c>
      <c r="R13" s="31" t="str">
        <f aca="false">IF(MAX(B13:N13)&lt;=개요!$C$6,"OK","확인")</f>
        <v>OK</v>
      </c>
      <c r="S13" s="30" t="s">
        <v>301</v>
      </c>
    </row>
    <row r="14" customFormat="false" ht="15" hidden="false" customHeight="true" outlineLevel="0" collapsed="false">
      <c r="A14" s="29" t="s">
        <v>213</v>
      </c>
      <c r="B14" s="30" t="n">
        <v>2</v>
      </c>
      <c r="C14" s="30" t="n">
        <v>1</v>
      </c>
      <c r="D14" s="30" t="n">
        <v>1</v>
      </c>
      <c r="E14" s="30" t="n">
        <v>2</v>
      </c>
      <c r="F14" s="30" t="n">
        <v>1</v>
      </c>
      <c r="G14" s="30" t="n">
        <v>4</v>
      </c>
      <c r="H14" s="30" t="n">
        <v>6</v>
      </c>
      <c r="I14" s="30" t="n">
        <v>6</v>
      </c>
      <c r="J14" s="30" t="n">
        <v>5</v>
      </c>
      <c r="K14" s="30" t="n">
        <v>6</v>
      </c>
      <c r="L14" s="30" t="n">
        <v>6</v>
      </c>
      <c r="M14" s="30" t="n">
        <v>1</v>
      </c>
      <c r="N14" s="30" t="n">
        <v>5</v>
      </c>
      <c r="O14" s="31" t="n">
        <f aca="false">SUM(B14:N14)</f>
        <v>46</v>
      </c>
      <c r="P14" s="32" t="n">
        <f aca="false">O14/개요!$C$7</f>
        <v>0.294871794871795</v>
      </c>
      <c r="Q14" s="31" t="str">
        <f aca="false">IF(P14&gt;=$B$23,"주연",IF(P14&gt;=$B$24,"준주연",IF(P14&gt;=$B$25,"핵심 조연","조연")))</f>
        <v>조연</v>
      </c>
      <c r="R14" s="31" t="str">
        <f aca="false">IF(MAX(B14:N14)&lt;=개요!$C$6,"OK","확인")</f>
        <v>OK</v>
      </c>
      <c r="S14" s="30" t="s">
        <v>301</v>
      </c>
    </row>
    <row r="15" customFormat="false" ht="15" hidden="false" customHeight="true" outlineLevel="0" collapsed="false">
      <c r="A15" s="29" t="s">
        <v>225</v>
      </c>
      <c r="B15" s="30" t="n">
        <v>12</v>
      </c>
      <c r="C15" s="30" t="n">
        <v>2</v>
      </c>
      <c r="D15" s="30" t="n">
        <v>2</v>
      </c>
      <c r="E15" s="30" t="n">
        <v>2</v>
      </c>
      <c r="F15" s="30" t="n">
        <v>2</v>
      </c>
      <c r="G15" s="30" t="n">
        <v>5</v>
      </c>
      <c r="H15" s="30" t="n">
        <v>8</v>
      </c>
      <c r="I15" s="30" t="n">
        <v>6</v>
      </c>
      <c r="J15" s="30" t="n">
        <v>4</v>
      </c>
      <c r="K15" s="30" t="n">
        <v>5</v>
      </c>
      <c r="L15" s="30" t="n">
        <v>8</v>
      </c>
      <c r="M15" s="30" t="n">
        <v>3</v>
      </c>
      <c r="N15" s="30" t="n">
        <v>10</v>
      </c>
      <c r="O15" s="31" t="n">
        <f aca="false">SUM(B15:N15)</f>
        <v>69</v>
      </c>
      <c r="P15" s="32" t="n">
        <f aca="false">O15/개요!$C$7</f>
        <v>0.442307692307692</v>
      </c>
      <c r="Q15" s="31" t="str">
        <f aca="false">IF(P15&gt;=$B$23,"주연",IF(P15&gt;=$B$24,"준주연",IF(P15&gt;=$B$25,"핵심 조연","조연")))</f>
        <v>핵심 조연</v>
      </c>
      <c r="R15" s="31" t="str">
        <f aca="false">IF(MAX(B15:N15)&lt;=개요!$C$6,"OK","확인")</f>
        <v>OK</v>
      </c>
      <c r="S15" s="30" t="s">
        <v>301</v>
      </c>
    </row>
    <row r="16" customFormat="false" ht="15" hidden="false" customHeight="true" outlineLevel="0" collapsed="false">
      <c r="A16" s="29" t="s">
        <v>236</v>
      </c>
      <c r="B16" s="30" t="n">
        <v>2</v>
      </c>
      <c r="C16" s="30" t="n">
        <v>1</v>
      </c>
      <c r="D16" s="30" t="n">
        <v>2</v>
      </c>
      <c r="E16" s="30" t="n">
        <v>1</v>
      </c>
      <c r="F16" s="30" t="n">
        <v>3</v>
      </c>
      <c r="G16" s="30" t="n">
        <v>5</v>
      </c>
      <c r="H16" s="30" t="n">
        <v>9</v>
      </c>
      <c r="I16" s="30" t="n">
        <v>8</v>
      </c>
      <c r="J16" s="30" t="n">
        <v>6</v>
      </c>
      <c r="K16" s="30" t="n">
        <v>6</v>
      </c>
      <c r="L16" s="30" t="n">
        <v>7</v>
      </c>
      <c r="M16" s="30" t="n">
        <v>2</v>
      </c>
      <c r="N16" s="30" t="n">
        <v>6</v>
      </c>
      <c r="O16" s="31" t="n">
        <f aca="false">SUM(B16:N16)</f>
        <v>58</v>
      </c>
      <c r="P16" s="32" t="n">
        <f aca="false">O16/개요!$C$7</f>
        <v>0.371794871794872</v>
      </c>
      <c r="Q16" s="31" t="str">
        <f aca="false">IF(P16&gt;=$B$23,"주연",IF(P16&gt;=$B$24,"준주연",IF(P16&gt;=$B$25,"핵심 조연","조연")))</f>
        <v>조연</v>
      </c>
      <c r="R16" s="31" t="str">
        <f aca="false">IF(MAX(B16:N16)&lt;=개요!$C$6,"OK","확인")</f>
        <v>OK</v>
      </c>
      <c r="S16" s="30" t="s">
        <v>301</v>
      </c>
    </row>
    <row r="17" customFormat="false" ht="15" hidden="false" customHeight="true" outlineLevel="0" collapsed="false">
      <c r="A17" s="29" t="s">
        <v>247</v>
      </c>
      <c r="B17" s="30" t="n">
        <v>12</v>
      </c>
      <c r="C17" s="30" t="n">
        <v>4</v>
      </c>
      <c r="D17" s="30" t="n">
        <v>4</v>
      </c>
      <c r="E17" s="30" t="n">
        <v>4</v>
      </c>
      <c r="F17" s="30" t="n">
        <v>4</v>
      </c>
      <c r="G17" s="30" t="n">
        <v>8</v>
      </c>
      <c r="H17" s="30" t="n">
        <v>10</v>
      </c>
      <c r="I17" s="30" t="n">
        <v>10</v>
      </c>
      <c r="J17" s="30" t="n">
        <v>9</v>
      </c>
      <c r="K17" s="30" t="n">
        <v>9</v>
      </c>
      <c r="L17" s="30" t="n">
        <v>10</v>
      </c>
      <c r="M17" s="30" t="n">
        <v>3</v>
      </c>
      <c r="N17" s="30" t="n">
        <v>12</v>
      </c>
      <c r="O17" s="31" t="n">
        <f aca="false">SUM(B17:N17)</f>
        <v>99</v>
      </c>
      <c r="P17" s="32" t="n">
        <f aca="false">O17/개요!$C$7</f>
        <v>0.634615384615385</v>
      </c>
      <c r="Q17" s="31" t="str">
        <f aca="false">IF(P17&gt;=$B$23,"주연",IF(P17&gt;=$B$24,"준주연",IF(P17&gt;=$B$25,"핵심 조연","조연")))</f>
        <v>준주연</v>
      </c>
      <c r="R17" s="31" t="str">
        <f aca="false">IF(MAX(B17:N17)&lt;=개요!$C$6,"OK","확인")</f>
        <v>OK</v>
      </c>
      <c r="S17" s="31" t="s">
        <v>301</v>
      </c>
    </row>
    <row r="18" customFormat="false" ht="15" hidden="false" customHeight="true" outlineLevel="0" collapsed="false">
      <c r="A18" s="29" t="s">
        <v>258</v>
      </c>
      <c r="B18" s="30" t="n">
        <v>2</v>
      </c>
      <c r="C18" s="30" t="n">
        <v>1</v>
      </c>
      <c r="D18" s="30" t="n">
        <v>1</v>
      </c>
      <c r="E18" s="30" t="n">
        <v>3</v>
      </c>
      <c r="F18" s="30" t="n">
        <v>1</v>
      </c>
      <c r="G18" s="30" t="n">
        <v>5</v>
      </c>
      <c r="H18" s="30" t="n">
        <v>8</v>
      </c>
      <c r="I18" s="30" t="n">
        <v>5</v>
      </c>
      <c r="J18" s="30" t="n">
        <v>7</v>
      </c>
      <c r="K18" s="30" t="n">
        <v>7</v>
      </c>
      <c r="L18" s="30" t="n">
        <v>9</v>
      </c>
      <c r="M18" s="30" t="n">
        <v>1</v>
      </c>
      <c r="N18" s="30" t="n">
        <v>6</v>
      </c>
      <c r="O18" s="31" t="n">
        <f aca="false">SUM(B18:N18)</f>
        <v>56</v>
      </c>
      <c r="P18" s="32" t="n">
        <f aca="false">O18/개요!$C$7</f>
        <v>0.358974358974359</v>
      </c>
      <c r="Q18" s="31" t="str">
        <f aca="false">IF(P18&gt;=$B$23,"주연",IF(P18&gt;=$B$24,"준주연",IF(P18&gt;=$B$25,"핵심 조연","조연")))</f>
        <v>조연</v>
      </c>
      <c r="R18" s="31" t="str">
        <f aca="false">IF(MAX(B18:N18)&lt;=개요!$C$6,"OK","확인")</f>
        <v>OK</v>
      </c>
      <c r="S18" s="30" t="s">
        <v>301</v>
      </c>
    </row>
    <row r="19" customFormat="false" ht="15" hidden="false" customHeight="true" outlineLevel="0" collapsed="false">
      <c r="A19" s="33" t="s">
        <v>271</v>
      </c>
      <c r="B19" s="34" t="n">
        <v>1</v>
      </c>
      <c r="C19" s="34" t="n">
        <v>1</v>
      </c>
      <c r="D19" s="34" t="n">
        <v>1</v>
      </c>
      <c r="E19" s="34" t="n">
        <v>3</v>
      </c>
      <c r="F19" s="34" t="n">
        <v>1</v>
      </c>
      <c r="G19" s="34" t="n">
        <v>5</v>
      </c>
      <c r="H19" s="34" t="n">
        <v>8</v>
      </c>
      <c r="I19" s="34" t="n">
        <v>5</v>
      </c>
      <c r="J19" s="34" t="n">
        <v>6</v>
      </c>
      <c r="K19" s="34" t="n">
        <v>6</v>
      </c>
      <c r="L19" s="34" t="n">
        <v>9</v>
      </c>
      <c r="M19" s="34" t="n">
        <v>1</v>
      </c>
      <c r="N19" s="34" t="n">
        <v>6</v>
      </c>
      <c r="O19" s="35" t="n">
        <f aca="false">SUM(B19:N19)</f>
        <v>53</v>
      </c>
      <c r="P19" s="36" t="n">
        <f aca="false">O19/개요!$C$7</f>
        <v>0.33974358974359</v>
      </c>
      <c r="Q19" s="36" t="str">
        <f aca="false">IF(P19&gt;=$B$23,"주연",IF(P19&gt;=$B$24,"준주연",IF(P19&gt;=$B$25,"핵심 조연","조연")))</f>
        <v>조연</v>
      </c>
      <c r="R19" s="36" t="str">
        <f aca="false">IF(MAX(B19:N19)&lt;=개요!$C$6,"OK","확인")</f>
        <v>OK</v>
      </c>
      <c r="S19" s="35" t="s">
        <v>301</v>
      </c>
    </row>
    <row r="20" customFormat="false" ht="16.5" hidden="false" customHeight="true" outlineLevel="0" collapsed="false">
      <c r="A20" s="28" t="s">
        <v>302</v>
      </c>
      <c r="B20" s="1" t="n">
        <f aca="false">SUM(B5:B19)</f>
        <v>68</v>
      </c>
      <c r="C20" s="1" t="n">
        <f aca="false">SUM(C5:C19)</f>
        <v>37</v>
      </c>
      <c r="D20" s="1" t="n">
        <f aca="false">SUM(D5:D19)</f>
        <v>39</v>
      </c>
      <c r="E20" s="1" t="n">
        <f aca="false">SUM(E5:E19)</f>
        <v>44</v>
      </c>
      <c r="F20" s="1" t="n">
        <f aca="false">SUM(F5:F19)</f>
        <v>40</v>
      </c>
      <c r="G20" s="1" t="n">
        <f aca="false">SUM(G5:G19)</f>
        <v>106</v>
      </c>
      <c r="H20" s="1" t="n">
        <f aca="false">SUM(H5:H19)</f>
        <v>131</v>
      </c>
      <c r="I20" s="1" t="n">
        <f aca="false">SUM(I5:I19)</f>
        <v>123</v>
      </c>
      <c r="J20" s="1" t="n">
        <f aca="false">SUM(J5:J19)</f>
        <v>114</v>
      </c>
      <c r="K20" s="1" t="n">
        <f aca="false">SUM(K5:K19)</f>
        <v>122</v>
      </c>
      <c r="L20" s="1" t="n">
        <f aca="false">SUM(L5:L19)</f>
        <v>124</v>
      </c>
      <c r="M20" s="1" t="n">
        <f aca="false">SUM(M5:M19)</f>
        <v>40</v>
      </c>
      <c r="N20" s="1" t="n">
        <f aca="false">SUM(N5:N19)</f>
        <v>113</v>
      </c>
      <c r="O20" s="1" t="n">
        <f aca="false">SUM(O5:O19)</f>
        <v>1101</v>
      </c>
      <c r="S20" s="1" t="n">
        <f aca="false">SUM(S5:S19)</f>
        <v>0</v>
      </c>
    </row>
    <row r="22" customFormat="false" ht="15" hidden="false" customHeight="true" outlineLevel="0" collapsed="false">
      <c r="A22" s="4"/>
      <c r="B22" s="5"/>
      <c r="C22" s="5"/>
    </row>
    <row r="23" customFormat="false" ht="15" hidden="false" customHeight="true" outlineLevel="0" collapsed="false">
      <c r="A23" s="13" t="s">
        <v>303</v>
      </c>
      <c r="B23" s="37" t="n">
        <v>0.69</v>
      </c>
      <c r="C23" s="20" t="str">
        <f aca="false">"← 기준값은 제안값입니다. 현재 구분: 주연 "&amp;COUNTIF($Q$5:$Q$19,"주연")&amp;" / 준주연 "&amp;COUNTIF($Q$5:$Q$19,"준주연")&amp;" / 핵심 조연 "&amp;COUNTIF($Q$5:$Q$19,"핵심 조연")&amp;" / 조연 "&amp;COUNTIF($Q$5:$Q$19,"조연")&amp;" (자동 계산)"</f>
        <v>← 기준값은 제안값입니다. 현재 구분: 주연 2 / 준주연 3 / 핵심 조연 4 / 조연 6 (자동 계산)</v>
      </c>
    </row>
    <row r="24" customFormat="false" ht="15" hidden="false" customHeight="true" outlineLevel="0" collapsed="false">
      <c r="A24" s="13" t="s">
        <v>304</v>
      </c>
      <c r="B24" s="37" t="n">
        <v>0.6</v>
      </c>
    </row>
    <row r="25" customFormat="false" ht="15" hidden="false" customHeight="true" outlineLevel="0" collapsed="false">
      <c r="A25" s="13" t="s">
        <v>305</v>
      </c>
      <c r="B25" s="37" t="n">
        <v>0.4</v>
      </c>
    </row>
    <row r="26" customFormat="false" ht="15" hidden="false" customHeight="true" outlineLevel="0" collapsed="false">
      <c r="A26" s="13" t="s">
        <v>306</v>
      </c>
      <c r="B26" s="15" t="s">
        <v>307</v>
      </c>
    </row>
    <row r="28" customFormat="false" ht="18" hidden="false" customHeight="true" outlineLevel="0" collapsed="false">
      <c r="A28" s="4" t="s">
        <v>308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customFormat="false" ht="29.25" hidden="false" customHeight="true" outlineLevel="0" collapsed="false">
      <c r="A29" s="38" t="s">
        <v>309</v>
      </c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</row>
    <row r="30" customFormat="false" ht="16.5" hidden="false" customHeight="true" outlineLevel="0" collapsed="false">
      <c r="A30" s="38" t="s">
        <v>310</v>
      </c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</row>
    <row r="31" customFormat="false" ht="16.5" hidden="false" customHeight="true" outlineLevel="0" collapsed="false">
      <c r="A31" s="38" t="s">
        <v>311</v>
      </c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</row>
    <row r="32" customFormat="false" ht="16.5" hidden="false" customHeight="true" outlineLevel="0" collapsed="false">
      <c r="A32" s="38" t="s">
        <v>312</v>
      </c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</row>
    <row r="33" customFormat="false" ht="16.5" hidden="false" customHeight="true" outlineLevel="0" collapsed="false">
      <c r="A33" s="38" t="s">
        <v>313</v>
      </c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</row>
    <row r="34" customFormat="false" ht="16.5" hidden="false" customHeight="true" outlineLevel="0" collapsed="false">
      <c r="A34" s="38" t="s">
        <v>314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</row>
    <row r="35" customFormat="false" ht="16.5" hidden="false" customHeight="true" outlineLevel="0" collapsed="false">
      <c r="A35" s="38" t="s">
        <v>315</v>
      </c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</row>
    <row r="36" customFormat="false" ht="16.5" hidden="false" customHeight="true" outlineLevel="0" collapsed="false">
      <c r="A36" s="38" t="s">
        <v>316</v>
      </c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</row>
    <row r="37" customFormat="false" ht="16.5" hidden="false" customHeight="true" outlineLevel="0" collapsed="false">
      <c r="A37" s="38" t="s">
        <v>317</v>
      </c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</row>
    <row r="38" customFormat="false" ht="16.5" hidden="false" customHeight="true" outlineLevel="0" collapsed="false">
      <c r="A38" s="38" t="s">
        <v>318</v>
      </c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</row>
    <row r="39" customFormat="false" ht="16.5" hidden="false" customHeight="true" outlineLevel="0" collapsed="false">
      <c r="A39" s="38" t="s">
        <v>319</v>
      </c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</row>
  </sheetData>
  <mergeCells count="11">
    <mergeCell ref="A29:R29"/>
    <mergeCell ref="A30:R30"/>
    <mergeCell ref="A31:R31"/>
    <mergeCell ref="A32:R32"/>
    <mergeCell ref="A33:R33"/>
    <mergeCell ref="A34:R34"/>
    <mergeCell ref="A35:R35"/>
    <mergeCell ref="A36:R36"/>
    <mergeCell ref="A37:R37"/>
    <mergeCell ref="A38:R38"/>
    <mergeCell ref="A39:R39"/>
  </mergeCells>
  <conditionalFormatting sqref="B5:N19">
    <cfRule type="colorScale" priority="2">
      <colorScale>
        <cfvo type="num" val="0"/>
        <cfvo type="num" val="12"/>
        <color rgb="FFFFFFFF"/>
        <color rgb="FF9DC3E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P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2"/>
    <col collapsed="false" customWidth="true" hidden="false" outlineLevel="0" max="14" min="3" style="1" width="9"/>
    <col collapsed="false" customWidth="true" hidden="false" outlineLevel="0" max="15" min="15" style="0" width="9"/>
  </cols>
  <sheetData>
    <row r="1" customFormat="false" ht="24" hidden="false" customHeight="true" outlineLevel="0" collapsed="false">
      <c r="A1" s="21" t="s">
        <v>320</v>
      </c>
    </row>
    <row r="2" customFormat="false" ht="15" hidden="false" customHeight="true" outlineLevel="0" collapsed="false">
      <c r="A2" s="20" t="s">
        <v>321</v>
      </c>
    </row>
    <row r="4" customFormat="false" ht="18" hidden="false" customHeight="true" outlineLevel="0" collapsed="false">
      <c r="A4" s="39" t="s">
        <v>322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customFormat="false" ht="15" hidden="false" customHeight="true" outlineLevel="0" collapsed="false">
      <c r="A5" s="13" t="s">
        <v>323</v>
      </c>
      <c r="B5" s="30" t="n">
        <v>120</v>
      </c>
    </row>
    <row r="6" customFormat="false" ht="15" hidden="false" customHeight="true" outlineLevel="0" collapsed="false">
      <c r="A6" s="13" t="s">
        <v>324</v>
      </c>
      <c r="B6" s="40" t="n">
        <v>130</v>
      </c>
    </row>
    <row r="7" customFormat="false" ht="15" hidden="false" customHeight="true" outlineLevel="0" collapsed="false">
      <c r="A7" s="13" t="s">
        <v>7</v>
      </c>
      <c r="B7" s="31" t="n">
        <f aca="false">개요!$C$7</f>
        <v>156</v>
      </c>
    </row>
    <row r="8" customFormat="false" ht="15" hidden="false" customHeight="true" outlineLevel="0" collapsed="false">
      <c r="A8" s="13" t="s">
        <v>325</v>
      </c>
      <c r="B8" s="41" t="n">
        <f aca="false">B5*B7</f>
        <v>18720</v>
      </c>
    </row>
    <row r="9" customFormat="false" ht="15" hidden="false" customHeight="true" outlineLevel="0" collapsed="false">
      <c r="A9" s="13" t="s">
        <v>326</v>
      </c>
      <c r="B9" s="42" t="s">
        <v>327</v>
      </c>
    </row>
    <row r="11" customFormat="false" ht="15" hidden="false" customHeight="false" outlineLevel="0" collapsed="false">
      <c r="A11" s="39" t="s">
        <v>328</v>
      </c>
      <c r="O11" s="1"/>
      <c r="P11" s="1"/>
    </row>
    <row r="12" customFormat="false" ht="31.5" hidden="false" customHeight="true" outlineLevel="0" collapsed="false">
      <c r="A12" s="23" t="s">
        <v>329</v>
      </c>
      <c r="B12" s="23" t="s">
        <v>330</v>
      </c>
      <c r="C12" s="22" t="s">
        <v>331</v>
      </c>
      <c r="D12" s="22" t="s">
        <v>332</v>
      </c>
      <c r="E12" s="22" t="s">
        <v>333</v>
      </c>
      <c r="F12" s="22" t="s">
        <v>334</v>
      </c>
      <c r="G12" s="22" t="s">
        <v>335</v>
      </c>
      <c r="H12" s="22" t="s">
        <v>336</v>
      </c>
      <c r="I12" s="22" t="s">
        <v>337</v>
      </c>
      <c r="J12" s="22" t="s">
        <v>338</v>
      </c>
      <c r="K12" s="22" t="s">
        <v>339</v>
      </c>
      <c r="L12" s="22" t="s">
        <v>340</v>
      </c>
      <c r="M12" s="22" t="s">
        <v>341</v>
      </c>
      <c r="N12" s="22" t="s">
        <v>342</v>
      </c>
      <c r="O12" s="22" t="s">
        <v>343</v>
      </c>
      <c r="P12" s="1"/>
    </row>
    <row r="13" customFormat="false" ht="15" hidden="false" customHeight="false" outlineLevel="0" collapsed="false">
      <c r="A13" s="43" t="s">
        <v>107</v>
      </c>
      <c r="B13" s="30" t="n">
        <v>13</v>
      </c>
      <c r="C13" s="44" t="n">
        <v>0.13</v>
      </c>
      <c r="D13" s="44" t="n">
        <v>0.48</v>
      </c>
      <c r="E13" s="44" t="n">
        <v>0.03</v>
      </c>
      <c r="F13" s="44" t="n">
        <v>0.02</v>
      </c>
      <c r="G13" s="44" t="n">
        <v>0.02</v>
      </c>
      <c r="H13" s="44" t="n">
        <v>0.13</v>
      </c>
      <c r="I13" s="44" t="n">
        <v>0.14</v>
      </c>
      <c r="J13" s="44" t="n">
        <v>0.14</v>
      </c>
      <c r="K13" s="44" t="n">
        <v>0.08</v>
      </c>
      <c r="L13" s="44" t="n">
        <v>0.17</v>
      </c>
      <c r="M13" s="44" t="n">
        <v>0.14</v>
      </c>
      <c r="N13" s="44" t="n">
        <v>0.15</v>
      </c>
      <c r="O13" s="44" t="n">
        <v>0.07</v>
      </c>
      <c r="P13" s="1"/>
    </row>
    <row r="14" customFormat="false" ht="15" hidden="false" customHeight="false" outlineLevel="0" collapsed="false">
      <c r="A14" s="43" t="s">
        <v>120</v>
      </c>
      <c r="B14" s="30" t="n">
        <v>8</v>
      </c>
      <c r="C14" s="44" t="n">
        <v>0.12</v>
      </c>
      <c r="D14" s="44" t="n">
        <v>0.03</v>
      </c>
      <c r="E14" s="44" t="n">
        <v>0.46</v>
      </c>
      <c r="F14" s="44" t="n">
        <v>0.04</v>
      </c>
      <c r="G14" s="44" t="n">
        <v>0.03</v>
      </c>
      <c r="H14" s="44" t="n">
        <v>0.12</v>
      </c>
      <c r="I14" s="44" t="n">
        <v>0.07</v>
      </c>
      <c r="J14" s="44" t="n">
        <v>0.07</v>
      </c>
      <c r="K14" s="44" t="n">
        <v>0.11</v>
      </c>
      <c r="L14" s="44" t="n">
        <v>0.06</v>
      </c>
      <c r="M14" s="44" t="n">
        <v>0.09</v>
      </c>
      <c r="N14" s="44" t="n">
        <v>0.09</v>
      </c>
      <c r="O14" s="44" t="n">
        <v>0.06</v>
      </c>
      <c r="P14" s="1"/>
    </row>
    <row r="15" customFormat="false" ht="15" hidden="false" customHeight="false" outlineLevel="0" collapsed="false">
      <c r="A15" s="43" t="s">
        <v>132</v>
      </c>
      <c r="B15" s="30" t="n">
        <v>11</v>
      </c>
      <c r="C15" s="44" t="n">
        <v>0.12</v>
      </c>
      <c r="D15" s="44" t="n">
        <v>0.04</v>
      </c>
      <c r="E15" s="44" t="n">
        <v>0.04</v>
      </c>
      <c r="F15" s="44" t="n">
        <v>0.46</v>
      </c>
      <c r="G15" s="44" t="n">
        <v>0.04</v>
      </c>
      <c r="H15" s="44" t="n">
        <v>0.12</v>
      </c>
      <c r="I15" s="44" t="n">
        <v>0.1</v>
      </c>
      <c r="J15" s="44" t="n">
        <v>0.08</v>
      </c>
      <c r="K15" s="44" t="n">
        <v>0.14</v>
      </c>
      <c r="L15" s="44" t="n">
        <v>0.07</v>
      </c>
      <c r="M15" s="44" t="n">
        <v>0.1</v>
      </c>
      <c r="N15" s="44" t="n">
        <v>0.11</v>
      </c>
      <c r="O15" s="44" t="n">
        <v>0.07</v>
      </c>
      <c r="P15" s="1"/>
    </row>
    <row r="16" customFormat="false" ht="15" hidden="false" customHeight="false" outlineLevel="0" collapsed="false">
      <c r="A16" s="43" t="s">
        <v>143</v>
      </c>
      <c r="B16" s="30" t="n">
        <v>12</v>
      </c>
      <c r="C16" s="44" t="n">
        <v>0.12</v>
      </c>
      <c r="D16" s="44" t="n">
        <v>0.05</v>
      </c>
      <c r="E16" s="44" t="n">
        <v>0.03</v>
      </c>
      <c r="F16" s="44" t="n">
        <v>0.03</v>
      </c>
      <c r="G16" s="44" t="n">
        <v>0.46</v>
      </c>
      <c r="H16" s="44" t="n">
        <v>0.12</v>
      </c>
      <c r="I16" s="44" t="n">
        <v>0.06</v>
      </c>
      <c r="J16" s="44" t="n">
        <v>0.08</v>
      </c>
      <c r="K16" s="44" t="n">
        <v>0.08</v>
      </c>
      <c r="L16" s="44" t="n">
        <v>0.1</v>
      </c>
      <c r="M16" s="44" t="n">
        <v>0.08</v>
      </c>
      <c r="N16" s="44" t="n">
        <v>0.08</v>
      </c>
      <c r="O16" s="44" t="n">
        <v>0.07</v>
      </c>
      <c r="P16" s="1"/>
    </row>
    <row r="17" customFormat="false" ht="15" hidden="false" customHeight="false" outlineLevel="0" collapsed="false">
      <c r="A17" s="43" t="s">
        <v>155</v>
      </c>
      <c r="B17" s="30" t="n">
        <v>14</v>
      </c>
      <c r="C17" s="44" t="n">
        <v>0.08</v>
      </c>
      <c r="D17" s="44" t="n">
        <v>0.04</v>
      </c>
      <c r="E17" s="44" t="n">
        <v>0.04</v>
      </c>
      <c r="F17" s="44" t="n">
        <v>0.04</v>
      </c>
      <c r="G17" s="44" t="n">
        <v>0.04</v>
      </c>
      <c r="H17" s="44" t="n">
        <v>0.04</v>
      </c>
      <c r="I17" s="44" t="n">
        <v>0.06</v>
      </c>
      <c r="J17" s="44" t="n">
        <v>0.05</v>
      </c>
      <c r="K17" s="44" t="n">
        <v>0.04</v>
      </c>
      <c r="L17" s="44" t="n">
        <v>0.06</v>
      </c>
      <c r="M17" s="44" t="n">
        <v>0.04</v>
      </c>
      <c r="N17" s="44" t="n">
        <v>0</v>
      </c>
      <c r="O17" s="44" t="n">
        <v>0.02</v>
      </c>
      <c r="P17" s="1"/>
    </row>
    <row r="18" customFormat="false" ht="15" hidden="false" customHeight="false" outlineLevel="0" collapsed="false">
      <c r="A18" s="43" t="s">
        <v>167</v>
      </c>
      <c r="B18" s="30" t="n">
        <v>11</v>
      </c>
      <c r="C18" s="44" t="n">
        <v>0.02</v>
      </c>
      <c r="D18" s="44" t="n">
        <v>0.01</v>
      </c>
      <c r="E18" s="44" t="n">
        <v>0.01</v>
      </c>
      <c r="F18" s="44" t="n">
        <v>0.01</v>
      </c>
      <c r="G18" s="44" t="n">
        <v>0.01</v>
      </c>
      <c r="H18" s="44" t="n">
        <v>0.03</v>
      </c>
      <c r="I18" s="44" t="n">
        <v>0.04</v>
      </c>
      <c r="J18" s="44" t="n">
        <v>0.06</v>
      </c>
      <c r="K18" s="44" t="n">
        <v>0.04</v>
      </c>
      <c r="L18" s="44" t="n">
        <v>0.06</v>
      </c>
      <c r="M18" s="44" t="n">
        <v>0.04</v>
      </c>
      <c r="N18" s="44" t="n">
        <v>0.05</v>
      </c>
      <c r="O18" s="44" t="n">
        <v>0.03</v>
      </c>
      <c r="P18" s="1"/>
    </row>
    <row r="19" customFormat="false" ht="15" hidden="false" customHeight="false" outlineLevel="0" collapsed="false">
      <c r="A19" s="43" t="s">
        <v>179</v>
      </c>
      <c r="B19" s="30" t="n">
        <v>7</v>
      </c>
      <c r="C19" s="44" t="n">
        <v>0.02</v>
      </c>
      <c r="D19" s="44" t="n">
        <v>0.01</v>
      </c>
      <c r="E19" s="44" t="n">
        <v>0.01</v>
      </c>
      <c r="F19" s="44" t="n">
        <v>0.01</v>
      </c>
      <c r="G19" s="44" t="n">
        <v>0.01</v>
      </c>
      <c r="H19" s="44" t="n">
        <v>0.05</v>
      </c>
      <c r="I19" s="44" t="n">
        <v>0.06</v>
      </c>
      <c r="J19" s="44" t="n">
        <v>0.06</v>
      </c>
      <c r="K19" s="44" t="n">
        <v>0.04</v>
      </c>
      <c r="L19" s="44" t="n">
        <v>0.08</v>
      </c>
      <c r="M19" s="44" t="n">
        <v>0.07</v>
      </c>
      <c r="N19" s="44" t="n">
        <v>0.07</v>
      </c>
      <c r="O19" s="44" t="n">
        <v>0.06</v>
      </c>
      <c r="P19" s="1"/>
    </row>
    <row r="20" customFormat="false" ht="15" hidden="false" customHeight="false" outlineLevel="0" collapsed="false">
      <c r="A20" s="43" t="s">
        <v>190</v>
      </c>
      <c r="B20" s="30" t="n">
        <v>12</v>
      </c>
      <c r="C20" s="44" t="n">
        <v>0.02</v>
      </c>
      <c r="D20" s="44" t="n">
        <v>0.01</v>
      </c>
      <c r="E20" s="44" t="n">
        <v>0.01</v>
      </c>
      <c r="F20" s="44" t="n">
        <v>0.01</v>
      </c>
      <c r="G20" s="44" t="n">
        <v>0.01</v>
      </c>
      <c r="H20" s="44" t="n">
        <v>0.03</v>
      </c>
      <c r="I20" s="44" t="n">
        <v>0.03</v>
      </c>
      <c r="J20" s="44" t="n">
        <v>0.07</v>
      </c>
      <c r="K20" s="44" t="n">
        <v>0.05</v>
      </c>
      <c r="L20" s="44" t="n">
        <v>0.07</v>
      </c>
      <c r="M20" s="44" t="n">
        <v>0.05</v>
      </c>
      <c r="N20" s="44" t="n">
        <v>0.05</v>
      </c>
      <c r="O20" s="44" t="n">
        <v>0.05</v>
      </c>
      <c r="P20" s="1"/>
    </row>
    <row r="21" customFormat="false" ht="15" hidden="false" customHeight="false" outlineLevel="0" collapsed="false">
      <c r="A21" s="43" t="s">
        <v>201</v>
      </c>
      <c r="B21" s="30" t="n">
        <v>9</v>
      </c>
      <c r="C21" s="44" t="n">
        <v>0.02</v>
      </c>
      <c r="D21" s="44" t="n">
        <v>0.01</v>
      </c>
      <c r="E21" s="44" t="n">
        <v>0.01</v>
      </c>
      <c r="F21" s="44" t="n">
        <v>0.01</v>
      </c>
      <c r="G21" s="44" t="n">
        <v>0.01</v>
      </c>
      <c r="H21" s="44" t="n">
        <v>0.03</v>
      </c>
      <c r="I21" s="44" t="n">
        <v>0.06</v>
      </c>
      <c r="J21" s="44" t="n">
        <v>0.03</v>
      </c>
      <c r="K21" s="44" t="n">
        <v>0.04</v>
      </c>
      <c r="L21" s="44" t="n">
        <v>0.03</v>
      </c>
      <c r="M21" s="44" t="n">
        <v>0.05</v>
      </c>
      <c r="N21" s="44" t="n">
        <v>0.05</v>
      </c>
      <c r="O21" s="44" t="n">
        <v>0.08</v>
      </c>
      <c r="P21" s="1"/>
    </row>
    <row r="22" customFormat="false" ht="15" hidden="false" customHeight="false" outlineLevel="0" collapsed="false">
      <c r="A22" s="43" t="s">
        <v>213</v>
      </c>
      <c r="B22" s="30" t="n">
        <v>10</v>
      </c>
      <c r="C22" s="44" t="n">
        <v>0.02</v>
      </c>
      <c r="D22" s="44" t="n">
        <v>0.01</v>
      </c>
      <c r="E22" s="44" t="n">
        <v>0.03</v>
      </c>
      <c r="F22" s="44" t="n">
        <v>0.04</v>
      </c>
      <c r="G22" s="44" t="n">
        <v>0.01</v>
      </c>
      <c r="H22" s="44" t="n">
        <v>0.03</v>
      </c>
      <c r="I22" s="44" t="n">
        <v>0.08</v>
      </c>
      <c r="J22" s="44" t="n">
        <v>0.06</v>
      </c>
      <c r="K22" s="44" t="n">
        <v>0.07</v>
      </c>
      <c r="L22" s="44" t="n">
        <v>0.05</v>
      </c>
      <c r="M22" s="44" t="n">
        <v>0.06</v>
      </c>
      <c r="N22" s="44" t="n">
        <v>0.06</v>
      </c>
      <c r="O22" s="44" t="n">
        <v>0.05</v>
      </c>
      <c r="P22" s="1"/>
    </row>
    <row r="23" customFormat="false" ht="15" hidden="false" customHeight="false" outlineLevel="0" collapsed="false">
      <c r="A23" s="43" t="s">
        <v>225</v>
      </c>
      <c r="B23" s="30" t="n">
        <v>9</v>
      </c>
      <c r="C23" s="44" t="n">
        <v>0.12</v>
      </c>
      <c r="D23" s="44" t="n">
        <v>0.04</v>
      </c>
      <c r="E23" s="44" t="n">
        <v>0.03</v>
      </c>
      <c r="F23" s="44" t="n">
        <v>0.03</v>
      </c>
      <c r="G23" s="44" t="n">
        <v>0.03</v>
      </c>
      <c r="H23" s="44" t="n">
        <v>0.05</v>
      </c>
      <c r="I23" s="44" t="n">
        <v>0.04</v>
      </c>
      <c r="J23" s="44" t="n">
        <v>0.05</v>
      </c>
      <c r="K23" s="44" t="n">
        <v>0.03</v>
      </c>
      <c r="L23" s="44" t="n">
        <v>0.04</v>
      </c>
      <c r="M23" s="44" t="n">
        <v>0.04</v>
      </c>
      <c r="N23" s="44" t="n">
        <v>0.04</v>
      </c>
      <c r="O23" s="44" t="n">
        <v>0.13</v>
      </c>
      <c r="P23" s="1"/>
    </row>
    <row r="24" customFormat="false" ht="15" hidden="false" customHeight="false" outlineLevel="0" collapsed="false">
      <c r="A24" s="43" t="s">
        <v>236</v>
      </c>
      <c r="B24" s="30" t="n">
        <v>10</v>
      </c>
      <c r="C24" s="44" t="n">
        <v>0.01</v>
      </c>
      <c r="D24" s="44" t="n">
        <v>0.02</v>
      </c>
      <c r="E24" s="44" t="n">
        <v>0.01</v>
      </c>
      <c r="F24" s="44" t="n">
        <v>0.01</v>
      </c>
      <c r="G24" s="44" t="n">
        <v>0.09</v>
      </c>
      <c r="H24" s="44" t="n">
        <v>0.05</v>
      </c>
      <c r="I24" s="44" t="n">
        <v>0.06</v>
      </c>
      <c r="J24" s="44" t="n">
        <v>0.08</v>
      </c>
      <c r="K24" s="44" t="n">
        <v>0.08</v>
      </c>
      <c r="L24" s="44" t="n">
        <v>0.06</v>
      </c>
      <c r="M24" s="44" t="n">
        <v>0.05</v>
      </c>
      <c r="N24" s="44" t="n">
        <v>0.05</v>
      </c>
      <c r="O24" s="44" t="n">
        <v>0.05</v>
      </c>
      <c r="P24" s="1"/>
    </row>
    <row r="25" customFormat="false" ht="15" hidden="false" customHeight="false" outlineLevel="0" collapsed="false">
      <c r="A25" s="43" t="s">
        <v>247</v>
      </c>
      <c r="B25" s="30" t="n">
        <v>7</v>
      </c>
      <c r="C25" s="44" t="n">
        <v>0.16</v>
      </c>
      <c r="D25" s="44" t="n">
        <v>0.08</v>
      </c>
      <c r="E25" s="44" t="n">
        <v>0.08</v>
      </c>
      <c r="F25" s="44" t="n">
        <v>0.08</v>
      </c>
      <c r="G25" s="44" t="n">
        <v>0.08</v>
      </c>
      <c r="H25" s="44" t="n">
        <v>0.11</v>
      </c>
      <c r="I25" s="44" t="n">
        <v>0.06</v>
      </c>
      <c r="J25" s="44" t="n">
        <v>0.06</v>
      </c>
      <c r="K25" s="44" t="n">
        <v>0.09</v>
      </c>
      <c r="L25" s="44" t="n">
        <v>0.05</v>
      </c>
      <c r="M25" s="44" t="n">
        <v>0.08</v>
      </c>
      <c r="N25" s="44" t="n">
        <v>0.08</v>
      </c>
      <c r="O25" s="44" t="n">
        <v>0.17</v>
      </c>
      <c r="P25" s="1"/>
    </row>
    <row r="26" customFormat="false" ht="15" hidden="false" customHeight="false" outlineLevel="0" collapsed="false">
      <c r="A26" s="43" t="s">
        <v>258</v>
      </c>
      <c r="B26" s="30" t="n">
        <v>11</v>
      </c>
      <c r="C26" s="44" t="n">
        <v>0.01</v>
      </c>
      <c r="D26" s="44" t="n">
        <v>0.02</v>
      </c>
      <c r="E26" s="44" t="n">
        <v>0.01</v>
      </c>
      <c r="F26" s="44" t="n">
        <v>0.08</v>
      </c>
      <c r="G26" s="44" t="n">
        <v>0.01</v>
      </c>
      <c r="H26" s="44" t="n">
        <v>0.02</v>
      </c>
      <c r="I26" s="44" t="n">
        <v>0.06</v>
      </c>
      <c r="J26" s="44" t="n">
        <v>0.03</v>
      </c>
      <c r="K26" s="44" t="n">
        <v>0.05</v>
      </c>
      <c r="L26" s="44" t="n">
        <v>0.03</v>
      </c>
      <c r="M26" s="44" t="n">
        <v>0.05</v>
      </c>
      <c r="N26" s="44" t="n">
        <v>0.05</v>
      </c>
      <c r="O26" s="44" t="n">
        <v>0.02</v>
      </c>
      <c r="P26" s="1"/>
    </row>
    <row r="27" customFormat="false" ht="15" hidden="false" customHeight="false" outlineLevel="0" collapsed="false">
      <c r="A27" s="43" t="s">
        <v>271</v>
      </c>
      <c r="B27" s="30" t="n">
        <v>9</v>
      </c>
      <c r="C27" s="44" t="n">
        <v>0.01</v>
      </c>
      <c r="D27" s="44" t="n">
        <v>0.01</v>
      </c>
      <c r="E27" s="44" t="n">
        <v>0.04</v>
      </c>
      <c r="F27" s="44" t="n">
        <v>0.01</v>
      </c>
      <c r="G27" s="44" t="n">
        <v>0.04</v>
      </c>
      <c r="H27" s="44" t="n">
        <v>0.03</v>
      </c>
      <c r="I27" s="44" t="n">
        <v>0.05</v>
      </c>
      <c r="J27" s="44" t="n">
        <v>0.06</v>
      </c>
      <c r="K27" s="44" t="n">
        <v>0.04</v>
      </c>
      <c r="L27" s="44" t="n">
        <v>0.05</v>
      </c>
      <c r="M27" s="44" t="n">
        <v>0.04</v>
      </c>
      <c r="N27" s="44" t="n">
        <v>0.04</v>
      </c>
      <c r="O27" s="44" t="n">
        <v>0.05</v>
      </c>
      <c r="P27" s="1"/>
    </row>
    <row r="28" customFormat="false" ht="15" hidden="false" customHeight="false" outlineLevel="0" collapsed="false">
      <c r="A28" s="45" t="s">
        <v>344</v>
      </c>
      <c r="B28" s="30" t="n">
        <v>10</v>
      </c>
      <c r="C28" s="44" t="n">
        <v>0.02</v>
      </c>
      <c r="D28" s="44" t="n">
        <v>0.14</v>
      </c>
      <c r="E28" s="44" t="n">
        <v>0.16</v>
      </c>
      <c r="F28" s="44" t="n">
        <v>0.12</v>
      </c>
      <c r="G28" s="44" t="n">
        <v>0.11</v>
      </c>
      <c r="H28" s="44" t="n">
        <v>0.04</v>
      </c>
      <c r="I28" s="44" t="n">
        <v>0.03</v>
      </c>
      <c r="J28" s="44" t="n">
        <v>0.02</v>
      </c>
      <c r="K28" s="44" t="n">
        <v>0.02</v>
      </c>
      <c r="L28" s="44" t="n">
        <v>0.02</v>
      </c>
      <c r="M28" s="44" t="n">
        <v>0.02</v>
      </c>
      <c r="N28" s="44" t="n">
        <v>0.03</v>
      </c>
      <c r="O28" s="44" t="n">
        <v>0.02</v>
      </c>
      <c r="P28" s="1"/>
    </row>
    <row r="29" customFormat="false" ht="15" hidden="false" customHeight="false" outlineLevel="0" collapsed="false">
      <c r="A29" s="46" t="s">
        <v>297</v>
      </c>
      <c r="B29" s="47"/>
      <c r="C29" s="48" t="n">
        <f aca="false">SUM(C13:C28)</f>
        <v>1</v>
      </c>
      <c r="D29" s="48" t="n">
        <f aca="false">SUM(D13:D28)</f>
        <v>1</v>
      </c>
      <c r="E29" s="48" t="n">
        <f aca="false">SUM(E13:E28)</f>
        <v>1</v>
      </c>
      <c r="F29" s="48" t="n">
        <f aca="false">SUM(F13:F28)</f>
        <v>1</v>
      </c>
      <c r="G29" s="48" t="n">
        <f aca="false">SUM(G13:G28)</f>
        <v>1</v>
      </c>
      <c r="H29" s="48" t="n">
        <f aca="false">SUM(H13:H28)</f>
        <v>1</v>
      </c>
      <c r="I29" s="48" t="n">
        <f aca="false">SUM(I13:I28)</f>
        <v>1</v>
      </c>
      <c r="J29" s="48" t="n">
        <f aca="false">SUM(J13:J28)</f>
        <v>1</v>
      </c>
      <c r="K29" s="48" t="n">
        <f aca="false">SUM(K13:K28)</f>
        <v>1</v>
      </c>
      <c r="L29" s="48" t="n">
        <f aca="false">SUM(L13:L28)</f>
        <v>1</v>
      </c>
      <c r="M29" s="48" t="n">
        <f aca="false">SUM(M13:M28)</f>
        <v>1</v>
      </c>
      <c r="N29" s="48" t="n">
        <f aca="false">SUM(N13:N28)</f>
        <v>1</v>
      </c>
      <c r="O29" s="48" t="n">
        <f aca="false">SUM(O13:O28)</f>
        <v>1</v>
      </c>
      <c r="P29" s="1"/>
    </row>
    <row r="30" customFormat="false" ht="15" hidden="false" customHeight="false" outlineLevel="0" collapsed="false">
      <c r="A30" s="46" t="s">
        <v>345</v>
      </c>
      <c r="B30" s="47"/>
      <c r="C30" s="47" t="str">
        <f aca="false">IF(ROUND(C29,4)=1,"OK","확인")</f>
        <v>OK</v>
      </c>
      <c r="D30" s="47" t="str">
        <f aca="false">IF(ROUND(D29,4)=1,"OK","확인")</f>
        <v>OK</v>
      </c>
      <c r="E30" s="47" t="str">
        <f aca="false">IF(ROUND(E29,4)=1,"OK","확인")</f>
        <v>OK</v>
      </c>
      <c r="F30" s="47" t="str">
        <f aca="false">IF(ROUND(F29,4)=1,"OK","확인")</f>
        <v>OK</v>
      </c>
      <c r="G30" s="47" t="str">
        <f aca="false">IF(ROUND(G29,4)=1,"OK","확인")</f>
        <v>OK</v>
      </c>
      <c r="H30" s="47" t="str">
        <f aca="false">IF(ROUND(H29,4)=1,"OK","확인")</f>
        <v>OK</v>
      </c>
      <c r="I30" s="47" t="str">
        <f aca="false">IF(ROUND(I29,4)=1,"OK","확인")</f>
        <v>OK</v>
      </c>
      <c r="J30" s="47" t="str">
        <f aca="false">IF(ROUND(J29,4)=1,"OK","확인")</f>
        <v>OK</v>
      </c>
      <c r="K30" s="47" t="str">
        <f aca="false">IF(ROUND(K29,4)=1,"OK","확인")</f>
        <v>OK</v>
      </c>
      <c r="L30" s="47" t="str">
        <f aca="false">IF(ROUND(L29,4)=1,"OK","확인")</f>
        <v>OK</v>
      </c>
      <c r="M30" s="47" t="str">
        <f aca="false">IF(ROUND(M29,4)=1,"OK","확인")</f>
        <v>OK</v>
      </c>
      <c r="N30" s="47" t="str">
        <f aca="false">IF(ROUND(N29,4)=1,"OK","확인")</f>
        <v>OK</v>
      </c>
      <c r="O30" s="47" t="str">
        <f aca="false">IF(ROUND(O29,4)=1,"OK","확인")</f>
        <v>OK</v>
      </c>
      <c r="P30" s="1"/>
    </row>
    <row r="31" customFormat="false" ht="15" hidden="false" customHeight="false" outlineLevel="0" collapsed="false">
      <c r="O31" s="1"/>
      <c r="P31" s="1"/>
    </row>
    <row r="32" customFormat="false" ht="15" hidden="false" customHeight="false" outlineLevel="0" collapsed="false">
      <c r="A32" s="39" t="s">
        <v>346</v>
      </c>
      <c r="O32" s="1"/>
      <c r="P32" s="1"/>
    </row>
    <row r="33" customFormat="false" ht="31.5" hidden="false" customHeight="true" outlineLevel="0" collapsed="false">
      <c r="A33" s="23" t="s">
        <v>347</v>
      </c>
      <c r="B33" s="23" t="s">
        <v>348</v>
      </c>
      <c r="C33" s="23" t="s">
        <v>349</v>
      </c>
      <c r="D33" s="23" t="s">
        <v>350</v>
      </c>
      <c r="E33" s="23" t="s">
        <v>330</v>
      </c>
      <c r="F33" s="23" t="s">
        <v>351</v>
      </c>
      <c r="G33" s="23" t="s">
        <v>352</v>
      </c>
      <c r="H33" s="23" t="s">
        <v>353</v>
      </c>
      <c r="I33" s="23" t="s">
        <v>354</v>
      </c>
      <c r="O33" s="1"/>
      <c r="P33" s="1"/>
    </row>
    <row r="34" customFormat="false" ht="15" hidden="false" customHeight="false" outlineLevel="0" collapsed="false">
      <c r="A34" s="49" t="s">
        <v>355</v>
      </c>
      <c r="B34" s="50" t="n">
        <v>0.8</v>
      </c>
      <c r="C34" s="31" t="n">
        <f aca="false">$B$5</f>
        <v>120</v>
      </c>
      <c r="D34" s="41" t="n">
        <f aca="false">C34*개요!$C$6</f>
        <v>1440</v>
      </c>
      <c r="E34" s="51" t="n">
        <f aca="false">SUMPRODUCT(C$13:C$28,$B$13:$B$28)*B34</f>
        <v>8.168</v>
      </c>
      <c r="F34" s="41" t="n">
        <f aca="false">C34*E34</f>
        <v>980.16</v>
      </c>
      <c r="G34" s="41" t="n">
        <f aca="false">F34*개요!$C$6</f>
        <v>11761.92</v>
      </c>
      <c r="H34" s="51" t="n">
        <f aca="false">F34/$B$6</f>
        <v>7.53969230769231</v>
      </c>
      <c r="I34" s="51" t="n">
        <f aca="false">H34*개요!$C$6/60</f>
        <v>1.50793846153846</v>
      </c>
      <c r="O34" s="1"/>
      <c r="P34" s="1"/>
    </row>
    <row r="35" customFormat="false" ht="15" hidden="false" customHeight="false" outlineLevel="0" collapsed="false">
      <c r="A35" s="49" t="s">
        <v>356</v>
      </c>
      <c r="B35" s="50" t="n">
        <v>1</v>
      </c>
      <c r="C35" s="31" t="n">
        <f aca="false">$B$5</f>
        <v>120</v>
      </c>
      <c r="D35" s="41" t="n">
        <f aca="false">C35*개요!$C$6</f>
        <v>1440</v>
      </c>
      <c r="E35" s="51" t="n">
        <f aca="false">SUMPRODUCT(D$13:D$28,$B$13:$B$28)*B35</f>
        <v>11.4</v>
      </c>
      <c r="F35" s="41" t="n">
        <f aca="false">C35*E35</f>
        <v>1368</v>
      </c>
      <c r="G35" s="41" t="n">
        <f aca="false">F35*개요!$C$6</f>
        <v>16416</v>
      </c>
      <c r="H35" s="51" t="n">
        <f aca="false">F35/$B$6</f>
        <v>10.5230769230769</v>
      </c>
      <c r="I35" s="51" t="n">
        <f aca="false">H35*개요!$C$6/60</f>
        <v>2.10461538461538</v>
      </c>
      <c r="O35" s="1"/>
      <c r="P35" s="1"/>
    </row>
    <row r="36" customFormat="false" ht="15" hidden="false" customHeight="false" outlineLevel="0" collapsed="false">
      <c r="A36" s="49" t="s">
        <v>357</v>
      </c>
      <c r="B36" s="50" t="n">
        <v>1</v>
      </c>
      <c r="C36" s="31" t="n">
        <f aca="false">$B$5</f>
        <v>120</v>
      </c>
      <c r="D36" s="41" t="n">
        <f aca="false">C36*개요!$C$6</f>
        <v>1440</v>
      </c>
      <c r="E36" s="51" t="n">
        <f aca="false">SUMPRODUCT(E$13:E$28,$B$13:$B$28)*B36</f>
        <v>9.12</v>
      </c>
      <c r="F36" s="41" t="n">
        <f aca="false">C36*E36</f>
        <v>1094.4</v>
      </c>
      <c r="G36" s="41" t="n">
        <f aca="false">F36*개요!$C$6</f>
        <v>13132.8</v>
      </c>
      <c r="H36" s="51" t="n">
        <f aca="false">F36/$B$6</f>
        <v>8.41846153846154</v>
      </c>
      <c r="I36" s="51" t="n">
        <f aca="false">H36*개요!$C$6/60</f>
        <v>1.68369230769231</v>
      </c>
      <c r="O36" s="1"/>
      <c r="P36" s="1"/>
    </row>
    <row r="37" customFormat="false" ht="15" hidden="false" customHeight="false" outlineLevel="0" collapsed="false">
      <c r="A37" s="49" t="s">
        <v>358</v>
      </c>
      <c r="B37" s="50" t="n">
        <v>1</v>
      </c>
      <c r="C37" s="31" t="n">
        <f aca="false">$B$5</f>
        <v>120</v>
      </c>
      <c r="D37" s="41" t="n">
        <f aca="false">C37*개요!$C$6</f>
        <v>1440</v>
      </c>
      <c r="E37" s="51" t="n">
        <f aca="false">SUMPRODUCT(F$13:F$28,$B$13:$B$28)*B37</f>
        <v>10.45</v>
      </c>
      <c r="F37" s="41" t="n">
        <f aca="false">C37*E37</f>
        <v>1254</v>
      </c>
      <c r="G37" s="41" t="n">
        <f aca="false">F37*개요!$C$6</f>
        <v>15048</v>
      </c>
      <c r="H37" s="51" t="n">
        <f aca="false">F37/$B$6</f>
        <v>9.64615384615385</v>
      </c>
      <c r="I37" s="51" t="n">
        <f aca="false">H37*개요!$C$6/60</f>
        <v>1.92923076923077</v>
      </c>
      <c r="O37" s="1"/>
      <c r="P37" s="1"/>
    </row>
    <row r="38" customFormat="false" ht="15" hidden="false" customHeight="false" outlineLevel="0" collapsed="false">
      <c r="A38" s="49" t="s">
        <v>359</v>
      </c>
      <c r="B38" s="50" t="n">
        <v>1</v>
      </c>
      <c r="C38" s="31" t="n">
        <f aca="false">$B$5</f>
        <v>120</v>
      </c>
      <c r="D38" s="41" t="n">
        <f aca="false">C38*개요!$C$6</f>
        <v>1440</v>
      </c>
      <c r="E38" s="51" t="n">
        <f aca="false">SUMPRODUCT(G$13:G$28,$B$13:$B$28)*B38</f>
        <v>10.81</v>
      </c>
      <c r="F38" s="41" t="n">
        <f aca="false">C38*E38</f>
        <v>1297.2</v>
      </c>
      <c r="G38" s="41" t="n">
        <f aca="false">F38*개요!$C$6</f>
        <v>15566.4</v>
      </c>
      <c r="H38" s="51" t="n">
        <f aca="false">F38/$B$6</f>
        <v>9.97846153846154</v>
      </c>
      <c r="I38" s="51" t="n">
        <f aca="false">H38*개요!$C$6/60</f>
        <v>1.99569230769231</v>
      </c>
      <c r="O38" s="1"/>
      <c r="P38" s="1"/>
    </row>
    <row r="39" customFormat="false" ht="15" hidden="false" customHeight="false" outlineLevel="0" collapsed="false">
      <c r="A39" s="49" t="s">
        <v>360</v>
      </c>
      <c r="B39" s="50" t="n">
        <v>1</v>
      </c>
      <c r="C39" s="31" t="n">
        <f aca="false">$B$5</f>
        <v>120</v>
      </c>
      <c r="D39" s="41" t="n">
        <f aca="false">C39*개요!$C$6</f>
        <v>1440</v>
      </c>
      <c r="E39" s="51" t="n">
        <f aca="false">SUMPRODUCT(H$13:H$28,$B$13:$B$28)*B39</f>
        <v>10.19</v>
      </c>
      <c r="F39" s="41" t="n">
        <f aca="false">C39*E39</f>
        <v>1222.8</v>
      </c>
      <c r="G39" s="41" t="n">
        <f aca="false">F39*개요!$C$6</f>
        <v>14673.6</v>
      </c>
      <c r="H39" s="51" t="n">
        <f aca="false">F39/$B$6</f>
        <v>9.40615384615385</v>
      </c>
      <c r="I39" s="51" t="n">
        <f aca="false">H39*개요!$C$6/60</f>
        <v>1.88123076923077</v>
      </c>
      <c r="O39" s="1"/>
      <c r="P39" s="1"/>
    </row>
    <row r="40" customFormat="false" ht="15" hidden="false" customHeight="false" outlineLevel="0" collapsed="false">
      <c r="A40" s="49" t="s">
        <v>361</v>
      </c>
      <c r="B40" s="50" t="n">
        <v>1</v>
      </c>
      <c r="C40" s="31" t="n">
        <f aca="false">$B$5</f>
        <v>120</v>
      </c>
      <c r="D40" s="41" t="n">
        <f aca="false">C40*개요!$C$6</f>
        <v>1440</v>
      </c>
      <c r="E40" s="51" t="n">
        <f aca="false">SUMPRODUCT(I$13:I$28,$B$13:$B$28)*B40</f>
        <v>10.39</v>
      </c>
      <c r="F40" s="41" t="n">
        <f aca="false">C40*E40</f>
        <v>1246.8</v>
      </c>
      <c r="G40" s="41" t="n">
        <f aca="false">F40*개요!$C$6</f>
        <v>14961.6</v>
      </c>
      <c r="H40" s="51" t="n">
        <f aca="false">F40/$B$6</f>
        <v>9.59076923076923</v>
      </c>
      <c r="I40" s="51" t="n">
        <f aca="false">H40*개요!$C$6/60</f>
        <v>1.91815384615385</v>
      </c>
      <c r="O40" s="1"/>
      <c r="P40" s="1"/>
    </row>
    <row r="41" customFormat="false" ht="15" hidden="false" customHeight="false" outlineLevel="0" collapsed="false">
      <c r="A41" s="49" t="s">
        <v>362</v>
      </c>
      <c r="B41" s="50" t="n">
        <v>1.1</v>
      </c>
      <c r="C41" s="31" t="n">
        <f aca="false">$B$5</f>
        <v>120</v>
      </c>
      <c r="D41" s="41" t="n">
        <f aca="false">C41*개요!$C$6</f>
        <v>1440</v>
      </c>
      <c r="E41" s="51" t="n">
        <f aca="false">SUMPRODUCT(J$13:J$28,$B$13:$B$28)*B41</f>
        <v>11.495</v>
      </c>
      <c r="F41" s="41" t="n">
        <f aca="false">C41*E41</f>
        <v>1379.4</v>
      </c>
      <c r="G41" s="41" t="n">
        <f aca="false">F41*개요!$C$6</f>
        <v>16552.8</v>
      </c>
      <c r="H41" s="51" t="n">
        <f aca="false">F41/$B$6</f>
        <v>10.6107692307692</v>
      </c>
      <c r="I41" s="51" t="n">
        <f aca="false">H41*개요!$C$6/60</f>
        <v>2.12215384615385</v>
      </c>
      <c r="O41" s="1"/>
      <c r="P41" s="1"/>
    </row>
    <row r="42" customFormat="false" ht="15" hidden="false" customHeight="false" outlineLevel="0" collapsed="false">
      <c r="A42" s="49" t="s">
        <v>363</v>
      </c>
      <c r="B42" s="50" t="n">
        <v>1.1</v>
      </c>
      <c r="C42" s="31" t="n">
        <f aca="false">$B$5</f>
        <v>120</v>
      </c>
      <c r="D42" s="41" t="n">
        <f aca="false">C42*개요!$C$6</f>
        <v>1440</v>
      </c>
      <c r="E42" s="51" t="n">
        <f aca="false">SUMPRODUCT(K$13:K$28,$B$13:$B$28)*B42</f>
        <v>11.187</v>
      </c>
      <c r="F42" s="41" t="n">
        <f aca="false">C42*E42</f>
        <v>1342.44</v>
      </c>
      <c r="G42" s="41" t="n">
        <f aca="false">F42*개요!$C$6</f>
        <v>16109.28</v>
      </c>
      <c r="H42" s="51" t="n">
        <f aca="false">F42/$B$6</f>
        <v>10.3264615384615</v>
      </c>
      <c r="I42" s="51" t="n">
        <f aca="false">H42*개요!$C$6/60</f>
        <v>2.06529230769231</v>
      </c>
      <c r="O42" s="1"/>
      <c r="P42" s="1"/>
    </row>
    <row r="43" customFormat="false" ht="15" hidden="false" customHeight="false" outlineLevel="0" collapsed="false">
      <c r="A43" s="49" t="s">
        <v>364</v>
      </c>
      <c r="B43" s="50" t="n">
        <v>1.2</v>
      </c>
      <c r="C43" s="31" t="n">
        <f aca="false">$B$5</f>
        <v>120</v>
      </c>
      <c r="D43" s="41" t="n">
        <f aca="false">C43*개요!$C$6</f>
        <v>1440</v>
      </c>
      <c r="E43" s="51" t="n">
        <f aca="false">SUMPRODUCT(L$13:L$28,$B$13:$B$28)*B43</f>
        <v>12.744</v>
      </c>
      <c r="F43" s="41" t="n">
        <f aca="false">C43*E43</f>
        <v>1529.28</v>
      </c>
      <c r="G43" s="41" t="n">
        <f aca="false">F43*개요!$C$6</f>
        <v>18351.36</v>
      </c>
      <c r="H43" s="51" t="n">
        <f aca="false">F43/$B$6</f>
        <v>11.7636923076923</v>
      </c>
      <c r="I43" s="51" t="n">
        <f aca="false">H43*개요!$C$6/60</f>
        <v>2.35273846153846</v>
      </c>
      <c r="O43" s="1"/>
      <c r="P43" s="1"/>
    </row>
    <row r="44" customFormat="false" ht="15" hidden="false" customHeight="false" outlineLevel="0" collapsed="false">
      <c r="A44" s="49" t="s">
        <v>365</v>
      </c>
      <c r="B44" s="50" t="n">
        <v>1.2</v>
      </c>
      <c r="C44" s="31" t="n">
        <f aca="false">$B$5</f>
        <v>120</v>
      </c>
      <c r="D44" s="41" t="n">
        <f aca="false">C44*개요!$C$6</f>
        <v>1440</v>
      </c>
      <c r="E44" s="51" t="n">
        <f aca="false">SUMPRODUCT(M$13:M$28,$B$13:$B$28)*B44</f>
        <v>12.324</v>
      </c>
      <c r="F44" s="41" t="n">
        <f aca="false">C44*E44</f>
        <v>1478.88</v>
      </c>
      <c r="G44" s="41" t="n">
        <f aca="false">F44*개요!$C$6</f>
        <v>17746.56</v>
      </c>
      <c r="H44" s="51" t="n">
        <f aca="false">F44/$B$6</f>
        <v>11.376</v>
      </c>
      <c r="I44" s="51" t="n">
        <f aca="false">H44*개요!$C$6/60</f>
        <v>2.2752</v>
      </c>
      <c r="O44" s="1"/>
      <c r="P44" s="1"/>
    </row>
    <row r="45" customFormat="false" ht="15" hidden="false" customHeight="false" outlineLevel="0" collapsed="false">
      <c r="A45" s="49" t="s">
        <v>366</v>
      </c>
      <c r="B45" s="50" t="n">
        <v>1.2</v>
      </c>
      <c r="C45" s="31" t="n">
        <f aca="false">$B$5</f>
        <v>120</v>
      </c>
      <c r="D45" s="41" t="n">
        <f aca="false">C45*개요!$C$6</f>
        <v>1440</v>
      </c>
      <c r="E45" s="51" t="n">
        <f aca="false">SUMPRODUCT(N$13:N$28,$B$13:$B$28)*B45</f>
        <v>12.192</v>
      </c>
      <c r="F45" s="41" t="n">
        <f aca="false">C45*E45</f>
        <v>1463.04</v>
      </c>
      <c r="G45" s="41" t="n">
        <f aca="false">F45*개요!$C$6</f>
        <v>17556.48</v>
      </c>
      <c r="H45" s="51" t="n">
        <f aca="false">F45/$B$6</f>
        <v>11.2541538461538</v>
      </c>
      <c r="I45" s="51" t="n">
        <f aca="false">H45*개요!$C$6/60</f>
        <v>2.25083076923077</v>
      </c>
      <c r="O45" s="1"/>
      <c r="P45" s="1"/>
    </row>
    <row r="46" customFormat="false" ht="15" hidden="false" customHeight="false" outlineLevel="0" collapsed="false">
      <c r="A46" s="49" t="s">
        <v>367</v>
      </c>
      <c r="B46" s="50" t="n">
        <v>0.8</v>
      </c>
      <c r="C46" s="31" t="n">
        <f aca="false">$B$5</f>
        <v>120</v>
      </c>
      <c r="D46" s="41" t="n">
        <f aca="false">C46*개요!$C$6</f>
        <v>1440</v>
      </c>
      <c r="E46" s="51" t="n">
        <f aca="false">SUMPRODUCT(O$13:O$28,$B$13:$B$28)*B46</f>
        <v>7.664</v>
      </c>
      <c r="F46" s="41" t="n">
        <f aca="false">C46*E46</f>
        <v>919.68</v>
      </c>
      <c r="G46" s="41" t="n">
        <f aca="false">F46*개요!$C$6</f>
        <v>11036.16</v>
      </c>
      <c r="H46" s="51" t="n">
        <f aca="false">F46/$B$6</f>
        <v>7.07446153846154</v>
      </c>
      <c r="I46" s="51" t="n">
        <f aca="false">H46*개요!$C$6/60</f>
        <v>1.41489230769231</v>
      </c>
      <c r="O46" s="1"/>
      <c r="P46" s="1"/>
    </row>
    <row r="47" customFormat="false" ht="15" hidden="false" customHeight="false" outlineLevel="0" collapsed="false">
      <c r="A47" s="52" t="s">
        <v>368</v>
      </c>
      <c r="B47" s="53"/>
      <c r="C47" s="53"/>
      <c r="D47" s="53" t="n">
        <f aca="false">SUM(D34:D46)</f>
        <v>18720</v>
      </c>
      <c r="E47" s="54" t="n">
        <f aca="false">G47/D47</f>
        <v>10.6256923076923</v>
      </c>
      <c r="F47" s="53" t="n">
        <f aca="false">AVERAGE(F34:F46)</f>
        <v>1275.08307692308</v>
      </c>
      <c r="G47" s="53" t="n">
        <f aca="false">SUM(G34:G46)</f>
        <v>198912.96</v>
      </c>
      <c r="H47" s="54" t="n">
        <f aca="false">AVERAGE(H34:H46)</f>
        <v>9.80833136094675</v>
      </c>
      <c r="I47" s="54" t="n">
        <f aca="false">SUM(I34:I46)</f>
        <v>25.5016615384615</v>
      </c>
      <c r="O47" s="1"/>
      <c r="P47" s="1"/>
    </row>
    <row r="48" customFormat="false" ht="15" hidden="false" customHeight="false" outlineLevel="0" collapsed="false">
      <c r="A48" s="20" t="s">
        <v>369</v>
      </c>
      <c r="O48" s="1"/>
      <c r="P48" s="1"/>
    </row>
    <row r="49" customFormat="false" ht="15" hidden="false" customHeight="false" outlineLevel="0" collapsed="false">
      <c r="O49" s="1"/>
      <c r="P49" s="1"/>
    </row>
    <row r="50" customFormat="false" ht="15" hidden="false" customHeight="false" outlineLevel="0" collapsed="false">
      <c r="A50" s="39" t="s">
        <v>370</v>
      </c>
      <c r="O50" s="1"/>
      <c r="P50" s="1"/>
    </row>
    <row r="51" customFormat="false" ht="15" hidden="false" customHeight="true" outlineLevel="0" collapsed="false">
      <c r="A51" s="23" t="s">
        <v>371</v>
      </c>
      <c r="B51" s="23" t="s">
        <v>372</v>
      </c>
      <c r="C51" s="23" t="s">
        <v>373</v>
      </c>
      <c r="D51" s="23" t="s">
        <v>374</v>
      </c>
      <c r="E51" s="23" t="s">
        <v>375</v>
      </c>
      <c r="F51" s="23" t="s">
        <v>376</v>
      </c>
      <c r="G51" s="23" t="s">
        <v>297</v>
      </c>
      <c r="H51" s="23" t="s">
        <v>345</v>
      </c>
      <c r="I51" s="23" t="s">
        <v>377</v>
      </c>
      <c r="J51" s="23"/>
      <c r="K51" s="23"/>
      <c r="L51" s="23"/>
      <c r="M51" s="23"/>
      <c r="N51" s="23"/>
      <c r="O51" s="23"/>
      <c r="P51" s="1"/>
    </row>
    <row r="52" customFormat="false" ht="15" hidden="false" customHeight="true" outlineLevel="0" collapsed="false">
      <c r="A52" s="55" t="s">
        <v>378</v>
      </c>
      <c r="B52" s="56" t="n">
        <v>15</v>
      </c>
      <c r="C52" s="56" t="n">
        <v>35</v>
      </c>
      <c r="D52" s="56" t="n">
        <v>30</v>
      </c>
      <c r="E52" s="56" t="n">
        <v>25</v>
      </c>
      <c r="F52" s="56" t="n">
        <v>15</v>
      </c>
      <c r="G52" s="57" t="n">
        <f aca="false">SUM(B52:F52)</f>
        <v>120</v>
      </c>
      <c r="H52" s="57" t="str">
        <f aca="false">IF(G52=$B$5,"OK","확인")</f>
        <v>OK</v>
      </c>
      <c r="I52" s="58" t="s">
        <v>379</v>
      </c>
      <c r="J52" s="58"/>
      <c r="K52" s="58"/>
      <c r="L52" s="58"/>
      <c r="M52" s="58"/>
      <c r="N52" s="58"/>
      <c r="O52" s="58"/>
      <c r="P52" s="1"/>
    </row>
    <row r="53" customFormat="false" ht="15" hidden="false" customHeight="true" outlineLevel="0" collapsed="false">
      <c r="A53" s="55" t="s">
        <v>380</v>
      </c>
      <c r="B53" s="56" t="n">
        <v>15</v>
      </c>
      <c r="C53" s="56" t="n">
        <v>30</v>
      </c>
      <c r="D53" s="56" t="n">
        <v>30</v>
      </c>
      <c r="E53" s="56" t="n">
        <v>25</v>
      </c>
      <c r="F53" s="56" t="n">
        <v>20</v>
      </c>
      <c r="G53" s="57" t="n">
        <f aca="false">SUM(B53:F53)</f>
        <v>120</v>
      </c>
      <c r="H53" s="57" t="str">
        <f aca="false">IF(G53=$B$5,"OK","확인")</f>
        <v>OK</v>
      </c>
      <c r="I53" s="59" t="s">
        <v>381</v>
      </c>
      <c r="J53" s="59"/>
      <c r="K53" s="59"/>
      <c r="L53" s="59"/>
      <c r="M53" s="59"/>
      <c r="N53" s="59"/>
      <c r="O53" s="59"/>
      <c r="P53" s="1"/>
    </row>
    <row r="54" customFormat="false" ht="15" hidden="false" customHeight="true" outlineLevel="0" collapsed="false">
      <c r="A54" s="55" t="s">
        <v>382</v>
      </c>
      <c r="B54" s="56" t="n">
        <v>15</v>
      </c>
      <c r="C54" s="56" t="n">
        <v>30</v>
      </c>
      <c r="D54" s="56" t="n">
        <v>25</v>
      </c>
      <c r="E54" s="56" t="n">
        <v>35</v>
      </c>
      <c r="F54" s="56" t="n">
        <v>15</v>
      </c>
      <c r="G54" s="57" t="n">
        <f aca="false">SUM(B54:F54)</f>
        <v>120</v>
      </c>
      <c r="H54" s="57" t="str">
        <f aca="false">IF(G54=$B$5,"OK","확인")</f>
        <v>OK</v>
      </c>
      <c r="I54" s="59" t="s">
        <v>383</v>
      </c>
      <c r="J54" s="59"/>
      <c r="K54" s="59"/>
      <c r="L54" s="59"/>
      <c r="M54" s="59"/>
      <c r="N54" s="59"/>
      <c r="O54" s="59"/>
      <c r="P54" s="1"/>
    </row>
    <row r="55" customFormat="false" ht="15" hidden="false" customHeight="true" outlineLevel="0" collapsed="false">
      <c r="A55" s="55" t="s">
        <v>384</v>
      </c>
      <c r="B55" s="56" t="n">
        <v>15</v>
      </c>
      <c r="C55" s="56" t="n">
        <v>30</v>
      </c>
      <c r="D55" s="56" t="n">
        <v>25</v>
      </c>
      <c r="E55" s="56" t="n">
        <v>35</v>
      </c>
      <c r="F55" s="56" t="n">
        <v>15</v>
      </c>
      <c r="G55" s="57" t="n">
        <f aca="false">SUM(B55:F55)</f>
        <v>120</v>
      </c>
      <c r="H55" s="57" t="str">
        <f aca="false">IF(G55=$B$5,"OK","확인")</f>
        <v>OK</v>
      </c>
      <c r="I55" s="59" t="s">
        <v>385</v>
      </c>
      <c r="J55" s="59"/>
      <c r="K55" s="59"/>
      <c r="L55" s="59"/>
      <c r="M55" s="59"/>
      <c r="N55" s="59"/>
      <c r="O55" s="59"/>
      <c r="P55" s="1"/>
    </row>
    <row r="56" customFormat="false" ht="15" hidden="false" customHeight="true" outlineLevel="0" collapsed="false">
      <c r="A56" s="55" t="s">
        <v>386</v>
      </c>
      <c r="B56" s="56" t="n">
        <v>10</v>
      </c>
      <c r="C56" s="56" t="n">
        <v>30</v>
      </c>
      <c r="D56" s="56" t="n">
        <v>30</v>
      </c>
      <c r="E56" s="56" t="n">
        <v>40</v>
      </c>
      <c r="F56" s="56" t="n">
        <v>10</v>
      </c>
      <c r="G56" s="57" t="n">
        <f aca="false">SUM(B56:F56)</f>
        <v>120</v>
      </c>
      <c r="H56" s="57" t="str">
        <f aca="false">IF(G56=$B$5,"OK","확인")</f>
        <v>OK</v>
      </c>
      <c r="I56" s="59" t="s">
        <v>387</v>
      </c>
      <c r="J56" s="59"/>
      <c r="K56" s="59"/>
      <c r="L56" s="59"/>
      <c r="M56" s="59"/>
      <c r="N56" s="59"/>
      <c r="O56" s="59"/>
      <c r="P56" s="1"/>
    </row>
    <row r="57" customFormat="false" ht="15" hidden="false" customHeight="true" outlineLevel="0" collapsed="false">
      <c r="A57" s="55" t="s">
        <v>388</v>
      </c>
      <c r="B57" s="56" t="n">
        <v>20</v>
      </c>
      <c r="C57" s="56" t="n">
        <v>25</v>
      </c>
      <c r="D57" s="56" t="n">
        <v>25</v>
      </c>
      <c r="E57" s="56" t="n">
        <v>25</v>
      </c>
      <c r="F57" s="56" t="n">
        <v>25</v>
      </c>
      <c r="G57" s="57" t="n">
        <f aca="false">SUM(B57:F57)</f>
        <v>120</v>
      </c>
      <c r="H57" s="57" t="str">
        <f aca="false">IF(G57=$B$5,"OK","확인")</f>
        <v>OK</v>
      </c>
      <c r="I57" s="59" t="s">
        <v>389</v>
      </c>
      <c r="J57" s="59"/>
      <c r="K57" s="59"/>
      <c r="L57" s="59"/>
      <c r="M57" s="59"/>
      <c r="N57" s="59"/>
      <c r="O57" s="59"/>
      <c r="P57" s="1"/>
    </row>
    <row r="58" customFormat="false" ht="15" hidden="false" customHeight="false" outlineLevel="0" collapsed="false">
      <c r="O58" s="1"/>
      <c r="P58" s="1"/>
    </row>
    <row r="59" customFormat="false" ht="15" hidden="false" customHeight="false" outlineLevel="0" collapsed="false">
      <c r="A59" s="39" t="s">
        <v>390</v>
      </c>
      <c r="O59" s="1"/>
      <c r="P59" s="1"/>
    </row>
    <row r="60" customFormat="false" ht="15" hidden="false" customHeight="true" outlineLevel="0" collapsed="false">
      <c r="A60" s="38" t="s">
        <v>391</v>
      </c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1"/>
    </row>
    <row r="61" customFormat="false" ht="15" hidden="false" customHeight="true" outlineLevel="0" collapsed="false">
      <c r="A61" s="38" t="s">
        <v>392</v>
      </c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1"/>
    </row>
    <row r="62" customFormat="false" ht="15" hidden="false" customHeight="true" outlineLevel="0" collapsed="false">
      <c r="A62" s="38" t="s">
        <v>393</v>
      </c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1"/>
    </row>
    <row r="63" customFormat="false" ht="15" hidden="false" customHeight="true" outlineLevel="0" collapsed="false">
      <c r="A63" s="38" t="s">
        <v>394</v>
      </c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1"/>
    </row>
    <row r="64" customFormat="false" ht="15" hidden="false" customHeight="true" outlineLevel="0" collapsed="false">
      <c r="A64" s="38" t="s">
        <v>395</v>
      </c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1"/>
    </row>
    <row r="65" customFormat="false" ht="15" hidden="false" customHeight="true" outlineLevel="0" collapsed="false">
      <c r="A65" s="38" t="s">
        <v>396</v>
      </c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1"/>
    </row>
    <row r="66" customFormat="false" ht="15" hidden="false" customHeight="false" outlineLevel="0" collapsed="false">
      <c r="O66" s="1"/>
      <c r="P66" s="1"/>
    </row>
    <row r="67" customFormat="false" ht="15" hidden="false" customHeight="false" outlineLevel="0" collapsed="false">
      <c r="O67" s="1"/>
      <c r="P67" s="1"/>
    </row>
    <row r="68" customFormat="false" ht="15" hidden="false" customHeight="false" outlineLevel="0" collapsed="false">
      <c r="O68" s="1"/>
      <c r="P68" s="1"/>
    </row>
    <row r="69" customFormat="false" ht="15" hidden="false" customHeight="false" outlineLevel="0" collapsed="false">
      <c r="O69" s="1"/>
      <c r="P69" s="1"/>
    </row>
    <row r="70" customFormat="false" ht="15" hidden="false" customHeight="false" outlineLevel="0" collapsed="false">
      <c r="O70" s="1"/>
      <c r="P70" s="1"/>
    </row>
  </sheetData>
  <mergeCells count="13">
    <mergeCell ref="I51:O51"/>
    <mergeCell ref="I52:O52"/>
    <mergeCell ref="I53:O53"/>
    <mergeCell ref="I54:O54"/>
    <mergeCell ref="I55:O55"/>
    <mergeCell ref="I56:O56"/>
    <mergeCell ref="I57:O57"/>
    <mergeCell ref="A60:O60"/>
    <mergeCell ref="A61:O61"/>
    <mergeCell ref="A62:O62"/>
    <mergeCell ref="A63:O63"/>
    <mergeCell ref="A64:O64"/>
    <mergeCell ref="A65:O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32"/>
    <col collapsed="false" customWidth="true" hidden="false" outlineLevel="0" max="5" min="5" style="1" width="56"/>
    <col collapsed="false" customWidth="true" hidden="false" outlineLevel="0" max="6" min="6" style="1" width="11"/>
    <col collapsed="false" customWidth="true" hidden="false" outlineLevel="0" max="7" min="7" style="1" width="48"/>
    <col collapsed="false" customWidth="true" hidden="false" outlineLevel="0" max="8" min="8" style="1" width="10"/>
  </cols>
  <sheetData>
    <row r="1" customFormat="false" ht="24" hidden="false" customHeight="true" outlineLevel="0" collapsed="false">
      <c r="A1" s="2" t="s">
        <v>397</v>
      </c>
    </row>
    <row r="2" customFormat="false" ht="15" hidden="false" customHeight="true" outlineLevel="0" collapsed="false">
      <c r="A2" s="20" t="s">
        <v>398</v>
      </c>
    </row>
    <row r="4" customFormat="false" ht="29.25" hidden="false" customHeight="true" outlineLevel="0" collapsed="false">
      <c r="A4" s="23" t="s">
        <v>347</v>
      </c>
      <c r="B4" s="23" t="s">
        <v>399</v>
      </c>
      <c r="C4" s="23" t="s">
        <v>400</v>
      </c>
      <c r="D4" s="23" t="s">
        <v>401</v>
      </c>
      <c r="E4" s="23" t="s">
        <v>402</v>
      </c>
      <c r="F4" s="23" t="s">
        <v>403</v>
      </c>
      <c r="G4" s="23" t="s">
        <v>404</v>
      </c>
      <c r="H4" s="23" t="s">
        <v>405</v>
      </c>
    </row>
    <row r="5" customFormat="false" ht="42" hidden="false" customHeight="true" outlineLevel="0" collapsed="false">
      <c r="A5" s="24" t="n">
        <v>1</v>
      </c>
      <c r="B5" s="8" t="s">
        <v>406</v>
      </c>
      <c r="C5" s="9" t="s">
        <v>407</v>
      </c>
      <c r="D5" s="8" t="s">
        <v>408</v>
      </c>
      <c r="E5" s="9" t="s">
        <v>409</v>
      </c>
      <c r="F5" s="24" t="s">
        <v>410</v>
      </c>
      <c r="G5" s="9" t="s">
        <v>411</v>
      </c>
      <c r="H5" s="26" t="s">
        <v>412</v>
      </c>
    </row>
    <row r="6" customFormat="false" ht="29.25" hidden="false" customHeight="true" outlineLevel="0" collapsed="false">
      <c r="A6" s="24" t="n">
        <v>2</v>
      </c>
      <c r="B6" s="8" t="s">
        <v>413</v>
      </c>
      <c r="C6" s="9" t="s">
        <v>414</v>
      </c>
      <c r="D6" s="8" t="s">
        <v>415</v>
      </c>
      <c r="E6" s="9" t="s">
        <v>416</v>
      </c>
      <c r="F6" s="24" t="s">
        <v>417</v>
      </c>
      <c r="G6" s="9" t="s">
        <v>418</v>
      </c>
      <c r="H6" s="26" t="s">
        <v>419</v>
      </c>
    </row>
    <row r="7" customFormat="false" ht="29.25" hidden="false" customHeight="true" outlineLevel="0" collapsed="false">
      <c r="A7" s="24" t="n">
        <v>3</v>
      </c>
      <c r="B7" s="8" t="s">
        <v>420</v>
      </c>
      <c r="C7" s="9" t="s">
        <v>421</v>
      </c>
      <c r="D7" s="8" t="s">
        <v>422</v>
      </c>
      <c r="E7" s="9" t="s">
        <v>423</v>
      </c>
      <c r="F7" s="24" t="s">
        <v>417</v>
      </c>
      <c r="G7" s="9" t="s">
        <v>424</v>
      </c>
      <c r="H7" s="26" t="s">
        <v>419</v>
      </c>
    </row>
    <row r="8" customFormat="false" ht="29.25" hidden="false" customHeight="true" outlineLevel="0" collapsed="false">
      <c r="A8" s="24" t="n">
        <v>4</v>
      </c>
      <c r="B8" s="8" t="s">
        <v>425</v>
      </c>
      <c r="C8" s="9" t="s">
        <v>426</v>
      </c>
      <c r="D8" s="8" t="s">
        <v>427</v>
      </c>
      <c r="E8" s="9" t="s">
        <v>428</v>
      </c>
      <c r="F8" s="24" t="s">
        <v>417</v>
      </c>
      <c r="G8" s="9" t="s">
        <v>429</v>
      </c>
      <c r="H8" s="26" t="s">
        <v>419</v>
      </c>
    </row>
    <row r="9" customFormat="false" ht="29.25" hidden="false" customHeight="true" outlineLevel="0" collapsed="false">
      <c r="A9" s="24" t="n">
        <v>5</v>
      </c>
      <c r="B9" s="8" t="s">
        <v>430</v>
      </c>
      <c r="C9" s="9" t="s">
        <v>431</v>
      </c>
      <c r="D9" s="8" t="s">
        <v>432</v>
      </c>
      <c r="E9" s="9" t="s">
        <v>433</v>
      </c>
      <c r="F9" s="24" t="s">
        <v>417</v>
      </c>
      <c r="G9" s="9" t="s">
        <v>434</v>
      </c>
      <c r="H9" s="26" t="s">
        <v>419</v>
      </c>
    </row>
    <row r="10" customFormat="false" ht="29.25" hidden="false" customHeight="true" outlineLevel="0" collapsed="false">
      <c r="A10" s="24" t="n">
        <v>6</v>
      </c>
      <c r="B10" s="8" t="s">
        <v>435</v>
      </c>
      <c r="C10" s="9" t="s">
        <v>436</v>
      </c>
      <c r="D10" s="8" t="s">
        <v>437</v>
      </c>
      <c r="E10" s="9" t="s">
        <v>438</v>
      </c>
      <c r="F10" s="24" t="s">
        <v>439</v>
      </c>
      <c r="G10" s="9" t="s">
        <v>440</v>
      </c>
      <c r="H10" s="26" t="s">
        <v>441</v>
      </c>
    </row>
    <row r="11" customFormat="false" ht="29.25" hidden="false" customHeight="true" outlineLevel="0" collapsed="false">
      <c r="A11" s="24" t="n">
        <v>7</v>
      </c>
      <c r="B11" s="8" t="s">
        <v>442</v>
      </c>
      <c r="C11" s="9" t="s">
        <v>443</v>
      </c>
      <c r="D11" s="9" t="s">
        <v>444</v>
      </c>
      <c r="E11" s="9" t="s">
        <v>445</v>
      </c>
      <c r="F11" s="24" t="s">
        <v>417</v>
      </c>
      <c r="G11" s="9" t="s">
        <v>446</v>
      </c>
      <c r="H11" s="26" t="s">
        <v>447</v>
      </c>
    </row>
    <row r="12" customFormat="false" ht="29.25" hidden="false" customHeight="true" outlineLevel="0" collapsed="false">
      <c r="A12" s="24" t="n">
        <v>8</v>
      </c>
      <c r="B12" s="8" t="s">
        <v>448</v>
      </c>
      <c r="C12" s="9" t="s">
        <v>449</v>
      </c>
      <c r="D12" s="8" t="s">
        <v>450</v>
      </c>
      <c r="E12" s="9" t="s">
        <v>451</v>
      </c>
      <c r="F12" s="24" t="s">
        <v>417</v>
      </c>
      <c r="G12" s="9" t="s">
        <v>452</v>
      </c>
      <c r="H12" s="26" t="s">
        <v>453</v>
      </c>
    </row>
    <row r="13" customFormat="false" ht="29.25" hidden="false" customHeight="true" outlineLevel="0" collapsed="false">
      <c r="A13" s="24" t="n">
        <v>9</v>
      </c>
      <c r="B13" s="8" t="s">
        <v>454</v>
      </c>
      <c r="C13" s="9" t="s">
        <v>455</v>
      </c>
      <c r="D13" s="8" t="s">
        <v>456</v>
      </c>
      <c r="E13" s="8" t="s">
        <v>457</v>
      </c>
      <c r="F13" s="24" t="s">
        <v>458</v>
      </c>
      <c r="G13" s="9" t="s">
        <v>459</v>
      </c>
      <c r="H13" s="26" t="s">
        <v>453</v>
      </c>
    </row>
    <row r="14" customFormat="false" ht="29.25" hidden="false" customHeight="true" outlineLevel="0" collapsed="false">
      <c r="A14" s="24" t="n">
        <v>10</v>
      </c>
      <c r="B14" s="8" t="s">
        <v>460</v>
      </c>
      <c r="C14" s="9" t="s">
        <v>461</v>
      </c>
      <c r="D14" s="8" t="s">
        <v>462</v>
      </c>
      <c r="E14" s="9" t="s">
        <v>463</v>
      </c>
      <c r="F14" s="24" t="s">
        <v>464</v>
      </c>
      <c r="G14" s="9" t="s">
        <v>465</v>
      </c>
      <c r="H14" s="26" t="s">
        <v>453</v>
      </c>
    </row>
    <row r="15" customFormat="false" ht="42" hidden="false" customHeight="true" outlineLevel="0" collapsed="false">
      <c r="A15" s="24" t="n">
        <v>11</v>
      </c>
      <c r="B15" s="8" t="s">
        <v>466</v>
      </c>
      <c r="C15" s="9" t="s">
        <v>467</v>
      </c>
      <c r="D15" s="8" t="s">
        <v>468</v>
      </c>
      <c r="E15" s="9" t="s">
        <v>469</v>
      </c>
      <c r="F15" s="24" t="s">
        <v>464</v>
      </c>
      <c r="G15" s="8" t="s">
        <v>470</v>
      </c>
      <c r="H15" s="26" t="s">
        <v>453</v>
      </c>
    </row>
    <row r="16" customFormat="false" ht="42" hidden="false" customHeight="true" outlineLevel="0" collapsed="false">
      <c r="A16" s="24" t="n">
        <v>12</v>
      </c>
      <c r="B16" s="8" t="s">
        <v>471</v>
      </c>
      <c r="C16" s="9" t="s">
        <v>472</v>
      </c>
      <c r="D16" s="8" t="s">
        <v>473</v>
      </c>
      <c r="E16" s="9" t="s">
        <v>474</v>
      </c>
      <c r="F16" s="24" t="s">
        <v>464</v>
      </c>
      <c r="G16" s="9" t="s">
        <v>475</v>
      </c>
      <c r="H16" s="26" t="s">
        <v>453</v>
      </c>
    </row>
    <row r="17" customFormat="false" ht="29.25" hidden="false" customHeight="true" outlineLevel="0" collapsed="false">
      <c r="A17" s="24" t="n">
        <v>13</v>
      </c>
      <c r="B17" s="8" t="s">
        <v>476</v>
      </c>
      <c r="C17" s="9" t="s">
        <v>477</v>
      </c>
      <c r="D17" s="8" t="s">
        <v>478</v>
      </c>
      <c r="E17" s="8" t="s">
        <v>479</v>
      </c>
      <c r="F17" s="24" t="s">
        <v>480</v>
      </c>
      <c r="G17" s="9" t="s">
        <v>481</v>
      </c>
      <c r="H17" s="26" t="s">
        <v>477</v>
      </c>
    </row>
    <row r="19" customFormat="false" ht="29.25" hidden="false" customHeight="true" outlineLevel="0" collapsed="false">
      <c r="A19" s="60" t="s">
        <v>482</v>
      </c>
      <c r="B19" s="60"/>
      <c r="C19" s="60"/>
      <c r="D19" s="60"/>
      <c r="E19" s="60"/>
      <c r="F19" s="60"/>
      <c r="G19" s="60"/>
      <c r="H19" s="60"/>
    </row>
  </sheetData>
  <mergeCells count="1">
    <mergeCell ref="A19:H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B2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18"/>
  </cols>
  <sheetData>
    <row r="1" customFormat="false" ht="24" hidden="false" customHeight="true" outlineLevel="0" collapsed="false">
      <c r="A1" s="21" t="s">
        <v>483</v>
      </c>
    </row>
    <row r="2" customFormat="false" ht="15" hidden="false" customHeight="true" outlineLevel="0" collapsed="false">
      <c r="A2" s="20" t="s">
        <v>484</v>
      </c>
    </row>
    <row r="4" customFormat="false" ht="30" hidden="false" customHeight="true" outlineLevel="0" collapsed="false">
      <c r="A4" s="61" t="s">
        <v>331</v>
      </c>
      <c r="B4" s="62" t="s">
        <v>485</v>
      </c>
    </row>
    <row r="5" customFormat="false" ht="29.25" hidden="false" customHeight="true" outlineLevel="0" collapsed="false">
      <c r="A5" s="6" t="s">
        <v>486</v>
      </c>
      <c r="B5" s="9" t="s">
        <v>487</v>
      </c>
    </row>
    <row r="6" customFormat="false" ht="29.25" hidden="false" customHeight="true" outlineLevel="0" collapsed="false">
      <c r="A6" s="6" t="s">
        <v>488</v>
      </c>
      <c r="B6" s="9" t="s">
        <v>489</v>
      </c>
    </row>
    <row r="7" customFormat="false" ht="29.25" hidden="false" customHeight="true" outlineLevel="0" collapsed="false">
      <c r="A7" s="6" t="s">
        <v>490</v>
      </c>
      <c r="B7" s="8" t="s">
        <v>491</v>
      </c>
    </row>
    <row r="8" customFormat="false" ht="16.5" hidden="false" customHeight="true" outlineLevel="0" collapsed="false">
      <c r="A8" s="6" t="s">
        <v>492</v>
      </c>
      <c r="B8" s="9" t="s">
        <v>493</v>
      </c>
    </row>
    <row r="9" customFormat="false" ht="29.25" hidden="false" customHeight="true" outlineLevel="0" collapsed="false">
      <c r="A9" s="6" t="s">
        <v>494</v>
      </c>
      <c r="B9" s="9" t="s">
        <v>495</v>
      </c>
    </row>
    <row r="10" customFormat="false" ht="29.25" hidden="false" customHeight="true" outlineLevel="0" collapsed="false">
      <c r="A10" s="6" t="s">
        <v>496</v>
      </c>
      <c r="B10" s="9" t="s">
        <v>497</v>
      </c>
    </row>
    <row r="11" customFormat="false" ht="29.25" hidden="false" customHeight="true" outlineLevel="0" collapsed="false">
      <c r="A11" s="6" t="s">
        <v>498</v>
      </c>
      <c r="B11" s="9" t="s">
        <v>499</v>
      </c>
    </row>
    <row r="12" customFormat="false" ht="29.25" hidden="false" customHeight="true" outlineLevel="0" collapsed="false">
      <c r="A12" s="6" t="s">
        <v>500</v>
      </c>
      <c r="B12" s="9" t="s">
        <v>501</v>
      </c>
    </row>
    <row r="13" customFormat="false" ht="29.25" hidden="false" customHeight="true" outlineLevel="0" collapsed="false">
      <c r="A13" s="6" t="s">
        <v>502</v>
      </c>
      <c r="B13" s="9" t="s">
        <v>503</v>
      </c>
    </row>
    <row r="14" customFormat="false" ht="29.25" hidden="false" customHeight="true" outlineLevel="0" collapsed="false">
      <c r="A14" s="6" t="s">
        <v>504</v>
      </c>
      <c r="B14" s="9" t="s">
        <v>505</v>
      </c>
    </row>
    <row r="15" customFormat="false" ht="42" hidden="false" customHeight="true" outlineLevel="0" collapsed="false">
      <c r="A15" s="6" t="s">
        <v>506</v>
      </c>
      <c r="B15" s="8" t="s">
        <v>507</v>
      </c>
    </row>
    <row r="16" customFormat="false" ht="42" hidden="false" customHeight="true" outlineLevel="0" collapsed="false">
      <c r="A16" s="6" t="s">
        <v>508</v>
      </c>
      <c r="B16" s="8" t="s">
        <v>509</v>
      </c>
    </row>
    <row r="17" customFormat="false" ht="16.5" hidden="false" customHeight="true" outlineLevel="0" collapsed="false">
      <c r="A17" s="6" t="s">
        <v>510</v>
      </c>
      <c r="B17" s="8" t="s">
        <v>511</v>
      </c>
    </row>
    <row r="18" customFormat="false" ht="29.25" hidden="false" customHeight="true" outlineLevel="0" collapsed="false">
      <c r="A18" s="6" t="s">
        <v>512</v>
      </c>
      <c r="B18" s="9" t="s">
        <v>513</v>
      </c>
    </row>
    <row r="19" customFormat="false" ht="29.25" hidden="false" customHeight="true" outlineLevel="0" collapsed="false">
      <c r="A19" s="6" t="s">
        <v>514</v>
      </c>
      <c r="B19" s="8" t="s">
        <v>515</v>
      </c>
    </row>
    <row r="20" customFormat="false" ht="18" hidden="false" customHeight="true" outlineLevel="0" collapsed="false">
      <c r="A20" s="6" t="s">
        <v>516</v>
      </c>
      <c r="B20" s="8" t="str">
        <f aca="false">"화당 "&amp;턴_설계!$B$5&amp;"턴 · 부 총 "&amp;TEXT(턴_설계!D34,"#,##0")&amp;"턴 · 화당 약 "&amp;TEXT(턴_설계!F34,"#,##0")&amp;"단어 · 낭독 약 "&amp;TEXT(턴_설계!H34,"0.0")&amp;"분 (평균 "&amp;TEXT(턴_설계!E34,"0.0")&amp;"단어/턴)"</f>
        <v>화당 120턴 · 부 총 1,440턴 · 화당 약 980단어 · 낭독 약 7.5분 (평균 8.2단어/턴)</v>
      </c>
    </row>
    <row r="21" customFormat="false" ht="29.25" hidden="false" customHeight="true" outlineLevel="0" collapsed="false">
      <c r="A21" s="11" t="s">
        <v>517</v>
      </c>
      <c r="B21" s="8" t="s">
        <v>518</v>
      </c>
    </row>
    <row r="22" customFormat="false" ht="16.5" hidden="false" customHeight="true" outlineLevel="0" collapsed="false">
      <c r="A22" s="6" t="s">
        <v>519</v>
      </c>
      <c r="B22" s="8" t="s">
        <v>520</v>
      </c>
    </row>
    <row r="24" customFormat="false" ht="30" hidden="false" customHeight="true" outlineLevel="0" collapsed="false">
      <c r="A24" s="61" t="s">
        <v>332</v>
      </c>
      <c r="B24" s="62" t="s">
        <v>521</v>
      </c>
    </row>
    <row r="25" customFormat="false" ht="29.25" hidden="false" customHeight="true" outlineLevel="0" collapsed="false">
      <c r="A25" s="6" t="s">
        <v>486</v>
      </c>
      <c r="B25" s="9" t="s">
        <v>522</v>
      </c>
    </row>
    <row r="26" customFormat="false" ht="29.25" hidden="false" customHeight="true" outlineLevel="0" collapsed="false">
      <c r="A26" s="6" t="s">
        <v>488</v>
      </c>
      <c r="B26" s="9" t="s">
        <v>523</v>
      </c>
    </row>
    <row r="27" customFormat="false" ht="16.5" hidden="false" customHeight="true" outlineLevel="0" collapsed="false">
      <c r="A27" s="6" t="s">
        <v>490</v>
      </c>
      <c r="B27" s="9" t="s">
        <v>524</v>
      </c>
    </row>
    <row r="28" customFormat="false" ht="16.5" hidden="false" customHeight="true" outlineLevel="0" collapsed="false">
      <c r="A28" s="6" t="s">
        <v>492</v>
      </c>
      <c r="B28" s="9" t="s">
        <v>525</v>
      </c>
    </row>
    <row r="29" customFormat="false" ht="16.5" hidden="false" customHeight="true" outlineLevel="0" collapsed="false">
      <c r="A29" s="6" t="s">
        <v>494</v>
      </c>
      <c r="B29" s="9" t="s">
        <v>526</v>
      </c>
    </row>
    <row r="30" customFormat="false" ht="16.5" hidden="false" customHeight="true" outlineLevel="0" collapsed="false">
      <c r="A30" s="6" t="s">
        <v>496</v>
      </c>
      <c r="B30" s="9" t="s">
        <v>527</v>
      </c>
    </row>
    <row r="31" customFormat="false" ht="16.5" hidden="false" customHeight="true" outlineLevel="0" collapsed="false">
      <c r="A31" s="6" t="s">
        <v>498</v>
      </c>
      <c r="B31" s="9" t="s">
        <v>528</v>
      </c>
    </row>
    <row r="32" customFormat="false" ht="16.5" hidden="false" customHeight="true" outlineLevel="0" collapsed="false">
      <c r="A32" s="6" t="s">
        <v>500</v>
      </c>
      <c r="B32" s="9" t="s">
        <v>529</v>
      </c>
    </row>
    <row r="33" customFormat="false" ht="16.5" hidden="false" customHeight="true" outlineLevel="0" collapsed="false">
      <c r="A33" s="6" t="s">
        <v>502</v>
      </c>
      <c r="B33" s="9" t="s">
        <v>530</v>
      </c>
    </row>
    <row r="34" customFormat="false" ht="16.5" hidden="false" customHeight="true" outlineLevel="0" collapsed="false">
      <c r="A34" s="6" t="s">
        <v>504</v>
      </c>
      <c r="B34" s="9" t="s">
        <v>531</v>
      </c>
    </row>
    <row r="35" customFormat="false" ht="29.25" hidden="false" customHeight="true" outlineLevel="0" collapsed="false">
      <c r="A35" s="6" t="s">
        <v>506</v>
      </c>
      <c r="B35" s="8" t="s">
        <v>532</v>
      </c>
    </row>
    <row r="36" customFormat="false" ht="29.25" hidden="false" customHeight="true" outlineLevel="0" collapsed="false">
      <c r="A36" s="6" t="s">
        <v>508</v>
      </c>
      <c r="B36" s="8" t="s">
        <v>533</v>
      </c>
    </row>
    <row r="37" customFormat="false" ht="16.5" hidden="false" customHeight="true" outlineLevel="0" collapsed="false">
      <c r="A37" s="6" t="s">
        <v>510</v>
      </c>
      <c r="B37" s="8" t="s">
        <v>534</v>
      </c>
    </row>
    <row r="38" customFormat="false" ht="16.5" hidden="false" customHeight="true" outlineLevel="0" collapsed="false">
      <c r="A38" s="6" t="s">
        <v>512</v>
      </c>
      <c r="B38" s="9" t="s">
        <v>535</v>
      </c>
    </row>
    <row r="39" customFormat="false" ht="29.25" hidden="false" customHeight="true" outlineLevel="0" collapsed="false">
      <c r="A39" s="6" t="s">
        <v>514</v>
      </c>
      <c r="B39" s="8" t="s">
        <v>536</v>
      </c>
    </row>
    <row r="40" customFormat="false" ht="18" hidden="false" customHeight="true" outlineLevel="0" collapsed="false">
      <c r="A40" s="6" t="s">
        <v>516</v>
      </c>
      <c r="B40" s="8" t="str">
        <f aca="false">"화당 "&amp;턴_설계!$B$5&amp;"턴 · 부 총 "&amp;TEXT(턴_설계!D35,"#,##0")&amp;"턴 · 화당 약 "&amp;TEXT(턴_설계!F35,"#,##0")&amp;"단어 · 낭독 약 "&amp;TEXT(턴_설계!H35,"0.0")&amp;"분 (평균 "&amp;TEXT(턴_설계!E35,"0.0")&amp;"단어/턴)"</f>
        <v>화당 120턴 · 부 총 1,440턴 · 화당 약 1,368단어 · 낭독 약 10.5분 (평균 11.4단어/턴)</v>
      </c>
    </row>
    <row r="41" customFormat="false" ht="16.5" hidden="false" customHeight="true" outlineLevel="0" collapsed="false">
      <c r="A41" s="11" t="s">
        <v>517</v>
      </c>
      <c r="B41" s="8" t="s">
        <v>537</v>
      </c>
    </row>
    <row r="42" customFormat="false" ht="16.5" hidden="false" customHeight="true" outlineLevel="0" collapsed="false">
      <c r="A42" s="6" t="s">
        <v>519</v>
      </c>
      <c r="B42" s="8" t="s">
        <v>538</v>
      </c>
    </row>
    <row r="44" customFormat="false" ht="30" hidden="false" customHeight="true" outlineLevel="0" collapsed="false">
      <c r="A44" s="61" t="s">
        <v>333</v>
      </c>
      <c r="B44" s="62" t="s">
        <v>539</v>
      </c>
    </row>
    <row r="45" customFormat="false" ht="29.25" hidden="false" customHeight="true" outlineLevel="0" collapsed="false">
      <c r="A45" s="6" t="s">
        <v>486</v>
      </c>
      <c r="B45" s="9" t="s">
        <v>540</v>
      </c>
    </row>
    <row r="46" customFormat="false" ht="16.5" hidden="false" customHeight="true" outlineLevel="0" collapsed="false">
      <c r="A46" s="6" t="s">
        <v>488</v>
      </c>
      <c r="B46" s="9" t="s">
        <v>541</v>
      </c>
    </row>
    <row r="47" customFormat="false" ht="16.5" hidden="false" customHeight="true" outlineLevel="0" collapsed="false">
      <c r="A47" s="6" t="s">
        <v>490</v>
      </c>
      <c r="B47" s="9" t="s">
        <v>542</v>
      </c>
    </row>
    <row r="48" customFormat="false" ht="16.5" hidden="false" customHeight="true" outlineLevel="0" collapsed="false">
      <c r="A48" s="6" t="s">
        <v>492</v>
      </c>
      <c r="B48" s="9" t="s">
        <v>543</v>
      </c>
    </row>
    <row r="49" customFormat="false" ht="16.5" hidden="false" customHeight="true" outlineLevel="0" collapsed="false">
      <c r="A49" s="6" t="s">
        <v>494</v>
      </c>
      <c r="B49" s="9" t="s">
        <v>544</v>
      </c>
    </row>
    <row r="50" customFormat="false" ht="16.5" hidden="false" customHeight="true" outlineLevel="0" collapsed="false">
      <c r="A50" s="6" t="s">
        <v>496</v>
      </c>
      <c r="B50" s="9" t="s">
        <v>545</v>
      </c>
    </row>
    <row r="51" customFormat="false" ht="16.5" hidden="false" customHeight="true" outlineLevel="0" collapsed="false">
      <c r="A51" s="6" t="s">
        <v>498</v>
      </c>
      <c r="B51" s="9" t="s">
        <v>546</v>
      </c>
    </row>
    <row r="52" customFormat="false" ht="16.5" hidden="false" customHeight="true" outlineLevel="0" collapsed="false">
      <c r="A52" s="6" t="s">
        <v>500</v>
      </c>
      <c r="B52" s="9" t="s">
        <v>547</v>
      </c>
    </row>
    <row r="53" customFormat="false" ht="16.5" hidden="false" customHeight="true" outlineLevel="0" collapsed="false">
      <c r="A53" s="6" t="s">
        <v>502</v>
      </c>
      <c r="B53" s="9" t="s">
        <v>548</v>
      </c>
    </row>
    <row r="54" customFormat="false" ht="16.5" hidden="false" customHeight="true" outlineLevel="0" collapsed="false">
      <c r="A54" s="6" t="s">
        <v>504</v>
      </c>
      <c r="B54" s="9" t="s">
        <v>549</v>
      </c>
    </row>
    <row r="55" customFormat="false" ht="29.25" hidden="false" customHeight="true" outlineLevel="0" collapsed="false">
      <c r="A55" s="6" t="s">
        <v>506</v>
      </c>
      <c r="B55" s="8" t="s">
        <v>550</v>
      </c>
    </row>
    <row r="56" customFormat="false" ht="16.5" hidden="false" customHeight="true" outlineLevel="0" collapsed="false">
      <c r="A56" s="6" t="s">
        <v>508</v>
      </c>
      <c r="B56" s="8" t="s">
        <v>551</v>
      </c>
    </row>
    <row r="57" customFormat="false" ht="16.5" hidden="false" customHeight="true" outlineLevel="0" collapsed="false">
      <c r="A57" s="6" t="s">
        <v>510</v>
      </c>
      <c r="B57" s="8" t="s">
        <v>552</v>
      </c>
    </row>
    <row r="58" customFormat="false" ht="16.5" hidden="false" customHeight="true" outlineLevel="0" collapsed="false">
      <c r="A58" s="6" t="s">
        <v>512</v>
      </c>
      <c r="B58" s="9" t="s">
        <v>553</v>
      </c>
    </row>
    <row r="59" customFormat="false" ht="16.5" hidden="false" customHeight="true" outlineLevel="0" collapsed="false">
      <c r="A59" s="6" t="s">
        <v>514</v>
      </c>
      <c r="B59" s="8" t="s">
        <v>554</v>
      </c>
    </row>
    <row r="60" customFormat="false" ht="18" hidden="false" customHeight="true" outlineLevel="0" collapsed="false">
      <c r="A60" s="6" t="s">
        <v>516</v>
      </c>
      <c r="B60" s="8" t="str">
        <f aca="false">"화당 "&amp;턴_설계!$B$5&amp;"턴 · 부 총 "&amp;TEXT(턴_설계!D36,"#,##0")&amp;"턴 · 화당 약 "&amp;TEXT(턴_설계!F36,"#,##0")&amp;"단어 · 낭독 약 "&amp;TEXT(턴_설계!H36,"0.0")&amp;"분 (평균 "&amp;TEXT(턴_설계!E36,"0.0")&amp;"단어/턴)"</f>
        <v>화당 120턴 · 부 총 1,440턴 · 화당 약 1,094단어 · 낭독 약 8.4분 (평균 9.1단어/턴)</v>
      </c>
    </row>
    <row r="61" customFormat="false" ht="16.5" hidden="false" customHeight="true" outlineLevel="0" collapsed="false">
      <c r="A61" s="11" t="s">
        <v>517</v>
      </c>
      <c r="B61" s="8" t="s">
        <v>555</v>
      </c>
    </row>
    <row r="62" customFormat="false" ht="16.5" hidden="false" customHeight="true" outlineLevel="0" collapsed="false">
      <c r="A62" s="6" t="s">
        <v>519</v>
      </c>
      <c r="B62" s="8" t="s">
        <v>556</v>
      </c>
    </row>
    <row r="64" customFormat="false" ht="30" hidden="false" customHeight="true" outlineLevel="0" collapsed="false">
      <c r="A64" s="61" t="s">
        <v>334</v>
      </c>
      <c r="B64" s="62" t="s">
        <v>557</v>
      </c>
    </row>
    <row r="65" customFormat="false" ht="16.5" hidden="false" customHeight="true" outlineLevel="0" collapsed="false">
      <c r="A65" s="6" t="s">
        <v>486</v>
      </c>
      <c r="B65" s="9" t="s">
        <v>558</v>
      </c>
    </row>
    <row r="66" customFormat="false" ht="29.25" hidden="false" customHeight="true" outlineLevel="0" collapsed="false">
      <c r="A66" s="6" t="s">
        <v>488</v>
      </c>
      <c r="B66" s="9" t="s">
        <v>559</v>
      </c>
    </row>
    <row r="67" customFormat="false" ht="16.5" hidden="false" customHeight="true" outlineLevel="0" collapsed="false">
      <c r="A67" s="6" t="s">
        <v>490</v>
      </c>
      <c r="B67" s="9" t="s">
        <v>560</v>
      </c>
    </row>
    <row r="68" customFormat="false" ht="16.5" hidden="false" customHeight="true" outlineLevel="0" collapsed="false">
      <c r="A68" s="6" t="s">
        <v>492</v>
      </c>
      <c r="B68" s="9" t="s">
        <v>561</v>
      </c>
    </row>
    <row r="69" customFormat="false" ht="16.5" hidden="false" customHeight="true" outlineLevel="0" collapsed="false">
      <c r="A69" s="6" t="s">
        <v>494</v>
      </c>
      <c r="B69" s="9" t="s">
        <v>562</v>
      </c>
    </row>
    <row r="70" customFormat="false" ht="16.5" hidden="false" customHeight="true" outlineLevel="0" collapsed="false">
      <c r="A70" s="6" t="s">
        <v>496</v>
      </c>
      <c r="B70" s="9" t="s">
        <v>563</v>
      </c>
    </row>
    <row r="71" customFormat="false" ht="16.5" hidden="false" customHeight="true" outlineLevel="0" collapsed="false">
      <c r="A71" s="6" t="s">
        <v>498</v>
      </c>
      <c r="B71" s="9" t="s">
        <v>564</v>
      </c>
    </row>
    <row r="72" customFormat="false" ht="16.5" hidden="false" customHeight="true" outlineLevel="0" collapsed="false">
      <c r="A72" s="6" t="s">
        <v>500</v>
      </c>
      <c r="B72" s="9" t="s">
        <v>565</v>
      </c>
    </row>
    <row r="73" customFormat="false" ht="16.5" hidden="false" customHeight="true" outlineLevel="0" collapsed="false">
      <c r="A73" s="6" t="s">
        <v>502</v>
      </c>
      <c r="B73" s="9" t="s">
        <v>566</v>
      </c>
    </row>
    <row r="74" customFormat="false" ht="16.5" hidden="false" customHeight="true" outlineLevel="0" collapsed="false">
      <c r="A74" s="6" t="s">
        <v>504</v>
      </c>
      <c r="B74" s="9" t="s">
        <v>567</v>
      </c>
    </row>
    <row r="75" customFormat="false" ht="29.25" hidden="false" customHeight="true" outlineLevel="0" collapsed="false">
      <c r="A75" s="6" t="s">
        <v>506</v>
      </c>
      <c r="B75" s="8" t="s">
        <v>568</v>
      </c>
    </row>
    <row r="76" customFormat="false" ht="16.5" hidden="false" customHeight="true" outlineLevel="0" collapsed="false">
      <c r="A76" s="6" t="s">
        <v>508</v>
      </c>
      <c r="B76" s="9" t="s">
        <v>569</v>
      </c>
    </row>
    <row r="77" customFormat="false" ht="16.5" hidden="false" customHeight="true" outlineLevel="0" collapsed="false">
      <c r="A77" s="6" t="s">
        <v>510</v>
      </c>
      <c r="B77" s="8" t="s">
        <v>570</v>
      </c>
    </row>
    <row r="78" customFormat="false" ht="29.25" hidden="false" customHeight="true" outlineLevel="0" collapsed="false">
      <c r="A78" s="6" t="s">
        <v>512</v>
      </c>
      <c r="B78" s="9" t="s">
        <v>571</v>
      </c>
    </row>
    <row r="79" customFormat="false" ht="16.5" hidden="false" customHeight="true" outlineLevel="0" collapsed="false">
      <c r="A79" s="6" t="s">
        <v>514</v>
      </c>
      <c r="B79" s="8" t="s">
        <v>572</v>
      </c>
    </row>
    <row r="80" customFormat="false" ht="18" hidden="false" customHeight="true" outlineLevel="0" collapsed="false">
      <c r="A80" s="6" t="s">
        <v>516</v>
      </c>
      <c r="B80" s="8" t="str">
        <f aca="false">"화당 "&amp;턴_설계!$B$5&amp;"턴 · 부 총 "&amp;TEXT(턴_설계!D37,"#,##0")&amp;"턴 · 화당 약 "&amp;TEXT(턴_설계!F37,"#,##0")&amp;"단어 · 낭독 약 "&amp;TEXT(턴_설계!H37,"0.0")&amp;"분 (평균 "&amp;TEXT(턴_설계!E37,"0.0")&amp;"단어/턴)"</f>
        <v>화당 120턴 · 부 총 1,440턴 · 화당 약 1,254단어 · 낭독 약 9.6분 (평균 10.5단어/턴)</v>
      </c>
    </row>
    <row r="81" customFormat="false" ht="16.5" hidden="false" customHeight="true" outlineLevel="0" collapsed="false">
      <c r="A81" s="11" t="s">
        <v>517</v>
      </c>
      <c r="B81" s="8" t="s">
        <v>573</v>
      </c>
    </row>
    <row r="82" customFormat="false" ht="16.5" hidden="false" customHeight="true" outlineLevel="0" collapsed="false">
      <c r="A82" s="6" t="s">
        <v>519</v>
      </c>
      <c r="B82" s="8" t="s">
        <v>574</v>
      </c>
    </row>
    <row r="84" customFormat="false" ht="30" hidden="false" customHeight="true" outlineLevel="0" collapsed="false">
      <c r="A84" s="61" t="s">
        <v>335</v>
      </c>
      <c r="B84" s="62" t="s">
        <v>575</v>
      </c>
    </row>
    <row r="85" customFormat="false" ht="29.25" hidden="false" customHeight="true" outlineLevel="0" collapsed="false">
      <c r="A85" s="6" t="s">
        <v>486</v>
      </c>
      <c r="B85" s="9" t="s">
        <v>576</v>
      </c>
    </row>
    <row r="86" customFormat="false" ht="16.5" hidden="false" customHeight="true" outlineLevel="0" collapsed="false">
      <c r="A86" s="6" t="s">
        <v>488</v>
      </c>
      <c r="B86" s="9" t="s">
        <v>577</v>
      </c>
    </row>
    <row r="87" customFormat="false" ht="16.5" hidden="false" customHeight="true" outlineLevel="0" collapsed="false">
      <c r="A87" s="6" t="s">
        <v>490</v>
      </c>
      <c r="B87" s="8" t="s">
        <v>578</v>
      </c>
    </row>
    <row r="88" customFormat="false" ht="16.5" hidden="false" customHeight="true" outlineLevel="0" collapsed="false">
      <c r="A88" s="6" t="s">
        <v>492</v>
      </c>
      <c r="B88" s="9" t="s">
        <v>579</v>
      </c>
    </row>
    <row r="89" customFormat="false" ht="16.5" hidden="false" customHeight="true" outlineLevel="0" collapsed="false">
      <c r="A89" s="6" t="s">
        <v>494</v>
      </c>
      <c r="B89" s="9" t="s">
        <v>580</v>
      </c>
    </row>
    <row r="90" customFormat="false" ht="16.5" hidden="false" customHeight="true" outlineLevel="0" collapsed="false">
      <c r="A90" s="6" t="s">
        <v>496</v>
      </c>
      <c r="B90" s="9" t="s">
        <v>581</v>
      </c>
    </row>
    <row r="91" customFormat="false" ht="16.5" hidden="false" customHeight="true" outlineLevel="0" collapsed="false">
      <c r="A91" s="6" t="s">
        <v>498</v>
      </c>
      <c r="B91" s="9" t="s">
        <v>582</v>
      </c>
    </row>
    <row r="92" customFormat="false" ht="16.5" hidden="false" customHeight="true" outlineLevel="0" collapsed="false">
      <c r="A92" s="6" t="s">
        <v>500</v>
      </c>
      <c r="B92" s="9" t="s">
        <v>583</v>
      </c>
    </row>
    <row r="93" customFormat="false" ht="16.5" hidden="false" customHeight="true" outlineLevel="0" collapsed="false">
      <c r="A93" s="6" t="s">
        <v>502</v>
      </c>
      <c r="B93" s="9" t="s">
        <v>584</v>
      </c>
    </row>
    <row r="94" customFormat="false" ht="16.5" hidden="false" customHeight="true" outlineLevel="0" collapsed="false">
      <c r="A94" s="6" t="s">
        <v>504</v>
      </c>
      <c r="B94" s="9" t="s">
        <v>585</v>
      </c>
    </row>
    <row r="95" customFormat="false" ht="29.25" hidden="false" customHeight="true" outlineLevel="0" collapsed="false">
      <c r="A95" s="6" t="s">
        <v>506</v>
      </c>
      <c r="B95" s="8" t="s">
        <v>586</v>
      </c>
    </row>
    <row r="96" customFormat="false" ht="29.25" hidden="false" customHeight="true" outlineLevel="0" collapsed="false">
      <c r="A96" s="6" t="s">
        <v>508</v>
      </c>
      <c r="B96" s="8" t="s">
        <v>587</v>
      </c>
    </row>
    <row r="97" customFormat="false" ht="16.5" hidden="false" customHeight="true" outlineLevel="0" collapsed="false">
      <c r="A97" s="6" t="s">
        <v>510</v>
      </c>
      <c r="B97" s="8" t="s">
        <v>588</v>
      </c>
    </row>
    <row r="98" customFormat="false" ht="16.5" hidden="false" customHeight="true" outlineLevel="0" collapsed="false">
      <c r="A98" s="6" t="s">
        <v>512</v>
      </c>
      <c r="B98" s="9" t="s">
        <v>589</v>
      </c>
    </row>
    <row r="99" customFormat="false" ht="16.5" hidden="false" customHeight="true" outlineLevel="0" collapsed="false">
      <c r="A99" s="6" t="s">
        <v>514</v>
      </c>
      <c r="B99" s="8" t="s">
        <v>590</v>
      </c>
    </row>
    <row r="100" customFormat="false" ht="18" hidden="false" customHeight="true" outlineLevel="0" collapsed="false">
      <c r="A100" s="6" t="s">
        <v>516</v>
      </c>
      <c r="B100" s="8" t="str">
        <f aca="false">"화당 "&amp;턴_설계!$B$5&amp;"턴 · 부 총 "&amp;TEXT(턴_설계!D38,"#,##0")&amp;"턴 · 화당 약 "&amp;TEXT(턴_설계!F38,"#,##0")&amp;"단어 · 낭독 약 "&amp;TEXT(턴_설계!H38,"0.0")&amp;"분 (평균 "&amp;TEXT(턴_설계!E38,"0.0")&amp;"단어/턴)"</f>
        <v>화당 120턴 · 부 총 1,440턴 · 화당 약 1,297단어 · 낭독 약 10.0분 (평균 10.8단어/턴)</v>
      </c>
    </row>
    <row r="101" customFormat="false" ht="16.5" hidden="false" customHeight="true" outlineLevel="0" collapsed="false">
      <c r="A101" s="11" t="s">
        <v>517</v>
      </c>
      <c r="B101" s="8" t="s">
        <v>591</v>
      </c>
    </row>
    <row r="102" customFormat="false" ht="16.5" hidden="false" customHeight="true" outlineLevel="0" collapsed="false">
      <c r="A102" s="6" t="s">
        <v>519</v>
      </c>
      <c r="B102" s="8" t="s">
        <v>592</v>
      </c>
    </row>
    <row r="104" customFormat="false" ht="30" hidden="false" customHeight="true" outlineLevel="0" collapsed="false">
      <c r="A104" s="61" t="s">
        <v>336</v>
      </c>
      <c r="B104" s="62" t="s">
        <v>593</v>
      </c>
    </row>
    <row r="105" customFormat="false" ht="29.25" hidden="false" customHeight="true" outlineLevel="0" collapsed="false">
      <c r="A105" s="6" t="s">
        <v>486</v>
      </c>
      <c r="B105" s="9" t="s">
        <v>594</v>
      </c>
    </row>
    <row r="106" customFormat="false" ht="29.25" hidden="false" customHeight="true" outlineLevel="0" collapsed="false">
      <c r="A106" s="6" t="s">
        <v>488</v>
      </c>
      <c r="B106" s="9" t="s">
        <v>595</v>
      </c>
    </row>
    <row r="107" customFormat="false" ht="16.5" hidden="false" customHeight="true" outlineLevel="0" collapsed="false">
      <c r="A107" s="6" t="s">
        <v>490</v>
      </c>
      <c r="B107" s="9" t="s">
        <v>596</v>
      </c>
    </row>
    <row r="108" customFormat="false" ht="16.5" hidden="false" customHeight="true" outlineLevel="0" collapsed="false">
      <c r="A108" s="6" t="s">
        <v>492</v>
      </c>
      <c r="B108" s="9" t="s">
        <v>597</v>
      </c>
    </row>
    <row r="109" customFormat="false" ht="16.5" hidden="false" customHeight="true" outlineLevel="0" collapsed="false">
      <c r="A109" s="6" t="s">
        <v>494</v>
      </c>
      <c r="B109" s="9" t="s">
        <v>598</v>
      </c>
    </row>
    <row r="110" customFormat="false" ht="16.5" hidden="false" customHeight="true" outlineLevel="0" collapsed="false">
      <c r="A110" s="6" t="s">
        <v>496</v>
      </c>
      <c r="B110" s="9" t="s">
        <v>599</v>
      </c>
    </row>
    <row r="111" customFormat="false" ht="16.5" hidden="false" customHeight="true" outlineLevel="0" collapsed="false">
      <c r="A111" s="6" t="s">
        <v>498</v>
      </c>
      <c r="B111" s="9" t="s">
        <v>600</v>
      </c>
    </row>
    <row r="112" customFormat="false" ht="16.5" hidden="false" customHeight="true" outlineLevel="0" collapsed="false">
      <c r="A112" s="6" t="s">
        <v>500</v>
      </c>
      <c r="B112" s="9" t="s">
        <v>601</v>
      </c>
    </row>
    <row r="113" customFormat="false" ht="16.5" hidden="false" customHeight="true" outlineLevel="0" collapsed="false">
      <c r="A113" s="6" t="s">
        <v>502</v>
      </c>
      <c r="B113" s="9" t="s">
        <v>602</v>
      </c>
    </row>
    <row r="114" customFormat="false" ht="16.5" hidden="false" customHeight="true" outlineLevel="0" collapsed="false">
      <c r="A114" s="6" t="s">
        <v>504</v>
      </c>
      <c r="B114" s="9" t="s">
        <v>603</v>
      </c>
    </row>
    <row r="115" customFormat="false" ht="29.25" hidden="false" customHeight="true" outlineLevel="0" collapsed="false">
      <c r="A115" s="6" t="s">
        <v>506</v>
      </c>
      <c r="B115" s="9" t="s">
        <v>604</v>
      </c>
    </row>
    <row r="116" customFormat="false" ht="16.5" hidden="false" customHeight="true" outlineLevel="0" collapsed="false">
      <c r="A116" s="6" t="s">
        <v>508</v>
      </c>
      <c r="B116" s="9" t="s">
        <v>605</v>
      </c>
    </row>
    <row r="117" customFormat="false" ht="16.5" hidden="false" customHeight="true" outlineLevel="0" collapsed="false">
      <c r="A117" s="6" t="s">
        <v>510</v>
      </c>
      <c r="B117" s="8" t="s">
        <v>606</v>
      </c>
    </row>
    <row r="118" customFormat="false" ht="16.5" hidden="false" customHeight="true" outlineLevel="0" collapsed="false">
      <c r="A118" s="6" t="s">
        <v>512</v>
      </c>
      <c r="B118" s="9" t="s">
        <v>607</v>
      </c>
    </row>
    <row r="119" customFormat="false" ht="16.5" hidden="false" customHeight="true" outlineLevel="0" collapsed="false">
      <c r="A119" s="6" t="s">
        <v>514</v>
      </c>
      <c r="B119" s="8" t="s">
        <v>608</v>
      </c>
    </row>
    <row r="120" customFormat="false" ht="18" hidden="false" customHeight="true" outlineLevel="0" collapsed="false">
      <c r="A120" s="6" t="s">
        <v>516</v>
      </c>
      <c r="B120" s="8" t="str">
        <f aca="false">"화당 "&amp;턴_설계!$B$5&amp;"턴 · 부 총 "&amp;TEXT(턴_설계!D39,"#,##0")&amp;"턴 · 화당 약 "&amp;TEXT(턴_설계!F39,"#,##0")&amp;"단어 · 낭독 약 "&amp;TEXT(턴_설계!H39,"0.0")&amp;"분 (평균 "&amp;TEXT(턴_설계!E39,"0.0")&amp;"단어/턴)"</f>
        <v>화당 120턴 · 부 총 1,440턴 · 화당 약 1,223단어 · 낭독 약 9.4분 (평균 10.2단어/턴)</v>
      </c>
    </row>
    <row r="121" customFormat="false" ht="16.5" hidden="false" customHeight="true" outlineLevel="0" collapsed="false">
      <c r="A121" s="11" t="s">
        <v>517</v>
      </c>
      <c r="B121" s="8" t="s">
        <v>609</v>
      </c>
    </row>
    <row r="122" customFormat="false" ht="16.5" hidden="false" customHeight="true" outlineLevel="0" collapsed="false">
      <c r="A122" s="6" t="s">
        <v>519</v>
      </c>
      <c r="B122" s="8" t="s">
        <v>610</v>
      </c>
    </row>
    <row r="124" customFormat="false" ht="30" hidden="false" customHeight="true" outlineLevel="0" collapsed="false">
      <c r="A124" s="61" t="s">
        <v>337</v>
      </c>
      <c r="B124" s="62" t="s">
        <v>611</v>
      </c>
    </row>
    <row r="125" customFormat="false" ht="16.5" hidden="false" customHeight="true" outlineLevel="0" collapsed="false">
      <c r="A125" s="6" t="s">
        <v>486</v>
      </c>
      <c r="B125" s="9" t="s">
        <v>612</v>
      </c>
    </row>
    <row r="126" customFormat="false" ht="29.25" hidden="false" customHeight="true" outlineLevel="0" collapsed="false">
      <c r="A126" s="6" t="s">
        <v>488</v>
      </c>
      <c r="B126" s="9" t="s">
        <v>613</v>
      </c>
    </row>
    <row r="127" customFormat="false" ht="16.5" hidden="false" customHeight="true" outlineLevel="0" collapsed="false">
      <c r="A127" s="6" t="s">
        <v>490</v>
      </c>
      <c r="B127" s="9" t="s">
        <v>614</v>
      </c>
    </row>
    <row r="128" customFormat="false" ht="16.5" hidden="false" customHeight="true" outlineLevel="0" collapsed="false">
      <c r="A128" s="6" t="s">
        <v>492</v>
      </c>
      <c r="B128" s="9" t="s">
        <v>615</v>
      </c>
    </row>
    <row r="129" customFormat="false" ht="16.5" hidden="false" customHeight="true" outlineLevel="0" collapsed="false">
      <c r="A129" s="6" t="s">
        <v>494</v>
      </c>
      <c r="B129" s="9" t="s">
        <v>616</v>
      </c>
    </row>
    <row r="130" customFormat="false" ht="16.5" hidden="false" customHeight="true" outlineLevel="0" collapsed="false">
      <c r="A130" s="6" t="s">
        <v>496</v>
      </c>
      <c r="B130" s="9" t="s">
        <v>617</v>
      </c>
    </row>
    <row r="131" customFormat="false" ht="16.5" hidden="false" customHeight="true" outlineLevel="0" collapsed="false">
      <c r="A131" s="6" t="s">
        <v>498</v>
      </c>
      <c r="B131" s="9" t="s">
        <v>618</v>
      </c>
    </row>
    <row r="132" customFormat="false" ht="16.5" hidden="false" customHeight="true" outlineLevel="0" collapsed="false">
      <c r="A132" s="6" t="s">
        <v>500</v>
      </c>
      <c r="B132" s="9" t="s">
        <v>619</v>
      </c>
    </row>
    <row r="133" customFormat="false" ht="16.5" hidden="false" customHeight="true" outlineLevel="0" collapsed="false">
      <c r="A133" s="6" t="s">
        <v>502</v>
      </c>
      <c r="B133" s="9" t="s">
        <v>620</v>
      </c>
    </row>
    <row r="134" customFormat="false" ht="16.5" hidden="false" customHeight="true" outlineLevel="0" collapsed="false">
      <c r="A134" s="6" t="s">
        <v>504</v>
      </c>
      <c r="B134" s="9" t="s">
        <v>621</v>
      </c>
    </row>
    <row r="135" customFormat="false" ht="16.5" hidden="false" customHeight="true" outlineLevel="0" collapsed="false">
      <c r="A135" s="6" t="s">
        <v>506</v>
      </c>
      <c r="B135" s="8" t="s">
        <v>622</v>
      </c>
    </row>
    <row r="136" customFormat="false" ht="16.5" hidden="false" customHeight="true" outlineLevel="0" collapsed="false">
      <c r="A136" s="6" t="s">
        <v>508</v>
      </c>
      <c r="B136" s="8" t="s">
        <v>623</v>
      </c>
    </row>
    <row r="137" customFormat="false" ht="16.5" hidden="false" customHeight="true" outlineLevel="0" collapsed="false">
      <c r="A137" s="6" t="s">
        <v>510</v>
      </c>
      <c r="B137" s="8" t="s">
        <v>624</v>
      </c>
    </row>
    <row r="138" customFormat="false" ht="29.25" hidden="false" customHeight="true" outlineLevel="0" collapsed="false">
      <c r="A138" s="6" t="s">
        <v>512</v>
      </c>
      <c r="B138" s="9" t="s">
        <v>625</v>
      </c>
    </row>
    <row r="139" customFormat="false" ht="16.5" hidden="false" customHeight="true" outlineLevel="0" collapsed="false">
      <c r="A139" s="6" t="s">
        <v>514</v>
      </c>
      <c r="B139" s="8" t="s">
        <v>626</v>
      </c>
    </row>
    <row r="140" customFormat="false" ht="18" hidden="false" customHeight="true" outlineLevel="0" collapsed="false">
      <c r="A140" s="6" t="s">
        <v>516</v>
      </c>
      <c r="B140" s="8" t="str">
        <f aca="false">"화당 "&amp;턴_설계!$B$5&amp;"턴 · 부 총 "&amp;TEXT(턴_설계!D40,"#,##0")&amp;"턴 · 화당 약 "&amp;TEXT(턴_설계!F40,"#,##0")&amp;"단어 · 낭독 약 "&amp;TEXT(턴_설계!H40,"0.0")&amp;"분 (평균 "&amp;TEXT(턴_설계!E40,"0.0")&amp;"단어/턴)"</f>
        <v>화당 120턴 · 부 총 1,440턴 · 화당 약 1,247단어 · 낭독 약 9.6분 (평균 10.4단어/턴)</v>
      </c>
    </row>
    <row r="141" customFormat="false" ht="16.5" hidden="false" customHeight="true" outlineLevel="0" collapsed="false">
      <c r="A141" s="11" t="s">
        <v>517</v>
      </c>
      <c r="B141" s="8" t="s">
        <v>627</v>
      </c>
    </row>
    <row r="142" customFormat="false" ht="16.5" hidden="false" customHeight="true" outlineLevel="0" collapsed="false">
      <c r="A142" s="6" t="s">
        <v>519</v>
      </c>
      <c r="B142" s="8" t="s">
        <v>628</v>
      </c>
    </row>
    <row r="144" customFormat="false" ht="30" hidden="false" customHeight="true" outlineLevel="0" collapsed="false">
      <c r="A144" s="61" t="s">
        <v>338</v>
      </c>
      <c r="B144" s="62" t="s">
        <v>629</v>
      </c>
    </row>
    <row r="145" customFormat="false" ht="29.25" hidden="false" customHeight="true" outlineLevel="0" collapsed="false">
      <c r="A145" s="6" t="s">
        <v>486</v>
      </c>
      <c r="B145" s="9" t="s">
        <v>630</v>
      </c>
    </row>
    <row r="146" customFormat="false" ht="29.25" hidden="false" customHeight="true" outlineLevel="0" collapsed="false">
      <c r="A146" s="6" t="s">
        <v>488</v>
      </c>
      <c r="B146" s="9" t="s">
        <v>631</v>
      </c>
    </row>
    <row r="147" customFormat="false" ht="16.5" hidden="false" customHeight="true" outlineLevel="0" collapsed="false">
      <c r="A147" s="6" t="s">
        <v>490</v>
      </c>
      <c r="B147" s="9" t="s">
        <v>632</v>
      </c>
    </row>
    <row r="148" customFormat="false" ht="16.5" hidden="false" customHeight="true" outlineLevel="0" collapsed="false">
      <c r="A148" s="6" t="s">
        <v>492</v>
      </c>
      <c r="B148" s="9" t="s">
        <v>633</v>
      </c>
    </row>
    <row r="149" customFormat="false" ht="16.5" hidden="false" customHeight="true" outlineLevel="0" collapsed="false">
      <c r="A149" s="6" t="s">
        <v>494</v>
      </c>
      <c r="B149" s="9" t="s">
        <v>634</v>
      </c>
    </row>
    <row r="150" customFormat="false" ht="16.5" hidden="false" customHeight="true" outlineLevel="0" collapsed="false">
      <c r="A150" s="6" t="s">
        <v>496</v>
      </c>
      <c r="B150" s="9" t="s">
        <v>635</v>
      </c>
    </row>
    <row r="151" customFormat="false" ht="16.5" hidden="false" customHeight="true" outlineLevel="0" collapsed="false">
      <c r="A151" s="6" t="s">
        <v>498</v>
      </c>
      <c r="B151" s="9" t="s">
        <v>636</v>
      </c>
    </row>
    <row r="152" customFormat="false" ht="16.5" hidden="false" customHeight="true" outlineLevel="0" collapsed="false">
      <c r="A152" s="6" t="s">
        <v>500</v>
      </c>
      <c r="B152" s="9" t="s">
        <v>637</v>
      </c>
    </row>
    <row r="153" customFormat="false" ht="16.5" hidden="false" customHeight="true" outlineLevel="0" collapsed="false">
      <c r="A153" s="6" t="s">
        <v>502</v>
      </c>
      <c r="B153" s="9" t="s">
        <v>638</v>
      </c>
    </row>
    <row r="154" customFormat="false" ht="16.5" hidden="false" customHeight="true" outlineLevel="0" collapsed="false">
      <c r="A154" s="6" t="s">
        <v>504</v>
      </c>
      <c r="B154" s="9" t="s">
        <v>639</v>
      </c>
    </row>
    <row r="155" customFormat="false" ht="29.25" hidden="false" customHeight="true" outlineLevel="0" collapsed="false">
      <c r="A155" s="6" t="s">
        <v>506</v>
      </c>
      <c r="B155" s="8" t="s">
        <v>640</v>
      </c>
    </row>
    <row r="156" customFormat="false" ht="16.5" hidden="false" customHeight="true" outlineLevel="0" collapsed="false">
      <c r="A156" s="6" t="s">
        <v>508</v>
      </c>
      <c r="B156" s="8" t="s">
        <v>641</v>
      </c>
    </row>
    <row r="157" customFormat="false" ht="16.5" hidden="false" customHeight="true" outlineLevel="0" collapsed="false">
      <c r="A157" s="6" t="s">
        <v>510</v>
      </c>
      <c r="B157" s="8" t="s">
        <v>642</v>
      </c>
    </row>
    <row r="158" customFormat="false" ht="16.5" hidden="false" customHeight="true" outlineLevel="0" collapsed="false">
      <c r="A158" s="6" t="s">
        <v>512</v>
      </c>
      <c r="B158" s="9" t="s">
        <v>643</v>
      </c>
    </row>
    <row r="159" customFormat="false" ht="16.5" hidden="false" customHeight="true" outlineLevel="0" collapsed="false">
      <c r="A159" s="6" t="s">
        <v>514</v>
      </c>
      <c r="B159" s="8" t="s">
        <v>644</v>
      </c>
    </row>
    <row r="160" customFormat="false" ht="18" hidden="false" customHeight="true" outlineLevel="0" collapsed="false">
      <c r="A160" s="6" t="s">
        <v>516</v>
      </c>
      <c r="B160" s="8" t="str">
        <f aca="false">"화당 "&amp;턴_설계!$B$5&amp;"턴 · 부 총 "&amp;TEXT(턴_설계!D41,"#,##0")&amp;"턴 · 화당 약 "&amp;TEXT(턴_설계!F41,"#,##0")&amp;"단어 · 낭독 약 "&amp;TEXT(턴_설계!H41,"0.0")&amp;"분 (평균 "&amp;TEXT(턴_설계!E41,"0.0")&amp;"단어/턴)"</f>
        <v>화당 120턴 · 부 총 1,440턴 · 화당 약 1,379단어 · 낭독 약 10.6분 (평균 11.5단어/턴)</v>
      </c>
    </row>
    <row r="161" customFormat="false" ht="16.5" hidden="false" customHeight="true" outlineLevel="0" collapsed="false">
      <c r="A161" s="11" t="s">
        <v>517</v>
      </c>
      <c r="B161" s="8" t="s">
        <v>645</v>
      </c>
    </row>
    <row r="162" customFormat="false" ht="16.5" hidden="false" customHeight="true" outlineLevel="0" collapsed="false">
      <c r="A162" s="6" t="s">
        <v>519</v>
      </c>
      <c r="B162" s="8" t="s">
        <v>646</v>
      </c>
    </row>
    <row r="164" customFormat="false" ht="30" hidden="false" customHeight="true" outlineLevel="0" collapsed="false">
      <c r="A164" s="61" t="s">
        <v>339</v>
      </c>
      <c r="B164" s="62" t="s">
        <v>647</v>
      </c>
    </row>
    <row r="165" customFormat="false" ht="16.5" hidden="false" customHeight="true" outlineLevel="0" collapsed="false">
      <c r="A165" s="6" t="s">
        <v>486</v>
      </c>
      <c r="B165" s="9" t="s">
        <v>648</v>
      </c>
    </row>
    <row r="166" customFormat="false" ht="29.25" hidden="false" customHeight="true" outlineLevel="0" collapsed="false">
      <c r="A166" s="6" t="s">
        <v>488</v>
      </c>
      <c r="B166" s="9" t="s">
        <v>649</v>
      </c>
    </row>
    <row r="167" customFormat="false" ht="16.5" hidden="false" customHeight="true" outlineLevel="0" collapsed="false">
      <c r="A167" s="6" t="s">
        <v>490</v>
      </c>
      <c r="B167" s="9" t="s">
        <v>650</v>
      </c>
    </row>
    <row r="168" customFormat="false" ht="16.5" hidden="false" customHeight="true" outlineLevel="0" collapsed="false">
      <c r="A168" s="6" t="s">
        <v>492</v>
      </c>
      <c r="B168" s="9" t="s">
        <v>651</v>
      </c>
    </row>
    <row r="169" customFormat="false" ht="16.5" hidden="false" customHeight="true" outlineLevel="0" collapsed="false">
      <c r="A169" s="6" t="s">
        <v>494</v>
      </c>
      <c r="B169" s="9" t="s">
        <v>652</v>
      </c>
    </row>
    <row r="170" customFormat="false" ht="16.5" hidden="false" customHeight="true" outlineLevel="0" collapsed="false">
      <c r="A170" s="6" t="s">
        <v>496</v>
      </c>
      <c r="B170" s="9" t="s">
        <v>653</v>
      </c>
    </row>
    <row r="171" customFormat="false" ht="16.5" hidden="false" customHeight="true" outlineLevel="0" collapsed="false">
      <c r="A171" s="6" t="s">
        <v>498</v>
      </c>
      <c r="B171" s="9" t="s">
        <v>654</v>
      </c>
    </row>
    <row r="172" customFormat="false" ht="16.5" hidden="false" customHeight="true" outlineLevel="0" collapsed="false">
      <c r="A172" s="6" t="s">
        <v>500</v>
      </c>
      <c r="B172" s="9" t="s">
        <v>655</v>
      </c>
    </row>
    <row r="173" customFormat="false" ht="16.5" hidden="false" customHeight="true" outlineLevel="0" collapsed="false">
      <c r="A173" s="6" t="s">
        <v>502</v>
      </c>
      <c r="B173" s="9" t="s">
        <v>656</v>
      </c>
    </row>
    <row r="174" customFormat="false" ht="16.5" hidden="false" customHeight="true" outlineLevel="0" collapsed="false">
      <c r="A174" s="6" t="s">
        <v>504</v>
      </c>
      <c r="B174" s="9" t="s">
        <v>657</v>
      </c>
    </row>
    <row r="175" customFormat="false" ht="29.25" hidden="false" customHeight="true" outlineLevel="0" collapsed="false">
      <c r="A175" s="6" t="s">
        <v>506</v>
      </c>
      <c r="B175" s="8" t="s">
        <v>658</v>
      </c>
    </row>
    <row r="176" customFormat="false" ht="16.5" hidden="false" customHeight="true" outlineLevel="0" collapsed="false">
      <c r="A176" s="6" t="s">
        <v>508</v>
      </c>
      <c r="B176" s="8" t="s">
        <v>659</v>
      </c>
    </row>
    <row r="177" customFormat="false" ht="16.5" hidden="false" customHeight="true" outlineLevel="0" collapsed="false">
      <c r="A177" s="6" t="s">
        <v>510</v>
      </c>
      <c r="B177" s="8" t="s">
        <v>660</v>
      </c>
    </row>
    <row r="178" customFormat="false" ht="16.5" hidden="false" customHeight="true" outlineLevel="0" collapsed="false">
      <c r="A178" s="6" t="s">
        <v>512</v>
      </c>
      <c r="B178" s="9" t="s">
        <v>661</v>
      </c>
    </row>
    <row r="179" customFormat="false" ht="16.5" hidden="false" customHeight="true" outlineLevel="0" collapsed="false">
      <c r="A179" s="6" t="s">
        <v>514</v>
      </c>
      <c r="B179" s="8" t="s">
        <v>662</v>
      </c>
    </row>
    <row r="180" customFormat="false" ht="18" hidden="false" customHeight="true" outlineLevel="0" collapsed="false">
      <c r="A180" s="6" t="s">
        <v>516</v>
      </c>
      <c r="B180" s="8" t="str">
        <f aca="false">"화당 "&amp;턴_설계!$B$5&amp;"턴 · 부 총 "&amp;TEXT(턴_설계!D42,"#,##0")&amp;"턴 · 화당 약 "&amp;TEXT(턴_설계!F42,"#,##0")&amp;"단어 · 낭독 약 "&amp;TEXT(턴_설계!H42,"0.0")&amp;"분 (평균 "&amp;TEXT(턴_설계!E42,"0.0")&amp;"단어/턴)"</f>
        <v>화당 120턴 · 부 총 1,440턴 · 화당 약 1,342단어 · 낭독 약 10.3분 (평균 11.2단어/턴)</v>
      </c>
    </row>
    <row r="181" customFormat="false" ht="16.5" hidden="false" customHeight="true" outlineLevel="0" collapsed="false">
      <c r="A181" s="11" t="s">
        <v>517</v>
      </c>
      <c r="B181" s="8" t="s">
        <v>663</v>
      </c>
    </row>
    <row r="182" customFormat="false" ht="16.5" hidden="false" customHeight="true" outlineLevel="0" collapsed="false">
      <c r="A182" s="6" t="s">
        <v>519</v>
      </c>
      <c r="B182" s="8" t="s">
        <v>664</v>
      </c>
    </row>
    <row r="184" customFormat="false" ht="30" hidden="false" customHeight="true" outlineLevel="0" collapsed="false">
      <c r="A184" s="61" t="s">
        <v>340</v>
      </c>
      <c r="B184" s="62" t="s">
        <v>665</v>
      </c>
    </row>
    <row r="185" customFormat="false" ht="16.5" hidden="false" customHeight="true" outlineLevel="0" collapsed="false">
      <c r="A185" s="6" t="s">
        <v>486</v>
      </c>
      <c r="B185" s="9" t="s">
        <v>666</v>
      </c>
    </row>
    <row r="186" customFormat="false" ht="16.5" hidden="false" customHeight="true" outlineLevel="0" collapsed="false">
      <c r="A186" s="6" t="s">
        <v>488</v>
      </c>
      <c r="B186" s="9" t="s">
        <v>667</v>
      </c>
    </row>
    <row r="187" customFormat="false" ht="16.5" hidden="false" customHeight="true" outlineLevel="0" collapsed="false">
      <c r="A187" s="6" t="s">
        <v>490</v>
      </c>
      <c r="B187" s="9" t="s">
        <v>668</v>
      </c>
    </row>
    <row r="188" customFormat="false" ht="16.5" hidden="false" customHeight="true" outlineLevel="0" collapsed="false">
      <c r="A188" s="6" t="s">
        <v>492</v>
      </c>
      <c r="B188" s="9" t="s">
        <v>669</v>
      </c>
    </row>
    <row r="189" customFormat="false" ht="16.5" hidden="false" customHeight="true" outlineLevel="0" collapsed="false">
      <c r="A189" s="6" t="s">
        <v>494</v>
      </c>
      <c r="B189" s="9" t="s">
        <v>670</v>
      </c>
    </row>
    <row r="190" customFormat="false" ht="16.5" hidden="false" customHeight="true" outlineLevel="0" collapsed="false">
      <c r="A190" s="6" t="s">
        <v>496</v>
      </c>
      <c r="B190" s="9" t="s">
        <v>671</v>
      </c>
    </row>
    <row r="191" customFormat="false" ht="16.5" hidden="false" customHeight="true" outlineLevel="0" collapsed="false">
      <c r="A191" s="6" t="s">
        <v>498</v>
      </c>
      <c r="B191" s="9" t="s">
        <v>672</v>
      </c>
    </row>
    <row r="192" customFormat="false" ht="16.5" hidden="false" customHeight="true" outlineLevel="0" collapsed="false">
      <c r="A192" s="6" t="s">
        <v>500</v>
      </c>
      <c r="B192" s="9" t="s">
        <v>673</v>
      </c>
    </row>
    <row r="193" customFormat="false" ht="16.5" hidden="false" customHeight="true" outlineLevel="0" collapsed="false">
      <c r="A193" s="6" t="s">
        <v>502</v>
      </c>
      <c r="B193" s="9" t="s">
        <v>674</v>
      </c>
    </row>
    <row r="194" customFormat="false" ht="16.5" hidden="false" customHeight="true" outlineLevel="0" collapsed="false">
      <c r="A194" s="6" t="s">
        <v>504</v>
      </c>
      <c r="B194" s="9" t="s">
        <v>675</v>
      </c>
    </row>
    <row r="195" customFormat="false" ht="29.25" hidden="false" customHeight="true" outlineLevel="0" collapsed="false">
      <c r="A195" s="6" t="s">
        <v>506</v>
      </c>
      <c r="B195" s="8" t="s">
        <v>676</v>
      </c>
    </row>
    <row r="196" customFormat="false" ht="16.5" hidden="false" customHeight="true" outlineLevel="0" collapsed="false">
      <c r="A196" s="6" t="s">
        <v>508</v>
      </c>
      <c r="B196" s="8" t="s">
        <v>677</v>
      </c>
    </row>
    <row r="197" customFormat="false" ht="16.5" hidden="false" customHeight="true" outlineLevel="0" collapsed="false">
      <c r="A197" s="6" t="s">
        <v>510</v>
      </c>
      <c r="B197" s="8" t="s">
        <v>678</v>
      </c>
    </row>
    <row r="198" customFormat="false" ht="16.5" hidden="false" customHeight="true" outlineLevel="0" collapsed="false">
      <c r="A198" s="6" t="s">
        <v>512</v>
      </c>
      <c r="B198" s="9" t="s">
        <v>679</v>
      </c>
    </row>
    <row r="199" customFormat="false" ht="16.5" hidden="false" customHeight="true" outlineLevel="0" collapsed="false">
      <c r="A199" s="6" t="s">
        <v>514</v>
      </c>
      <c r="B199" s="8" t="s">
        <v>680</v>
      </c>
    </row>
    <row r="200" customFormat="false" ht="18" hidden="false" customHeight="true" outlineLevel="0" collapsed="false">
      <c r="A200" s="6" t="s">
        <v>516</v>
      </c>
      <c r="B200" s="8" t="str">
        <f aca="false">"화당 "&amp;턴_설계!$B$5&amp;"턴 · 부 총 "&amp;TEXT(턴_설계!D43,"#,##0")&amp;"턴 · 화당 약 "&amp;TEXT(턴_설계!F43,"#,##0")&amp;"단어 · 낭독 약 "&amp;TEXT(턴_설계!H43,"0.0")&amp;"분 (평균 "&amp;TEXT(턴_설계!E43,"0.0")&amp;"단어/턴)"</f>
        <v>화당 120턴 · 부 총 1,440턴 · 화당 약 1,529단어 · 낭독 약 11.8분 (평균 12.7단어/턴)</v>
      </c>
    </row>
    <row r="201" customFormat="false" ht="16.5" hidden="false" customHeight="true" outlineLevel="0" collapsed="false">
      <c r="A201" s="11" t="s">
        <v>517</v>
      </c>
      <c r="B201" s="8" t="s">
        <v>681</v>
      </c>
    </row>
    <row r="202" customFormat="false" ht="16.5" hidden="false" customHeight="true" outlineLevel="0" collapsed="false">
      <c r="A202" s="6" t="s">
        <v>519</v>
      </c>
      <c r="B202" s="8" t="s">
        <v>682</v>
      </c>
    </row>
    <row r="204" customFormat="false" ht="30" hidden="false" customHeight="true" outlineLevel="0" collapsed="false">
      <c r="A204" s="61" t="s">
        <v>341</v>
      </c>
      <c r="B204" s="62" t="s">
        <v>683</v>
      </c>
    </row>
    <row r="205" customFormat="false" ht="29.25" hidden="false" customHeight="true" outlineLevel="0" collapsed="false">
      <c r="A205" s="6" t="s">
        <v>486</v>
      </c>
      <c r="B205" s="9" t="s">
        <v>684</v>
      </c>
    </row>
    <row r="206" customFormat="false" ht="29.25" hidden="false" customHeight="true" outlineLevel="0" collapsed="false">
      <c r="A206" s="6" t="s">
        <v>488</v>
      </c>
      <c r="B206" s="9" t="s">
        <v>685</v>
      </c>
    </row>
    <row r="207" customFormat="false" ht="16.5" hidden="false" customHeight="true" outlineLevel="0" collapsed="false">
      <c r="A207" s="6" t="s">
        <v>490</v>
      </c>
      <c r="B207" s="9" t="s">
        <v>686</v>
      </c>
    </row>
    <row r="208" customFormat="false" ht="16.5" hidden="false" customHeight="true" outlineLevel="0" collapsed="false">
      <c r="A208" s="6" t="s">
        <v>492</v>
      </c>
      <c r="B208" s="9" t="s">
        <v>687</v>
      </c>
    </row>
    <row r="209" customFormat="false" ht="16.5" hidden="false" customHeight="true" outlineLevel="0" collapsed="false">
      <c r="A209" s="6" t="s">
        <v>494</v>
      </c>
      <c r="B209" s="9" t="s">
        <v>688</v>
      </c>
    </row>
    <row r="210" customFormat="false" ht="16.5" hidden="false" customHeight="true" outlineLevel="0" collapsed="false">
      <c r="A210" s="6" t="s">
        <v>496</v>
      </c>
      <c r="B210" s="9" t="s">
        <v>689</v>
      </c>
    </row>
    <row r="211" customFormat="false" ht="16.5" hidden="false" customHeight="true" outlineLevel="0" collapsed="false">
      <c r="A211" s="6" t="s">
        <v>498</v>
      </c>
      <c r="B211" s="9" t="s">
        <v>690</v>
      </c>
    </row>
    <row r="212" customFormat="false" ht="16.5" hidden="false" customHeight="true" outlineLevel="0" collapsed="false">
      <c r="A212" s="6" t="s">
        <v>500</v>
      </c>
      <c r="B212" s="9" t="s">
        <v>691</v>
      </c>
    </row>
    <row r="213" customFormat="false" ht="29.25" hidden="false" customHeight="true" outlineLevel="0" collapsed="false">
      <c r="A213" s="6" t="s">
        <v>502</v>
      </c>
      <c r="B213" s="9" t="s">
        <v>692</v>
      </c>
    </row>
    <row r="214" customFormat="false" ht="16.5" hidden="false" customHeight="true" outlineLevel="0" collapsed="false">
      <c r="A214" s="6" t="s">
        <v>504</v>
      </c>
      <c r="B214" s="9" t="s">
        <v>693</v>
      </c>
    </row>
    <row r="215" customFormat="false" ht="16.5" hidden="false" customHeight="true" outlineLevel="0" collapsed="false">
      <c r="A215" s="6" t="s">
        <v>694</v>
      </c>
      <c r="B215" s="9" t="s">
        <v>695</v>
      </c>
    </row>
    <row r="216" customFormat="false" ht="29.25" hidden="false" customHeight="true" outlineLevel="0" collapsed="false">
      <c r="A216" s="6" t="s">
        <v>506</v>
      </c>
      <c r="B216" s="8" t="s">
        <v>696</v>
      </c>
    </row>
    <row r="217" customFormat="false" ht="29.25" hidden="false" customHeight="true" outlineLevel="0" collapsed="false">
      <c r="A217" s="6" t="s">
        <v>508</v>
      </c>
      <c r="B217" s="8" t="s">
        <v>697</v>
      </c>
    </row>
    <row r="218" customFormat="false" ht="16.5" hidden="false" customHeight="true" outlineLevel="0" collapsed="false">
      <c r="A218" s="6" t="s">
        <v>510</v>
      </c>
      <c r="B218" s="8" t="s">
        <v>698</v>
      </c>
    </row>
    <row r="219" customFormat="false" ht="16.5" hidden="false" customHeight="true" outlineLevel="0" collapsed="false">
      <c r="A219" s="6" t="s">
        <v>512</v>
      </c>
      <c r="B219" s="9" t="s">
        <v>699</v>
      </c>
    </row>
    <row r="220" customFormat="false" ht="29.25" hidden="false" customHeight="true" outlineLevel="0" collapsed="false">
      <c r="A220" s="6" t="s">
        <v>514</v>
      </c>
      <c r="B220" s="8" t="s">
        <v>700</v>
      </c>
    </row>
    <row r="221" customFormat="false" ht="18" hidden="false" customHeight="true" outlineLevel="0" collapsed="false">
      <c r="A221" s="6" t="s">
        <v>516</v>
      </c>
      <c r="B221" s="8" t="str">
        <f aca="false">"화당 "&amp;턴_설계!$B$5&amp;"턴 · 부 총 "&amp;TEXT(턴_설계!D44,"#,##0")&amp;"턴 · 화당 약 "&amp;TEXT(턴_설계!F44,"#,##0")&amp;"단어 · 낭독 약 "&amp;TEXT(턴_설계!H44,"0.0")&amp;"분 (평균 "&amp;TEXT(턴_설계!E44,"0.0")&amp;"단어/턴)"</f>
        <v>화당 120턴 · 부 총 1,440턴 · 화당 약 1,479단어 · 낭독 약 11.4분 (평균 12.3단어/턴)</v>
      </c>
    </row>
    <row r="222" customFormat="false" ht="16.5" hidden="false" customHeight="true" outlineLevel="0" collapsed="false">
      <c r="A222" s="11" t="s">
        <v>517</v>
      </c>
      <c r="B222" s="8" t="s">
        <v>701</v>
      </c>
    </row>
    <row r="223" customFormat="false" ht="16.5" hidden="false" customHeight="true" outlineLevel="0" collapsed="false">
      <c r="A223" s="6" t="s">
        <v>519</v>
      </c>
      <c r="B223" s="8" t="s">
        <v>702</v>
      </c>
    </row>
    <row r="225" customFormat="false" ht="30" hidden="false" customHeight="true" outlineLevel="0" collapsed="false">
      <c r="A225" s="61" t="s">
        <v>342</v>
      </c>
      <c r="B225" s="62" t="s">
        <v>703</v>
      </c>
    </row>
    <row r="226" customFormat="false" ht="29.25" hidden="false" customHeight="true" outlineLevel="0" collapsed="false">
      <c r="A226" s="6" t="s">
        <v>486</v>
      </c>
      <c r="B226" s="9" t="s">
        <v>704</v>
      </c>
    </row>
    <row r="227" customFormat="false" ht="29.25" hidden="false" customHeight="true" outlineLevel="0" collapsed="false">
      <c r="A227" s="6" t="s">
        <v>488</v>
      </c>
      <c r="B227" s="9" t="s">
        <v>705</v>
      </c>
    </row>
    <row r="228" customFormat="false" ht="16.5" hidden="false" customHeight="true" outlineLevel="0" collapsed="false">
      <c r="A228" s="6" t="s">
        <v>490</v>
      </c>
      <c r="B228" s="9" t="s">
        <v>706</v>
      </c>
    </row>
    <row r="229" customFormat="false" ht="16.5" hidden="false" customHeight="true" outlineLevel="0" collapsed="false">
      <c r="A229" s="6" t="s">
        <v>492</v>
      </c>
      <c r="B229" s="9" t="s">
        <v>707</v>
      </c>
    </row>
    <row r="230" customFormat="false" ht="16.5" hidden="false" customHeight="true" outlineLevel="0" collapsed="false">
      <c r="A230" s="6" t="s">
        <v>494</v>
      </c>
      <c r="B230" s="9" t="s">
        <v>708</v>
      </c>
    </row>
    <row r="231" customFormat="false" ht="16.5" hidden="false" customHeight="true" outlineLevel="0" collapsed="false">
      <c r="A231" s="6" t="s">
        <v>496</v>
      </c>
      <c r="B231" s="9" t="s">
        <v>709</v>
      </c>
    </row>
    <row r="232" customFormat="false" ht="16.5" hidden="false" customHeight="true" outlineLevel="0" collapsed="false">
      <c r="A232" s="6" t="s">
        <v>498</v>
      </c>
      <c r="B232" s="9" t="s">
        <v>710</v>
      </c>
    </row>
    <row r="233" customFormat="false" ht="16.5" hidden="false" customHeight="true" outlineLevel="0" collapsed="false">
      <c r="A233" s="6" t="s">
        <v>500</v>
      </c>
      <c r="B233" s="9" t="s">
        <v>711</v>
      </c>
    </row>
    <row r="234" customFormat="false" ht="16.5" hidden="false" customHeight="true" outlineLevel="0" collapsed="false">
      <c r="A234" s="6" t="s">
        <v>502</v>
      </c>
      <c r="B234" s="9" t="s">
        <v>712</v>
      </c>
    </row>
    <row r="235" customFormat="false" ht="16.5" hidden="false" customHeight="true" outlineLevel="0" collapsed="false">
      <c r="A235" s="6" t="s">
        <v>504</v>
      </c>
      <c r="B235" s="9" t="s">
        <v>713</v>
      </c>
    </row>
    <row r="236" customFormat="false" ht="29.25" hidden="false" customHeight="true" outlineLevel="0" collapsed="false">
      <c r="A236" s="6" t="s">
        <v>506</v>
      </c>
      <c r="B236" s="8" t="s">
        <v>714</v>
      </c>
    </row>
    <row r="237" customFormat="false" ht="16.5" hidden="false" customHeight="true" outlineLevel="0" collapsed="false">
      <c r="A237" s="6" t="s">
        <v>508</v>
      </c>
      <c r="B237" s="8" t="s">
        <v>715</v>
      </c>
    </row>
    <row r="238" customFormat="false" ht="16.5" hidden="false" customHeight="true" outlineLevel="0" collapsed="false">
      <c r="A238" s="6" t="s">
        <v>510</v>
      </c>
      <c r="B238" s="8" t="s">
        <v>716</v>
      </c>
    </row>
    <row r="239" customFormat="false" ht="29.25" hidden="false" customHeight="true" outlineLevel="0" collapsed="false">
      <c r="A239" s="6" t="s">
        <v>512</v>
      </c>
      <c r="B239" s="9" t="s">
        <v>717</v>
      </c>
    </row>
    <row r="240" customFormat="false" ht="16.5" hidden="false" customHeight="true" outlineLevel="0" collapsed="false">
      <c r="A240" s="6" t="s">
        <v>514</v>
      </c>
      <c r="B240" s="8" t="s">
        <v>718</v>
      </c>
    </row>
    <row r="241" customFormat="false" ht="18" hidden="false" customHeight="true" outlineLevel="0" collapsed="false">
      <c r="A241" s="6" t="s">
        <v>516</v>
      </c>
      <c r="B241" s="8" t="str">
        <f aca="false">"화당 "&amp;턴_설계!$B$5&amp;"턴 · 부 총 "&amp;TEXT(턴_설계!D45,"#,##0")&amp;"턴 · 화당 약 "&amp;TEXT(턴_설계!F45,"#,##0")&amp;"단어 · 낭독 약 "&amp;TEXT(턴_설계!H45,"0.0")&amp;"분 (평균 "&amp;TEXT(턴_설계!E45,"0.0")&amp;"단어/턴)"</f>
        <v>화당 120턴 · 부 총 1,440턴 · 화당 약 1,463단어 · 낭독 약 11.3분 (평균 12.2단어/턴)</v>
      </c>
    </row>
    <row r="242" customFormat="false" ht="16.5" hidden="false" customHeight="true" outlineLevel="0" collapsed="false">
      <c r="A242" s="11" t="s">
        <v>517</v>
      </c>
      <c r="B242" s="8" t="s">
        <v>719</v>
      </c>
    </row>
    <row r="243" customFormat="false" ht="16.5" hidden="false" customHeight="true" outlineLevel="0" collapsed="false">
      <c r="A243" s="6" t="s">
        <v>519</v>
      </c>
      <c r="B243" s="8" t="s">
        <v>720</v>
      </c>
    </row>
    <row r="245" customFormat="false" ht="30" hidden="false" customHeight="true" outlineLevel="0" collapsed="false">
      <c r="A245" s="61" t="s">
        <v>343</v>
      </c>
      <c r="B245" s="62" t="s">
        <v>721</v>
      </c>
    </row>
    <row r="246" customFormat="false" ht="16.5" hidden="false" customHeight="true" outlineLevel="0" collapsed="false">
      <c r="A246" s="6" t="s">
        <v>486</v>
      </c>
      <c r="B246" s="9" t="s">
        <v>722</v>
      </c>
    </row>
    <row r="247" customFormat="false" ht="16.5" hidden="false" customHeight="true" outlineLevel="0" collapsed="false">
      <c r="A247" s="6" t="s">
        <v>488</v>
      </c>
      <c r="B247" s="9" t="s">
        <v>723</v>
      </c>
    </row>
    <row r="248" customFormat="false" ht="16.5" hidden="false" customHeight="true" outlineLevel="0" collapsed="false">
      <c r="A248" s="6" t="s">
        <v>490</v>
      </c>
      <c r="B248" s="9" t="s">
        <v>724</v>
      </c>
    </row>
    <row r="249" customFormat="false" ht="16.5" hidden="false" customHeight="true" outlineLevel="0" collapsed="false">
      <c r="A249" s="6" t="s">
        <v>492</v>
      </c>
      <c r="B249" s="9" t="s">
        <v>725</v>
      </c>
    </row>
    <row r="250" customFormat="false" ht="16.5" hidden="false" customHeight="true" outlineLevel="0" collapsed="false">
      <c r="A250" s="6" t="s">
        <v>494</v>
      </c>
      <c r="B250" s="9" t="s">
        <v>726</v>
      </c>
    </row>
    <row r="251" customFormat="false" ht="16.5" hidden="false" customHeight="true" outlineLevel="0" collapsed="false">
      <c r="A251" s="6" t="s">
        <v>496</v>
      </c>
      <c r="B251" s="9" t="s">
        <v>727</v>
      </c>
    </row>
    <row r="252" customFormat="false" ht="16.5" hidden="false" customHeight="true" outlineLevel="0" collapsed="false">
      <c r="A252" s="6" t="s">
        <v>498</v>
      </c>
      <c r="B252" s="9" t="s">
        <v>728</v>
      </c>
    </row>
    <row r="253" customFormat="false" ht="16.5" hidden="false" customHeight="true" outlineLevel="0" collapsed="false">
      <c r="A253" s="6" t="s">
        <v>500</v>
      </c>
      <c r="B253" s="9" t="s">
        <v>729</v>
      </c>
    </row>
    <row r="254" customFormat="false" ht="16.5" hidden="false" customHeight="true" outlineLevel="0" collapsed="false">
      <c r="A254" s="6" t="s">
        <v>502</v>
      </c>
      <c r="B254" s="9" t="s">
        <v>730</v>
      </c>
    </row>
    <row r="255" customFormat="false" ht="16.5" hidden="false" customHeight="true" outlineLevel="0" collapsed="false">
      <c r="A255" s="6" t="s">
        <v>504</v>
      </c>
      <c r="B255" s="9" t="s">
        <v>731</v>
      </c>
    </row>
    <row r="256" customFormat="false" ht="16.5" hidden="false" customHeight="true" outlineLevel="0" collapsed="false">
      <c r="A256" s="6" t="s">
        <v>506</v>
      </c>
      <c r="B256" s="8" t="s">
        <v>732</v>
      </c>
    </row>
    <row r="257" customFormat="false" ht="16.5" hidden="false" customHeight="true" outlineLevel="0" collapsed="false">
      <c r="A257" s="6" t="s">
        <v>508</v>
      </c>
      <c r="B257" s="8" t="s">
        <v>733</v>
      </c>
    </row>
    <row r="258" customFormat="false" ht="16.5" hidden="false" customHeight="true" outlineLevel="0" collapsed="false">
      <c r="A258" s="6" t="s">
        <v>510</v>
      </c>
      <c r="B258" s="8" t="s">
        <v>734</v>
      </c>
    </row>
    <row r="259" customFormat="false" ht="16.5" hidden="false" customHeight="true" outlineLevel="0" collapsed="false">
      <c r="A259" s="6" t="s">
        <v>512</v>
      </c>
      <c r="B259" s="9" t="s">
        <v>735</v>
      </c>
    </row>
    <row r="260" customFormat="false" ht="16.5" hidden="false" customHeight="true" outlineLevel="0" collapsed="false">
      <c r="A260" s="6" t="s">
        <v>514</v>
      </c>
      <c r="B260" s="8" t="s">
        <v>736</v>
      </c>
    </row>
    <row r="261" customFormat="false" ht="18" hidden="false" customHeight="true" outlineLevel="0" collapsed="false">
      <c r="A261" s="6" t="s">
        <v>516</v>
      </c>
      <c r="B261" s="8" t="str">
        <f aca="false">"화당 "&amp;턴_설계!$B$5&amp;"턴 · 부 총 "&amp;TEXT(턴_설계!D46,"#,##0")&amp;"턴 · 화당 약 "&amp;TEXT(턴_설계!F46,"#,##0")&amp;"단어 · 낭독 약 "&amp;TEXT(턴_설계!H46,"0.0")&amp;"분 (평균 "&amp;TEXT(턴_설계!E46,"0.0")&amp;"단어/턴)"</f>
        <v>화당 120턴 · 부 총 1,440턴 · 화당 약 920단어 · 낭독 약 7.1분 (평균 7.7단어/턴)</v>
      </c>
    </row>
    <row r="262" customFormat="false" ht="16.5" hidden="false" customHeight="true" outlineLevel="0" collapsed="false">
      <c r="A262" s="11" t="s">
        <v>517</v>
      </c>
      <c r="B262" s="8" t="s">
        <v>737</v>
      </c>
    </row>
    <row r="263" customFormat="false" ht="16.5" hidden="false" customHeight="true" outlineLevel="0" collapsed="false">
      <c r="A263" s="6" t="s">
        <v>519</v>
      </c>
      <c r="B263" s="9" t="s">
        <v>738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true"/>
  </sheetPr>
  <dimension ref="A1:J1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3" min="3" style="1" width="13"/>
    <col collapsed="false" customWidth="true" hidden="false" outlineLevel="0" max="4" min="4" style="1" width="32"/>
    <col collapsed="false" customWidth="true" hidden="false" outlineLevel="0" max="5" min="5" style="1" width="24"/>
    <col collapsed="false" customWidth="true" hidden="false" outlineLevel="0" max="6" min="6" style="1" width="62"/>
    <col collapsed="false" customWidth="true" hidden="false" outlineLevel="0" max="7" min="7" style="1" width="46"/>
    <col collapsed="false" customWidth="true" hidden="false" outlineLevel="0" max="8" min="8" style="1" width="28"/>
    <col collapsed="false" customWidth="true" hidden="false" outlineLevel="0" max="9" min="9" style="1" width="16"/>
    <col collapsed="false" customWidth="true" hidden="false" outlineLevel="0" max="10" min="10" style="1" width="8"/>
  </cols>
  <sheetData>
    <row r="1" customFormat="false" ht="24" hidden="false" customHeight="true" outlineLevel="0" collapsed="false">
      <c r="A1" s="21" t="s">
        <v>739</v>
      </c>
    </row>
    <row r="2" customFormat="false" ht="15" hidden="false" customHeight="true" outlineLevel="0" collapsed="false">
      <c r="A2" s="20" t="s">
        <v>740</v>
      </c>
    </row>
    <row r="4" customFormat="false" ht="29.25" hidden="false" customHeight="true" outlineLevel="0" collapsed="false">
      <c r="A4" s="23" t="s">
        <v>347</v>
      </c>
      <c r="B4" s="23" t="s">
        <v>741</v>
      </c>
      <c r="C4" s="23" t="s">
        <v>486</v>
      </c>
      <c r="D4" s="23" t="s">
        <v>399</v>
      </c>
      <c r="E4" s="23" t="s">
        <v>400</v>
      </c>
      <c r="F4" s="23" t="s">
        <v>742</v>
      </c>
      <c r="G4" s="23" t="s">
        <v>404</v>
      </c>
      <c r="H4" s="23" t="s">
        <v>743</v>
      </c>
      <c r="I4" s="23" t="s">
        <v>744</v>
      </c>
      <c r="J4" s="23" t="s">
        <v>745</v>
      </c>
    </row>
    <row r="5" customFormat="false" ht="67.5" hidden="false" customHeight="true" outlineLevel="0" collapsed="false">
      <c r="A5" s="24" t="n">
        <v>1</v>
      </c>
      <c r="B5" s="24" t="n">
        <v>1</v>
      </c>
      <c r="C5" s="26" t="s">
        <v>746</v>
      </c>
      <c r="D5" s="8" t="s">
        <v>747</v>
      </c>
      <c r="E5" s="9" t="s">
        <v>748</v>
      </c>
      <c r="F5" s="9" t="s">
        <v>749</v>
      </c>
      <c r="G5" s="9" t="s">
        <v>750</v>
      </c>
      <c r="H5" s="8" t="s">
        <v>751</v>
      </c>
      <c r="I5" s="24" t="s">
        <v>752</v>
      </c>
      <c r="J5" s="24" t="n">
        <f aca="false">턴_설계!$B$5</f>
        <v>120</v>
      </c>
    </row>
    <row r="6" customFormat="false" ht="54.75" hidden="false" customHeight="true" outlineLevel="0" collapsed="false">
      <c r="A6" s="24" t="n">
        <v>1</v>
      </c>
      <c r="B6" s="24" t="n">
        <v>2</v>
      </c>
      <c r="C6" s="26" t="s">
        <v>753</v>
      </c>
      <c r="D6" s="8" t="s">
        <v>754</v>
      </c>
      <c r="E6" s="9" t="s">
        <v>755</v>
      </c>
      <c r="F6" s="8" t="s">
        <v>756</v>
      </c>
      <c r="G6" s="9" t="s">
        <v>757</v>
      </c>
      <c r="H6" s="8" t="s">
        <v>758</v>
      </c>
      <c r="I6" s="24" t="s">
        <v>752</v>
      </c>
      <c r="J6" s="24" t="n">
        <f aca="false">턴_설계!$B$5</f>
        <v>120</v>
      </c>
    </row>
    <row r="7" customFormat="false" ht="54.75" hidden="false" customHeight="true" outlineLevel="0" collapsed="false">
      <c r="A7" s="24" t="n">
        <v>1</v>
      </c>
      <c r="B7" s="24" t="n">
        <v>3</v>
      </c>
      <c r="C7" s="26" t="s">
        <v>759</v>
      </c>
      <c r="D7" s="8" t="s">
        <v>760</v>
      </c>
      <c r="E7" s="9" t="s">
        <v>761</v>
      </c>
      <c r="F7" s="8" t="s">
        <v>762</v>
      </c>
      <c r="G7" s="9" t="s">
        <v>763</v>
      </c>
      <c r="H7" s="8" t="s">
        <v>764</v>
      </c>
      <c r="I7" s="24" t="s">
        <v>752</v>
      </c>
      <c r="J7" s="24" t="n">
        <f aca="false">턴_설계!$B$5</f>
        <v>120</v>
      </c>
    </row>
    <row r="8" customFormat="false" ht="42" hidden="false" customHeight="true" outlineLevel="0" collapsed="false">
      <c r="A8" s="24" t="n">
        <v>1</v>
      </c>
      <c r="B8" s="24" t="n">
        <v>4</v>
      </c>
      <c r="C8" s="26" t="s">
        <v>765</v>
      </c>
      <c r="D8" s="8" t="s">
        <v>766</v>
      </c>
      <c r="E8" s="9" t="s">
        <v>767</v>
      </c>
      <c r="F8" s="8" t="s">
        <v>768</v>
      </c>
      <c r="G8" s="9" t="s">
        <v>769</v>
      </c>
      <c r="H8" s="8" t="s">
        <v>764</v>
      </c>
      <c r="I8" s="24" t="s">
        <v>752</v>
      </c>
      <c r="J8" s="24" t="n">
        <f aca="false">턴_설계!$B$5</f>
        <v>120</v>
      </c>
    </row>
    <row r="9" customFormat="false" ht="42" hidden="false" customHeight="true" outlineLevel="0" collapsed="false">
      <c r="A9" s="24" t="n">
        <v>1</v>
      </c>
      <c r="B9" s="24" t="n">
        <v>5</v>
      </c>
      <c r="C9" s="26" t="s">
        <v>770</v>
      </c>
      <c r="D9" s="8" t="s">
        <v>771</v>
      </c>
      <c r="E9" s="9" t="s">
        <v>772</v>
      </c>
      <c r="F9" s="8" t="s">
        <v>773</v>
      </c>
      <c r="G9" s="9" t="s">
        <v>774</v>
      </c>
      <c r="H9" s="8" t="s">
        <v>775</v>
      </c>
      <c r="I9" s="24" t="s">
        <v>776</v>
      </c>
      <c r="J9" s="24" t="n">
        <f aca="false">턴_설계!$B$5</f>
        <v>120</v>
      </c>
    </row>
    <row r="10" customFormat="false" ht="54.75" hidden="false" customHeight="true" outlineLevel="0" collapsed="false">
      <c r="A10" s="24" t="n">
        <v>1</v>
      </c>
      <c r="B10" s="24" t="n">
        <v>6</v>
      </c>
      <c r="C10" s="26" t="s">
        <v>777</v>
      </c>
      <c r="D10" s="8" t="s">
        <v>778</v>
      </c>
      <c r="E10" s="9" t="s">
        <v>779</v>
      </c>
      <c r="F10" s="8" t="s">
        <v>780</v>
      </c>
      <c r="G10" s="9" t="s">
        <v>781</v>
      </c>
      <c r="H10" s="8" t="s">
        <v>782</v>
      </c>
      <c r="I10" s="24" t="s">
        <v>776</v>
      </c>
      <c r="J10" s="24" t="n">
        <f aca="false">턴_설계!$B$5</f>
        <v>120</v>
      </c>
    </row>
    <row r="11" customFormat="false" ht="67.5" hidden="false" customHeight="true" outlineLevel="0" collapsed="false">
      <c r="A11" s="24" t="n">
        <v>1</v>
      </c>
      <c r="B11" s="24" t="n">
        <v>7</v>
      </c>
      <c r="C11" s="26" t="s">
        <v>783</v>
      </c>
      <c r="D11" s="8" t="s">
        <v>784</v>
      </c>
      <c r="E11" s="9" t="s">
        <v>785</v>
      </c>
      <c r="F11" s="8" t="s">
        <v>786</v>
      </c>
      <c r="G11" s="9" t="s">
        <v>787</v>
      </c>
      <c r="H11" s="8" t="s">
        <v>788</v>
      </c>
      <c r="I11" s="24" t="s">
        <v>789</v>
      </c>
      <c r="J11" s="24" t="n">
        <f aca="false">턴_설계!$B$5</f>
        <v>120</v>
      </c>
    </row>
    <row r="12" customFormat="false" ht="42" hidden="false" customHeight="true" outlineLevel="0" collapsed="false">
      <c r="A12" s="24" t="n">
        <v>1</v>
      </c>
      <c r="B12" s="24" t="n">
        <v>8</v>
      </c>
      <c r="C12" s="26" t="s">
        <v>790</v>
      </c>
      <c r="D12" s="8" t="s">
        <v>791</v>
      </c>
      <c r="E12" s="9" t="s">
        <v>792</v>
      </c>
      <c r="F12" s="8" t="s">
        <v>793</v>
      </c>
      <c r="G12" s="27" t="s">
        <v>794</v>
      </c>
      <c r="H12" s="8" t="s">
        <v>795</v>
      </c>
      <c r="I12" s="24" t="s">
        <v>789</v>
      </c>
      <c r="J12" s="24" t="n">
        <f aca="false">턴_설계!$B$5</f>
        <v>120</v>
      </c>
    </row>
    <row r="13" customFormat="false" ht="54.75" hidden="false" customHeight="true" outlineLevel="0" collapsed="false">
      <c r="A13" s="24" t="n">
        <v>1</v>
      </c>
      <c r="B13" s="24" t="n">
        <v>9</v>
      </c>
      <c r="C13" s="26" t="s">
        <v>796</v>
      </c>
      <c r="D13" s="8" t="s">
        <v>797</v>
      </c>
      <c r="E13" s="8" t="s">
        <v>798</v>
      </c>
      <c r="F13" s="8" t="s">
        <v>799</v>
      </c>
      <c r="G13" s="9" t="s">
        <v>800</v>
      </c>
      <c r="H13" s="8" t="s">
        <v>801</v>
      </c>
      <c r="I13" s="24" t="s">
        <v>802</v>
      </c>
      <c r="J13" s="24" t="n">
        <f aca="false">턴_설계!$B$5</f>
        <v>120</v>
      </c>
    </row>
    <row r="14" customFormat="false" ht="42" hidden="false" customHeight="true" outlineLevel="0" collapsed="false">
      <c r="A14" s="24" t="n">
        <v>1</v>
      </c>
      <c r="B14" s="24" t="n">
        <v>10</v>
      </c>
      <c r="C14" s="26" t="s">
        <v>803</v>
      </c>
      <c r="D14" s="8" t="s">
        <v>804</v>
      </c>
      <c r="E14" s="9" t="s">
        <v>805</v>
      </c>
      <c r="F14" s="8" t="s">
        <v>806</v>
      </c>
      <c r="G14" s="9" t="s">
        <v>807</v>
      </c>
      <c r="H14" s="8" t="s">
        <v>808</v>
      </c>
      <c r="I14" s="24" t="s">
        <v>802</v>
      </c>
      <c r="J14" s="24" t="n">
        <f aca="false">턴_설계!$B$5</f>
        <v>120</v>
      </c>
    </row>
    <row r="15" customFormat="false" ht="42" hidden="false" customHeight="true" outlineLevel="0" collapsed="false">
      <c r="A15" s="24" t="n">
        <v>1</v>
      </c>
      <c r="B15" s="24" t="n">
        <v>11</v>
      </c>
      <c r="C15" s="26" t="s">
        <v>809</v>
      </c>
      <c r="D15" s="8" t="s">
        <v>810</v>
      </c>
      <c r="E15" s="9" t="s">
        <v>811</v>
      </c>
      <c r="F15" s="8" t="s">
        <v>812</v>
      </c>
      <c r="G15" s="9" t="s">
        <v>813</v>
      </c>
      <c r="H15" s="8" t="s">
        <v>814</v>
      </c>
      <c r="I15" s="24" t="s">
        <v>752</v>
      </c>
      <c r="J15" s="24" t="n">
        <f aca="false">턴_설계!$B$5</f>
        <v>120</v>
      </c>
    </row>
    <row r="16" customFormat="false" ht="54.75" hidden="false" customHeight="true" outlineLevel="0" collapsed="false">
      <c r="A16" s="24" t="n">
        <v>1</v>
      </c>
      <c r="B16" s="24" t="n">
        <v>12</v>
      </c>
      <c r="C16" s="26" t="s">
        <v>815</v>
      </c>
      <c r="D16" s="8" t="s">
        <v>816</v>
      </c>
      <c r="E16" s="9" t="s">
        <v>817</v>
      </c>
      <c r="F16" s="8" t="s">
        <v>818</v>
      </c>
      <c r="G16" s="9" t="s">
        <v>819</v>
      </c>
      <c r="H16" s="8" t="s">
        <v>820</v>
      </c>
      <c r="I16" s="24" t="s">
        <v>752</v>
      </c>
      <c r="J16" s="24" t="n">
        <f aca="false">턴_설계!$B$5</f>
        <v>120</v>
      </c>
    </row>
    <row r="17" customFormat="false" ht="42" hidden="false" customHeight="true" outlineLevel="0" collapsed="false">
      <c r="A17" s="24" t="n">
        <v>2</v>
      </c>
      <c r="B17" s="24" t="n">
        <v>1</v>
      </c>
      <c r="C17" s="26" t="s">
        <v>821</v>
      </c>
      <c r="D17" s="8" t="s">
        <v>822</v>
      </c>
      <c r="E17" s="9" t="s">
        <v>823</v>
      </c>
      <c r="F17" s="8" t="s">
        <v>824</v>
      </c>
      <c r="G17" s="9" t="s">
        <v>825</v>
      </c>
      <c r="H17" s="8" t="s">
        <v>826</v>
      </c>
      <c r="I17" s="24" t="s">
        <v>752</v>
      </c>
      <c r="J17" s="24" t="n">
        <f aca="false">턴_설계!$B$5</f>
        <v>120</v>
      </c>
    </row>
    <row r="18" customFormat="false" ht="42" hidden="false" customHeight="true" outlineLevel="0" collapsed="false">
      <c r="A18" s="24" t="n">
        <v>2</v>
      </c>
      <c r="B18" s="24" t="n">
        <v>2</v>
      </c>
      <c r="C18" s="26" t="s">
        <v>821</v>
      </c>
      <c r="D18" s="8" t="s">
        <v>827</v>
      </c>
      <c r="E18" s="9" t="s">
        <v>828</v>
      </c>
      <c r="F18" s="8" t="s">
        <v>829</v>
      </c>
      <c r="G18" s="9" t="s">
        <v>830</v>
      </c>
      <c r="H18" s="8" t="s">
        <v>831</v>
      </c>
      <c r="I18" s="24"/>
      <c r="J18" s="24" t="n">
        <f aca="false">턴_설계!$B$5</f>
        <v>120</v>
      </c>
    </row>
    <row r="19" customFormat="false" ht="42" hidden="false" customHeight="true" outlineLevel="0" collapsed="false">
      <c r="A19" s="24" t="n">
        <v>2</v>
      </c>
      <c r="B19" s="24" t="n">
        <v>3</v>
      </c>
      <c r="C19" s="26" t="s">
        <v>821</v>
      </c>
      <c r="D19" s="8" t="s">
        <v>832</v>
      </c>
      <c r="E19" s="8" t="s">
        <v>833</v>
      </c>
      <c r="F19" s="9" t="s">
        <v>834</v>
      </c>
      <c r="G19" s="9" t="s">
        <v>835</v>
      </c>
      <c r="H19" s="8" t="s">
        <v>836</v>
      </c>
      <c r="I19" s="24" t="s">
        <v>752</v>
      </c>
      <c r="J19" s="24" t="n">
        <f aca="false">턴_설계!$B$5</f>
        <v>120</v>
      </c>
    </row>
    <row r="20" customFormat="false" ht="42" hidden="false" customHeight="true" outlineLevel="0" collapsed="false">
      <c r="A20" s="24" t="n">
        <v>2</v>
      </c>
      <c r="B20" s="24" t="n">
        <v>4</v>
      </c>
      <c r="C20" s="26" t="s">
        <v>837</v>
      </c>
      <c r="D20" s="8" t="s">
        <v>838</v>
      </c>
      <c r="E20" s="9" t="s">
        <v>839</v>
      </c>
      <c r="F20" s="9" t="s">
        <v>840</v>
      </c>
      <c r="G20" s="9" t="s">
        <v>841</v>
      </c>
      <c r="H20" s="8" t="s">
        <v>842</v>
      </c>
      <c r="I20" s="24" t="s">
        <v>752</v>
      </c>
      <c r="J20" s="24" t="n">
        <f aca="false">턴_설계!$B$5</f>
        <v>120</v>
      </c>
    </row>
    <row r="21" customFormat="false" ht="42" hidden="false" customHeight="true" outlineLevel="0" collapsed="false">
      <c r="A21" s="24" t="n">
        <v>2</v>
      </c>
      <c r="B21" s="24" t="n">
        <v>5</v>
      </c>
      <c r="C21" s="26" t="s">
        <v>837</v>
      </c>
      <c r="D21" s="8" t="s">
        <v>843</v>
      </c>
      <c r="E21" s="9" t="s">
        <v>844</v>
      </c>
      <c r="F21" s="8" t="s">
        <v>845</v>
      </c>
      <c r="G21" s="9" t="s">
        <v>846</v>
      </c>
      <c r="H21" s="8" t="s">
        <v>847</v>
      </c>
      <c r="I21" s="24" t="s">
        <v>752</v>
      </c>
      <c r="J21" s="24" t="n">
        <f aca="false">턴_설계!$B$5</f>
        <v>120</v>
      </c>
    </row>
    <row r="22" customFormat="false" ht="42" hidden="false" customHeight="true" outlineLevel="0" collapsed="false">
      <c r="A22" s="24" t="n">
        <v>2</v>
      </c>
      <c r="B22" s="24" t="n">
        <v>6</v>
      </c>
      <c r="C22" s="26" t="s">
        <v>848</v>
      </c>
      <c r="D22" s="8" t="s">
        <v>849</v>
      </c>
      <c r="E22" s="9" t="s">
        <v>850</v>
      </c>
      <c r="F22" s="9" t="s">
        <v>851</v>
      </c>
      <c r="G22" s="9" t="s">
        <v>852</v>
      </c>
      <c r="H22" s="8" t="s">
        <v>853</v>
      </c>
      <c r="I22" s="24" t="s">
        <v>752</v>
      </c>
      <c r="J22" s="24" t="n">
        <f aca="false">턴_설계!$B$5</f>
        <v>120</v>
      </c>
    </row>
    <row r="23" customFormat="false" ht="42" hidden="false" customHeight="true" outlineLevel="0" collapsed="false">
      <c r="A23" s="24" t="n">
        <v>2</v>
      </c>
      <c r="B23" s="24" t="n">
        <v>7</v>
      </c>
      <c r="C23" s="26" t="s">
        <v>854</v>
      </c>
      <c r="D23" s="8" t="s">
        <v>855</v>
      </c>
      <c r="E23" s="9" t="s">
        <v>856</v>
      </c>
      <c r="F23" s="9" t="s">
        <v>857</v>
      </c>
      <c r="G23" s="9" t="s">
        <v>858</v>
      </c>
      <c r="H23" s="8" t="s">
        <v>859</v>
      </c>
      <c r="I23" s="24" t="s">
        <v>752</v>
      </c>
      <c r="J23" s="24" t="n">
        <f aca="false">턴_설계!$B$5</f>
        <v>120</v>
      </c>
    </row>
    <row r="24" customFormat="false" ht="42" hidden="false" customHeight="true" outlineLevel="0" collapsed="false">
      <c r="A24" s="24" t="n">
        <v>2</v>
      </c>
      <c r="B24" s="24" t="n">
        <v>8</v>
      </c>
      <c r="C24" s="26" t="s">
        <v>854</v>
      </c>
      <c r="D24" s="8" t="s">
        <v>860</v>
      </c>
      <c r="E24" s="9" t="s">
        <v>861</v>
      </c>
      <c r="F24" s="9" t="s">
        <v>862</v>
      </c>
      <c r="G24" s="9" t="s">
        <v>863</v>
      </c>
      <c r="H24" s="8" t="s">
        <v>864</v>
      </c>
      <c r="I24" s="24" t="s">
        <v>865</v>
      </c>
      <c r="J24" s="24" t="n">
        <f aca="false">턴_설계!$B$5</f>
        <v>120</v>
      </c>
    </row>
    <row r="25" customFormat="false" ht="42" hidden="false" customHeight="true" outlineLevel="0" collapsed="false">
      <c r="A25" s="24" t="n">
        <v>2</v>
      </c>
      <c r="B25" s="24" t="n">
        <v>9</v>
      </c>
      <c r="C25" s="26" t="s">
        <v>854</v>
      </c>
      <c r="D25" s="8" t="s">
        <v>866</v>
      </c>
      <c r="E25" s="9" t="s">
        <v>867</v>
      </c>
      <c r="F25" s="8" t="s">
        <v>868</v>
      </c>
      <c r="G25" s="9" t="s">
        <v>869</v>
      </c>
      <c r="H25" s="8" t="s">
        <v>870</v>
      </c>
      <c r="I25" s="24"/>
      <c r="J25" s="24" t="n">
        <f aca="false">턴_설계!$B$5</f>
        <v>120</v>
      </c>
    </row>
    <row r="26" customFormat="false" ht="29.25" hidden="false" customHeight="true" outlineLevel="0" collapsed="false">
      <c r="A26" s="24" t="n">
        <v>2</v>
      </c>
      <c r="B26" s="24" t="n">
        <v>10</v>
      </c>
      <c r="C26" s="26" t="s">
        <v>871</v>
      </c>
      <c r="D26" s="8" t="s">
        <v>872</v>
      </c>
      <c r="E26" s="9" t="s">
        <v>873</v>
      </c>
      <c r="F26" s="9" t="s">
        <v>874</v>
      </c>
      <c r="G26" s="9" t="s">
        <v>875</v>
      </c>
      <c r="H26" s="8" t="s">
        <v>876</v>
      </c>
      <c r="I26" s="24"/>
      <c r="J26" s="24" t="n">
        <f aca="false">턴_설계!$B$5</f>
        <v>120</v>
      </c>
    </row>
    <row r="27" customFormat="false" ht="29.25" hidden="false" customHeight="true" outlineLevel="0" collapsed="false">
      <c r="A27" s="24" t="n">
        <v>2</v>
      </c>
      <c r="B27" s="24" t="n">
        <v>11</v>
      </c>
      <c r="C27" s="26" t="s">
        <v>871</v>
      </c>
      <c r="D27" s="8" t="s">
        <v>877</v>
      </c>
      <c r="E27" s="8" t="s">
        <v>878</v>
      </c>
      <c r="F27" s="8" t="s">
        <v>879</v>
      </c>
      <c r="G27" s="9" t="s">
        <v>880</v>
      </c>
      <c r="H27" s="8" t="s">
        <v>881</v>
      </c>
      <c r="I27" s="24" t="s">
        <v>752</v>
      </c>
      <c r="J27" s="24" t="n">
        <f aca="false">턴_설계!$B$5</f>
        <v>120</v>
      </c>
    </row>
    <row r="28" customFormat="false" ht="42" hidden="false" customHeight="true" outlineLevel="0" collapsed="false">
      <c r="A28" s="24" t="n">
        <v>2</v>
      </c>
      <c r="B28" s="24" t="n">
        <v>12</v>
      </c>
      <c r="C28" s="26" t="s">
        <v>882</v>
      </c>
      <c r="D28" s="8" t="s">
        <v>883</v>
      </c>
      <c r="E28" s="9" t="s">
        <v>884</v>
      </c>
      <c r="F28" s="8" t="s">
        <v>885</v>
      </c>
      <c r="G28" s="9" t="s">
        <v>886</v>
      </c>
      <c r="H28" s="8" t="s">
        <v>887</v>
      </c>
      <c r="I28" s="24"/>
      <c r="J28" s="24" t="n">
        <f aca="false">턴_설계!$B$5</f>
        <v>120</v>
      </c>
    </row>
    <row r="29" customFormat="false" ht="42" hidden="false" customHeight="true" outlineLevel="0" collapsed="false">
      <c r="A29" s="24" t="n">
        <v>3</v>
      </c>
      <c r="B29" s="24" t="n">
        <v>1</v>
      </c>
      <c r="C29" s="26" t="s">
        <v>821</v>
      </c>
      <c r="D29" s="8" t="s">
        <v>888</v>
      </c>
      <c r="E29" s="9" t="s">
        <v>889</v>
      </c>
      <c r="F29" s="8" t="s">
        <v>890</v>
      </c>
      <c r="G29" s="9" t="s">
        <v>891</v>
      </c>
      <c r="H29" s="8" t="s">
        <v>892</v>
      </c>
      <c r="I29" s="24"/>
      <c r="J29" s="24" t="n">
        <f aca="false">턴_설계!$B$5</f>
        <v>120</v>
      </c>
    </row>
    <row r="30" customFormat="false" ht="42" hidden="false" customHeight="true" outlineLevel="0" collapsed="false">
      <c r="A30" s="24" t="n">
        <v>3</v>
      </c>
      <c r="B30" s="24" t="n">
        <v>2</v>
      </c>
      <c r="C30" s="26" t="s">
        <v>821</v>
      </c>
      <c r="D30" s="8" t="s">
        <v>893</v>
      </c>
      <c r="E30" s="9" t="s">
        <v>894</v>
      </c>
      <c r="F30" s="8" t="s">
        <v>895</v>
      </c>
      <c r="G30" s="8" t="s">
        <v>896</v>
      </c>
      <c r="H30" s="8" t="s">
        <v>897</v>
      </c>
      <c r="I30" s="24"/>
      <c r="J30" s="24" t="n">
        <f aca="false">턴_설계!$B$5</f>
        <v>120</v>
      </c>
    </row>
    <row r="31" customFormat="false" ht="29.25" hidden="false" customHeight="true" outlineLevel="0" collapsed="false">
      <c r="A31" s="24" t="n">
        <v>3</v>
      </c>
      <c r="B31" s="24" t="n">
        <v>3</v>
      </c>
      <c r="C31" s="26" t="s">
        <v>821</v>
      </c>
      <c r="D31" s="8" t="s">
        <v>898</v>
      </c>
      <c r="E31" s="9" t="s">
        <v>899</v>
      </c>
      <c r="F31" s="9" t="s">
        <v>900</v>
      </c>
      <c r="G31" s="9" t="s">
        <v>901</v>
      </c>
      <c r="H31" s="8" t="s">
        <v>902</v>
      </c>
      <c r="I31" s="24" t="s">
        <v>903</v>
      </c>
      <c r="J31" s="24" t="n">
        <f aca="false">턴_설계!$B$5</f>
        <v>120</v>
      </c>
    </row>
    <row r="32" customFormat="false" ht="29.25" hidden="false" customHeight="true" outlineLevel="0" collapsed="false">
      <c r="A32" s="24" t="n">
        <v>3</v>
      </c>
      <c r="B32" s="24" t="n">
        <v>4</v>
      </c>
      <c r="C32" s="26" t="s">
        <v>837</v>
      </c>
      <c r="D32" s="8" t="s">
        <v>904</v>
      </c>
      <c r="E32" s="9" t="s">
        <v>905</v>
      </c>
      <c r="F32" s="9" t="s">
        <v>906</v>
      </c>
      <c r="G32" s="9" t="s">
        <v>907</v>
      </c>
      <c r="H32" s="8" t="s">
        <v>908</v>
      </c>
      <c r="I32" s="24" t="s">
        <v>909</v>
      </c>
      <c r="J32" s="24" t="n">
        <f aca="false">턴_설계!$B$5</f>
        <v>120</v>
      </c>
    </row>
    <row r="33" customFormat="false" ht="42" hidden="false" customHeight="true" outlineLevel="0" collapsed="false">
      <c r="A33" s="24" t="n">
        <v>3</v>
      </c>
      <c r="B33" s="24" t="n">
        <v>5</v>
      </c>
      <c r="C33" s="26" t="s">
        <v>837</v>
      </c>
      <c r="D33" s="8" t="s">
        <v>910</v>
      </c>
      <c r="E33" s="9" t="s">
        <v>911</v>
      </c>
      <c r="F33" s="8" t="s">
        <v>912</v>
      </c>
      <c r="G33" s="9" t="s">
        <v>913</v>
      </c>
      <c r="H33" s="8" t="s">
        <v>914</v>
      </c>
      <c r="I33" s="24"/>
      <c r="J33" s="24" t="n">
        <f aca="false">턴_설계!$B$5</f>
        <v>120</v>
      </c>
    </row>
    <row r="34" customFormat="false" ht="42" hidden="false" customHeight="true" outlineLevel="0" collapsed="false">
      <c r="A34" s="24" t="n">
        <v>3</v>
      </c>
      <c r="B34" s="24" t="n">
        <v>6</v>
      </c>
      <c r="C34" s="26" t="s">
        <v>848</v>
      </c>
      <c r="D34" s="8" t="s">
        <v>915</v>
      </c>
      <c r="E34" s="9" t="s">
        <v>916</v>
      </c>
      <c r="F34" s="9" t="s">
        <v>917</v>
      </c>
      <c r="G34" s="9" t="s">
        <v>918</v>
      </c>
      <c r="H34" s="8" t="s">
        <v>919</v>
      </c>
      <c r="I34" s="24" t="s">
        <v>920</v>
      </c>
      <c r="J34" s="24" t="n">
        <f aca="false">턴_설계!$B$5</f>
        <v>120</v>
      </c>
    </row>
    <row r="35" customFormat="false" ht="42" hidden="false" customHeight="true" outlineLevel="0" collapsed="false">
      <c r="A35" s="24" t="n">
        <v>3</v>
      </c>
      <c r="B35" s="24" t="n">
        <v>7</v>
      </c>
      <c r="C35" s="26" t="s">
        <v>854</v>
      </c>
      <c r="D35" s="8" t="s">
        <v>921</v>
      </c>
      <c r="E35" s="9" t="s">
        <v>922</v>
      </c>
      <c r="F35" s="9" t="s">
        <v>923</v>
      </c>
      <c r="G35" s="9" t="s">
        <v>924</v>
      </c>
      <c r="H35" s="8" t="s">
        <v>925</v>
      </c>
      <c r="I35" s="24" t="s">
        <v>926</v>
      </c>
      <c r="J35" s="24" t="n">
        <f aca="false">턴_설계!$B$5</f>
        <v>120</v>
      </c>
    </row>
    <row r="36" customFormat="false" ht="29.25" hidden="false" customHeight="true" outlineLevel="0" collapsed="false">
      <c r="A36" s="24" t="n">
        <v>3</v>
      </c>
      <c r="B36" s="24" t="n">
        <v>8</v>
      </c>
      <c r="C36" s="26" t="s">
        <v>854</v>
      </c>
      <c r="D36" s="8" t="s">
        <v>927</v>
      </c>
      <c r="E36" s="9" t="s">
        <v>928</v>
      </c>
      <c r="F36" s="9" t="s">
        <v>929</v>
      </c>
      <c r="G36" s="9" t="s">
        <v>930</v>
      </c>
      <c r="H36" s="8" t="s">
        <v>931</v>
      </c>
      <c r="I36" s="24" t="s">
        <v>926</v>
      </c>
      <c r="J36" s="24" t="n">
        <f aca="false">턴_설계!$B$5</f>
        <v>120</v>
      </c>
    </row>
    <row r="37" customFormat="false" ht="29.25" hidden="false" customHeight="true" outlineLevel="0" collapsed="false">
      <c r="A37" s="24" t="n">
        <v>3</v>
      </c>
      <c r="B37" s="24" t="n">
        <v>9</v>
      </c>
      <c r="C37" s="26" t="s">
        <v>854</v>
      </c>
      <c r="D37" s="8" t="s">
        <v>932</v>
      </c>
      <c r="E37" s="9" t="s">
        <v>933</v>
      </c>
      <c r="F37" s="8" t="s">
        <v>934</v>
      </c>
      <c r="G37" s="9" t="s">
        <v>935</v>
      </c>
      <c r="H37" s="8" t="s">
        <v>936</v>
      </c>
      <c r="I37" s="24"/>
      <c r="J37" s="24" t="n">
        <f aca="false">턴_설계!$B$5</f>
        <v>120</v>
      </c>
    </row>
    <row r="38" customFormat="false" ht="29.25" hidden="false" customHeight="true" outlineLevel="0" collapsed="false">
      <c r="A38" s="24" t="n">
        <v>3</v>
      </c>
      <c r="B38" s="24" t="n">
        <v>10</v>
      </c>
      <c r="C38" s="26" t="s">
        <v>871</v>
      </c>
      <c r="D38" s="8" t="s">
        <v>937</v>
      </c>
      <c r="E38" s="9" t="s">
        <v>938</v>
      </c>
      <c r="F38" s="9" t="s">
        <v>939</v>
      </c>
      <c r="G38" s="9" t="s">
        <v>940</v>
      </c>
      <c r="H38" s="8" t="s">
        <v>902</v>
      </c>
      <c r="I38" s="24" t="s">
        <v>941</v>
      </c>
      <c r="J38" s="24" t="n">
        <f aca="false">턴_설계!$B$5</f>
        <v>120</v>
      </c>
    </row>
    <row r="39" customFormat="false" ht="29.25" hidden="false" customHeight="true" outlineLevel="0" collapsed="false">
      <c r="A39" s="24" t="n">
        <v>3</v>
      </c>
      <c r="B39" s="24" t="n">
        <v>11</v>
      </c>
      <c r="C39" s="26" t="s">
        <v>871</v>
      </c>
      <c r="D39" s="8" t="s">
        <v>942</v>
      </c>
      <c r="E39" s="9" t="s">
        <v>943</v>
      </c>
      <c r="F39" s="9" t="s">
        <v>944</v>
      </c>
      <c r="G39" s="9" t="s">
        <v>945</v>
      </c>
      <c r="H39" s="8" t="s">
        <v>919</v>
      </c>
      <c r="I39" s="24"/>
      <c r="J39" s="24" t="n">
        <f aca="false">턴_설계!$B$5</f>
        <v>120</v>
      </c>
    </row>
    <row r="40" customFormat="false" ht="29.25" hidden="false" customHeight="true" outlineLevel="0" collapsed="false">
      <c r="A40" s="24" t="n">
        <v>3</v>
      </c>
      <c r="B40" s="24" t="n">
        <v>12</v>
      </c>
      <c r="C40" s="26" t="s">
        <v>882</v>
      </c>
      <c r="D40" s="8" t="s">
        <v>946</v>
      </c>
      <c r="E40" s="9" t="s">
        <v>947</v>
      </c>
      <c r="F40" s="8" t="s">
        <v>948</v>
      </c>
      <c r="G40" s="9" t="s">
        <v>949</v>
      </c>
      <c r="H40" s="8" t="s">
        <v>950</v>
      </c>
      <c r="I40" s="24"/>
      <c r="J40" s="24" t="n">
        <f aca="false">턴_설계!$B$5</f>
        <v>120</v>
      </c>
    </row>
    <row r="41" customFormat="false" ht="29.25" hidden="false" customHeight="true" outlineLevel="0" collapsed="false">
      <c r="A41" s="24" t="n">
        <v>4</v>
      </c>
      <c r="B41" s="24" t="n">
        <v>1</v>
      </c>
      <c r="C41" s="26" t="s">
        <v>821</v>
      </c>
      <c r="D41" s="8" t="s">
        <v>951</v>
      </c>
      <c r="E41" s="9" t="s">
        <v>952</v>
      </c>
      <c r="F41" s="8" t="s">
        <v>953</v>
      </c>
      <c r="G41" s="9" t="s">
        <v>954</v>
      </c>
      <c r="H41" s="8" t="s">
        <v>955</v>
      </c>
      <c r="I41" s="24"/>
      <c r="J41" s="24" t="n">
        <f aca="false">턴_설계!$B$5</f>
        <v>120</v>
      </c>
    </row>
    <row r="42" customFormat="false" ht="29.25" hidden="false" customHeight="true" outlineLevel="0" collapsed="false">
      <c r="A42" s="24" t="n">
        <v>4</v>
      </c>
      <c r="B42" s="24" t="n">
        <v>2</v>
      </c>
      <c r="C42" s="26" t="s">
        <v>821</v>
      </c>
      <c r="D42" s="8" t="s">
        <v>956</v>
      </c>
      <c r="E42" s="9" t="s">
        <v>957</v>
      </c>
      <c r="F42" s="8" t="s">
        <v>958</v>
      </c>
      <c r="G42" s="9" t="s">
        <v>959</v>
      </c>
      <c r="H42" s="8" t="s">
        <v>960</v>
      </c>
      <c r="I42" s="24"/>
      <c r="J42" s="24" t="n">
        <f aca="false">턴_설계!$B$5</f>
        <v>120</v>
      </c>
    </row>
    <row r="43" customFormat="false" ht="29.25" hidden="false" customHeight="true" outlineLevel="0" collapsed="false">
      <c r="A43" s="24" t="n">
        <v>4</v>
      </c>
      <c r="B43" s="24" t="n">
        <v>3</v>
      </c>
      <c r="C43" s="26" t="s">
        <v>821</v>
      </c>
      <c r="D43" s="8" t="s">
        <v>961</v>
      </c>
      <c r="E43" s="9" t="s">
        <v>962</v>
      </c>
      <c r="F43" s="8" t="s">
        <v>963</v>
      </c>
      <c r="G43" s="9" t="s">
        <v>964</v>
      </c>
      <c r="H43" s="8" t="s">
        <v>965</v>
      </c>
      <c r="I43" s="24"/>
      <c r="J43" s="24" t="n">
        <f aca="false">턴_설계!$B$5</f>
        <v>120</v>
      </c>
    </row>
    <row r="44" customFormat="false" ht="29.25" hidden="false" customHeight="true" outlineLevel="0" collapsed="false">
      <c r="A44" s="24" t="n">
        <v>4</v>
      </c>
      <c r="B44" s="24" t="n">
        <v>4</v>
      </c>
      <c r="C44" s="26" t="s">
        <v>837</v>
      </c>
      <c r="D44" s="8" t="s">
        <v>966</v>
      </c>
      <c r="E44" s="9" t="s">
        <v>967</v>
      </c>
      <c r="F44" s="9" t="s">
        <v>968</v>
      </c>
      <c r="G44" s="9" t="s">
        <v>969</v>
      </c>
      <c r="H44" s="8" t="s">
        <v>970</v>
      </c>
      <c r="I44" s="24"/>
      <c r="J44" s="24" t="n">
        <f aca="false">턴_설계!$B$5</f>
        <v>120</v>
      </c>
    </row>
    <row r="45" customFormat="false" ht="29.25" hidden="false" customHeight="true" outlineLevel="0" collapsed="false">
      <c r="A45" s="24" t="n">
        <v>4</v>
      </c>
      <c r="B45" s="24" t="n">
        <v>5</v>
      </c>
      <c r="C45" s="26" t="s">
        <v>837</v>
      </c>
      <c r="D45" s="8" t="s">
        <v>971</v>
      </c>
      <c r="E45" s="9" t="s">
        <v>972</v>
      </c>
      <c r="F45" s="8" t="s">
        <v>973</v>
      </c>
      <c r="G45" s="9" t="s">
        <v>974</v>
      </c>
      <c r="H45" s="8" t="s">
        <v>975</v>
      </c>
      <c r="I45" s="24"/>
      <c r="J45" s="24" t="n">
        <f aca="false">턴_설계!$B$5</f>
        <v>120</v>
      </c>
    </row>
    <row r="46" customFormat="false" ht="42" hidden="false" customHeight="true" outlineLevel="0" collapsed="false">
      <c r="A46" s="24" t="n">
        <v>4</v>
      </c>
      <c r="B46" s="24" t="n">
        <v>6</v>
      </c>
      <c r="C46" s="26" t="s">
        <v>848</v>
      </c>
      <c r="D46" s="8" t="s">
        <v>976</v>
      </c>
      <c r="E46" s="9" t="s">
        <v>977</v>
      </c>
      <c r="F46" s="8" t="s">
        <v>978</v>
      </c>
      <c r="G46" s="9" t="s">
        <v>979</v>
      </c>
      <c r="H46" s="8" t="s">
        <v>980</v>
      </c>
      <c r="I46" s="24"/>
      <c r="J46" s="24" t="n">
        <f aca="false">턴_설계!$B$5</f>
        <v>120</v>
      </c>
    </row>
    <row r="47" customFormat="false" ht="29.25" hidden="false" customHeight="true" outlineLevel="0" collapsed="false">
      <c r="A47" s="24" t="n">
        <v>4</v>
      </c>
      <c r="B47" s="24" t="n">
        <v>7</v>
      </c>
      <c r="C47" s="26" t="s">
        <v>854</v>
      </c>
      <c r="D47" s="8" t="s">
        <v>981</v>
      </c>
      <c r="E47" s="9" t="s">
        <v>982</v>
      </c>
      <c r="F47" s="8" t="s">
        <v>983</v>
      </c>
      <c r="G47" s="9" t="s">
        <v>984</v>
      </c>
      <c r="H47" s="8" t="s">
        <v>985</v>
      </c>
      <c r="I47" s="24" t="s">
        <v>926</v>
      </c>
      <c r="J47" s="24" t="n">
        <f aca="false">턴_설계!$B$5</f>
        <v>120</v>
      </c>
    </row>
    <row r="48" customFormat="false" ht="29.25" hidden="false" customHeight="true" outlineLevel="0" collapsed="false">
      <c r="A48" s="24" t="n">
        <v>4</v>
      </c>
      <c r="B48" s="24" t="n">
        <v>8</v>
      </c>
      <c r="C48" s="26" t="s">
        <v>854</v>
      </c>
      <c r="D48" s="8" t="s">
        <v>986</v>
      </c>
      <c r="E48" s="9" t="s">
        <v>987</v>
      </c>
      <c r="F48" s="8" t="s">
        <v>988</v>
      </c>
      <c r="G48" s="9" t="s">
        <v>989</v>
      </c>
      <c r="H48" s="8" t="s">
        <v>990</v>
      </c>
      <c r="I48" s="24"/>
      <c r="J48" s="24" t="n">
        <f aca="false">턴_설계!$B$5</f>
        <v>120</v>
      </c>
    </row>
    <row r="49" customFormat="false" ht="42" hidden="false" customHeight="true" outlineLevel="0" collapsed="false">
      <c r="A49" s="24" t="n">
        <v>4</v>
      </c>
      <c r="B49" s="24" t="n">
        <v>9</v>
      </c>
      <c r="C49" s="26" t="s">
        <v>854</v>
      </c>
      <c r="D49" s="8" t="s">
        <v>991</v>
      </c>
      <c r="E49" s="9" t="s">
        <v>992</v>
      </c>
      <c r="F49" s="8" t="s">
        <v>993</v>
      </c>
      <c r="G49" s="9" t="s">
        <v>994</v>
      </c>
      <c r="H49" s="8" t="s">
        <v>995</v>
      </c>
      <c r="I49" s="24"/>
      <c r="J49" s="24" t="n">
        <f aca="false">턴_설계!$B$5</f>
        <v>120</v>
      </c>
    </row>
    <row r="50" customFormat="false" ht="29.25" hidden="false" customHeight="true" outlineLevel="0" collapsed="false">
      <c r="A50" s="24" t="n">
        <v>4</v>
      </c>
      <c r="B50" s="24" t="n">
        <v>10</v>
      </c>
      <c r="C50" s="26" t="s">
        <v>871</v>
      </c>
      <c r="D50" s="8" t="s">
        <v>816</v>
      </c>
      <c r="E50" s="9" t="s">
        <v>817</v>
      </c>
      <c r="F50" s="8" t="s">
        <v>996</v>
      </c>
      <c r="G50" s="9" t="s">
        <v>997</v>
      </c>
      <c r="H50" s="8" t="s">
        <v>965</v>
      </c>
      <c r="I50" s="24"/>
      <c r="J50" s="24" t="n">
        <f aca="false">턴_설계!$B$5</f>
        <v>120</v>
      </c>
    </row>
    <row r="51" customFormat="false" ht="42" hidden="false" customHeight="true" outlineLevel="0" collapsed="false">
      <c r="A51" s="24" t="n">
        <v>4</v>
      </c>
      <c r="B51" s="24" t="n">
        <v>11</v>
      </c>
      <c r="C51" s="26" t="s">
        <v>871</v>
      </c>
      <c r="D51" s="8" t="s">
        <v>998</v>
      </c>
      <c r="E51" s="9" t="s">
        <v>999</v>
      </c>
      <c r="F51" s="9" t="s">
        <v>1000</v>
      </c>
      <c r="G51" s="9" t="s">
        <v>1001</v>
      </c>
      <c r="H51" s="8" t="s">
        <v>1002</v>
      </c>
      <c r="I51" s="24"/>
      <c r="J51" s="24" t="n">
        <f aca="false">턴_설계!$B$5</f>
        <v>120</v>
      </c>
    </row>
    <row r="52" customFormat="false" ht="29.25" hidden="false" customHeight="true" outlineLevel="0" collapsed="false">
      <c r="A52" s="24" t="n">
        <v>4</v>
      </c>
      <c r="B52" s="24" t="n">
        <v>12</v>
      </c>
      <c r="C52" s="26" t="s">
        <v>882</v>
      </c>
      <c r="D52" s="8" t="s">
        <v>1003</v>
      </c>
      <c r="E52" s="9" t="s">
        <v>1004</v>
      </c>
      <c r="F52" s="8" t="s">
        <v>1005</v>
      </c>
      <c r="G52" s="9" t="s">
        <v>1006</v>
      </c>
      <c r="H52" s="8" t="s">
        <v>1007</v>
      </c>
      <c r="I52" s="24"/>
      <c r="J52" s="24" t="n">
        <f aca="false">턴_설계!$B$5</f>
        <v>120</v>
      </c>
    </row>
    <row r="53" customFormat="false" ht="29.25" hidden="false" customHeight="true" outlineLevel="0" collapsed="false">
      <c r="A53" s="24" t="n">
        <v>5</v>
      </c>
      <c r="B53" s="24" t="n">
        <v>1</v>
      </c>
      <c r="C53" s="26" t="s">
        <v>821</v>
      </c>
      <c r="D53" s="8" t="s">
        <v>1008</v>
      </c>
      <c r="E53" s="9" t="s">
        <v>1009</v>
      </c>
      <c r="F53" s="8" t="s">
        <v>1010</v>
      </c>
      <c r="G53" s="9" t="s">
        <v>1011</v>
      </c>
      <c r="H53" s="8" t="s">
        <v>1012</v>
      </c>
      <c r="I53" s="24"/>
      <c r="J53" s="24" t="n">
        <f aca="false">턴_설계!$B$5</f>
        <v>120</v>
      </c>
    </row>
    <row r="54" customFormat="false" ht="29.25" hidden="false" customHeight="true" outlineLevel="0" collapsed="false">
      <c r="A54" s="24" t="n">
        <v>5</v>
      </c>
      <c r="B54" s="24" t="n">
        <v>2</v>
      </c>
      <c r="C54" s="26" t="s">
        <v>821</v>
      </c>
      <c r="D54" s="8" t="s">
        <v>1013</v>
      </c>
      <c r="E54" s="8" t="s">
        <v>1014</v>
      </c>
      <c r="F54" s="8" t="s">
        <v>1015</v>
      </c>
      <c r="G54" s="8" t="s">
        <v>1016</v>
      </c>
      <c r="H54" s="8" t="s">
        <v>1017</v>
      </c>
      <c r="I54" s="24"/>
      <c r="J54" s="24" t="n">
        <f aca="false">턴_설계!$B$5</f>
        <v>120</v>
      </c>
    </row>
    <row r="55" customFormat="false" ht="42" hidden="false" customHeight="true" outlineLevel="0" collapsed="false">
      <c r="A55" s="24" t="n">
        <v>5</v>
      </c>
      <c r="B55" s="24" t="n">
        <v>3</v>
      </c>
      <c r="C55" s="26" t="s">
        <v>821</v>
      </c>
      <c r="D55" s="8" t="s">
        <v>1018</v>
      </c>
      <c r="E55" s="8" t="s">
        <v>1019</v>
      </c>
      <c r="F55" s="9" t="s">
        <v>1020</v>
      </c>
      <c r="G55" s="9" t="s">
        <v>1021</v>
      </c>
      <c r="H55" s="8" t="s">
        <v>1022</v>
      </c>
      <c r="I55" s="24" t="s">
        <v>1023</v>
      </c>
      <c r="J55" s="24" t="n">
        <f aca="false">턴_설계!$B$5</f>
        <v>120</v>
      </c>
    </row>
    <row r="56" customFormat="false" ht="29.25" hidden="false" customHeight="true" outlineLevel="0" collapsed="false">
      <c r="A56" s="24" t="n">
        <v>5</v>
      </c>
      <c r="B56" s="24" t="n">
        <v>4</v>
      </c>
      <c r="C56" s="26" t="s">
        <v>837</v>
      </c>
      <c r="D56" s="8" t="s">
        <v>1024</v>
      </c>
      <c r="E56" s="9" t="s">
        <v>1025</v>
      </c>
      <c r="F56" s="8" t="s">
        <v>1026</v>
      </c>
      <c r="G56" s="9" t="s">
        <v>1027</v>
      </c>
      <c r="H56" s="8" t="s">
        <v>1028</v>
      </c>
      <c r="I56" s="24"/>
      <c r="J56" s="24" t="n">
        <f aca="false">턴_설계!$B$5</f>
        <v>120</v>
      </c>
    </row>
    <row r="57" customFormat="false" ht="29.25" hidden="false" customHeight="true" outlineLevel="0" collapsed="false">
      <c r="A57" s="24" t="n">
        <v>5</v>
      </c>
      <c r="B57" s="24" t="n">
        <v>5</v>
      </c>
      <c r="C57" s="26" t="s">
        <v>837</v>
      </c>
      <c r="D57" s="8" t="s">
        <v>1029</v>
      </c>
      <c r="E57" s="9" t="s">
        <v>1030</v>
      </c>
      <c r="F57" s="8" t="s">
        <v>1031</v>
      </c>
      <c r="G57" s="9" t="s">
        <v>1032</v>
      </c>
      <c r="H57" s="8" t="s">
        <v>1033</v>
      </c>
      <c r="I57" s="24"/>
      <c r="J57" s="24" t="n">
        <f aca="false">턴_설계!$B$5</f>
        <v>120</v>
      </c>
    </row>
    <row r="58" customFormat="false" ht="29.25" hidden="false" customHeight="true" outlineLevel="0" collapsed="false">
      <c r="A58" s="24" t="n">
        <v>5</v>
      </c>
      <c r="B58" s="24" t="n">
        <v>6</v>
      </c>
      <c r="C58" s="26" t="s">
        <v>848</v>
      </c>
      <c r="D58" s="8" t="s">
        <v>1034</v>
      </c>
      <c r="E58" s="8" t="s">
        <v>1035</v>
      </c>
      <c r="F58" s="9" t="s">
        <v>1036</v>
      </c>
      <c r="G58" s="9" t="s">
        <v>1037</v>
      </c>
      <c r="H58" s="8" t="s">
        <v>1038</v>
      </c>
      <c r="I58" s="24" t="s">
        <v>776</v>
      </c>
      <c r="J58" s="24" t="n">
        <f aca="false">턴_설계!$B$5</f>
        <v>120</v>
      </c>
    </row>
    <row r="59" customFormat="false" ht="29.25" hidden="false" customHeight="true" outlineLevel="0" collapsed="false">
      <c r="A59" s="24" t="n">
        <v>5</v>
      </c>
      <c r="B59" s="24" t="n">
        <v>7</v>
      </c>
      <c r="C59" s="26" t="s">
        <v>854</v>
      </c>
      <c r="D59" s="8" t="s">
        <v>1039</v>
      </c>
      <c r="E59" s="9" t="s">
        <v>1040</v>
      </c>
      <c r="F59" s="9" t="s">
        <v>1041</v>
      </c>
      <c r="G59" s="9" t="s">
        <v>1042</v>
      </c>
      <c r="H59" s="8" t="s">
        <v>1043</v>
      </c>
      <c r="I59" s="24" t="s">
        <v>776</v>
      </c>
      <c r="J59" s="24" t="n">
        <f aca="false">턴_설계!$B$5</f>
        <v>120</v>
      </c>
    </row>
    <row r="60" customFormat="false" ht="29.25" hidden="false" customHeight="true" outlineLevel="0" collapsed="false">
      <c r="A60" s="24" t="n">
        <v>5</v>
      </c>
      <c r="B60" s="24" t="n">
        <v>8</v>
      </c>
      <c r="C60" s="26" t="s">
        <v>854</v>
      </c>
      <c r="D60" s="8" t="s">
        <v>1044</v>
      </c>
      <c r="E60" s="9" t="s">
        <v>1045</v>
      </c>
      <c r="F60" s="8" t="s">
        <v>1046</v>
      </c>
      <c r="G60" s="9" t="s">
        <v>1047</v>
      </c>
      <c r="H60" s="8" t="s">
        <v>1048</v>
      </c>
      <c r="I60" s="24" t="s">
        <v>776</v>
      </c>
      <c r="J60" s="24" t="n">
        <f aca="false">턴_설계!$B$5</f>
        <v>120</v>
      </c>
    </row>
    <row r="61" customFormat="false" ht="29.25" hidden="false" customHeight="true" outlineLevel="0" collapsed="false">
      <c r="A61" s="24" t="n">
        <v>5</v>
      </c>
      <c r="B61" s="24" t="n">
        <v>9</v>
      </c>
      <c r="C61" s="26" t="s">
        <v>854</v>
      </c>
      <c r="D61" s="8" t="s">
        <v>1049</v>
      </c>
      <c r="E61" s="9" t="s">
        <v>1050</v>
      </c>
      <c r="F61" s="8" t="s">
        <v>1051</v>
      </c>
      <c r="G61" s="9" t="s">
        <v>1052</v>
      </c>
      <c r="H61" s="8" t="s">
        <v>1012</v>
      </c>
      <c r="I61" s="24"/>
      <c r="J61" s="24" t="n">
        <f aca="false">턴_설계!$B$5</f>
        <v>120</v>
      </c>
    </row>
    <row r="62" customFormat="false" ht="29.25" hidden="false" customHeight="true" outlineLevel="0" collapsed="false">
      <c r="A62" s="24" t="n">
        <v>5</v>
      </c>
      <c r="B62" s="24" t="n">
        <v>10</v>
      </c>
      <c r="C62" s="26" t="s">
        <v>871</v>
      </c>
      <c r="D62" s="8" t="s">
        <v>1053</v>
      </c>
      <c r="E62" s="9" t="s">
        <v>1054</v>
      </c>
      <c r="F62" s="9" t="s">
        <v>1055</v>
      </c>
      <c r="G62" s="9" t="s">
        <v>1056</v>
      </c>
      <c r="H62" s="8" t="s">
        <v>1057</v>
      </c>
      <c r="I62" s="24" t="s">
        <v>776</v>
      </c>
      <c r="J62" s="24" t="n">
        <f aca="false">턴_설계!$B$5</f>
        <v>120</v>
      </c>
    </row>
    <row r="63" customFormat="false" ht="16.5" hidden="false" customHeight="true" outlineLevel="0" collapsed="false">
      <c r="A63" s="24" t="n">
        <v>5</v>
      </c>
      <c r="B63" s="24" t="n">
        <v>11</v>
      </c>
      <c r="C63" s="26" t="s">
        <v>871</v>
      </c>
      <c r="D63" s="8" t="s">
        <v>1058</v>
      </c>
      <c r="E63" s="9" t="s">
        <v>1059</v>
      </c>
      <c r="F63" s="9" t="s">
        <v>1060</v>
      </c>
      <c r="G63" s="9" t="s">
        <v>1061</v>
      </c>
      <c r="H63" s="8" t="s">
        <v>1017</v>
      </c>
      <c r="I63" s="24"/>
      <c r="J63" s="24" t="n">
        <f aca="false">턴_설계!$B$5</f>
        <v>120</v>
      </c>
    </row>
    <row r="64" customFormat="false" ht="29.25" hidden="false" customHeight="true" outlineLevel="0" collapsed="false">
      <c r="A64" s="24" t="n">
        <v>5</v>
      </c>
      <c r="B64" s="24" t="n">
        <v>12</v>
      </c>
      <c r="C64" s="26" t="s">
        <v>882</v>
      </c>
      <c r="D64" s="8" t="s">
        <v>1062</v>
      </c>
      <c r="E64" s="9" t="s">
        <v>1063</v>
      </c>
      <c r="F64" s="8" t="s">
        <v>1064</v>
      </c>
      <c r="G64" s="9" t="s">
        <v>1065</v>
      </c>
      <c r="H64" s="8" t="s">
        <v>1066</v>
      </c>
      <c r="I64" s="24"/>
      <c r="J64" s="24" t="n">
        <f aca="false">턴_설계!$B$5</f>
        <v>120</v>
      </c>
    </row>
    <row r="65" customFormat="false" ht="29.25" hidden="false" customHeight="true" outlineLevel="0" collapsed="false">
      <c r="A65" s="24" t="n">
        <v>6</v>
      </c>
      <c r="B65" s="24" t="n">
        <v>1</v>
      </c>
      <c r="C65" s="26" t="s">
        <v>821</v>
      </c>
      <c r="D65" s="8" t="s">
        <v>1067</v>
      </c>
      <c r="E65" s="9" t="s">
        <v>1068</v>
      </c>
      <c r="F65" s="9" t="s">
        <v>1069</v>
      </c>
      <c r="G65" s="9" t="s">
        <v>1070</v>
      </c>
      <c r="H65" s="8" t="s">
        <v>1071</v>
      </c>
      <c r="I65" s="24" t="s">
        <v>752</v>
      </c>
      <c r="J65" s="24" t="n">
        <f aca="false">턴_설계!$B$5</f>
        <v>120</v>
      </c>
    </row>
    <row r="66" customFormat="false" ht="29.25" hidden="false" customHeight="true" outlineLevel="0" collapsed="false">
      <c r="A66" s="24" t="n">
        <v>6</v>
      </c>
      <c r="B66" s="24" t="n">
        <v>2</v>
      </c>
      <c r="C66" s="26" t="s">
        <v>821</v>
      </c>
      <c r="D66" s="8" t="s">
        <v>1072</v>
      </c>
      <c r="E66" s="9" t="s">
        <v>1073</v>
      </c>
      <c r="F66" s="9" t="s">
        <v>1074</v>
      </c>
      <c r="G66" s="9" t="s">
        <v>1075</v>
      </c>
      <c r="H66" s="8" t="s">
        <v>1076</v>
      </c>
      <c r="I66" s="24"/>
      <c r="J66" s="24" t="n">
        <f aca="false">턴_설계!$B$5</f>
        <v>120</v>
      </c>
    </row>
    <row r="67" customFormat="false" ht="29.25" hidden="false" customHeight="true" outlineLevel="0" collapsed="false">
      <c r="A67" s="24" t="n">
        <v>6</v>
      </c>
      <c r="B67" s="24" t="n">
        <v>3</v>
      </c>
      <c r="C67" s="26" t="s">
        <v>821</v>
      </c>
      <c r="D67" s="8" t="s">
        <v>1077</v>
      </c>
      <c r="E67" s="8" t="s">
        <v>1078</v>
      </c>
      <c r="F67" s="9" t="s">
        <v>1079</v>
      </c>
      <c r="G67" s="9" t="s">
        <v>1080</v>
      </c>
      <c r="H67" s="8" t="s">
        <v>1081</v>
      </c>
      <c r="I67" s="24" t="s">
        <v>752</v>
      </c>
      <c r="J67" s="24" t="n">
        <f aca="false">턴_설계!$B$5</f>
        <v>120</v>
      </c>
    </row>
    <row r="68" customFormat="false" ht="29.25" hidden="false" customHeight="true" outlineLevel="0" collapsed="false">
      <c r="A68" s="24" t="n">
        <v>6</v>
      </c>
      <c r="B68" s="24" t="n">
        <v>4</v>
      </c>
      <c r="C68" s="26" t="s">
        <v>837</v>
      </c>
      <c r="D68" s="8" t="s">
        <v>1082</v>
      </c>
      <c r="E68" s="9" t="s">
        <v>1083</v>
      </c>
      <c r="F68" s="9" t="s">
        <v>1084</v>
      </c>
      <c r="G68" s="9" t="s">
        <v>1085</v>
      </c>
      <c r="H68" s="8" t="s">
        <v>1086</v>
      </c>
      <c r="I68" s="24"/>
      <c r="J68" s="24" t="n">
        <f aca="false">턴_설계!$B$5</f>
        <v>120</v>
      </c>
    </row>
    <row r="69" customFormat="false" ht="29.25" hidden="false" customHeight="true" outlineLevel="0" collapsed="false">
      <c r="A69" s="24" t="n">
        <v>6</v>
      </c>
      <c r="B69" s="24" t="n">
        <v>5</v>
      </c>
      <c r="C69" s="26" t="s">
        <v>837</v>
      </c>
      <c r="D69" s="8" t="s">
        <v>1087</v>
      </c>
      <c r="E69" s="8" t="s">
        <v>1088</v>
      </c>
      <c r="F69" s="8" t="s">
        <v>1089</v>
      </c>
      <c r="G69" s="9" t="s">
        <v>1090</v>
      </c>
      <c r="H69" s="8" t="s">
        <v>1091</v>
      </c>
      <c r="I69" s="24"/>
      <c r="J69" s="24" t="n">
        <f aca="false">턴_설계!$B$5</f>
        <v>120</v>
      </c>
    </row>
    <row r="70" customFormat="false" ht="42" hidden="false" customHeight="true" outlineLevel="0" collapsed="false">
      <c r="A70" s="24" t="n">
        <v>6</v>
      </c>
      <c r="B70" s="24" t="n">
        <v>6</v>
      </c>
      <c r="C70" s="26" t="s">
        <v>848</v>
      </c>
      <c r="D70" s="8" t="s">
        <v>1092</v>
      </c>
      <c r="E70" s="9" t="s">
        <v>1093</v>
      </c>
      <c r="F70" s="8" t="s">
        <v>1094</v>
      </c>
      <c r="G70" s="9" t="s">
        <v>1095</v>
      </c>
      <c r="H70" s="8" t="s">
        <v>1096</v>
      </c>
      <c r="I70" s="24" t="s">
        <v>752</v>
      </c>
      <c r="J70" s="24" t="n">
        <f aca="false">턴_설계!$B$5</f>
        <v>120</v>
      </c>
    </row>
    <row r="71" customFormat="false" ht="29.25" hidden="false" customHeight="true" outlineLevel="0" collapsed="false">
      <c r="A71" s="24" t="n">
        <v>6</v>
      </c>
      <c r="B71" s="24" t="n">
        <v>7</v>
      </c>
      <c r="C71" s="26" t="s">
        <v>854</v>
      </c>
      <c r="D71" s="8" t="s">
        <v>1097</v>
      </c>
      <c r="E71" s="9" t="s">
        <v>1098</v>
      </c>
      <c r="F71" s="9" t="s">
        <v>1099</v>
      </c>
      <c r="G71" s="9" t="s">
        <v>1100</v>
      </c>
      <c r="H71" s="8" t="s">
        <v>1076</v>
      </c>
      <c r="I71" s="24"/>
      <c r="J71" s="24" t="n">
        <f aca="false">턴_설계!$B$5</f>
        <v>120</v>
      </c>
    </row>
    <row r="72" customFormat="false" ht="42" hidden="false" customHeight="true" outlineLevel="0" collapsed="false">
      <c r="A72" s="24" t="n">
        <v>6</v>
      </c>
      <c r="B72" s="24" t="n">
        <v>8</v>
      </c>
      <c r="C72" s="26" t="s">
        <v>854</v>
      </c>
      <c r="D72" s="8" t="s">
        <v>1101</v>
      </c>
      <c r="E72" s="9" t="s">
        <v>1102</v>
      </c>
      <c r="F72" s="9" t="s">
        <v>1103</v>
      </c>
      <c r="G72" s="9" t="s">
        <v>1104</v>
      </c>
      <c r="H72" s="8" t="s">
        <v>1105</v>
      </c>
      <c r="I72" s="24" t="s">
        <v>1106</v>
      </c>
      <c r="J72" s="24" t="n">
        <f aca="false">턴_설계!$B$5</f>
        <v>120</v>
      </c>
    </row>
    <row r="73" customFormat="false" ht="42" hidden="false" customHeight="true" outlineLevel="0" collapsed="false">
      <c r="A73" s="24" t="n">
        <v>6</v>
      </c>
      <c r="B73" s="24" t="n">
        <v>9</v>
      </c>
      <c r="C73" s="26" t="s">
        <v>854</v>
      </c>
      <c r="D73" s="8" t="s">
        <v>1107</v>
      </c>
      <c r="E73" s="9" t="s">
        <v>1108</v>
      </c>
      <c r="F73" s="9" t="s">
        <v>1109</v>
      </c>
      <c r="G73" s="9" t="s">
        <v>1110</v>
      </c>
      <c r="H73" s="8" t="s">
        <v>1111</v>
      </c>
      <c r="I73" s="24" t="s">
        <v>1112</v>
      </c>
      <c r="J73" s="24" t="n">
        <f aca="false">턴_설계!$B$5</f>
        <v>120</v>
      </c>
    </row>
    <row r="74" customFormat="false" ht="29.25" hidden="false" customHeight="true" outlineLevel="0" collapsed="false">
      <c r="A74" s="24" t="n">
        <v>6</v>
      </c>
      <c r="B74" s="24" t="n">
        <v>10</v>
      </c>
      <c r="C74" s="26" t="s">
        <v>871</v>
      </c>
      <c r="D74" s="8" t="s">
        <v>1113</v>
      </c>
      <c r="E74" s="9" t="s">
        <v>1114</v>
      </c>
      <c r="F74" s="9" t="s">
        <v>1115</v>
      </c>
      <c r="G74" s="9" t="s">
        <v>1116</v>
      </c>
      <c r="H74" s="8" t="s">
        <v>1117</v>
      </c>
      <c r="I74" s="24" t="s">
        <v>752</v>
      </c>
      <c r="J74" s="24" t="n">
        <f aca="false">턴_설계!$B$5</f>
        <v>120</v>
      </c>
    </row>
    <row r="75" customFormat="false" ht="42" hidden="false" customHeight="true" outlineLevel="0" collapsed="false">
      <c r="A75" s="24" t="n">
        <v>6</v>
      </c>
      <c r="B75" s="24" t="n">
        <v>11</v>
      </c>
      <c r="C75" s="26" t="s">
        <v>871</v>
      </c>
      <c r="D75" s="8" t="s">
        <v>1118</v>
      </c>
      <c r="E75" s="9" t="s">
        <v>1119</v>
      </c>
      <c r="F75" s="9" t="s">
        <v>1120</v>
      </c>
      <c r="G75" s="9" t="s">
        <v>1121</v>
      </c>
      <c r="H75" s="9" t="s">
        <v>1122</v>
      </c>
      <c r="I75" s="24" t="s">
        <v>776</v>
      </c>
      <c r="J75" s="24" t="n">
        <f aca="false">턴_설계!$B$5</f>
        <v>120</v>
      </c>
    </row>
    <row r="76" customFormat="false" ht="29.25" hidden="false" customHeight="true" outlineLevel="0" collapsed="false">
      <c r="A76" s="24" t="n">
        <v>6</v>
      </c>
      <c r="B76" s="24" t="n">
        <v>12</v>
      </c>
      <c r="C76" s="26" t="s">
        <v>882</v>
      </c>
      <c r="D76" s="8" t="s">
        <v>1123</v>
      </c>
      <c r="E76" s="9" t="s">
        <v>1124</v>
      </c>
      <c r="F76" s="9" t="s">
        <v>1125</v>
      </c>
      <c r="G76" s="9" t="s">
        <v>1126</v>
      </c>
      <c r="H76" s="9" t="s">
        <v>1122</v>
      </c>
      <c r="I76" s="24"/>
      <c r="J76" s="24" t="n">
        <f aca="false">턴_설계!$B$5</f>
        <v>120</v>
      </c>
    </row>
    <row r="77" customFormat="false" ht="42" hidden="false" customHeight="true" outlineLevel="0" collapsed="false">
      <c r="A77" s="24" t="n">
        <v>7</v>
      </c>
      <c r="B77" s="24" t="n">
        <v>1</v>
      </c>
      <c r="C77" s="26" t="s">
        <v>821</v>
      </c>
      <c r="D77" s="8" t="s">
        <v>1127</v>
      </c>
      <c r="E77" s="8" t="s">
        <v>1128</v>
      </c>
      <c r="F77" s="9" t="s">
        <v>1129</v>
      </c>
      <c r="G77" s="9" t="s">
        <v>1130</v>
      </c>
      <c r="H77" s="9" t="s">
        <v>1122</v>
      </c>
      <c r="I77" s="24"/>
      <c r="J77" s="24" t="n">
        <f aca="false">턴_설계!$B$5</f>
        <v>120</v>
      </c>
    </row>
    <row r="78" customFormat="false" ht="29.25" hidden="false" customHeight="true" outlineLevel="0" collapsed="false">
      <c r="A78" s="24" t="n">
        <v>7</v>
      </c>
      <c r="B78" s="24" t="n">
        <v>2</v>
      </c>
      <c r="C78" s="26" t="s">
        <v>821</v>
      </c>
      <c r="D78" s="8" t="s">
        <v>1131</v>
      </c>
      <c r="E78" s="9" t="s">
        <v>1132</v>
      </c>
      <c r="F78" s="9" t="s">
        <v>1133</v>
      </c>
      <c r="G78" s="9" t="s">
        <v>1134</v>
      </c>
      <c r="H78" s="8" t="s">
        <v>1135</v>
      </c>
      <c r="I78" s="24" t="s">
        <v>1136</v>
      </c>
      <c r="J78" s="24" t="n">
        <f aca="false">턴_설계!$B$5</f>
        <v>120</v>
      </c>
    </row>
    <row r="79" customFormat="false" ht="42" hidden="false" customHeight="true" outlineLevel="0" collapsed="false">
      <c r="A79" s="24" t="n">
        <v>7</v>
      </c>
      <c r="B79" s="24" t="n">
        <v>3</v>
      </c>
      <c r="C79" s="26" t="s">
        <v>821</v>
      </c>
      <c r="D79" s="8" t="s">
        <v>1137</v>
      </c>
      <c r="E79" s="9" t="s">
        <v>1138</v>
      </c>
      <c r="F79" s="9" t="s">
        <v>1139</v>
      </c>
      <c r="G79" s="9" t="s">
        <v>1140</v>
      </c>
      <c r="H79" s="8" t="s">
        <v>1141</v>
      </c>
      <c r="I79" s="24" t="s">
        <v>1142</v>
      </c>
      <c r="J79" s="24" t="n">
        <f aca="false">턴_설계!$B$5</f>
        <v>120</v>
      </c>
    </row>
    <row r="80" customFormat="false" ht="42" hidden="false" customHeight="true" outlineLevel="0" collapsed="false">
      <c r="A80" s="24" t="n">
        <v>7</v>
      </c>
      <c r="B80" s="24" t="n">
        <v>4</v>
      </c>
      <c r="C80" s="26" t="s">
        <v>837</v>
      </c>
      <c r="D80" s="8" t="s">
        <v>1143</v>
      </c>
      <c r="E80" s="9" t="s">
        <v>1144</v>
      </c>
      <c r="F80" s="8" t="s">
        <v>1145</v>
      </c>
      <c r="G80" s="8" t="s">
        <v>1146</v>
      </c>
      <c r="H80" s="8" t="s">
        <v>1147</v>
      </c>
      <c r="I80" s="24" t="s">
        <v>789</v>
      </c>
      <c r="J80" s="24" t="n">
        <f aca="false">턴_설계!$B$5</f>
        <v>120</v>
      </c>
    </row>
    <row r="81" customFormat="false" ht="29.25" hidden="false" customHeight="true" outlineLevel="0" collapsed="false">
      <c r="A81" s="24" t="n">
        <v>7</v>
      </c>
      <c r="B81" s="24" t="n">
        <v>5</v>
      </c>
      <c r="C81" s="26" t="s">
        <v>837</v>
      </c>
      <c r="D81" s="8" t="s">
        <v>1148</v>
      </c>
      <c r="E81" s="8" t="s">
        <v>1149</v>
      </c>
      <c r="F81" s="9" t="s">
        <v>1150</v>
      </c>
      <c r="G81" s="9" t="s">
        <v>1151</v>
      </c>
      <c r="H81" s="8" t="s">
        <v>1152</v>
      </c>
      <c r="I81" s="24" t="s">
        <v>926</v>
      </c>
      <c r="J81" s="24" t="n">
        <f aca="false">턴_설계!$B$5</f>
        <v>120</v>
      </c>
    </row>
    <row r="82" customFormat="false" ht="29.25" hidden="false" customHeight="true" outlineLevel="0" collapsed="false">
      <c r="A82" s="24" t="n">
        <v>7</v>
      </c>
      <c r="B82" s="24" t="n">
        <v>6</v>
      </c>
      <c r="C82" s="26" t="s">
        <v>848</v>
      </c>
      <c r="D82" s="8" t="s">
        <v>1153</v>
      </c>
      <c r="E82" s="9" t="s">
        <v>1154</v>
      </c>
      <c r="F82" s="8" t="s">
        <v>1155</v>
      </c>
      <c r="G82" s="8" t="s">
        <v>1156</v>
      </c>
      <c r="H82" s="8" t="s">
        <v>1157</v>
      </c>
      <c r="I82" s="24" t="s">
        <v>926</v>
      </c>
      <c r="J82" s="24" t="n">
        <f aca="false">턴_설계!$B$5</f>
        <v>120</v>
      </c>
    </row>
    <row r="83" customFormat="false" ht="29.25" hidden="false" customHeight="true" outlineLevel="0" collapsed="false">
      <c r="A83" s="24" t="n">
        <v>7</v>
      </c>
      <c r="B83" s="24" t="n">
        <v>7</v>
      </c>
      <c r="C83" s="26" t="s">
        <v>854</v>
      </c>
      <c r="D83" s="8" t="s">
        <v>1158</v>
      </c>
      <c r="E83" s="9" t="s">
        <v>1159</v>
      </c>
      <c r="F83" s="9" t="s">
        <v>1160</v>
      </c>
      <c r="G83" s="9" t="s">
        <v>1161</v>
      </c>
      <c r="H83" s="8" t="s">
        <v>1162</v>
      </c>
      <c r="I83" s="24" t="s">
        <v>926</v>
      </c>
      <c r="J83" s="24" t="n">
        <f aca="false">턴_설계!$B$5</f>
        <v>120</v>
      </c>
    </row>
    <row r="84" customFormat="false" ht="29.25" hidden="false" customHeight="true" outlineLevel="0" collapsed="false">
      <c r="A84" s="24" t="n">
        <v>7</v>
      </c>
      <c r="B84" s="24" t="n">
        <v>8</v>
      </c>
      <c r="C84" s="26" t="s">
        <v>854</v>
      </c>
      <c r="D84" s="8" t="s">
        <v>1163</v>
      </c>
      <c r="E84" s="9" t="s">
        <v>1164</v>
      </c>
      <c r="F84" s="8" t="s">
        <v>1165</v>
      </c>
      <c r="G84" s="9" t="s">
        <v>1166</v>
      </c>
      <c r="H84" s="8" t="s">
        <v>1167</v>
      </c>
      <c r="I84" s="24" t="s">
        <v>926</v>
      </c>
      <c r="J84" s="24" t="n">
        <f aca="false">턴_설계!$B$5</f>
        <v>120</v>
      </c>
    </row>
    <row r="85" customFormat="false" ht="29.25" hidden="false" customHeight="true" outlineLevel="0" collapsed="false">
      <c r="A85" s="24" t="n">
        <v>7</v>
      </c>
      <c r="B85" s="24" t="n">
        <v>9</v>
      </c>
      <c r="C85" s="26" t="s">
        <v>854</v>
      </c>
      <c r="D85" s="8" t="s">
        <v>1168</v>
      </c>
      <c r="E85" s="9" t="s">
        <v>1169</v>
      </c>
      <c r="F85" s="9" t="s">
        <v>1170</v>
      </c>
      <c r="G85" s="9" t="s">
        <v>1171</v>
      </c>
      <c r="H85" s="8" t="s">
        <v>1172</v>
      </c>
      <c r="I85" s="24"/>
      <c r="J85" s="24" t="n">
        <f aca="false">턴_설계!$B$5</f>
        <v>120</v>
      </c>
    </row>
    <row r="86" customFormat="false" ht="29.25" hidden="false" customHeight="true" outlineLevel="0" collapsed="false">
      <c r="A86" s="24" t="n">
        <v>7</v>
      </c>
      <c r="B86" s="24" t="n">
        <v>10</v>
      </c>
      <c r="C86" s="26" t="s">
        <v>871</v>
      </c>
      <c r="D86" s="8" t="s">
        <v>1173</v>
      </c>
      <c r="E86" s="9" t="s">
        <v>1174</v>
      </c>
      <c r="F86" s="9" t="s">
        <v>1175</v>
      </c>
      <c r="G86" s="27" t="s">
        <v>1176</v>
      </c>
      <c r="H86" s="8" t="s">
        <v>1177</v>
      </c>
      <c r="I86" s="24" t="s">
        <v>926</v>
      </c>
      <c r="J86" s="24" t="n">
        <f aca="false">턴_설계!$B$5</f>
        <v>120</v>
      </c>
    </row>
    <row r="87" customFormat="false" ht="29.25" hidden="false" customHeight="true" outlineLevel="0" collapsed="false">
      <c r="A87" s="24" t="n">
        <v>7</v>
      </c>
      <c r="B87" s="24" t="n">
        <v>11</v>
      </c>
      <c r="C87" s="26" t="s">
        <v>871</v>
      </c>
      <c r="D87" s="8" t="s">
        <v>1178</v>
      </c>
      <c r="E87" s="9" t="s">
        <v>1179</v>
      </c>
      <c r="F87" s="8" t="s">
        <v>1180</v>
      </c>
      <c r="G87" s="9" t="s">
        <v>1181</v>
      </c>
      <c r="H87" s="8" t="s">
        <v>1182</v>
      </c>
      <c r="I87" s="24" t="s">
        <v>1183</v>
      </c>
      <c r="J87" s="24" t="n">
        <f aca="false">턴_설계!$B$5</f>
        <v>120</v>
      </c>
    </row>
    <row r="88" customFormat="false" ht="29.25" hidden="false" customHeight="true" outlineLevel="0" collapsed="false">
      <c r="A88" s="24" t="n">
        <v>7</v>
      </c>
      <c r="B88" s="24" t="n">
        <v>12</v>
      </c>
      <c r="C88" s="26" t="s">
        <v>882</v>
      </c>
      <c r="D88" s="8" t="s">
        <v>1184</v>
      </c>
      <c r="E88" s="9" t="s">
        <v>1185</v>
      </c>
      <c r="F88" s="8" t="s">
        <v>1186</v>
      </c>
      <c r="G88" s="9" t="s">
        <v>1187</v>
      </c>
      <c r="H88" s="9" t="s">
        <v>1122</v>
      </c>
      <c r="I88" s="24" t="s">
        <v>1188</v>
      </c>
      <c r="J88" s="24" t="n">
        <f aca="false">턴_설계!$B$5</f>
        <v>120</v>
      </c>
    </row>
    <row r="89" customFormat="false" ht="29.25" hidden="false" customHeight="true" outlineLevel="0" collapsed="false">
      <c r="A89" s="24" t="n">
        <v>8</v>
      </c>
      <c r="B89" s="24" t="n">
        <v>1</v>
      </c>
      <c r="C89" s="26" t="s">
        <v>821</v>
      </c>
      <c r="D89" s="8" t="s">
        <v>1189</v>
      </c>
      <c r="E89" s="9" t="s">
        <v>1190</v>
      </c>
      <c r="F89" s="9" t="s">
        <v>1191</v>
      </c>
      <c r="G89" s="9" t="s">
        <v>1192</v>
      </c>
      <c r="H89" s="8" t="s">
        <v>1193</v>
      </c>
      <c r="I89" s="24" t="s">
        <v>1106</v>
      </c>
      <c r="J89" s="24" t="n">
        <f aca="false">턴_설계!$B$5</f>
        <v>120</v>
      </c>
    </row>
    <row r="90" customFormat="false" ht="29.25" hidden="false" customHeight="true" outlineLevel="0" collapsed="false">
      <c r="A90" s="24" t="n">
        <v>8</v>
      </c>
      <c r="B90" s="24" t="n">
        <v>2</v>
      </c>
      <c r="C90" s="26" t="s">
        <v>821</v>
      </c>
      <c r="D90" s="8" t="s">
        <v>1194</v>
      </c>
      <c r="E90" s="9" t="s">
        <v>1195</v>
      </c>
      <c r="F90" s="8" t="s">
        <v>1196</v>
      </c>
      <c r="G90" s="9" t="s">
        <v>1197</v>
      </c>
      <c r="H90" s="8" t="s">
        <v>1198</v>
      </c>
      <c r="I90" s="24"/>
      <c r="J90" s="24" t="n">
        <f aca="false">턴_설계!$B$5</f>
        <v>120</v>
      </c>
    </row>
    <row r="91" customFormat="false" ht="16.5" hidden="false" customHeight="true" outlineLevel="0" collapsed="false">
      <c r="A91" s="24" t="n">
        <v>8</v>
      </c>
      <c r="B91" s="24" t="n">
        <v>3</v>
      </c>
      <c r="C91" s="26" t="s">
        <v>821</v>
      </c>
      <c r="D91" s="8" t="s">
        <v>1199</v>
      </c>
      <c r="E91" s="8" t="s">
        <v>1200</v>
      </c>
      <c r="F91" s="8" t="s">
        <v>1201</v>
      </c>
      <c r="G91" s="9" t="s">
        <v>1202</v>
      </c>
      <c r="H91" s="8" t="s">
        <v>1203</v>
      </c>
      <c r="I91" s="24" t="s">
        <v>1204</v>
      </c>
      <c r="J91" s="24" t="n">
        <f aca="false">턴_설계!$B$5</f>
        <v>120</v>
      </c>
    </row>
    <row r="92" customFormat="false" ht="29.25" hidden="false" customHeight="true" outlineLevel="0" collapsed="false">
      <c r="A92" s="24" t="n">
        <v>8</v>
      </c>
      <c r="B92" s="24" t="n">
        <v>4</v>
      </c>
      <c r="C92" s="26" t="s">
        <v>1205</v>
      </c>
      <c r="D92" s="8" t="s">
        <v>1206</v>
      </c>
      <c r="E92" s="9" t="s">
        <v>1207</v>
      </c>
      <c r="F92" s="9" t="s">
        <v>1208</v>
      </c>
      <c r="G92" s="9" t="s">
        <v>1209</v>
      </c>
      <c r="H92" s="8" t="s">
        <v>1210</v>
      </c>
      <c r="I92" s="24"/>
      <c r="J92" s="24" t="n">
        <f aca="false">턴_설계!$B$5</f>
        <v>120</v>
      </c>
    </row>
    <row r="93" customFormat="false" ht="29.25" hidden="false" customHeight="true" outlineLevel="0" collapsed="false">
      <c r="A93" s="24" t="n">
        <v>8</v>
      </c>
      <c r="B93" s="24" t="n">
        <v>5</v>
      </c>
      <c r="C93" s="26" t="s">
        <v>848</v>
      </c>
      <c r="D93" s="8" t="s">
        <v>1211</v>
      </c>
      <c r="E93" s="9" t="s">
        <v>1212</v>
      </c>
      <c r="F93" s="9" t="s">
        <v>1213</v>
      </c>
      <c r="G93" s="9" t="s">
        <v>1214</v>
      </c>
      <c r="H93" s="8" t="s">
        <v>1215</v>
      </c>
      <c r="I93" s="24"/>
      <c r="J93" s="24" t="n">
        <f aca="false">턴_설계!$B$5</f>
        <v>120</v>
      </c>
    </row>
    <row r="94" customFormat="false" ht="29.25" hidden="false" customHeight="true" outlineLevel="0" collapsed="false">
      <c r="A94" s="24" t="n">
        <v>8</v>
      </c>
      <c r="B94" s="24" t="n">
        <v>6</v>
      </c>
      <c r="C94" s="26" t="s">
        <v>854</v>
      </c>
      <c r="D94" s="8" t="s">
        <v>1216</v>
      </c>
      <c r="E94" s="9" t="s">
        <v>1217</v>
      </c>
      <c r="F94" s="9" t="s">
        <v>1218</v>
      </c>
      <c r="G94" s="9" t="s">
        <v>1219</v>
      </c>
      <c r="H94" s="8" t="s">
        <v>1220</v>
      </c>
      <c r="I94" s="24" t="s">
        <v>1188</v>
      </c>
      <c r="J94" s="24" t="n">
        <f aca="false">턴_설계!$B$5</f>
        <v>120</v>
      </c>
    </row>
    <row r="95" customFormat="false" ht="29.25" hidden="false" customHeight="true" outlineLevel="0" collapsed="false">
      <c r="A95" s="24" t="n">
        <v>8</v>
      </c>
      <c r="B95" s="24" t="n">
        <v>7</v>
      </c>
      <c r="C95" s="26" t="s">
        <v>854</v>
      </c>
      <c r="D95" s="8" t="s">
        <v>1221</v>
      </c>
      <c r="E95" s="9" t="s">
        <v>1222</v>
      </c>
      <c r="F95" s="9" t="s">
        <v>1223</v>
      </c>
      <c r="G95" s="9" t="s">
        <v>1224</v>
      </c>
      <c r="H95" s="8" t="s">
        <v>970</v>
      </c>
      <c r="I95" s="24"/>
      <c r="J95" s="24" t="n">
        <f aca="false">턴_설계!$B$5</f>
        <v>120</v>
      </c>
    </row>
    <row r="96" customFormat="false" ht="29.25" hidden="false" customHeight="true" outlineLevel="0" collapsed="false">
      <c r="A96" s="24" t="n">
        <v>8</v>
      </c>
      <c r="B96" s="24" t="n">
        <v>8</v>
      </c>
      <c r="C96" s="26" t="s">
        <v>854</v>
      </c>
      <c r="D96" s="8" t="s">
        <v>1225</v>
      </c>
      <c r="E96" s="9" t="s">
        <v>1226</v>
      </c>
      <c r="F96" s="8" t="s">
        <v>1227</v>
      </c>
      <c r="G96" s="9" t="s">
        <v>1228</v>
      </c>
      <c r="H96" s="8" t="s">
        <v>1229</v>
      </c>
      <c r="I96" s="24" t="s">
        <v>1230</v>
      </c>
      <c r="J96" s="24" t="n">
        <f aca="false">턴_설계!$B$5</f>
        <v>120</v>
      </c>
    </row>
    <row r="97" customFormat="false" ht="29.25" hidden="false" customHeight="true" outlineLevel="0" collapsed="false">
      <c r="A97" s="24" t="n">
        <v>8</v>
      </c>
      <c r="B97" s="24" t="n">
        <v>9</v>
      </c>
      <c r="C97" s="26" t="s">
        <v>854</v>
      </c>
      <c r="D97" s="8" t="s">
        <v>1231</v>
      </c>
      <c r="E97" s="9" t="s">
        <v>1232</v>
      </c>
      <c r="F97" s="8" t="s">
        <v>1233</v>
      </c>
      <c r="G97" s="9" t="s">
        <v>1234</v>
      </c>
      <c r="H97" s="8" t="s">
        <v>1235</v>
      </c>
      <c r="I97" s="24" t="s">
        <v>1236</v>
      </c>
      <c r="J97" s="24" t="n">
        <f aca="false">턴_설계!$B$5</f>
        <v>120</v>
      </c>
    </row>
    <row r="98" customFormat="false" ht="16.5" hidden="false" customHeight="true" outlineLevel="0" collapsed="false">
      <c r="A98" s="24" t="n">
        <v>8</v>
      </c>
      <c r="B98" s="24" t="n">
        <v>10</v>
      </c>
      <c r="C98" s="26" t="s">
        <v>871</v>
      </c>
      <c r="D98" s="8" t="s">
        <v>1237</v>
      </c>
      <c r="E98" s="9" t="s">
        <v>1238</v>
      </c>
      <c r="F98" s="9" t="s">
        <v>1239</v>
      </c>
      <c r="G98" s="9" t="s">
        <v>1240</v>
      </c>
      <c r="H98" s="8" t="s">
        <v>1241</v>
      </c>
      <c r="I98" s="24"/>
      <c r="J98" s="24" t="n">
        <f aca="false">턴_설계!$B$5</f>
        <v>120</v>
      </c>
    </row>
    <row r="99" customFormat="false" ht="29.25" hidden="false" customHeight="true" outlineLevel="0" collapsed="false">
      <c r="A99" s="24" t="n">
        <v>8</v>
      </c>
      <c r="B99" s="24" t="n">
        <v>11</v>
      </c>
      <c r="C99" s="26" t="s">
        <v>871</v>
      </c>
      <c r="D99" s="8" t="s">
        <v>1242</v>
      </c>
      <c r="E99" s="9" t="s">
        <v>1243</v>
      </c>
      <c r="F99" s="9" t="s">
        <v>1244</v>
      </c>
      <c r="G99" s="9" t="s">
        <v>1245</v>
      </c>
      <c r="H99" s="8" t="s">
        <v>1246</v>
      </c>
      <c r="I99" s="24"/>
      <c r="J99" s="24" t="n">
        <f aca="false">턴_설계!$B$5</f>
        <v>120</v>
      </c>
    </row>
    <row r="100" customFormat="false" ht="29.25" hidden="false" customHeight="true" outlineLevel="0" collapsed="false">
      <c r="A100" s="24" t="n">
        <v>8</v>
      </c>
      <c r="B100" s="24" t="n">
        <v>12</v>
      </c>
      <c r="C100" s="26" t="s">
        <v>882</v>
      </c>
      <c r="D100" s="8" t="s">
        <v>1247</v>
      </c>
      <c r="E100" s="9" t="s">
        <v>1248</v>
      </c>
      <c r="F100" s="27" t="s">
        <v>1249</v>
      </c>
      <c r="G100" s="9" t="s">
        <v>1250</v>
      </c>
      <c r="H100" s="9" t="s">
        <v>1122</v>
      </c>
      <c r="I100" s="24"/>
      <c r="J100" s="24" t="n">
        <f aca="false">턴_설계!$B$5</f>
        <v>120</v>
      </c>
    </row>
    <row r="101" customFormat="false" ht="29.25" hidden="false" customHeight="true" outlineLevel="0" collapsed="false">
      <c r="A101" s="24" t="n">
        <v>9</v>
      </c>
      <c r="B101" s="24" t="n">
        <v>1</v>
      </c>
      <c r="C101" s="26" t="s">
        <v>821</v>
      </c>
      <c r="D101" s="8" t="s">
        <v>1251</v>
      </c>
      <c r="E101" s="9" t="s">
        <v>1252</v>
      </c>
      <c r="F101" s="8" t="s">
        <v>1253</v>
      </c>
      <c r="G101" s="9" t="s">
        <v>1254</v>
      </c>
      <c r="H101" s="8" t="s">
        <v>1255</v>
      </c>
      <c r="I101" s="24"/>
      <c r="J101" s="24" t="n">
        <f aca="false">턴_설계!$B$5</f>
        <v>120</v>
      </c>
    </row>
    <row r="102" customFormat="false" ht="29.25" hidden="false" customHeight="true" outlineLevel="0" collapsed="false">
      <c r="A102" s="24" t="n">
        <v>9</v>
      </c>
      <c r="B102" s="24" t="n">
        <v>2</v>
      </c>
      <c r="C102" s="26" t="s">
        <v>821</v>
      </c>
      <c r="D102" s="8" t="s">
        <v>1256</v>
      </c>
      <c r="E102" s="9" t="s">
        <v>1257</v>
      </c>
      <c r="F102" s="9" t="s">
        <v>1258</v>
      </c>
      <c r="G102" s="9" t="s">
        <v>1259</v>
      </c>
      <c r="H102" s="8" t="s">
        <v>1260</v>
      </c>
      <c r="I102" s="24"/>
      <c r="J102" s="24" t="n">
        <f aca="false">턴_설계!$B$5</f>
        <v>120</v>
      </c>
    </row>
    <row r="103" customFormat="false" ht="29.25" hidden="false" customHeight="true" outlineLevel="0" collapsed="false">
      <c r="A103" s="24" t="n">
        <v>9</v>
      </c>
      <c r="B103" s="24" t="n">
        <v>3</v>
      </c>
      <c r="C103" s="26" t="s">
        <v>821</v>
      </c>
      <c r="D103" s="8" t="s">
        <v>1261</v>
      </c>
      <c r="E103" s="9" t="s">
        <v>1262</v>
      </c>
      <c r="F103" s="8" t="s">
        <v>1263</v>
      </c>
      <c r="G103" s="9" t="s">
        <v>1264</v>
      </c>
      <c r="H103" s="8" t="s">
        <v>970</v>
      </c>
      <c r="I103" s="24"/>
      <c r="J103" s="24" t="n">
        <f aca="false">턴_설계!$B$5</f>
        <v>120</v>
      </c>
    </row>
    <row r="104" customFormat="false" ht="29.25" hidden="false" customHeight="true" outlineLevel="0" collapsed="false">
      <c r="A104" s="24" t="n">
        <v>9</v>
      </c>
      <c r="B104" s="24" t="n">
        <v>4</v>
      </c>
      <c r="C104" s="26" t="s">
        <v>837</v>
      </c>
      <c r="D104" s="8" t="s">
        <v>1265</v>
      </c>
      <c r="E104" s="9" t="s">
        <v>1266</v>
      </c>
      <c r="F104" s="9" t="s">
        <v>1267</v>
      </c>
      <c r="G104" s="9" t="s">
        <v>1268</v>
      </c>
      <c r="H104" s="8" t="s">
        <v>1269</v>
      </c>
      <c r="I104" s="24" t="s">
        <v>1270</v>
      </c>
      <c r="J104" s="24" t="n">
        <f aca="false">턴_설계!$B$5</f>
        <v>120</v>
      </c>
    </row>
    <row r="105" customFormat="false" ht="29.25" hidden="false" customHeight="true" outlineLevel="0" collapsed="false">
      <c r="A105" s="24" t="n">
        <v>9</v>
      </c>
      <c r="B105" s="24" t="n">
        <v>5</v>
      </c>
      <c r="C105" s="26" t="s">
        <v>837</v>
      </c>
      <c r="D105" s="8" t="s">
        <v>1271</v>
      </c>
      <c r="E105" s="9" t="s">
        <v>1272</v>
      </c>
      <c r="F105" s="9" t="s">
        <v>1273</v>
      </c>
      <c r="G105" s="9" t="s">
        <v>1274</v>
      </c>
      <c r="H105" s="8" t="s">
        <v>1220</v>
      </c>
      <c r="I105" s="24" t="s">
        <v>1188</v>
      </c>
      <c r="J105" s="24" t="n">
        <f aca="false">턴_설계!$B$5</f>
        <v>120</v>
      </c>
    </row>
    <row r="106" customFormat="false" ht="42" hidden="false" customHeight="true" outlineLevel="0" collapsed="false">
      <c r="A106" s="24" t="n">
        <v>9</v>
      </c>
      <c r="B106" s="24" t="n">
        <v>6</v>
      </c>
      <c r="C106" s="26" t="s">
        <v>848</v>
      </c>
      <c r="D106" s="8" t="s">
        <v>1275</v>
      </c>
      <c r="E106" s="9" t="s">
        <v>1276</v>
      </c>
      <c r="F106" s="9" t="s">
        <v>1277</v>
      </c>
      <c r="G106" s="9" t="s">
        <v>1278</v>
      </c>
      <c r="H106" s="8" t="s">
        <v>1279</v>
      </c>
      <c r="I106" s="24" t="s">
        <v>752</v>
      </c>
      <c r="J106" s="24" t="n">
        <f aca="false">턴_설계!$B$5</f>
        <v>120</v>
      </c>
    </row>
    <row r="107" customFormat="false" ht="29.25" hidden="false" customHeight="true" outlineLevel="0" collapsed="false">
      <c r="A107" s="24" t="n">
        <v>9</v>
      </c>
      <c r="B107" s="24" t="n">
        <v>7</v>
      </c>
      <c r="C107" s="26" t="s">
        <v>854</v>
      </c>
      <c r="D107" s="8" t="s">
        <v>1280</v>
      </c>
      <c r="E107" s="9" t="s">
        <v>1281</v>
      </c>
      <c r="F107" s="9" t="s">
        <v>1282</v>
      </c>
      <c r="G107" s="9" t="s">
        <v>1283</v>
      </c>
      <c r="H107" s="8" t="s">
        <v>1284</v>
      </c>
      <c r="I107" s="24" t="s">
        <v>909</v>
      </c>
      <c r="J107" s="24" t="n">
        <f aca="false">턴_설계!$B$5</f>
        <v>120</v>
      </c>
    </row>
    <row r="108" customFormat="false" ht="29.25" hidden="false" customHeight="true" outlineLevel="0" collapsed="false">
      <c r="A108" s="24" t="n">
        <v>9</v>
      </c>
      <c r="B108" s="24" t="n">
        <v>8</v>
      </c>
      <c r="C108" s="26" t="s">
        <v>854</v>
      </c>
      <c r="D108" s="8" t="s">
        <v>1285</v>
      </c>
      <c r="E108" s="9" t="s">
        <v>1286</v>
      </c>
      <c r="F108" s="9" t="s">
        <v>1287</v>
      </c>
      <c r="G108" s="9" t="s">
        <v>1288</v>
      </c>
      <c r="H108" s="8" t="s">
        <v>1289</v>
      </c>
      <c r="I108" s="24"/>
      <c r="J108" s="24" t="n">
        <f aca="false">턴_설계!$B$5</f>
        <v>120</v>
      </c>
    </row>
    <row r="109" customFormat="false" ht="29.25" hidden="false" customHeight="true" outlineLevel="0" collapsed="false">
      <c r="A109" s="24" t="n">
        <v>9</v>
      </c>
      <c r="B109" s="24" t="n">
        <v>9</v>
      </c>
      <c r="C109" s="26" t="s">
        <v>854</v>
      </c>
      <c r="D109" s="8" t="s">
        <v>1290</v>
      </c>
      <c r="E109" s="9" t="s">
        <v>1291</v>
      </c>
      <c r="F109" s="9" t="s">
        <v>1292</v>
      </c>
      <c r="G109" s="9" t="s">
        <v>1293</v>
      </c>
      <c r="H109" s="8" t="s">
        <v>1294</v>
      </c>
      <c r="I109" s="24" t="s">
        <v>926</v>
      </c>
      <c r="J109" s="24" t="n">
        <f aca="false">턴_설계!$B$5</f>
        <v>120</v>
      </c>
    </row>
    <row r="110" customFormat="false" ht="29.25" hidden="false" customHeight="true" outlineLevel="0" collapsed="false">
      <c r="A110" s="24" t="n">
        <v>9</v>
      </c>
      <c r="B110" s="24" t="n">
        <v>10</v>
      </c>
      <c r="C110" s="26" t="s">
        <v>871</v>
      </c>
      <c r="D110" s="8" t="s">
        <v>1295</v>
      </c>
      <c r="E110" s="9" t="s">
        <v>1296</v>
      </c>
      <c r="F110" s="9" t="s">
        <v>1297</v>
      </c>
      <c r="G110" s="9" t="s">
        <v>1298</v>
      </c>
      <c r="H110" s="8" t="s">
        <v>1299</v>
      </c>
      <c r="I110" s="24"/>
      <c r="J110" s="24" t="n">
        <f aca="false">턴_설계!$B$5</f>
        <v>120</v>
      </c>
    </row>
    <row r="111" customFormat="false" ht="16.5" hidden="false" customHeight="true" outlineLevel="0" collapsed="false">
      <c r="A111" s="24" t="n">
        <v>9</v>
      </c>
      <c r="B111" s="24" t="n">
        <v>11</v>
      </c>
      <c r="C111" s="26" t="s">
        <v>871</v>
      </c>
      <c r="D111" s="8" t="s">
        <v>1300</v>
      </c>
      <c r="E111" s="9" t="s">
        <v>1301</v>
      </c>
      <c r="F111" s="9" t="s">
        <v>1302</v>
      </c>
      <c r="G111" s="9" t="s">
        <v>1303</v>
      </c>
      <c r="H111" s="8" t="s">
        <v>1304</v>
      </c>
      <c r="I111" s="24"/>
      <c r="J111" s="24" t="n">
        <f aca="false">턴_설계!$B$5</f>
        <v>120</v>
      </c>
    </row>
    <row r="112" customFormat="false" ht="29.25" hidden="false" customHeight="true" outlineLevel="0" collapsed="false">
      <c r="A112" s="24" t="n">
        <v>9</v>
      </c>
      <c r="B112" s="24" t="n">
        <v>12</v>
      </c>
      <c r="C112" s="26" t="s">
        <v>882</v>
      </c>
      <c r="D112" s="8" t="s">
        <v>1305</v>
      </c>
      <c r="E112" s="9" t="s">
        <v>1306</v>
      </c>
      <c r="F112" s="9" t="s">
        <v>1307</v>
      </c>
      <c r="G112" s="9" t="s">
        <v>1308</v>
      </c>
      <c r="H112" s="8" t="s">
        <v>1309</v>
      </c>
      <c r="I112" s="24"/>
      <c r="J112" s="24" t="n">
        <f aca="false">턴_설계!$B$5</f>
        <v>120</v>
      </c>
    </row>
    <row r="113" customFormat="false" ht="29.25" hidden="false" customHeight="true" outlineLevel="0" collapsed="false">
      <c r="A113" s="24" t="n">
        <v>10</v>
      </c>
      <c r="B113" s="24" t="n">
        <v>1</v>
      </c>
      <c r="C113" s="26" t="s">
        <v>821</v>
      </c>
      <c r="D113" s="8" t="s">
        <v>1310</v>
      </c>
      <c r="E113" s="9" t="s">
        <v>1311</v>
      </c>
      <c r="F113" s="9" t="s">
        <v>1312</v>
      </c>
      <c r="G113" s="9" t="s">
        <v>1313</v>
      </c>
      <c r="H113" s="8" t="s">
        <v>1314</v>
      </c>
      <c r="I113" s="24"/>
      <c r="J113" s="24" t="n">
        <f aca="false">턴_설계!$B$5</f>
        <v>120</v>
      </c>
    </row>
    <row r="114" customFormat="false" ht="29.25" hidden="false" customHeight="true" outlineLevel="0" collapsed="false">
      <c r="A114" s="24" t="n">
        <v>10</v>
      </c>
      <c r="B114" s="24" t="n">
        <v>2</v>
      </c>
      <c r="C114" s="26" t="s">
        <v>821</v>
      </c>
      <c r="D114" s="8" t="s">
        <v>1315</v>
      </c>
      <c r="E114" s="9" t="s">
        <v>1316</v>
      </c>
      <c r="F114" s="9" t="s">
        <v>1317</v>
      </c>
      <c r="G114" s="9" t="s">
        <v>1318</v>
      </c>
      <c r="H114" s="8" t="s">
        <v>1319</v>
      </c>
      <c r="I114" s="24" t="s">
        <v>1320</v>
      </c>
      <c r="J114" s="24" t="n">
        <f aca="false">턴_설계!$B$5</f>
        <v>120</v>
      </c>
    </row>
    <row r="115" customFormat="false" ht="16.5" hidden="false" customHeight="true" outlineLevel="0" collapsed="false">
      <c r="A115" s="24" t="n">
        <v>10</v>
      </c>
      <c r="B115" s="24" t="n">
        <v>3</v>
      </c>
      <c r="C115" s="26" t="s">
        <v>821</v>
      </c>
      <c r="D115" s="8" t="s">
        <v>1321</v>
      </c>
      <c r="E115" s="8" t="s">
        <v>1322</v>
      </c>
      <c r="F115" s="8" t="s">
        <v>1323</v>
      </c>
      <c r="G115" s="9" t="s">
        <v>1324</v>
      </c>
      <c r="H115" s="8" t="s">
        <v>1325</v>
      </c>
      <c r="I115" s="24" t="s">
        <v>1326</v>
      </c>
      <c r="J115" s="24" t="n">
        <f aca="false">턴_설계!$B$5</f>
        <v>120</v>
      </c>
    </row>
    <row r="116" customFormat="false" ht="16.5" hidden="false" customHeight="true" outlineLevel="0" collapsed="false">
      <c r="A116" s="24" t="n">
        <v>10</v>
      </c>
      <c r="B116" s="24" t="n">
        <v>4</v>
      </c>
      <c r="C116" s="26" t="s">
        <v>1205</v>
      </c>
      <c r="D116" s="8" t="s">
        <v>1327</v>
      </c>
      <c r="E116" s="9" t="s">
        <v>1328</v>
      </c>
      <c r="F116" s="8" t="s">
        <v>1329</v>
      </c>
      <c r="G116" s="9" t="s">
        <v>1330</v>
      </c>
      <c r="H116" s="9" t="s">
        <v>1122</v>
      </c>
      <c r="I116" s="24"/>
      <c r="J116" s="24" t="n">
        <f aca="false">턴_설계!$B$5</f>
        <v>120</v>
      </c>
    </row>
    <row r="117" customFormat="false" ht="16.5" hidden="false" customHeight="true" outlineLevel="0" collapsed="false">
      <c r="A117" s="24" t="n">
        <v>10</v>
      </c>
      <c r="B117" s="24" t="n">
        <v>5</v>
      </c>
      <c r="C117" s="26" t="s">
        <v>837</v>
      </c>
      <c r="D117" s="8" t="s">
        <v>1331</v>
      </c>
      <c r="E117" s="9" t="s">
        <v>1332</v>
      </c>
      <c r="F117" s="9" t="s">
        <v>1333</v>
      </c>
      <c r="G117" s="9" t="s">
        <v>1334</v>
      </c>
      <c r="H117" s="8" t="s">
        <v>1335</v>
      </c>
      <c r="I117" s="24"/>
      <c r="J117" s="24" t="n">
        <f aca="false">턴_설계!$B$5</f>
        <v>120</v>
      </c>
    </row>
    <row r="118" customFormat="false" ht="29.25" hidden="false" customHeight="true" outlineLevel="0" collapsed="false">
      <c r="A118" s="24" t="n">
        <v>10</v>
      </c>
      <c r="B118" s="24" t="n">
        <v>6</v>
      </c>
      <c r="C118" s="26" t="s">
        <v>837</v>
      </c>
      <c r="D118" s="8" t="s">
        <v>1336</v>
      </c>
      <c r="E118" s="9" t="s">
        <v>1337</v>
      </c>
      <c r="F118" s="8" t="s">
        <v>1338</v>
      </c>
      <c r="G118" s="9" t="s">
        <v>1339</v>
      </c>
      <c r="H118" s="8" t="s">
        <v>1340</v>
      </c>
      <c r="I118" s="24"/>
      <c r="J118" s="24" t="n">
        <f aca="false">턴_설계!$B$5</f>
        <v>120</v>
      </c>
    </row>
    <row r="119" customFormat="false" ht="16.5" hidden="false" customHeight="true" outlineLevel="0" collapsed="false">
      <c r="A119" s="24" t="n">
        <v>10</v>
      </c>
      <c r="B119" s="24" t="n">
        <v>7</v>
      </c>
      <c r="C119" s="26" t="s">
        <v>848</v>
      </c>
      <c r="D119" s="8" t="s">
        <v>1341</v>
      </c>
      <c r="E119" s="9" t="s">
        <v>1342</v>
      </c>
      <c r="F119" s="8" t="s">
        <v>1343</v>
      </c>
      <c r="G119" s="9" t="s">
        <v>1344</v>
      </c>
      <c r="H119" s="8" t="s">
        <v>1345</v>
      </c>
      <c r="I119" s="24"/>
      <c r="J119" s="24" t="n">
        <f aca="false">턴_설계!$B$5</f>
        <v>120</v>
      </c>
    </row>
    <row r="120" customFormat="false" ht="29.25" hidden="false" customHeight="true" outlineLevel="0" collapsed="false">
      <c r="A120" s="24" t="n">
        <v>10</v>
      </c>
      <c r="B120" s="24" t="n">
        <v>8</v>
      </c>
      <c r="C120" s="26" t="s">
        <v>854</v>
      </c>
      <c r="D120" s="8" t="s">
        <v>1346</v>
      </c>
      <c r="E120" s="9" t="s">
        <v>1347</v>
      </c>
      <c r="F120" s="9" t="s">
        <v>1348</v>
      </c>
      <c r="G120" s="9" t="s">
        <v>1349</v>
      </c>
      <c r="H120" s="8" t="s">
        <v>1350</v>
      </c>
      <c r="I120" s="24" t="s">
        <v>1188</v>
      </c>
      <c r="J120" s="24" t="n">
        <f aca="false">턴_설계!$B$5</f>
        <v>120</v>
      </c>
    </row>
    <row r="121" customFormat="false" ht="16.5" hidden="false" customHeight="true" outlineLevel="0" collapsed="false">
      <c r="A121" s="24" t="n">
        <v>10</v>
      </c>
      <c r="B121" s="24" t="n">
        <v>9</v>
      </c>
      <c r="C121" s="26" t="s">
        <v>854</v>
      </c>
      <c r="D121" s="8" t="s">
        <v>1351</v>
      </c>
      <c r="E121" s="9" t="s">
        <v>1352</v>
      </c>
      <c r="F121" s="9" t="s">
        <v>1353</v>
      </c>
      <c r="G121" s="9" t="s">
        <v>1354</v>
      </c>
      <c r="H121" s="8" t="s">
        <v>1355</v>
      </c>
      <c r="I121" s="24"/>
      <c r="J121" s="24" t="n">
        <f aca="false">턴_설계!$B$5</f>
        <v>120</v>
      </c>
    </row>
    <row r="122" customFormat="false" ht="16.5" hidden="false" customHeight="true" outlineLevel="0" collapsed="false">
      <c r="A122" s="24" t="n">
        <v>10</v>
      </c>
      <c r="B122" s="24" t="n">
        <v>10</v>
      </c>
      <c r="C122" s="26" t="s">
        <v>1205</v>
      </c>
      <c r="D122" s="8" t="s">
        <v>1356</v>
      </c>
      <c r="E122" s="9" t="s">
        <v>1357</v>
      </c>
      <c r="F122" s="8" t="s">
        <v>1358</v>
      </c>
      <c r="G122" s="9" t="s">
        <v>1359</v>
      </c>
      <c r="H122" s="9" t="s">
        <v>1122</v>
      </c>
      <c r="I122" s="24"/>
      <c r="J122" s="24" t="n">
        <f aca="false">턴_설계!$B$5</f>
        <v>120</v>
      </c>
    </row>
    <row r="123" customFormat="false" ht="29.25" hidden="false" customHeight="true" outlineLevel="0" collapsed="false">
      <c r="A123" s="24" t="n">
        <v>10</v>
      </c>
      <c r="B123" s="24" t="n">
        <v>11</v>
      </c>
      <c r="C123" s="26" t="s">
        <v>871</v>
      </c>
      <c r="D123" s="8" t="s">
        <v>1360</v>
      </c>
      <c r="E123" s="9" t="s">
        <v>1361</v>
      </c>
      <c r="F123" s="8" t="s">
        <v>1362</v>
      </c>
      <c r="G123" s="9" t="s">
        <v>1363</v>
      </c>
      <c r="H123" s="8" t="s">
        <v>1364</v>
      </c>
      <c r="I123" s="24" t="s">
        <v>1365</v>
      </c>
      <c r="J123" s="24" t="n">
        <f aca="false">턴_설계!$B$5</f>
        <v>120</v>
      </c>
    </row>
    <row r="124" customFormat="false" ht="29.25" hidden="false" customHeight="true" outlineLevel="0" collapsed="false">
      <c r="A124" s="24" t="n">
        <v>10</v>
      </c>
      <c r="B124" s="24" t="n">
        <v>12</v>
      </c>
      <c r="C124" s="26" t="s">
        <v>882</v>
      </c>
      <c r="D124" s="8" t="s">
        <v>1366</v>
      </c>
      <c r="E124" s="9" t="s">
        <v>1367</v>
      </c>
      <c r="F124" s="9" t="s">
        <v>1368</v>
      </c>
      <c r="G124" s="9" t="s">
        <v>1369</v>
      </c>
      <c r="H124" s="8" t="s">
        <v>1370</v>
      </c>
      <c r="I124" s="24"/>
      <c r="J124" s="24" t="n">
        <f aca="false">턴_설계!$B$5</f>
        <v>120</v>
      </c>
    </row>
    <row r="125" customFormat="false" ht="29.25" hidden="false" customHeight="true" outlineLevel="0" collapsed="false">
      <c r="A125" s="24" t="n">
        <v>11</v>
      </c>
      <c r="B125" s="24" t="n">
        <v>1</v>
      </c>
      <c r="C125" s="26" t="s">
        <v>821</v>
      </c>
      <c r="D125" s="8" t="s">
        <v>1371</v>
      </c>
      <c r="E125" s="9" t="s">
        <v>1372</v>
      </c>
      <c r="F125" s="27" t="s">
        <v>1373</v>
      </c>
      <c r="G125" s="9" t="s">
        <v>1374</v>
      </c>
      <c r="H125" s="8" t="s">
        <v>1375</v>
      </c>
      <c r="I125" s="24" t="s">
        <v>1376</v>
      </c>
      <c r="J125" s="24" t="n">
        <f aca="false">턴_설계!$B$5</f>
        <v>120</v>
      </c>
    </row>
    <row r="126" customFormat="false" ht="29.25" hidden="false" customHeight="true" outlineLevel="0" collapsed="false">
      <c r="A126" s="24" t="n">
        <v>11</v>
      </c>
      <c r="B126" s="24" t="n">
        <v>2</v>
      </c>
      <c r="C126" s="26" t="s">
        <v>837</v>
      </c>
      <c r="D126" s="8" t="s">
        <v>1377</v>
      </c>
      <c r="E126" s="9" t="s">
        <v>1378</v>
      </c>
      <c r="F126" s="8" t="s">
        <v>1379</v>
      </c>
      <c r="G126" s="9" t="s">
        <v>1380</v>
      </c>
      <c r="H126" s="8" t="s">
        <v>970</v>
      </c>
      <c r="I126" s="24" t="s">
        <v>752</v>
      </c>
      <c r="J126" s="24" t="n">
        <f aca="false">턴_설계!$B$5</f>
        <v>120</v>
      </c>
    </row>
    <row r="127" customFormat="false" ht="29.25" hidden="false" customHeight="true" outlineLevel="0" collapsed="false">
      <c r="A127" s="24" t="n">
        <v>11</v>
      </c>
      <c r="B127" s="24" t="n">
        <v>3</v>
      </c>
      <c r="C127" s="26" t="s">
        <v>837</v>
      </c>
      <c r="D127" s="8" t="s">
        <v>1381</v>
      </c>
      <c r="E127" s="9" t="s">
        <v>1382</v>
      </c>
      <c r="F127" s="9" t="s">
        <v>1383</v>
      </c>
      <c r="G127" s="9" t="s">
        <v>1384</v>
      </c>
      <c r="H127" s="8" t="s">
        <v>1385</v>
      </c>
      <c r="I127" s="24" t="s">
        <v>752</v>
      </c>
      <c r="J127" s="24" t="n">
        <f aca="false">턴_설계!$B$5</f>
        <v>120</v>
      </c>
    </row>
    <row r="128" customFormat="false" ht="42" hidden="false" customHeight="true" outlineLevel="0" collapsed="false">
      <c r="A128" s="24" t="n">
        <v>11</v>
      </c>
      <c r="B128" s="24" t="n">
        <v>4</v>
      </c>
      <c r="C128" s="26" t="s">
        <v>854</v>
      </c>
      <c r="D128" s="8" t="s">
        <v>1386</v>
      </c>
      <c r="E128" s="9" t="s">
        <v>1387</v>
      </c>
      <c r="F128" s="9" t="s">
        <v>1388</v>
      </c>
      <c r="G128" s="9" t="s">
        <v>1389</v>
      </c>
      <c r="H128" s="8" t="s">
        <v>1390</v>
      </c>
      <c r="I128" s="24" t="s">
        <v>1391</v>
      </c>
      <c r="J128" s="24" t="n">
        <f aca="false">턴_설계!$B$5</f>
        <v>120</v>
      </c>
    </row>
    <row r="129" customFormat="false" ht="42" hidden="false" customHeight="true" outlineLevel="0" collapsed="false">
      <c r="A129" s="24" t="n">
        <v>11</v>
      </c>
      <c r="B129" s="24" t="n">
        <v>5</v>
      </c>
      <c r="C129" s="26" t="s">
        <v>854</v>
      </c>
      <c r="D129" s="8" t="s">
        <v>1392</v>
      </c>
      <c r="E129" s="9" t="s">
        <v>1393</v>
      </c>
      <c r="F129" s="9" t="s">
        <v>1394</v>
      </c>
      <c r="G129" s="9" t="s">
        <v>1395</v>
      </c>
      <c r="H129" s="8" t="s">
        <v>1396</v>
      </c>
      <c r="I129" s="24" t="s">
        <v>789</v>
      </c>
      <c r="J129" s="24" t="n">
        <f aca="false">턴_설계!$B$5</f>
        <v>120</v>
      </c>
    </row>
    <row r="130" customFormat="false" ht="42" hidden="false" customHeight="true" outlineLevel="0" collapsed="false">
      <c r="A130" s="24" t="n">
        <v>11</v>
      </c>
      <c r="B130" s="24" t="n">
        <v>6</v>
      </c>
      <c r="C130" s="26" t="s">
        <v>837</v>
      </c>
      <c r="D130" s="8" t="s">
        <v>1397</v>
      </c>
      <c r="E130" s="9" t="s">
        <v>1398</v>
      </c>
      <c r="F130" s="9" t="s">
        <v>1399</v>
      </c>
      <c r="G130" s="9" t="s">
        <v>1400</v>
      </c>
      <c r="H130" s="8" t="s">
        <v>1401</v>
      </c>
      <c r="I130" s="24" t="s">
        <v>776</v>
      </c>
      <c r="J130" s="24" t="n">
        <f aca="false">턴_설계!$B$5</f>
        <v>120</v>
      </c>
    </row>
    <row r="131" customFormat="false" ht="42" hidden="false" customHeight="true" outlineLevel="0" collapsed="false">
      <c r="A131" s="24" t="n">
        <v>11</v>
      </c>
      <c r="B131" s="24" t="n">
        <v>7</v>
      </c>
      <c r="C131" s="26" t="s">
        <v>854</v>
      </c>
      <c r="D131" s="8" t="s">
        <v>1402</v>
      </c>
      <c r="E131" s="9" t="s">
        <v>1403</v>
      </c>
      <c r="F131" s="9" t="s">
        <v>1404</v>
      </c>
      <c r="G131" s="9" t="s">
        <v>1405</v>
      </c>
      <c r="H131" s="8" t="s">
        <v>1406</v>
      </c>
      <c r="I131" s="24"/>
      <c r="J131" s="24" t="n">
        <f aca="false">턴_설계!$B$5</f>
        <v>120</v>
      </c>
    </row>
    <row r="132" customFormat="false" ht="54.75" hidden="false" customHeight="true" outlineLevel="0" collapsed="false">
      <c r="A132" s="24" t="n">
        <v>11</v>
      </c>
      <c r="B132" s="24" t="n">
        <v>8</v>
      </c>
      <c r="C132" s="26" t="s">
        <v>854</v>
      </c>
      <c r="D132" s="8" t="s">
        <v>1407</v>
      </c>
      <c r="E132" s="9" t="s">
        <v>1408</v>
      </c>
      <c r="F132" s="9" t="s">
        <v>1409</v>
      </c>
      <c r="G132" s="27" t="s">
        <v>1410</v>
      </c>
      <c r="H132" s="8" t="s">
        <v>1411</v>
      </c>
      <c r="I132" s="24" t="s">
        <v>1412</v>
      </c>
      <c r="J132" s="24" t="n">
        <f aca="false">턴_설계!$B$5</f>
        <v>120</v>
      </c>
    </row>
    <row r="133" customFormat="false" ht="105.75" hidden="false" customHeight="true" outlineLevel="0" collapsed="false">
      <c r="A133" s="24" t="n">
        <v>11</v>
      </c>
      <c r="B133" s="24" t="n">
        <v>9</v>
      </c>
      <c r="C133" s="26" t="s">
        <v>1205</v>
      </c>
      <c r="D133" s="8" t="s">
        <v>1413</v>
      </c>
      <c r="E133" s="9" t="s">
        <v>1414</v>
      </c>
      <c r="F133" s="8" t="s">
        <v>1415</v>
      </c>
      <c r="G133" s="8" t="s">
        <v>1416</v>
      </c>
      <c r="H133" s="8" t="s">
        <v>1417</v>
      </c>
      <c r="I133" s="24" t="s">
        <v>1418</v>
      </c>
      <c r="J133" s="24" t="n">
        <f aca="false">턴_설계!$B$5</f>
        <v>120</v>
      </c>
    </row>
    <row r="134" customFormat="false" ht="67.5" hidden="false" customHeight="true" outlineLevel="0" collapsed="false">
      <c r="A134" s="24" t="n">
        <v>11</v>
      </c>
      <c r="B134" s="24" t="n">
        <v>10</v>
      </c>
      <c r="C134" s="26" t="s">
        <v>871</v>
      </c>
      <c r="D134" s="8" t="s">
        <v>1419</v>
      </c>
      <c r="E134" s="9" t="s">
        <v>1420</v>
      </c>
      <c r="F134" s="9" t="s">
        <v>1421</v>
      </c>
      <c r="G134" s="9" t="s">
        <v>1422</v>
      </c>
      <c r="H134" s="8" t="s">
        <v>1423</v>
      </c>
      <c r="I134" s="24" t="s">
        <v>165</v>
      </c>
      <c r="J134" s="24" t="n">
        <f aca="false">턴_설계!$B$5</f>
        <v>120</v>
      </c>
    </row>
    <row r="135" customFormat="false" ht="42" hidden="false" customHeight="true" outlineLevel="0" collapsed="false">
      <c r="A135" s="24" t="n">
        <v>11</v>
      </c>
      <c r="B135" s="24" t="n">
        <v>11</v>
      </c>
      <c r="C135" s="26" t="s">
        <v>871</v>
      </c>
      <c r="D135" s="8" t="s">
        <v>1424</v>
      </c>
      <c r="E135" s="9" t="s">
        <v>1425</v>
      </c>
      <c r="F135" s="9" t="s">
        <v>1426</v>
      </c>
      <c r="G135" s="9" t="s">
        <v>1427</v>
      </c>
      <c r="H135" s="8" t="s">
        <v>1428</v>
      </c>
      <c r="I135" s="24" t="s">
        <v>165</v>
      </c>
      <c r="J135" s="24" t="n">
        <f aca="false">턴_설계!$B$5</f>
        <v>120</v>
      </c>
    </row>
    <row r="136" customFormat="false" ht="42" hidden="false" customHeight="true" outlineLevel="0" collapsed="false">
      <c r="A136" s="24" t="n">
        <v>11</v>
      </c>
      <c r="B136" s="24" t="n">
        <v>12</v>
      </c>
      <c r="C136" s="26" t="s">
        <v>1429</v>
      </c>
      <c r="D136" s="8" t="s">
        <v>1430</v>
      </c>
      <c r="E136" s="9" t="s">
        <v>1431</v>
      </c>
      <c r="F136" s="9" t="s">
        <v>1432</v>
      </c>
      <c r="G136" s="8" t="s">
        <v>1433</v>
      </c>
      <c r="H136" s="8" t="s">
        <v>1434</v>
      </c>
      <c r="I136" s="24" t="s">
        <v>1418</v>
      </c>
      <c r="J136" s="24" t="n">
        <f aca="false">턴_설계!$B$5</f>
        <v>120</v>
      </c>
    </row>
    <row r="137" customFormat="false" ht="42" hidden="false" customHeight="true" outlineLevel="0" collapsed="false">
      <c r="A137" s="24" t="n">
        <v>12</v>
      </c>
      <c r="B137" s="24" t="n">
        <v>1</v>
      </c>
      <c r="C137" s="26" t="s">
        <v>1435</v>
      </c>
      <c r="D137" s="8" t="s">
        <v>1436</v>
      </c>
      <c r="E137" s="9" t="s">
        <v>1437</v>
      </c>
      <c r="F137" s="8" t="s">
        <v>1438</v>
      </c>
      <c r="G137" s="8" t="s">
        <v>1439</v>
      </c>
      <c r="H137" s="8" t="s">
        <v>1440</v>
      </c>
      <c r="I137" s="24"/>
      <c r="J137" s="24" t="n">
        <f aca="false">턴_설계!$B$5</f>
        <v>120</v>
      </c>
    </row>
    <row r="138" customFormat="false" ht="29.25" hidden="false" customHeight="true" outlineLevel="0" collapsed="false">
      <c r="A138" s="24" t="n">
        <v>12</v>
      </c>
      <c r="B138" s="24" t="n">
        <v>2</v>
      </c>
      <c r="C138" s="26" t="s">
        <v>837</v>
      </c>
      <c r="D138" s="8" t="s">
        <v>1441</v>
      </c>
      <c r="E138" s="9" t="s">
        <v>1442</v>
      </c>
      <c r="F138" s="8" t="s">
        <v>1443</v>
      </c>
      <c r="G138" s="9" t="s">
        <v>1444</v>
      </c>
      <c r="H138" s="8" t="s">
        <v>1445</v>
      </c>
      <c r="I138" s="24"/>
      <c r="J138" s="24" t="n">
        <f aca="false">턴_설계!$B$5</f>
        <v>120</v>
      </c>
    </row>
    <row r="139" customFormat="false" ht="42" hidden="false" customHeight="true" outlineLevel="0" collapsed="false">
      <c r="A139" s="24" t="n">
        <v>12</v>
      </c>
      <c r="B139" s="24" t="n">
        <v>3</v>
      </c>
      <c r="C139" s="26" t="s">
        <v>837</v>
      </c>
      <c r="D139" s="8" t="s">
        <v>1446</v>
      </c>
      <c r="E139" s="9" t="s">
        <v>1447</v>
      </c>
      <c r="F139" s="8" t="s">
        <v>1448</v>
      </c>
      <c r="G139" s="9" t="s">
        <v>1449</v>
      </c>
      <c r="H139" s="8" t="s">
        <v>1450</v>
      </c>
      <c r="I139" s="24" t="s">
        <v>165</v>
      </c>
      <c r="J139" s="24" t="n">
        <f aca="false">턴_설계!$B$5</f>
        <v>120</v>
      </c>
    </row>
    <row r="140" customFormat="false" ht="42" hidden="false" customHeight="true" outlineLevel="0" collapsed="false">
      <c r="A140" s="24" t="n">
        <v>12</v>
      </c>
      <c r="B140" s="24" t="n">
        <v>4</v>
      </c>
      <c r="C140" s="26" t="s">
        <v>837</v>
      </c>
      <c r="D140" s="8" t="s">
        <v>1451</v>
      </c>
      <c r="E140" s="9" t="s">
        <v>1452</v>
      </c>
      <c r="F140" s="9" t="s">
        <v>1453</v>
      </c>
      <c r="G140" s="9" t="s">
        <v>1454</v>
      </c>
      <c r="H140" s="8" t="s">
        <v>1455</v>
      </c>
      <c r="I140" s="24" t="s">
        <v>1456</v>
      </c>
      <c r="J140" s="24" t="n">
        <f aca="false">턴_설계!$B$5</f>
        <v>120</v>
      </c>
    </row>
    <row r="141" customFormat="false" ht="42" hidden="false" customHeight="true" outlineLevel="0" collapsed="false">
      <c r="A141" s="24" t="n">
        <v>12</v>
      </c>
      <c r="B141" s="24" t="n">
        <v>5</v>
      </c>
      <c r="C141" s="26" t="s">
        <v>837</v>
      </c>
      <c r="D141" s="8" t="s">
        <v>1457</v>
      </c>
      <c r="E141" s="9" t="s">
        <v>1458</v>
      </c>
      <c r="F141" s="9" t="s">
        <v>1459</v>
      </c>
      <c r="G141" s="9" t="s">
        <v>1460</v>
      </c>
      <c r="H141" s="8" t="s">
        <v>1461</v>
      </c>
      <c r="I141" s="24" t="s">
        <v>1462</v>
      </c>
      <c r="J141" s="24" t="n">
        <f aca="false">턴_설계!$B$5</f>
        <v>120</v>
      </c>
    </row>
    <row r="142" customFormat="false" ht="29.25" hidden="false" customHeight="true" outlineLevel="0" collapsed="false">
      <c r="A142" s="24" t="n">
        <v>12</v>
      </c>
      <c r="B142" s="24" t="n">
        <v>6</v>
      </c>
      <c r="C142" s="26" t="s">
        <v>837</v>
      </c>
      <c r="D142" s="8" t="s">
        <v>1463</v>
      </c>
      <c r="E142" s="9" t="s">
        <v>1464</v>
      </c>
      <c r="F142" s="9" t="s">
        <v>1465</v>
      </c>
      <c r="G142" s="9" t="s">
        <v>1466</v>
      </c>
      <c r="H142" s="8" t="s">
        <v>1467</v>
      </c>
      <c r="I142" s="24" t="s">
        <v>1468</v>
      </c>
      <c r="J142" s="24" t="n">
        <f aca="false">턴_설계!$B$5</f>
        <v>120</v>
      </c>
    </row>
    <row r="143" customFormat="false" ht="42" hidden="false" customHeight="true" outlineLevel="0" collapsed="false">
      <c r="A143" s="24" t="n">
        <v>12</v>
      </c>
      <c r="B143" s="24" t="n">
        <v>7</v>
      </c>
      <c r="C143" s="26" t="s">
        <v>854</v>
      </c>
      <c r="D143" s="8" t="s">
        <v>1469</v>
      </c>
      <c r="E143" s="9" t="s">
        <v>1470</v>
      </c>
      <c r="F143" s="9" t="s">
        <v>1471</v>
      </c>
      <c r="G143" s="9" t="s">
        <v>1472</v>
      </c>
      <c r="H143" s="8" t="s">
        <v>1473</v>
      </c>
      <c r="I143" s="24" t="s">
        <v>1474</v>
      </c>
      <c r="J143" s="24" t="n">
        <f aca="false">턴_설계!$B$5</f>
        <v>120</v>
      </c>
    </row>
    <row r="144" customFormat="false" ht="42" hidden="false" customHeight="true" outlineLevel="0" collapsed="false">
      <c r="A144" s="24" t="n">
        <v>12</v>
      </c>
      <c r="B144" s="24" t="n">
        <v>8</v>
      </c>
      <c r="C144" s="26" t="s">
        <v>854</v>
      </c>
      <c r="D144" s="8" t="s">
        <v>1475</v>
      </c>
      <c r="E144" s="9" t="s">
        <v>1476</v>
      </c>
      <c r="F144" s="9" t="s">
        <v>1477</v>
      </c>
      <c r="G144" s="9" t="s">
        <v>1478</v>
      </c>
      <c r="H144" s="8" t="s">
        <v>1479</v>
      </c>
      <c r="I144" s="24" t="s">
        <v>1480</v>
      </c>
      <c r="J144" s="24" t="n">
        <f aca="false">턴_설계!$B$5</f>
        <v>120</v>
      </c>
    </row>
    <row r="145" customFormat="false" ht="16.5" hidden="false" customHeight="true" outlineLevel="0" collapsed="false">
      <c r="A145" s="24" t="n">
        <v>12</v>
      </c>
      <c r="B145" s="24" t="n">
        <v>9</v>
      </c>
      <c r="C145" s="26" t="s">
        <v>871</v>
      </c>
      <c r="D145" s="8" t="s">
        <v>1481</v>
      </c>
      <c r="E145" s="9" t="s">
        <v>1482</v>
      </c>
      <c r="F145" s="9" t="s">
        <v>1483</v>
      </c>
      <c r="G145" s="9" t="s">
        <v>1484</v>
      </c>
      <c r="H145" s="8" t="s">
        <v>1229</v>
      </c>
      <c r="I145" s="24" t="s">
        <v>1485</v>
      </c>
      <c r="J145" s="24" t="n">
        <f aca="false">턴_설계!$B$5</f>
        <v>120</v>
      </c>
    </row>
    <row r="146" customFormat="false" ht="42" hidden="false" customHeight="true" outlineLevel="0" collapsed="false">
      <c r="A146" s="24" t="n">
        <v>12</v>
      </c>
      <c r="B146" s="24" t="n">
        <v>10</v>
      </c>
      <c r="C146" s="26" t="s">
        <v>837</v>
      </c>
      <c r="D146" s="8" t="s">
        <v>1486</v>
      </c>
      <c r="E146" s="9" t="s">
        <v>1487</v>
      </c>
      <c r="F146" s="8" t="s">
        <v>1488</v>
      </c>
      <c r="G146" s="8" t="s">
        <v>301</v>
      </c>
      <c r="H146" s="8" t="s">
        <v>1489</v>
      </c>
      <c r="I146" s="24"/>
      <c r="J146" s="24" t="n">
        <f aca="false">턴_설계!$B$5</f>
        <v>120</v>
      </c>
    </row>
    <row r="147" customFormat="false" ht="29.25" hidden="false" customHeight="true" outlineLevel="0" collapsed="false">
      <c r="A147" s="24" t="n">
        <v>12</v>
      </c>
      <c r="B147" s="24" t="n">
        <v>11</v>
      </c>
      <c r="C147" s="26" t="s">
        <v>854</v>
      </c>
      <c r="D147" s="8" t="s">
        <v>1490</v>
      </c>
      <c r="E147" s="9" t="s">
        <v>1491</v>
      </c>
      <c r="F147" s="9" t="s">
        <v>1492</v>
      </c>
      <c r="G147" s="9" t="s">
        <v>1493</v>
      </c>
      <c r="H147" s="8" t="s">
        <v>1494</v>
      </c>
      <c r="I147" s="24"/>
      <c r="J147" s="24" t="n">
        <f aca="false">턴_설계!$B$5</f>
        <v>120</v>
      </c>
    </row>
    <row r="148" customFormat="false" ht="29.25" hidden="false" customHeight="true" outlineLevel="0" collapsed="false">
      <c r="A148" s="24" t="n">
        <v>12</v>
      </c>
      <c r="B148" s="24" t="n">
        <v>12</v>
      </c>
      <c r="C148" s="26" t="s">
        <v>882</v>
      </c>
      <c r="D148" s="8" t="s">
        <v>1495</v>
      </c>
      <c r="E148" s="9" t="s">
        <v>1496</v>
      </c>
      <c r="F148" s="9" t="s">
        <v>1497</v>
      </c>
      <c r="G148" s="9" t="s">
        <v>1498</v>
      </c>
      <c r="H148" s="8" t="s">
        <v>1499</v>
      </c>
      <c r="I148" s="24"/>
      <c r="J148" s="24" t="n">
        <f aca="false">턴_설계!$B$5</f>
        <v>120</v>
      </c>
    </row>
    <row r="149" customFormat="false" ht="29.25" hidden="false" customHeight="true" outlineLevel="0" collapsed="false">
      <c r="A149" s="24" t="n">
        <v>13</v>
      </c>
      <c r="B149" s="24" t="n">
        <v>1</v>
      </c>
      <c r="C149" s="26" t="s">
        <v>821</v>
      </c>
      <c r="D149" s="8" t="s">
        <v>1500</v>
      </c>
      <c r="E149" s="9" t="s">
        <v>1501</v>
      </c>
      <c r="F149" s="8" t="s">
        <v>1502</v>
      </c>
      <c r="G149" s="9" t="s">
        <v>1503</v>
      </c>
      <c r="H149" s="8" t="s">
        <v>1504</v>
      </c>
      <c r="I149" s="24"/>
      <c r="J149" s="24" t="n">
        <f aca="false">턴_설계!$B$5</f>
        <v>120</v>
      </c>
    </row>
    <row r="150" customFormat="false" ht="29.25" hidden="false" customHeight="true" outlineLevel="0" collapsed="false">
      <c r="A150" s="24" t="n">
        <v>13</v>
      </c>
      <c r="B150" s="24" t="n">
        <v>2</v>
      </c>
      <c r="C150" s="26" t="s">
        <v>821</v>
      </c>
      <c r="D150" s="8" t="s">
        <v>1505</v>
      </c>
      <c r="E150" s="9" t="s">
        <v>1506</v>
      </c>
      <c r="F150" s="8" t="s">
        <v>1507</v>
      </c>
      <c r="G150" s="9" t="s">
        <v>1508</v>
      </c>
      <c r="H150" s="8" t="s">
        <v>1509</v>
      </c>
      <c r="I150" s="24"/>
      <c r="J150" s="24" t="n">
        <f aca="false">턴_설계!$B$5</f>
        <v>120</v>
      </c>
    </row>
    <row r="151" customFormat="false" ht="16.5" hidden="false" customHeight="true" outlineLevel="0" collapsed="false">
      <c r="A151" s="24" t="n">
        <v>13</v>
      </c>
      <c r="B151" s="24" t="n">
        <v>3</v>
      </c>
      <c r="C151" s="26" t="s">
        <v>821</v>
      </c>
      <c r="D151" s="8" t="s">
        <v>1510</v>
      </c>
      <c r="E151" s="9" t="s">
        <v>1511</v>
      </c>
      <c r="F151" s="9" t="s">
        <v>1512</v>
      </c>
      <c r="G151" s="8" t="s">
        <v>301</v>
      </c>
      <c r="H151" s="8" t="s">
        <v>1513</v>
      </c>
      <c r="I151" s="24"/>
      <c r="J151" s="24" t="n">
        <f aca="false">턴_설계!$B$5</f>
        <v>120</v>
      </c>
    </row>
    <row r="152" customFormat="false" ht="29.25" hidden="false" customHeight="true" outlineLevel="0" collapsed="false">
      <c r="A152" s="24" t="n">
        <v>13</v>
      </c>
      <c r="B152" s="24" t="n">
        <v>4</v>
      </c>
      <c r="C152" s="26" t="s">
        <v>837</v>
      </c>
      <c r="D152" s="8" t="s">
        <v>1514</v>
      </c>
      <c r="E152" s="9" t="s">
        <v>1515</v>
      </c>
      <c r="F152" s="9" t="s">
        <v>1516</v>
      </c>
      <c r="G152" s="9" t="s">
        <v>1517</v>
      </c>
      <c r="H152" s="8" t="s">
        <v>1518</v>
      </c>
      <c r="I152" s="24"/>
      <c r="J152" s="24" t="n">
        <f aca="false">턴_설계!$B$5</f>
        <v>120</v>
      </c>
    </row>
    <row r="153" customFormat="false" ht="29.25" hidden="false" customHeight="true" outlineLevel="0" collapsed="false">
      <c r="A153" s="24" t="n">
        <v>13</v>
      </c>
      <c r="B153" s="24" t="n">
        <v>5</v>
      </c>
      <c r="C153" s="26" t="s">
        <v>837</v>
      </c>
      <c r="D153" s="8" t="s">
        <v>1519</v>
      </c>
      <c r="E153" s="9" t="s">
        <v>1520</v>
      </c>
      <c r="F153" s="9" t="s">
        <v>1521</v>
      </c>
      <c r="G153" s="8" t="s">
        <v>301</v>
      </c>
      <c r="H153" s="8" t="s">
        <v>1522</v>
      </c>
      <c r="I153" s="24" t="s">
        <v>776</v>
      </c>
      <c r="J153" s="24" t="n">
        <f aca="false">턴_설계!$B$5</f>
        <v>120</v>
      </c>
    </row>
    <row r="154" customFormat="false" ht="29.25" hidden="false" customHeight="true" outlineLevel="0" collapsed="false">
      <c r="A154" s="24" t="n">
        <v>13</v>
      </c>
      <c r="B154" s="24" t="n">
        <v>6</v>
      </c>
      <c r="C154" s="26" t="s">
        <v>848</v>
      </c>
      <c r="D154" s="8" t="s">
        <v>1523</v>
      </c>
      <c r="E154" s="8" t="s">
        <v>1524</v>
      </c>
      <c r="F154" s="8" t="s">
        <v>1525</v>
      </c>
      <c r="G154" s="8" t="s">
        <v>301</v>
      </c>
      <c r="H154" s="8" t="s">
        <v>1526</v>
      </c>
      <c r="I154" s="24" t="s">
        <v>776</v>
      </c>
      <c r="J154" s="24" t="n">
        <f aca="false">턴_설계!$B$5</f>
        <v>120</v>
      </c>
    </row>
    <row r="155" customFormat="false" ht="29.25" hidden="false" customHeight="true" outlineLevel="0" collapsed="false">
      <c r="A155" s="24" t="n">
        <v>13</v>
      </c>
      <c r="B155" s="24" t="n">
        <v>7</v>
      </c>
      <c r="C155" s="26" t="s">
        <v>837</v>
      </c>
      <c r="D155" s="8" t="s">
        <v>1527</v>
      </c>
      <c r="E155" s="9" t="s">
        <v>1528</v>
      </c>
      <c r="F155" s="8" t="s">
        <v>1529</v>
      </c>
      <c r="G155" s="9" t="s">
        <v>1530</v>
      </c>
      <c r="H155" s="8" t="s">
        <v>1531</v>
      </c>
      <c r="I155" s="24" t="s">
        <v>1532</v>
      </c>
      <c r="J155" s="24" t="n">
        <f aca="false">턴_설계!$B$5</f>
        <v>120</v>
      </c>
    </row>
    <row r="156" customFormat="false" ht="16.5" hidden="false" customHeight="true" outlineLevel="0" collapsed="false">
      <c r="A156" s="24" t="n">
        <v>13</v>
      </c>
      <c r="B156" s="24" t="n">
        <v>8</v>
      </c>
      <c r="C156" s="26" t="s">
        <v>837</v>
      </c>
      <c r="D156" s="8" t="s">
        <v>1533</v>
      </c>
      <c r="E156" s="9" t="s">
        <v>1534</v>
      </c>
      <c r="F156" s="8" t="s">
        <v>1535</v>
      </c>
      <c r="G156" s="8" t="s">
        <v>301</v>
      </c>
      <c r="H156" s="8" t="s">
        <v>1536</v>
      </c>
      <c r="I156" s="24"/>
      <c r="J156" s="24" t="n">
        <f aca="false">턴_설계!$B$5</f>
        <v>120</v>
      </c>
    </row>
    <row r="157" customFormat="false" ht="16.5" hidden="false" customHeight="true" outlineLevel="0" collapsed="false">
      <c r="A157" s="24" t="n">
        <v>13</v>
      </c>
      <c r="B157" s="24" t="n">
        <v>9</v>
      </c>
      <c r="C157" s="26" t="s">
        <v>854</v>
      </c>
      <c r="D157" s="8" t="s">
        <v>1537</v>
      </c>
      <c r="E157" s="9" t="s">
        <v>1538</v>
      </c>
      <c r="F157" s="8" t="s">
        <v>1539</v>
      </c>
      <c r="G157" s="8" t="s">
        <v>301</v>
      </c>
      <c r="H157" s="8" t="s">
        <v>1540</v>
      </c>
      <c r="I157" s="24"/>
      <c r="J157" s="24" t="n">
        <f aca="false">턴_설계!$B$5</f>
        <v>120</v>
      </c>
    </row>
    <row r="158" customFormat="false" ht="29.25" hidden="false" customHeight="true" outlineLevel="0" collapsed="false">
      <c r="A158" s="24" t="n">
        <v>13</v>
      </c>
      <c r="B158" s="24" t="n">
        <v>10</v>
      </c>
      <c r="C158" s="26" t="s">
        <v>871</v>
      </c>
      <c r="D158" s="8" t="s">
        <v>1541</v>
      </c>
      <c r="E158" s="9" t="s">
        <v>1542</v>
      </c>
      <c r="F158" s="9" t="s">
        <v>1543</v>
      </c>
      <c r="G158" s="8" t="s">
        <v>301</v>
      </c>
      <c r="H158" s="8" t="s">
        <v>1544</v>
      </c>
      <c r="I158" s="24"/>
      <c r="J158" s="24" t="n">
        <f aca="false">턴_설계!$B$5</f>
        <v>120</v>
      </c>
    </row>
    <row r="159" customFormat="false" ht="29.25" hidden="false" customHeight="true" outlineLevel="0" collapsed="false">
      <c r="A159" s="24" t="n">
        <v>13</v>
      </c>
      <c r="B159" s="24" t="n">
        <v>11</v>
      </c>
      <c r="C159" s="26" t="s">
        <v>871</v>
      </c>
      <c r="D159" s="8" t="s">
        <v>1545</v>
      </c>
      <c r="E159" s="9" t="s">
        <v>1546</v>
      </c>
      <c r="F159" s="8" t="s">
        <v>1547</v>
      </c>
      <c r="G159" s="8" t="s">
        <v>301</v>
      </c>
      <c r="H159" s="9" t="s">
        <v>1122</v>
      </c>
      <c r="I159" s="24"/>
      <c r="J159" s="24" t="n">
        <f aca="false">턴_설계!$B$5</f>
        <v>120</v>
      </c>
    </row>
    <row r="160" customFormat="false" ht="16.5" hidden="false" customHeight="true" outlineLevel="0" collapsed="false">
      <c r="A160" s="24" t="n">
        <v>13</v>
      </c>
      <c r="B160" s="24" t="n">
        <v>12</v>
      </c>
      <c r="C160" s="26" t="s">
        <v>1548</v>
      </c>
      <c r="D160" s="8" t="s">
        <v>1549</v>
      </c>
      <c r="E160" s="9" t="s">
        <v>1550</v>
      </c>
      <c r="F160" s="9" t="s">
        <v>1551</v>
      </c>
      <c r="G160" s="8" t="s">
        <v>301</v>
      </c>
      <c r="H160" s="8" t="s">
        <v>1552</v>
      </c>
      <c r="I160" s="24"/>
      <c r="J160" s="24" t="n">
        <f aca="false">턴_설계!$B$5</f>
        <v>120</v>
      </c>
    </row>
    <row r="161" customFormat="false" ht="15" hidden="false" customHeight="true" outlineLevel="0" collapsed="false">
      <c r="I161" s="63" t="s">
        <v>297</v>
      </c>
      <c r="J161" s="64" t="n">
        <f aca="false">SUM(J5:J160)</f>
        <v>18720</v>
      </c>
    </row>
  </sheetData>
  <autoFilter ref="A4:J16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4"/>
    <col collapsed="false" customWidth="true" hidden="false" outlineLevel="0" max="3" min="3" style="1" width="12"/>
    <col collapsed="false" customWidth="true" hidden="false" outlineLevel="0" max="4" min="4" style="1" width="8"/>
    <col collapsed="false" customWidth="true" hidden="false" outlineLevel="0" max="5" min="5" style="1" width="16"/>
    <col collapsed="false" customWidth="true" hidden="false" outlineLevel="0" max="7" min="6" style="1" width="8"/>
    <col collapsed="false" customWidth="true" hidden="false" outlineLevel="0" max="8" min="8" style="1" width="42"/>
    <col collapsed="false" customWidth="true" hidden="false" outlineLevel="0" max="9" min="9" style="1" width="20"/>
  </cols>
  <sheetData>
    <row r="1" customFormat="false" ht="24" hidden="false" customHeight="true" outlineLevel="0" collapsed="false">
      <c r="A1" s="21" t="s">
        <v>1553</v>
      </c>
    </row>
    <row r="2" customFormat="false" ht="15" hidden="false" customHeight="true" outlineLevel="0" collapsed="false">
      <c r="A2" s="20" t="s">
        <v>1554</v>
      </c>
    </row>
    <row r="4" customFormat="false" ht="30" hidden="false" customHeight="true" outlineLevel="0" collapsed="false">
      <c r="A4" s="22" t="s">
        <v>86</v>
      </c>
      <c r="B4" s="23" t="s">
        <v>1555</v>
      </c>
      <c r="C4" s="23" t="s">
        <v>1556</v>
      </c>
      <c r="D4" s="23" t="s">
        <v>1557</v>
      </c>
      <c r="E4" s="23" t="s">
        <v>1558</v>
      </c>
      <c r="F4" s="23" t="s">
        <v>1559</v>
      </c>
      <c r="G4" s="23" t="s">
        <v>1560</v>
      </c>
      <c r="H4" s="23" t="s">
        <v>1561</v>
      </c>
      <c r="I4" s="23" t="s">
        <v>1562</v>
      </c>
    </row>
    <row r="5" customFormat="false" ht="29.25" hidden="false" customHeight="true" outlineLevel="0" collapsed="false">
      <c r="A5" s="24" t="n">
        <v>1</v>
      </c>
      <c r="B5" s="8" t="s">
        <v>1563</v>
      </c>
      <c r="C5" s="26" t="s">
        <v>1564</v>
      </c>
      <c r="D5" s="25" t="n">
        <v>1</v>
      </c>
      <c r="E5" s="8" t="s">
        <v>1565</v>
      </c>
      <c r="F5" s="25" t="n">
        <v>11</v>
      </c>
      <c r="G5" s="24" t="n">
        <f aca="false">F5-D5</f>
        <v>10</v>
      </c>
      <c r="H5" s="8" t="s">
        <v>1566</v>
      </c>
      <c r="I5" s="8" t="s">
        <v>155</v>
      </c>
    </row>
    <row r="6" customFormat="false" ht="29.25" hidden="false" customHeight="true" outlineLevel="0" collapsed="false">
      <c r="A6" s="24" t="n">
        <v>2</v>
      </c>
      <c r="B6" s="8" t="s">
        <v>1567</v>
      </c>
      <c r="C6" s="26" t="s">
        <v>1568</v>
      </c>
      <c r="D6" s="25" t="n">
        <v>1</v>
      </c>
      <c r="E6" s="8" t="s">
        <v>1565</v>
      </c>
      <c r="F6" s="25" t="n">
        <v>13</v>
      </c>
      <c r="G6" s="24" t="n">
        <f aca="false">F6-D6</f>
        <v>12</v>
      </c>
      <c r="H6" s="8" t="s">
        <v>1569</v>
      </c>
      <c r="I6" s="8" t="s">
        <v>1570</v>
      </c>
    </row>
    <row r="7" customFormat="false" ht="29.25" hidden="false" customHeight="true" outlineLevel="0" collapsed="false">
      <c r="A7" s="24" t="n">
        <v>3</v>
      </c>
      <c r="B7" s="8" t="s">
        <v>1571</v>
      </c>
      <c r="C7" s="26" t="s">
        <v>1572</v>
      </c>
      <c r="D7" s="25" t="n">
        <v>3</v>
      </c>
      <c r="E7" s="8" t="s">
        <v>1573</v>
      </c>
      <c r="F7" s="25" t="n">
        <v>11</v>
      </c>
      <c r="G7" s="24" t="n">
        <f aca="false">F7-D7</f>
        <v>8</v>
      </c>
      <c r="H7" s="8" t="s">
        <v>1574</v>
      </c>
      <c r="I7" s="8" t="s">
        <v>1575</v>
      </c>
    </row>
    <row r="8" customFormat="false" ht="29.25" hidden="false" customHeight="true" outlineLevel="0" collapsed="false">
      <c r="A8" s="24" t="n">
        <v>4</v>
      </c>
      <c r="B8" s="8" t="s">
        <v>1576</v>
      </c>
      <c r="C8" s="26" t="s">
        <v>1564</v>
      </c>
      <c r="D8" s="25" t="n">
        <v>1</v>
      </c>
      <c r="E8" s="8" t="s">
        <v>1577</v>
      </c>
      <c r="F8" s="25" t="n">
        <v>11</v>
      </c>
      <c r="G8" s="24" t="n">
        <f aca="false">F8-D8</f>
        <v>10</v>
      </c>
      <c r="H8" s="8" t="s">
        <v>1578</v>
      </c>
      <c r="I8" s="8" t="s">
        <v>1570</v>
      </c>
    </row>
    <row r="9" customFormat="false" ht="29.25" hidden="false" customHeight="true" outlineLevel="0" collapsed="false">
      <c r="A9" s="24" t="n">
        <v>5</v>
      </c>
      <c r="B9" s="8" t="s">
        <v>1579</v>
      </c>
      <c r="C9" s="26" t="s">
        <v>1580</v>
      </c>
      <c r="D9" s="25" t="n">
        <v>1</v>
      </c>
      <c r="E9" s="8" t="s">
        <v>1581</v>
      </c>
      <c r="F9" s="25" t="n">
        <v>9</v>
      </c>
      <c r="G9" s="24" t="n">
        <f aca="false">F9-D9</f>
        <v>8</v>
      </c>
      <c r="H9" s="8" t="s">
        <v>1582</v>
      </c>
      <c r="I9" s="8" t="s">
        <v>1583</v>
      </c>
    </row>
    <row r="10" customFormat="false" ht="29.25" hidden="false" customHeight="true" outlineLevel="0" collapsed="false">
      <c r="A10" s="24" t="n">
        <v>6</v>
      </c>
      <c r="B10" s="8" t="s">
        <v>1584</v>
      </c>
      <c r="C10" s="26" t="s">
        <v>1585</v>
      </c>
      <c r="D10" s="25" t="n">
        <v>1</v>
      </c>
      <c r="E10" s="8" t="s">
        <v>1565</v>
      </c>
      <c r="F10" s="25" t="n">
        <v>12</v>
      </c>
      <c r="G10" s="24" t="n">
        <f aca="false">F10-D10</f>
        <v>11</v>
      </c>
      <c r="H10" s="8" t="s">
        <v>1586</v>
      </c>
      <c r="I10" s="8" t="s">
        <v>1587</v>
      </c>
    </row>
    <row r="11" customFormat="false" ht="29.25" hidden="false" customHeight="true" outlineLevel="0" collapsed="false">
      <c r="A11" s="24" t="n">
        <v>7</v>
      </c>
      <c r="B11" s="8" t="s">
        <v>1588</v>
      </c>
      <c r="C11" s="26" t="s">
        <v>1564</v>
      </c>
      <c r="D11" s="25" t="n">
        <v>1</v>
      </c>
      <c r="E11" s="8" t="s">
        <v>1589</v>
      </c>
      <c r="F11" s="25" t="n">
        <v>13</v>
      </c>
      <c r="G11" s="24" t="n">
        <f aca="false">F11-D11</f>
        <v>12</v>
      </c>
      <c r="H11" s="8" t="s">
        <v>1590</v>
      </c>
      <c r="I11" s="8" t="s">
        <v>1544</v>
      </c>
    </row>
    <row r="12" customFormat="false" ht="29.25" hidden="false" customHeight="true" outlineLevel="0" collapsed="false">
      <c r="A12" s="24" t="n">
        <v>8</v>
      </c>
      <c r="B12" s="8" t="s">
        <v>1591</v>
      </c>
      <c r="C12" s="26" t="s">
        <v>1580</v>
      </c>
      <c r="D12" s="25" t="n">
        <v>2</v>
      </c>
      <c r="E12" s="8" t="s">
        <v>1592</v>
      </c>
      <c r="F12" s="25" t="n">
        <v>11</v>
      </c>
      <c r="G12" s="24" t="n">
        <f aca="false">F12-D12</f>
        <v>9</v>
      </c>
      <c r="H12" s="8" t="s">
        <v>1593</v>
      </c>
      <c r="I12" s="8" t="s">
        <v>107</v>
      </c>
    </row>
    <row r="13" customFormat="false" ht="29.25" hidden="false" customHeight="true" outlineLevel="0" collapsed="false">
      <c r="A13" s="24" t="n">
        <v>9</v>
      </c>
      <c r="B13" s="8" t="s">
        <v>1594</v>
      </c>
      <c r="C13" s="26" t="s">
        <v>1564</v>
      </c>
      <c r="D13" s="25" t="n">
        <v>2</v>
      </c>
      <c r="E13" s="8" t="s">
        <v>1595</v>
      </c>
      <c r="F13" s="25" t="n">
        <v>4</v>
      </c>
      <c r="G13" s="24" t="n">
        <f aca="false">F13-D13</f>
        <v>2</v>
      </c>
      <c r="H13" s="8" t="s">
        <v>1596</v>
      </c>
      <c r="I13" s="8" t="s">
        <v>132</v>
      </c>
    </row>
    <row r="14" customFormat="false" ht="16.5" hidden="false" customHeight="true" outlineLevel="0" collapsed="false">
      <c r="A14" s="24" t="n">
        <v>10</v>
      </c>
      <c r="B14" s="8" t="s">
        <v>1597</v>
      </c>
      <c r="C14" s="26" t="s">
        <v>1568</v>
      </c>
      <c r="D14" s="25" t="n">
        <v>4</v>
      </c>
      <c r="E14" s="8" t="s">
        <v>1598</v>
      </c>
      <c r="F14" s="25" t="n">
        <v>7</v>
      </c>
      <c r="G14" s="24" t="n">
        <f aca="false">F14-D14</f>
        <v>3</v>
      </c>
      <c r="H14" s="8" t="s">
        <v>1599</v>
      </c>
      <c r="I14" s="8" t="s">
        <v>1255</v>
      </c>
    </row>
    <row r="15" customFormat="false" ht="29.25" hidden="false" customHeight="true" outlineLevel="0" collapsed="false">
      <c r="A15" s="24" t="n">
        <v>11</v>
      </c>
      <c r="B15" s="8" t="s">
        <v>1600</v>
      </c>
      <c r="C15" s="26" t="s">
        <v>329</v>
      </c>
      <c r="D15" s="25" t="n">
        <v>4</v>
      </c>
      <c r="E15" s="8" t="s">
        <v>1601</v>
      </c>
      <c r="F15" s="25" t="n">
        <v>11</v>
      </c>
      <c r="G15" s="24" t="n">
        <f aca="false">F15-D15</f>
        <v>7</v>
      </c>
      <c r="H15" s="8" t="s">
        <v>1602</v>
      </c>
      <c r="I15" s="8" t="s">
        <v>132</v>
      </c>
    </row>
    <row r="16" customFormat="false" ht="29.25" hidden="false" customHeight="true" outlineLevel="0" collapsed="false">
      <c r="A16" s="24" t="n">
        <v>12</v>
      </c>
      <c r="B16" s="8" t="s">
        <v>1603</v>
      </c>
      <c r="C16" s="26" t="s">
        <v>1568</v>
      </c>
      <c r="D16" s="25" t="n">
        <v>5</v>
      </c>
      <c r="E16" s="8" t="s">
        <v>1604</v>
      </c>
      <c r="F16" s="25" t="n">
        <v>11</v>
      </c>
      <c r="G16" s="24" t="n">
        <f aca="false">F16-D16</f>
        <v>6</v>
      </c>
      <c r="H16" s="8" t="s">
        <v>1605</v>
      </c>
      <c r="I16" s="8" t="s">
        <v>143</v>
      </c>
    </row>
    <row r="17" customFormat="false" ht="29.25" hidden="false" customHeight="true" outlineLevel="0" collapsed="false">
      <c r="A17" s="24" t="n">
        <v>13</v>
      </c>
      <c r="B17" s="8" t="s">
        <v>1606</v>
      </c>
      <c r="C17" s="26" t="s">
        <v>1564</v>
      </c>
      <c r="D17" s="25" t="n">
        <v>1</v>
      </c>
      <c r="E17" s="8" t="s">
        <v>1565</v>
      </c>
      <c r="F17" s="25" t="n">
        <v>13</v>
      </c>
      <c r="G17" s="24" t="n">
        <f aca="false">F17-D17</f>
        <v>12</v>
      </c>
      <c r="H17" s="8" t="s">
        <v>1607</v>
      </c>
      <c r="I17" s="8" t="s">
        <v>143</v>
      </c>
    </row>
    <row r="18" customFormat="false" ht="29.25" hidden="false" customHeight="true" outlineLevel="0" collapsed="false">
      <c r="A18" s="24" t="n">
        <v>14</v>
      </c>
      <c r="B18" s="8" t="s">
        <v>1608</v>
      </c>
      <c r="C18" s="26" t="s">
        <v>1568</v>
      </c>
      <c r="D18" s="25" t="n">
        <v>3</v>
      </c>
      <c r="E18" s="8" t="s">
        <v>1609</v>
      </c>
      <c r="F18" s="25" t="n">
        <v>13</v>
      </c>
      <c r="G18" s="24" t="n">
        <f aca="false">F18-D18</f>
        <v>10</v>
      </c>
      <c r="H18" s="8" t="s">
        <v>1610</v>
      </c>
      <c r="I18" s="8" t="s">
        <v>120</v>
      </c>
    </row>
    <row r="19" customFormat="false" ht="16.5" hidden="false" customHeight="true" outlineLevel="0" collapsed="false">
      <c r="A19" s="24" t="n">
        <v>15</v>
      </c>
      <c r="B19" s="8" t="s">
        <v>1611</v>
      </c>
      <c r="C19" s="26" t="s">
        <v>1612</v>
      </c>
      <c r="D19" s="25" t="n">
        <v>5</v>
      </c>
      <c r="E19" s="8" t="s">
        <v>1613</v>
      </c>
      <c r="F19" s="25" t="n">
        <v>10</v>
      </c>
      <c r="G19" s="24" t="n">
        <f aca="false">F19-D19</f>
        <v>5</v>
      </c>
      <c r="H19" s="8" t="s">
        <v>1614</v>
      </c>
      <c r="I19" s="8" t="s">
        <v>1615</v>
      </c>
    </row>
    <row r="20" customFormat="false" ht="29.25" hidden="false" customHeight="true" outlineLevel="0" collapsed="false">
      <c r="A20" s="24" t="n">
        <v>16</v>
      </c>
      <c r="B20" s="8" t="s">
        <v>1616</v>
      </c>
      <c r="C20" s="26" t="s">
        <v>329</v>
      </c>
      <c r="D20" s="25" t="n">
        <v>1</v>
      </c>
      <c r="E20" s="8" t="s">
        <v>1617</v>
      </c>
      <c r="F20" s="25" t="n">
        <v>9</v>
      </c>
      <c r="G20" s="24" t="n">
        <f aca="false">F20-D20</f>
        <v>8</v>
      </c>
      <c r="H20" s="8" t="s">
        <v>1618</v>
      </c>
      <c r="I20" s="8" t="s">
        <v>258</v>
      </c>
    </row>
    <row r="21" customFormat="false" ht="29.25" hidden="false" customHeight="true" outlineLevel="0" collapsed="false">
      <c r="A21" s="24" t="n">
        <v>17</v>
      </c>
      <c r="B21" s="8" t="s">
        <v>1619</v>
      </c>
      <c r="C21" s="26" t="s">
        <v>1572</v>
      </c>
      <c r="D21" s="25" t="n">
        <v>2</v>
      </c>
      <c r="E21" s="8" t="s">
        <v>1620</v>
      </c>
      <c r="F21" s="25" t="n">
        <v>12</v>
      </c>
      <c r="G21" s="24" t="n">
        <f aca="false">F21-D21</f>
        <v>10</v>
      </c>
      <c r="H21" s="8" t="s">
        <v>1621</v>
      </c>
      <c r="I21" s="9" t="s">
        <v>1122</v>
      </c>
    </row>
    <row r="22" customFormat="false" ht="29.25" hidden="false" customHeight="true" outlineLevel="0" collapsed="false">
      <c r="A22" s="24" t="n">
        <v>18</v>
      </c>
      <c r="B22" s="8" t="s">
        <v>1622</v>
      </c>
      <c r="C22" s="26" t="s">
        <v>1564</v>
      </c>
      <c r="D22" s="25" t="n">
        <v>1</v>
      </c>
      <c r="E22" s="8" t="s">
        <v>1623</v>
      </c>
      <c r="F22" s="25" t="n">
        <v>12</v>
      </c>
      <c r="G22" s="24" t="n">
        <f aca="false">F22-D22</f>
        <v>11</v>
      </c>
      <c r="H22" s="8" t="s">
        <v>1624</v>
      </c>
      <c r="I22" s="8" t="s">
        <v>271</v>
      </c>
    </row>
    <row r="23" customFormat="false" ht="29.25" hidden="false" customHeight="true" outlineLevel="0" collapsed="false">
      <c r="A23" s="24" t="n">
        <v>19</v>
      </c>
      <c r="B23" s="8" t="s">
        <v>1625</v>
      </c>
      <c r="C23" s="26" t="s">
        <v>1580</v>
      </c>
      <c r="D23" s="25" t="n">
        <v>6</v>
      </c>
      <c r="E23" s="8" t="s">
        <v>1626</v>
      </c>
      <c r="F23" s="25" t="n">
        <v>10</v>
      </c>
      <c r="G23" s="24" t="n">
        <f aca="false">F23-D23</f>
        <v>4</v>
      </c>
      <c r="H23" s="8" t="s">
        <v>1627</v>
      </c>
      <c r="I23" s="8" t="s">
        <v>190</v>
      </c>
    </row>
    <row r="24" customFormat="false" ht="29.25" hidden="false" customHeight="true" outlineLevel="0" collapsed="false">
      <c r="A24" s="24" t="n">
        <v>20</v>
      </c>
      <c r="B24" s="8" t="s">
        <v>1628</v>
      </c>
      <c r="C24" s="26" t="s">
        <v>1564</v>
      </c>
      <c r="D24" s="25" t="n">
        <v>1</v>
      </c>
      <c r="E24" s="8" t="s">
        <v>1629</v>
      </c>
      <c r="F24" s="25" t="n">
        <v>12</v>
      </c>
      <c r="G24" s="24" t="n">
        <f aca="false">F24-D24</f>
        <v>11</v>
      </c>
      <c r="H24" s="8" t="s">
        <v>1630</v>
      </c>
      <c r="I24" s="8" t="s">
        <v>179</v>
      </c>
    </row>
    <row r="25" customFormat="false" ht="29.25" hidden="false" customHeight="true" outlineLevel="0" collapsed="false">
      <c r="A25" s="24" t="n">
        <v>21</v>
      </c>
      <c r="B25" s="8" t="s">
        <v>1631</v>
      </c>
      <c r="C25" s="26" t="s">
        <v>1568</v>
      </c>
      <c r="D25" s="25" t="n">
        <v>1</v>
      </c>
      <c r="E25" s="8" t="s">
        <v>1632</v>
      </c>
      <c r="F25" s="25" t="n">
        <v>13</v>
      </c>
      <c r="G25" s="24" t="n">
        <f aca="false">F25-D25</f>
        <v>12</v>
      </c>
      <c r="H25" s="8" t="s">
        <v>1633</v>
      </c>
      <c r="I25" s="8" t="s">
        <v>225</v>
      </c>
    </row>
    <row r="26" customFormat="false" ht="29.25" hidden="false" customHeight="true" outlineLevel="0" collapsed="false">
      <c r="A26" s="24" t="n">
        <v>22</v>
      </c>
      <c r="B26" s="8" t="s">
        <v>1634</v>
      </c>
      <c r="C26" s="26" t="s">
        <v>1564</v>
      </c>
      <c r="D26" s="25" t="n">
        <v>6</v>
      </c>
      <c r="E26" s="8" t="s">
        <v>1635</v>
      </c>
      <c r="F26" s="25" t="n">
        <v>13</v>
      </c>
      <c r="G26" s="24" t="n">
        <f aca="false">F26-D26</f>
        <v>7</v>
      </c>
      <c r="H26" s="8" t="s">
        <v>1636</v>
      </c>
      <c r="I26" s="8" t="s">
        <v>1552</v>
      </c>
    </row>
    <row r="27" customFormat="false" ht="29.25" hidden="false" customHeight="true" outlineLevel="0" collapsed="false">
      <c r="A27" s="24" t="n">
        <v>23</v>
      </c>
      <c r="B27" s="8" t="s">
        <v>1637</v>
      </c>
      <c r="C27" s="26" t="s">
        <v>453</v>
      </c>
      <c r="D27" s="25" t="n">
        <v>10</v>
      </c>
      <c r="E27" s="8" t="s">
        <v>1638</v>
      </c>
      <c r="F27" s="25" t="n">
        <v>12</v>
      </c>
      <c r="G27" s="24" t="n">
        <f aca="false">F27-D27</f>
        <v>2</v>
      </c>
      <c r="H27" s="8" t="s">
        <v>1639</v>
      </c>
      <c r="I27" s="8" t="s">
        <v>1640</v>
      </c>
    </row>
    <row r="28" customFormat="false" ht="29.25" hidden="false" customHeight="true" outlineLevel="0" collapsed="false">
      <c r="A28" s="24" t="n">
        <v>24</v>
      </c>
      <c r="B28" s="9" t="s">
        <v>1641</v>
      </c>
      <c r="C28" s="26" t="s">
        <v>453</v>
      </c>
      <c r="D28" s="25" t="n">
        <v>7</v>
      </c>
      <c r="E28" s="8" t="s">
        <v>1642</v>
      </c>
      <c r="F28" s="25" t="n">
        <v>8</v>
      </c>
      <c r="G28" s="24" t="n">
        <f aca="false">F28-D28</f>
        <v>1</v>
      </c>
      <c r="H28" s="8" t="s">
        <v>1643</v>
      </c>
      <c r="I28" s="8" t="s">
        <v>1644</v>
      </c>
    </row>
    <row r="29" customFormat="false" ht="29.25" hidden="false" customHeight="true" outlineLevel="0" collapsed="false">
      <c r="A29" s="24" t="n">
        <v>25</v>
      </c>
      <c r="B29" s="8" t="s">
        <v>1645</v>
      </c>
      <c r="C29" s="26" t="s">
        <v>1580</v>
      </c>
      <c r="D29" s="25" t="n">
        <v>11</v>
      </c>
      <c r="E29" s="8" t="s">
        <v>1646</v>
      </c>
      <c r="F29" s="25" t="n">
        <v>12</v>
      </c>
      <c r="G29" s="24" t="n">
        <f aca="false">F29-D29</f>
        <v>1</v>
      </c>
      <c r="H29" s="8" t="s">
        <v>1647</v>
      </c>
      <c r="I29" s="8" t="s">
        <v>1423</v>
      </c>
    </row>
    <row r="30" customFormat="false" ht="29.25" hidden="false" customHeight="true" outlineLevel="0" collapsed="false">
      <c r="A30" s="24" t="n">
        <v>26</v>
      </c>
      <c r="B30" s="8" t="s">
        <v>1648</v>
      </c>
      <c r="C30" s="26" t="s">
        <v>1564</v>
      </c>
      <c r="D30" s="25" t="n">
        <v>11</v>
      </c>
      <c r="E30" s="8" t="s">
        <v>1649</v>
      </c>
      <c r="F30" s="25" t="n">
        <v>12</v>
      </c>
      <c r="G30" s="24" t="n">
        <f aca="false">F30-D30</f>
        <v>1</v>
      </c>
      <c r="H30" s="8" t="s">
        <v>1650</v>
      </c>
      <c r="I30" s="8" t="s">
        <v>1651</v>
      </c>
    </row>
    <row r="31" customFormat="false" ht="29.25" hidden="false" customHeight="true" outlineLevel="0" collapsed="false">
      <c r="A31" s="24" t="n">
        <v>27</v>
      </c>
      <c r="B31" s="8" t="s">
        <v>1652</v>
      </c>
      <c r="C31" s="26" t="s">
        <v>1580</v>
      </c>
      <c r="D31" s="25" t="n">
        <v>7</v>
      </c>
      <c r="E31" s="8" t="s">
        <v>1653</v>
      </c>
      <c r="F31" s="25" t="n">
        <v>12</v>
      </c>
      <c r="G31" s="24" t="n">
        <f aca="false">F31-D31</f>
        <v>5</v>
      </c>
      <c r="H31" s="8" t="s">
        <v>1654</v>
      </c>
      <c r="I31" s="8" t="s">
        <v>1655</v>
      </c>
    </row>
    <row r="32" customFormat="false" ht="29.25" hidden="false" customHeight="true" outlineLevel="0" collapsed="false">
      <c r="A32" s="24" t="n">
        <v>28</v>
      </c>
      <c r="B32" s="8" t="s">
        <v>1656</v>
      </c>
      <c r="C32" s="26" t="s">
        <v>1564</v>
      </c>
      <c r="D32" s="25" t="n">
        <v>1</v>
      </c>
      <c r="E32" s="8" t="s">
        <v>1657</v>
      </c>
      <c r="F32" s="25" t="n">
        <v>9</v>
      </c>
      <c r="G32" s="24" t="n">
        <f aca="false">F32-D32</f>
        <v>8</v>
      </c>
      <c r="H32" s="8" t="s">
        <v>1658</v>
      </c>
      <c r="I32" s="8" t="s">
        <v>1659</v>
      </c>
    </row>
    <row r="34" customFormat="false" ht="15" hidden="false" customHeight="true" outlineLevel="0" collapsed="false">
      <c r="B34" s="63" t="s">
        <v>1660</v>
      </c>
      <c r="G34" s="65" t="n">
        <f aca="false">AVERAGE(G5:G32)</f>
        <v>7.35714285714286</v>
      </c>
    </row>
    <row r="35" customFormat="false" ht="15" hidden="false" customHeight="true" outlineLevel="0" collapsed="false">
      <c r="B35" s="63" t="s">
        <v>1661</v>
      </c>
      <c r="G35" s="63" t="n">
        <f aca="false">MAX(G5:G32)</f>
        <v>12</v>
      </c>
    </row>
    <row r="36" customFormat="false" ht="15" hidden="false" customHeight="true" outlineLevel="0" collapsed="false">
      <c r="B36" s="63" t="s">
        <v>1662</v>
      </c>
      <c r="G36" s="63" t="n">
        <f aca="false">COUNTA(B5:B32)</f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9"/>
    <col collapsed="false" customWidth="true" hidden="false" outlineLevel="0" max="3" min="3" style="1" width="22"/>
    <col collapsed="false" customWidth="true" hidden="false" outlineLevel="0" max="4" min="4" style="1" width="26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32"/>
    <col collapsed="false" customWidth="true" hidden="false" outlineLevel="0" max="9" min="8" style="1" width="24"/>
    <col collapsed="false" customWidth="true" hidden="false" outlineLevel="0" max="10" min="10" style="1" width="42"/>
    <col collapsed="false" customWidth="true" hidden="false" outlineLevel="0" max="11" min="11" style="1" width="34"/>
    <col collapsed="false" customWidth="true" hidden="false" outlineLevel="0" max="12" min="12" style="1" width="38"/>
    <col collapsed="false" customWidth="true" hidden="false" outlineLevel="0" max="13" min="13" style="1" width="36"/>
  </cols>
  <sheetData>
    <row r="1" customFormat="false" ht="24" hidden="false" customHeight="true" outlineLevel="0" collapsed="false">
      <c r="A1" s="21" t="s">
        <v>1663</v>
      </c>
    </row>
    <row r="2" customFormat="false" ht="15" hidden="false" customHeight="true" outlineLevel="0" collapsed="false">
      <c r="A2" s="20" t="s">
        <v>1664</v>
      </c>
    </row>
    <row r="4" customFormat="false" ht="19.5" hidden="false" customHeight="true" outlineLevel="0" collapsed="false">
      <c r="A4" s="22" t="s">
        <v>1665</v>
      </c>
      <c r="B4" s="23" t="s">
        <v>1666</v>
      </c>
      <c r="C4" s="23" t="s">
        <v>50</v>
      </c>
      <c r="D4" s="23" t="s">
        <v>1667</v>
      </c>
      <c r="E4" s="23" t="s">
        <v>1668</v>
      </c>
      <c r="F4" s="23" t="s">
        <v>1669</v>
      </c>
      <c r="G4" s="23" t="s">
        <v>1670</v>
      </c>
      <c r="H4" s="23" t="s">
        <v>743</v>
      </c>
      <c r="I4" s="23" t="s">
        <v>1671</v>
      </c>
      <c r="J4" s="23" t="s">
        <v>1672</v>
      </c>
      <c r="K4" s="23" t="s">
        <v>1673</v>
      </c>
      <c r="L4" s="23" t="s">
        <v>1674</v>
      </c>
      <c r="M4" s="23" t="s">
        <v>1675</v>
      </c>
    </row>
    <row r="5" customFormat="false" ht="42" hidden="false" customHeight="true" outlineLevel="0" collapsed="false">
      <c r="A5" s="66" t="s">
        <v>1188</v>
      </c>
      <c r="B5" s="26" t="s">
        <v>453</v>
      </c>
      <c r="C5" s="9" t="s">
        <v>1676</v>
      </c>
      <c r="D5" s="8" t="s">
        <v>1677</v>
      </c>
      <c r="E5" s="9" t="s">
        <v>1678</v>
      </c>
      <c r="F5" s="8" t="s">
        <v>1679</v>
      </c>
      <c r="G5" s="8" t="s">
        <v>1680</v>
      </c>
      <c r="H5" s="8" t="s">
        <v>1681</v>
      </c>
      <c r="I5" s="9" t="s">
        <v>1682</v>
      </c>
      <c r="J5" s="9" t="s">
        <v>1683</v>
      </c>
      <c r="K5" s="8" t="s">
        <v>1684</v>
      </c>
      <c r="L5" s="9" t="s">
        <v>1685</v>
      </c>
      <c r="M5" s="9" t="s">
        <v>1686</v>
      </c>
    </row>
    <row r="6" customFormat="false" ht="54.75" hidden="false" customHeight="true" outlineLevel="0" collapsed="false">
      <c r="A6" s="66" t="s">
        <v>1687</v>
      </c>
      <c r="B6" s="26" t="s">
        <v>453</v>
      </c>
      <c r="C6" s="9" t="s">
        <v>1688</v>
      </c>
      <c r="D6" s="8" t="s">
        <v>1689</v>
      </c>
      <c r="E6" s="9" t="s">
        <v>1690</v>
      </c>
      <c r="F6" s="8" t="s">
        <v>1691</v>
      </c>
      <c r="G6" s="8" t="s">
        <v>1692</v>
      </c>
      <c r="H6" s="8" t="s">
        <v>1693</v>
      </c>
      <c r="I6" s="9" t="s">
        <v>1694</v>
      </c>
      <c r="J6" s="9" t="s">
        <v>1695</v>
      </c>
      <c r="K6" s="8" t="s">
        <v>1696</v>
      </c>
      <c r="L6" s="9" t="s">
        <v>1697</v>
      </c>
      <c r="M6" s="9" t="s">
        <v>1698</v>
      </c>
    </row>
    <row r="7" customFormat="false" ht="42" hidden="false" customHeight="true" outlineLevel="0" collapsed="false">
      <c r="A7" s="66" t="s">
        <v>926</v>
      </c>
      <c r="B7" s="26" t="s">
        <v>453</v>
      </c>
      <c r="C7" s="9" t="s">
        <v>1699</v>
      </c>
      <c r="D7" s="8" t="s">
        <v>1700</v>
      </c>
      <c r="E7" s="9" t="s">
        <v>1701</v>
      </c>
      <c r="F7" s="8" t="s">
        <v>1702</v>
      </c>
      <c r="G7" s="8" t="s">
        <v>1703</v>
      </c>
      <c r="H7" s="8" t="s">
        <v>1704</v>
      </c>
      <c r="I7" s="9" t="s">
        <v>1705</v>
      </c>
      <c r="J7" s="9" t="s">
        <v>1706</v>
      </c>
      <c r="K7" s="8" t="s">
        <v>1707</v>
      </c>
      <c r="L7" s="9" t="s">
        <v>1708</v>
      </c>
      <c r="M7" s="9" t="s">
        <v>1709</v>
      </c>
    </row>
    <row r="8" customFormat="false" ht="42" hidden="false" customHeight="true" outlineLevel="0" collapsed="false">
      <c r="A8" s="66" t="s">
        <v>752</v>
      </c>
      <c r="B8" s="26" t="s">
        <v>1710</v>
      </c>
      <c r="C8" s="9" t="s">
        <v>1711</v>
      </c>
      <c r="D8" s="8" t="s">
        <v>1712</v>
      </c>
      <c r="E8" s="9" t="s">
        <v>1713</v>
      </c>
      <c r="F8" s="8" t="s">
        <v>1714</v>
      </c>
      <c r="G8" s="8" t="s">
        <v>1715</v>
      </c>
      <c r="H8" s="8" t="s">
        <v>1716</v>
      </c>
      <c r="I8" s="9" t="s">
        <v>1717</v>
      </c>
      <c r="J8" s="8" t="s">
        <v>1718</v>
      </c>
      <c r="K8" s="8" t="s">
        <v>1719</v>
      </c>
      <c r="L8" s="9" t="s">
        <v>1720</v>
      </c>
      <c r="M8" s="9" t="s">
        <v>1721</v>
      </c>
    </row>
    <row r="9" customFormat="false" ht="42" hidden="false" customHeight="true" outlineLevel="0" collapsed="false">
      <c r="A9" s="66" t="s">
        <v>1023</v>
      </c>
      <c r="B9" s="26" t="s">
        <v>1710</v>
      </c>
      <c r="C9" s="9" t="s">
        <v>1722</v>
      </c>
      <c r="D9" s="8" t="s">
        <v>1723</v>
      </c>
      <c r="E9" s="8" t="s">
        <v>1724</v>
      </c>
      <c r="F9" s="8" t="s">
        <v>1725</v>
      </c>
      <c r="G9" s="8" t="s">
        <v>1726</v>
      </c>
      <c r="H9" s="8" t="s">
        <v>1727</v>
      </c>
      <c r="I9" s="9" t="s">
        <v>1728</v>
      </c>
      <c r="J9" s="8" t="s">
        <v>1729</v>
      </c>
      <c r="K9" s="8" t="s">
        <v>1730</v>
      </c>
      <c r="L9" s="8" t="s">
        <v>1731</v>
      </c>
      <c r="M9" s="9" t="s">
        <v>1732</v>
      </c>
    </row>
    <row r="10" customFormat="false" ht="42" hidden="false" customHeight="true" outlineLevel="0" collapsed="false">
      <c r="A10" s="66" t="s">
        <v>802</v>
      </c>
      <c r="B10" s="26" t="s">
        <v>1710</v>
      </c>
      <c r="C10" s="9" t="s">
        <v>1733</v>
      </c>
      <c r="D10" s="8" t="s">
        <v>1734</v>
      </c>
      <c r="E10" s="27" t="s">
        <v>1735</v>
      </c>
      <c r="F10" s="8" t="s">
        <v>1736</v>
      </c>
      <c r="G10" s="8" t="s">
        <v>1737</v>
      </c>
      <c r="H10" s="8" t="s">
        <v>1738</v>
      </c>
      <c r="I10" s="9" t="s">
        <v>1739</v>
      </c>
      <c r="J10" s="27" t="s">
        <v>1740</v>
      </c>
      <c r="K10" s="8" t="s">
        <v>1741</v>
      </c>
      <c r="L10" s="9" t="s">
        <v>1742</v>
      </c>
      <c r="M10" s="9" t="s">
        <v>1743</v>
      </c>
    </row>
    <row r="11" customFormat="false" ht="42" hidden="false" customHeight="true" outlineLevel="0" collapsed="false">
      <c r="A11" s="66" t="s">
        <v>776</v>
      </c>
      <c r="B11" s="26" t="s">
        <v>1744</v>
      </c>
      <c r="C11" s="9" t="s">
        <v>1745</v>
      </c>
      <c r="D11" s="8" t="s">
        <v>1746</v>
      </c>
      <c r="E11" s="9" t="s">
        <v>1747</v>
      </c>
      <c r="F11" s="8" t="s">
        <v>1748</v>
      </c>
      <c r="G11" s="8" t="s">
        <v>1749</v>
      </c>
      <c r="H11" s="8" t="s">
        <v>1750</v>
      </c>
      <c r="I11" s="9" t="s">
        <v>1751</v>
      </c>
      <c r="J11" s="9" t="s">
        <v>1752</v>
      </c>
      <c r="K11" s="8" t="s">
        <v>1753</v>
      </c>
      <c r="L11" s="9" t="s">
        <v>1754</v>
      </c>
      <c r="M11" s="9" t="s">
        <v>1755</v>
      </c>
    </row>
    <row r="12" customFormat="false" ht="42" hidden="false" customHeight="true" outlineLevel="0" collapsed="false">
      <c r="A12" s="66" t="s">
        <v>789</v>
      </c>
      <c r="B12" s="26" t="s">
        <v>1744</v>
      </c>
      <c r="C12" s="9" t="s">
        <v>1756</v>
      </c>
      <c r="D12" s="8" t="s">
        <v>1757</v>
      </c>
      <c r="E12" s="8" t="s">
        <v>1758</v>
      </c>
      <c r="F12" s="8" t="s">
        <v>1759</v>
      </c>
      <c r="G12" s="8" t="s">
        <v>1760</v>
      </c>
      <c r="H12" s="8" t="s">
        <v>1761</v>
      </c>
      <c r="I12" s="9" t="s">
        <v>1762</v>
      </c>
      <c r="J12" s="8" t="s">
        <v>1763</v>
      </c>
      <c r="K12" s="8" t="s">
        <v>1764</v>
      </c>
      <c r="L12" s="9" t="s">
        <v>1765</v>
      </c>
      <c r="M12" s="9" t="s">
        <v>1766</v>
      </c>
    </row>
    <row r="13" customFormat="false" ht="54.75" hidden="false" customHeight="true" outlineLevel="0" collapsed="false">
      <c r="A13" s="66" t="s">
        <v>909</v>
      </c>
      <c r="B13" s="26" t="s">
        <v>1744</v>
      </c>
      <c r="C13" s="9" t="s">
        <v>1767</v>
      </c>
      <c r="D13" s="8" t="s">
        <v>1768</v>
      </c>
      <c r="E13" s="9" t="s">
        <v>1769</v>
      </c>
      <c r="F13" s="8" t="s">
        <v>1770</v>
      </c>
      <c r="G13" s="8" t="s">
        <v>1771</v>
      </c>
      <c r="H13" s="8" t="s">
        <v>1772</v>
      </c>
      <c r="I13" s="9" t="s">
        <v>1773</v>
      </c>
      <c r="J13" s="9" t="s">
        <v>1774</v>
      </c>
      <c r="K13" s="8" t="s">
        <v>1775</v>
      </c>
      <c r="L13" s="8" t="s">
        <v>1776</v>
      </c>
      <c r="M13" s="9" t="s">
        <v>1777</v>
      </c>
    </row>
    <row r="14" customFormat="false" ht="42" hidden="false" customHeight="true" outlineLevel="0" collapsed="false">
      <c r="A14" s="66" t="s">
        <v>941</v>
      </c>
      <c r="B14" s="26" t="s">
        <v>1744</v>
      </c>
      <c r="C14" s="9" t="s">
        <v>1778</v>
      </c>
      <c r="D14" s="8" t="s">
        <v>1779</v>
      </c>
      <c r="E14" s="9" t="s">
        <v>1780</v>
      </c>
      <c r="F14" s="8" t="s">
        <v>1781</v>
      </c>
      <c r="G14" s="8" t="s">
        <v>1782</v>
      </c>
      <c r="H14" s="8" t="s">
        <v>1783</v>
      </c>
      <c r="I14" s="9" t="s">
        <v>1784</v>
      </c>
      <c r="J14" s="9" t="s">
        <v>1785</v>
      </c>
      <c r="K14" s="8" t="s">
        <v>1786</v>
      </c>
      <c r="L14" s="9" t="s">
        <v>1787</v>
      </c>
      <c r="M14" s="9" t="s">
        <v>1788</v>
      </c>
    </row>
    <row r="15" customFormat="false" ht="42" hidden="false" customHeight="true" outlineLevel="0" collapsed="false">
      <c r="A15" s="66" t="s">
        <v>1789</v>
      </c>
      <c r="B15" s="26" t="s">
        <v>1790</v>
      </c>
      <c r="C15" s="9" t="s">
        <v>1791</v>
      </c>
      <c r="D15" s="8" t="s">
        <v>1792</v>
      </c>
      <c r="E15" s="9" t="s">
        <v>1793</v>
      </c>
      <c r="F15" s="8" t="s">
        <v>1794</v>
      </c>
      <c r="G15" s="8" t="s">
        <v>1795</v>
      </c>
      <c r="H15" s="8" t="s">
        <v>1479</v>
      </c>
      <c r="I15" s="9" t="s">
        <v>1796</v>
      </c>
      <c r="J15" s="8" t="s">
        <v>1797</v>
      </c>
      <c r="K15" s="8" t="s">
        <v>1798</v>
      </c>
      <c r="L15" s="9" t="s">
        <v>1799</v>
      </c>
      <c r="M15" s="9" t="s">
        <v>1800</v>
      </c>
    </row>
    <row r="16" customFormat="false" ht="42" hidden="false" customHeight="true" outlineLevel="0" collapsed="false">
      <c r="A16" s="66" t="s">
        <v>1270</v>
      </c>
      <c r="B16" s="24" t="s">
        <v>1801</v>
      </c>
      <c r="C16" s="9" t="s">
        <v>1802</v>
      </c>
      <c r="D16" s="8" t="s">
        <v>1803</v>
      </c>
      <c r="E16" s="27" t="s">
        <v>1804</v>
      </c>
      <c r="F16" s="8" t="s">
        <v>1805</v>
      </c>
      <c r="G16" s="8" t="s">
        <v>1806</v>
      </c>
      <c r="H16" s="8" t="s">
        <v>1807</v>
      </c>
      <c r="I16" s="9" t="s">
        <v>1808</v>
      </c>
      <c r="J16" s="8" t="s">
        <v>1809</v>
      </c>
      <c r="K16" s="8" t="s">
        <v>1810</v>
      </c>
      <c r="L16" s="8" t="s">
        <v>1811</v>
      </c>
      <c r="M16" s="27" t="s">
        <v>1812</v>
      </c>
    </row>
    <row r="17" customFormat="false" ht="67.5" hidden="false" customHeight="true" outlineLevel="0" collapsed="false">
      <c r="A17" s="66" t="s">
        <v>1418</v>
      </c>
      <c r="B17" s="24" t="s">
        <v>1813</v>
      </c>
      <c r="C17" s="9" t="s">
        <v>1814</v>
      </c>
      <c r="D17" s="8" t="s">
        <v>1815</v>
      </c>
      <c r="E17" s="8" t="s">
        <v>1816</v>
      </c>
      <c r="F17" s="8" t="s">
        <v>1817</v>
      </c>
      <c r="G17" s="8" t="s">
        <v>1818</v>
      </c>
      <c r="H17" s="8" t="s">
        <v>1819</v>
      </c>
      <c r="I17" s="9" t="s">
        <v>1820</v>
      </c>
      <c r="J17" s="8" t="s">
        <v>1821</v>
      </c>
      <c r="K17" s="8" t="s">
        <v>1822</v>
      </c>
      <c r="L17" s="9" t="s">
        <v>1823</v>
      </c>
      <c r="M17" s="9" t="s">
        <v>1824</v>
      </c>
    </row>
    <row r="18" customFormat="false" ht="54.75" hidden="false" customHeight="true" outlineLevel="0" collapsed="false">
      <c r="A18" s="66" t="s">
        <v>1142</v>
      </c>
      <c r="B18" s="26" t="s">
        <v>1825</v>
      </c>
      <c r="C18" s="9" t="s">
        <v>1826</v>
      </c>
      <c r="D18" s="8" t="s">
        <v>1827</v>
      </c>
      <c r="E18" s="9" t="s">
        <v>1828</v>
      </c>
      <c r="F18" s="8" t="s">
        <v>1829</v>
      </c>
      <c r="G18" s="8" t="s">
        <v>1830</v>
      </c>
      <c r="H18" s="8" t="s">
        <v>1141</v>
      </c>
      <c r="I18" s="9" t="s">
        <v>1831</v>
      </c>
      <c r="J18" s="9" t="s">
        <v>1832</v>
      </c>
      <c r="K18" s="8" t="s">
        <v>1833</v>
      </c>
      <c r="L18" s="27" t="s">
        <v>1834</v>
      </c>
      <c r="M18" s="27" t="s">
        <v>1835</v>
      </c>
    </row>
    <row r="19" customFormat="false" ht="42" hidden="false" customHeight="true" outlineLevel="0" collapsed="false">
      <c r="A19" s="66" t="s">
        <v>1836</v>
      </c>
      <c r="B19" s="26" t="s">
        <v>1837</v>
      </c>
      <c r="C19" s="9" t="s">
        <v>1838</v>
      </c>
      <c r="D19" s="8" t="s">
        <v>1839</v>
      </c>
      <c r="E19" s="9" t="s">
        <v>1840</v>
      </c>
      <c r="F19" s="8" t="s">
        <v>1841</v>
      </c>
      <c r="G19" s="8" t="s">
        <v>1842</v>
      </c>
      <c r="H19" s="8" t="s">
        <v>1843</v>
      </c>
      <c r="I19" s="9" t="s">
        <v>1844</v>
      </c>
      <c r="J19" s="9" t="s">
        <v>1845</v>
      </c>
      <c r="K19" s="8" t="s">
        <v>1846</v>
      </c>
      <c r="L19" s="9" t="s">
        <v>1847</v>
      </c>
      <c r="M19" s="9" t="s">
        <v>1848</v>
      </c>
    </row>
    <row r="20" customFormat="false" ht="42" hidden="false" customHeight="true" outlineLevel="0" collapsed="false">
      <c r="A20" s="66" t="s">
        <v>1456</v>
      </c>
      <c r="B20" s="26" t="s">
        <v>1849</v>
      </c>
      <c r="C20" s="9" t="s">
        <v>1850</v>
      </c>
      <c r="D20" s="8" t="s">
        <v>1851</v>
      </c>
      <c r="E20" s="9" t="s">
        <v>1852</v>
      </c>
      <c r="F20" s="8" t="s">
        <v>1853</v>
      </c>
      <c r="G20" s="8" t="s">
        <v>1854</v>
      </c>
      <c r="H20" s="8" t="s">
        <v>1455</v>
      </c>
      <c r="I20" s="9" t="s">
        <v>1855</v>
      </c>
      <c r="J20" s="8" t="s">
        <v>1856</v>
      </c>
      <c r="K20" s="8" t="s">
        <v>1857</v>
      </c>
      <c r="L20" s="9" t="s">
        <v>1858</v>
      </c>
      <c r="M20" s="8" t="s">
        <v>1859</v>
      </c>
    </row>
    <row r="21" customFormat="false" ht="42" hidden="false" customHeight="true" outlineLevel="0" collapsed="false">
      <c r="A21" s="66" t="s">
        <v>1462</v>
      </c>
      <c r="B21" s="26" t="s">
        <v>1860</v>
      </c>
      <c r="C21" s="9" t="s">
        <v>1861</v>
      </c>
      <c r="D21" s="8" t="s">
        <v>1862</v>
      </c>
      <c r="E21" s="9" t="s">
        <v>1863</v>
      </c>
      <c r="F21" s="8" t="s">
        <v>1864</v>
      </c>
      <c r="G21" s="8" t="s">
        <v>1865</v>
      </c>
      <c r="H21" s="8" t="s">
        <v>1461</v>
      </c>
      <c r="I21" s="9" t="s">
        <v>1866</v>
      </c>
      <c r="J21" s="8" t="s">
        <v>1867</v>
      </c>
      <c r="K21" s="8" t="s">
        <v>1868</v>
      </c>
      <c r="L21" s="9" t="s">
        <v>1869</v>
      </c>
      <c r="M21" s="8" t="s">
        <v>1870</v>
      </c>
    </row>
    <row r="22" customFormat="false" ht="42" hidden="false" customHeight="true" outlineLevel="0" collapsed="false">
      <c r="A22" s="66" t="s">
        <v>1468</v>
      </c>
      <c r="B22" s="26" t="s">
        <v>1744</v>
      </c>
      <c r="C22" s="9" t="s">
        <v>1871</v>
      </c>
      <c r="D22" s="8" t="s">
        <v>1872</v>
      </c>
      <c r="E22" s="9" t="s">
        <v>1873</v>
      </c>
      <c r="F22" s="8" t="s">
        <v>1874</v>
      </c>
      <c r="G22" s="8" t="s">
        <v>1875</v>
      </c>
      <c r="H22" s="8" t="s">
        <v>1467</v>
      </c>
      <c r="I22" s="9" t="s">
        <v>1876</v>
      </c>
      <c r="J22" s="9" t="s">
        <v>1877</v>
      </c>
      <c r="K22" s="8" t="s">
        <v>1878</v>
      </c>
      <c r="L22" s="9" t="s">
        <v>1879</v>
      </c>
      <c r="M22" s="9" t="s">
        <v>1880</v>
      </c>
    </row>
    <row r="24" customFormat="false" ht="18" hidden="false" customHeight="true" outlineLevel="0" collapsed="false">
      <c r="A24" s="4" t="s">
        <v>1881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</row>
    <row r="25" customFormat="false" ht="19.5" hidden="false" customHeight="true" outlineLevel="0" collapsed="false">
      <c r="A25" s="22" t="s">
        <v>86</v>
      </c>
      <c r="B25" s="23" t="s">
        <v>1882</v>
      </c>
      <c r="C25" s="23" t="s">
        <v>1883</v>
      </c>
      <c r="D25" s="23" t="s">
        <v>1884</v>
      </c>
      <c r="E25" s="23" t="s">
        <v>1885</v>
      </c>
    </row>
    <row r="26" customFormat="false" ht="29.25" hidden="false" customHeight="true" outlineLevel="0" collapsed="false">
      <c r="A26" s="24" t="s">
        <v>1886</v>
      </c>
      <c r="B26" s="9" t="s">
        <v>1710</v>
      </c>
      <c r="C26" s="9" t="s">
        <v>1887</v>
      </c>
      <c r="D26" s="27" t="s">
        <v>1888</v>
      </c>
      <c r="E26" s="27" t="s">
        <v>1889</v>
      </c>
    </row>
    <row r="27" customFormat="false" ht="29.25" hidden="false" customHeight="true" outlineLevel="0" collapsed="false">
      <c r="A27" s="24" t="s">
        <v>1890</v>
      </c>
      <c r="B27" s="9" t="s">
        <v>1744</v>
      </c>
      <c r="C27" s="9" t="s">
        <v>1891</v>
      </c>
      <c r="D27" s="8" t="s">
        <v>1892</v>
      </c>
      <c r="E27" s="8" t="s">
        <v>1893</v>
      </c>
    </row>
    <row r="28" customFormat="false" ht="29.25" hidden="false" customHeight="true" outlineLevel="0" collapsed="false">
      <c r="A28" s="24" t="s">
        <v>1894</v>
      </c>
      <c r="B28" s="9" t="s">
        <v>453</v>
      </c>
      <c r="C28" s="9" t="s">
        <v>1895</v>
      </c>
      <c r="D28" s="9" t="s">
        <v>1896</v>
      </c>
      <c r="E28" s="9" t="s">
        <v>1897</v>
      </c>
    </row>
    <row r="29" customFormat="false" ht="42" hidden="false" customHeight="true" outlineLevel="0" collapsed="false">
      <c r="A29" s="24" t="s">
        <v>1898</v>
      </c>
      <c r="B29" s="9" t="s">
        <v>1899</v>
      </c>
      <c r="C29" s="9" t="s">
        <v>1900</v>
      </c>
      <c r="D29" s="9" t="s">
        <v>1901</v>
      </c>
      <c r="E29" s="9" t="s">
        <v>1902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Q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0"/>
    <col collapsed="false" customWidth="true" hidden="false" outlineLevel="0" max="15" min="3" style="1" width="6"/>
    <col collapsed="false" customWidth="true" hidden="false" outlineLevel="0" max="17" min="16" style="1" width="10"/>
  </cols>
  <sheetData>
    <row r="1" customFormat="false" ht="24" hidden="false" customHeight="true" outlineLevel="0" collapsed="false">
      <c r="A1" s="21" t="s">
        <v>1903</v>
      </c>
    </row>
    <row r="2" customFormat="false" ht="15" hidden="false" customHeight="true" outlineLevel="0" collapsed="false">
      <c r="A2" s="3" t="s">
        <v>1904</v>
      </c>
    </row>
    <row r="4" customFormat="false" ht="21.75" hidden="false" customHeight="true" outlineLevel="0" collapsed="false">
      <c r="A4" s="22" t="s">
        <v>1665</v>
      </c>
      <c r="B4" s="23" t="s">
        <v>50</v>
      </c>
      <c r="C4" s="22" t="s">
        <v>331</v>
      </c>
      <c r="D4" s="22" t="s">
        <v>332</v>
      </c>
      <c r="E4" s="22" t="s">
        <v>333</v>
      </c>
      <c r="F4" s="22" t="s">
        <v>334</v>
      </c>
      <c r="G4" s="22" t="s">
        <v>335</v>
      </c>
      <c r="H4" s="22" t="s">
        <v>336</v>
      </c>
      <c r="I4" s="22" t="s">
        <v>337</v>
      </c>
      <c r="J4" s="22" t="s">
        <v>338</v>
      </c>
      <c r="K4" s="22" t="s">
        <v>339</v>
      </c>
      <c r="L4" s="22" t="s">
        <v>340</v>
      </c>
      <c r="M4" s="22" t="s">
        <v>341</v>
      </c>
      <c r="N4" s="22" t="s">
        <v>342</v>
      </c>
      <c r="O4" s="22" t="s">
        <v>343</v>
      </c>
      <c r="P4" s="23" t="s">
        <v>1905</v>
      </c>
      <c r="Q4" s="23" t="s">
        <v>1906</v>
      </c>
    </row>
    <row r="5" customFormat="false" ht="15" hidden="false" customHeight="true" outlineLevel="0" collapsed="false">
      <c r="A5" s="49" t="s">
        <v>1188</v>
      </c>
      <c r="B5" s="67" t="s">
        <v>1907</v>
      </c>
      <c r="C5" s="30"/>
      <c r="D5" s="30"/>
      <c r="E5" s="30"/>
      <c r="F5" s="30"/>
      <c r="G5" s="30"/>
      <c r="H5" s="30"/>
      <c r="I5" s="30" t="s">
        <v>1908</v>
      </c>
      <c r="J5" s="30" t="s">
        <v>1908</v>
      </c>
      <c r="K5" s="30" t="s">
        <v>1909</v>
      </c>
      <c r="L5" s="30" t="s">
        <v>1909</v>
      </c>
      <c r="M5" s="30" t="s">
        <v>1908</v>
      </c>
      <c r="N5" s="30" t="s">
        <v>1909</v>
      </c>
      <c r="O5" s="30"/>
      <c r="P5" s="31" t="n">
        <f aca="false">COUNTIF(C5:O5,"●")</f>
        <v>3</v>
      </c>
      <c r="Q5" s="31" t="n">
        <f aca="false">COUNTIF(C5:O5,"○")</f>
        <v>3</v>
      </c>
    </row>
    <row r="6" customFormat="false" ht="15" hidden="false" customHeight="true" outlineLevel="0" collapsed="false">
      <c r="A6" s="49" t="s">
        <v>1687</v>
      </c>
      <c r="B6" s="67" t="s">
        <v>1910</v>
      </c>
      <c r="C6" s="30"/>
      <c r="D6" s="30"/>
      <c r="E6" s="30"/>
      <c r="F6" s="30"/>
      <c r="G6" s="30"/>
      <c r="H6" s="30"/>
      <c r="I6" s="30"/>
      <c r="J6" s="30"/>
      <c r="K6" s="30"/>
      <c r="L6" s="30" t="s">
        <v>1909</v>
      </c>
      <c r="M6" s="30"/>
      <c r="N6" s="30" t="s">
        <v>1908</v>
      </c>
      <c r="O6" s="30"/>
      <c r="P6" s="31" t="n">
        <f aca="false">COUNTIF(C6:O6,"●")</f>
        <v>1</v>
      </c>
      <c r="Q6" s="31" t="n">
        <f aca="false">COUNTIF(C6:O6,"○")</f>
        <v>1</v>
      </c>
    </row>
    <row r="7" customFormat="false" ht="15" hidden="false" customHeight="true" outlineLevel="0" collapsed="false">
      <c r="A7" s="49" t="s">
        <v>926</v>
      </c>
      <c r="B7" s="67" t="s">
        <v>1911</v>
      </c>
      <c r="C7" s="30"/>
      <c r="D7" s="30" t="s">
        <v>1908</v>
      </c>
      <c r="E7" s="30" t="s">
        <v>1908</v>
      </c>
      <c r="F7" s="30" t="s">
        <v>1908</v>
      </c>
      <c r="G7" s="30"/>
      <c r="H7" s="30"/>
      <c r="I7" s="30" t="s">
        <v>1909</v>
      </c>
      <c r="J7" s="30" t="s">
        <v>1908</v>
      </c>
      <c r="K7" s="30" t="s">
        <v>1909</v>
      </c>
      <c r="L7" s="30" t="s">
        <v>1908</v>
      </c>
      <c r="M7" s="30"/>
      <c r="N7" s="30" t="s">
        <v>1908</v>
      </c>
      <c r="O7" s="30"/>
      <c r="P7" s="31" t="n">
        <f aca="false">COUNTIF(C7:O7,"●")</f>
        <v>2</v>
      </c>
      <c r="Q7" s="31" t="n">
        <f aca="false">COUNTIF(C7:O7,"○")</f>
        <v>6</v>
      </c>
    </row>
    <row r="8" customFormat="false" ht="15" hidden="false" customHeight="true" outlineLevel="0" collapsed="false">
      <c r="A8" s="49" t="s">
        <v>752</v>
      </c>
      <c r="B8" s="67" t="s">
        <v>1912</v>
      </c>
      <c r="C8" s="30" t="s">
        <v>1908</v>
      </c>
      <c r="D8" s="30" t="s">
        <v>1909</v>
      </c>
      <c r="E8" s="30"/>
      <c r="F8" s="30"/>
      <c r="G8" s="30"/>
      <c r="H8" s="30" t="s">
        <v>1909</v>
      </c>
      <c r="I8" s="30"/>
      <c r="J8" s="30" t="s">
        <v>1908</v>
      </c>
      <c r="K8" s="30" t="s">
        <v>1909</v>
      </c>
      <c r="L8" s="30"/>
      <c r="M8" s="30" t="s">
        <v>1909</v>
      </c>
      <c r="N8" s="30"/>
      <c r="O8" s="30" t="s">
        <v>1908</v>
      </c>
      <c r="P8" s="31" t="n">
        <f aca="false">COUNTIF(C8:O8,"●")</f>
        <v>4</v>
      </c>
      <c r="Q8" s="31" t="n">
        <f aca="false">COUNTIF(C8:O8,"○")</f>
        <v>3</v>
      </c>
    </row>
    <row r="9" customFormat="false" ht="15" hidden="false" customHeight="true" outlineLevel="0" collapsed="false">
      <c r="A9" s="49" t="s">
        <v>1023</v>
      </c>
      <c r="B9" s="67" t="s">
        <v>1913</v>
      </c>
      <c r="C9" s="30"/>
      <c r="D9" s="30"/>
      <c r="E9" s="30"/>
      <c r="F9" s="30"/>
      <c r="G9" s="30" t="s">
        <v>1909</v>
      </c>
      <c r="H9" s="30"/>
      <c r="I9" s="30"/>
      <c r="J9" s="30" t="s">
        <v>1908</v>
      </c>
      <c r="K9" s="30"/>
      <c r="L9" s="30"/>
      <c r="M9" s="30" t="s">
        <v>1908</v>
      </c>
      <c r="N9" s="30"/>
      <c r="O9" s="30" t="s">
        <v>1908</v>
      </c>
      <c r="P9" s="31" t="n">
        <f aca="false">COUNTIF(C9:O9,"●")</f>
        <v>1</v>
      </c>
      <c r="Q9" s="31" t="n">
        <f aca="false">COUNTIF(C9:O9,"○")</f>
        <v>3</v>
      </c>
    </row>
    <row r="10" customFormat="false" ht="15" hidden="false" customHeight="true" outlineLevel="0" collapsed="false">
      <c r="A10" s="49" t="s">
        <v>802</v>
      </c>
      <c r="B10" s="67" t="s">
        <v>1914</v>
      </c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 t="s">
        <v>1909</v>
      </c>
      <c r="N10" s="30" t="s">
        <v>1909</v>
      </c>
      <c r="O10" s="30" t="s">
        <v>1908</v>
      </c>
      <c r="P10" s="31" t="n">
        <f aca="false">COUNTIF(C10:O10,"●")</f>
        <v>2</v>
      </c>
      <c r="Q10" s="31" t="n">
        <f aca="false">COUNTIF(C10:O10,"○")</f>
        <v>1</v>
      </c>
    </row>
    <row r="11" customFormat="false" ht="15" hidden="false" customHeight="true" outlineLevel="0" collapsed="false">
      <c r="A11" s="49" t="s">
        <v>776</v>
      </c>
      <c r="B11" s="67" t="s">
        <v>1915</v>
      </c>
      <c r="C11" s="30" t="s">
        <v>1908</v>
      </c>
      <c r="D11" s="30"/>
      <c r="E11" s="30"/>
      <c r="F11" s="30"/>
      <c r="G11" s="30" t="s">
        <v>1908</v>
      </c>
      <c r="H11" s="30"/>
      <c r="I11" s="30" t="s">
        <v>1908</v>
      </c>
      <c r="J11" s="30" t="s">
        <v>1908</v>
      </c>
      <c r="K11" s="30"/>
      <c r="L11" s="30" t="s">
        <v>1908</v>
      </c>
      <c r="M11" s="30" t="s">
        <v>1909</v>
      </c>
      <c r="N11" s="30"/>
      <c r="O11" s="30" t="s">
        <v>1909</v>
      </c>
      <c r="P11" s="31" t="n">
        <f aca="false">COUNTIF(C11:O11,"●")</f>
        <v>2</v>
      </c>
      <c r="Q11" s="31" t="n">
        <f aca="false">COUNTIF(C11:O11,"○")</f>
        <v>5</v>
      </c>
    </row>
    <row r="12" customFormat="false" ht="15" hidden="false" customHeight="true" outlineLevel="0" collapsed="false">
      <c r="A12" s="49" t="s">
        <v>789</v>
      </c>
      <c r="B12" s="67" t="s">
        <v>1916</v>
      </c>
      <c r="C12" s="30" t="s">
        <v>1908</v>
      </c>
      <c r="D12" s="30"/>
      <c r="E12" s="30" t="s">
        <v>1908</v>
      </c>
      <c r="F12" s="30"/>
      <c r="G12" s="30"/>
      <c r="H12" s="30" t="s">
        <v>1909</v>
      </c>
      <c r="I12" s="30" t="s">
        <v>1909</v>
      </c>
      <c r="J12" s="30" t="s">
        <v>1908</v>
      </c>
      <c r="K12" s="30"/>
      <c r="L12" s="30" t="s">
        <v>1908</v>
      </c>
      <c r="M12" s="30" t="s">
        <v>1909</v>
      </c>
      <c r="N12" s="30"/>
      <c r="O12" s="30"/>
      <c r="P12" s="31" t="n">
        <f aca="false">COUNTIF(C12:O12,"●")</f>
        <v>3</v>
      </c>
      <c r="Q12" s="31" t="n">
        <f aca="false">COUNTIF(C12:O12,"○")</f>
        <v>4</v>
      </c>
    </row>
    <row r="13" customFormat="false" ht="15" hidden="false" customHeight="true" outlineLevel="0" collapsed="false">
      <c r="A13" s="49" t="s">
        <v>909</v>
      </c>
      <c r="B13" s="67" t="s">
        <v>1917</v>
      </c>
      <c r="C13" s="30"/>
      <c r="D13" s="30"/>
      <c r="E13" s="30" t="s">
        <v>1908</v>
      </c>
      <c r="F13" s="30"/>
      <c r="G13" s="30"/>
      <c r="H13" s="30"/>
      <c r="I13" s="30"/>
      <c r="J13" s="30"/>
      <c r="K13" s="30" t="s">
        <v>1909</v>
      </c>
      <c r="L13" s="30" t="s">
        <v>1908</v>
      </c>
      <c r="M13" s="30" t="s">
        <v>1908</v>
      </c>
      <c r="N13" s="30"/>
      <c r="O13" s="30" t="s">
        <v>1908</v>
      </c>
      <c r="P13" s="31" t="n">
        <f aca="false">COUNTIF(C13:O13,"●")</f>
        <v>1</v>
      </c>
      <c r="Q13" s="31" t="n">
        <f aca="false">COUNTIF(C13:O13,"○")</f>
        <v>4</v>
      </c>
    </row>
    <row r="14" customFormat="false" ht="15" hidden="false" customHeight="true" outlineLevel="0" collapsed="false">
      <c r="A14" s="49" t="s">
        <v>941</v>
      </c>
      <c r="B14" s="67" t="s">
        <v>1918</v>
      </c>
      <c r="C14" s="30"/>
      <c r="D14" s="30"/>
      <c r="E14" s="30" t="s">
        <v>1909</v>
      </c>
      <c r="F14" s="30"/>
      <c r="G14" s="30"/>
      <c r="H14" s="30"/>
      <c r="I14" s="30"/>
      <c r="J14" s="30"/>
      <c r="K14" s="30"/>
      <c r="L14" s="30" t="s">
        <v>1908</v>
      </c>
      <c r="M14" s="30" t="s">
        <v>1908</v>
      </c>
      <c r="N14" s="30" t="s">
        <v>1908</v>
      </c>
      <c r="O14" s="30"/>
      <c r="P14" s="31" t="n">
        <f aca="false">COUNTIF(C14:O14,"●")</f>
        <v>1</v>
      </c>
      <c r="Q14" s="31" t="n">
        <f aca="false">COUNTIF(C14:O14,"○")</f>
        <v>3</v>
      </c>
    </row>
    <row r="15" customFormat="false" ht="15" hidden="false" customHeight="true" outlineLevel="0" collapsed="false">
      <c r="A15" s="49" t="s">
        <v>1789</v>
      </c>
      <c r="B15" s="67" t="s">
        <v>1919</v>
      </c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 t="s">
        <v>1909</v>
      </c>
      <c r="O15" s="30" t="s">
        <v>1908</v>
      </c>
      <c r="P15" s="31" t="n">
        <f aca="false">COUNTIF(C15:O15,"●")</f>
        <v>1</v>
      </c>
      <c r="Q15" s="31" t="n">
        <f aca="false">COUNTIF(C15:O15,"○")</f>
        <v>1</v>
      </c>
    </row>
    <row r="16" customFormat="false" ht="15" hidden="false" customHeight="true" outlineLevel="0" collapsed="false">
      <c r="A16" s="49" t="s">
        <v>1270</v>
      </c>
      <c r="B16" s="68" t="s">
        <v>1920</v>
      </c>
      <c r="C16" s="30"/>
      <c r="D16" s="30"/>
      <c r="E16" s="30"/>
      <c r="F16" s="30"/>
      <c r="G16" s="30"/>
      <c r="H16" s="30"/>
      <c r="I16" s="30"/>
      <c r="J16" s="30"/>
      <c r="K16" s="30" t="s">
        <v>1909</v>
      </c>
      <c r="L16" s="30"/>
      <c r="M16" s="30" t="s">
        <v>1908</v>
      </c>
      <c r="N16" s="30" t="s">
        <v>1908</v>
      </c>
      <c r="O16" s="30"/>
      <c r="P16" s="31" t="n">
        <f aca="false">COUNTIF(C16:O16,"●")</f>
        <v>1</v>
      </c>
      <c r="Q16" s="31" t="n">
        <f aca="false">COUNTIF(C16:O16,"○")</f>
        <v>2</v>
      </c>
    </row>
    <row r="17" customFormat="false" ht="15" hidden="false" customHeight="true" outlineLevel="0" collapsed="false">
      <c r="A17" s="49" t="s">
        <v>1418</v>
      </c>
      <c r="B17" s="67" t="s">
        <v>1921</v>
      </c>
      <c r="C17" s="30"/>
      <c r="D17" s="30"/>
      <c r="E17" s="30"/>
      <c r="F17" s="30"/>
      <c r="G17" s="30"/>
      <c r="H17" s="30"/>
      <c r="I17" s="30"/>
      <c r="J17" s="30"/>
      <c r="K17" s="30"/>
      <c r="L17" s="30" t="s">
        <v>1908</v>
      </c>
      <c r="M17" s="30" t="s">
        <v>1909</v>
      </c>
      <c r="N17" s="30" t="s">
        <v>1909</v>
      </c>
      <c r="O17" s="30" t="s">
        <v>1908</v>
      </c>
      <c r="P17" s="31" t="n">
        <f aca="false">COUNTIF(C17:O17,"●")</f>
        <v>2</v>
      </c>
      <c r="Q17" s="31" t="n">
        <f aca="false">COUNTIF(C17:O17,"○")</f>
        <v>2</v>
      </c>
    </row>
    <row r="18" customFormat="false" ht="15" hidden="false" customHeight="true" outlineLevel="0" collapsed="false">
      <c r="A18" s="49" t="s">
        <v>1142</v>
      </c>
      <c r="B18" s="67" t="s">
        <v>1922</v>
      </c>
      <c r="C18" s="30"/>
      <c r="D18" s="30"/>
      <c r="E18" s="30"/>
      <c r="F18" s="30"/>
      <c r="G18" s="30"/>
      <c r="H18" s="30"/>
      <c r="I18" s="30" t="s">
        <v>1909</v>
      </c>
      <c r="J18" s="30" t="s">
        <v>1908</v>
      </c>
      <c r="K18" s="30"/>
      <c r="L18" s="30" t="s">
        <v>1908</v>
      </c>
      <c r="M18" s="30"/>
      <c r="N18" s="30"/>
      <c r="O18" s="30"/>
      <c r="P18" s="31" t="n">
        <f aca="false">COUNTIF(C18:O18,"●")</f>
        <v>1</v>
      </c>
      <c r="Q18" s="31" t="n">
        <f aca="false">COUNTIF(C18:O18,"○")</f>
        <v>2</v>
      </c>
    </row>
    <row r="19" customFormat="false" ht="15" hidden="false" customHeight="true" outlineLevel="0" collapsed="false">
      <c r="A19" s="49" t="s">
        <v>1836</v>
      </c>
      <c r="B19" s="67" t="s">
        <v>1923</v>
      </c>
      <c r="C19" s="30"/>
      <c r="D19" s="30"/>
      <c r="E19" s="30"/>
      <c r="F19" s="30"/>
      <c r="G19" s="30"/>
      <c r="H19" s="30"/>
      <c r="I19" s="30"/>
      <c r="J19" s="30"/>
      <c r="K19" s="30"/>
      <c r="L19" s="30" t="s">
        <v>1909</v>
      </c>
      <c r="M19" s="30" t="s">
        <v>1908</v>
      </c>
      <c r="N19" s="30"/>
      <c r="O19" s="30" t="s">
        <v>1908</v>
      </c>
      <c r="P19" s="31" t="n">
        <f aca="false">COUNTIF(C19:O19,"●")</f>
        <v>1</v>
      </c>
      <c r="Q19" s="31" t="n">
        <f aca="false">COUNTIF(C19:O19,"○")</f>
        <v>2</v>
      </c>
    </row>
    <row r="20" customFormat="false" ht="15" hidden="false" customHeight="true" outlineLevel="0" collapsed="false">
      <c r="A20" s="49" t="s">
        <v>1456</v>
      </c>
      <c r="B20" s="67" t="s">
        <v>1924</v>
      </c>
      <c r="C20" s="30"/>
      <c r="D20" s="30"/>
      <c r="E20" s="30"/>
      <c r="F20" s="30"/>
      <c r="G20" s="30" t="s">
        <v>1908</v>
      </c>
      <c r="H20" s="30"/>
      <c r="I20" s="30"/>
      <c r="J20" s="30"/>
      <c r="K20" s="30"/>
      <c r="L20" s="30"/>
      <c r="M20" s="30"/>
      <c r="N20" s="30" t="s">
        <v>1909</v>
      </c>
      <c r="O20" s="30"/>
      <c r="P20" s="31" t="n">
        <f aca="false">COUNTIF(C20:O20,"●")</f>
        <v>1</v>
      </c>
      <c r="Q20" s="31" t="n">
        <f aca="false">COUNTIF(C20:O20,"○")</f>
        <v>1</v>
      </c>
    </row>
    <row r="21" customFormat="false" ht="15" hidden="false" customHeight="true" outlineLevel="0" collapsed="false">
      <c r="A21" s="49" t="s">
        <v>1462</v>
      </c>
      <c r="B21" s="67" t="s">
        <v>1925</v>
      </c>
      <c r="C21" s="30"/>
      <c r="D21" s="30"/>
      <c r="E21" s="30"/>
      <c r="F21" s="30"/>
      <c r="G21" s="30"/>
      <c r="H21" s="30"/>
      <c r="I21" s="30" t="s">
        <v>1908</v>
      </c>
      <c r="J21" s="30"/>
      <c r="K21" s="30"/>
      <c r="L21" s="30"/>
      <c r="M21" s="30"/>
      <c r="N21" s="30" t="s">
        <v>1909</v>
      </c>
      <c r="O21" s="30"/>
      <c r="P21" s="31" t="n">
        <f aca="false">COUNTIF(C21:O21,"●")</f>
        <v>1</v>
      </c>
      <c r="Q21" s="31" t="n">
        <f aca="false">COUNTIF(C21:O21,"○")</f>
        <v>1</v>
      </c>
    </row>
    <row r="22" customFormat="false" ht="15" hidden="false" customHeight="true" outlineLevel="0" collapsed="false">
      <c r="A22" s="49" t="s">
        <v>1468</v>
      </c>
      <c r="B22" s="67" t="s">
        <v>1926</v>
      </c>
      <c r="C22" s="30" t="s">
        <v>1908</v>
      </c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 t="s">
        <v>1909</v>
      </c>
      <c r="O22" s="30"/>
      <c r="P22" s="31" t="n">
        <f aca="false">COUNTIF(C22:O22,"●")</f>
        <v>1</v>
      </c>
      <c r="Q22" s="31" t="n">
        <f aca="false">COUNTIF(C22:O22,"○")</f>
        <v>1</v>
      </c>
    </row>
    <row r="23" customFormat="false" ht="15" hidden="false" customHeight="true" outlineLevel="0" collapsed="false">
      <c r="A23" s="69"/>
      <c r="B23" s="46" t="s">
        <v>1927</v>
      </c>
      <c r="C23" s="52" t="n">
        <f aca="false">COUNTIF(C5:C22,"●")</f>
        <v>0</v>
      </c>
      <c r="D23" s="52" t="n">
        <f aca="false">COUNTIF(D5:D22,"●")</f>
        <v>1</v>
      </c>
      <c r="E23" s="52" t="n">
        <f aca="false">COUNTIF(E5:E22,"●")</f>
        <v>1</v>
      </c>
      <c r="F23" s="52" t="n">
        <f aca="false">COUNTIF(F5:F22,"●")</f>
        <v>0</v>
      </c>
      <c r="G23" s="52" t="n">
        <f aca="false">COUNTIF(G5:G22,"●")</f>
        <v>1</v>
      </c>
      <c r="H23" s="52" t="n">
        <f aca="false">COUNTIF(H5:H22,"●")</f>
        <v>2</v>
      </c>
      <c r="I23" s="52" t="n">
        <f aca="false">COUNTIF(I5:I22,"●")</f>
        <v>3</v>
      </c>
      <c r="J23" s="52" t="n">
        <f aca="false">COUNTIF(J5:J22,"●")</f>
        <v>0</v>
      </c>
      <c r="K23" s="52" t="n">
        <f aca="false">COUNTIF(K5:K22,"●")</f>
        <v>5</v>
      </c>
      <c r="L23" s="52" t="n">
        <f aca="false">COUNTIF(L5:L22,"●")</f>
        <v>3</v>
      </c>
      <c r="M23" s="52" t="n">
        <f aca="false">COUNTIF(M5:M22,"●")</f>
        <v>5</v>
      </c>
      <c r="N23" s="52" t="n">
        <f aca="false">COUNTIF(N5:N22,"●")</f>
        <v>7</v>
      </c>
      <c r="O23" s="52" t="n">
        <f aca="false">COUNTIF(O5:O22,"●")</f>
        <v>1</v>
      </c>
      <c r="P23" s="52" t="n">
        <f aca="false">SUM(P5:P22)</f>
        <v>29</v>
      </c>
      <c r="Q23" s="69"/>
    </row>
    <row r="24" customFormat="false" ht="15" hidden="false" customHeight="true" outlineLevel="0" collapsed="false">
      <c r="A24" s="69"/>
      <c r="B24" s="46" t="s">
        <v>1928</v>
      </c>
      <c r="C24" s="52" t="n">
        <f aca="false">COUNTIF(C5:C22,"○")</f>
        <v>4</v>
      </c>
      <c r="D24" s="52" t="n">
        <f aca="false">COUNTIF(D5:D22,"○")</f>
        <v>1</v>
      </c>
      <c r="E24" s="52" t="n">
        <f aca="false">COUNTIF(E5:E22,"○")</f>
        <v>3</v>
      </c>
      <c r="F24" s="52" t="n">
        <f aca="false">COUNTIF(F5:F22,"○")</f>
        <v>1</v>
      </c>
      <c r="G24" s="52" t="n">
        <f aca="false">COUNTIF(G5:G22,"○")</f>
        <v>2</v>
      </c>
      <c r="H24" s="52" t="n">
        <f aca="false">COUNTIF(H5:H22,"○")</f>
        <v>0</v>
      </c>
      <c r="I24" s="52" t="n">
        <f aca="false">COUNTIF(I5:I22,"○")</f>
        <v>3</v>
      </c>
      <c r="J24" s="52" t="n">
        <f aca="false">COUNTIF(J5:J22,"○")</f>
        <v>7</v>
      </c>
      <c r="K24" s="52" t="n">
        <f aca="false">COUNTIF(K5:K22,"○")</f>
        <v>0</v>
      </c>
      <c r="L24" s="52" t="n">
        <f aca="false">COUNTIF(L5:L22,"○")</f>
        <v>7</v>
      </c>
      <c r="M24" s="52" t="n">
        <f aca="false">COUNTIF(M5:M22,"○")</f>
        <v>6</v>
      </c>
      <c r="N24" s="52" t="n">
        <f aca="false">COUNTIF(N5:N22,"○")</f>
        <v>4</v>
      </c>
      <c r="O24" s="52" t="n">
        <f aca="false">COUNTIF(O5:O22,"○")</f>
        <v>7</v>
      </c>
      <c r="P24" s="69"/>
      <c r="Q24" s="52" t="n">
        <f aca="false">SUM(Q5:Q22)</f>
        <v>45</v>
      </c>
    </row>
    <row r="26" customFormat="false" ht="29.25" hidden="false" customHeight="true" outlineLevel="0" collapsed="false">
      <c r="A26" s="60" t="s">
        <v>1929</v>
      </c>
      <c r="B26" s="60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</row>
    <row r="27" customFormat="false" ht="16.5" hidden="false" customHeight="true" outlineLevel="0" collapsed="false">
      <c r="A27" s="60" t="s">
        <v>1930</v>
      </c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</row>
  </sheetData>
  <mergeCells count="2">
    <mergeCell ref="A26:Q26"/>
    <mergeCell ref="A27:Q27"/>
  </mergeCells>
  <conditionalFormatting sqref="C5:O22">
    <cfRule type="cellIs" priority="2" operator="equal" aboveAverage="0" equalAverage="0" bottom="0" percent="0" rank="0" text="" dxfId="3">
      <formula>"●"</formula>
    </cfRule>
    <cfRule type="cellIs" priority="3" operator="equal" aboveAverage="0" equalAverage="0" bottom="0" percent="0" rank="0" text="" dxfId="4">
      <formula>"○"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true"/>
  </sheetPr>
  <dimension ref="A1:G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6"/>
    <col collapsed="false" customWidth="true" hidden="false" outlineLevel="0" max="3" min="3" style="1" width="62"/>
    <col collapsed="false" customWidth="true" hidden="false" outlineLevel="0" max="4" min="4" style="1" width="34"/>
    <col collapsed="false" customWidth="true" hidden="false" outlineLevel="0" max="5" min="5" style="1" width="20"/>
    <col collapsed="false" customWidth="true" hidden="false" outlineLevel="0" max="6" min="6" style="1" width="38"/>
    <col collapsed="false" customWidth="true" hidden="false" outlineLevel="0" max="7" min="7" style="1" width="18"/>
  </cols>
  <sheetData>
    <row r="1" customFormat="false" ht="24" hidden="false" customHeight="true" outlineLevel="0" collapsed="false">
      <c r="A1" s="21" t="s">
        <v>1931</v>
      </c>
    </row>
    <row r="2" customFormat="false" ht="15" hidden="false" customHeight="true" outlineLevel="0" collapsed="false">
      <c r="A2" s="3" t="s">
        <v>1932</v>
      </c>
    </row>
    <row r="4" customFormat="false" ht="19.5" hidden="false" customHeight="true" outlineLevel="0" collapsed="false">
      <c r="A4" s="23" t="s">
        <v>1933</v>
      </c>
      <c r="B4" s="23" t="s">
        <v>1934</v>
      </c>
      <c r="C4" s="23" t="s">
        <v>402</v>
      </c>
      <c r="D4" s="23" t="s">
        <v>1935</v>
      </c>
      <c r="E4" s="23" t="s">
        <v>1936</v>
      </c>
      <c r="F4" s="23" t="s">
        <v>1673</v>
      </c>
      <c r="G4" s="23" t="s">
        <v>1937</v>
      </c>
    </row>
    <row r="5" customFormat="false" ht="39.55" hidden="false" customHeight="false" outlineLevel="0" collapsed="false">
      <c r="A5" s="6" t="s">
        <v>1938</v>
      </c>
      <c r="B5" s="9" t="s">
        <v>1939</v>
      </c>
      <c r="C5" s="9" t="s">
        <v>1940</v>
      </c>
      <c r="D5" s="9" t="s">
        <v>1941</v>
      </c>
      <c r="E5" s="8" t="s">
        <v>1942</v>
      </c>
      <c r="F5" s="8" t="s">
        <v>1943</v>
      </c>
      <c r="G5" s="9" t="s">
        <v>1944</v>
      </c>
    </row>
    <row r="6" customFormat="false" ht="26.85" hidden="false" customHeight="false" outlineLevel="0" collapsed="false">
      <c r="A6" s="6" t="s">
        <v>1938</v>
      </c>
      <c r="B6" s="9" t="s">
        <v>1945</v>
      </c>
      <c r="C6" s="9" t="s">
        <v>1946</v>
      </c>
      <c r="D6" s="9" t="s">
        <v>1947</v>
      </c>
      <c r="E6" s="8" t="s">
        <v>1948</v>
      </c>
      <c r="F6" s="8" t="s">
        <v>1949</v>
      </c>
      <c r="G6" s="9" t="s">
        <v>1944</v>
      </c>
    </row>
    <row r="7" customFormat="false" ht="26.85" hidden="false" customHeight="false" outlineLevel="0" collapsed="false">
      <c r="A7" s="6" t="s">
        <v>1938</v>
      </c>
      <c r="B7" s="9" t="s">
        <v>1950</v>
      </c>
      <c r="C7" s="9" t="s">
        <v>1951</v>
      </c>
      <c r="D7" s="8" t="s">
        <v>1952</v>
      </c>
      <c r="E7" s="8" t="s">
        <v>1953</v>
      </c>
      <c r="F7" s="8" t="s">
        <v>1954</v>
      </c>
      <c r="G7" s="9" t="s">
        <v>1944</v>
      </c>
    </row>
    <row r="8" customFormat="false" ht="26.85" hidden="false" customHeight="false" outlineLevel="0" collapsed="false">
      <c r="A8" s="6" t="s">
        <v>1938</v>
      </c>
      <c r="B8" s="9" t="s">
        <v>1955</v>
      </c>
      <c r="C8" s="9" t="s">
        <v>1956</v>
      </c>
      <c r="D8" s="9" t="s">
        <v>1957</v>
      </c>
      <c r="E8" s="8" t="s">
        <v>1958</v>
      </c>
      <c r="F8" s="8" t="s">
        <v>1959</v>
      </c>
      <c r="G8" s="9" t="s">
        <v>1944</v>
      </c>
    </row>
    <row r="9" customFormat="false" ht="39.55" hidden="false" customHeight="false" outlineLevel="0" collapsed="false">
      <c r="A9" s="6" t="s">
        <v>1938</v>
      </c>
      <c r="B9" s="9" t="s">
        <v>1960</v>
      </c>
      <c r="C9" s="9" t="s">
        <v>1961</v>
      </c>
      <c r="D9" s="9" t="s">
        <v>1962</v>
      </c>
      <c r="E9" s="8" t="s">
        <v>1963</v>
      </c>
      <c r="F9" s="8" t="s">
        <v>1964</v>
      </c>
      <c r="G9" s="9" t="s">
        <v>1944</v>
      </c>
    </row>
    <row r="10" customFormat="false" ht="26.85" hidden="false" customHeight="false" outlineLevel="0" collapsed="false">
      <c r="A10" s="6" t="s">
        <v>1938</v>
      </c>
      <c r="B10" s="9" t="s">
        <v>1965</v>
      </c>
      <c r="C10" s="9" t="s">
        <v>1966</v>
      </c>
      <c r="D10" s="8" t="s">
        <v>1967</v>
      </c>
      <c r="E10" s="8" t="s">
        <v>1968</v>
      </c>
      <c r="F10" s="8" t="s">
        <v>1969</v>
      </c>
      <c r="G10" s="9" t="s">
        <v>1944</v>
      </c>
    </row>
    <row r="11" customFormat="false" ht="26.85" hidden="false" customHeight="false" outlineLevel="0" collapsed="false">
      <c r="A11" s="6" t="s">
        <v>1938</v>
      </c>
      <c r="B11" s="9" t="s">
        <v>1970</v>
      </c>
      <c r="C11" s="9" t="s">
        <v>1971</v>
      </c>
      <c r="D11" s="8" t="s">
        <v>1972</v>
      </c>
      <c r="E11" s="8" t="s">
        <v>1973</v>
      </c>
      <c r="F11" s="8" t="s">
        <v>1974</v>
      </c>
      <c r="G11" s="9" t="s">
        <v>1975</v>
      </c>
    </row>
    <row r="12" customFormat="false" ht="39.55" hidden="false" customHeight="false" outlineLevel="0" collapsed="false">
      <c r="A12" s="6" t="s">
        <v>1938</v>
      </c>
      <c r="B12" s="9" t="s">
        <v>1976</v>
      </c>
      <c r="C12" s="9" t="s">
        <v>1977</v>
      </c>
      <c r="D12" s="9" t="s">
        <v>1978</v>
      </c>
      <c r="E12" s="8" t="s">
        <v>1979</v>
      </c>
      <c r="F12" s="8" t="s">
        <v>1980</v>
      </c>
      <c r="G12" s="9" t="s">
        <v>1944</v>
      </c>
    </row>
    <row r="13" customFormat="false" ht="26.85" hidden="false" customHeight="false" outlineLevel="0" collapsed="false">
      <c r="A13" s="6" t="s">
        <v>1938</v>
      </c>
      <c r="B13" s="9" t="s">
        <v>1981</v>
      </c>
      <c r="C13" s="9" t="s">
        <v>1982</v>
      </c>
      <c r="D13" s="8" t="s">
        <v>1983</v>
      </c>
      <c r="E13" s="8" t="s">
        <v>1984</v>
      </c>
      <c r="F13" s="8" t="s">
        <v>1985</v>
      </c>
      <c r="G13" s="9" t="s">
        <v>1986</v>
      </c>
    </row>
    <row r="14" customFormat="false" ht="15" hidden="false" customHeight="false" outlineLevel="0" collapsed="false">
      <c r="A14" s="6" t="s">
        <v>1938</v>
      </c>
      <c r="B14" s="9" t="s">
        <v>1987</v>
      </c>
      <c r="C14" s="9" t="s">
        <v>1988</v>
      </c>
      <c r="D14" s="8" t="s">
        <v>1989</v>
      </c>
      <c r="E14" s="8" t="s">
        <v>1990</v>
      </c>
      <c r="F14" s="8" t="s">
        <v>1991</v>
      </c>
      <c r="G14" s="9" t="s">
        <v>1992</v>
      </c>
    </row>
    <row r="15" customFormat="false" ht="26.85" hidden="false" customHeight="false" outlineLevel="0" collapsed="false">
      <c r="A15" s="6" t="s">
        <v>1938</v>
      </c>
      <c r="B15" s="9" t="s">
        <v>1993</v>
      </c>
      <c r="C15" s="9" t="s">
        <v>1994</v>
      </c>
      <c r="D15" s="9" t="s">
        <v>1995</v>
      </c>
      <c r="E15" s="8" t="s">
        <v>1996</v>
      </c>
      <c r="F15" s="8" t="s">
        <v>1997</v>
      </c>
      <c r="G15" s="9" t="s">
        <v>1944</v>
      </c>
    </row>
    <row r="16" customFormat="false" ht="26.85" hidden="false" customHeight="false" outlineLevel="0" collapsed="false">
      <c r="A16" s="6" t="s">
        <v>1938</v>
      </c>
      <c r="B16" s="9" t="s">
        <v>1998</v>
      </c>
      <c r="C16" s="9" t="s">
        <v>1999</v>
      </c>
      <c r="D16" s="8" t="s">
        <v>2000</v>
      </c>
      <c r="E16" s="8" t="s">
        <v>2001</v>
      </c>
      <c r="F16" s="8" t="s">
        <v>2002</v>
      </c>
      <c r="G16" s="9" t="s">
        <v>1944</v>
      </c>
    </row>
    <row r="17" customFormat="false" ht="26.85" hidden="false" customHeight="false" outlineLevel="0" collapsed="false">
      <c r="A17" s="6" t="s">
        <v>1938</v>
      </c>
      <c r="B17" s="9" t="s">
        <v>2003</v>
      </c>
      <c r="C17" s="9" t="s">
        <v>2004</v>
      </c>
      <c r="D17" s="8" t="s">
        <v>2005</v>
      </c>
      <c r="E17" s="8" t="s">
        <v>2006</v>
      </c>
      <c r="F17" s="8" t="s">
        <v>2007</v>
      </c>
      <c r="G17" s="9" t="s">
        <v>1944</v>
      </c>
    </row>
    <row r="18" customFormat="false" ht="38.05" hidden="false" customHeight="false" outlineLevel="0" collapsed="false">
      <c r="A18" s="6" t="s">
        <v>2008</v>
      </c>
      <c r="B18" s="9" t="s">
        <v>2009</v>
      </c>
      <c r="C18" s="9" t="s">
        <v>2010</v>
      </c>
      <c r="D18" s="9" t="s">
        <v>2011</v>
      </c>
      <c r="E18" s="8" t="s">
        <v>2012</v>
      </c>
      <c r="F18" s="8" t="s">
        <v>2013</v>
      </c>
      <c r="G18" s="9" t="s">
        <v>1944</v>
      </c>
    </row>
    <row r="19" customFormat="false" ht="26.85" hidden="false" customHeight="false" outlineLevel="0" collapsed="false">
      <c r="A19" s="6" t="s">
        <v>2008</v>
      </c>
      <c r="B19" s="9" t="s">
        <v>2014</v>
      </c>
      <c r="C19" s="9" t="s">
        <v>2015</v>
      </c>
      <c r="D19" s="9" t="s">
        <v>2016</v>
      </c>
      <c r="E19" s="8" t="s">
        <v>2017</v>
      </c>
      <c r="F19" s="8" t="s">
        <v>2018</v>
      </c>
      <c r="G19" s="9" t="s">
        <v>2019</v>
      </c>
    </row>
    <row r="20" customFormat="false" ht="26.85" hidden="false" customHeight="false" outlineLevel="0" collapsed="false">
      <c r="A20" s="6" t="s">
        <v>2008</v>
      </c>
      <c r="B20" s="9" t="s">
        <v>2020</v>
      </c>
      <c r="C20" s="9" t="s">
        <v>2021</v>
      </c>
      <c r="D20" s="9" t="s">
        <v>2022</v>
      </c>
      <c r="E20" s="8" t="s">
        <v>2023</v>
      </c>
      <c r="F20" s="8" t="s">
        <v>2024</v>
      </c>
      <c r="G20" s="9" t="s">
        <v>1944</v>
      </c>
    </row>
    <row r="21" customFormat="false" ht="26.85" hidden="false" customHeight="false" outlineLevel="0" collapsed="false">
      <c r="A21" s="6" t="s">
        <v>2008</v>
      </c>
      <c r="B21" s="9" t="s">
        <v>2025</v>
      </c>
      <c r="C21" s="9" t="s">
        <v>2026</v>
      </c>
      <c r="D21" s="9" t="s">
        <v>2027</v>
      </c>
      <c r="E21" s="8" t="s">
        <v>2028</v>
      </c>
      <c r="F21" s="8" t="s">
        <v>2029</v>
      </c>
      <c r="G21" s="9" t="s">
        <v>1944</v>
      </c>
    </row>
    <row r="22" customFormat="false" ht="39.55" hidden="false" customHeight="false" outlineLevel="0" collapsed="false">
      <c r="A22" s="6" t="s">
        <v>2008</v>
      </c>
      <c r="B22" s="9" t="s">
        <v>2030</v>
      </c>
      <c r="C22" s="9" t="s">
        <v>2031</v>
      </c>
      <c r="D22" s="9" t="s">
        <v>2032</v>
      </c>
      <c r="E22" s="8" t="s">
        <v>2033</v>
      </c>
      <c r="F22" s="8" t="s">
        <v>2034</v>
      </c>
      <c r="G22" s="9" t="s">
        <v>1944</v>
      </c>
    </row>
    <row r="23" customFormat="false" ht="26.85" hidden="false" customHeight="false" outlineLevel="0" collapsed="false">
      <c r="A23" s="6" t="s">
        <v>2008</v>
      </c>
      <c r="B23" s="9" t="s">
        <v>2035</v>
      </c>
      <c r="C23" s="9" t="s">
        <v>2036</v>
      </c>
      <c r="D23" s="9" t="s">
        <v>2037</v>
      </c>
      <c r="E23" s="8" t="s">
        <v>2012</v>
      </c>
      <c r="F23" s="8" t="s">
        <v>2038</v>
      </c>
      <c r="G23" s="9" t="s">
        <v>1944</v>
      </c>
    </row>
    <row r="24" customFormat="false" ht="26.85" hidden="false" customHeight="false" outlineLevel="0" collapsed="false">
      <c r="A24" s="6" t="s">
        <v>2008</v>
      </c>
      <c r="B24" s="9" t="s">
        <v>2039</v>
      </c>
      <c r="C24" s="9" t="s">
        <v>2040</v>
      </c>
      <c r="D24" s="9" t="s">
        <v>2041</v>
      </c>
      <c r="E24" s="8" t="s">
        <v>2042</v>
      </c>
      <c r="F24" s="8" t="s">
        <v>2043</v>
      </c>
      <c r="G24" s="9" t="s">
        <v>1944</v>
      </c>
    </row>
    <row r="25" customFormat="false" ht="39.55" hidden="false" customHeight="false" outlineLevel="0" collapsed="false">
      <c r="A25" s="6" t="s">
        <v>2044</v>
      </c>
      <c r="B25" s="9" t="s">
        <v>2045</v>
      </c>
      <c r="C25" s="9" t="s">
        <v>2046</v>
      </c>
      <c r="D25" s="9" t="s">
        <v>2047</v>
      </c>
      <c r="E25" s="8" t="s">
        <v>2048</v>
      </c>
      <c r="F25" s="8" t="s">
        <v>2049</v>
      </c>
      <c r="G25" s="9" t="s">
        <v>2050</v>
      </c>
    </row>
    <row r="26" customFormat="false" ht="26.85" hidden="false" customHeight="false" outlineLevel="0" collapsed="false">
      <c r="A26" s="6" t="s">
        <v>2044</v>
      </c>
      <c r="B26" s="9" t="s">
        <v>2051</v>
      </c>
      <c r="C26" s="9" t="s">
        <v>2052</v>
      </c>
      <c r="D26" s="9" t="s">
        <v>2053</v>
      </c>
      <c r="E26" s="8" t="s">
        <v>2054</v>
      </c>
      <c r="F26" s="8" t="s">
        <v>2055</v>
      </c>
      <c r="G26" s="9" t="s">
        <v>2056</v>
      </c>
    </row>
    <row r="27" customFormat="false" ht="26.85" hidden="false" customHeight="false" outlineLevel="0" collapsed="false">
      <c r="A27" s="6" t="s">
        <v>2044</v>
      </c>
      <c r="B27" s="9" t="s">
        <v>2057</v>
      </c>
      <c r="C27" s="9" t="s">
        <v>2058</v>
      </c>
      <c r="D27" s="9" t="s">
        <v>2059</v>
      </c>
      <c r="E27" s="8" t="s">
        <v>2060</v>
      </c>
      <c r="F27" s="8" t="s">
        <v>2061</v>
      </c>
      <c r="G27" s="9" t="s">
        <v>1944</v>
      </c>
    </row>
    <row r="28" customFormat="false" ht="26.85" hidden="false" customHeight="false" outlineLevel="0" collapsed="false">
      <c r="A28" s="6" t="s">
        <v>2044</v>
      </c>
      <c r="B28" s="9" t="s">
        <v>2062</v>
      </c>
      <c r="C28" s="9" t="s">
        <v>2063</v>
      </c>
      <c r="D28" s="8" t="s">
        <v>2064</v>
      </c>
      <c r="E28" s="8" t="s">
        <v>2012</v>
      </c>
      <c r="F28" s="8" t="s">
        <v>2065</v>
      </c>
      <c r="G28" s="9" t="s">
        <v>1944</v>
      </c>
    </row>
    <row r="29" customFormat="false" ht="26.85" hidden="false" customHeight="false" outlineLevel="0" collapsed="false">
      <c r="A29" s="6" t="s">
        <v>2044</v>
      </c>
      <c r="B29" s="9" t="s">
        <v>2066</v>
      </c>
      <c r="C29" s="9" t="s">
        <v>2067</v>
      </c>
      <c r="D29" s="9" t="s">
        <v>2068</v>
      </c>
      <c r="E29" s="8" t="s">
        <v>2069</v>
      </c>
      <c r="F29" s="8" t="s">
        <v>2070</v>
      </c>
      <c r="G29" s="9" t="s">
        <v>1944</v>
      </c>
    </row>
    <row r="30" customFormat="false" ht="26.85" hidden="false" customHeight="false" outlineLevel="0" collapsed="false">
      <c r="A30" s="6" t="s">
        <v>2044</v>
      </c>
      <c r="B30" s="9" t="s">
        <v>2071</v>
      </c>
      <c r="C30" s="9" t="s">
        <v>2072</v>
      </c>
      <c r="D30" s="9" t="s">
        <v>2073</v>
      </c>
      <c r="E30" s="8" t="s">
        <v>2074</v>
      </c>
      <c r="F30" s="8" t="s">
        <v>2075</v>
      </c>
      <c r="G30" s="9" t="s">
        <v>1944</v>
      </c>
    </row>
    <row r="31" customFormat="false" ht="26.85" hidden="false" customHeight="false" outlineLevel="0" collapsed="false">
      <c r="A31" s="6" t="s">
        <v>2044</v>
      </c>
      <c r="B31" s="9" t="s">
        <v>2076</v>
      </c>
      <c r="C31" s="9" t="s">
        <v>2077</v>
      </c>
      <c r="D31" s="8" t="s">
        <v>2078</v>
      </c>
      <c r="E31" s="8" t="s">
        <v>2079</v>
      </c>
      <c r="F31" s="8" t="s">
        <v>2080</v>
      </c>
      <c r="G31" s="9" t="s">
        <v>1944</v>
      </c>
    </row>
    <row r="32" customFormat="false" ht="26.85" hidden="false" customHeight="false" outlineLevel="0" collapsed="false">
      <c r="A32" s="6" t="s">
        <v>2081</v>
      </c>
      <c r="B32" s="9" t="s">
        <v>2082</v>
      </c>
      <c r="C32" s="9" t="s">
        <v>2083</v>
      </c>
      <c r="D32" s="9" t="s">
        <v>2084</v>
      </c>
      <c r="E32" s="8" t="s">
        <v>2085</v>
      </c>
      <c r="F32" s="8" t="s">
        <v>2086</v>
      </c>
      <c r="G32" s="9" t="s">
        <v>1944</v>
      </c>
    </row>
    <row r="33" customFormat="false" ht="26.85" hidden="false" customHeight="false" outlineLevel="0" collapsed="false">
      <c r="A33" s="6" t="s">
        <v>2081</v>
      </c>
      <c r="B33" s="9" t="s">
        <v>2087</v>
      </c>
      <c r="C33" s="9" t="s">
        <v>2088</v>
      </c>
      <c r="D33" s="9" t="s">
        <v>2089</v>
      </c>
      <c r="E33" s="8" t="s">
        <v>1984</v>
      </c>
      <c r="F33" s="8" t="s">
        <v>2090</v>
      </c>
      <c r="G33" s="9" t="s">
        <v>1944</v>
      </c>
    </row>
    <row r="34" customFormat="false" ht="26.85" hidden="false" customHeight="false" outlineLevel="0" collapsed="false">
      <c r="A34" s="6" t="s">
        <v>2081</v>
      </c>
      <c r="B34" s="9" t="s">
        <v>2091</v>
      </c>
      <c r="C34" s="9" t="s">
        <v>2092</v>
      </c>
      <c r="D34" s="8" t="s">
        <v>2093</v>
      </c>
      <c r="E34" s="8" t="s">
        <v>2094</v>
      </c>
      <c r="F34" s="8" t="s">
        <v>2095</v>
      </c>
      <c r="G34" s="9" t="s">
        <v>1944</v>
      </c>
    </row>
    <row r="35" customFormat="false" ht="26.85" hidden="false" customHeight="false" outlineLevel="0" collapsed="false">
      <c r="A35" s="6" t="s">
        <v>2081</v>
      </c>
      <c r="B35" s="9" t="s">
        <v>2096</v>
      </c>
      <c r="C35" s="9" t="s">
        <v>2097</v>
      </c>
      <c r="D35" s="8" t="s">
        <v>2098</v>
      </c>
      <c r="E35" s="8" t="s">
        <v>2099</v>
      </c>
      <c r="F35" s="8" t="s">
        <v>2100</v>
      </c>
      <c r="G35" s="9" t="s">
        <v>1944</v>
      </c>
    </row>
    <row r="36" customFormat="false" ht="26.85" hidden="false" customHeight="false" outlineLevel="0" collapsed="false">
      <c r="A36" s="6" t="s">
        <v>2081</v>
      </c>
      <c r="B36" s="9" t="s">
        <v>2101</v>
      </c>
      <c r="C36" s="9" t="s">
        <v>2102</v>
      </c>
      <c r="D36" s="9" t="s">
        <v>2103</v>
      </c>
      <c r="E36" s="8" t="s">
        <v>2104</v>
      </c>
      <c r="F36" s="8" t="s">
        <v>2105</v>
      </c>
      <c r="G36" s="9" t="s">
        <v>2106</v>
      </c>
    </row>
    <row r="37" customFormat="false" ht="26.85" hidden="false" customHeight="false" outlineLevel="0" collapsed="false">
      <c r="A37" s="6" t="s">
        <v>2107</v>
      </c>
      <c r="B37" s="9" t="s">
        <v>2108</v>
      </c>
      <c r="C37" s="9" t="s">
        <v>2109</v>
      </c>
      <c r="D37" s="9" t="s">
        <v>2110</v>
      </c>
      <c r="E37" s="8" t="s">
        <v>2111</v>
      </c>
      <c r="F37" s="8" t="s">
        <v>2112</v>
      </c>
      <c r="G37" s="9" t="s">
        <v>1944</v>
      </c>
    </row>
    <row r="38" customFormat="false" ht="38.05" hidden="false" customHeight="false" outlineLevel="0" collapsed="false">
      <c r="A38" s="6" t="s">
        <v>2107</v>
      </c>
      <c r="B38" s="9" t="s">
        <v>2113</v>
      </c>
      <c r="C38" s="9" t="s">
        <v>2114</v>
      </c>
      <c r="D38" s="9" t="s">
        <v>2115</v>
      </c>
      <c r="E38" s="8" t="s">
        <v>2116</v>
      </c>
      <c r="F38" s="8" t="s">
        <v>1156</v>
      </c>
      <c r="G38" s="9" t="s">
        <v>1944</v>
      </c>
    </row>
    <row r="39" customFormat="false" ht="26.85" hidden="false" customHeight="false" outlineLevel="0" collapsed="false">
      <c r="A39" s="6" t="s">
        <v>2107</v>
      </c>
      <c r="B39" s="9" t="s">
        <v>2117</v>
      </c>
      <c r="C39" s="9" t="s">
        <v>2118</v>
      </c>
      <c r="D39" s="8" t="s">
        <v>2119</v>
      </c>
      <c r="E39" s="8" t="s">
        <v>2120</v>
      </c>
      <c r="F39" s="8" t="s">
        <v>2121</v>
      </c>
      <c r="G39" s="9" t="s">
        <v>1944</v>
      </c>
    </row>
    <row r="40" customFormat="false" ht="26.85" hidden="false" customHeight="false" outlineLevel="0" collapsed="false">
      <c r="A40" s="6" t="s">
        <v>2107</v>
      </c>
      <c r="B40" s="9" t="s">
        <v>2122</v>
      </c>
      <c r="C40" s="9" t="s">
        <v>2123</v>
      </c>
      <c r="D40" s="9" t="s">
        <v>2124</v>
      </c>
      <c r="E40" s="8" t="s">
        <v>2125</v>
      </c>
      <c r="F40" s="8" t="s">
        <v>2126</v>
      </c>
      <c r="G40" s="9" t="s">
        <v>1944</v>
      </c>
    </row>
    <row r="41" customFormat="false" ht="26.85" hidden="false" customHeight="false" outlineLevel="0" collapsed="false">
      <c r="A41" s="6" t="s">
        <v>2107</v>
      </c>
      <c r="B41" s="9" t="s">
        <v>2127</v>
      </c>
      <c r="C41" s="9" t="s">
        <v>2128</v>
      </c>
      <c r="D41" s="8" t="s">
        <v>2129</v>
      </c>
      <c r="E41" s="8" t="s">
        <v>2130</v>
      </c>
      <c r="F41" s="8" t="s">
        <v>2131</v>
      </c>
      <c r="G41" s="9" t="s">
        <v>1944</v>
      </c>
    </row>
    <row r="42" customFormat="false" ht="39.55" hidden="false" customHeight="false" outlineLevel="0" collapsed="false">
      <c r="A42" s="70" t="s">
        <v>1801</v>
      </c>
      <c r="B42" s="27" t="s">
        <v>2132</v>
      </c>
      <c r="C42" s="27" t="s">
        <v>2133</v>
      </c>
      <c r="D42" s="8" t="s">
        <v>2134</v>
      </c>
      <c r="E42" s="8" t="s">
        <v>2135</v>
      </c>
      <c r="F42" s="8" t="s">
        <v>2136</v>
      </c>
      <c r="G42" s="9" t="s">
        <v>2137</v>
      </c>
    </row>
    <row r="43" customFormat="false" ht="39.55" hidden="false" customHeight="false" outlineLevel="0" collapsed="false">
      <c r="A43" s="6" t="s">
        <v>2081</v>
      </c>
      <c r="B43" s="9" t="s">
        <v>2138</v>
      </c>
      <c r="C43" s="9" t="s">
        <v>2139</v>
      </c>
      <c r="D43" s="8" t="s">
        <v>2140</v>
      </c>
      <c r="E43" s="8" t="s">
        <v>2141</v>
      </c>
      <c r="F43" s="8" t="s">
        <v>2142</v>
      </c>
      <c r="G43" s="9" t="s">
        <v>1944</v>
      </c>
    </row>
    <row r="44" customFormat="false" ht="26.85" hidden="false" customHeight="false" outlineLevel="0" collapsed="false">
      <c r="A44" s="6" t="s">
        <v>1744</v>
      </c>
      <c r="B44" s="9" t="s">
        <v>2143</v>
      </c>
      <c r="C44" s="9" t="s">
        <v>2144</v>
      </c>
      <c r="D44" s="8" t="s">
        <v>2145</v>
      </c>
      <c r="E44" s="8" t="s">
        <v>2146</v>
      </c>
      <c r="F44" s="8" t="s">
        <v>2147</v>
      </c>
      <c r="G44" s="9" t="s">
        <v>2148</v>
      </c>
    </row>
    <row r="45" customFormat="false" ht="26.85" hidden="false" customHeight="false" outlineLevel="0" collapsed="false">
      <c r="A45" s="6" t="s">
        <v>1744</v>
      </c>
      <c r="B45" s="9" t="s">
        <v>2149</v>
      </c>
      <c r="C45" s="9" t="s">
        <v>2150</v>
      </c>
      <c r="D45" s="9" t="s">
        <v>2151</v>
      </c>
      <c r="E45" s="8" t="s">
        <v>2152</v>
      </c>
      <c r="F45" s="8" t="s">
        <v>2153</v>
      </c>
      <c r="G45" s="9" t="s">
        <v>2154</v>
      </c>
    </row>
    <row r="46" customFormat="false" ht="26.85" hidden="false" customHeight="false" outlineLevel="0" collapsed="false">
      <c r="A46" s="6" t="s">
        <v>2107</v>
      </c>
      <c r="B46" s="9" t="s">
        <v>2155</v>
      </c>
      <c r="C46" s="9" t="s">
        <v>2156</v>
      </c>
      <c r="D46" s="9" t="s">
        <v>2157</v>
      </c>
      <c r="E46" s="8" t="s">
        <v>1642</v>
      </c>
      <c r="F46" s="8" t="s">
        <v>2158</v>
      </c>
      <c r="G46" s="9" t="s">
        <v>1944</v>
      </c>
    </row>
    <row r="47" customFormat="false" ht="26.85" hidden="false" customHeight="false" outlineLevel="0" collapsed="false">
      <c r="A47" s="6" t="s">
        <v>2107</v>
      </c>
      <c r="B47" s="9" t="s">
        <v>2159</v>
      </c>
      <c r="C47" s="27" t="s">
        <v>2160</v>
      </c>
      <c r="D47" s="9" t="s">
        <v>2161</v>
      </c>
      <c r="E47" s="8" t="s">
        <v>2162</v>
      </c>
      <c r="F47" s="8" t="s">
        <v>2163</v>
      </c>
      <c r="G47" s="9" t="s">
        <v>2164</v>
      </c>
    </row>
    <row r="48" customFormat="false" ht="26.85" hidden="false" customHeight="false" outlineLevel="0" collapsed="false">
      <c r="A48" s="70" t="s">
        <v>1801</v>
      </c>
      <c r="B48" s="9" t="s">
        <v>2165</v>
      </c>
      <c r="C48" s="9" t="s">
        <v>2166</v>
      </c>
      <c r="D48" s="8" t="s">
        <v>2167</v>
      </c>
      <c r="E48" s="8" t="s">
        <v>2168</v>
      </c>
      <c r="F48" s="8" t="s">
        <v>2169</v>
      </c>
      <c r="G48" s="9" t="s">
        <v>2170</v>
      </c>
    </row>
    <row r="49" customFormat="false" ht="52.2" hidden="false" customHeight="false" outlineLevel="0" collapsed="false">
      <c r="A49" s="70" t="s">
        <v>1813</v>
      </c>
      <c r="B49" s="9" t="s">
        <v>2171</v>
      </c>
      <c r="C49" s="27" t="s">
        <v>2172</v>
      </c>
      <c r="D49" s="8" t="s">
        <v>2173</v>
      </c>
      <c r="E49" s="8" t="s">
        <v>2174</v>
      </c>
      <c r="F49" s="8" t="s">
        <v>2175</v>
      </c>
      <c r="G49" s="9" t="s">
        <v>2176</v>
      </c>
    </row>
    <row r="50" customFormat="false" ht="39.55" hidden="false" customHeight="false" outlineLevel="0" collapsed="false">
      <c r="A50" s="6" t="s">
        <v>2081</v>
      </c>
      <c r="B50" s="9" t="s">
        <v>2177</v>
      </c>
      <c r="C50" s="9" t="s">
        <v>2178</v>
      </c>
      <c r="D50" s="8" t="s">
        <v>2179</v>
      </c>
      <c r="E50" s="8" t="s">
        <v>2180</v>
      </c>
      <c r="F50" s="8" t="s">
        <v>2181</v>
      </c>
      <c r="G50" s="9" t="s">
        <v>2182</v>
      </c>
    </row>
    <row r="51" customFormat="false" ht="26.85" hidden="false" customHeight="false" outlineLevel="0" collapsed="false">
      <c r="A51" s="6" t="s">
        <v>1744</v>
      </c>
      <c r="B51" s="9" t="s">
        <v>2183</v>
      </c>
      <c r="C51" s="9" t="s">
        <v>2184</v>
      </c>
      <c r="D51" s="8" t="s">
        <v>2185</v>
      </c>
      <c r="E51" s="8" t="s">
        <v>2186</v>
      </c>
      <c r="F51" s="8" t="s">
        <v>2187</v>
      </c>
      <c r="G51" s="9" t="s">
        <v>1944</v>
      </c>
    </row>
    <row r="52" customFormat="false" ht="26.85" hidden="false" customHeight="false" outlineLevel="0" collapsed="false">
      <c r="A52" s="6" t="s">
        <v>2044</v>
      </c>
      <c r="B52" s="9" t="s">
        <v>2188</v>
      </c>
      <c r="C52" s="9" t="s">
        <v>2189</v>
      </c>
      <c r="D52" s="9" t="s">
        <v>2190</v>
      </c>
      <c r="E52" s="8" t="s">
        <v>2191</v>
      </c>
      <c r="F52" s="8" t="s">
        <v>2192</v>
      </c>
      <c r="G52" s="9" t="s">
        <v>1944</v>
      </c>
    </row>
    <row r="53" customFormat="false" ht="26.85" hidden="false" customHeight="false" outlineLevel="0" collapsed="false">
      <c r="A53" s="6" t="s">
        <v>2044</v>
      </c>
      <c r="B53" s="9" t="s">
        <v>2193</v>
      </c>
      <c r="C53" s="9" t="s">
        <v>2194</v>
      </c>
      <c r="D53" s="8" t="s">
        <v>2195</v>
      </c>
      <c r="E53" s="8" t="s">
        <v>2033</v>
      </c>
      <c r="F53" s="8" t="s">
        <v>2196</v>
      </c>
      <c r="G53" s="9" t="s">
        <v>1944</v>
      </c>
    </row>
    <row r="55" customFormat="false" ht="15" hidden="false" customHeight="true" outlineLevel="0" collapsed="false">
      <c r="A55" s="60" t="s">
        <v>2197</v>
      </c>
      <c r="B55" s="60"/>
      <c r="C55" s="60"/>
      <c r="D55" s="60"/>
      <c r="E55" s="60"/>
      <c r="F55" s="60"/>
      <c r="G55" s="60"/>
    </row>
  </sheetData>
  <mergeCells count="1">
    <mergeCell ref="A55:G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true"/>
  </sheetPr>
  <dimension ref="A1:F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26"/>
    <col collapsed="false" customWidth="true" hidden="false" outlineLevel="0" max="3" min="3" style="1" width="46"/>
    <col collapsed="false" customWidth="true" hidden="false" outlineLevel="0" max="4" min="4" style="1" width="30"/>
    <col collapsed="false" customWidth="true" hidden="false" outlineLevel="0" max="5" min="5" style="1" width="34"/>
    <col collapsed="false" customWidth="true" hidden="false" outlineLevel="0" max="6" min="6" style="1" width="6"/>
  </cols>
  <sheetData>
    <row r="1" customFormat="false" ht="24" hidden="false" customHeight="true" outlineLevel="0" collapsed="false">
      <c r="A1" s="21" t="s">
        <v>2198</v>
      </c>
    </row>
    <row r="2" customFormat="false" ht="15" hidden="false" customHeight="true" outlineLevel="0" collapsed="false">
      <c r="A2" s="20" t="s">
        <v>2199</v>
      </c>
    </row>
    <row r="4" customFormat="false" ht="15" hidden="false" customHeight="false" outlineLevel="0" collapsed="false">
      <c r="A4" s="39" t="s">
        <v>2200</v>
      </c>
    </row>
    <row r="5" customFormat="false" ht="15" hidden="false" customHeight="false" outlineLevel="0" collapsed="false">
      <c r="A5" s="23" t="s">
        <v>2201</v>
      </c>
      <c r="B5" s="23" t="s">
        <v>2202</v>
      </c>
      <c r="C5" s="23" t="s">
        <v>2203</v>
      </c>
      <c r="D5" s="23" t="s">
        <v>1934</v>
      </c>
      <c r="E5" s="23" t="s">
        <v>1937</v>
      </c>
    </row>
    <row r="6" customFormat="false" ht="26.85" hidden="false" customHeight="false" outlineLevel="0" collapsed="false">
      <c r="A6" s="24" t="s">
        <v>1886</v>
      </c>
      <c r="B6" s="24" t="s">
        <v>2204</v>
      </c>
      <c r="C6" s="24" t="s">
        <v>2205</v>
      </c>
      <c r="D6" s="26" t="s">
        <v>2206</v>
      </c>
      <c r="E6" s="26" t="s">
        <v>2207</v>
      </c>
    </row>
    <row r="7" customFormat="false" ht="26.85" hidden="false" customHeight="false" outlineLevel="0" collapsed="false">
      <c r="A7" s="24" t="s">
        <v>1890</v>
      </c>
      <c r="B7" s="24" t="s">
        <v>2208</v>
      </c>
      <c r="C7" s="26" t="s">
        <v>2209</v>
      </c>
      <c r="D7" s="26" t="s">
        <v>2210</v>
      </c>
      <c r="E7" s="26" t="s">
        <v>2207</v>
      </c>
    </row>
    <row r="8" customFormat="false" ht="26.85" hidden="false" customHeight="false" outlineLevel="0" collapsed="false">
      <c r="A8" s="24" t="s">
        <v>1894</v>
      </c>
      <c r="B8" s="24" t="s">
        <v>2211</v>
      </c>
      <c r="C8" s="26" t="s">
        <v>2212</v>
      </c>
      <c r="D8" s="26" t="s">
        <v>2213</v>
      </c>
      <c r="E8" s="26" t="s">
        <v>2214</v>
      </c>
    </row>
    <row r="9" customFormat="false" ht="15" hidden="false" customHeight="false" outlineLevel="0" collapsed="false">
      <c r="A9" s="24" t="s">
        <v>1898</v>
      </c>
      <c r="B9" s="24" t="s">
        <v>1990</v>
      </c>
      <c r="C9" s="26" t="s">
        <v>2215</v>
      </c>
      <c r="D9" s="24" t="s">
        <v>2216</v>
      </c>
      <c r="E9" s="26" t="s">
        <v>2217</v>
      </c>
    </row>
    <row r="10" customFormat="false" ht="26.85" hidden="false" customHeight="false" outlineLevel="0" collapsed="false">
      <c r="A10" s="24" t="s">
        <v>2218</v>
      </c>
      <c r="B10" s="24" t="s">
        <v>2219</v>
      </c>
      <c r="C10" s="24" t="s">
        <v>2220</v>
      </c>
      <c r="D10" s="26" t="s">
        <v>2221</v>
      </c>
      <c r="E10" s="26" t="s">
        <v>2207</v>
      </c>
    </row>
    <row r="11" customFormat="false" ht="26.85" hidden="false" customHeight="false" outlineLevel="0" collapsed="false">
      <c r="A11" s="24" t="s">
        <v>2222</v>
      </c>
      <c r="B11" s="24" t="s">
        <v>2223</v>
      </c>
      <c r="C11" s="24" t="s">
        <v>2224</v>
      </c>
      <c r="D11" s="26" t="s">
        <v>2225</v>
      </c>
      <c r="E11" s="26" t="s">
        <v>2207</v>
      </c>
    </row>
    <row r="12" customFormat="false" ht="26.85" hidden="false" customHeight="false" outlineLevel="0" collapsed="false">
      <c r="A12" s="24" t="s">
        <v>2226</v>
      </c>
      <c r="B12" s="24" t="s">
        <v>2227</v>
      </c>
      <c r="C12" s="26" t="s">
        <v>2228</v>
      </c>
      <c r="D12" s="26" t="s">
        <v>2229</v>
      </c>
      <c r="E12" s="26" t="s">
        <v>2207</v>
      </c>
    </row>
    <row r="13" customFormat="false" ht="15" hidden="false" customHeight="false" outlineLevel="0" collapsed="false">
      <c r="A13" s="24" t="s">
        <v>2230</v>
      </c>
      <c r="B13" s="24" t="s">
        <v>2017</v>
      </c>
      <c r="C13" s="26" t="s">
        <v>2231</v>
      </c>
      <c r="D13" s="26" t="s">
        <v>2232</v>
      </c>
      <c r="E13" s="26" t="s">
        <v>2233</v>
      </c>
    </row>
    <row r="14" customFormat="false" ht="26.85" hidden="false" customHeight="false" outlineLevel="0" collapsed="false">
      <c r="A14" s="24" t="s">
        <v>2234</v>
      </c>
      <c r="B14" s="24" t="s">
        <v>2235</v>
      </c>
      <c r="C14" s="26" t="s">
        <v>2236</v>
      </c>
      <c r="D14" s="26" t="s">
        <v>2237</v>
      </c>
      <c r="E14" s="26" t="s">
        <v>2238</v>
      </c>
    </row>
    <row r="15" customFormat="false" ht="15" hidden="false" customHeight="false" outlineLevel="0" collapsed="false">
      <c r="A15" s="24" t="s">
        <v>2239</v>
      </c>
      <c r="B15" s="24" t="s">
        <v>2240</v>
      </c>
      <c r="C15" s="26" t="s">
        <v>2241</v>
      </c>
      <c r="D15" s="26" t="s">
        <v>2242</v>
      </c>
      <c r="E15" s="26" t="s">
        <v>2207</v>
      </c>
    </row>
    <row r="16" customFormat="false" ht="15" hidden="false" customHeight="false" outlineLevel="0" collapsed="false">
      <c r="A16" s="24" t="s">
        <v>2243</v>
      </c>
      <c r="B16" s="24" t="s">
        <v>2244</v>
      </c>
      <c r="C16" s="26" t="s">
        <v>2245</v>
      </c>
      <c r="D16" s="26" t="s">
        <v>1359</v>
      </c>
      <c r="E16" s="26" t="s">
        <v>2246</v>
      </c>
    </row>
    <row r="17" customFormat="false" ht="15" hidden="false" customHeight="false" outlineLevel="0" collapsed="false">
      <c r="A17" s="24" t="s">
        <v>2247</v>
      </c>
      <c r="B17" s="24" t="s">
        <v>2248</v>
      </c>
      <c r="C17" s="24" t="s">
        <v>2249</v>
      </c>
      <c r="D17" s="26" t="s">
        <v>2250</v>
      </c>
      <c r="E17" s="24" t="s">
        <v>301</v>
      </c>
    </row>
    <row r="18" customFormat="false" ht="26.85" hidden="false" customHeight="false" outlineLevel="0" collapsed="false">
      <c r="A18" s="24" t="s">
        <v>2251</v>
      </c>
      <c r="B18" s="24" t="s">
        <v>2252</v>
      </c>
      <c r="C18" s="24" t="s">
        <v>2253</v>
      </c>
      <c r="D18" s="26" t="s">
        <v>2254</v>
      </c>
      <c r="E18" s="26" t="s">
        <v>2207</v>
      </c>
    </row>
    <row r="19" customFormat="false" ht="15" hidden="false" customHeight="false" outlineLevel="0" collapsed="false">
      <c r="A19" s="24" t="s">
        <v>2255</v>
      </c>
      <c r="B19" s="24" t="s">
        <v>2256</v>
      </c>
      <c r="C19" s="26" t="s">
        <v>2257</v>
      </c>
      <c r="D19" s="24" t="s">
        <v>2258</v>
      </c>
      <c r="E19" s="26" t="s">
        <v>2207</v>
      </c>
    </row>
    <row r="20" customFormat="false" ht="26.85" hidden="false" customHeight="false" outlineLevel="0" collapsed="false">
      <c r="A20" s="24" t="s">
        <v>2259</v>
      </c>
      <c r="B20" s="24" t="s">
        <v>2260</v>
      </c>
      <c r="C20" s="26" t="s">
        <v>2261</v>
      </c>
      <c r="D20" s="26" t="s">
        <v>2262</v>
      </c>
      <c r="E20" s="26" t="s">
        <v>2207</v>
      </c>
    </row>
    <row r="21" customFormat="false" ht="15" hidden="false" customHeight="false" outlineLevel="0" collapsed="false">
      <c r="A21" s="24" t="s">
        <v>2263</v>
      </c>
      <c r="B21" s="24" t="s">
        <v>2069</v>
      </c>
      <c r="C21" s="26" t="s">
        <v>2264</v>
      </c>
      <c r="D21" s="26" t="s">
        <v>2265</v>
      </c>
      <c r="E21" s="26" t="s">
        <v>2207</v>
      </c>
    </row>
    <row r="22" customFormat="false" ht="26.85" hidden="false" customHeight="false" outlineLevel="0" collapsed="false">
      <c r="A22" s="24" t="s">
        <v>2266</v>
      </c>
      <c r="B22" s="24" t="s">
        <v>2141</v>
      </c>
      <c r="C22" s="26" t="s">
        <v>2267</v>
      </c>
      <c r="D22" s="24" t="s">
        <v>2268</v>
      </c>
      <c r="E22" s="26" t="s">
        <v>2207</v>
      </c>
    </row>
    <row r="23" customFormat="false" ht="26.85" hidden="false" customHeight="false" outlineLevel="0" collapsed="false">
      <c r="A23" s="24" t="s">
        <v>2269</v>
      </c>
      <c r="B23" s="24" t="s">
        <v>2033</v>
      </c>
      <c r="C23" s="26" t="s">
        <v>2270</v>
      </c>
      <c r="D23" s="24" t="s">
        <v>2271</v>
      </c>
      <c r="E23" s="26" t="s">
        <v>2207</v>
      </c>
    </row>
    <row r="24" customFormat="false" ht="15" hidden="false" customHeight="false" outlineLevel="0" collapsed="false">
      <c r="A24" s="24" t="s">
        <v>2272</v>
      </c>
      <c r="B24" s="24" t="s">
        <v>2273</v>
      </c>
      <c r="C24" s="26" t="s">
        <v>2274</v>
      </c>
      <c r="D24" s="26" t="s">
        <v>2275</v>
      </c>
      <c r="E24" s="26" t="s">
        <v>2207</v>
      </c>
    </row>
    <row r="26" customFormat="false" ht="15" hidden="false" customHeight="false" outlineLevel="0" collapsed="false">
      <c r="A26" s="39" t="s">
        <v>2276</v>
      </c>
    </row>
    <row r="27" customFormat="false" ht="15" hidden="false" customHeight="false" outlineLevel="0" collapsed="false">
      <c r="A27" s="23" t="s">
        <v>89</v>
      </c>
      <c r="B27" s="23" t="s">
        <v>2277</v>
      </c>
      <c r="C27" s="23" t="s">
        <v>2278</v>
      </c>
      <c r="D27" s="23" t="s">
        <v>2279</v>
      </c>
    </row>
    <row r="28" customFormat="false" ht="15" hidden="false" customHeight="false" outlineLevel="0" collapsed="false">
      <c r="A28" s="24" t="s">
        <v>2280</v>
      </c>
      <c r="B28" s="24" t="s">
        <v>2281</v>
      </c>
      <c r="C28" s="26" t="s">
        <v>2282</v>
      </c>
      <c r="D28" s="26" t="s">
        <v>2283</v>
      </c>
    </row>
    <row r="29" customFormat="false" ht="26.85" hidden="false" customHeight="false" outlineLevel="0" collapsed="false">
      <c r="A29" s="24" t="s">
        <v>2284</v>
      </c>
      <c r="B29" s="24" t="s">
        <v>2285</v>
      </c>
      <c r="C29" s="26" t="s">
        <v>2286</v>
      </c>
      <c r="D29" s="26" t="s">
        <v>2287</v>
      </c>
    </row>
    <row r="30" customFormat="false" ht="26.85" hidden="false" customHeight="false" outlineLevel="0" collapsed="false">
      <c r="A30" s="24" t="s">
        <v>2288</v>
      </c>
      <c r="B30" s="24" t="s">
        <v>2289</v>
      </c>
      <c r="C30" s="26" t="s">
        <v>2290</v>
      </c>
      <c r="D30" s="26" t="s">
        <v>2291</v>
      </c>
    </row>
    <row r="31" customFormat="false" ht="15" hidden="false" customHeight="false" outlineLevel="0" collapsed="false">
      <c r="A31" s="24" t="s">
        <v>2292</v>
      </c>
      <c r="B31" s="24" t="s">
        <v>2293</v>
      </c>
      <c r="C31" s="26" t="s">
        <v>2294</v>
      </c>
      <c r="D31" s="24" t="s">
        <v>2295</v>
      </c>
    </row>
    <row r="32" customFormat="false" ht="15" hidden="false" customHeight="false" outlineLevel="0" collapsed="false">
      <c r="A32" s="24" t="s">
        <v>2296</v>
      </c>
      <c r="B32" s="24" t="s">
        <v>2297</v>
      </c>
      <c r="C32" s="26" t="s">
        <v>2298</v>
      </c>
      <c r="D32" s="26" t="s">
        <v>2299</v>
      </c>
    </row>
    <row r="33" customFormat="false" ht="26.85" hidden="false" customHeight="false" outlineLevel="0" collapsed="false">
      <c r="A33" s="24" t="s">
        <v>2300</v>
      </c>
      <c r="B33" s="24" t="s">
        <v>2301</v>
      </c>
      <c r="C33" s="26" t="s">
        <v>2302</v>
      </c>
      <c r="D33" s="26" t="s">
        <v>2303</v>
      </c>
    </row>
    <row r="35" customFormat="false" ht="15" hidden="false" customHeight="false" outlineLevel="0" collapsed="false">
      <c r="A35" s="39" t="s">
        <v>2304</v>
      </c>
    </row>
    <row r="36" customFormat="false" ht="15" hidden="false" customHeight="false" outlineLevel="0" collapsed="false">
      <c r="A36" s="23" t="s">
        <v>2305</v>
      </c>
      <c r="B36" s="23" t="s">
        <v>2306</v>
      </c>
      <c r="C36" s="23" t="s">
        <v>2307</v>
      </c>
      <c r="D36" s="23"/>
      <c r="E36" s="23" t="s">
        <v>2308</v>
      </c>
    </row>
    <row r="37" customFormat="false" ht="15" hidden="false" customHeight="false" outlineLevel="0" collapsed="false">
      <c r="A37" s="49" t="s">
        <v>2284</v>
      </c>
      <c r="B37" s="30" t="n">
        <v>145</v>
      </c>
      <c r="C37" s="30" t="s">
        <v>2309</v>
      </c>
      <c r="D37" s="71"/>
      <c r="E37" s="71"/>
    </row>
    <row r="38" customFormat="false" ht="15" hidden="false" customHeight="false" outlineLevel="0" collapsed="false">
      <c r="A38" s="49" t="s">
        <v>2288</v>
      </c>
      <c r="B38" s="30" t="n">
        <v>105</v>
      </c>
      <c r="C38" s="30" t="s">
        <v>86</v>
      </c>
      <c r="D38" s="71"/>
      <c r="E38" s="71"/>
    </row>
    <row r="39" customFormat="false" ht="15" hidden="false" customHeight="false" outlineLevel="0" collapsed="false">
      <c r="A39" s="49" t="s">
        <v>2280</v>
      </c>
      <c r="B39" s="30" t="n">
        <v>70</v>
      </c>
      <c r="C39" s="30" t="s">
        <v>86</v>
      </c>
      <c r="D39" s="71"/>
      <c r="E39" s="71"/>
    </row>
    <row r="40" customFormat="false" ht="15" hidden="false" customHeight="false" outlineLevel="0" collapsed="false">
      <c r="A40" s="49" t="s">
        <v>2292</v>
      </c>
      <c r="B40" s="30" t="n">
        <v>40</v>
      </c>
      <c r="C40" s="30" t="s">
        <v>2309</v>
      </c>
      <c r="D40" s="71"/>
      <c r="E40" s="71"/>
    </row>
    <row r="41" customFormat="false" ht="15" hidden="false" customHeight="false" outlineLevel="0" collapsed="false">
      <c r="A41" s="49" t="s">
        <v>2296</v>
      </c>
      <c r="B41" s="30" t="n">
        <v>15</v>
      </c>
      <c r="C41" s="30" t="s">
        <v>86</v>
      </c>
      <c r="D41" s="71"/>
      <c r="E41" s="71"/>
    </row>
    <row r="42" customFormat="false" ht="15" hidden="false" customHeight="false" outlineLevel="0" collapsed="false">
      <c r="A42" s="49" t="s">
        <v>2300</v>
      </c>
      <c r="B42" s="30" t="n">
        <v>25</v>
      </c>
      <c r="C42" s="30" t="s">
        <v>2310</v>
      </c>
      <c r="D42" s="71"/>
      <c r="E42" s="71"/>
    </row>
    <row r="43" customFormat="false" ht="15" hidden="false" customHeight="false" outlineLevel="0" collapsed="false">
      <c r="A43" s="72" t="s">
        <v>2311</v>
      </c>
      <c r="B43" s="73" t="n">
        <f aca="false">SUM(B37:B42)</f>
        <v>400</v>
      </c>
      <c r="C43" s="73"/>
      <c r="D43" s="73"/>
      <c r="E43" s="73" t="str">
        <f aca="false">IF(B43=400,"400석 OK","400석과 불일치")</f>
        <v>400석 OK</v>
      </c>
    </row>
    <row r="44" customFormat="false" ht="15" hidden="false" customHeight="false" outlineLevel="0" collapsed="false">
      <c r="A44" s="72" t="s">
        <v>2312</v>
      </c>
      <c r="B44" s="73" t="n">
        <f aca="false">INT(B43/2)+1</f>
        <v>201</v>
      </c>
      <c r="C44" s="73"/>
      <c r="D44" s="73"/>
      <c r="E44" s="73"/>
    </row>
    <row r="45" customFormat="false" ht="15" hidden="false" customHeight="false" outlineLevel="0" collapsed="false">
      <c r="A45" s="72" t="s">
        <v>2313</v>
      </c>
      <c r="B45" s="73"/>
      <c r="C45" s="73" t="n">
        <f aca="false">SUMIF(C37:C42,"Sì",$B$37:$B$42)</f>
        <v>185</v>
      </c>
      <c r="D45" s="73"/>
      <c r="E45" s="73"/>
    </row>
    <row r="46" customFormat="false" ht="15" hidden="false" customHeight="false" outlineLevel="0" collapsed="false">
      <c r="A46" s="72" t="s">
        <v>2314</v>
      </c>
      <c r="B46" s="73"/>
      <c r="C46" s="73" t="n">
        <f aca="false">SUMIF(C37:C42,"No",$B$37:$B$42)</f>
        <v>190</v>
      </c>
      <c r="D46" s="73"/>
      <c r="E46" s="73"/>
    </row>
    <row r="47" customFormat="false" ht="15" hidden="false" customHeight="false" outlineLevel="0" collapsed="false">
      <c r="A47" s="72" t="s">
        <v>2315</v>
      </c>
      <c r="B47" s="73"/>
      <c r="C47" s="73" t="n">
        <f aca="false">SUMIF(C37:C42,"Astenuto",$B$37:$B$42)</f>
        <v>25</v>
      </c>
      <c r="D47" s="73"/>
      <c r="E47" s="73"/>
    </row>
    <row r="48" customFormat="false" ht="15" hidden="false" customHeight="false" outlineLevel="0" collapsed="false">
      <c r="A48" s="72" t="s">
        <v>2316</v>
      </c>
      <c r="B48" s="73"/>
      <c r="C48" s="73" t="n">
        <f aca="false">SUMIF(C37:C42,"Assente",$B$37:$B$42)</f>
        <v>0</v>
      </c>
      <c r="D48" s="73"/>
      <c r="E48" s="73"/>
    </row>
    <row r="49" customFormat="false" ht="15" hidden="false" customHeight="false" outlineLevel="0" collapsed="false">
      <c r="A49" s="72" t="s">
        <v>2317</v>
      </c>
      <c r="B49" s="73"/>
      <c r="C49" s="73" t="str">
        <f aca="false">IF(C45&gt;C46,"신임 가결","신임 부결")</f>
        <v>신임 부결</v>
      </c>
      <c r="D49" s="73"/>
      <c r="E49" s="74" t="s">
        <v>2318</v>
      </c>
    </row>
    <row r="50" customFormat="false" ht="48" hidden="false" customHeight="true" outlineLevel="0" collapsed="false">
      <c r="A50" s="60" t="s">
        <v>2319</v>
      </c>
      <c r="B50" s="60"/>
      <c r="C50" s="60"/>
      <c r="D50" s="60"/>
      <c r="E50" s="60"/>
      <c r="F50" s="60"/>
    </row>
    <row r="52" customFormat="false" ht="15" hidden="false" customHeight="false" outlineLevel="0" collapsed="false">
      <c r="A52" s="39" t="s">
        <v>2320</v>
      </c>
    </row>
    <row r="53" customFormat="false" ht="15" hidden="false" customHeight="false" outlineLevel="0" collapsed="false">
      <c r="A53" s="23" t="s">
        <v>2305</v>
      </c>
      <c r="B53" s="23" t="s">
        <v>2321</v>
      </c>
      <c r="C53" s="23" t="s">
        <v>2322</v>
      </c>
      <c r="D53" s="23" t="s">
        <v>2323</v>
      </c>
      <c r="E53" s="23" t="s">
        <v>2324</v>
      </c>
    </row>
    <row r="54" customFormat="false" ht="15" hidden="false" customHeight="false" outlineLevel="0" collapsed="false">
      <c r="A54" s="49" t="s">
        <v>2280</v>
      </c>
      <c r="B54" s="30" t="n">
        <v>130</v>
      </c>
      <c r="C54" s="30" t="s">
        <v>2309</v>
      </c>
      <c r="D54" s="30" t="n">
        <v>64</v>
      </c>
      <c r="E54" s="30" t="s">
        <v>2309</v>
      </c>
    </row>
    <row r="55" customFormat="false" ht="15" hidden="false" customHeight="false" outlineLevel="0" collapsed="false">
      <c r="A55" s="49" t="s">
        <v>2284</v>
      </c>
      <c r="B55" s="30" t="n">
        <v>122</v>
      </c>
      <c r="C55" s="30" t="s">
        <v>86</v>
      </c>
      <c r="D55" s="30" t="n">
        <v>62</v>
      </c>
      <c r="E55" s="30" t="s">
        <v>86</v>
      </c>
    </row>
    <row r="56" customFormat="false" ht="15" hidden="false" customHeight="false" outlineLevel="0" collapsed="false">
      <c r="A56" s="49" t="s">
        <v>2288</v>
      </c>
      <c r="B56" s="30" t="n">
        <v>52</v>
      </c>
      <c r="C56" s="30" t="s">
        <v>2309</v>
      </c>
      <c r="D56" s="30" t="n">
        <v>26</v>
      </c>
      <c r="E56" s="30" t="s">
        <v>2309</v>
      </c>
    </row>
    <row r="57" customFormat="false" ht="15" hidden="false" customHeight="false" outlineLevel="0" collapsed="false">
      <c r="A57" s="49" t="s">
        <v>2292</v>
      </c>
      <c r="B57" s="30" t="n">
        <v>38</v>
      </c>
      <c r="C57" s="30" t="s">
        <v>86</v>
      </c>
      <c r="D57" s="30" t="n">
        <v>19</v>
      </c>
      <c r="E57" s="30" t="s">
        <v>86</v>
      </c>
    </row>
    <row r="58" customFormat="false" ht="15" hidden="false" customHeight="false" outlineLevel="0" collapsed="false">
      <c r="A58" s="49" t="s">
        <v>2296</v>
      </c>
      <c r="B58" s="30" t="n">
        <v>20</v>
      </c>
      <c r="C58" s="30" t="s">
        <v>2309</v>
      </c>
      <c r="D58" s="30" t="n">
        <v>10</v>
      </c>
      <c r="E58" s="30" t="s">
        <v>2309</v>
      </c>
    </row>
    <row r="59" customFormat="false" ht="15" hidden="false" customHeight="false" outlineLevel="0" collapsed="false">
      <c r="A59" s="49" t="s">
        <v>2300</v>
      </c>
      <c r="B59" s="30" t="n">
        <v>38</v>
      </c>
      <c r="C59" s="30" t="s">
        <v>2310</v>
      </c>
      <c r="D59" s="30" t="n">
        <v>19</v>
      </c>
      <c r="E59" s="30" t="s">
        <v>86</v>
      </c>
    </row>
    <row r="60" customFormat="false" ht="15" hidden="false" customHeight="false" outlineLevel="0" collapsed="false">
      <c r="A60" s="75" t="s">
        <v>2325</v>
      </c>
      <c r="B60" s="30"/>
      <c r="C60" s="30"/>
      <c r="D60" s="30" t="n">
        <v>2</v>
      </c>
      <c r="E60" s="30" t="s">
        <v>2309</v>
      </c>
    </row>
    <row r="61" customFormat="false" ht="15" hidden="false" customHeight="false" outlineLevel="0" collapsed="false">
      <c r="A61" s="75" t="s">
        <v>2326</v>
      </c>
      <c r="B61" s="30"/>
      <c r="C61" s="30"/>
      <c r="D61" s="30" t="n">
        <v>1</v>
      </c>
      <c r="E61" s="30" t="s">
        <v>86</v>
      </c>
    </row>
    <row r="62" customFormat="false" ht="15" hidden="false" customHeight="false" outlineLevel="0" collapsed="false">
      <c r="A62" s="75" t="s">
        <v>2327</v>
      </c>
      <c r="B62" s="30"/>
      <c r="C62" s="30"/>
      <c r="D62" s="30" t="n">
        <v>2</v>
      </c>
      <c r="E62" s="30" t="s">
        <v>2328</v>
      </c>
    </row>
    <row r="63" customFormat="false" ht="15" hidden="false" customHeight="false" outlineLevel="0" collapsed="false">
      <c r="A63" s="72" t="s">
        <v>2329</v>
      </c>
      <c r="B63" s="74" t="n">
        <f aca="false">SUM(B54:B62)</f>
        <v>400</v>
      </c>
      <c r="C63" s="74" t="str">
        <f aca="false">IF(B63=400,"하원 400석 OK","400석과 불일치")</f>
        <v>하원 400석 OK</v>
      </c>
      <c r="D63" s="74" t="n">
        <f aca="false">SUM(D54:D59)</f>
        <v>200</v>
      </c>
      <c r="E63" s="74" t="str">
        <f aca="false">IF(D63=200,"상원 선출 200석 OK","200석과 불일치")</f>
        <v>상원 선출 200석 OK</v>
      </c>
    </row>
    <row r="64" customFormat="false" ht="15" hidden="false" customHeight="false" outlineLevel="0" collapsed="false">
      <c r="A64" s="72" t="s">
        <v>2330</v>
      </c>
      <c r="B64" s="73" t="s">
        <v>301</v>
      </c>
      <c r="C64" s="74"/>
      <c r="D64" s="74" t="n">
        <f aca="false">SUM(D60:D62)</f>
        <v>5</v>
      </c>
      <c r="E64" s="74" t="s">
        <v>2331</v>
      </c>
    </row>
    <row r="65" customFormat="false" ht="15" hidden="false" customHeight="false" outlineLevel="0" collapsed="false">
      <c r="A65" s="72" t="s">
        <v>2313</v>
      </c>
      <c r="B65" s="74"/>
      <c r="C65" s="74" t="n">
        <f aca="false">SUMIF(C54:C62,"Sì",$B$54:$B$62)</f>
        <v>202</v>
      </c>
      <c r="D65" s="74"/>
      <c r="E65" s="74" t="n">
        <f aca="false">SUMIF(E54:E62,"Sì",$D$54:$D$62)</f>
        <v>102</v>
      </c>
    </row>
    <row r="66" customFormat="false" ht="15" hidden="false" customHeight="false" outlineLevel="0" collapsed="false">
      <c r="A66" s="72" t="s">
        <v>2314</v>
      </c>
      <c r="B66" s="74"/>
      <c r="C66" s="74" t="n">
        <f aca="false">SUMIF(C54:C62,"No",$B$54:$B$62)</f>
        <v>160</v>
      </c>
      <c r="D66" s="74"/>
      <c r="E66" s="74" t="n">
        <f aca="false">SUMIF(E54:E62,"No",$D$54:$D$62)</f>
        <v>101</v>
      </c>
    </row>
    <row r="67" customFormat="false" ht="15" hidden="false" customHeight="false" outlineLevel="0" collapsed="false">
      <c r="A67" s="72" t="s">
        <v>2315</v>
      </c>
      <c r="B67" s="74"/>
      <c r="C67" s="74" t="n">
        <f aca="false">SUMIF(C54:C62,"Astenuto",$B$54:$B$62)</f>
        <v>38</v>
      </c>
      <c r="D67" s="74"/>
      <c r="E67" s="74" t="n">
        <f aca="false">SUMIF(E54:E62,"Astenuto",$D$54:$D$62)</f>
        <v>0</v>
      </c>
    </row>
    <row r="68" customFormat="false" ht="15" hidden="false" customHeight="false" outlineLevel="0" collapsed="false">
      <c r="A68" s="72" t="s">
        <v>2316</v>
      </c>
      <c r="B68" s="74"/>
      <c r="C68" s="74" t="n">
        <f aca="false">SUMIF(C54:C62,"Assente",$B$54:$B$62)</f>
        <v>0</v>
      </c>
      <c r="D68" s="74"/>
      <c r="E68" s="74" t="n">
        <f aca="false">SUMIF(E54:E62,"Assente",$D$54:$D$62)</f>
        <v>2</v>
      </c>
    </row>
    <row r="69" customFormat="false" ht="15" hidden="false" customHeight="false" outlineLevel="0" collapsed="false">
      <c r="A69" s="72" t="s">
        <v>2317</v>
      </c>
      <c r="B69" s="74"/>
      <c r="C69" s="74" t="str">
        <f aca="false">IF(C65&gt;C66,"하원 신임 가결","하원 신임 부결")</f>
        <v>하원 신임 가결</v>
      </c>
      <c r="D69" s="74"/>
      <c r="E69" s="74" t="str">
        <f aca="false">IF(E65&gt;E66,"상원 신임 가결","상원 신임 부결")</f>
        <v>상원 신임 가결</v>
      </c>
    </row>
    <row r="70" customFormat="false" ht="15" hidden="false" customHeight="false" outlineLevel="0" collapsed="false">
      <c r="A70" s="72" t="s">
        <v>2332</v>
      </c>
      <c r="B70" s="74"/>
      <c r="C70" s="74"/>
      <c r="D70" s="74"/>
      <c r="E70" s="74" t="n">
        <f aca="false">E65-E66</f>
        <v>1</v>
      </c>
    </row>
    <row r="71" customFormat="false" ht="60" hidden="false" customHeight="true" outlineLevel="0" collapsed="false">
      <c r="A71" s="60" t="s">
        <v>2333</v>
      </c>
      <c r="B71" s="60"/>
      <c r="C71" s="60"/>
      <c r="D71" s="60"/>
      <c r="E71" s="60"/>
      <c r="F71" s="60"/>
    </row>
    <row r="73" customFormat="false" ht="15" hidden="false" customHeight="false" outlineLevel="0" collapsed="false">
      <c r="A73" s="39" t="s">
        <v>2334</v>
      </c>
    </row>
    <row r="74" customFormat="false" ht="15" hidden="false" customHeight="false" outlineLevel="0" collapsed="false">
      <c r="A74" s="23" t="s">
        <v>2305</v>
      </c>
      <c r="B74" s="23" t="s">
        <v>2306</v>
      </c>
      <c r="C74" s="23" t="s">
        <v>2307</v>
      </c>
      <c r="D74" s="23"/>
      <c r="E74" s="23" t="s">
        <v>2308</v>
      </c>
    </row>
    <row r="75" customFormat="false" ht="15" hidden="false" customHeight="false" outlineLevel="0" collapsed="false">
      <c r="A75" s="49" t="s">
        <v>2284</v>
      </c>
      <c r="B75" s="30" t="n">
        <v>122</v>
      </c>
      <c r="C75" s="30" t="s">
        <v>2309</v>
      </c>
      <c r="D75" s="71"/>
      <c r="E75" s="71"/>
    </row>
    <row r="76" customFormat="false" ht="15" hidden="false" customHeight="false" outlineLevel="0" collapsed="false">
      <c r="A76" s="49" t="s">
        <v>2292</v>
      </c>
      <c r="B76" s="30" t="n">
        <v>38</v>
      </c>
      <c r="C76" s="30" t="s">
        <v>2309</v>
      </c>
      <c r="D76" s="71"/>
      <c r="E76" s="71"/>
    </row>
    <row r="77" customFormat="false" ht="15" hidden="false" customHeight="false" outlineLevel="0" collapsed="false">
      <c r="A77" s="49" t="s">
        <v>2300</v>
      </c>
      <c r="B77" s="30" t="n">
        <v>38</v>
      </c>
      <c r="C77" s="30" t="s">
        <v>2310</v>
      </c>
      <c r="D77" s="71"/>
      <c r="E77" s="71"/>
    </row>
    <row r="78" customFormat="false" ht="15" hidden="false" customHeight="false" outlineLevel="0" collapsed="false">
      <c r="A78" s="49" t="s">
        <v>2280</v>
      </c>
      <c r="B78" s="30" t="n">
        <v>130</v>
      </c>
      <c r="C78" s="30" t="s">
        <v>86</v>
      </c>
      <c r="D78" s="71"/>
      <c r="E78" s="71"/>
    </row>
    <row r="79" customFormat="false" ht="15" hidden="false" customHeight="false" outlineLevel="0" collapsed="false">
      <c r="A79" s="49" t="s">
        <v>2288</v>
      </c>
      <c r="B79" s="30" t="n">
        <v>52</v>
      </c>
      <c r="C79" s="30" t="s">
        <v>86</v>
      </c>
      <c r="D79" s="71"/>
      <c r="E79" s="71"/>
    </row>
    <row r="80" customFormat="false" ht="15" hidden="false" customHeight="false" outlineLevel="0" collapsed="false">
      <c r="A80" s="49" t="s">
        <v>2296</v>
      </c>
      <c r="B80" s="30" t="n">
        <v>20</v>
      </c>
      <c r="C80" s="30" t="s">
        <v>86</v>
      </c>
      <c r="D80" s="71"/>
      <c r="E80" s="71"/>
    </row>
    <row r="81" customFormat="false" ht="15" hidden="false" customHeight="false" outlineLevel="0" collapsed="false">
      <c r="A81" s="72" t="s">
        <v>2311</v>
      </c>
      <c r="B81" s="74" t="n">
        <f aca="false">SUM(B75:B80)</f>
        <v>400</v>
      </c>
      <c r="C81" s="74"/>
      <c r="D81" s="74"/>
      <c r="E81" s="74" t="str">
        <f aca="false">IF(B81=400,"400석 OK","400석과 불일치")</f>
        <v>400석 OK</v>
      </c>
    </row>
    <row r="82" customFormat="false" ht="15" hidden="false" customHeight="false" outlineLevel="0" collapsed="false">
      <c r="A82" s="72" t="s">
        <v>2312</v>
      </c>
      <c r="B82" s="74" t="n">
        <f aca="false">INT(B81/2)+1</f>
        <v>201</v>
      </c>
      <c r="C82" s="74"/>
      <c r="D82" s="74"/>
      <c r="E82" s="74"/>
    </row>
    <row r="83" customFormat="false" ht="15" hidden="false" customHeight="false" outlineLevel="0" collapsed="false">
      <c r="A83" s="72" t="s">
        <v>2313</v>
      </c>
      <c r="B83" s="74"/>
      <c r="C83" s="74" t="n">
        <f aca="false">SUMIF(C75:C80,"Sì",$B$75:$B$80)</f>
        <v>160</v>
      </c>
      <c r="D83" s="74"/>
      <c r="E83" s="74"/>
    </row>
    <row r="84" customFormat="false" ht="15" hidden="false" customHeight="false" outlineLevel="0" collapsed="false">
      <c r="A84" s="72" t="s">
        <v>2314</v>
      </c>
      <c r="B84" s="74"/>
      <c r="C84" s="74" t="n">
        <f aca="false">SUMIF(C75:C80,"No",$B$75:$B$80)</f>
        <v>202</v>
      </c>
      <c r="D84" s="74"/>
      <c r="E84" s="74"/>
    </row>
    <row r="85" customFormat="false" ht="15" hidden="false" customHeight="false" outlineLevel="0" collapsed="false">
      <c r="A85" s="72" t="s">
        <v>2315</v>
      </c>
      <c r="B85" s="74"/>
      <c r="C85" s="74" t="n">
        <f aca="false">SUMIF(C75:C80,"Astenuto",$B$75:$B$80)</f>
        <v>38</v>
      </c>
      <c r="D85" s="74"/>
      <c r="E85" s="74"/>
    </row>
    <row r="86" customFormat="false" ht="15" hidden="false" customHeight="false" outlineLevel="0" collapsed="false">
      <c r="A86" s="72" t="s">
        <v>2316</v>
      </c>
      <c r="B86" s="74"/>
      <c r="C86" s="74" t="n">
        <f aca="false">SUMIF(C75:C80,"Assente",$B$75:$B$80)</f>
        <v>0</v>
      </c>
      <c r="D86" s="74"/>
      <c r="E86" s="74"/>
    </row>
    <row r="87" customFormat="false" ht="15" hidden="false" customHeight="false" outlineLevel="0" collapsed="false">
      <c r="A87" s="72" t="s">
        <v>2317</v>
      </c>
      <c r="B87" s="74"/>
      <c r="C87" s="74" t="str">
        <f aca="false">IF(C83&gt;C84,"불신임 가결","불신임 부결")</f>
        <v>불신임 부결</v>
      </c>
      <c r="D87" s="74"/>
      <c r="E87" s="74" t="s">
        <v>2335</v>
      </c>
    </row>
    <row r="88" customFormat="false" ht="15" hidden="false" customHeight="false" outlineLevel="0" collapsed="false">
      <c r="A88" s="72" t="s">
        <v>2336</v>
      </c>
      <c r="B88" s="74"/>
      <c r="C88" s="74" t="n">
        <f aca="false">ROUNDUP(B81/10,0)</f>
        <v>40</v>
      </c>
      <c r="D88" s="74"/>
      <c r="E88" s="74" t="str">
        <f aca="false">IF(B75&gt;=C88,"UCN 단독으로 서명 충족","미달")</f>
        <v>UCN 단독으로 서명 충족</v>
      </c>
    </row>
    <row r="89" customFormat="false" ht="48" hidden="false" customHeight="true" outlineLevel="0" collapsed="false">
      <c r="A89" s="60" t="s">
        <v>2337</v>
      </c>
      <c r="B89" s="60"/>
      <c r="C89" s="60"/>
      <c r="D89" s="60"/>
      <c r="E89" s="60"/>
      <c r="F89" s="60"/>
    </row>
    <row r="91" customFormat="false" ht="15" hidden="false" customHeight="false" outlineLevel="0" collapsed="false">
      <c r="A91" s="39" t="s">
        <v>2338</v>
      </c>
    </row>
    <row r="92" customFormat="false" ht="60" hidden="false" customHeight="true" outlineLevel="0" collapsed="false">
      <c r="A92" s="38" t="s">
        <v>2339</v>
      </c>
      <c r="B92" s="38"/>
      <c r="C92" s="38"/>
      <c r="D92" s="38"/>
      <c r="E92" s="38"/>
      <c r="F92" s="38"/>
    </row>
  </sheetData>
  <mergeCells count="4">
    <mergeCell ref="A50:F50"/>
    <mergeCell ref="A71:F71"/>
    <mergeCell ref="A89:F89"/>
    <mergeCell ref="A92:F9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2"/>
    <col collapsed="false" customWidth="true" hidden="false" outlineLevel="0" max="3" min="3" style="1" width="26"/>
    <col collapsed="false" customWidth="true" hidden="false" outlineLevel="0" max="4" min="4" style="1" width="34"/>
    <col collapsed="false" customWidth="true" hidden="false" outlineLevel="0" max="5" min="5" style="1" width="52"/>
  </cols>
  <sheetData>
    <row r="1" customFormat="false" ht="24" hidden="false" customHeight="true" outlineLevel="0" collapsed="false">
      <c r="A1" s="21" t="s">
        <v>2340</v>
      </c>
    </row>
    <row r="2" customFormat="false" ht="15" hidden="false" customHeight="true" outlineLevel="0" collapsed="false">
      <c r="A2" s="20" t="s">
        <v>2341</v>
      </c>
    </row>
    <row r="4" customFormat="false" ht="19.5" hidden="false" customHeight="true" outlineLevel="0" collapsed="false">
      <c r="A4" s="23" t="s">
        <v>2342</v>
      </c>
      <c r="B4" s="22" t="s">
        <v>2343</v>
      </c>
      <c r="C4" s="22" t="s">
        <v>2344</v>
      </c>
      <c r="D4" s="22" t="s">
        <v>2345</v>
      </c>
      <c r="E4" s="23" t="s">
        <v>2308</v>
      </c>
    </row>
    <row r="5" customFormat="false" ht="26.85" hidden="false" customHeight="false" outlineLevel="0" collapsed="false">
      <c r="A5" s="6" t="s">
        <v>2346</v>
      </c>
      <c r="B5" s="8" t="s">
        <v>2347</v>
      </c>
      <c r="C5" s="8" t="s">
        <v>2348</v>
      </c>
      <c r="D5" s="8" t="s">
        <v>2347</v>
      </c>
      <c r="E5" s="8" t="s">
        <v>2349</v>
      </c>
    </row>
    <row r="6" customFormat="false" ht="15" hidden="false" customHeight="false" outlineLevel="0" collapsed="false">
      <c r="A6" s="6" t="s">
        <v>2350</v>
      </c>
      <c r="B6" s="8" t="s">
        <v>2347</v>
      </c>
      <c r="C6" s="8" t="s">
        <v>2351</v>
      </c>
      <c r="D6" s="8" t="s">
        <v>2347</v>
      </c>
      <c r="E6" s="8"/>
    </row>
    <row r="7" customFormat="false" ht="26.85" hidden="false" customHeight="false" outlineLevel="0" collapsed="false">
      <c r="A7" s="70" t="s">
        <v>2352</v>
      </c>
      <c r="B7" s="8" t="s">
        <v>2353</v>
      </c>
      <c r="C7" s="8" t="s">
        <v>2354</v>
      </c>
      <c r="D7" s="8" t="s">
        <v>2355</v>
      </c>
      <c r="E7" s="8" t="s">
        <v>2356</v>
      </c>
    </row>
    <row r="8" customFormat="false" ht="39.55" hidden="false" customHeight="false" outlineLevel="0" collapsed="false">
      <c r="A8" s="70" t="s">
        <v>2357</v>
      </c>
      <c r="B8" s="8" t="s">
        <v>2353</v>
      </c>
      <c r="C8" s="8" t="s">
        <v>2353</v>
      </c>
      <c r="D8" s="8" t="s">
        <v>2358</v>
      </c>
      <c r="E8" s="8" t="s">
        <v>2359</v>
      </c>
    </row>
    <row r="9" customFormat="false" ht="15" hidden="false" customHeight="false" outlineLevel="0" collapsed="false">
      <c r="A9" s="70" t="s">
        <v>2360</v>
      </c>
      <c r="B9" s="8" t="s">
        <v>2353</v>
      </c>
      <c r="C9" s="9" t="s">
        <v>2361</v>
      </c>
      <c r="D9" s="8" t="s">
        <v>2362</v>
      </c>
      <c r="E9" s="8"/>
    </row>
    <row r="10" customFormat="false" ht="15" hidden="false" customHeight="false" outlineLevel="0" collapsed="false">
      <c r="A10" s="70" t="s">
        <v>2363</v>
      </c>
      <c r="B10" s="8" t="s">
        <v>2364</v>
      </c>
      <c r="C10" s="9" t="s">
        <v>2361</v>
      </c>
      <c r="D10" s="8" t="s">
        <v>2347</v>
      </c>
      <c r="E10" s="9" t="s">
        <v>2365</v>
      </c>
    </row>
    <row r="11" customFormat="false" ht="39.55" hidden="false" customHeight="false" outlineLevel="0" collapsed="false">
      <c r="A11" s="70" t="s">
        <v>2366</v>
      </c>
      <c r="B11" s="8" t="s">
        <v>2367</v>
      </c>
      <c r="C11" s="8" t="s">
        <v>2368</v>
      </c>
      <c r="D11" s="8" t="s">
        <v>2368</v>
      </c>
      <c r="E11" s="9" t="s">
        <v>2369</v>
      </c>
    </row>
    <row r="12" customFormat="false" ht="15" hidden="false" customHeight="false" outlineLevel="0" collapsed="false">
      <c r="A12" s="70" t="s">
        <v>2370</v>
      </c>
      <c r="B12" s="8" t="s">
        <v>2353</v>
      </c>
      <c r="C12" s="8" t="s">
        <v>2353</v>
      </c>
      <c r="D12" s="9" t="s">
        <v>2371</v>
      </c>
      <c r="E12" s="8"/>
    </row>
    <row r="13" customFormat="false" ht="15" hidden="false" customHeight="false" outlineLevel="0" collapsed="false">
      <c r="A13" s="70" t="s">
        <v>2372</v>
      </c>
      <c r="B13" s="8" t="s">
        <v>2373</v>
      </c>
      <c r="C13" s="8" t="s">
        <v>2374</v>
      </c>
      <c r="D13" s="9" t="s">
        <v>2375</v>
      </c>
      <c r="E13" s="9" t="s">
        <v>2376</v>
      </c>
    </row>
    <row r="14" customFormat="false" ht="15" hidden="false" customHeight="false" outlineLevel="0" collapsed="false">
      <c r="A14" s="70" t="s">
        <v>2377</v>
      </c>
      <c r="B14" s="8" t="s">
        <v>2347</v>
      </c>
      <c r="C14" s="8" t="s">
        <v>2347</v>
      </c>
      <c r="D14" s="8" t="s">
        <v>2347</v>
      </c>
      <c r="E14" s="9" t="s">
        <v>2378</v>
      </c>
    </row>
    <row r="15" customFormat="false" ht="15" hidden="false" customHeight="false" outlineLevel="0" collapsed="false">
      <c r="A15" s="70" t="s">
        <v>2379</v>
      </c>
      <c r="B15" s="8" t="s">
        <v>2347</v>
      </c>
      <c r="C15" s="8" t="s">
        <v>2347</v>
      </c>
      <c r="D15" s="8" t="s">
        <v>2347</v>
      </c>
      <c r="E15" s="8" t="s">
        <v>2380</v>
      </c>
    </row>
    <row r="16" customFormat="false" ht="15" hidden="false" customHeight="false" outlineLevel="0" collapsed="false">
      <c r="A16" s="70" t="s">
        <v>2381</v>
      </c>
      <c r="B16" s="8" t="s">
        <v>2382</v>
      </c>
      <c r="C16" s="8" t="s">
        <v>2353</v>
      </c>
      <c r="D16" s="9" t="s">
        <v>2383</v>
      </c>
      <c r="E16" s="8"/>
    </row>
    <row r="17" customFormat="false" ht="26.85" hidden="false" customHeight="false" outlineLevel="0" collapsed="false">
      <c r="A17" s="70" t="s">
        <v>2384</v>
      </c>
      <c r="B17" s="8" t="s">
        <v>2353</v>
      </c>
      <c r="C17" s="8" t="s">
        <v>2353</v>
      </c>
      <c r="D17" s="9" t="s">
        <v>2385</v>
      </c>
      <c r="E17" s="9" t="s">
        <v>2386</v>
      </c>
    </row>
    <row r="18" customFormat="false" ht="15" hidden="false" customHeight="false" outlineLevel="0" collapsed="false">
      <c r="A18" s="6" t="s">
        <v>2387</v>
      </c>
      <c r="B18" s="8" t="s">
        <v>2388</v>
      </c>
      <c r="C18" s="8" t="s">
        <v>2388</v>
      </c>
      <c r="D18" s="8" t="s">
        <v>2388</v>
      </c>
      <c r="E18" s="9" t="s">
        <v>2389</v>
      </c>
    </row>
    <row r="19" customFormat="false" ht="15" hidden="false" customHeight="false" outlineLevel="0" collapsed="false">
      <c r="A19" s="6" t="s">
        <v>2390</v>
      </c>
      <c r="B19" s="8" t="s">
        <v>301</v>
      </c>
      <c r="C19" s="8" t="s">
        <v>301</v>
      </c>
      <c r="D19" s="8" t="s">
        <v>2391</v>
      </c>
      <c r="E19" s="8" t="s">
        <v>2392</v>
      </c>
    </row>
    <row r="20" customFormat="false" ht="38.05" hidden="false" customHeight="false" outlineLevel="0" collapsed="false">
      <c r="A20" s="6" t="s">
        <v>2393</v>
      </c>
      <c r="B20" s="8" t="s">
        <v>301</v>
      </c>
      <c r="C20" s="8" t="s">
        <v>301</v>
      </c>
      <c r="D20" s="8" t="s">
        <v>2394</v>
      </c>
      <c r="E20" s="9" t="s">
        <v>2395</v>
      </c>
    </row>
    <row r="21" customFormat="false" ht="23.85" hidden="false" customHeight="false" outlineLevel="0" collapsed="false">
      <c r="A21" s="6" t="s">
        <v>2396</v>
      </c>
      <c r="B21" s="8" t="s">
        <v>301</v>
      </c>
      <c r="C21" s="8" t="s">
        <v>301</v>
      </c>
      <c r="D21" s="8" t="s">
        <v>2397</v>
      </c>
      <c r="E21" s="9" t="s">
        <v>2398</v>
      </c>
    </row>
    <row r="22" customFormat="false" ht="26.85" hidden="false" customHeight="false" outlineLevel="0" collapsed="false">
      <c r="A22" s="6" t="s">
        <v>2399</v>
      </c>
      <c r="B22" s="8" t="s">
        <v>301</v>
      </c>
      <c r="C22" s="8" t="s">
        <v>301</v>
      </c>
      <c r="D22" s="8" t="s">
        <v>2400</v>
      </c>
      <c r="E22" s="9" t="s">
        <v>2401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E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6"/>
    <col collapsed="false" customWidth="true" hidden="false" outlineLevel="0" max="3" min="3" style="1" width="32"/>
    <col collapsed="false" customWidth="true" hidden="false" outlineLevel="0" max="4" min="4" style="1" width="34"/>
    <col collapsed="false" customWidth="true" hidden="false" outlineLevel="0" max="5" min="5" style="1" width="48"/>
  </cols>
  <sheetData>
    <row r="1" customFormat="false" ht="24" hidden="false" customHeight="true" outlineLevel="0" collapsed="false">
      <c r="A1" s="2" t="s">
        <v>2402</v>
      </c>
    </row>
    <row r="2" customFormat="false" ht="15" hidden="false" customHeight="true" outlineLevel="0" collapsed="false">
      <c r="A2" s="20" t="s">
        <v>2403</v>
      </c>
    </row>
    <row r="4" customFormat="false" ht="18" hidden="false" customHeight="true" outlineLevel="0" collapsed="false">
      <c r="A4" s="39" t="s">
        <v>2404</v>
      </c>
      <c r="B4" s="5"/>
      <c r="C4" s="5"/>
      <c r="D4" s="5"/>
      <c r="E4" s="5"/>
    </row>
    <row r="5" customFormat="false" ht="19.5" hidden="false" customHeight="true" outlineLevel="0" collapsed="false">
      <c r="A5" s="23" t="s">
        <v>2405</v>
      </c>
      <c r="B5" s="23" t="s">
        <v>2406</v>
      </c>
      <c r="C5" s="23" t="s">
        <v>2278</v>
      </c>
      <c r="D5" s="23" t="s">
        <v>2407</v>
      </c>
      <c r="E5" s="23" t="s">
        <v>2408</v>
      </c>
    </row>
    <row r="6" customFormat="false" ht="42" hidden="false" customHeight="true" outlineLevel="0" collapsed="false">
      <c r="A6" s="11" t="s">
        <v>2409</v>
      </c>
      <c r="B6" s="8" t="s">
        <v>2410</v>
      </c>
      <c r="C6" s="9" t="s">
        <v>2411</v>
      </c>
      <c r="D6" s="8" t="s">
        <v>2412</v>
      </c>
      <c r="E6" s="9" t="s">
        <v>2413</v>
      </c>
    </row>
    <row r="7" customFormat="false" ht="42" hidden="false" customHeight="true" outlineLevel="0" collapsed="false">
      <c r="A7" s="11" t="s">
        <v>2414</v>
      </c>
      <c r="B7" s="8" t="s">
        <v>2415</v>
      </c>
      <c r="C7" s="9" t="s">
        <v>2416</v>
      </c>
      <c r="D7" s="8" t="s">
        <v>2417</v>
      </c>
      <c r="E7" s="9" t="s">
        <v>2418</v>
      </c>
    </row>
    <row r="8" customFormat="false" ht="29.25" hidden="false" customHeight="true" outlineLevel="0" collapsed="false">
      <c r="A8" s="6" t="s">
        <v>2419</v>
      </c>
      <c r="B8" s="8" t="s">
        <v>2420</v>
      </c>
      <c r="C8" s="9" t="s">
        <v>2421</v>
      </c>
      <c r="D8" s="8" t="s">
        <v>2422</v>
      </c>
      <c r="E8" s="9" t="s">
        <v>2423</v>
      </c>
    </row>
    <row r="10" customFormat="false" ht="18" hidden="false" customHeight="true" outlineLevel="0" collapsed="false">
      <c r="A10" s="39" t="s">
        <v>2424</v>
      </c>
      <c r="B10" s="5"/>
      <c r="C10" s="5"/>
      <c r="D10" s="5"/>
      <c r="E10" s="5"/>
    </row>
    <row r="11" customFormat="false" ht="19.5" hidden="false" customHeight="true" outlineLevel="0" collapsed="false">
      <c r="A11" s="23" t="s">
        <v>2201</v>
      </c>
      <c r="B11" s="23" t="s">
        <v>2425</v>
      </c>
      <c r="C11" s="23" t="s">
        <v>400</v>
      </c>
      <c r="D11" s="23" t="s">
        <v>2426</v>
      </c>
      <c r="E11" s="23" t="s">
        <v>2427</v>
      </c>
    </row>
    <row r="12" customFormat="false" ht="16.5" hidden="false" customHeight="true" outlineLevel="0" collapsed="false">
      <c r="A12" s="11" t="s">
        <v>2428</v>
      </c>
      <c r="B12" s="8" t="s">
        <v>2429</v>
      </c>
      <c r="C12" s="9" t="s">
        <v>2430</v>
      </c>
      <c r="D12" s="9" t="s">
        <v>2431</v>
      </c>
      <c r="E12" s="9" t="s">
        <v>2432</v>
      </c>
    </row>
    <row r="13" customFormat="false" ht="29.25" hidden="false" customHeight="true" outlineLevel="0" collapsed="false">
      <c r="A13" s="11" t="s">
        <v>2433</v>
      </c>
      <c r="B13" s="8" t="s">
        <v>2434</v>
      </c>
      <c r="C13" s="9" t="s">
        <v>2435</v>
      </c>
      <c r="D13" s="9" t="s">
        <v>2436</v>
      </c>
      <c r="E13" s="8" t="s">
        <v>2437</v>
      </c>
    </row>
    <row r="14" customFormat="false" ht="16.5" hidden="false" customHeight="true" outlineLevel="0" collapsed="false">
      <c r="A14" s="11" t="s">
        <v>2438</v>
      </c>
      <c r="B14" s="8" t="s">
        <v>2439</v>
      </c>
      <c r="C14" s="9" t="s">
        <v>2440</v>
      </c>
      <c r="D14" s="9" t="s">
        <v>2441</v>
      </c>
      <c r="E14" s="8" t="s">
        <v>2442</v>
      </c>
    </row>
    <row r="16" customFormat="false" ht="18" hidden="false" customHeight="true" outlineLevel="0" collapsed="false">
      <c r="A16" s="39" t="s">
        <v>2443</v>
      </c>
      <c r="B16" s="5"/>
      <c r="C16" s="5"/>
      <c r="D16" s="5"/>
      <c r="E16" s="5"/>
    </row>
    <row r="17" customFormat="false" ht="19.5" hidden="false" customHeight="true" outlineLevel="0" collapsed="false">
      <c r="A17" s="23" t="s">
        <v>329</v>
      </c>
      <c r="B17" s="23" t="s">
        <v>2444</v>
      </c>
      <c r="C17" s="23" t="s">
        <v>400</v>
      </c>
      <c r="D17" s="23" t="s">
        <v>2445</v>
      </c>
      <c r="E17" s="23" t="s">
        <v>2308</v>
      </c>
    </row>
    <row r="18" customFormat="false" ht="16.5" hidden="false" customHeight="true" outlineLevel="0" collapsed="false">
      <c r="A18" s="11" t="s">
        <v>120</v>
      </c>
      <c r="B18" s="8" t="s">
        <v>2446</v>
      </c>
      <c r="C18" s="9" t="s">
        <v>2447</v>
      </c>
      <c r="D18" s="8" t="s">
        <v>301</v>
      </c>
      <c r="E18" s="8" t="s">
        <v>2448</v>
      </c>
    </row>
    <row r="19" customFormat="false" ht="29.25" hidden="false" customHeight="true" outlineLevel="0" collapsed="false">
      <c r="A19" s="11" t="s">
        <v>225</v>
      </c>
      <c r="B19" s="8" t="s">
        <v>2449</v>
      </c>
      <c r="C19" s="9" t="s">
        <v>2450</v>
      </c>
      <c r="D19" s="9" t="s">
        <v>2451</v>
      </c>
      <c r="E19" s="9" t="s">
        <v>2452</v>
      </c>
    </row>
    <row r="20" customFormat="false" ht="29.25" hidden="false" customHeight="true" outlineLevel="0" collapsed="false">
      <c r="A20" s="11" t="s">
        <v>179</v>
      </c>
      <c r="B20" s="8" t="s">
        <v>2453</v>
      </c>
      <c r="C20" s="9" t="s">
        <v>2454</v>
      </c>
      <c r="D20" s="8" t="s">
        <v>2455</v>
      </c>
      <c r="E20" s="8"/>
    </row>
    <row r="21" customFormat="false" ht="29.25" hidden="false" customHeight="true" outlineLevel="0" collapsed="false">
      <c r="A21" s="11" t="s">
        <v>201</v>
      </c>
      <c r="B21" s="8" t="s">
        <v>2456</v>
      </c>
      <c r="C21" s="9" t="s">
        <v>2457</v>
      </c>
      <c r="D21" s="9" t="s">
        <v>2458</v>
      </c>
      <c r="E21" s="9" t="s">
        <v>2459</v>
      </c>
    </row>
    <row r="23" customFormat="false" ht="18" hidden="false" customHeight="true" outlineLevel="0" collapsed="false">
      <c r="A23" s="39" t="s">
        <v>2460</v>
      </c>
      <c r="B23" s="5"/>
      <c r="C23" s="5"/>
      <c r="D23" s="5"/>
      <c r="E23" s="5"/>
    </row>
    <row r="24" customFormat="false" ht="19.5" hidden="false" customHeight="true" outlineLevel="0" collapsed="false">
      <c r="A24" s="23" t="s">
        <v>329</v>
      </c>
      <c r="B24" s="23" t="s">
        <v>2461</v>
      </c>
      <c r="C24" s="23" t="s">
        <v>2462</v>
      </c>
      <c r="D24" s="23" t="s">
        <v>2463</v>
      </c>
      <c r="E24" s="23" t="s">
        <v>2308</v>
      </c>
    </row>
    <row r="25" customFormat="false" ht="29.25" hidden="false" customHeight="true" outlineLevel="0" collapsed="false">
      <c r="A25" s="11" t="s">
        <v>155</v>
      </c>
      <c r="B25" s="8" t="s">
        <v>2464</v>
      </c>
      <c r="C25" s="9" t="s">
        <v>2465</v>
      </c>
      <c r="D25" s="8" t="s">
        <v>2466</v>
      </c>
      <c r="E25" s="8" t="s">
        <v>2467</v>
      </c>
    </row>
    <row r="26" customFormat="false" ht="29.25" hidden="false" customHeight="true" outlineLevel="0" collapsed="false">
      <c r="A26" s="11" t="s">
        <v>179</v>
      </c>
      <c r="B26" s="8" t="s">
        <v>2468</v>
      </c>
      <c r="C26" s="9" t="s">
        <v>2469</v>
      </c>
      <c r="D26" s="8" t="s">
        <v>2470</v>
      </c>
      <c r="E26" s="8" t="s">
        <v>2471</v>
      </c>
    </row>
    <row r="27" customFormat="false" ht="16.5" hidden="false" customHeight="true" outlineLevel="0" collapsed="false">
      <c r="A27" s="11" t="s">
        <v>236</v>
      </c>
      <c r="B27" s="8" t="s">
        <v>2472</v>
      </c>
      <c r="C27" s="9" t="s">
        <v>2473</v>
      </c>
      <c r="D27" s="8" t="s">
        <v>2474</v>
      </c>
      <c r="E27" s="8" t="s">
        <v>2475</v>
      </c>
    </row>
    <row r="28" customFormat="false" ht="16.5" hidden="false" customHeight="true" outlineLevel="0" collapsed="false">
      <c r="A28" s="11" t="s">
        <v>225</v>
      </c>
      <c r="B28" s="8" t="s">
        <v>2476</v>
      </c>
      <c r="C28" s="9" t="s">
        <v>2477</v>
      </c>
      <c r="D28" s="8" t="s">
        <v>2470</v>
      </c>
      <c r="E28" s="8"/>
    </row>
    <row r="29" customFormat="false" ht="16.5" hidden="false" customHeight="true" outlineLevel="0" collapsed="false">
      <c r="A29" s="11" t="s">
        <v>201</v>
      </c>
      <c r="B29" s="9" t="s">
        <v>2478</v>
      </c>
      <c r="C29" s="9" t="s">
        <v>2479</v>
      </c>
      <c r="D29" s="8" t="s">
        <v>301</v>
      </c>
      <c r="E29" s="8" t="s">
        <v>2480</v>
      </c>
    </row>
    <row r="31" customFormat="false" ht="18" hidden="false" customHeight="true" outlineLevel="0" collapsed="false">
      <c r="A31" s="39" t="s">
        <v>2481</v>
      </c>
      <c r="B31" s="5"/>
      <c r="C31" s="5"/>
      <c r="D31" s="5"/>
      <c r="E31" s="5"/>
    </row>
    <row r="32" customFormat="false" ht="29.25" hidden="false" customHeight="true" outlineLevel="0" collapsed="false">
      <c r="A32" s="38" t="s">
        <v>2482</v>
      </c>
      <c r="B32" s="38"/>
      <c r="C32" s="38"/>
      <c r="D32" s="38"/>
      <c r="E32" s="38"/>
    </row>
    <row r="33" customFormat="false" ht="16.5" hidden="false" customHeight="true" outlineLevel="0" collapsed="false">
      <c r="A33" s="38" t="s">
        <v>2483</v>
      </c>
      <c r="B33" s="38"/>
      <c r="C33" s="38"/>
      <c r="D33" s="38"/>
      <c r="E33" s="38"/>
    </row>
    <row r="34" customFormat="false" ht="16.5" hidden="false" customHeight="true" outlineLevel="0" collapsed="false">
      <c r="A34" s="38" t="s">
        <v>2484</v>
      </c>
      <c r="B34" s="38"/>
      <c r="C34" s="38"/>
      <c r="D34" s="38"/>
      <c r="E34" s="38"/>
    </row>
    <row r="35" customFormat="false" ht="16.5" hidden="false" customHeight="true" outlineLevel="0" collapsed="false">
      <c r="A35" s="38" t="s">
        <v>2485</v>
      </c>
      <c r="B35" s="38"/>
      <c r="C35" s="38"/>
      <c r="D35" s="38"/>
      <c r="E35" s="38"/>
    </row>
  </sheetData>
  <mergeCells count="4">
    <mergeCell ref="A32:E32"/>
    <mergeCell ref="A33:E33"/>
    <mergeCell ref="A34:E34"/>
    <mergeCell ref="A35:E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true"/>
  </sheetPr>
  <dimension ref="A1:E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6"/>
    <col collapsed="false" customWidth="true" hidden="false" outlineLevel="0" max="3" min="3" style="1" width="38"/>
    <col collapsed="false" customWidth="true" hidden="false" outlineLevel="0" max="4" min="4" style="1" width="40"/>
    <col collapsed="false" customWidth="true" hidden="false" outlineLevel="0" max="5" min="5" style="1" width="34"/>
  </cols>
  <sheetData>
    <row r="1" customFormat="false" ht="24" hidden="false" customHeight="true" outlineLevel="0" collapsed="false">
      <c r="A1" s="2" t="s">
        <v>2486</v>
      </c>
    </row>
    <row r="2" customFormat="false" ht="15" hidden="false" customHeight="true" outlineLevel="0" collapsed="false">
      <c r="A2" s="3" t="s">
        <v>2487</v>
      </c>
    </row>
    <row r="4" customFormat="false" ht="18" hidden="false" customHeight="true" outlineLevel="0" collapsed="false">
      <c r="A4" s="39" t="s">
        <v>322</v>
      </c>
      <c r="B4" s="5"/>
      <c r="C4" s="5"/>
      <c r="D4" s="5"/>
      <c r="E4" s="5"/>
    </row>
    <row r="5" customFormat="false" ht="19.5" hidden="false" customHeight="true" outlineLevel="0" collapsed="false">
      <c r="A5" s="23" t="s">
        <v>1883</v>
      </c>
      <c r="B5" s="23" t="s">
        <v>2488</v>
      </c>
      <c r="C5" s="23"/>
      <c r="D5" s="23"/>
      <c r="E5" s="23"/>
    </row>
    <row r="6" customFormat="false" ht="29.25" hidden="false" customHeight="true" outlineLevel="0" collapsed="false">
      <c r="A6" s="6" t="s">
        <v>2489</v>
      </c>
      <c r="B6" s="8" t="str">
        <f aca="false">"1부 "&amp;INDEX(캐릭터!$E$5:$E$19,MATCH("Cesare",캐릭터!$D$5:$D$19,0))&amp;"세 → 11부 약 "&amp;INDEX(캐릭터!$F$5:$F$19,MATCH("Cesare",캐릭터!$D$5:$D$19,0))&amp;"세 (부활 시점 나이 = 암살 당시 55세, 경과 연수 가정 "&amp;개요!$C$11&amp;"년)"</f>
        <v>1부 55세 → 11부 약 61세 (부활 시점 나이 = 암살 당시 55세, 경과 연수 가정 6년)</v>
      </c>
      <c r="C6" s="8"/>
      <c r="D6" s="8"/>
      <c r="E6" s="8"/>
    </row>
    <row r="7" customFormat="false" ht="16.5" hidden="false" customHeight="true" outlineLevel="0" collapsed="false">
      <c r="A7" s="6" t="s">
        <v>2278</v>
      </c>
      <c r="B7" s="9" t="s">
        <v>2490</v>
      </c>
      <c r="C7" s="9"/>
      <c r="D7" s="9"/>
      <c r="E7" s="9"/>
    </row>
    <row r="8" customFormat="false" ht="29.25" hidden="false" customHeight="true" outlineLevel="0" collapsed="false">
      <c r="A8" s="6" t="s">
        <v>2491</v>
      </c>
      <c r="B8" s="9" t="s">
        <v>2492</v>
      </c>
      <c r="C8" s="9"/>
      <c r="D8" s="9"/>
      <c r="E8" s="9"/>
    </row>
    <row r="9" customFormat="false" ht="29.25" hidden="false" customHeight="true" outlineLevel="0" collapsed="false">
      <c r="A9" s="6" t="s">
        <v>2493</v>
      </c>
      <c r="B9" s="9" t="s">
        <v>2494</v>
      </c>
      <c r="C9" s="9"/>
      <c r="D9" s="9"/>
      <c r="E9" s="9"/>
    </row>
    <row r="10" customFormat="false" ht="16.5" hidden="false" customHeight="true" outlineLevel="0" collapsed="false">
      <c r="A10" s="6" t="s">
        <v>2495</v>
      </c>
      <c r="B10" s="9" t="s">
        <v>2496</v>
      </c>
      <c r="C10" s="9"/>
      <c r="D10" s="9"/>
      <c r="E10" s="9"/>
    </row>
    <row r="11" customFormat="false" ht="16.5" hidden="false" customHeight="true" outlineLevel="0" collapsed="false">
      <c r="A11" s="6" t="s">
        <v>2497</v>
      </c>
      <c r="B11" s="9" t="s">
        <v>2498</v>
      </c>
      <c r="C11" s="9"/>
      <c r="D11" s="9"/>
      <c r="E11" s="9"/>
    </row>
    <row r="12" customFormat="false" ht="29.25" hidden="false" customHeight="true" outlineLevel="0" collapsed="false">
      <c r="A12" s="11" t="s">
        <v>2499</v>
      </c>
      <c r="B12" s="27" t="s">
        <v>2500</v>
      </c>
      <c r="C12" s="27"/>
      <c r="D12" s="27"/>
      <c r="E12" s="27"/>
    </row>
    <row r="13" customFormat="false" ht="16.5" hidden="false" customHeight="true" outlineLevel="0" collapsed="false">
      <c r="A13" s="6" t="s">
        <v>2501</v>
      </c>
      <c r="B13" s="8" t="s">
        <v>2502</v>
      </c>
      <c r="C13" s="8"/>
      <c r="D13" s="8"/>
      <c r="E13" s="8"/>
    </row>
    <row r="14" customFormat="false" ht="16.5" hidden="false" customHeight="true" outlineLevel="0" collapsed="false">
      <c r="A14" s="6" t="s">
        <v>2503</v>
      </c>
      <c r="B14" s="9" t="s">
        <v>2504</v>
      </c>
      <c r="C14" s="9"/>
      <c r="D14" s="9"/>
      <c r="E14" s="9"/>
    </row>
    <row r="15" customFormat="false" ht="16.5" hidden="false" customHeight="true" outlineLevel="0" collapsed="false">
      <c r="A15" s="6" t="s">
        <v>2505</v>
      </c>
      <c r="B15" s="8" t="s">
        <v>2506</v>
      </c>
      <c r="C15" s="8"/>
      <c r="D15" s="8"/>
      <c r="E15" s="8"/>
    </row>
    <row r="17" customFormat="false" ht="18" hidden="false" customHeight="true" outlineLevel="0" collapsed="false">
      <c r="A17" s="39" t="s">
        <v>2507</v>
      </c>
      <c r="B17" s="5"/>
      <c r="C17" s="5"/>
      <c r="D17" s="5"/>
      <c r="E17" s="5"/>
    </row>
    <row r="18" customFormat="false" ht="19.5" hidden="false" customHeight="true" outlineLevel="0" collapsed="false">
      <c r="A18" s="23" t="s">
        <v>2202</v>
      </c>
      <c r="B18" s="23" t="s">
        <v>1580</v>
      </c>
      <c r="C18" s="23" t="s">
        <v>2508</v>
      </c>
      <c r="D18" s="23" t="s">
        <v>2509</v>
      </c>
      <c r="E18" s="23" t="s">
        <v>2510</v>
      </c>
    </row>
    <row r="19" customFormat="false" ht="42" hidden="false" customHeight="true" outlineLevel="0" collapsed="false">
      <c r="A19" s="11" t="s">
        <v>2511</v>
      </c>
      <c r="B19" s="8" t="s">
        <v>2512</v>
      </c>
      <c r="C19" s="9" t="s">
        <v>2513</v>
      </c>
      <c r="D19" s="8" t="s">
        <v>2514</v>
      </c>
      <c r="E19" s="8" t="s">
        <v>2515</v>
      </c>
    </row>
    <row r="20" customFormat="false" ht="29.25" hidden="false" customHeight="true" outlineLevel="0" collapsed="false">
      <c r="A20" s="11" t="s">
        <v>2516</v>
      </c>
      <c r="B20" s="9" t="s">
        <v>2517</v>
      </c>
      <c r="C20" s="8" t="s">
        <v>2518</v>
      </c>
      <c r="D20" s="8" t="s">
        <v>2519</v>
      </c>
      <c r="E20" s="8" t="s">
        <v>2520</v>
      </c>
    </row>
    <row r="21" customFormat="false" ht="29.25" hidden="false" customHeight="true" outlineLevel="0" collapsed="false">
      <c r="A21" s="11" t="s">
        <v>361</v>
      </c>
      <c r="B21" s="8" t="s">
        <v>2521</v>
      </c>
      <c r="C21" s="9" t="s">
        <v>2522</v>
      </c>
      <c r="D21" s="8" t="s">
        <v>2523</v>
      </c>
      <c r="E21" s="8" t="s">
        <v>2524</v>
      </c>
    </row>
    <row r="22" customFormat="false" ht="29.25" hidden="false" customHeight="true" outlineLevel="0" collapsed="false">
      <c r="A22" s="11" t="s">
        <v>363</v>
      </c>
      <c r="B22" s="8" t="s">
        <v>2525</v>
      </c>
      <c r="C22" s="9" t="s">
        <v>2526</v>
      </c>
      <c r="D22" s="8" t="s">
        <v>2527</v>
      </c>
      <c r="E22" s="8" t="s">
        <v>2528</v>
      </c>
    </row>
    <row r="23" customFormat="false" ht="42" hidden="false" customHeight="true" outlineLevel="0" collapsed="false">
      <c r="A23" s="11" t="s">
        <v>2529</v>
      </c>
      <c r="B23" s="9" t="s">
        <v>2530</v>
      </c>
      <c r="C23" s="8" t="s">
        <v>2531</v>
      </c>
      <c r="D23" s="8" t="s">
        <v>2532</v>
      </c>
      <c r="E23" s="8" t="s">
        <v>2533</v>
      </c>
    </row>
    <row r="24" customFormat="false" ht="80.25" hidden="false" customHeight="true" outlineLevel="0" collapsed="false">
      <c r="A24" s="11" t="s">
        <v>2534</v>
      </c>
      <c r="B24" s="9" t="s">
        <v>2535</v>
      </c>
      <c r="C24" s="9" t="s">
        <v>2536</v>
      </c>
      <c r="D24" s="8" t="s">
        <v>2537</v>
      </c>
      <c r="E24" s="8" t="s">
        <v>2538</v>
      </c>
    </row>
    <row r="25" customFormat="false" ht="29.25" hidden="false" customHeight="true" outlineLevel="0" collapsed="false">
      <c r="A25" s="11" t="s">
        <v>2539</v>
      </c>
      <c r="B25" s="9" t="s">
        <v>2540</v>
      </c>
      <c r="C25" s="8" t="s">
        <v>2541</v>
      </c>
      <c r="D25" s="8" t="s">
        <v>2542</v>
      </c>
      <c r="E25" s="8" t="s">
        <v>2543</v>
      </c>
    </row>
    <row r="26" customFormat="false" ht="29.25" hidden="false" customHeight="true" outlineLevel="0" collapsed="false">
      <c r="A26" s="11" t="s">
        <v>2544</v>
      </c>
      <c r="B26" s="9" t="s">
        <v>2545</v>
      </c>
      <c r="C26" s="9" t="s">
        <v>2546</v>
      </c>
      <c r="D26" s="8" t="s">
        <v>2547</v>
      </c>
      <c r="E26" s="8" t="s">
        <v>2548</v>
      </c>
    </row>
    <row r="27" customFormat="false" ht="42" hidden="false" customHeight="true" outlineLevel="0" collapsed="false">
      <c r="A27" s="11" t="s">
        <v>2549</v>
      </c>
      <c r="B27" s="9" t="s">
        <v>2550</v>
      </c>
      <c r="C27" s="9" t="s">
        <v>2551</v>
      </c>
      <c r="D27" s="8" t="s">
        <v>2552</v>
      </c>
      <c r="E27" s="8" t="s">
        <v>2553</v>
      </c>
    </row>
    <row r="28" customFormat="false" ht="42" hidden="false" customHeight="true" outlineLevel="0" collapsed="false">
      <c r="A28" s="11" t="s">
        <v>2554</v>
      </c>
      <c r="B28" s="9" t="s">
        <v>2555</v>
      </c>
      <c r="C28" s="9" t="s">
        <v>2556</v>
      </c>
      <c r="D28" s="8" t="s">
        <v>2557</v>
      </c>
      <c r="E28" s="8" t="s">
        <v>1439</v>
      </c>
    </row>
    <row r="29" customFormat="false" ht="29.25" hidden="false" customHeight="true" outlineLevel="0" collapsed="false">
      <c r="A29" s="11" t="s">
        <v>2558</v>
      </c>
      <c r="B29" s="9" t="s">
        <v>2559</v>
      </c>
      <c r="C29" s="8" t="s">
        <v>2560</v>
      </c>
      <c r="D29" s="8" t="s">
        <v>2561</v>
      </c>
      <c r="E29" s="8" t="s">
        <v>2562</v>
      </c>
    </row>
    <row r="30" customFormat="false" ht="42" hidden="false" customHeight="true" outlineLevel="0" collapsed="false">
      <c r="A30" s="11" t="s">
        <v>2563</v>
      </c>
      <c r="B30" s="8" t="s">
        <v>2564</v>
      </c>
      <c r="C30" s="9" t="s">
        <v>2565</v>
      </c>
      <c r="D30" s="8" t="s">
        <v>2566</v>
      </c>
      <c r="E30" s="8" t="s">
        <v>2567</v>
      </c>
    </row>
    <row r="31" customFormat="false" ht="42" hidden="false" customHeight="true" outlineLevel="0" collapsed="false">
      <c r="A31" s="11" t="s">
        <v>2568</v>
      </c>
      <c r="B31" s="9" t="s">
        <v>2569</v>
      </c>
      <c r="C31" s="9" t="s">
        <v>2570</v>
      </c>
      <c r="D31" s="8" t="s">
        <v>2571</v>
      </c>
      <c r="E31" s="8" t="s">
        <v>2572</v>
      </c>
    </row>
    <row r="32" customFormat="false" ht="29.25" hidden="false" customHeight="true" outlineLevel="0" collapsed="false">
      <c r="A32" s="11" t="s">
        <v>2573</v>
      </c>
      <c r="B32" s="8" t="s">
        <v>2574</v>
      </c>
      <c r="C32" s="9" t="s">
        <v>2575</v>
      </c>
      <c r="D32" s="8" t="s">
        <v>2576</v>
      </c>
      <c r="E32" s="8" t="s">
        <v>2577</v>
      </c>
    </row>
  </sheetData>
  <mergeCells count="11">
    <mergeCell ref="B5:E5"/>
    <mergeCell ref="B6:E6"/>
    <mergeCell ref="B7:E7"/>
    <mergeCell ref="B8:E8"/>
    <mergeCell ref="B9:E9"/>
    <mergeCell ref="B10:E10"/>
    <mergeCell ref="B11:E11"/>
    <mergeCell ref="B12:E12"/>
    <mergeCell ref="B13:E13"/>
    <mergeCell ref="B14:E14"/>
    <mergeCell ref="B15:E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true"/>
  </sheetPr>
  <dimension ref="A1:F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4" min="4" style="1" width="46"/>
    <col collapsed="false" customWidth="true" hidden="false" outlineLevel="0" max="5" min="5" style="1" width="40"/>
    <col collapsed="false" customWidth="true" hidden="false" outlineLevel="0" max="6" min="6" style="1" width="18"/>
  </cols>
  <sheetData>
    <row r="1" customFormat="false" ht="24" hidden="false" customHeight="true" outlineLevel="0" collapsed="false">
      <c r="A1" s="2" t="s">
        <v>2578</v>
      </c>
    </row>
    <row r="2" customFormat="false" ht="15" hidden="false" customHeight="true" outlineLevel="0" collapsed="false">
      <c r="A2" s="20" t="s">
        <v>2579</v>
      </c>
    </row>
    <row r="4" customFormat="false" ht="18" hidden="false" customHeight="true" outlineLevel="0" collapsed="false">
      <c r="A4" s="39" t="s">
        <v>2580</v>
      </c>
      <c r="B4" s="5"/>
      <c r="C4" s="5"/>
      <c r="D4" s="5"/>
      <c r="E4" s="5"/>
      <c r="F4" s="5"/>
    </row>
    <row r="5" customFormat="false" ht="19.5" hidden="false" customHeight="true" outlineLevel="0" collapsed="false">
      <c r="A5" s="23" t="s">
        <v>1883</v>
      </c>
      <c r="B5" s="23" t="s">
        <v>2488</v>
      </c>
      <c r="C5" s="23"/>
      <c r="D5" s="23"/>
      <c r="E5" s="23"/>
      <c r="F5" s="23"/>
    </row>
    <row r="6" customFormat="false" ht="16.5" hidden="false" customHeight="true" outlineLevel="0" collapsed="false">
      <c r="A6" s="6" t="s">
        <v>2581</v>
      </c>
      <c r="B6" s="9" t="s">
        <v>2582</v>
      </c>
      <c r="C6" s="9"/>
      <c r="D6" s="9"/>
      <c r="E6" s="9"/>
      <c r="F6" s="9"/>
    </row>
    <row r="7" customFormat="false" ht="16.5" hidden="false" customHeight="true" outlineLevel="0" collapsed="false">
      <c r="A7" s="6" t="s">
        <v>2583</v>
      </c>
      <c r="B7" s="8" t="s">
        <v>2584</v>
      </c>
      <c r="C7" s="8"/>
      <c r="D7" s="8"/>
      <c r="E7" s="8"/>
      <c r="F7" s="8"/>
    </row>
    <row r="8" customFormat="false" ht="16.5" hidden="false" customHeight="true" outlineLevel="0" collapsed="false">
      <c r="A8" s="6" t="s">
        <v>2585</v>
      </c>
      <c r="B8" s="9" t="s">
        <v>2586</v>
      </c>
      <c r="C8" s="9"/>
      <c r="D8" s="9"/>
      <c r="E8" s="9"/>
      <c r="F8" s="9"/>
    </row>
    <row r="9" customFormat="false" ht="16.5" hidden="false" customHeight="true" outlineLevel="0" collapsed="false">
      <c r="A9" s="6" t="s">
        <v>1585</v>
      </c>
      <c r="B9" s="9" t="s">
        <v>2587</v>
      </c>
      <c r="C9" s="9"/>
      <c r="D9" s="9"/>
      <c r="E9" s="9"/>
      <c r="F9" s="9"/>
    </row>
    <row r="10" customFormat="false" ht="16.5" hidden="false" customHeight="true" outlineLevel="0" collapsed="false">
      <c r="A10" s="11" t="s">
        <v>2588</v>
      </c>
      <c r="B10" s="8" t="s">
        <v>2589</v>
      </c>
      <c r="C10" s="8"/>
      <c r="D10" s="8"/>
      <c r="E10" s="8"/>
      <c r="F10" s="8"/>
    </row>
    <row r="11" customFormat="false" ht="16.5" hidden="false" customHeight="true" outlineLevel="0" collapsed="false">
      <c r="A11" s="6" t="s">
        <v>2590</v>
      </c>
      <c r="B11" s="8" t="s">
        <v>2591</v>
      </c>
      <c r="C11" s="8"/>
      <c r="D11" s="8"/>
      <c r="E11" s="8"/>
      <c r="F11" s="8"/>
    </row>
    <row r="12" customFormat="false" ht="16.5" hidden="false" customHeight="true" outlineLevel="0" collapsed="false">
      <c r="A12" s="6" t="s">
        <v>2592</v>
      </c>
      <c r="B12" s="9" t="s">
        <v>2593</v>
      </c>
      <c r="C12" s="9"/>
      <c r="D12" s="9"/>
      <c r="E12" s="9"/>
      <c r="F12" s="9"/>
    </row>
    <row r="14" customFormat="false" ht="18" hidden="false" customHeight="true" outlineLevel="0" collapsed="false">
      <c r="A14" s="39" t="s">
        <v>2594</v>
      </c>
      <c r="B14" s="5"/>
      <c r="C14" s="5"/>
      <c r="D14" s="5"/>
      <c r="E14" s="5"/>
      <c r="F14" s="5"/>
    </row>
    <row r="15" customFormat="false" ht="19.5" hidden="false" customHeight="true" outlineLevel="0" collapsed="false">
      <c r="A15" s="23" t="s">
        <v>2595</v>
      </c>
      <c r="B15" s="23" t="s">
        <v>2488</v>
      </c>
      <c r="C15" s="23" t="s">
        <v>2596</v>
      </c>
    </row>
    <row r="16" customFormat="false" ht="16.5" hidden="false" customHeight="true" outlineLevel="0" collapsed="false">
      <c r="A16" s="6" t="s">
        <v>2597</v>
      </c>
      <c r="B16" s="9" t="s">
        <v>2598</v>
      </c>
      <c r="C16" s="8" t="s">
        <v>2599</v>
      </c>
    </row>
    <row r="17" customFormat="false" ht="29.25" hidden="false" customHeight="true" outlineLevel="0" collapsed="false">
      <c r="A17" s="6" t="s">
        <v>2600</v>
      </c>
      <c r="B17" s="9" t="s">
        <v>2601</v>
      </c>
      <c r="C17" s="9" t="s">
        <v>2602</v>
      </c>
    </row>
    <row r="18" customFormat="false" ht="29.25" hidden="false" customHeight="true" outlineLevel="0" collapsed="false">
      <c r="A18" s="6" t="s">
        <v>2603</v>
      </c>
      <c r="B18" s="9" t="s">
        <v>2604</v>
      </c>
      <c r="C18" s="9" t="s">
        <v>2605</v>
      </c>
    </row>
    <row r="19" customFormat="false" ht="29.25" hidden="false" customHeight="true" outlineLevel="0" collapsed="false">
      <c r="A19" s="6" t="s">
        <v>2606</v>
      </c>
      <c r="B19" s="9" t="s">
        <v>2607</v>
      </c>
      <c r="C19" s="8" t="s">
        <v>2608</v>
      </c>
    </row>
    <row r="21" customFormat="false" ht="18" hidden="false" customHeight="true" outlineLevel="0" collapsed="false">
      <c r="A21" s="39" t="s">
        <v>2609</v>
      </c>
      <c r="B21" s="5"/>
      <c r="C21" s="5"/>
      <c r="D21" s="5"/>
      <c r="E21" s="5"/>
      <c r="F21" s="5"/>
    </row>
    <row r="22" customFormat="false" ht="19.5" hidden="false" customHeight="true" outlineLevel="0" collapsed="false">
      <c r="A22" s="23" t="s">
        <v>2610</v>
      </c>
      <c r="B22" s="23" t="s">
        <v>2611</v>
      </c>
      <c r="C22" s="22" t="s">
        <v>2612</v>
      </c>
      <c r="D22" s="23" t="s">
        <v>2613</v>
      </c>
      <c r="E22" s="23" t="s">
        <v>2614</v>
      </c>
      <c r="F22" s="23" t="s">
        <v>2615</v>
      </c>
    </row>
    <row r="23" customFormat="false" ht="29.25" hidden="false" customHeight="true" outlineLevel="0" collapsed="false">
      <c r="A23" s="6" t="s">
        <v>2127</v>
      </c>
      <c r="B23" s="8" t="s">
        <v>2616</v>
      </c>
      <c r="C23" s="8" t="s">
        <v>2617</v>
      </c>
      <c r="D23" s="8" t="s">
        <v>2618</v>
      </c>
      <c r="E23" s="8" t="s">
        <v>2619</v>
      </c>
      <c r="F23" s="9" t="s">
        <v>2597</v>
      </c>
    </row>
    <row r="24" customFormat="false" ht="42" hidden="false" customHeight="true" outlineLevel="0" collapsed="false">
      <c r="A24" s="6" t="s">
        <v>2620</v>
      </c>
      <c r="B24" s="8" t="s">
        <v>2125</v>
      </c>
      <c r="C24" s="8" t="s">
        <v>2621</v>
      </c>
      <c r="D24" s="9" t="s">
        <v>2622</v>
      </c>
      <c r="E24" s="8" t="s">
        <v>2623</v>
      </c>
      <c r="F24" s="9" t="s">
        <v>2597</v>
      </c>
    </row>
    <row r="25" customFormat="false" ht="42" hidden="false" customHeight="true" outlineLevel="0" collapsed="false">
      <c r="A25" s="6" t="s">
        <v>2624</v>
      </c>
      <c r="B25" s="9" t="s">
        <v>2625</v>
      </c>
      <c r="C25" s="8" t="s">
        <v>2626</v>
      </c>
      <c r="D25" s="8" t="s">
        <v>2627</v>
      </c>
      <c r="E25" s="8" t="s">
        <v>2628</v>
      </c>
      <c r="F25" s="9" t="s">
        <v>2597</v>
      </c>
    </row>
    <row r="26" customFormat="false" ht="42" hidden="false" customHeight="true" outlineLevel="0" collapsed="false">
      <c r="A26" s="6" t="s">
        <v>2629</v>
      </c>
      <c r="B26" s="8" t="s">
        <v>2630</v>
      </c>
      <c r="C26" s="8" t="s">
        <v>2631</v>
      </c>
      <c r="D26" s="9" t="s">
        <v>2632</v>
      </c>
      <c r="E26" s="8" t="s">
        <v>2633</v>
      </c>
      <c r="F26" s="9" t="s">
        <v>2597</v>
      </c>
    </row>
    <row r="27" customFormat="false" ht="42" hidden="false" customHeight="true" outlineLevel="0" collapsed="false">
      <c r="A27" s="6" t="s">
        <v>2634</v>
      </c>
      <c r="B27" s="8" t="s">
        <v>2635</v>
      </c>
      <c r="C27" s="8" t="s">
        <v>2636</v>
      </c>
      <c r="D27" s="8" t="s">
        <v>2637</v>
      </c>
      <c r="E27" s="8" t="s">
        <v>2638</v>
      </c>
      <c r="F27" s="9" t="s">
        <v>2639</v>
      </c>
    </row>
    <row r="28" customFormat="false" ht="42" hidden="false" customHeight="true" outlineLevel="0" collapsed="false">
      <c r="A28" s="6" t="s">
        <v>2640</v>
      </c>
      <c r="B28" s="8" t="s">
        <v>2641</v>
      </c>
      <c r="C28" s="8" t="s">
        <v>2642</v>
      </c>
      <c r="D28" s="8" t="s">
        <v>2643</v>
      </c>
      <c r="E28" s="8" t="s">
        <v>2644</v>
      </c>
      <c r="F28" s="9" t="s">
        <v>2597</v>
      </c>
    </row>
    <row r="29" customFormat="false" ht="29.25" hidden="false" customHeight="true" outlineLevel="0" collapsed="false">
      <c r="A29" s="6" t="s">
        <v>2645</v>
      </c>
      <c r="B29" s="8" t="s">
        <v>2646</v>
      </c>
      <c r="C29" s="8" t="s">
        <v>2647</v>
      </c>
      <c r="D29" s="8" t="s">
        <v>2648</v>
      </c>
      <c r="E29" s="8" t="s">
        <v>2649</v>
      </c>
      <c r="F29" s="9" t="s">
        <v>2650</v>
      </c>
    </row>
    <row r="30" customFormat="false" ht="29.25" hidden="false" customHeight="true" outlineLevel="0" collapsed="false">
      <c r="A30" s="6" t="s">
        <v>2651</v>
      </c>
      <c r="B30" s="8" t="s">
        <v>2028</v>
      </c>
      <c r="C30" s="8" t="s">
        <v>2652</v>
      </c>
      <c r="D30" s="8" t="s">
        <v>2653</v>
      </c>
      <c r="E30" s="8" t="s">
        <v>2654</v>
      </c>
      <c r="F30" s="9" t="s">
        <v>2597</v>
      </c>
    </row>
    <row r="31" customFormat="false" ht="29.25" hidden="false" customHeight="true" outlineLevel="0" collapsed="false">
      <c r="A31" s="11" t="s">
        <v>2655</v>
      </c>
      <c r="B31" s="8" t="s">
        <v>2135</v>
      </c>
      <c r="C31" s="8" t="s">
        <v>2656</v>
      </c>
      <c r="D31" s="9" t="s">
        <v>2657</v>
      </c>
      <c r="E31" s="8" t="s">
        <v>2658</v>
      </c>
      <c r="F31" s="9" t="s">
        <v>2597</v>
      </c>
    </row>
    <row r="32" customFormat="false" ht="29.25" hidden="false" customHeight="true" outlineLevel="0" collapsed="false">
      <c r="A32" s="6" t="s">
        <v>2659</v>
      </c>
      <c r="B32" s="8" t="s">
        <v>2660</v>
      </c>
      <c r="C32" s="8" t="s">
        <v>2661</v>
      </c>
      <c r="D32" s="9" t="s">
        <v>2662</v>
      </c>
      <c r="E32" s="8" t="s">
        <v>2663</v>
      </c>
      <c r="F32" s="9" t="s">
        <v>2664</v>
      </c>
    </row>
    <row r="33" customFormat="false" ht="29.25" hidden="false" customHeight="true" outlineLevel="0" collapsed="false">
      <c r="A33" s="6" t="s">
        <v>2665</v>
      </c>
      <c r="B33" s="8" t="s">
        <v>2099</v>
      </c>
      <c r="C33" s="8" t="s">
        <v>2666</v>
      </c>
      <c r="D33" s="9" t="s">
        <v>2667</v>
      </c>
      <c r="E33" s="8" t="s">
        <v>2668</v>
      </c>
      <c r="F33" s="9" t="s">
        <v>2600</v>
      </c>
    </row>
    <row r="34" customFormat="false" ht="29.25" hidden="false" customHeight="true" outlineLevel="0" collapsed="false">
      <c r="A34" s="6" t="s">
        <v>2669</v>
      </c>
      <c r="B34" s="8" t="s">
        <v>2670</v>
      </c>
      <c r="C34" s="8" t="s">
        <v>2671</v>
      </c>
      <c r="D34" s="9" t="s">
        <v>2672</v>
      </c>
      <c r="E34" s="8" t="s">
        <v>2673</v>
      </c>
      <c r="F34" s="9" t="s">
        <v>2650</v>
      </c>
    </row>
    <row r="35" customFormat="false" ht="29.25" hidden="false" customHeight="true" outlineLevel="0" collapsed="false">
      <c r="A35" s="6" t="s">
        <v>1950</v>
      </c>
      <c r="B35" s="8" t="s">
        <v>1953</v>
      </c>
      <c r="C35" s="8" t="s">
        <v>2674</v>
      </c>
      <c r="D35" s="8" t="s">
        <v>2675</v>
      </c>
      <c r="E35" s="8" t="s">
        <v>2676</v>
      </c>
      <c r="F35" s="9" t="s">
        <v>2597</v>
      </c>
    </row>
    <row r="36" customFormat="false" ht="29.25" hidden="false" customHeight="true" outlineLevel="0" collapsed="false">
      <c r="A36" s="6" t="s">
        <v>2677</v>
      </c>
      <c r="B36" s="8" t="s">
        <v>2678</v>
      </c>
      <c r="C36" s="8" t="s">
        <v>2679</v>
      </c>
      <c r="D36" s="8" t="s">
        <v>2680</v>
      </c>
      <c r="E36" s="8" t="s">
        <v>2681</v>
      </c>
      <c r="F36" s="9" t="s">
        <v>2597</v>
      </c>
    </row>
    <row r="37" customFormat="false" ht="29.25" hidden="false" customHeight="true" outlineLevel="0" collapsed="false">
      <c r="A37" s="6" t="s">
        <v>2682</v>
      </c>
      <c r="B37" s="8" t="s">
        <v>1968</v>
      </c>
      <c r="C37" s="8" t="s">
        <v>2683</v>
      </c>
      <c r="D37" s="9" t="s">
        <v>2684</v>
      </c>
      <c r="E37" s="8" t="s">
        <v>2685</v>
      </c>
      <c r="F37" s="9" t="s">
        <v>2597</v>
      </c>
    </row>
    <row r="38" customFormat="false" ht="29.25" hidden="false" customHeight="true" outlineLevel="0" collapsed="false">
      <c r="A38" s="6" t="s">
        <v>2686</v>
      </c>
      <c r="B38" s="8" t="s">
        <v>2687</v>
      </c>
      <c r="C38" s="8" t="s">
        <v>2688</v>
      </c>
      <c r="D38" s="9" t="s">
        <v>2689</v>
      </c>
      <c r="E38" s="8" t="s">
        <v>2690</v>
      </c>
      <c r="F38" s="9" t="s">
        <v>2597</v>
      </c>
    </row>
    <row r="39" customFormat="false" ht="29.25" hidden="false" customHeight="true" outlineLevel="0" collapsed="false">
      <c r="A39" s="6" t="s">
        <v>2117</v>
      </c>
      <c r="B39" s="8" t="s">
        <v>2691</v>
      </c>
      <c r="C39" s="8" t="s">
        <v>2692</v>
      </c>
      <c r="D39" s="8" t="s">
        <v>2693</v>
      </c>
      <c r="E39" s="8" t="s">
        <v>2694</v>
      </c>
      <c r="F39" s="9" t="s">
        <v>2597</v>
      </c>
    </row>
    <row r="40" customFormat="false" ht="29.25" hidden="false" customHeight="true" outlineLevel="0" collapsed="false">
      <c r="A40" s="6" t="s">
        <v>2695</v>
      </c>
      <c r="B40" s="8" t="s">
        <v>1968</v>
      </c>
      <c r="C40" s="8" t="s">
        <v>2696</v>
      </c>
      <c r="D40" s="9" t="s">
        <v>2697</v>
      </c>
      <c r="E40" s="8" t="s">
        <v>2698</v>
      </c>
      <c r="F40" s="9" t="s">
        <v>2600</v>
      </c>
    </row>
    <row r="41" customFormat="false" ht="16.5" hidden="false" customHeight="true" outlineLevel="0" collapsed="false">
      <c r="A41" s="6" t="s">
        <v>2699</v>
      </c>
      <c r="B41" s="9" t="s">
        <v>2700</v>
      </c>
      <c r="C41" s="8" t="s">
        <v>2701</v>
      </c>
      <c r="D41" s="8" t="s">
        <v>2702</v>
      </c>
      <c r="E41" s="8" t="s">
        <v>301</v>
      </c>
      <c r="F41" s="9" t="s">
        <v>2606</v>
      </c>
    </row>
    <row r="42" customFormat="false" ht="16.5" hidden="false" customHeight="true" outlineLevel="0" collapsed="false">
      <c r="A42" s="60" t="s">
        <v>2703</v>
      </c>
      <c r="B42" s="60"/>
      <c r="C42" s="60"/>
      <c r="D42" s="60"/>
      <c r="E42" s="60"/>
      <c r="F42" s="60"/>
    </row>
    <row r="44" customFormat="false" ht="18" hidden="false" customHeight="true" outlineLevel="0" collapsed="false">
      <c r="A44" s="39" t="s">
        <v>2704</v>
      </c>
      <c r="B44" s="5"/>
      <c r="C44" s="5"/>
      <c r="D44" s="5"/>
      <c r="E44" s="5"/>
      <c r="F44" s="5"/>
    </row>
    <row r="45" customFormat="false" ht="19.5" hidden="false" customHeight="true" outlineLevel="0" collapsed="false">
      <c r="A45" s="23" t="s">
        <v>2705</v>
      </c>
      <c r="B45" s="23" t="s">
        <v>2706</v>
      </c>
      <c r="C45" s="23" t="s">
        <v>2425</v>
      </c>
      <c r="D45" s="23" t="s">
        <v>400</v>
      </c>
    </row>
    <row r="46" customFormat="false" ht="16.5" hidden="false" customHeight="true" outlineLevel="0" collapsed="false">
      <c r="A46" s="11" t="s">
        <v>2707</v>
      </c>
      <c r="B46" s="9" t="s">
        <v>2708</v>
      </c>
      <c r="C46" s="8" t="s">
        <v>2709</v>
      </c>
      <c r="D46" s="9" t="s">
        <v>2710</v>
      </c>
    </row>
    <row r="47" customFormat="false" ht="16.5" hidden="false" customHeight="true" outlineLevel="0" collapsed="false">
      <c r="A47" s="11" t="s">
        <v>2711</v>
      </c>
      <c r="B47" s="9" t="s">
        <v>2712</v>
      </c>
      <c r="C47" s="8" t="s">
        <v>2713</v>
      </c>
      <c r="D47" s="9" t="s">
        <v>2714</v>
      </c>
    </row>
    <row r="48" customFormat="false" ht="29.25" hidden="false" customHeight="true" outlineLevel="0" collapsed="false">
      <c r="A48" s="11" t="s">
        <v>2707</v>
      </c>
      <c r="B48" s="9" t="s">
        <v>2715</v>
      </c>
      <c r="C48" s="8" t="s">
        <v>2716</v>
      </c>
      <c r="D48" s="9" t="s">
        <v>2717</v>
      </c>
    </row>
    <row r="49" customFormat="false" ht="16.5" hidden="false" customHeight="true" outlineLevel="0" collapsed="false">
      <c r="A49" s="11" t="s">
        <v>2711</v>
      </c>
      <c r="B49" s="9" t="s">
        <v>2718</v>
      </c>
      <c r="C49" s="8" t="s">
        <v>2719</v>
      </c>
      <c r="D49" s="9" t="s">
        <v>2720</v>
      </c>
    </row>
    <row r="50" customFormat="false" ht="29.25" hidden="false" customHeight="true" outlineLevel="0" collapsed="false">
      <c r="A50" s="11" t="s">
        <v>2707</v>
      </c>
      <c r="B50" s="9" t="s">
        <v>2721</v>
      </c>
      <c r="C50" s="8" t="s">
        <v>2722</v>
      </c>
      <c r="D50" s="9" t="s">
        <v>2723</v>
      </c>
    </row>
    <row r="51" customFormat="false" ht="16.5" hidden="false" customHeight="true" outlineLevel="0" collapsed="false">
      <c r="A51" s="11" t="s">
        <v>2711</v>
      </c>
      <c r="B51" s="8" t="s">
        <v>2724</v>
      </c>
      <c r="C51" s="8" t="s">
        <v>2725</v>
      </c>
      <c r="D51" s="9" t="s">
        <v>2726</v>
      </c>
    </row>
    <row r="52" customFormat="false" ht="29.25" hidden="false" customHeight="true" outlineLevel="0" collapsed="false">
      <c r="A52" s="11" t="s">
        <v>2707</v>
      </c>
      <c r="B52" s="9" t="s">
        <v>2727</v>
      </c>
      <c r="C52" s="8" t="s">
        <v>2728</v>
      </c>
      <c r="D52" s="9" t="s">
        <v>2729</v>
      </c>
    </row>
    <row r="53" customFormat="false" ht="16.5" hidden="false" customHeight="true" outlineLevel="0" collapsed="false">
      <c r="A53" s="60" t="s">
        <v>2730</v>
      </c>
      <c r="B53" s="60"/>
      <c r="C53" s="60"/>
      <c r="D53" s="60"/>
      <c r="E53" s="60"/>
      <c r="F53" s="60"/>
    </row>
  </sheetData>
  <mergeCells count="10">
    <mergeCell ref="B5:F5"/>
    <mergeCell ref="B6:F6"/>
    <mergeCell ref="B7:F7"/>
    <mergeCell ref="B8:F8"/>
    <mergeCell ref="B9:F9"/>
    <mergeCell ref="B10:F10"/>
    <mergeCell ref="B11:F11"/>
    <mergeCell ref="B12:F12"/>
    <mergeCell ref="A42:F42"/>
    <mergeCell ref="A53:F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E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3" min="3" style="1" width="66"/>
    <col collapsed="false" customWidth="true" hidden="false" outlineLevel="0" max="4" min="4" style="1" width="52"/>
    <col collapsed="false" customWidth="true" hidden="false" outlineLevel="0" max="5" min="5" style="1" width="13"/>
  </cols>
  <sheetData>
    <row r="1" customFormat="false" ht="24" hidden="false" customHeight="true" outlineLevel="0" collapsed="false">
      <c r="A1" s="21" t="s">
        <v>2731</v>
      </c>
    </row>
    <row r="2" customFormat="false" ht="15" hidden="false" customHeight="true" outlineLevel="0" collapsed="false">
      <c r="A2" s="20" t="s">
        <v>2732</v>
      </c>
    </row>
    <row r="4" customFormat="false" ht="18" hidden="false" customHeight="true" outlineLevel="0" collapsed="false">
      <c r="A4" s="39" t="s">
        <v>2733</v>
      </c>
      <c r="B4" s="5"/>
      <c r="C4" s="5"/>
      <c r="D4" s="5"/>
    </row>
    <row r="5" customFormat="false" ht="19.5" hidden="false" customHeight="true" outlineLevel="0" collapsed="false">
      <c r="A5" s="22" t="s">
        <v>86</v>
      </c>
      <c r="B5" s="23" t="s">
        <v>60</v>
      </c>
      <c r="C5" s="23" t="s">
        <v>2488</v>
      </c>
      <c r="D5" s="23" t="s">
        <v>2734</v>
      </c>
    </row>
    <row r="6" customFormat="false" ht="16.5" hidden="false" customHeight="true" outlineLevel="0" collapsed="false">
      <c r="A6" s="24" t="s">
        <v>1886</v>
      </c>
      <c r="B6" s="9" t="s">
        <v>2735</v>
      </c>
      <c r="C6" s="9" t="s">
        <v>2736</v>
      </c>
      <c r="D6" s="8" t="s">
        <v>2737</v>
      </c>
    </row>
    <row r="7" customFormat="false" ht="29.25" hidden="false" customHeight="true" outlineLevel="0" collapsed="false">
      <c r="A7" s="24" t="s">
        <v>1890</v>
      </c>
      <c r="B7" s="9" t="s">
        <v>2738</v>
      </c>
      <c r="C7" s="9" t="s">
        <v>2739</v>
      </c>
      <c r="D7" s="8" t="s">
        <v>2740</v>
      </c>
    </row>
    <row r="8" customFormat="false" ht="29.25" hidden="false" customHeight="true" outlineLevel="0" collapsed="false">
      <c r="A8" s="24" t="s">
        <v>1894</v>
      </c>
      <c r="B8" s="9" t="s">
        <v>2741</v>
      </c>
      <c r="C8" s="9" t="s">
        <v>2742</v>
      </c>
      <c r="D8" s="8" t="s">
        <v>2743</v>
      </c>
    </row>
    <row r="9" customFormat="false" ht="29.25" hidden="false" customHeight="true" outlineLevel="0" collapsed="false">
      <c r="A9" s="24" t="s">
        <v>1898</v>
      </c>
      <c r="B9" s="9" t="s">
        <v>2744</v>
      </c>
      <c r="C9" s="9" t="s">
        <v>2745</v>
      </c>
      <c r="D9" s="8" t="s">
        <v>2746</v>
      </c>
    </row>
    <row r="10" customFormat="false" ht="29.25" hidden="false" customHeight="true" outlineLevel="0" collapsed="false">
      <c r="A10" s="24" t="s">
        <v>2218</v>
      </c>
      <c r="B10" s="9" t="s">
        <v>2747</v>
      </c>
      <c r="C10" s="9" t="s">
        <v>2748</v>
      </c>
      <c r="D10" s="8" t="s">
        <v>2749</v>
      </c>
    </row>
    <row r="11" customFormat="false" ht="29.25" hidden="false" customHeight="true" outlineLevel="0" collapsed="false">
      <c r="A11" s="24" t="s">
        <v>2222</v>
      </c>
      <c r="B11" s="9" t="s">
        <v>2750</v>
      </c>
      <c r="C11" s="9" t="s">
        <v>2751</v>
      </c>
      <c r="D11" s="8" t="s">
        <v>2752</v>
      </c>
    </row>
    <row r="12" customFormat="false" ht="16.5" hidden="false" customHeight="true" outlineLevel="0" collapsed="false">
      <c r="A12" s="24" t="s">
        <v>2226</v>
      </c>
      <c r="B12" s="9" t="s">
        <v>2753</v>
      </c>
      <c r="C12" s="9" t="s">
        <v>2754</v>
      </c>
      <c r="D12" s="8" t="s">
        <v>2755</v>
      </c>
    </row>
    <row r="13" customFormat="false" ht="29.25" hidden="false" customHeight="true" outlineLevel="0" collapsed="false">
      <c r="A13" s="24" t="s">
        <v>2230</v>
      </c>
      <c r="B13" s="9" t="s">
        <v>2756</v>
      </c>
      <c r="C13" s="9" t="s">
        <v>2757</v>
      </c>
      <c r="D13" s="8" t="s">
        <v>2758</v>
      </c>
    </row>
    <row r="14" customFormat="false" ht="42" hidden="false" customHeight="true" outlineLevel="0" collapsed="false">
      <c r="A14" s="24" t="s">
        <v>2234</v>
      </c>
      <c r="B14" s="9" t="s">
        <v>2759</v>
      </c>
      <c r="C14" s="8" t="s">
        <v>2760</v>
      </c>
      <c r="D14" s="8" t="s">
        <v>2761</v>
      </c>
    </row>
    <row r="15" customFormat="false" ht="42" hidden="false" customHeight="true" outlineLevel="0" collapsed="false">
      <c r="A15" s="24" t="s">
        <v>2239</v>
      </c>
      <c r="B15" s="9" t="s">
        <v>2762</v>
      </c>
      <c r="C15" s="9" t="s">
        <v>2763</v>
      </c>
      <c r="D15" s="8" t="s">
        <v>2764</v>
      </c>
    </row>
    <row r="16" customFormat="false" ht="16.5" hidden="false" customHeight="true" outlineLevel="0" collapsed="false">
      <c r="A16" s="24" t="s">
        <v>2243</v>
      </c>
      <c r="B16" s="9" t="s">
        <v>97</v>
      </c>
      <c r="C16" s="9" t="s">
        <v>2765</v>
      </c>
      <c r="D16" s="8"/>
    </row>
    <row r="17" customFormat="false" ht="29.25" hidden="false" customHeight="true" outlineLevel="0" collapsed="false">
      <c r="A17" s="24" t="s">
        <v>2247</v>
      </c>
      <c r="B17" s="8" t="s">
        <v>2766</v>
      </c>
      <c r="C17" s="9" t="s">
        <v>2767</v>
      </c>
      <c r="D17" s="8" t="s">
        <v>2768</v>
      </c>
    </row>
    <row r="18" customFormat="false" ht="16.5" hidden="false" customHeight="true" outlineLevel="0" collapsed="false">
      <c r="A18" s="24" t="s">
        <v>2251</v>
      </c>
      <c r="B18" s="8" t="s">
        <v>2769</v>
      </c>
      <c r="C18" s="9" t="s">
        <v>2770</v>
      </c>
      <c r="D18" s="8" t="s">
        <v>2771</v>
      </c>
    </row>
    <row r="19" customFormat="false" ht="16.5" hidden="false" customHeight="true" outlineLevel="0" collapsed="false">
      <c r="A19" s="24" t="s">
        <v>2255</v>
      </c>
      <c r="B19" s="9" t="s">
        <v>2772</v>
      </c>
      <c r="C19" s="8" t="s">
        <v>2773</v>
      </c>
      <c r="D19" s="8"/>
    </row>
    <row r="20" customFormat="false" ht="16.5" hidden="false" customHeight="true" outlineLevel="0" collapsed="false">
      <c r="A20" s="24" t="s">
        <v>2259</v>
      </c>
      <c r="B20" s="9" t="s">
        <v>2774</v>
      </c>
      <c r="C20" s="8" t="s">
        <v>2775</v>
      </c>
      <c r="D20" s="8" t="s">
        <v>2776</v>
      </c>
    </row>
    <row r="21" customFormat="false" ht="29.25" hidden="false" customHeight="true" outlineLevel="0" collapsed="false">
      <c r="A21" s="24" t="s">
        <v>2263</v>
      </c>
      <c r="B21" s="9" t="s">
        <v>2777</v>
      </c>
      <c r="C21" s="9" t="s">
        <v>2778</v>
      </c>
      <c r="D21" s="8" t="s">
        <v>2779</v>
      </c>
    </row>
    <row r="22" customFormat="false" ht="54.75" hidden="false" customHeight="true" outlineLevel="0" collapsed="false">
      <c r="A22" s="24" t="s">
        <v>2266</v>
      </c>
      <c r="B22" s="9" t="s">
        <v>2780</v>
      </c>
      <c r="C22" s="9" t="s">
        <v>2781</v>
      </c>
      <c r="D22" s="8" t="s">
        <v>2782</v>
      </c>
    </row>
    <row r="23" customFormat="false" ht="29.25" hidden="false" customHeight="true" outlineLevel="0" collapsed="false">
      <c r="A23" s="24" t="s">
        <v>2269</v>
      </c>
      <c r="B23" s="9" t="s">
        <v>2783</v>
      </c>
      <c r="C23" s="9" t="s">
        <v>2784</v>
      </c>
      <c r="D23" s="8" t="s">
        <v>2785</v>
      </c>
    </row>
    <row r="24" customFormat="false" ht="42" hidden="false" customHeight="true" outlineLevel="0" collapsed="false">
      <c r="A24" s="24" t="s">
        <v>2272</v>
      </c>
      <c r="B24" s="9" t="s">
        <v>2786</v>
      </c>
      <c r="C24" s="9" t="s">
        <v>2787</v>
      </c>
      <c r="D24" s="8" t="s">
        <v>2788</v>
      </c>
    </row>
    <row r="26" customFormat="false" ht="15" hidden="false" customHeight="false" outlineLevel="0" collapsed="false">
      <c r="A26" s="39" t="s">
        <v>2789</v>
      </c>
    </row>
    <row r="27" customFormat="false" ht="15" hidden="false" customHeight="false" outlineLevel="0" collapsed="false">
      <c r="A27" s="22" t="s">
        <v>86</v>
      </c>
      <c r="B27" s="23" t="s">
        <v>2790</v>
      </c>
      <c r="C27" s="23" t="s">
        <v>2791</v>
      </c>
      <c r="D27" s="23" t="s">
        <v>2792</v>
      </c>
    </row>
    <row r="28" customFormat="false" ht="15" hidden="false" customHeight="false" outlineLevel="0" collapsed="false">
      <c r="A28" s="24" t="s">
        <v>1886</v>
      </c>
      <c r="B28" s="27" t="s">
        <v>2793</v>
      </c>
      <c r="C28" s="8" t="s">
        <v>2794</v>
      </c>
      <c r="D28" s="27" t="s">
        <v>225</v>
      </c>
    </row>
    <row r="29" customFormat="false" ht="15" hidden="false" customHeight="false" outlineLevel="0" collapsed="false">
      <c r="A29" s="24" t="s">
        <v>1890</v>
      </c>
      <c r="B29" s="27" t="s">
        <v>2795</v>
      </c>
      <c r="C29" s="8" t="s">
        <v>2796</v>
      </c>
      <c r="D29" s="27" t="s">
        <v>225</v>
      </c>
    </row>
    <row r="30" customFormat="false" ht="15" hidden="false" customHeight="false" outlineLevel="0" collapsed="false">
      <c r="A30" s="24" t="s">
        <v>1894</v>
      </c>
      <c r="B30" s="9" t="s">
        <v>2797</v>
      </c>
      <c r="C30" s="8" t="s">
        <v>2798</v>
      </c>
      <c r="D30" s="27" t="s">
        <v>225</v>
      </c>
    </row>
    <row r="31" customFormat="false" ht="15" hidden="false" customHeight="false" outlineLevel="0" collapsed="false">
      <c r="A31" s="24" t="s">
        <v>1898</v>
      </c>
      <c r="B31" s="9" t="s">
        <v>2799</v>
      </c>
      <c r="C31" s="8" t="s">
        <v>2800</v>
      </c>
      <c r="D31" s="27" t="s">
        <v>179</v>
      </c>
    </row>
    <row r="32" customFormat="false" ht="15" hidden="false" customHeight="false" outlineLevel="0" collapsed="false">
      <c r="A32" s="24" t="s">
        <v>2218</v>
      </c>
      <c r="B32" s="9" t="s">
        <v>2801</v>
      </c>
      <c r="C32" s="8" t="s">
        <v>2802</v>
      </c>
      <c r="D32" s="27" t="s">
        <v>201</v>
      </c>
    </row>
    <row r="33" customFormat="false" ht="15" hidden="false" customHeight="false" outlineLevel="0" collapsed="false">
      <c r="A33" s="24" t="s">
        <v>2222</v>
      </c>
      <c r="B33" s="9" t="s">
        <v>2803</v>
      </c>
      <c r="C33" s="8" t="s">
        <v>2804</v>
      </c>
      <c r="D33" s="27" t="s">
        <v>970</v>
      </c>
    </row>
    <row r="34" customFormat="false" ht="15" hidden="false" customHeight="false" outlineLevel="0" collapsed="false">
      <c r="A34" s="24" t="s">
        <v>2226</v>
      </c>
      <c r="B34" s="9" t="s">
        <v>2805</v>
      </c>
      <c r="C34" s="8" t="s">
        <v>2806</v>
      </c>
      <c r="D34" s="27" t="s">
        <v>271</v>
      </c>
    </row>
    <row r="35" customFormat="false" ht="15" hidden="false" customHeight="false" outlineLevel="0" collapsed="false">
      <c r="A35" s="24" t="s">
        <v>2230</v>
      </c>
      <c r="B35" s="9" t="s">
        <v>2807</v>
      </c>
      <c r="C35" s="8" t="s">
        <v>2808</v>
      </c>
      <c r="D35" s="27" t="s">
        <v>2809</v>
      </c>
    </row>
    <row r="36" customFormat="false" ht="15" hidden="false" customHeight="false" outlineLevel="0" collapsed="false">
      <c r="A36" s="24" t="s">
        <v>2234</v>
      </c>
      <c r="B36" s="9" t="s">
        <v>2810</v>
      </c>
      <c r="C36" s="8" t="s">
        <v>2811</v>
      </c>
      <c r="D36" s="27" t="s">
        <v>213</v>
      </c>
    </row>
    <row r="37" customFormat="false" ht="15" hidden="false" customHeight="false" outlineLevel="0" collapsed="false">
      <c r="A37" s="24" t="s">
        <v>2239</v>
      </c>
      <c r="B37" s="9" t="s">
        <v>2812</v>
      </c>
      <c r="C37" s="8" t="s">
        <v>2813</v>
      </c>
      <c r="D37" s="27" t="s">
        <v>2814</v>
      </c>
    </row>
    <row r="38" customFormat="false" ht="15" hidden="false" customHeight="false" outlineLevel="0" collapsed="false">
      <c r="A38" s="24" t="s">
        <v>2243</v>
      </c>
      <c r="B38" s="9" t="s">
        <v>2815</v>
      </c>
      <c r="C38" s="9" t="s">
        <v>2816</v>
      </c>
      <c r="D38" s="27" t="s">
        <v>2817</v>
      </c>
    </row>
    <row r="39" customFormat="false" ht="26.85" hidden="false" customHeight="false" outlineLevel="0" collapsed="false">
      <c r="A39" s="24" t="s">
        <v>2247</v>
      </c>
      <c r="B39" s="9" t="s">
        <v>2818</v>
      </c>
      <c r="C39" s="9" t="s">
        <v>2819</v>
      </c>
      <c r="D39" s="9" t="s">
        <v>2820</v>
      </c>
    </row>
    <row r="41" customFormat="false" ht="15" hidden="false" customHeight="false" outlineLevel="0" collapsed="false">
      <c r="A41" s="39" t="s">
        <v>2821</v>
      </c>
    </row>
    <row r="42" customFormat="false" ht="57.75" hidden="false" customHeight="true" outlineLevel="0" collapsed="false">
      <c r="A42" s="76" t="s">
        <v>2822</v>
      </c>
      <c r="B42" s="76"/>
      <c r="C42" s="76"/>
      <c r="D42" s="76"/>
      <c r="E42" s="76"/>
    </row>
    <row r="43" customFormat="false" ht="15" hidden="false" customHeight="false" outlineLevel="0" collapsed="false">
      <c r="A43" s="23" t="s">
        <v>329</v>
      </c>
      <c r="B43" s="23" t="s">
        <v>2823</v>
      </c>
      <c r="C43" s="23" t="s">
        <v>2824</v>
      </c>
      <c r="D43" s="23" t="s">
        <v>2825</v>
      </c>
      <c r="E43" s="23" t="s">
        <v>2826</v>
      </c>
    </row>
    <row r="44" customFormat="false" ht="15" hidden="false" customHeight="false" outlineLevel="0" collapsed="false">
      <c r="A44" s="27" t="s">
        <v>225</v>
      </c>
      <c r="B44" s="9" t="s">
        <v>2827</v>
      </c>
      <c r="C44" s="9" t="s">
        <v>2828</v>
      </c>
      <c r="D44" s="27" t="s">
        <v>2829</v>
      </c>
      <c r="E44" s="9" t="s">
        <v>2830</v>
      </c>
    </row>
    <row r="45" customFormat="false" ht="26.85" hidden="false" customHeight="false" outlineLevel="0" collapsed="false">
      <c r="A45" s="27" t="s">
        <v>155</v>
      </c>
      <c r="B45" s="9" t="s">
        <v>2831</v>
      </c>
      <c r="C45" s="9" t="s">
        <v>2832</v>
      </c>
      <c r="D45" s="27" t="s">
        <v>2833</v>
      </c>
      <c r="E45" s="27" t="s">
        <v>2834</v>
      </c>
    </row>
    <row r="46" customFormat="false" ht="26.85" hidden="false" customHeight="false" outlineLevel="0" collapsed="false">
      <c r="A46" s="27" t="s">
        <v>201</v>
      </c>
      <c r="B46" s="9" t="s">
        <v>2835</v>
      </c>
      <c r="C46" s="9" t="s">
        <v>2836</v>
      </c>
      <c r="D46" s="27" t="s">
        <v>2837</v>
      </c>
      <c r="E46" s="27" t="s">
        <v>2838</v>
      </c>
    </row>
    <row r="47" customFormat="false" ht="23.85" hidden="false" customHeight="false" outlineLevel="0" collapsed="false">
      <c r="A47" s="27" t="s">
        <v>190</v>
      </c>
      <c r="B47" s="9" t="s">
        <v>2839</v>
      </c>
      <c r="C47" s="9" t="s">
        <v>2840</v>
      </c>
      <c r="D47" s="27" t="s">
        <v>2841</v>
      </c>
      <c r="E47" s="27" t="s">
        <v>2842</v>
      </c>
    </row>
    <row r="48" customFormat="false" ht="26.85" hidden="false" customHeight="false" outlineLevel="0" collapsed="false">
      <c r="A48" s="27" t="s">
        <v>107</v>
      </c>
      <c r="B48" s="9" t="s">
        <v>2843</v>
      </c>
      <c r="C48" s="9" t="s">
        <v>2844</v>
      </c>
      <c r="D48" s="27" t="s">
        <v>2845</v>
      </c>
      <c r="E48" s="27" t="s">
        <v>2846</v>
      </c>
    </row>
    <row r="49" customFormat="false" ht="23.85" hidden="false" customHeight="false" outlineLevel="0" collapsed="false">
      <c r="A49" s="27" t="s">
        <v>167</v>
      </c>
      <c r="B49" s="9" t="s">
        <v>2847</v>
      </c>
      <c r="C49" s="9" t="s">
        <v>2848</v>
      </c>
      <c r="D49" s="27" t="s">
        <v>2849</v>
      </c>
      <c r="E49" s="27" t="s">
        <v>2850</v>
      </c>
    </row>
    <row r="50" customFormat="false" ht="23.85" hidden="false" customHeight="false" outlineLevel="0" collapsed="false">
      <c r="A50" s="27" t="s">
        <v>213</v>
      </c>
      <c r="B50" s="9" t="s">
        <v>2851</v>
      </c>
      <c r="C50" s="9" t="s">
        <v>2852</v>
      </c>
      <c r="D50" s="27" t="s">
        <v>2853</v>
      </c>
      <c r="E50" s="27" t="s">
        <v>2854</v>
      </c>
    </row>
    <row r="51" customFormat="false" ht="23.85" hidden="false" customHeight="false" outlineLevel="0" collapsed="false">
      <c r="A51" s="27" t="s">
        <v>179</v>
      </c>
      <c r="B51" s="9" t="s">
        <v>2855</v>
      </c>
      <c r="C51" s="9" t="s">
        <v>2856</v>
      </c>
      <c r="D51" s="27" t="s">
        <v>2857</v>
      </c>
      <c r="E51" s="9" t="s">
        <v>2700</v>
      </c>
    </row>
  </sheetData>
  <mergeCells count="1">
    <mergeCell ref="A42:E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2"/>
    <col collapsed="false" customWidth="true" hidden="false" outlineLevel="0" max="3" min="3" style="1" width="60"/>
    <col collapsed="false" customWidth="true" hidden="false" outlineLevel="0" max="4" min="4" style="1" width="44"/>
    <col collapsed="false" customWidth="true" hidden="false" outlineLevel="0" max="5" min="5" style="1" width="40"/>
    <col collapsed="false" customWidth="true" hidden="false" outlineLevel="0" max="7" min="6" style="1" width="10"/>
  </cols>
  <sheetData>
    <row r="1" customFormat="false" ht="24" hidden="false" customHeight="true" outlineLevel="0" collapsed="false">
      <c r="A1" s="2" t="s">
        <v>2858</v>
      </c>
    </row>
    <row r="2" customFormat="false" ht="15" hidden="false" customHeight="true" outlineLevel="0" collapsed="false">
      <c r="A2" s="20" t="s">
        <v>2859</v>
      </c>
    </row>
    <row r="4" customFormat="false" ht="15" hidden="false" customHeight="true" outlineLevel="0" collapsed="false">
      <c r="C4" s="77" t="s">
        <v>2860</v>
      </c>
      <c r="D4" s="78" t="n">
        <v>15</v>
      </c>
      <c r="E4" s="20" t="s">
        <v>2861</v>
      </c>
    </row>
    <row r="5" customFormat="false" ht="15" hidden="false" customHeight="true" outlineLevel="0" collapsed="false">
      <c r="C5" s="63" t="s">
        <v>2862</v>
      </c>
      <c r="D5" s="79" t="n">
        <f aca="false">COUNTA(B8:B29)</f>
        <v>22</v>
      </c>
    </row>
    <row r="6" customFormat="false" ht="15" hidden="false" customHeight="true" outlineLevel="0" collapsed="false">
      <c r="C6" s="63" t="s">
        <v>2863</v>
      </c>
      <c r="D6" s="79" t="n">
        <f aca="false">COUNTIF(G8:G29,"초과")</f>
        <v>0</v>
      </c>
    </row>
    <row r="7" customFormat="false" ht="21.75" hidden="false" customHeight="true" outlineLevel="0" collapsed="false">
      <c r="A7" s="22" t="s">
        <v>86</v>
      </c>
      <c r="B7" s="23" t="s">
        <v>2705</v>
      </c>
      <c r="C7" s="23" t="s">
        <v>2425</v>
      </c>
      <c r="D7" s="23" t="s">
        <v>2864</v>
      </c>
      <c r="E7" s="23" t="s">
        <v>2865</v>
      </c>
      <c r="F7" s="23" t="s">
        <v>2866</v>
      </c>
      <c r="G7" s="23" t="s">
        <v>2867</v>
      </c>
    </row>
    <row r="8" customFormat="false" ht="29.25" hidden="false" customHeight="true" outlineLevel="0" collapsed="false">
      <c r="A8" s="24" t="n">
        <v>1</v>
      </c>
      <c r="B8" s="11" t="s">
        <v>2868</v>
      </c>
      <c r="C8" s="8" t="s">
        <v>2869</v>
      </c>
      <c r="D8" s="8" t="s">
        <v>2870</v>
      </c>
      <c r="E8" s="9" t="s">
        <v>2871</v>
      </c>
      <c r="F8" s="24" t="n">
        <f aca="false">LEN(TRIM(C8))-LEN(SUBSTITUTE(TRIM(C8)," ",""))+1</f>
        <v>13</v>
      </c>
      <c r="G8" s="24" t="str">
        <f aca="false">IF(F8&lt;=$D$4,"OK","초과")</f>
        <v>OK</v>
      </c>
    </row>
    <row r="9" customFormat="false" ht="29.25" hidden="false" customHeight="true" outlineLevel="0" collapsed="false">
      <c r="A9" s="24" t="n">
        <v>2</v>
      </c>
      <c r="B9" s="11" t="s">
        <v>2872</v>
      </c>
      <c r="C9" s="8" t="s">
        <v>2873</v>
      </c>
      <c r="D9" s="9" t="s">
        <v>2874</v>
      </c>
      <c r="E9" s="9" t="s">
        <v>2875</v>
      </c>
      <c r="F9" s="24" t="n">
        <f aca="false">LEN(TRIM(C9))-LEN(SUBSTITUTE(TRIM(C9)," ",""))+1</f>
        <v>8</v>
      </c>
      <c r="G9" s="24" t="str">
        <f aca="false">IF(F9&lt;=$D$4,"OK","초과")</f>
        <v>OK</v>
      </c>
    </row>
    <row r="10" customFormat="false" ht="16.5" hidden="false" customHeight="true" outlineLevel="0" collapsed="false">
      <c r="A10" s="24" t="n">
        <v>3</v>
      </c>
      <c r="B10" s="11" t="s">
        <v>2711</v>
      </c>
      <c r="C10" s="8" t="s">
        <v>2429</v>
      </c>
      <c r="D10" s="9" t="s">
        <v>2430</v>
      </c>
      <c r="E10" s="8" t="s">
        <v>2876</v>
      </c>
      <c r="F10" s="24" t="n">
        <f aca="false">LEN(TRIM(C10))-LEN(SUBSTITUTE(TRIM(C10)," ",""))+1</f>
        <v>3</v>
      </c>
      <c r="G10" s="24" t="str">
        <f aca="false">IF(F10&lt;=$D$4,"OK","초과")</f>
        <v>OK</v>
      </c>
    </row>
    <row r="11" customFormat="false" ht="29.25" hidden="false" customHeight="true" outlineLevel="0" collapsed="false">
      <c r="A11" s="24" t="n">
        <v>4</v>
      </c>
      <c r="B11" s="11" t="s">
        <v>2872</v>
      </c>
      <c r="C11" s="8" t="s">
        <v>2877</v>
      </c>
      <c r="D11" s="9" t="s">
        <v>2878</v>
      </c>
      <c r="E11" s="9" t="s">
        <v>2879</v>
      </c>
      <c r="F11" s="24" t="n">
        <f aca="false">LEN(TRIM(C11))-LEN(SUBSTITUTE(TRIM(C11)," ",""))+1</f>
        <v>9</v>
      </c>
      <c r="G11" s="24" t="str">
        <f aca="false">IF(F11&lt;=$D$4,"OK","초과")</f>
        <v>OK</v>
      </c>
    </row>
    <row r="12" customFormat="false" ht="16.5" hidden="false" customHeight="true" outlineLevel="0" collapsed="false">
      <c r="A12" s="24" t="n">
        <v>5</v>
      </c>
      <c r="B12" s="11" t="s">
        <v>2711</v>
      </c>
      <c r="C12" s="8" t="s">
        <v>2434</v>
      </c>
      <c r="D12" s="9" t="s">
        <v>2435</v>
      </c>
      <c r="E12" s="8" t="s">
        <v>2880</v>
      </c>
      <c r="F12" s="24" t="n">
        <f aca="false">LEN(TRIM(C12))-LEN(SUBSTITUTE(TRIM(C12)," ",""))+1</f>
        <v>8</v>
      </c>
      <c r="G12" s="24" t="str">
        <f aca="false">IF(F12&lt;=$D$4,"OK","초과")</f>
        <v>OK</v>
      </c>
    </row>
    <row r="13" customFormat="false" ht="29.25" hidden="false" customHeight="true" outlineLevel="0" collapsed="false">
      <c r="A13" s="24" t="n">
        <v>6</v>
      </c>
      <c r="B13" s="11" t="s">
        <v>2872</v>
      </c>
      <c r="C13" s="8" t="s">
        <v>2881</v>
      </c>
      <c r="D13" s="9" t="s">
        <v>2882</v>
      </c>
      <c r="E13" s="9" t="s">
        <v>2883</v>
      </c>
      <c r="F13" s="24" t="n">
        <f aca="false">LEN(TRIM(C13))-LEN(SUBSTITUTE(TRIM(C13)," ",""))+1</f>
        <v>9</v>
      </c>
      <c r="G13" s="24" t="str">
        <f aca="false">IF(F13&lt;=$D$4,"OK","초과")</f>
        <v>OK</v>
      </c>
    </row>
    <row r="14" customFormat="false" ht="29.25" hidden="false" customHeight="true" outlineLevel="0" collapsed="false">
      <c r="A14" s="24" t="n">
        <v>7</v>
      </c>
      <c r="B14" s="11" t="s">
        <v>2711</v>
      </c>
      <c r="C14" s="8" t="s">
        <v>2884</v>
      </c>
      <c r="D14" s="9" t="s">
        <v>2885</v>
      </c>
      <c r="E14" s="8" t="s">
        <v>2886</v>
      </c>
      <c r="F14" s="24" t="n">
        <f aca="false">LEN(TRIM(C14))-LEN(SUBSTITUTE(TRIM(C14)," ",""))+1</f>
        <v>12</v>
      </c>
      <c r="G14" s="24" t="str">
        <f aca="false">IF(F14&lt;=$D$4,"OK","초과")</f>
        <v>OK</v>
      </c>
    </row>
    <row r="15" customFormat="false" ht="29.25" hidden="false" customHeight="true" outlineLevel="0" collapsed="false">
      <c r="A15" s="24" t="n">
        <v>8</v>
      </c>
      <c r="B15" s="11" t="s">
        <v>2868</v>
      </c>
      <c r="C15" s="8" t="s">
        <v>2449</v>
      </c>
      <c r="D15" s="9" t="s">
        <v>2450</v>
      </c>
      <c r="E15" s="9" t="s">
        <v>2887</v>
      </c>
      <c r="F15" s="24" t="n">
        <f aca="false">LEN(TRIM(C15))-LEN(SUBSTITUTE(TRIM(C15)," ",""))+1</f>
        <v>9</v>
      </c>
      <c r="G15" s="24" t="str">
        <f aca="false">IF(F15&lt;=$D$4,"OK","초과")</f>
        <v>OK</v>
      </c>
    </row>
    <row r="16" customFormat="false" ht="16.5" hidden="false" customHeight="true" outlineLevel="0" collapsed="false">
      <c r="A16" s="24" t="n">
        <v>9</v>
      </c>
      <c r="B16" s="11" t="s">
        <v>2888</v>
      </c>
      <c r="C16" s="8" t="s">
        <v>2446</v>
      </c>
      <c r="D16" s="9" t="s">
        <v>2447</v>
      </c>
      <c r="E16" s="8" t="s">
        <v>2889</v>
      </c>
      <c r="F16" s="24" t="n">
        <f aca="false">LEN(TRIM(C16))-LEN(SUBSTITUTE(TRIM(C16)," ",""))+1</f>
        <v>2</v>
      </c>
      <c r="G16" s="24" t="str">
        <f aca="false">IF(F16&lt;=$D$4,"OK","초과")</f>
        <v>OK</v>
      </c>
    </row>
    <row r="17" customFormat="false" ht="16.5" hidden="false" customHeight="true" outlineLevel="0" collapsed="false">
      <c r="A17" s="24" t="n">
        <v>10</v>
      </c>
      <c r="B17" s="11" t="s">
        <v>2711</v>
      </c>
      <c r="C17" s="8" t="s">
        <v>2890</v>
      </c>
      <c r="D17" s="8" t="s">
        <v>2891</v>
      </c>
      <c r="E17" s="8" t="s">
        <v>2892</v>
      </c>
      <c r="F17" s="24" t="n">
        <f aca="false">LEN(TRIM(C17))-LEN(SUBSTITUTE(TRIM(C17)," ",""))+1</f>
        <v>4</v>
      </c>
      <c r="G17" s="24" t="str">
        <f aca="false">IF(F17&lt;=$D$4,"OK","초과")</f>
        <v>OK</v>
      </c>
    </row>
    <row r="18" customFormat="false" ht="16.5" hidden="false" customHeight="true" outlineLevel="0" collapsed="false">
      <c r="A18" s="24" t="n">
        <v>11</v>
      </c>
      <c r="B18" s="11" t="s">
        <v>2893</v>
      </c>
      <c r="C18" s="8" t="s">
        <v>2453</v>
      </c>
      <c r="D18" s="9" t="s">
        <v>2454</v>
      </c>
      <c r="E18" s="8" t="s">
        <v>2894</v>
      </c>
      <c r="F18" s="24" t="n">
        <f aca="false">LEN(TRIM(C18))-LEN(SUBSTITUTE(TRIM(C18)," ",""))+1</f>
        <v>8</v>
      </c>
      <c r="G18" s="24" t="str">
        <f aca="false">IF(F18&lt;=$D$4,"OK","초과")</f>
        <v>OK</v>
      </c>
    </row>
    <row r="19" customFormat="false" ht="29.25" hidden="false" customHeight="true" outlineLevel="0" collapsed="false">
      <c r="A19" s="24" t="n">
        <v>12</v>
      </c>
      <c r="B19" s="11" t="s">
        <v>2707</v>
      </c>
      <c r="C19" s="8" t="s">
        <v>2456</v>
      </c>
      <c r="D19" s="9" t="s">
        <v>2457</v>
      </c>
      <c r="E19" s="8" t="s">
        <v>2895</v>
      </c>
      <c r="F19" s="24" t="n">
        <f aca="false">LEN(TRIM(C19))-LEN(SUBSTITUTE(TRIM(C19)," ",""))+1</f>
        <v>5</v>
      </c>
      <c r="G19" s="24" t="str">
        <f aca="false">IF(F19&lt;=$D$4,"OK","초과")</f>
        <v>OK</v>
      </c>
    </row>
    <row r="20" customFormat="false" ht="29.25" hidden="false" customHeight="true" outlineLevel="0" collapsed="false">
      <c r="A20" s="24" t="n">
        <v>13</v>
      </c>
      <c r="B20" s="11" t="s">
        <v>2896</v>
      </c>
      <c r="C20" s="8" t="s">
        <v>2897</v>
      </c>
      <c r="D20" s="9" t="s">
        <v>2898</v>
      </c>
      <c r="E20" s="9" t="s">
        <v>2899</v>
      </c>
      <c r="F20" s="24" t="n">
        <f aca="false">LEN(TRIM(C20))-LEN(SUBSTITUTE(TRIM(C20)," ",""))+1</f>
        <v>7</v>
      </c>
      <c r="G20" s="24" t="str">
        <f aca="false">IF(F20&lt;=$D$4,"OK","초과")</f>
        <v>OK</v>
      </c>
    </row>
    <row r="21" customFormat="false" ht="16.5" hidden="false" customHeight="true" outlineLevel="0" collapsed="false">
      <c r="A21" s="24" t="n">
        <v>14</v>
      </c>
      <c r="B21" s="11" t="s">
        <v>2711</v>
      </c>
      <c r="C21" s="8" t="s">
        <v>2900</v>
      </c>
      <c r="D21" s="9" t="s">
        <v>2901</v>
      </c>
      <c r="E21" s="9" t="s">
        <v>2902</v>
      </c>
      <c r="F21" s="24" t="n">
        <f aca="false">LEN(TRIM(C21))-LEN(SUBSTITUTE(TRIM(C21)," ",""))+1</f>
        <v>4</v>
      </c>
      <c r="G21" s="24" t="str">
        <f aca="false">IF(F21&lt;=$D$4,"OK","초과")</f>
        <v>OK</v>
      </c>
    </row>
    <row r="22" customFormat="false" ht="16.5" hidden="false" customHeight="true" outlineLevel="0" collapsed="false">
      <c r="A22" s="24" t="n">
        <v>15</v>
      </c>
      <c r="B22" s="11" t="s">
        <v>2896</v>
      </c>
      <c r="C22" s="8" t="s">
        <v>2903</v>
      </c>
      <c r="D22" s="9" t="s">
        <v>2904</v>
      </c>
      <c r="E22" s="8" t="s">
        <v>2905</v>
      </c>
      <c r="F22" s="24" t="n">
        <f aca="false">LEN(TRIM(C22))-LEN(SUBSTITUTE(TRIM(C22)," ",""))+1</f>
        <v>8</v>
      </c>
      <c r="G22" s="24" t="str">
        <f aca="false">IF(F22&lt;=$D$4,"OK","초과")</f>
        <v>OK</v>
      </c>
    </row>
    <row r="23" customFormat="false" ht="29.25" hidden="false" customHeight="true" outlineLevel="0" collapsed="false">
      <c r="A23" s="24" t="n">
        <v>16</v>
      </c>
      <c r="B23" s="11" t="s">
        <v>2906</v>
      </c>
      <c r="C23" s="8" t="s">
        <v>2907</v>
      </c>
      <c r="D23" s="9" t="s">
        <v>2908</v>
      </c>
      <c r="E23" s="9" t="s">
        <v>2909</v>
      </c>
      <c r="F23" s="24" t="n">
        <f aca="false">LEN(TRIM(C23))-LEN(SUBSTITUTE(TRIM(C23)," ",""))+1</f>
        <v>8</v>
      </c>
      <c r="G23" s="24" t="str">
        <f aca="false">IF(F23&lt;=$D$4,"OK","초과")</f>
        <v>OK</v>
      </c>
    </row>
    <row r="24" customFormat="false" ht="16.5" hidden="false" customHeight="true" outlineLevel="0" collapsed="false">
      <c r="A24" s="24" t="n">
        <v>17</v>
      </c>
      <c r="B24" s="11" t="s">
        <v>2872</v>
      </c>
      <c r="C24" s="8" t="s">
        <v>2910</v>
      </c>
      <c r="D24" s="9" t="s">
        <v>2911</v>
      </c>
      <c r="E24" s="8"/>
      <c r="F24" s="24" t="n">
        <f aca="false">LEN(TRIM(C24))-LEN(SUBSTITUTE(TRIM(C24)," ",""))+1</f>
        <v>7</v>
      </c>
      <c r="G24" s="24" t="str">
        <f aca="false">IF(F24&lt;=$D$4,"OK","초과")</f>
        <v>OK</v>
      </c>
    </row>
    <row r="25" customFormat="false" ht="16.5" hidden="false" customHeight="true" outlineLevel="0" collapsed="false">
      <c r="A25" s="24" t="n">
        <v>18</v>
      </c>
      <c r="B25" s="11" t="s">
        <v>2906</v>
      </c>
      <c r="C25" s="8" t="s">
        <v>2912</v>
      </c>
      <c r="D25" s="9" t="s">
        <v>2913</v>
      </c>
      <c r="E25" s="9" t="s">
        <v>2914</v>
      </c>
      <c r="F25" s="24" t="n">
        <f aca="false">LEN(TRIM(C25))-LEN(SUBSTITUTE(TRIM(C25)," ",""))+1</f>
        <v>6</v>
      </c>
      <c r="G25" s="24" t="str">
        <f aca="false">IF(F25&lt;=$D$4,"OK","초과")</f>
        <v>OK</v>
      </c>
    </row>
    <row r="26" customFormat="false" ht="29.25" hidden="false" customHeight="true" outlineLevel="0" collapsed="false">
      <c r="A26" s="24" t="n">
        <v>19</v>
      </c>
      <c r="B26" s="11" t="s">
        <v>2711</v>
      </c>
      <c r="C26" s="8" t="s">
        <v>2915</v>
      </c>
      <c r="D26" s="9" t="s">
        <v>2916</v>
      </c>
      <c r="E26" s="8" t="s">
        <v>2917</v>
      </c>
      <c r="F26" s="24" t="n">
        <f aca="false">LEN(TRIM(C26))-LEN(SUBSTITUTE(TRIM(C26)," ",""))+1</f>
        <v>7</v>
      </c>
      <c r="G26" s="24" t="str">
        <f aca="false">IF(F26&lt;=$D$4,"OK","초과")</f>
        <v>OK</v>
      </c>
    </row>
    <row r="27" customFormat="false" ht="16.5" hidden="false" customHeight="true" outlineLevel="0" collapsed="false">
      <c r="A27" s="24" t="n">
        <v>20</v>
      </c>
      <c r="B27" s="11" t="s">
        <v>2872</v>
      </c>
      <c r="C27" s="8" t="s">
        <v>2918</v>
      </c>
      <c r="D27" s="9" t="s">
        <v>2919</v>
      </c>
      <c r="E27" s="8" t="s">
        <v>2920</v>
      </c>
      <c r="F27" s="24" t="n">
        <f aca="false">LEN(TRIM(C27))-LEN(SUBSTITUTE(TRIM(C27)," ",""))+1</f>
        <v>4</v>
      </c>
      <c r="G27" s="24" t="str">
        <f aca="false">IF(F27&lt;=$D$4,"OK","초과")</f>
        <v>OK</v>
      </c>
    </row>
    <row r="28" customFormat="false" ht="29.25" hidden="false" customHeight="true" outlineLevel="0" collapsed="false">
      <c r="A28" s="24" t="n">
        <v>21</v>
      </c>
      <c r="B28" s="11" t="s">
        <v>2868</v>
      </c>
      <c r="C28" s="8" t="s">
        <v>2921</v>
      </c>
      <c r="D28" s="9" t="s">
        <v>2922</v>
      </c>
      <c r="E28" s="8" t="s">
        <v>2923</v>
      </c>
      <c r="F28" s="24" t="n">
        <f aca="false">LEN(TRIM(C28))-LEN(SUBSTITUTE(TRIM(C28)," ",""))+1</f>
        <v>12</v>
      </c>
      <c r="G28" s="24" t="str">
        <f aca="false">IF(F28&lt;=$D$4,"OK","초과")</f>
        <v>OK</v>
      </c>
    </row>
    <row r="29" customFormat="false" ht="29.25" hidden="false" customHeight="true" outlineLevel="0" collapsed="false">
      <c r="A29" s="24" t="n">
        <v>22</v>
      </c>
      <c r="B29" s="11" t="s">
        <v>2711</v>
      </c>
      <c r="C29" s="8" t="s">
        <v>2924</v>
      </c>
      <c r="D29" s="9" t="s">
        <v>2925</v>
      </c>
      <c r="E29" s="8"/>
      <c r="F29" s="24" t="n">
        <f aca="false">LEN(TRIM(C29))-LEN(SUBSTITUTE(TRIM(C29)," ",""))+1</f>
        <v>9</v>
      </c>
      <c r="G29" s="24" t="str">
        <f aca="false">IF(F29&lt;=$D$4,"OK","초과")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E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4" min="3" style="1" width="46"/>
    <col collapsed="false" customWidth="true" hidden="false" outlineLevel="0" max="5" min="5" style="1" width="24"/>
  </cols>
  <sheetData>
    <row r="1" customFormat="false" ht="24" hidden="false" customHeight="true" outlineLevel="0" collapsed="false">
      <c r="A1" s="21" t="s">
        <v>2926</v>
      </c>
    </row>
    <row r="3" customFormat="false" ht="15" hidden="false" customHeight="false" outlineLevel="0" collapsed="false">
      <c r="A3" s="39" t="s">
        <v>2927</v>
      </c>
    </row>
    <row r="4" customFormat="false" ht="15" hidden="false" customHeight="false" outlineLevel="0" collapsed="false">
      <c r="A4" s="22" t="s">
        <v>86</v>
      </c>
      <c r="B4" s="23" t="s">
        <v>1883</v>
      </c>
      <c r="C4" s="23" t="s">
        <v>2928</v>
      </c>
      <c r="D4" s="23" t="s">
        <v>2929</v>
      </c>
      <c r="E4" s="23" t="s">
        <v>2930</v>
      </c>
    </row>
    <row r="5" customFormat="false" ht="39.55" hidden="false" customHeight="false" outlineLevel="0" collapsed="false">
      <c r="A5" s="24" t="s">
        <v>1886</v>
      </c>
      <c r="B5" s="9" t="s">
        <v>2931</v>
      </c>
      <c r="C5" s="27" t="s">
        <v>2932</v>
      </c>
      <c r="D5" s="27" t="s">
        <v>2933</v>
      </c>
      <c r="E5" s="9" t="s">
        <v>2934</v>
      </c>
    </row>
    <row r="6" customFormat="false" ht="38.05" hidden="false" customHeight="false" outlineLevel="0" collapsed="false">
      <c r="A6" s="24" t="s">
        <v>1890</v>
      </c>
      <c r="B6" s="9" t="s">
        <v>2935</v>
      </c>
      <c r="C6" s="9" t="s">
        <v>2936</v>
      </c>
      <c r="D6" s="9" t="s">
        <v>2937</v>
      </c>
      <c r="E6" s="9" t="s">
        <v>31</v>
      </c>
    </row>
    <row r="7" customFormat="false" ht="25.35" hidden="false" customHeight="false" outlineLevel="0" collapsed="false">
      <c r="A7" s="24" t="s">
        <v>1894</v>
      </c>
      <c r="B7" s="9" t="s">
        <v>2938</v>
      </c>
      <c r="C7" s="9" t="s">
        <v>2939</v>
      </c>
      <c r="D7" s="27" t="s">
        <v>2940</v>
      </c>
      <c r="E7" s="9" t="s">
        <v>31</v>
      </c>
    </row>
    <row r="8" customFormat="false" ht="26.85" hidden="false" customHeight="false" outlineLevel="0" collapsed="false">
      <c r="A8" s="24" t="s">
        <v>1898</v>
      </c>
      <c r="B8" s="9" t="s">
        <v>2941</v>
      </c>
      <c r="C8" s="9" t="s">
        <v>2942</v>
      </c>
      <c r="D8" s="27" t="s">
        <v>2943</v>
      </c>
      <c r="E8" s="9" t="s">
        <v>31</v>
      </c>
    </row>
    <row r="9" customFormat="false" ht="26.85" hidden="false" customHeight="false" outlineLevel="0" collapsed="false">
      <c r="A9" s="24" t="s">
        <v>2218</v>
      </c>
      <c r="B9" s="27" t="s">
        <v>155</v>
      </c>
      <c r="C9" s="9" t="s">
        <v>2944</v>
      </c>
      <c r="D9" s="9" t="s">
        <v>2945</v>
      </c>
      <c r="E9" s="27" t="s">
        <v>2946</v>
      </c>
    </row>
    <row r="10" customFormat="false" ht="15" hidden="false" customHeight="false" outlineLevel="0" collapsed="false">
      <c r="A10" s="24" t="s">
        <v>2222</v>
      </c>
      <c r="B10" s="27" t="s">
        <v>2947</v>
      </c>
      <c r="C10" s="9" t="s">
        <v>2948</v>
      </c>
      <c r="D10" s="9" t="s">
        <v>2949</v>
      </c>
      <c r="E10" s="27" t="s">
        <v>2950</v>
      </c>
    </row>
    <row r="11" customFormat="false" ht="26.85" hidden="false" customHeight="false" outlineLevel="0" collapsed="false">
      <c r="A11" s="24" t="s">
        <v>2226</v>
      </c>
      <c r="B11" s="27" t="s">
        <v>201</v>
      </c>
      <c r="C11" s="9" t="s">
        <v>2951</v>
      </c>
      <c r="D11" s="9" t="s">
        <v>2952</v>
      </c>
      <c r="E11" s="27" t="s">
        <v>2953</v>
      </c>
    </row>
    <row r="12" customFormat="false" ht="25.35" hidden="false" customHeight="false" outlineLevel="0" collapsed="false">
      <c r="A12" s="24" t="s">
        <v>2230</v>
      </c>
      <c r="B12" s="27" t="s">
        <v>2954</v>
      </c>
      <c r="C12" s="27" t="s">
        <v>2955</v>
      </c>
      <c r="D12" s="27" t="s">
        <v>2956</v>
      </c>
      <c r="E12" s="27" t="s">
        <v>2953</v>
      </c>
    </row>
    <row r="13" customFormat="false" ht="15" hidden="false" customHeight="false" outlineLevel="0" collapsed="false">
      <c r="A13" s="24" t="s">
        <v>2234</v>
      </c>
      <c r="B13" s="9" t="s">
        <v>19</v>
      </c>
      <c r="C13" s="9" t="s">
        <v>2957</v>
      </c>
      <c r="D13" s="9" t="s">
        <v>2958</v>
      </c>
      <c r="E13" s="9" t="s">
        <v>69</v>
      </c>
    </row>
    <row r="14" customFormat="false" ht="15" hidden="false" customHeight="false" outlineLevel="0" collapsed="false">
      <c r="A14" s="24" t="s">
        <v>2239</v>
      </c>
      <c r="B14" s="27" t="s">
        <v>2959</v>
      </c>
      <c r="C14" s="9" t="s">
        <v>2960</v>
      </c>
      <c r="D14" s="9" t="s">
        <v>2961</v>
      </c>
      <c r="E14" s="27" t="s">
        <v>2962</v>
      </c>
    </row>
    <row r="15" customFormat="false" ht="26.85" hidden="false" customHeight="false" outlineLevel="0" collapsed="false">
      <c r="A15" s="24" t="s">
        <v>2243</v>
      </c>
      <c r="B15" s="9" t="s">
        <v>3</v>
      </c>
      <c r="C15" s="27" t="s">
        <v>2963</v>
      </c>
      <c r="D15" s="27" t="s">
        <v>2964</v>
      </c>
      <c r="E15" s="9" t="s">
        <v>2965</v>
      </c>
    </row>
    <row r="16" customFormat="false" ht="15" hidden="false" customHeight="false" outlineLevel="0" collapsed="false">
      <c r="A16" s="24" t="s">
        <v>2247</v>
      </c>
      <c r="B16" s="9" t="s">
        <v>2966</v>
      </c>
      <c r="C16" s="27" t="s">
        <v>2967</v>
      </c>
      <c r="D16" s="27" t="s">
        <v>2968</v>
      </c>
      <c r="E16" s="27" t="s">
        <v>2969</v>
      </c>
    </row>
    <row r="17" customFormat="false" ht="26.85" hidden="false" customHeight="false" outlineLevel="0" collapsed="false">
      <c r="A17" s="24" t="s">
        <v>2251</v>
      </c>
      <c r="B17" s="9" t="s">
        <v>2970</v>
      </c>
      <c r="C17" s="9" t="s">
        <v>2971</v>
      </c>
      <c r="D17" s="9" t="s">
        <v>2972</v>
      </c>
      <c r="E17" s="9" t="s">
        <v>2973</v>
      </c>
    </row>
    <row r="18" customFormat="false" ht="15" hidden="false" customHeight="false" outlineLevel="0" collapsed="false">
      <c r="A18" s="24" t="s">
        <v>2255</v>
      </c>
      <c r="B18" s="9" t="s">
        <v>2777</v>
      </c>
      <c r="C18" s="27" t="s">
        <v>301</v>
      </c>
      <c r="D18" s="9" t="s">
        <v>2974</v>
      </c>
      <c r="E18" s="9" t="s">
        <v>2975</v>
      </c>
    </row>
    <row r="19" customFormat="false" ht="26.85" hidden="false" customHeight="false" outlineLevel="0" collapsed="false">
      <c r="A19" s="24" t="s">
        <v>2259</v>
      </c>
      <c r="B19" s="27" t="s">
        <v>2976</v>
      </c>
      <c r="C19" s="27" t="s">
        <v>2977</v>
      </c>
      <c r="D19" s="27" t="s">
        <v>2978</v>
      </c>
      <c r="E19" s="9" t="s">
        <v>2979</v>
      </c>
    </row>
    <row r="20" customFormat="false" ht="26.85" hidden="false" customHeight="false" outlineLevel="0" collapsed="false">
      <c r="A20" s="24" t="s">
        <v>2263</v>
      </c>
      <c r="B20" s="9" t="s">
        <v>2980</v>
      </c>
      <c r="C20" s="27" t="s">
        <v>301</v>
      </c>
      <c r="D20" s="9" t="s">
        <v>2981</v>
      </c>
      <c r="E20" s="9" t="s">
        <v>2982</v>
      </c>
    </row>
    <row r="21" customFormat="false" ht="26.85" hidden="false" customHeight="false" outlineLevel="0" collapsed="false">
      <c r="A21" s="24" t="s">
        <v>2266</v>
      </c>
      <c r="B21" s="9" t="s">
        <v>2983</v>
      </c>
      <c r="C21" s="27" t="s">
        <v>2984</v>
      </c>
      <c r="D21" s="27" t="s">
        <v>2985</v>
      </c>
      <c r="E21" s="9" t="s">
        <v>2986</v>
      </c>
    </row>
    <row r="22" customFormat="false" ht="26.85" hidden="false" customHeight="false" outlineLevel="0" collapsed="false">
      <c r="A22" s="24" t="s">
        <v>2269</v>
      </c>
      <c r="B22" s="9" t="s">
        <v>2987</v>
      </c>
      <c r="C22" s="9" t="s">
        <v>2988</v>
      </c>
      <c r="D22" s="9" t="s">
        <v>2989</v>
      </c>
      <c r="E22" s="9" t="s">
        <v>2990</v>
      </c>
    </row>
    <row r="23" customFormat="false" ht="39.55" hidden="false" customHeight="false" outlineLevel="0" collapsed="false">
      <c r="A23" s="24" t="s">
        <v>2272</v>
      </c>
      <c r="B23" s="27" t="s">
        <v>2991</v>
      </c>
      <c r="C23" s="9" t="s">
        <v>2992</v>
      </c>
      <c r="D23" s="9" t="s">
        <v>2993</v>
      </c>
      <c r="E23" s="9" t="s">
        <v>2994</v>
      </c>
    </row>
    <row r="24" customFormat="false" ht="26.85" hidden="false" customHeight="false" outlineLevel="0" collapsed="false">
      <c r="A24" s="24" t="s">
        <v>2995</v>
      </c>
      <c r="B24" s="9" t="s">
        <v>2996</v>
      </c>
      <c r="C24" s="9" t="s">
        <v>2997</v>
      </c>
      <c r="D24" s="9" t="s">
        <v>2998</v>
      </c>
      <c r="E24" s="9" t="s">
        <v>2996</v>
      </c>
    </row>
    <row r="25" customFormat="false" ht="39.55" hidden="false" customHeight="false" outlineLevel="0" collapsed="false">
      <c r="A25" s="24" t="s">
        <v>2999</v>
      </c>
      <c r="B25" s="9" t="s">
        <v>3000</v>
      </c>
      <c r="C25" s="9" t="s">
        <v>3001</v>
      </c>
      <c r="D25" s="9" t="s">
        <v>3002</v>
      </c>
      <c r="E25" s="9" t="s">
        <v>3003</v>
      </c>
    </row>
    <row r="26" customFormat="false" ht="61.9" hidden="false" customHeight="false" outlineLevel="0" collapsed="false">
      <c r="A26" s="24" t="s">
        <v>3004</v>
      </c>
      <c r="B26" s="9" t="s">
        <v>3005</v>
      </c>
      <c r="C26" s="27" t="s">
        <v>3006</v>
      </c>
      <c r="D26" s="27" t="s">
        <v>3007</v>
      </c>
      <c r="E26" s="9" t="s">
        <v>3008</v>
      </c>
    </row>
    <row r="27" customFormat="false" ht="36.55" hidden="false" customHeight="false" outlineLevel="0" collapsed="false">
      <c r="A27" s="24" t="s">
        <v>3009</v>
      </c>
      <c r="B27" s="9" t="s">
        <v>3010</v>
      </c>
      <c r="C27" s="27" t="s">
        <v>3011</v>
      </c>
      <c r="D27" s="27" t="s">
        <v>3012</v>
      </c>
      <c r="E27" s="9" t="s">
        <v>3003</v>
      </c>
    </row>
    <row r="28" customFormat="false" ht="38.05" hidden="false" customHeight="false" outlineLevel="0" collapsed="false">
      <c r="A28" s="24" t="s">
        <v>3013</v>
      </c>
      <c r="B28" s="9" t="s">
        <v>3014</v>
      </c>
      <c r="C28" s="9" t="s">
        <v>3015</v>
      </c>
      <c r="D28" s="9" t="s">
        <v>3016</v>
      </c>
      <c r="E28" s="9" t="s">
        <v>3017</v>
      </c>
    </row>
    <row r="29" customFormat="false" ht="39.55" hidden="false" customHeight="false" outlineLevel="0" collapsed="false">
      <c r="A29" s="24" t="s">
        <v>3018</v>
      </c>
      <c r="B29" s="9" t="s">
        <v>3019</v>
      </c>
      <c r="C29" s="9" t="s">
        <v>3020</v>
      </c>
      <c r="D29" s="9" t="s">
        <v>3021</v>
      </c>
      <c r="E29" s="9" t="s">
        <v>2986</v>
      </c>
    </row>
    <row r="30" customFormat="false" ht="39.55" hidden="false" customHeight="false" outlineLevel="0" collapsed="false">
      <c r="A30" s="24" t="s">
        <v>3022</v>
      </c>
      <c r="B30" s="9" t="s">
        <v>3023</v>
      </c>
      <c r="C30" s="9" t="s">
        <v>3024</v>
      </c>
      <c r="D30" s="9" t="s">
        <v>3025</v>
      </c>
      <c r="E30" s="9" t="s">
        <v>2975</v>
      </c>
    </row>
    <row r="31" customFormat="false" ht="26.85" hidden="false" customHeight="false" outlineLevel="0" collapsed="false">
      <c r="A31" s="24" t="s">
        <v>3026</v>
      </c>
      <c r="B31" s="9" t="s">
        <v>3027</v>
      </c>
      <c r="C31" s="27" t="s">
        <v>3028</v>
      </c>
      <c r="D31" s="27" t="s">
        <v>3029</v>
      </c>
      <c r="E31" s="9" t="s">
        <v>3030</v>
      </c>
    </row>
    <row r="32" customFormat="false" ht="15" hidden="false" customHeight="false" outlineLevel="0" collapsed="false">
      <c r="A32" s="24" t="s">
        <v>3031</v>
      </c>
      <c r="B32" s="9" t="s">
        <v>3032</v>
      </c>
      <c r="C32" s="27" t="s">
        <v>3033</v>
      </c>
      <c r="D32" s="27" t="s">
        <v>3034</v>
      </c>
      <c r="E32" s="9" t="s">
        <v>3035</v>
      </c>
    </row>
    <row r="33" customFormat="false" ht="26.85" hidden="false" customHeight="false" outlineLevel="0" collapsed="false">
      <c r="A33" s="24" t="s">
        <v>3036</v>
      </c>
      <c r="B33" s="9" t="s">
        <v>3037</v>
      </c>
      <c r="C33" s="27" t="s">
        <v>3038</v>
      </c>
      <c r="D33" s="27" t="s">
        <v>3039</v>
      </c>
      <c r="E33" s="9" t="s">
        <v>3040</v>
      </c>
    </row>
    <row r="34" customFormat="false" ht="26.85" hidden="false" customHeight="false" outlineLevel="0" collapsed="false">
      <c r="A34" s="24" t="s">
        <v>3041</v>
      </c>
      <c r="B34" s="9" t="s">
        <v>3042</v>
      </c>
      <c r="C34" s="9" t="s">
        <v>3043</v>
      </c>
      <c r="D34" s="9" t="s">
        <v>3044</v>
      </c>
      <c r="E34" s="9" t="s">
        <v>3045</v>
      </c>
    </row>
    <row r="36" customFormat="false" ht="15" hidden="false" customHeight="false" outlineLevel="0" collapsed="false">
      <c r="A36" s="39" t="s">
        <v>3046</v>
      </c>
    </row>
    <row r="37" customFormat="false" ht="15" hidden="false" customHeight="false" outlineLevel="0" collapsed="false">
      <c r="A37" s="22" t="s">
        <v>86</v>
      </c>
      <c r="B37" s="23" t="s">
        <v>1883</v>
      </c>
      <c r="C37" s="23" t="s">
        <v>2488</v>
      </c>
      <c r="D37" s="23" t="s">
        <v>3047</v>
      </c>
      <c r="E37" s="23" t="s">
        <v>3048</v>
      </c>
    </row>
    <row r="38" customFormat="false" ht="26.85" hidden="false" customHeight="false" outlineLevel="0" collapsed="false">
      <c r="A38" s="24" t="s">
        <v>1886</v>
      </c>
      <c r="B38" s="9" t="s">
        <v>3049</v>
      </c>
      <c r="C38" s="9" t="s">
        <v>3050</v>
      </c>
      <c r="D38" s="9" t="s">
        <v>3051</v>
      </c>
      <c r="E38" s="9" t="s">
        <v>31</v>
      </c>
    </row>
    <row r="39" customFormat="false" ht="26.85" hidden="false" customHeight="false" outlineLevel="0" collapsed="false">
      <c r="A39" s="24" t="s">
        <v>1890</v>
      </c>
      <c r="B39" s="27" t="s">
        <v>3052</v>
      </c>
      <c r="C39" s="9" t="s">
        <v>3053</v>
      </c>
      <c r="D39" s="9" t="s">
        <v>3054</v>
      </c>
      <c r="E39" s="27" t="s">
        <v>2953</v>
      </c>
    </row>
    <row r="40" customFormat="false" ht="26.85" hidden="false" customHeight="false" outlineLevel="0" collapsed="false">
      <c r="A40" s="24" t="s">
        <v>1894</v>
      </c>
      <c r="B40" s="27" t="s">
        <v>3055</v>
      </c>
      <c r="C40" s="27" t="s">
        <v>3056</v>
      </c>
      <c r="D40" s="27" t="s">
        <v>3057</v>
      </c>
      <c r="E40" s="9" t="s">
        <v>59</v>
      </c>
    </row>
    <row r="41" customFormat="false" ht="15" hidden="false" customHeight="false" outlineLevel="0" collapsed="false">
      <c r="A41" s="24" t="s">
        <v>1898</v>
      </c>
      <c r="B41" s="9" t="s">
        <v>3058</v>
      </c>
      <c r="C41" s="27" t="s">
        <v>3059</v>
      </c>
      <c r="D41" s="9" t="s">
        <v>3060</v>
      </c>
      <c r="E41" s="9" t="s">
        <v>3035</v>
      </c>
    </row>
    <row r="42" customFormat="false" ht="26.85" hidden="false" customHeight="false" outlineLevel="0" collapsed="false">
      <c r="A42" s="24" t="s">
        <v>2218</v>
      </c>
      <c r="B42" s="9" t="s">
        <v>3061</v>
      </c>
      <c r="C42" s="27" t="s">
        <v>3062</v>
      </c>
      <c r="D42" s="9" t="s">
        <v>3063</v>
      </c>
      <c r="E42" s="9" t="s">
        <v>31</v>
      </c>
    </row>
    <row r="43" customFormat="false" ht="26.85" hidden="false" customHeight="false" outlineLevel="0" collapsed="false">
      <c r="A43" s="24" t="s">
        <v>2222</v>
      </c>
      <c r="B43" s="9" t="s">
        <v>3064</v>
      </c>
      <c r="C43" s="9" t="s">
        <v>3065</v>
      </c>
      <c r="D43" s="9" t="s">
        <v>3066</v>
      </c>
      <c r="E43" s="27" t="s">
        <v>3067</v>
      </c>
    </row>
    <row r="44" customFormat="false" ht="38.05" hidden="false" customHeight="false" outlineLevel="0" collapsed="false">
      <c r="A44" s="24" t="s">
        <v>2226</v>
      </c>
      <c r="B44" s="9" t="s">
        <v>3068</v>
      </c>
      <c r="C44" s="9" t="s">
        <v>3069</v>
      </c>
      <c r="D44" s="27" t="s">
        <v>3070</v>
      </c>
      <c r="E44" s="9" t="s">
        <v>3071</v>
      </c>
    </row>
    <row r="45" customFormat="false" ht="15" hidden="false" customHeight="false" outlineLevel="0" collapsed="false">
      <c r="A45" s="24" t="s">
        <v>2230</v>
      </c>
      <c r="B45" s="27" t="s">
        <v>3072</v>
      </c>
      <c r="C45" s="9" t="s">
        <v>3073</v>
      </c>
      <c r="D45" s="27" t="s">
        <v>3074</v>
      </c>
      <c r="E45" s="9" t="s">
        <v>3075</v>
      </c>
    </row>
    <row r="46" customFormat="false" ht="15" hidden="false" customHeight="false" outlineLevel="0" collapsed="false">
      <c r="A46" s="24" t="s">
        <v>2234</v>
      </c>
      <c r="B46" s="9" t="s">
        <v>3076</v>
      </c>
      <c r="C46" s="27" t="s">
        <v>3077</v>
      </c>
      <c r="D46" s="27" t="s">
        <v>3078</v>
      </c>
      <c r="E46" s="9" t="s">
        <v>2975</v>
      </c>
    </row>
    <row r="47" customFormat="false" ht="26.85" hidden="false" customHeight="false" outlineLevel="0" collapsed="false">
      <c r="A47" s="24" t="s">
        <v>2239</v>
      </c>
      <c r="B47" s="9" t="s">
        <v>3079</v>
      </c>
      <c r="C47" s="27" t="s">
        <v>3080</v>
      </c>
      <c r="D47" s="9" t="s">
        <v>3081</v>
      </c>
      <c r="E47" s="9" t="s">
        <v>54</v>
      </c>
    </row>
    <row r="48" customFormat="false" ht="15" hidden="false" customHeight="false" outlineLevel="0" collapsed="false">
      <c r="A48" s="24" t="s">
        <v>2243</v>
      </c>
      <c r="B48" s="9" t="s">
        <v>2246</v>
      </c>
      <c r="C48" s="9" t="s">
        <v>3082</v>
      </c>
      <c r="D48" s="9" t="s">
        <v>3083</v>
      </c>
      <c r="E48" s="9" t="s">
        <v>2975</v>
      </c>
    </row>
    <row r="49" customFormat="false" ht="15" hidden="false" customHeight="false" outlineLevel="0" collapsed="false">
      <c r="A49" s="24" t="s">
        <v>2247</v>
      </c>
      <c r="B49" s="9" t="s">
        <v>3084</v>
      </c>
      <c r="C49" s="9" t="s">
        <v>3085</v>
      </c>
      <c r="D49" s="9" t="s">
        <v>3086</v>
      </c>
      <c r="E49" s="9" t="s">
        <v>69</v>
      </c>
    </row>
    <row r="50" customFormat="false" ht="26.85" hidden="false" customHeight="false" outlineLevel="0" collapsed="false">
      <c r="A50" s="24" t="s">
        <v>2251</v>
      </c>
      <c r="B50" s="9" t="s">
        <v>3087</v>
      </c>
      <c r="C50" s="27" t="s">
        <v>3088</v>
      </c>
      <c r="D50" s="27" t="s">
        <v>3089</v>
      </c>
      <c r="E50" s="9" t="s">
        <v>54</v>
      </c>
    </row>
    <row r="51" customFormat="false" ht="26.85" hidden="false" customHeight="false" outlineLevel="0" collapsed="false">
      <c r="A51" s="24" t="s">
        <v>2255</v>
      </c>
      <c r="B51" s="9" t="s">
        <v>3090</v>
      </c>
      <c r="C51" s="9" t="s">
        <v>3091</v>
      </c>
      <c r="D51" s="9" t="s">
        <v>3092</v>
      </c>
      <c r="E51" s="9" t="s">
        <v>3093</v>
      </c>
    </row>
    <row r="52" customFormat="false" ht="39.55" hidden="false" customHeight="false" outlineLevel="0" collapsed="false">
      <c r="A52" s="24" t="s">
        <v>2259</v>
      </c>
      <c r="B52" s="9" t="s">
        <v>3094</v>
      </c>
      <c r="C52" s="27" t="s">
        <v>3095</v>
      </c>
      <c r="D52" s="9" t="s">
        <v>3096</v>
      </c>
      <c r="E52" s="9" t="s">
        <v>3097</v>
      </c>
    </row>
    <row r="53" customFormat="false" ht="15" hidden="false" customHeight="false" outlineLevel="0" collapsed="false">
      <c r="A53" s="24" t="s">
        <v>2263</v>
      </c>
      <c r="B53" s="27" t="s">
        <v>3098</v>
      </c>
      <c r="C53" s="27" t="s">
        <v>3099</v>
      </c>
      <c r="D53" s="9" t="s">
        <v>3100</v>
      </c>
      <c r="E53" s="9" t="s">
        <v>3101</v>
      </c>
    </row>
    <row r="54" customFormat="false" ht="26.85" hidden="false" customHeight="false" outlineLevel="0" collapsed="false">
      <c r="A54" s="24" t="s">
        <v>2266</v>
      </c>
      <c r="B54" s="27" t="s">
        <v>3102</v>
      </c>
      <c r="C54" s="9" t="s">
        <v>3103</v>
      </c>
      <c r="D54" s="9" t="s">
        <v>3104</v>
      </c>
      <c r="E54" s="9" t="s">
        <v>3105</v>
      </c>
    </row>
    <row r="55" customFormat="false" ht="26.85" hidden="false" customHeight="false" outlineLevel="0" collapsed="false">
      <c r="A55" s="24" t="s">
        <v>2269</v>
      </c>
      <c r="B55" s="27" t="s">
        <v>3106</v>
      </c>
      <c r="C55" s="9" t="s">
        <v>3107</v>
      </c>
      <c r="D55" s="9" t="s">
        <v>3108</v>
      </c>
      <c r="E55" s="9" t="s">
        <v>3109</v>
      </c>
    </row>
    <row r="56" customFormat="false" ht="15" hidden="false" customHeight="false" outlineLevel="0" collapsed="false">
      <c r="A56" s="24" t="s">
        <v>2272</v>
      </c>
      <c r="B56" s="9" t="s">
        <v>3110</v>
      </c>
      <c r="C56" s="27" t="s">
        <v>3111</v>
      </c>
      <c r="D56" s="27" t="s">
        <v>3112</v>
      </c>
      <c r="E56" s="9" t="s">
        <v>3105</v>
      </c>
    </row>
    <row r="57" customFormat="false" ht="15" hidden="false" customHeight="false" outlineLevel="0" collapsed="false">
      <c r="A57" s="24" t="s">
        <v>2995</v>
      </c>
      <c r="B57" s="27" t="s">
        <v>3113</v>
      </c>
      <c r="C57" s="27" t="s">
        <v>3114</v>
      </c>
      <c r="D57" s="9" t="s">
        <v>3115</v>
      </c>
      <c r="E57" s="9" t="s">
        <v>3109</v>
      </c>
    </row>
    <row r="58" customFormat="false" ht="26.85" hidden="false" customHeight="false" outlineLevel="0" collapsed="false">
      <c r="A58" s="24" t="s">
        <v>2999</v>
      </c>
      <c r="B58" s="9" t="s">
        <v>3116</v>
      </c>
      <c r="C58" s="9" t="s">
        <v>3117</v>
      </c>
      <c r="D58" s="9" t="s">
        <v>3118</v>
      </c>
      <c r="E58" s="9" t="s">
        <v>3119</v>
      </c>
    </row>
    <row r="59" customFormat="false" ht="15" hidden="false" customHeight="false" outlineLevel="0" collapsed="false">
      <c r="A59" s="24" t="s">
        <v>3004</v>
      </c>
      <c r="B59" s="9" t="s">
        <v>3120</v>
      </c>
      <c r="C59" s="27" t="s">
        <v>3121</v>
      </c>
      <c r="D59" s="27" t="s">
        <v>3122</v>
      </c>
      <c r="E59" s="9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2026-09-22T22:55:55Z</dcterms:created>
  <dc:creator>openpyxl</dc:creator>
  <dc:description/>
  <dc:language>en-US</dc:language>
  <cp:lastModifiedBy/>
  <dcterms:modified xsi:type="dcterms:W3CDTF">2026-09-24T23:51:34Z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