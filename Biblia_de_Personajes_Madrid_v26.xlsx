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개요" sheetId="1" state="visible" r:id="rId1"/>
    <sheet xmlns:r="http://schemas.openxmlformats.org/officeDocument/2006/relationships" name="이어쓰기_가이드" sheetId="2" state="visible" r:id="rId2"/>
    <sheet xmlns:r="http://schemas.openxmlformats.org/officeDocument/2006/relationships" name="캐릭터" sheetId="3" state="visible" r:id="rId3"/>
    <sheet xmlns:r="http://schemas.openxmlformats.org/officeDocument/2006/relationships" name="등장비중" sheetId="4" state="visible" r:id="rId4"/>
    <sheet xmlns:r="http://schemas.openxmlformats.org/officeDocument/2006/relationships" name="턴_설계" sheetId="5" state="visible" r:id="rId5"/>
    <sheet xmlns:r="http://schemas.openxmlformats.org/officeDocument/2006/relationships" name="12부_구성" sheetId="6" state="visible" r:id="rId6"/>
    <sheet xmlns:r="http://schemas.openxmlformats.org/officeDocument/2006/relationships" name="아크_구성계획" sheetId="7" state="visible" r:id="rId7"/>
    <sheet xmlns:r="http://schemas.openxmlformats.org/officeDocument/2006/relationships" name="화별목차_전체" sheetId="8" state="visible" r:id="rId8"/>
    <sheet xmlns:r="http://schemas.openxmlformats.org/officeDocument/2006/relationships" name="복선_회수" sheetId="9" state="visible" r:id="rId9"/>
    <sheet xmlns:r="http://schemas.openxmlformats.org/officeDocument/2006/relationships" name="현안_배치" sheetId="10" state="visible" r:id="rId10"/>
    <sheet xmlns:r="http://schemas.openxmlformats.org/officeDocument/2006/relationships" name="현안_분포" sheetId="11" state="visible" r:id="rId11"/>
    <sheet xmlns:r="http://schemas.openxmlformats.org/officeDocument/2006/relationships" name="정치제도" sheetId="12" state="visible" r:id="rId12"/>
    <sheet xmlns:r="http://schemas.openxmlformats.org/officeDocument/2006/relationships" name="정치경로_의석" sheetId="13" state="visible" r:id="rId13"/>
    <sheet xmlns:r="http://schemas.openxmlformats.org/officeDocument/2006/relationships" name="호칭규칙" sheetId="14" state="visible" r:id="rId14"/>
    <sheet xmlns:r="http://schemas.openxmlformats.org/officeDocument/2006/relationships" name="Carmen_폭발과욕" sheetId="15" state="visible" r:id="rId15"/>
    <sheet xmlns:r="http://schemas.openxmlformats.org/officeDocument/2006/relationships" name="Anselmo_죽음" sheetId="16" state="visible" r:id="rId16"/>
    <sheet xmlns:r="http://schemas.openxmlformats.org/officeDocument/2006/relationships" name="Raimundo_출처" sheetId="17" state="visible" r:id="rId17"/>
    <sheet xmlns:r="http://schemas.openxmlformats.org/officeDocument/2006/relationships" name="대화문규칙" sheetId="18" state="visible" r:id="rId18"/>
    <sheet xmlns:r="http://schemas.openxmlformats.org/officeDocument/2006/relationships" name="1부_시범대사" sheetId="19" state="visible" r:id="rId19"/>
    <sheet xmlns:r="http://schemas.openxmlformats.org/officeDocument/2006/relationships" name="변경이력_미결" sheetId="20" state="visible" r:id="rId20"/>
  </sheets>
  <definedNames>
    <definedName name="_xlnm._FilterDatabase" localSheetId="7" hidden="1">'화별목차_전체'!$A$4:$J$160</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Noto Sans CJK SC"/>
      <family val="2"/>
      <b val="1"/>
      <color rgb="FF1F3864"/>
      <sz val="14"/>
    </font>
    <font>
      <name val="Arial"/>
      <charset val="1"/>
      <family val="0"/>
      <i val="1"/>
      <color rgb="FF595959"/>
      <sz val="9"/>
    </font>
    <font>
      <name val="Noto Sans CJK SC"/>
      <family val="2"/>
      <i val="1"/>
      <color rgb="FF595959"/>
      <sz val="9"/>
    </font>
    <font>
      <name val="Noto Sans CJK SC"/>
      <family val="2"/>
      <color theme="1"/>
      <sz val="11"/>
    </font>
    <font>
      <name val="Noto Sans CJK SC"/>
      <charset val="1"/>
      <family val="2"/>
      <b val="1"/>
      <sz val="10"/>
    </font>
    <font>
      <name val="Arial"/>
      <charset val="1"/>
      <family val="0"/>
      <color rgb="FF0000FF"/>
      <sz val="10"/>
    </font>
    <font>
      <name val="Arial"/>
      <charset val="1"/>
      <family val="0"/>
      <sz val="10"/>
    </font>
    <font>
      <name val="Noto Sans CJK SC"/>
      <family val="2"/>
      <sz val="10"/>
    </font>
    <font>
      <name val="Noto Sans CJK SC"/>
      <charset val="1"/>
      <family val="2"/>
      <sz val="10"/>
    </font>
    <font>
      <name val="Arial"/>
      <charset val="1"/>
      <family val="0"/>
      <b val="1"/>
      <sz val="10"/>
    </font>
    <font>
      <name val="Noto Sans CJK SC"/>
      <family val="2"/>
      <b val="1"/>
      <sz val="10"/>
    </font>
    <font>
      <name val="Noto Sans CJK SC"/>
      <charset val="1"/>
      <family val="2"/>
      <color rgb="FF0563C1"/>
      <sz val="10"/>
      <u val="single"/>
    </font>
    <font>
      <name val="Arial"/>
      <charset val="1"/>
      <family val="0"/>
      <color rgb="FF0563C1"/>
      <sz val="10"/>
      <u val="single"/>
    </font>
    <font>
      <name val="Noto Sans CJK SC"/>
      <charset val="1"/>
      <family val="2"/>
      <color rgb="FF0000FF"/>
      <sz val="10"/>
    </font>
    <font>
      <name val="Noto Sans CJK SC"/>
      <charset val="1"/>
      <family val="2"/>
      <i val="1"/>
      <color rgb="FF595959"/>
      <sz val="9"/>
    </font>
    <font>
      <name val="Noto Sans CJK SC"/>
      <charset val="1"/>
      <family val="2"/>
      <b val="1"/>
      <color rgb="FF1F3864"/>
      <sz val="14"/>
    </font>
    <font>
      <name val="Noto Sans CJK SC"/>
      <charset val="1"/>
      <family val="2"/>
      <b val="1"/>
      <color rgb="FFFFFFFF"/>
      <sz val="10"/>
    </font>
    <font>
      <name val="Arial"/>
      <charset val="1"/>
      <family val="0"/>
      <b val="1"/>
      <color rgb="FFFFFFFF"/>
      <sz val="10"/>
    </font>
    <font>
      <name val="Noto Sans CJK SC"/>
      <family val="2"/>
      <b val="1"/>
      <color rgb="FFFFFFFF"/>
      <sz val="10"/>
    </font>
  </fonts>
  <fills count="6">
    <fill>
      <patternFill/>
    </fill>
    <fill>
      <patternFill patternType="gray125"/>
    </fill>
    <fill>
      <patternFill patternType="solid">
        <fgColor rgb="FFD9E2F3"/>
        <bgColor rgb="FFDDEBF7"/>
      </patternFill>
    </fill>
    <fill>
      <patternFill patternType="solid">
        <fgColor rgb="FFFFFF00"/>
        <bgColor rgb="FFFFFF00"/>
      </patternFill>
    </fill>
    <fill>
      <patternFill patternType="solid">
        <fgColor rgb="FF1F3864"/>
        <bgColor rgb="FF333333"/>
      </patternFill>
    </fill>
    <fill>
      <patternFill patternType="solid">
        <fgColor rgb="FFF2F2F2"/>
        <bgColor rgb="FFDDEBF7"/>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9" fillId="2" borderId="1" applyAlignment="1" pivotButton="0" quotePrefix="0" xfId="0">
      <alignment horizontal="general" vertical="bottom"/>
    </xf>
    <xf numFmtId="0" fontId="0" fillId="2" borderId="1" applyAlignment="1" pivotButton="0" quotePrefix="0" xfId="0">
      <alignment horizontal="general" vertical="bottom"/>
    </xf>
    <xf numFmtId="0" fontId="9" fillId="0" borderId="1" applyAlignment="1" pivotButton="0" quotePrefix="0" xfId="0">
      <alignment horizontal="general" vertical="top" wrapText="1"/>
    </xf>
    <xf numFmtId="0" fontId="10" fillId="0" borderId="1" applyAlignment="1" pivotButton="0" quotePrefix="0" xfId="0">
      <alignment horizontal="center" vertical="top"/>
    </xf>
    <xf numFmtId="0" fontId="11"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1" fillId="0" borderId="1" applyAlignment="1" pivotButton="0" quotePrefix="0" xfId="0">
      <alignment horizontal="center" vertical="top"/>
    </xf>
    <xf numFmtId="0" fontId="14" fillId="0" borderId="1" applyAlignment="1" pivotButton="0" quotePrefix="0" xfId="0">
      <alignment horizontal="general" vertical="top" wrapText="1"/>
    </xf>
    <xf numFmtId="0" fontId="10" fillId="3" borderId="1" applyAlignment="1" pivotButton="0" quotePrefix="0" xfId="0">
      <alignment horizontal="center" vertical="top"/>
    </xf>
    <xf numFmtId="0" fontId="9" fillId="0" borderId="1" applyAlignment="1" pivotButton="0" quotePrefix="0" xfId="0">
      <alignment horizontal="general" vertical="bottom"/>
    </xf>
    <xf numFmtId="0" fontId="16" fillId="0" borderId="1" applyAlignment="1" pivotButton="0" quotePrefix="0" xfId="0">
      <alignment horizontal="general" vertical="bottom"/>
    </xf>
    <xf numFmtId="0" fontId="13" fillId="0" borderId="1" applyAlignment="1" pivotButton="0" quotePrefix="0" xfId="0">
      <alignment horizontal="general" vertical="bottom"/>
    </xf>
    <xf numFmtId="0" fontId="17" fillId="0" borderId="1" applyAlignment="1" pivotButton="0" quotePrefix="0" xfId="0">
      <alignment horizontal="general" vertical="bottom"/>
    </xf>
    <xf numFmtId="0" fontId="18" fillId="0" borderId="1" applyAlignment="1" pivotButton="0" quotePrefix="0" xfId="0">
      <alignment horizontal="general" vertical="bottom"/>
    </xf>
    <xf numFmtId="0" fontId="0" fillId="0" borderId="1" applyAlignment="1" pivotButton="0" quotePrefix="0" xfId="0">
      <alignment horizontal="general" vertical="bottom"/>
    </xf>
    <xf numFmtId="0" fontId="13" fillId="3" borderId="1"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14" fillId="2" borderId="1" applyAlignment="1" pivotButton="0" quotePrefix="0" xfId="0">
      <alignment horizontal="general" vertical="bottom"/>
    </xf>
    <xf numFmtId="0" fontId="21" fillId="4" borderId="1" applyAlignment="1" pivotButton="0" quotePrefix="0" xfId="0">
      <alignment horizontal="center" vertical="center" wrapText="1"/>
    </xf>
    <xf numFmtId="0" fontId="22" fillId="4" borderId="1" applyAlignment="1" pivotButton="0" quotePrefix="0" xfId="0">
      <alignment horizontal="center" vertical="center" wrapText="1"/>
    </xf>
    <xf numFmtId="0" fontId="11" fillId="0" borderId="1" applyAlignment="1" pivotButton="0" quotePrefix="0" xfId="0">
      <alignment horizontal="center" vertical="top" wrapText="1"/>
    </xf>
    <xf numFmtId="0" fontId="10" fillId="0" borderId="1" applyAlignment="1" pivotButton="0" quotePrefix="0" xfId="0">
      <alignment horizontal="center" vertical="top" wrapText="1"/>
    </xf>
    <xf numFmtId="0" fontId="13" fillId="0" borderId="1" applyAlignment="1" pivotButton="0" quotePrefix="0" xfId="0">
      <alignment horizontal="center" vertical="top" wrapText="1"/>
    </xf>
    <xf numFmtId="0" fontId="14" fillId="0" borderId="1" applyAlignment="1" pivotButton="0" quotePrefix="0" xfId="0">
      <alignment horizontal="general" vertical="bottom"/>
    </xf>
    <xf numFmtId="0" fontId="10" fillId="0" borderId="1" applyAlignment="1" pivotButton="0" quotePrefix="0" xfId="0">
      <alignment horizontal="center" vertical="center"/>
    </xf>
    <xf numFmtId="0" fontId="11" fillId="0" borderId="1" applyAlignment="1" pivotButton="0" quotePrefix="0" xfId="0">
      <alignment horizontal="center" vertical="center"/>
    </xf>
    <xf numFmtId="164" fontId="11" fillId="0" borderId="1" applyAlignment="1" pivotButton="0" quotePrefix="0" xfId="0">
      <alignment horizontal="center" vertical="center"/>
    </xf>
    <xf numFmtId="0" fontId="9" fillId="5" borderId="1" applyAlignment="1" pivotButton="0" quotePrefix="0" xfId="0">
      <alignment horizontal="general" vertical="bottom"/>
    </xf>
    <xf numFmtId="0" fontId="14" fillId="5" borderId="1" applyAlignment="1" pivotButton="0" quotePrefix="0" xfId="0">
      <alignment horizontal="center" vertical="bottom"/>
    </xf>
    <xf numFmtId="0" fontId="0" fillId="5" borderId="1" applyAlignment="1" pivotButton="0" quotePrefix="0" xfId="0">
      <alignment horizontal="center" vertical="bottom"/>
    </xf>
    <xf numFmtId="9" fontId="10" fillId="3" borderId="1" applyAlignment="1" pivotButton="0" quotePrefix="0" xfId="0">
      <alignment horizontal="center" vertical="bottom"/>
    </xf>
    <xf numFmtId="0" fontId="11" fillId="0" borderId="0" applyAlignment="1" pivotButton="0" quotePrefix="0" xfId="0">
      <alignment horizontal="general" vertical="top" wrapText="1"/>
    </xf>
    <xf numFmtId="0" fontId="10" fillId="3" borderId="1" applyAlignment="1" pivotButton="0" quotePrefix="0" xfId="0">
      <alignment horizontal="center" vertical="center"/>
    </xf>
    <xf numFmtId="3" fontId="11" fillId="0" borderId="1" applyAlignment="1" pivotButton="0" quotePrefix="0" xfId="0">
      <alignment horizontal="center" vertical="center"/>
    </xf>
    <xf numFmtId="0" fontId="13" fillId="0" borderId="0" applyAlignment="1" pivotButton="0" quotePrefix="0" xfId="0">
      <alignment horizontal="left" vertical="bottom"/>
    </xf>
    <xf numFmtId="0" fontId="14" fillId="0" borderId="1" applyAlignment="1" pivotButton="0" quotePrefix="0" xfId="0">
      <alignment horizontal="left" vertical="center"/>
    </xf>
    <xf numFmtId="9" fontId="10" fillId="0" borderId="1" applyAlignment="1" pivotButton="0" quotePrefix="0" xfId="0">
      <alignment horizontal="center" vertical="center"/>
    </xf>
    <xf numFmtId="0" fontId="9" fillId="0" borderId="1" applyAlignment="1" pivotButton="0" quotePrefix="0" xfId="0">
      <alignment horizontal="left" vertical="center"/>
    </xf>
    <xf numFmtId="0" fontId="9" fillId="5" borderId="1" applyAlignment="1" pivotButton="0" quotePrefix="0" xfId="0">
      <alignment horizontal="left" vertical="center"/>
    </xf>
    <xf numFmtId="0" fontId="11" fillId="5" borderId="1" applyAlignment="1" pivotButton="0" quotePrefix="0" xfId="0">
      <alignment horizontal="center" vertical="center"/>
    </xf>
    <xf numFmtId="9" fontId="11" fillId="5" borderId="1" applyAlignment="1" pivotButton="0" quotePrefix="0" xfId="0">
      <alignment horizontal="center" vertical="center"/>
    </xf>
    <xf numFmtId="0" fontId="14" fillId="0" borderId="1" applyAlignment="1" pivotButton="0" quotePrefix="0" xfId="0">
      <alignment horizontal="center" vertical="center"/>
    </xf>
    <xf numFmtId="165" fontId="10" fillId="0" borderId="1" applyAlignment="1" pivotButton="0" quotePrefix="0" xfId="0">
      <alignment horizontal="center" vertical="center"/>
    </xf>
    <xf numFmtId="165" fontId="11" fillId="0" borderId="1" applyAlignment="1" pivotButton="0" quotePrefix="0" xfId="0">
      <alignment horizontal="center" vertical="center"/>
    </xf>
    <xf numFmtId="0" fontId="9" fillId="5" borderId="1" applyAlignment="1" pivotButton="0" quotePrefix="0" xfId="0">
      <alignment horizontal="center" vertical="center"/>
    </xf>
    <xf numFmtId="3" fontId="14" fillId="5" borderId="1" applyAlignment="1" pivotButton="0" quotePrefix="0" xfId="0">
      <alignment horizontal="center" vertical="center"/>
    </xf>
    <xf numFmtId="165" fontId="14" fillId="5" borderId="1" applyAlignment="1" pivotButton="0" quotePrefix="0" xfId="0">
      <alignment horizontal="center" vertical="center"/>
    </xf>
    <xf numFmtId="0" fontId="9"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0" fillId="0" borderId="0" applyAlignment="1" pivotButton="0" quotePrefix="0" xfId="0">
      <alignment horizontal="general" vertical="bottom"/>
    </xf>
    <xf numFmtId="0" fontId="11" fillId="0" borderId="0" applyAlignment="1" pivotButton="0" quotePrefix="0" xfId="0">
      <alignment horizontal="general" vertical="top" wrapText="1"/>
    </xf>
    <xf numFmtId="0" fontId="19" fillId="0" borderId="0" applyAlignment="1" pivotButton="0" quotePrefix="0" xfId="0">
      <alignment horizontal="general" vertical="top" wrapText="1"/>
    </xf>
    <xf numFmtId="0" fontId="22" fillId="4" borderId="1" applyAlignment="1" pivotButton="0" quotePrefix="0" xfId="0">
      <alignment horizontal="center" vertical="center"/>
    </xf>
    <xf numFmtId="0" fontId="22" fillId="4" borderId="1" applyAlignment="1" pivotButton="0" quotePrefix="0" xfId="0">
      <alignment horizontal="general" vertical="center" wrapText="1"/>
    </xf>
    <xf numFmtId="0" fontId="9" fillId="0" borderId="0" applyAlignment="1" pivotButton="0" quotePrefix="0" xfId="0">
      <alignment horizontal="general" vertical="bottom"/>
    </xf>
    <xf numFmtId="3" fontId="14" fillId="0" borderId="0" applyAlignment="1" pivotButton="0" quotePrefix="0" xfId="0">
      <alignment horizontal="general" vertical="bottom"/>
    </xf>
    <xf numFmtId="165" fontId="14" fillId="0" borderId="0" applyAlignment="1" pivotButton="0" quotePrefix="0" xfId="0">
      <alignment horizontal="general" vertical="bottom"/>
    </xf>
    <xf numFmtId="0" fontId="14" fillId="0" borderId="1" applyAlignment="1" pivotButton="0" quotePrefix="0" xfId="0">
      <alignment horizontal="center" vertical="top" wrapText="1"/>
    </xf>
    <xf numFmtId="0" fontId="13" fillId="0" borderId="1" applyAlignment="1" pivotButton="0" quotePrefix="0" xfId="0">
      <alignment horizontal="left" vertical="center"/>
    </xf>
    <xf numFmtId="0" fontId="11" fillId="0" borderId="1" applyAlignment="1" pivotButton="0" quotePrefix="0" xfId="0">
      <alignment horizontal="left" vertical="center"/>
    </xf>
    <xf numFmtId="0" fontId="0" fillId="5" borderId="1" applyAlignment="1" pivotButton="0" quotePrefix="0" xfId="0">
      <alignment horizontal="center" vertical="center"/>
    </xf>
    <xf numFmtId="0" fontId="0" fillId="0" borderId="1" applyAlignment="1" pivotButton="0" quotePrefix="0" xfId="0">
      <alignment horizontal="center" vertical="center"/>
    </xf>
    <xf numFmtId="0" fontId="9"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3" fillId="4" borderId="1" applyAlignment="1" pivotButton="0" quotePrefix="0" xfId="0">
      <alignment horizontal="general" vertical="top" wrapText="1"/>
    </xf>
    <xf numFmtId="0" fontId="14" fillId="0" borderId="0" applyAlignment="1" pivotButton="0" quotePrefix="0" xfId="0">
      <alignment horizontal="general" vertical="bottom"/>
    </xf>
    <xf numFmtId="0" fontId="10" fillId="3" borderId="0" applyAlignment="1" pivotButton="0" quotePrefix="0" xfId="0">
      <alignment horizontal="left" vertical="bottom"/>
    </xf>
    <xf numFmtId="0" fontId="0" fillId="0" borderId="0" applyAlignment="1" pivotButton="0" quotePrefix="0" xfId="0">
      <alignment horizontal="left" vertical="bottom"/>
    </xf>
    <xf numFmtId="0" fontId="12"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9" fillId="2" borderId="1" applyAlignment="1" pivotButton="0" quotePrefix="0" xfId="0">
      <alignment horizontal="general" vertical="bottom"/>
    </xf>
    <xf numFmtId="0" fontId="0" fillId="2" borderId="1" applyAlignment="1" pivotButton="0" quotePrefix="0" xfId="0">
      <alignment horizontal="general" vertical="bottom"/>
    </xf>
    <xf numFmtId="0" fontId="9" fillId="0" borderId="1" applyAlignment="1" pivotButton="0" quotePrefix="0" xfId="0">
      <alignment horizontal="general" vertical="top" wrapText="1"/>
    </xf>
    <xf numFmtId="0" fontId="10" fillId="0" borderId="1" applyAlignment="1" pivotButton="0" quotePrefix="0" xfId="0">
      <alignment horizontal="center" vertical="top"/>
    </xf>
    <xf numFmtId="0" fontId="11"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1" fillId="0" borderId="1" applyAlignment="1" pivotButton="0" quotePrefix="0" xfId="0">
      <alignment horizontal="center" vertical="top"/>
    </xf>
    <xf numFmtId="0" fontId="14" fillId="0" borderId="1" applyAlignment="1" pivotButton="0" quotePrefix="0" xfId="0">
      <alignment horizontal="general" vertical="top" wrapText="1"/>
    </xf>
    <xf numFmtId="0" fontId="10" fillId="3" borderId="1" applyAlignment="1" pivotButton="0" quotePrefix="0" xfId="0">
      <alignment horizontal="center" vertical="top"/>
    </xf>
    <xf numFmtId="0" fontId="9" fillId="0" borderId="1" applyAlignment="1" pivotButton="0" quotePrefix="0" xfId="0">
      <alignment horizontal="general" vertical="bottom"/>
    </xf>
    <xf numFmtId="0" fontId="16" fillId="0" borderId="1" applyAlignment="1" pivotButton="0" quotePrefix="0" xfId="0">
      <alignment horizontal="general" vertical="bottom"/>
    </xf>
    <xf numFmtId="0" fontId="13" fillId="0" borderId="1" applyAlignment="1" pivotButton="0" quotePrefix="0" xfId="0">
      <alignment horizontal="general" vertical="bottom"/>
    </xf>
    <xf numFmtId="0" fontId="17" fillId="0" borderId="1" applyAlignment="1" pivotButton="0" quotePrefix="0" xfId="0">
      <alignment horizontal="general" vertical="bottom"/>
    </xf>
    <xf numFmtId="0" fontId="18" fillId="0" borderId="1" applyAlignment="1" pivotButton="0" quotePrefix="0" xfId="0">
      <alignment horizontal="general" vertical="bottom"/>
    </xf>
    <xf numFmtId="0" fontId="0" fillId="0" borderId="1" applyAlignment="1" pivotButton="0" quotePrefix="0" xfId="0">
      <alignment horizontal="general" vertical="bottom"/>
    </xf>
    <xf numFmtId="0" fontId="13" fillId="3" borderId="1"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14" fillId="2" borderId="1" applyAlignment="1" pivotButton="0" quotePrefix="0" xfId="0">
      <alignment horizontal="general" vertical="bottom"/>
    </xf>
    <xf numFmtId="0" fontId="21" fillId="4" borderId="1" applyAlignment="1" pivotButton="0" quotePrefix="0" xfId="0">
      <alignment horizontal="center" vertical="center" wrapText="1"/>
    </xf>
    <xf numFmtId="0" fontId="9"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4" fillId="2" borderId="1" applyAlignment="1" pivotButton="0" quotePrefix="0" xfId="0">
      <alignment horizontal="general" vertical="bottom"/>
    </xf>
    <xf numFmtId="0" fontId="21" fillId="4" borderId="1" applyAlignment="1" pivotButton="0" quotePrefix="0" xfId="0">
      <alignment horizontal="center" vertical="center" wrapText="1"/>
    </xf>
    <xf numFmtId="0" fontId="14"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22" fillId="4" borderId="1" applyAlignment="1" pivotButton="0" quotePrefix="0" xfId="0">
      <alignment horizontal="center" vertical="center" wrapText="1"/>
    </xf>
    <xf numFmtId="0" fontId="11" fillId="0" borderId="1" applyAlignment="1" pivotButton="0" quotePrefix="0" xfId="0">
      <alignment horizontal="center" vertical="top" wrapText="1"/>
    </xf>
    <xf numFmtId="0" fontId="10" fillId="0" borderId="1" applyAlignment="1" pivotButton="0" quotePrefix="0" xfId="0">
      <alignment horizontal="center" vertical="top" wrapText="1"/>
    </xf>
    <xf numFmtId="0" fontId="13" fillId="0" borderId="1" applyAlignment="1" pivotButton="0" quotePrefix="0" xfId="0">
      <alignment horizontal="center" vertical="top" wrapText="1"/>
    </xf>
    <xf numFmtId="0" fontId="14" fillId="0" borderId="1" applyAlignment="1" pivotButton="0" quotePrefix="0" xfId="0">
      <alignment horizontal="general" vertical="bottom"/>
    </xf>
    <xf numFmtId="0" fontId="10" fillId="0" borderId="1" applyAlignment="1" pivotButton="0" quotePrefix="0" xfId="0">
      <alignment horizontal="center" vertical="center"/>
    </xf>
    <xf numFmtId="0" fontId="11" fillId="0" borderId="1" applyAlignment="1" pivotButton="0" quotePrefix="0" xfId="0">
      <alignment horizontal="center" vertical="center"/>
    </xf>
    <xf numFmtId="164" fontId="11" fillId="0" borderId="1" applyAlignment="1" pivotButton="0" quotePrefix="0" xfId="0">
      <alignment horizontal="center" vertical="center"/>
    </xf>
    <xf numFmtId="0" fontId="9" fillId="5" borderId="1" applyAlignment="1" pivotButton="0" quotePrefix="0" xfId="0">
      <alignment horizontal="general" vertical="bottom"/>
    </xf>
    <xf numFmtId="0" fontId="14" fillId="5" borderId="1" applyAlignment="1" pivotButton="0" quotePrefix="0" xfId="0">
      <alignment horizontal="center" vertical="bottom"/>
    </xf>
    <xf numFmtId="0" fontId="0" fillId="5" borderId="1" applyAlignment="1" pivotButton="0" quotePrefix="0" xfId="0">
      <alignment horizontal="center" vertical="bottom"/>
    </xf>
    <xf numFmtId="9" fontId="10" fillId="3" borderId="1" applyAlignment="1" pivotButton="0" quotePrefix="0" xfId="0">
      <alignment horizontal="center" vertical="bottom"/>
    </xf>
    <xf numFmtId="0" fontId="11" fillId="0" borderId="0" applyAlignment="1" pivotButton="0" quotePrefix="0" xfId="0">
      <alignment horizontal="general" vertical="top" wrapText="1"/>
    </xf>
    <xf numFmtId="0" fontId="10" fillId="3" borderId="1" applyAlignment="1" pivotButton="0" quotePrefix="0" xfId="0">
      <alignment horizontal="center" vertical="center"/>
    </xf>
    <xf numFmtId="3" fontId="11" fillId="0" borderId="1" applyAlignment="1" pivotButton="0" quotePrefix="0" xfId="0">
      <alignment horizontal="center" vertical="center"/>
    </xf>
    <xf numFmtId="0" fontId="13" fillId="0" borderId="0" applyAlignment="1" pivotButton="0" quotePrefix="0" xfId="0">
      <alignment horizontal="left" vertical="bottom"/>
    </xf>
    <xf numFmtId="0" fontId="14" fillId="0" borderId="1" applyAlignment="1" pivotButton="0" quotePrefix="0" xfId="0">
      <alignment horizontal="left" vertical="center"/>
    </xf>
    <xf numFmtId="9" fontId="10" fillId="0" borderId="1" applyAlignment="1" pivotButton="0" quotePrefix="0" xfId="0">
      <alignment horizontal="center" vertical="center"/>
    </xf>
    <xf numFmtId="0" fontId="9" fillId="0" borderId="1" applyAlignment="1" pivotButton="0" quotePrefix="0" xfId="0">
      <alignment horizontal="left" vertical="center"/>
    </xf>
    <xf numFmtId="0" fontId="9" fillId="5" borderId="1" applyAlignment="1" pivotButton="0" quotePrefix="0" xfId="0">
      <alignment horizontal="left" vertical="center"/>
    </xf>
    <xf numFmtId="0" fontId="11" fillId="5" borderId="1" applyAlignment="1" pivotButton="0" quotePrefix="0" xfId="0">
      <alignment horizontal="center" vertical="center"/>
    </xf>
    <xf numFmtId="9" fontId="11" fillId="5" borderId="1" applyAlignment="1" pivotButton="0" quotePrefix="0" xfId="0">
      <alignment horizontal="center" vertical="center"/>
    </xf>
    <xf numFmtId="0" fontId="14" fillId="0" borderId="1" applyAlignment="1" pivotButton="0" quotePrefix="0" xfId="0">
      <alignment horizontal="center" vertical="center"/>
    </xf>
    <xf numFmtId="165" fontId="10" fillId="0" borderId="1" applyAlignment="1" pivotButton="0" quotePrefix="0" xfId="0">
      <alignment horizontal="center" vertical="center"/>
    </xf>
    <xf numFmtId="165" fontId="11" fillId="0" borderId="1" applyAlignment="1" pivotButton="0" quotePrefix="0" xfId="0">
      <alignment horizontal="center" vertical="center"/>
    </xf>
    <xf numFmtId="0" fontId="9" fillId="5" borderId="1" applyAlignment="1" pivotButton="0" quotePrefix="0" xfId="0">
      <alignment horizontal="center" vertical="center"/>
    </xf>
    <xf numFmtId="3" fontId="14" fillId="5" borderId="1" applyAlignment="1" pivotButton="0" quotePrefix="0" xfId="0">
      <alignment horizontal="center" vertical="center"/>
    </xf>
    <xf numFmtId="165" fontId="14" fillId="5" borderId="1" applyAlignment="1" pivotButton="0" quotePrefix="0" xfId="0">
      <alignment horizontal="center" vertical="center"/>
    </xf>
    <xf numFmtId="0" fontId="0" fillId="0" borderId="2" pivotButton="0" quotePrefix="0" xfId="0"/>
    <xf numFmtId="0" fontId="0" fillId="0" borderId="3" pivotButton="0" quotePrefix="0" xfId="0"/>
    <xf numFmtId="0" fontId="9"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19" fillId="0" borderId="0" applyAlignment="1" pivotButton="0" quotePrefix="0" xfId="0">
      <alignment horizontal="general" vertical="top" wrapText="1"/>
    </xf>
    <xf numFmtId="0" fontId="22" fillId="4" borderId="1" applyAlignment="1" pivotButton="0" quotePrefix="0" xfId="0">
      <alignment horizontal="center" vertical="center"/>
    </xf>
    <xf numFmtId="0" fontId="22" fillId="4" borderId="1" applyAlignment="1" pivotButton="0" quotePrefix="0" xfId="0">
      <alignment horizontal="general" vertical="center" wrapText="1"/>
    </xf>
    <xf numFmtId="0" fontId="9" fillId="0" borderId="0" applyAlignment="1" pivotButton="0" quotePrefix="0" xfId="0">
      <alignment horizontal="general" vertical="bottom"/>
    </xf>
    <xf numFmtId="3" fontId="14" fillId="0" borderId="0" applyAlignment="1" pivotButton="0" quotePrefix="0" xfId="0">
      <alignment horizontal="general" vertical="bottom"/>
    </xf>
    <xf numFmtId="0" fontId="11" fillId="0" borderId="1" applyAlignment="1" pivotButton="0" quotePrefix="0" xfId="0">
      <alignment horizontal="center" vertical="top" wrapText="1"/>
    </xf>
    <xf numFmtId="0" fontId="13" fillId="0" borderId="1" applyAlignment="1" pivotButton="0" quotePrefix="0" xfId="0">
      <alignment horizontal="center" vertical="top" wrapText="1"/>
    </xf>
    <xf numFmtId="0" fontId="10" fillId="0" borderId="1" applyAlignment="1" pivotButton="0" quotePrefix="0" xfId="0">
      <alignment horizontal="center" vertical="top" wrapText="1"/>
    </xf>
    <xf numFmtId="165" fontId="14" fillId="0" borderId="0" applyAlignment="1" pivotButton="0" quotePrefix="0" xfId="0">
      <alignment horizontal="general" vertical="bottom"/>
    </xf>
    <xf numFmtId="0" fontId="14" fillId="0" borderId="1" applyAlignment="1" pivotButton="0" quotePrefix="0" xfId="0">
      <alignment horizontal="center" vertical="top" wrapText="1"/>
    </xf>
    <xf numFmtId="0" fontId="13" fillId="0" borderId="1" applyAlignment="1" pivotButton="0" quotePrefix="0" xfId="0">
      <alignment horizontal="left" vertical="center"/>
    </xf>
    <xf numFmtId="0" fontId="11" fillId="0" borderId="1" applyAlignment="1" pivotButton="0" quotePrefix="0" xfId="0">
      <alignment horizontal="left" vertical="center"/>
    </xf>
    <xf numFmtId="0" fontId="0" fillId="5" borderId="1" applyAlignment="1" pivotButton="0" quotePrefix="0" xfId="0">
      <alignment horizontal="center" vertical="center"/>
    </xf>
    <xf numFmtId="0" fontId="0" fillId="0" borderId="1" applyAlignment="1" pivotButton="0" quotePrefix="0" xfId="0">
      <alignment horizontal="center" vertical="center"/>
    </xf>
    <xf numFmtId="0" fontId="9"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22" fillId="4" borderId="1" applyAlignment="1" pivotButton="0" quotePrefix="0" xfId="0">
      <alignment horizontal="center" vertical="center" wrapText="1"/>
    </xf>
    <xf numFmtId="0" fontId="14" fillId="0" borderId="1" applyAlignment="1" pivotButton="0" quotePrefix="0" xfId="0">
      <alignment horizontal="center" vertical="center"/>
    </xf>
    <xf numFmtId="0" fontId="10" fillId="0" borderId="1" applyAlignment="1" pivotButton="0" quotePrefix="0" xfId="0">
      <alignment horizontal="center" vertical="center"/>
    </xf>
    <xf numFmtId="0" fontId="9"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9" fillId="0" borderId="0" applyAlignment="1" pivotButton="0" quotePrefix="0" xfId="0">
      <alignment horizontal="general" vertical="top" wrapText="1"/>
    </xf>
    <xf numFmtId="0" fontId="13" fillId="4" borderId="1" applyAlignment="1" pivotButton="0" quotePrefix="0" xfId="0">
      <alignment horizontal="general" vertical="top" wrapText="1"/>
    </xf>
    <xf numFmtId="0" fontId="14" fillId="0" borderId="0" applyAlignment="1" pivotButton="0" quotePrefix="0" xfId="0">
      <alignment horizontal="general" vertical="bottom"/>
    </xf>
    <xf numFmtId="0" fontId="10" fillId="3" borderId="0" applyAlignment="1" pivotButton="0" quotePrefix="0" xfId="0">
      <alignment horizontal="left" vertical="bottom"/>
    </xf>
    <xf numFmtId="0" fontId="0" fillId="0" borderId="0" applyAlignment="1" pivotButton="0" quotePrefix="0" xfId="0">
      <alignment horizontal="left" vertical="bottom"/>
    </xf>
    <xf numFmtId="0" fontId="12"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bgColor rgb="FF9DC3E6"/>
        </patternFill>
      </fill>
    </dxf>
    <dxf>
      <fill>
        <patternFill>
          <bgColor rgb="FFDDEBF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7030A0"/>
      <rgbColor rgb="FFF2F2F2"/>
      <rgbColor rgb="FFDDEBF7"/>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BF8F00"/>
      <rgbColor rgb="FFC55A11"/>
      <rgbColor rgb="FF595959"/>
      <rgbColor rgb="FF969696"/>
      <rgbColor rgb="FF1F3864"/>
      <rgbColor rgb="FF339966"/>
      <rgbColor rgb="FF003300"/>
      <rgbColor rgb="FF333300"/>
      <rgbColor rgb="FF993300"/>
      <rgbColor rgb="FF993366"/>
      <rgbColor rgb="FF2F559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Biblia_de_Personajes_Madrid_v23.xlsx" TargetMode="External" Id="rId1"/></Relationships>
</file>

<file path=xl/worksheets/sheet1.xml><?xml version="1.0" encoding="utf-8"?>
<worksheet xmlns="http://schemas.openxmlformats.org/spreadsheetml/2006/main">
  <sheetPr filterMode="0">
    <tabColor rgb="FF1F3864"/>
    <outlinePr summaryBelow="1" summaryRight="1"/>
    <pageSetUpPr fitToPage="1"/>
  </sheetPr>
  <dimension ref="A1:D4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0" min="1" max="1"/>
    <col width="30" customWidth="1" style="80" min="2" max="2"/>
    <col width="24" customWidth="1" style="80" min="3" max="3"/>
    <col width="78" customWidth="1" style="80" min="4" max="4"/>
  </cols>
  <sheetData>
    <row r="1" ht="24" customHeight="1" s="81">
      <c r="A1" s="82" t="inlineStr">
        <is>
          <t>Madrid 스페인어 낭독 교재 — 캐릭터 바이블 (Biblia de Personajes)</t>
        </is>
      </c>
    </row>
    <row r="2" ht="15" customHeight="1" s="81">
      <c r="A2" s="83" t="inlineStr">
        <is>
          <t>v20.0 · 2026-09-22 · 마드리드 배경 13부작 옴니버스(156화) · 1·2부 전체(24화) 대본 완성 · 화당 120턴</t>
        </is>
      </c>
      <c r="C2" s="80" t="inlineStr">
        <is>
          <t>v26.0 · 2026-09-25 · 마드리드 배경 13부작 옴니버스(156화) · 1~8부 전체(96화) + 9부 1화 완성 · 1~6부 화당 120턴 · 7부부터 화당 180턴 · 다음: 9부 2화 · 다른 대화창에서 이어 쓰려면 '이어쓰기_가이드' 시트부터</t>
        </is>
      </c>
    </row>
    <row r="4" ht="15" customHeight="1" s="81">
      <c r="B4" s="84" t="inlineStr">
        <is>
          <t>기본 설정</t>
        </is>
      </c>
      <c r="C4" s="85" t="n"/>
      <c r="D4" s="85" t="n"/>
    </row>
    <row r="5" ht="42" customHeight="1" s="81">
      <c r="B5" s="86" t="inlineStr">
        <is>
          <t>부 수</t>
        </is>
      </c>
      <c r="C5" s="87" t="n">
        <v>13</v>
      </c>
      <c r="D5" s="88" t="inlineStr">
        <is>
          <t>1 사무소(개소 1개월 후, 6사건×2화) → 2~5 각자의 과거 → 6 만남 → 7 전면전 → 8 창당 → 9 시의회·자치의회 → 10 총선·총리 선출 → 11 국정 I(브뤼셀·Anselmo 사망) → 12 국정 II(장례·메모 승계) → 13 귀환(원형 구조)</t>
        </is>
      </c>
    </row>
    <row r="6" ht="16.5" customHeight="1" s="81">
      <c r="B6" s="86" t="inlineStr">
        <is>
          <t>부당 화 수</t>
        </is>
      </c>
      <c r="C6" s="87" t="n">
        <v>12</v>
      </c>
      <c r="D6" s="89" t="inlineStr">
        <is>
          <t>각 부 12화</t>
        </is>
      </c>
    </row>
    <row r="7" ht="16.5" customHeight="1" s="81">
      <c r="B7" s="86" t="inlineStr">
        <is>
          <t>총 화 수</t>
        </is>
      </c>
      <c r="C7" s="90">
        <f>C5*C6</f>
        <v/>
      </c>
      <c r="D7" s="89" t="inlineStr">
        <is>
          <t>부 수 × 부당 화 수 (자동 계산)</t>
        </is>
      </c>
    </row>
    <row r="8" ht="16.5" customHeight="1" s="81">
      <c r="B8" s="86" t="inlineStr">
        <is>
          <t>등장인물 수</t>
        </is>
      </c>
      <c r="C8" s="90">
        <f>COUNTA(캐릭터!$D$5:$D$19)</f>
        <v/>
      </c>
      <c r="D8" s="89" t="inlineStr">
        <is>
          <t>캐릭터 시트의 약칭 개수</t>
        </is>
      </c>
    </row>
    <row r="9" ht="16.5" customHeight="1" s="81">
      <c r="B9" s="86" t="inlineStr">
        <is>
          <t>남성 인물 수</t>
        </is>
      </c>
      <c r="C9" s="90">
        <f>COUNTIF(캐릭터!$G$5:$G$19,"남")</f>
        <v/>
      </c>
      <c r="D9" s="89" t="inlineStr">
        <is>
          <t>음색이 다양할수록 화자 구분이 쉬워 남 9 : 여 6으로 배분</t>
        </is>
      </c>
    </row>
    <row r="10" ht="16.5" customHeight="1" s="81">
      <c r="B10" s="86" t="inlineStr">
        <is>
          <t>여성 인물 수</t>
        </is>
      </c>
      <c r="C10" s="90">
        <f>COUNTIF(캐릭터!$G$5:$G$19,"여")</f>
        <v/>
      </c>
      <c r="D10" s="88" t="n"/>
    </row>
    <row r="11" ht="29.25" customHeight="1" s="81">
      <c r="B11" s="91" t="inlineStr">
        <is>
          <t>1부→11부 경과 연수 (가정)</t>
        </is>
      </c>
      <c r="C11" s="92" t="n">
        <v>6</v>
      </c>
      <c r="D11" s="89" t="inlineStr">
        <is>
          <t>가정값: Anselmo가 1부 74세 → 11부 약 80세가 되도록 잡음. 확정 시 이 셀만 수정하면 캐릭터 시트의 나이가 자동 갱신. (캐릭터 시트 '나이(11부)' 열)</t>
        </is>
      </c>
    </row>
    <row r="12" ht="16.5" customHeight="1" s="81">
      <c r="B12" s="86" t="inlineStr">
        <is>
          <t>배경·언어</t>
        </is>
      </c>
      <c r="C12" s="89" t="inlineStr">
        <is>
          <t>마드리드</t>
        </is>
      </c>
      <c r="D12" s="89" t="inlineStr">
        <is>
          <t>스페인 본토 스페인어: 친한 사이 vosotros, 공식 석상은 ustedes / señorías.</t>
        </is>
      </c>
    </row>
    <row r="13" ht="29.25" customHeight="1" s="81">
      <c r="B13" s="86" t="inlineStr">
        <is>
          <t>형식</t>
        </is>
      </c>
      <c r="C13" s="89" t="inlineStr">
        <is>
          <t>전 화 100% 대화문, 화당 120턴(7부부터 180턴, 8·9부도 180턴 유지)</t>
        </is>
      </c>
      <c r="D13" s="88">
        <f>"지문(Narración) 없음. 화당 "&amp;턴_설계!$B$5&amp;"턴 × "&amp;C7&amp;"화 = "&amp;TEXT(C7*턴_설계!$B$5,"#,##0")&amp;"턴. 상세는 '대화문규칙'·'턴_설계' 시트."</f>
        <v/>
      </c>
    </row>
    <row r="15" ht="15" customHeight="1" s="81">
      <c r="B15" s="84" t="inlineStr">
        <is>
          <t>그룹별 인원</t>
        </is>
      </c>
      <c r="C15" s="85" t="n"/>
      <c r="D15" s="85" t="n"/>
    </row>
    <row r="16" ht="16.5" customHeight="1" s="81">
      <c r="B16" s="93" t="inlineStr">
        <is>
          <t>주력 4인</t>
        </is>
      </c>
      <c r="C16" s="90">
        <f>COUNTIF(캐릭터!$B$5:$B$19,B16)</f>
        <v/>
      </c>
      <c r="D16" s="88" t="inlineStr">
        <is>
          <t>Mateo(변호사) · Javier(의사) · Sofía(회계사) · Diego(컨설턴트)</t>
        </is>
      </c>
    </row>
    <row r="17" ht="29.25" customHeight="1" s="81">
      <c r="B17" s="93" t="inlineStr">
        <is>
          <t>올드보이 자문단</t>
        </is>
      </c>
      <c r="C17" s="90">
        <f>COUNTIF(캐릭터!$B$5:$B$19,B17)</f>
        <v/>
      </c>
      <c r="D17" s="88" t="inlineStr">
        <is>
          <t>Anselmo(외교관) · Ramón(장군) · Raimundo(전 CNI) · Inés(기자) · Lucía(심리학자)  ※ La Vieja Guardia = Anselmo · Ramón · Raimundo</t>
        </is>
      </c>
    </row>
    <row r="18" ht="16.5" customHeight="1" s="81">
      <c r="B18" s="93" t="inlineStr">
        <is>
          <t>서민·청년</t>
        </is>
      </c>
      <c r="C18" s="90">
        <f>COUNTIF(캐릭터!$B$5:$B$19,B18)</f>
        <v/>
      </c>
      <c r="D18" s="88" t="inlineStr">
        <is>
          <t>Pepa(바 사장) · Nieves(노조위원장) · Tomás(작가 지망생) · Carmen(인턴)</t>
        </is>
      </c>
    </row>
    <row r="19" ht="16.5" customHeight="1" s="81">
      <c r="B19" s="93" t="inlineStr">
        <is>
          <t>금융</t>
        </is>
      </c>
      <c r="C19" s="90">
        <f>COUNTIF(캐릭터!$B$5:$B$19,B19)</f>
        <v/>
      </c>
      <c r="D19" s="88" t="inlineStr">
        <is>
          <t>Gonzalo(전 은행 지점장)</t>
        </is>
      </c>
    </row>
    <row r="20" ht="15" customHeight="1" s="81">
      <c r="B20" s="93" t="inlineStr">
        <is>
          <t>특별 인물</t>
        </is>
      </c>
      <c r="C20" s="90">
        <f>COUNTIF(캐릭터!$B$5:$B$19,B20)</f>
        <v/>
      </c>
      <c r="D20" s="88" t="inlineStr">
        <is>
          <t>Cervantes(부활한 소설가, 3부부터 사무소 합류)</t>
        </is>
      </c>
    </row>
    <row r="22" ht="15" customHeight="1" s="81">
      <c r="B22" s="84" t="inlineStr">
        <is>
          <t>시트 안내 (클릭하면 이동)</t>
        </is>
      </c>
      <c r="C22" s="85" t="n"/>
      <c r="D22" s="85" t="n"/>
    </row>
    <row r="23" ht="15" customHeight="1" s="81">
      <c r="B23" s="94" t="inlineStr">
        <is>
          <t>캐릭터</t>
        </is>
      </c>
      <c r="C23" s="95" t="inlineStr">
        <is>
          <t>기준표</t>
        </is>
      </c>
      <c r="D23" s="88" t="inlineStr">
        <is>
          <t>15인의 이름·나이·결핍·말투·시그니처·낭독 포인트·대화문 장치·직책·현안 담당</t>
        </is>
      </c>
    </row>
    <row r="24" ht="15" customHeight="1" s="81">
      <c r="B24" s="94" t="inlineStr">
        <is>
          <t>등장비중</t>
        </is>
      </c>
      <c r="C24" s="95" t="inlineStr">
        <is>
          <t>기준표</t>
        </is>
      </c>
      <c r="D24" s="88" t="inlineStr">
        <is>
          <t>13부 배분표, 합계·비중·등급(수식), 조연 단독 중심 화 목표</t>
        </is>
      </c>
    </row>
    <row r="25" ht="29.25" customHeight="1" s="81">
      <c r="B25" s="94" t="inlineStr">
        <is>
          <t>턴_설계</t>
        </is>
      </c>
      <c r="C25" s="95" t="inlineStr">
        <is>
          <t>기준표</t>
        </is>
      </c>
      <c r="D25" s="89" t="inlineStr">
        <is>
          <t>화당 120턴 설계: 부별 화자 점유율(턴 기준), 평균 단어/턴, 화당 단어·낭독 시간(수식), 화 유형별 턴 구성, 집필 규칙</t>
        </is>
      </c>
    </row>
    <row r="26" ht="15" customHeight="1" s="81">
      <c r="B26" s="96" t="inlineStr">
        <is>
          <t>12부_구성</t>
        </is>
      </c>
      <c r="C26" s="95" t="inlineStr">
        <is>
          <t>구조</t>
        </is>
      </c>
      <c r="D26" s="88" t="inlineStr">
        <is>
          <t>12부 한눈에 보기: 배경·핵심 내용·난이도(CEFR)·반영 제도</t>
        </is>
      </c>
    </row>
    <row r="27" ht="15" customHeight="1" s="81">
      <c r="B27" s="94" t="inlineStr">
        <is>
          <t>아크_구성계획</t>
        </is>
      </c>
      <c r="C27" s="95" t="inlineStr">
        <is>
          <t>구성 계획</t>
        </is>
      </c>
      <c r="D27" s="88" t="inlineStr">
        <is>
          <t>1~12부 아크별 구성 계획: 서사 기능·로그라인·비트·인물 아크·복선·현안·언어 설계</t>
        </is>
      </c>
    </row>
    <row r="28" ht="15" customHeight="1" s="81">
      <c r="B28" s="94" t="inlineStr">
        <is>
          <t>화별목차_전체</t>
        </is>
      </c>
      <c r="C28" s="95" t="inlineStr">
        <is>
          <t>목차</t>
        </is>
      </c>
      <c r="D28" s="88" t="inlineStr">
        <is>
          <t>1~12부 144화의 서사 기능·제목·핵심 사건·반영 제도·인물·현안 (필터 가능)</t>
        </is>
      </c>
    </row>
    <row r="29" ht="15" customHeight="1" s="81">
      <c r="B29" s="94" t="inlineStr">
        <is>
          <t>복선_회수</t>
        </is>
      </c>
      <c r="C29" s="95" t="inlineStr">
        <is>
          <t>구성 계획</t>
        </is>
      </c>
      <c r="D29" s="89" t="inlineStr">
        <is>
          <t>복선 설치→회수 50건과 간격(부)을 수식으로 계산 (34~50번: 5·6부 신규, 회수 완료분은 H열에 표시)</t>
        </is>
      </c>
    </row>
    <row r="30" ht="15" customHeight="1" s="81">
      <c r="B30" s="94" t="inlineStr">
        <is>
          <t>현안_배치</t>
        </is>
      </c>
      <c r="C30" s="95" t="inlineStr">
        <is>
          <t>현안</t>
        </is>
      </c>
      <c r="D30" s="89" t="inlineStr">
        <is>
          <t>스페인 현안 15개를 어느 화에 어떻게 녹일지 배치, 균형 유의, 현실 기준값</t>
        </is>
      </c>
    </row>
    <row r="31" ht="15" customHeight="1" s="81">
      <c r="B31" s="94" t="inlineStr">
        <is>
          <t>현안_분포</t>
        </is>
      </c>
      <c r="C31" s="95" t="inlineStr">
        <is>
          <t>현안</t>
        </is>
      </c>
      <c r="D31" s="89" t="inlineStr">
        <is>
          <t>부 × 현안 분포표: 전용 화(●)와 곁가지(○)를 수식으로 집계</t>
        </is>
      </c>
    </row>
    <row r="32" ht="15" customHeight="1" s="81">
      <c r="B32" s="94" t="inlineStr">
        <is>
          <t>정치제도</t>
        </is>
      </c>
      <c r="C32" s="95" t="inlineStr">
        <is>
          <t>현실 제도</t>
        </is>
      </c>
      <c r="D32" s="89" t="inlineStr">
        <is>
          <t>정당·선거·의회·정부·자치주·사법·EU 제도 기준표 (확인 상태 표시)</t>
        </is>
      </c>
    </row>
    <row r="33" ht="15" customHeight="1" s="81">
      <c r="B33" s="94" t="inlineStr">
        <is>
          <t>정치경로_의석</t>
        </is>
      </c>
      <c r="C33" s="95" t="inlineStr">
        <is>
          <t>현실 제도</t>
        </is>
      </c>
      <c r="D33" s="89" t="inlineStr">
        <is>
          <t>창당→총리 경로와 가상 의석·표결 시뮬레이션(수식): investidura 1·2차, 불신임안</t>
        </is>
      </c>
    </row>
    <row r="34" ht="15" customHeight="1" s="81">
      <c r="B34" s="94" t="inlineStr">
        <is>
          <t>호칭규칙</t>
        </is>
      </c>
      <c r="C34" s="95" t="inlineStr">
        <is>
          <t>규칙</t>
        </is>
      </c>
      <c r="D34" s="88" t="inlineStr">
        <is>
          <t>tú / usted / vosotros / ustedes, 의회·국왕·시의회 공식 호칭</t>
        </is>
      </c>
    </row>
    <row r="35" ht="15" customHeight="1" s="81">
      <c r="B35" s="96" t="inlineStr">
        <is>
          <t>Carmen_폭발과욕</t>
        </is>
      </c>
      <c r="C35" s="95" t="inlineStr">
        <is>
          <t>규칙</t>
        </is>
      </c>
      <c r="D35" s="89" t="inlineStr">
        <is>
          <t>폭발 2회 배치, 3단계 계단, 폭발 직후 반응(대사판), 욕 배정</t>
        </is>
      </c>
    </row>
    <row r="36" ht="15" customHeight="1" s="81">
      <c r="B36" s="96" t="inlineStr">
        <is>
          <t>Anselmo_죽음</t>
        </is>
      </c>
      <c r="C36" s="95" t="inlineStr">
        <is>
          <t>스토리</t>
        </is>
      </c>
      <c r="D36" s="89" t="inlineStr">
        <is>
          <t>심술 영감 + 시한부 설정, 복선 타임라인 (11부 6화 사망, 12부 유언장)</t>
        </is>
      </c>
    </row>
    <row r="37" ht="15" customHeight="1" s="81">
      <c r="B37" s="96" t="inlineStr">
        <is>
          <t>Raimundo_출처</t>
        </is>
      </c>
      <c r="C37" s="95" t="inlineStr">
        <is>
          <t>스토리</t>
        </is>
      </c>
      <c r="D37" s="89" t="inlineStr">
        <is>
          <t>침묵 대신 '출처 안내' — 서가 4칸, 주제별 출처표, 카드 구술 템플릿</t>
        </is>
      </c>
    </row>
    <row r="38" ht="15" customHeight="1" s="81">
      <c r="B38" s="94" t="inlineStr">
        <is>
          <t>대화문규칙</t>
        </is>
      </c>
      <c r="C38" s="95" t="inlineStr">
        <is>
          <t>규칙</t>
        </is>
      </c>
      <c r="D38" s="89" t="inlineStr">
        <is>
          <t>전 화 100% 대화문 원칙, 지문 → 대사 대체표, 현안을 다루는 법, 문장 길이·분량 기준</t>
        </is>
      </c>
    </row>
    <row r="39" ht="15" customHeight="1" s="81">
      <c r="B39" s="96" t="inlineStr">
        <is>
          <t>1부_시범대사</t>
        </is>
      </c>
      <c r="C39" s="95" t="inlineStr">
        <is>
          <t>샘플</t>
        </is>
      </c>
      <c r="D39" s="88" t="inlineStr">
        <is>
          <t>Carmen 1차 폭발 장면을 지문 없이 대사로만 쓴 B1 시범 (단어 수 자동 점검)</t>
        </is>
      </c>
    </row>
    <row r="40" ht="15" customHeight="1" s="81">
      <c r="B40" s="94" t="inlineStr">
        <is>
          <t>변경이력_미결</t>
        </is>
      </c>
      <c r="C40" s="95" t="inlineStr">
        <is>
          <t>관리</t>
        </is>
      </c>
      <c r="D40" s="89" t="inlineStr">
        <is>
          <t>지금까지의 변경 이력과 확정이 필요한 미결 사항</t>
        </is>
      </c>
    </row>
    <row r="41" ht="29.25" customHeight="1" s="81">
      <c r="B41" s="94" t="inlineStr">
        <is>
          <t>이어쓰기_가이드</t>
        </is>
      </c>
      <c r="C41" s="95" t="inlineStr">
        <is>
          <t>관리</t>
        </is>
      </c>
      <c r="D41" s="89" t="inlineStr">
        <is>
          <t>새 대화창 인수인계: 진행 상황, docx 형식, 화자 색, 5·6부 확정 설정·수치, 호칭 현황, 7부 집필 메모(Picasso 합류), 5·6부 가상 인물 부록</t>
        </is>
      </c>
    </row>
    <row r="42" ht="15" customHeight="1" s="81">
      <c r="B42" s="84" t="inlineStr">
        <is>
          <t>범례</t>
        </is>
      </c>
      <c r="C42" s="85" t="n"/>
      <c r="D42" s="85" t="n"/>
    </row>
    <row r="43" ht="15" customHeight="1" s="81">
      <c r="B43" s="97" t="inlineStr">
        <is>
          <t>파란 글씨</t>
        </is>
      </c>
      <c r="C43" s="95" t="inlineStr">
        <is>
          <t>직접 입력한 값 (수정 가능)</t>
        </is>
      </c>
      <c r="D43" s="98" t="n"/>
    </row>
    <row r="44" ht="15" customHeight="1" s="81">
      <c r="B44" s="99" t="inlineStr">
        <is>
          <t>노란 배경</t>
        </is>
      </c>
      <c r="C44" s="95" t="inlineStr">
        <is>
          <t>가정 · 확정이 필요한 값</t>
        </is>
      </c>
      <c r="D44" s="98" t="n"/>
    </row>
    <row r="45" ht="15" customHeight="1" s="81">
      <c r="B45" s="95" t="inlineStr">
        <is>
          <t>검정 글씨</t>
        </is>
      </c>
      <c r="C45" s="95" t="inlineStr">
        <is>
          <t>수식으로 계산되는 값 (직접 수정하지 말 것)</t>
        </is>
      </c>
      <c r="D45" s="98" t="n"/>
    </row>
    <row r="47" ht="15" customHeight="1" s="81">
      <c r="B47" s="100" t="inlineStr">
        <is>
          <t>주의: 성별·나이·기관명은 기획용 가상 설정입니다. 법령 번호·조항은 교재에 넣기 전에 BOE(boe.es)의 현행 텍스트(texto consolidado)로 확인하세요.</t>
        </is>
      </c>
    </row>
  </sheetData>
  <hyperlinks>
    <hyperlink ref="B23" location="'캐릭터'!A1" display="캐릭터"/>
    <hyperlink ref="B24" location="'등장비중'!A1" display="등장비중"/>
    <hyperlink ref="B25" location="'턴_설계'!A1" display="턴_설계"/>
    <hyperlink ref="B26" location="'12부_구성'!A1" display="12부_구성"/>
    <hyperlink ref="B27" location="'아크_구성계획'!A1" display="아크_구성계획"/>
    <hyperlink ref="B28" location="'화별목차_전체'!A1" display="화별목차_전체"/>
    <hyperlink ref="B29" location="'복선_회수'!A1" display="복선_회수"/>
    <hyperlink ref="B30" location="'현안_배치'!A1" display="현안_배치"/>
    <hyperlink ref="B31" location="'현안_분포'!A1" display="현안_분포"/>
    <hyperlink ref="B32" location="'정치제도'!A1" display="정치제도"/>
    <hyperlink ref="B33" location="'정치경로_의석'!A1" display="정치경로_의석"/>
    <hyperlink ref="B34" location="'호칭규칙'!A1" display="호칭규칙"/>
    <hyperlink ref="B35" location="'Carmen_폭발과욕'!A1" display="Carmen_폭발과욕"/>
    <hyperlink ref="B36" location="'Anselmo_죽음'!A1" display="Anselmo_죽음"/>
    <hyperlink ref="B37" location="'Raimundo_출처'!A1" display="Raimundo_출처"/>
    <hyperlink ref="B38" location="'대화문규칙'!A1" display="대화문규칙"/>
    <hyperlink ref="B39" location="'1부_시범대사'!A1" display="1부_시범대사"/>
    <hyperlink ref="B40" location="'변경이력_미결'!A1" display="변경이력_미결"/>
    <hyperlink xmlns:r="http://schemas.openxmlformats.org/officeDocument/2006/relationships" ref="B41" location="'이어쓰기_가이드'!A1" display="이어쓰기_가이드" r:id="rId1"/>
  </hyperlink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4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80" min="1" max="1"/>
    <col width="80" customWidth="1" style="80" min="2" max="2"/>
    <col width="44" customWidth="1" style="80" min="3" max="3"/>
  </cols>
  <sheetData>
    <row r="1" ht="17.25" customHeight="1" s="81">
      <c r="A1" s="101" t="inlineStr">
        <is>
          <t>이어쓰기 가이드 — 새 대화창에서 이어 쓰기</t>
        </is>
      </c>
    </row>
    <row r="2" ht="15" customHeight="1" s="81">
      <c r="A2" s="83" t="inlineStr">
        <is>
          <t>v26.0 · 2026-09-25 기준. 새 대화창에서는 이 시트를 먼저 읽고, '시작 방법'대로 파일을 올린다.</t>
        </is>
      </c>
    </row>
    <row r="5" ht="15" customHeight="1" s="81">
      <c r="A5" s="102" t="inlineStr">
        <is>
          <t>1. 진행 상황</t>
        </is>
      </c>
      <c r="B5" s="85" t="n"/>
      <c r="C5" s="85" t="n"/>
    </row>
    <row r="6" ht="15" customHeight="1" s="81">
      <c r="A6" s="103" t="inlineStr">
        <is>
          <t>항목</t>
        </is>
      </c>
      <c r="B6" s="103" t="inlineStr">
        <is>
          <t>내용</t>
        </is>
      </c>
      <c r="C6" s="103" t="inlineStr">
        <is>
          <t>비고</t>
        </is>
      </c>
    </row>
    <row r="7" ht="15" customHeight="1" s="81">
      <c r="A7" s="86" t="inlineStr">
        <is>
          <t>완성</t>
        </is>
      </c>
      <c r="B7" s="88" t="inlineStr">
        <is>
          <t>1~8부 전체 96화 + 9부 1화 (총 97화)</t>
        </is>
      </c>
      <c r="C7" s="88" t="inlineStr">
        <is>
          <t>7부 대본: 7부N화_*.docx (N=1~12, 8~12화는 v26 작업분) · 8부: 8부N화_*.docx (N=1~12) · 9부: 9부1화_La_constitucion_de_la_Corporacion.docx</t>
        </is>
      </c>
    </row>
    <row r="8" ht="15" customHeight="1" s="81">
      <c r="A8" s="86" t="inlineStr">
        <is>
          <t>다음 작업</t>
        </is>
      </c>
      <c r="B8" s="88" t="inlineStr">
        <is>
          <t>9부 2화 「El primer Pleno」 — 화별목차_전체 9부 2행 + 아래 11번 9부 집필 메모</t>
        </is>
      </c>
      <c r="C8" s="88" t="inlineStr">
        <is>
          <t>9부 2화 도입(22턴) 초안만 작성된 상태에서 중단 — 새로 쓰거나 이어 쓰기</t>
        </is>
      </c>
    </row>
    <row r="9" ht="29.25" customHeight="1" s="81">
      <c r="A9" s="86" t="inlineStr">
        <is>
          <t>시간 구조</t>
        </is>
      </c>
      <c r="B9" s="88" t="inlineStr">
        <is>
          <t>6부(약 1년 전) → 6부 12화 «Mañana, a las cinco» → 1부 1화(개소 1개월 후) → 2~5부 프레임(1부 직후 금요일들) → 7부</t>
        </is>
      </c>
      <c r="C9" s="88" t="inlineStr">
        <is>
          <t>6부 11화 제비뽑기 순서 Mateo→Javier→Sofía→Diego가 2~5부 프레임 순서</t>
        </is>
      </c>
    </row>
    <row r="10" ht="15" customHeight="1" s="81">
      <c r="A10" s="86" t="inlineStr">
        <is>
          <t>워크북 갱신 방침</t>
        </is>
      </c>
      <c r="B10" s="89" t="inlineStr">
        <is>
          <t>부가 끝날 때 또는 요청 시 갱신</t>
        </is>
      </c>
      <c r="C10" s="88" t="inlineStr">
        <is>
          <t>v25 = 7부 1~5화 반영 + 턴 120→180 · v26 = 7부 8~12화·8부 전체·9부 1화 반영, 색·가상 인물·복선·의석 보강</t>
        </is>
      </c>
    </row>
    <row r="12" ht="15" customHeight="1" s="81">
      <c r="A12" s="102" t="inlineStr">
        <is>
          <t>2. 새 대화창 시작 방법</t>
        </is>
      </c>
      <c r="B12" s="85" t="n"/>
      <c r="C12" s="85" t="n"/>
    </row>
    <row r="13" ht="15" customHeight="1" s="81">
      <c r="A13" s="103" t="inlineStr">
        <is>
          <t>순서</t>
        </is>
      </c>
      <c r="B13" s="103" t="inlineStr">
        <is>
          <t>내용</t>
        </is>
      </c>
      <c r="C13" s="103" t="inlineStr">
        <is>
          <t>비고</t>
        </is>
      </c>
    </row>
    <row r="14" ht="29.25" customHeight="1" s="81">
      <c r="A14" s="86" t="inlineStr">
        <is>
          <t>① 올릴 파일</t>
        </is>
      </c>
      <c r="B14" s="89" t="inlineStr">
        <is>
          <t>이 워크북(v26) + 형식 틀 docx 1편(예: 9부1화_La_constitucion_de_la_Corporacion.docx 또는 7부7화_Represalias.docx)</t>
        </is>
      </c>
      <c r="C14" s="88" t="inlineStr">
        <is>
          <t>7부부터는 프레임 없는 본편 → 직전 화 docx를 틀로. 연속성이 중요하면 직전 2~3화도 함께</t>
        </is>
      </c>
    </row>
    <row r="15" ht="15" customHeight="1" s="81">
      <c r="A15" s="86" t="inlineStr">
        <is>
          <t>② 요청 예시</t>
        </is>
      </c>
      <c r="B15" s="88" t="inlineStr">
        <is>
          <t>"7부 1화 만들어. 형식은 첨부한 6부12화 docx와 똑같이. 설정은 워크북 이어쓰기_가이드 참고."</t>
        </is>
      </c>
      <c r="C15" s="88" t="n"/>
    </row>
    <row r="16" ht="29.25" customHeight="1" s="81">
      <c r="A16" s="86" t="inlineStr">
        <is>
          <t>③ 작업 방식</t>
        </is>
      </c>
      <c r="B16" s="89" t="inlineStr">
        <is>
          <t>틀 docx 패키지(스타일·머리글·바닥글)를 복사해 document.xml 본문만 새로 생성. 머리글 «Madrid — N부 · N화 · 제목»과 core.xml 제목만 교체</t>
        </is>
      </c>
      <c r="C16" s="88" t="inlineStr">
        <is>
          <t>5·6부 24편 모두 이 방식</t>
        </is>
      </c>
    </row>
    <row r="17" ht="29.25" customHeight="1" s="81">
      <c r="A17" s="86" t="inlineStr">
        <is>
          <t>④ 점검</t>
        </is>
      </c>
      <c r="B17" s="88" t="inlineStr">
        <is>
          <t>1~6부: 120턴(15·30·30·30·15) · 7~9부: 180턴(표준 22·45·45·45·23, 8부는 사용자 확정, 9부 1화도 180) · 같은 화자 연속 없음(섹션 경계 포함) · 대사 약 22단어 이하(낭독 턴 예외: 기사·조문·선서문·연설) · 한국어 대역 누락 없음 · docx 유효성 검사</t>
        </is>
      </c>
      <c r="C17" s="89" t="inlineStr">
        <is>
          <t>화자명에 악센트가 있으면(RAMÓN 등) 턴 수 셀 때 정규식에 포함 · 7부 표지 «대사 180턴»으로 표기</t>
        </is>
      </c>
    </row>
    <row r="19" ht="15" customHeight="1" s="81">
      <c r="A19" s="102" t="inlineStr">
        <is>
          <t>3. 대본 docx 형식 사양</t>
        </is>
      </c>
      <c r="B19" s="85" t="n"/>
      <c r="C19" s="85" t="n"/>
    </row>
    <row r="20" ht="15" customHeight="1" s="81">
      <c r="A20" s="103" t="inlineStr">
        <is>
          <t>요소</t>
        </is>
      </c>
      <c r="B20" s="103" t="inlineStr">
        <is>
          <t>사양</t>
        </is>
      </c>
      <c r="C20" s="103" t="inlineStr">
        <is>
          <t>비고</t>
        </is>
      </c>
    </row>
    <row r="21" ht="15" customHeight="1" s="81">
      <c r="A21" s="86" t="inlineStr">
        <is>
          <t>파일명</t>
        </is>
      </c>
      <c r="B21" s="88" t="inlineStr">
        <is>
          <t>N부M화_Titulo_con_guiones.docx (악센트 제거)</t>
        </is>
      </c>
      <c r="C21" s="89" t="inlineStr">
        <is>
          <t>예: 6부12화_El_rotulo.docx</t>
        </is>
      </c>
    </row>
    <row r="22" ht="43.5" customHeight="1" s="81">
      <c r="A22" s="86" t="inlineStr">
        <is>
          <t>표지</t>
        </is>
      </c>
      <c r="B22" s="88" t="inlineStr">
        <is>
          <t>MADRID / 스페인어 낭독 교재 / N부 · M화 / 제목(굵은 이탤릭 20pt, 1F3864) / 부제 / «대사 N턴 · 난이도 … · 배경: …»(N=120, 7부부터 180) / «지문 없이 대사만으로 구성 · 스페인어 본문 + 한국어 대역» / 등장인물(이름 굵게 + 설명) / ※ 도입 설명(표현 초점 포함 가능)</t>
        </is>
      </c>
      <c r="C22" s="89" t="inlineStr">
        <is>
          <t>부제 — 본편: «한국어 제목 · 시점, 장소» / 프레임: «한국어 제목 · 프레임 — N부의 N번째 금요일»</t>
        </is>
      </c>
    </row>
    <row r="23" ht="29.25" customHeight="1" s="81">
      <c r="A23" s="86" t="inlineStr">
        <is>
          <t>섹션</t>
        </is>
      </c>
      <c r="B23" s="88" t="inlineStr">
        <is>
          <t>«도입 — …», «장면 1 — …», «장면 2 — …», «장면 3 — …», «마무리 — …» (스페인어 대문자). 남색 굵게 12pt + 밑줄</t>
        </is>
      </c>
      <c r="C23" s="89" t="inlineStr">
        <is>
          <t>턴 수로 경계를 잡되, 경계 앞뒤 같은 화자 금지</t>
        </is>
      </c>
    </row>
    <row r="24" ht="29.25" customHeight="1" s="81">
      <c r="A24" s="86" t="inlineStr">
        <is>
          <t>대사 1턴</t>
        </is>
      </c>
      <c r="B24" s="89" t="inlineStr">
        <is>
          <t>① 화자명(대문자, 굵게, 화자 색, 10pt) + 공백 3칸 + 스페인어(11pt, 1A1A1A) ② 한국어 대역(9pt, 808080 이탤릭), 들여쓰기 200</t>
        </is>
      </c>
      <c r="C24" s="89" t="inlineStr">
        <is>
          <t>지문 없음 — 시간·장소는 대사로 (Pepa·Ramón의 «Informo»가 주로 담당)</t>
        </is>
      </c>
    </row>
    <row r="25" ht="15" customHeight="1" s="81">
      <c r="A25" s="86" t="inlineStr">
        <is>
          <t>마지막 쪽</t>
        </is>
      </c>
      <c r="B25" s="89" t="inlineStr">
        <is>
          <t>쪽 나눔 → «다음 화 예고» + 한 줄</t>
        </is>
      </c>
      <c r="C25" s="89" t="inlineStr">
        <is>
          <t>부의 마지막 화는 다음 부 1화를 예고</t>
        </is>
      </c>
    </row>
    <row r="26" ht="15" customHeight="1" s="81">
      <c r="A26" s="86" t="inlineStr">
        <is>
          <t>난이도</t>
        </is>
      </c>
      <c r="B26" s="88" t="inlineStr">
        <is>
          <t>1부 B1 · 2~5부 B2~C1 · 6부 B2 · 7부 이후 아크_구성계획 기준</t>
        </is>
      </c>
      <c r="C26" s="88" t="inlineStr">
        <is>
          <t>6부 화별 표현 초점을 ※ 줄에 적음</t>
        </is>
      </c>
    </row>
    <row r="28" ht="15" customHeight="1" s="81">
      <c r="A28" s="102" t="inlineStr">
        <is>
          <t>4. 화자 색 (7부부터 고정 팔레트)</t>
        </is>
      </c>
      <c r="B28" s="85" t="n"/>
      <c r="C28" s="85" t="n"/>
    </row>
    <row r="29" ht="15" customHeight="1" s="81">
      <c r="A29" s="103" t="inlineStr">
        <is>
          <t>화자</t>
        </is>
      </c>
      <c r="B29" s="103" t="inlineStr">
        <is>
          <t>색 (hex)</t>
        </is>
      </c>
      <c r="C29" s="103" t="inlineStr">
        <is>
          <t>비고</t>
        </is>
      </c>
    </row>
    <row r="30" ht="15" customHeight="1" s="81">
      <c r="A30" s="91" t="inlineStr">
        <is>
          <t>DIEGO</t>
        </is>
      </c>
      <c r="B30" s="88" t="inlineStr">
        <is>
          <t>2E75B6</t>
        </is>
      </c>
      <c r="C30" s="88" t="n"/>
    </row>
    <row r="31" ht="15" customHeight="1" s="81">
      <c r="A31" s="91" t="inlineStr">
        <is>
          <t>MATEO</t>
        </is>
      </c>
      <c r="B31" s="88" t="inlineStr">
        <is>
          <t>C55A11</t>
        </is>
      </c>
      <c r="C31" s="88" t="n"/>
    </row>
    <row r="32" ht="15" customHeight="1" s="81">
      <c r="A32" s="91" t="inlineStr">
        <is>
          <t>JAVIER</t>
        </is>
      </c>
      <c r="B32" s="88" t="inlineStr">
        <is>
          <t>525252</t>
        </is>
      </c>
      <c r="C32" s="88" t="n"/>
    </row>
    <row r="33" ht="15" customHeight="1" s="81">
      <c r="A33" s="91" t="inlineStr">
        <is>
          <t>SOFÍA</t>
        </is>
      </c>
      <c r="B33" s="88" t="inlineStr">
        <is>
          <t>38761D</t>
        </is>
      </c>
      <c r="C33" s="88" t="n"/>
    </row>
    <row r="34" ht="15" customHeight="1" s="81">
      <c r="A34" s="91" t="inlineStr">
        <is>
          <t>CARMEN</t>
        </is>
      </c>
      <c r="B34" s="88" t="inlineStr">
        <is>
          <t>0B5394</t>
        </is>
      </c>
      <c r="C34" s="88" t="n"/>
    </row>
    <row r="35" ht="15" customHeight="1" s="81">
      <c r="A35" s="91" t="inlineStr">
        <is>
          <t>PEPA</t>
        </is>
      </c>
      <c r="B35" s="88" t="inlineStr">
        <is>
          <t>AA3939</t>
        </is>
      </c>
      <c r="C35" s="88" t="n"/>
    </row>
    <row r="36" ht="15" customHeight="1" s="81">
      <c r="A36" s="91" t="inlineStr">
        <is>
          <t>ANSELMO</t>
        </is>
      </c>
      <c r="B36" s="88" t="inlineStr">
        <is>
          <t>6D4C41</t>
        </is>
      </c>
      <c r="C36" s="88" t="inlineStr">
        <is>
          <t>5부 프레임은 7F6000, 6부 4화는 8E24AA였음</t>
        </is>
      </c>
    </row>
    <row r="37" ht="15" customHeight="1" s="81">
      <c r="A37" s="91" t="inlineStr">
        <is>
          <t>RAMÓN</t>
        </is>
      </c>
      <c r="B37" s="88" t="inlineStr">
        <is>
          <t>7F6000</t>
        </is>
      </c>
      <c r="C37" s="88" t="inlineStr">
        <is>
          <t>Anselmo와 같은 화에 나오면 Anselmo를 6D4C41로</t>
        </is>
      </c>
    </row>
    <row r="38" ht="15" customHeight="1" s="81">
      <c r="A38" s="91" t="inlineStr">
        <is>
          <t>NIEVES</t>
        </is>
      </c>
      <c r="B38" s="88" t="inlineStr">
        <is>
          <t>8E24AA</t>
        </is>
      </c>
      <c r="C38" s="88" t="n"/>
    </row>
    <row r="39" ht="15" customHeight="1" s="81">
      <c r="A39" s="91" t="inlineStr">
        <is>
          <t>RAIMUNDO</t>
        </is>
      </c>
      <c r="B39" s="88" t="inlineStr">
        <is>
          <t>7F7F7F</t>
        </is>
      </c>
      <c r="C39" s="88" t="n"/>
    </row>
    <row r="40" ht="15" customHeight="1" s="81">
      <c r="A40" s="91" t="inlineStr">
        <is>
          <t>INÉS</t>
        </is>
      </c>
      <c r="B40" s="88" t="inlineStr">
        <is>
          <t>C00000</t>
        </is>
      </c>
      <c r="C40" s="88" t="n"/>
    </row>
    <row r="41" ht="15" customHeight="1" s="81">
      <c r="A41" s="91" t="inlineStr">
        <is>
          <t>TOMÁS</t>
        </is>
      </c>
      <c r="B41" s="88" t="inlineStr">
        <is>
          <t>BF8F00</t>
        </is>
      </c>
      <c r="C41" s="88" t="inlineStr">
        <is>
          <t>6부 9화만 8E24AA</t>
        </is>
      </c>
    </row>
    <row r="42" ht="15" customHeight="1" s="81">
      <c r="A42" s="91" t="inlineStr">
        <is>
          <t>LUCÍA</t>
        </is>
      </c>
      <c r="B42" s="88" t="inlineStr">
        <is>
          <t>B45F06</t>
        </is>
      </c>
      <c r="C42" s="88" t="n"/>
    </row>
    <row r="43" ht="15" customHeight="1" s="81">
      <c r="A43" s="91" t="inlineStr">
        <is>
          <t>GONZALO</t>
        </is>
      </c>
      <c r="B43" s="88" t="inlineStr">
        <is>
          <t>0E7C86</t>
        </is>
      </c>
      <c r="C43" s="88" t="n"/>
    </row>
    <row r="44" ht="15" customHeight="1" s="81">
      <c r="A44" s="91" t="inlineStr">
        <is>
          <t>CERVANTES</t>
        </is>
      </c>
      <c r="B44" s="89" t="inlineStr">
        <is>
          <t>제안: 1F3864 계열 피하고 4E342E</t>
        </is>
      </c>
      <c r="C44" s="88" t="n"/>
    </row>
    <row r="45" ht="15" customHeight="1" s="81">
      <c r="A45" s="91" t="inlineStr">
        <is>
          <t>PICASSO (7부~)</t>
        </is>
      </c>
      <c r="B45" s="89" t="inlineStr">
        <is>
          <t>제안: E69138</t>
        </is>
      </c>
      <c r="C45" s="88" t="n"/>
    </row>
    <row r="46" ht="15" customHeight="1" s="81">
      <c r="A46" s="91" t="inlineStr">
        <is>
          <t>KARIM (재등장 가상인물)</t>
        </is>
      </c>
      <c r="B46" s="89" t="inlineStr">
        <is>
          <t>5B9BD5</t>
        </is>
      </c>
      <c r="C46" s="88" t="inlineStr">
        <is>
          <t>6부 12화부터 고정. Fátima의 남편</t>
        </is>
      </c>
    </row>
    <row r="47" ht="15" customHeight="1" s="81">
      <c r="A47" s="91" t="inlineStr">
        <is>
          <t>BILAL (재등장 가상인물)</t>
        </is>
      </c>
      <c r="B47" s="89" t="inlineStr">
        <is>
          <t>A64D79</t>
        </is>
      </c>
      <c r="C47" s="88" t="inlineStr">
        <is>
          <t>7부 4화부터 고정. Karim의 친구</t>
        </is>
      </c>
    </row>
    <row r="48" ht="15" customHeight="1" s="81">
      <c r="A48" s="86" t="inlineStr">
        <is>
          <t>가상·단역</t>
        </is>
      </c>
      <c r="B48" s="88" t="inlineStr">
        <is>
          <t>5B9BD5 · A64D79 · 7030A0 · 7F7F7F 중 화 안 중복 없게</t>
        </is>
      </c>
      <c r="C48" s="88" t="inlineStr">
        <is>
          <t>Quintana 7030A0 고정 권장 · Karim·Bilal은 위 전용 색 사용 · 7F7F7F는 Raimundo와 겹치므로 단역에 쓰지 않기 · 일회성 인물은 5B9BD5·A64D79·7030A0 중 화 안 중복 없게 · 9부 재등장 인물 색은 아래 두 행</t>
        </is>
      </c>
    </row>
    <row r="49" ht="15" customHeight="1" s="81">
      <c r="A49" s="104" t="inlineStr">
        <is>
          <t>MILAGROS (9부 시의원)</t>
        </is>
      </c>
      <c r="B49" s="105" t="inlineStr">
        <is>
          <t>A0522D</t>
        </is>
      </c>
      <c r="C49" s="105" t="inlineStr">
        <is>
          <t>9부 1화부터 고정. 명부 3번 시의원</t>
        </is>
      </c>
    </row>
    <row r="50" ht="15" customHeight="1" s="81">
      <c r="A50" s="104" t="inlineStr">
        <is>
          <t>IKER (9부 시의원)</t>
        </is>
      </c>
      <c r="B50" s="105" t="inlineStr">
        <is>
          <t>A64D79</t>
        </is>
      </c>
      <c r="C50" s="105" t="inlineStr">
        <is>
          <t>9부 1화부터 고정 권장. 같은 화에 Bilal이 나오면 Bilal에 다른 색</t>
        </is>
      </c>
    </row>
    <row r="51" ht="26.25" customHeight="1" s="81"/>
    <row r="52" ht="29.25" customHeight="1" s="81">
      <c r="A52" s="102" t="inlineStr">
        <is>
          <t>5. 5부 확정 설정 · 수치</t>
        </is>
      </c>
      <c r="B52" s="85" t="n"/>
      <c r="C52" s="85" t="n"/>
    </row>
    <row r="53" ht="29.25" customHeight="1" s="81">
      <c r="A53" s="103" t="inlineStr">
        <is>
          <t>항목</t>
        </is>
      </c>
      <c r="B53" s="103" t="inlineStr">
        <is>
          <t>내용</t>
        </is>
      </c>
      <c r="C53" s="103" t="inlineStr">
        <is>
          <t>출처</t>
        </is>
      </c>
    </row>
    <row r="54" ht="29.25" customHeight="1" s="81">
      <c r="A54" s="86" t="inlineStr">
        <is>
          <t>시간선</t>
        </is>
      </c>
      <c r="B54" s="88" t="inlineStr">
        <is>
          <t>2화 9년 전(입사 25세) → 3화 8년 전(매니저 28세) → 4~11화 2년 전(프린시펄 약 34세). 사직은 1월(보너스 3월 지급 전).</t>
        </is>
      </c>
      <c r="C54" s="88" t="inlineStr">
        <is>
          <t>5부 2·3·4·11화</t>
        </is>
      </c>
    </row>
    <row r="55" ht="29.25" customHeight="1" s="81">
      <c r="A55" s="91" t="inlineStr">
        <is>
          <t>Cenit</t>
        </is>
      </c>
      <c r="B55" s="89" t="inlineStr">
        <is>
          <t>카스테야나 대로 32층, Sala Norte, 유리 회의실 «la pecera». 대표 파트너 Enrique Mazón. «Nuestro out casi siempre es el in de otra empresa».</t>
        </is>
      </c>
      <c r="C55" s="88" t="inlineStr">
        <is>
          <t>2·4·11화</t>
        </is>
      </c>
    </row>
    <row r="56" ht="29.25" customHeight="1" s="81">
      <c r="A56" s="91" t="inlineStr">
        <is>
          <t>Almudena Roig</t>
        </is>
      </c>
      <c r="B56" s="88" t="inlineStr">
        <is>
          <t>2화 매니저 → 4화 파트너. 서른두 살에 바야돌리드 공장 폐쇄(200명)를 거절했고 다른 사람이 3주 만에 해냄 → '거의'가 9년. 냉소 질문 최종 답(11화): 정직한 줄 알았으나 위험한 쪽.</t>
        </is>
      </c>
      <c r="C56" s="88" t="inlineStr">
        <is>
          <t>2·4·6·11화</t>
        </is>
      </c>
    </row>
    <row r="57" ht="29.25" customHeight="1" s="81">
      <c r="A57" s="91" t="inlineStr">
        <is>
          <t>Meridiano Movilidad</t>
        </is>
      </c>
      <c r="B57" s="89" t="inlineStr">
        <is>
          <t>직원 2,300, 연 비용 2억 1,400만(인건비 61·연료 18·정비 11·기타 10%). 목표 18%=3,850만. 1인 4만 6천 → 전부 인력이면 840명.</t>
        </is>
      </c>
      <c r="C57" s="88" t="inlineStr">
        <is>
          <t>4화</t>
        </is>
      </c>
    </row>
    <row r="58" ht="15" customHeight="1" s="81">
      <c r="A58" s="86" t="inlineStr">
        <is>
          <t>모델·C47</t>
        </is>
      </c>
      <c r="B58" s="89" t="inlineStr">
        <is>
          <t>비인력 레버 1,950만(경유 650만·구매 400만·노선·차고지 Alcorcón→Leganés·중정비 외주). A 290(14%) · B 412(18.1%) · C 560(22%). C열=인원, 47행=합계. 기준 «Menor coste de salida».</t>
        </is>
      </c>
      <c r="C58" s="88" t="inlineStr">
        <is>
          <t>6화</t>
        </is>
      </c>
    </row>
    <row r="59" ht="29.25" customHeight="1" s="81">
      <c r="A59" s="91" t="inlineStr">
        <is>
          <t>ERE</t>
        </is>
      </c>
      <c r="B59" s="88" t="inlineStr">
        <is>
          <t>Cristina Llorente(노무) 주관. 노조 4안. 초과근무 310만=67개 자리. 합의 345명, 희망퇴직 35일치, Nieves 노조 미서명.</t>
        </is>
      </c>
      <c r="C59" s="88" t="inlineStr">
        <is>
          <t>7·10화</t>
        </is>
      </c>
    </row>
    <row r="60" ht="29.25" customHeight="1" s="81">
      <c r="A60" s="86" t="inlineStr">
        <is>
          <t>유출·상담</t>
        </is>
      </c>
      <c r="B60" s="89" t="inlineStr">
        <is>
          <t>새벽 1시 52분 자동완성 «N»→Nieves. 35세 미만 22%→56%, 5년 미만 268, 임시직 58/58, 55세 이상 9. Lucía 첫 상담, 숙제 "숫자 아닌 것 하루 하나".</t>
        </is>
      </c>
      <c r="C60" s="88" t="inlineStr">
        <is>
          <t>8화</t>
        </is>
      </c>
    </row>
    <row r="61" ht="29.85" customHeight="1" s="81">
      <c r="A61" s="86" t="inlineStr">
        <is>
          <t>파업·해고</t>
        </is>
      </c>
      <c r="B61" s="88" t="inlineStr">
        <is>
          <t>14일, 필수 유지 40/20%. 영상+비밀유지로 Nieves 징계 해고, 블랙리스트. Diego의 진술을 Almudena가 막음(이카로 1·2 해지 위험).</t>
        </is>
      </c>
      <c r="C61" s="88" t="inlineStr">
        <is>
          <t>10화</t>
        </is>
      </c>
    </row>
    <row r="62" ht="15" customHeight="1" s="81">
      <c r="A62" s="91" t="inlineStr">
        <is>
          <t>Yolanda Prieto</t>
        </is>
      </c>
      <c r="B62" s="88" t="inlineStr">
        <is>
          <t>29세, 딸 둘, 헤타페 노선, 근속 3년, 212행. 345명에 없음(잔류).</t>
        </is>
      </c>
      <c r="C62" s="88" t="inlineStr">
        <is>
          <t>7·8·10·11·12화</t>
        </is>
      </c>
    </row>
    <row r="63" ht="15" customHeight="1" s="81">
      <c r="A63" s="86" t="inlineStr">
        <is>
          <t>사직</t>
        </is>
      </c>
      <c r="B63" s="89" t="inlineStr">
        <is>
          <t>보너스 5만 5천(412명당 134유로)을 포기. Quintana의 이카로 2(물류·청소·경비 3사 약 6천 명) 거절. 사직서 «Algunos, demasiado bien aprendidos». C47 한 장 인쇄.</t>
        </is>
      </c>
      <c r="C63" s="88" t="inlineStr">
        <is>
          <t>11화</t>
        </is>
      </c>
    </row>
    <row r="64" ht="43.5" customHeight="1" s="81">
      <c r="A64" s="86" t="inlineStr">
        <is>
          <t>프레임 요약</t>
        </is>
      </c>
      <c r="B64" s="88" t="inlineStr">
        <is>
          <t>5화 엑셀 한 장·Carmen의 이메일 해고 과거, 9화 «Cuatrocientos doce», 12화 Yolanda 결과·Rueda 공방 폐업·초록 포스터.</t>
        </is>
      </c>
      <c r="C64" s="88" t="inlineStr">
        <is>
          <t>5·9·12화</t>
        </is>
      </c>
    </row>
    <row r="65" ht="29.25" customHeight="1" s="81"/>
    <row r="66" ht="29.25" customHeight="1" s="81">
      <c r="A66" s="102" t="inlineStr">
        <is>
          <t>6. 6부 확정 설정 · 수치</t>
        </is>
      </c>
      <c r="B66" s="85" t="n"/>
      <c r="C66" s="85" t="n"/>
    </row>
    <row r="67" ht="29.25" customHeight="1" s="81">
      <c r="A67" s="103" t="inlineStr">
        <is>
          <t>항목</t>
        </is>
      </c>
      <c r="B67" s="103" t="inlineStr">
        <is>
          <t>내용</t>
        </is>
      </c>
      <c r="C67" s="103" t="inlineStr">
        <is>
          <t>출처</t>
        </is>
      </c>
    </row>
    <row r="68" ht="26.25" customHeight="1" s="81">
      <c r="A68" s="91" t="inlineStr">
        <is>
          <t>14동</t>
        </is>
      </c>
      <c r="B68" s="88" t="inlineStr">
        <is>
          <t>Vallecas, 엘리베이터 없음, 5층×4 + 1층 2 = 22가구. 1층 왼쪽 진료소(화·금, 약 900명), 오른쪽 옛 잡화점(총회 장소). 철문 빈집 4(6천 유로 cash for keys: 1층 Luisa, 3층 루마니아 가족, 젊은 부부 둘). 2층 A Carmen(곰팡이 "포르투갈"), 3층 B Nieves, 4층 C Marina, 5층 A Ramón, 5층 Pura(88).</t>
        </is>
      </c>
      <c r="C68" s="88" t="inlineStr">
        <is>
          <t>1·3화</t>
        </is>
      </c>
    </row>
    <row r="69" ht="43.5" customHeight="1" s="81">
      <c r="A69" s="91" t="inlineStr">
        <is>
          <t>Fondo Cardinal</t>
        </is>
      </c>
      <c r="B69" s="88" t="inlineStr">
        <is>
          <t>SOCIMI, 마드리드 건물 38채. 14동 310만 유로, "퇴거 진행 중". 메리디아노 살루드→카르디날 홀딩스 4천만 유로 0.5%(시장 약 5%). 카르디날 홀딩스 단독 관리자 = 인베르시오네스 메리디아노(상업등기 공보).</t>
        </is>
      </c>
      <c r="C69" s="88" t="inlineStr">
        <is>
          <t>5·8화</t>
        </is>
      </c>
    </row>
    <row r="70" ht="57.75" customHeight="1" s="81">
      <c r="A70" s="86" t="inlineStr">
        <is>
          <t>같은 이름</t>
        </is>
      </c>
      <c r="B70" s="88" t="inlineStr">
        <is>
          <t>Mateo(조항·고객 Grupo Meridiano) / Javier(산 바르톨로메 → 메리디아노 살루드, 병상 인센티브, Nilda) / Sofía(감사 의견 → 병원 계약 확정 + 이카로 착수) / Diego(병원 효율 발표, 이카로, 조항용 시나리오 템플릿).</t>
        </is>
      </c>
      <c r="C70" s="88" t="inlineStr">
        <is>
          <t>6화</t>
        </is>
      </c>
    </row>
    <row r="71" ht="26.25" customHeight="1" s="81">
      <c r="A71" s="91" t="inlineStr">
        <is>
          <t>Fátima 가족</t>
        </is>
      </c>
      <c r="B71" s="88" t="inlineStr">
        <is>
          <t>1층 C. Karim(이카로 정비 외주 해고 → 6부 12화 모라탈라스 오토바이 정비소 정규직). Adam 9, Salma, Yusuf 4(천식). 목요일 9시 집행 → 정지 결정.</t>
        </is>
      </c>
      <c r="C71" s="88" t="inlineStr">
        <is>
          <t>7·8·9·12화</t>
        </is>
      </c>
    </row>
    <row r="72" ht="43.5" customHeight="1" s="81">
      <c r="A72" s="86" t="inlineStr">
        <is>
          <t>집행 정지</t>
        </is>
      </c>
      <c r="B72" s="89" t="inlineStr">
        <is>
          <t>취약·대안 없음 → 정지, 12월 31일까지(해마다 연장). 임대인 2채 이하 예외 → 펀드엔 해당 없음. «Es un respiro, no una victoria».</t>
        </is>
      </c>
      <c r="C72" s="88" t="inlineStr">
        <is>
          <t>8·9화</t>
        </is>
      </c>
    </row>
    <row r="73" ht="26.85" customHeight="1" s="81">
      <c r="A73" s="86" t="inlineStr">
        <is>
          <t>사무소</t>
        </is>
      </c>
      <c r="B73" s="89" t="inlineStr">
        <is>
          <t>라바피에스, Eusebio Palacios(소규모 임대인, 홀아비) 건물. 1층 Casa Pepa(1994년 마놀로가 칠한 간판), 2층 약 60㎡. 월세 1,300(가게 700·사무실 600)+매일 8시 커피+일요일 토르티야, 5년. 은행 보증서는 Gonzalo가 옛 인턴 지점장과. 명판 «El Despacho de Lavapiés. Primera planta. Llame fuerte».</t>
        </is>
      </c>
      <c r="C73" s="88" t="inlineStr">
        <is>
          <t>10·12화</t>
        </is>
      </c>
    </row>
    <row r="74" ht="15" customHeight="1" s="81">
      <c r="A74" s="86" t="inlineStr">
        <is>
          <t>식탁의 규칙</t>
        </is>
      </c>
      <c r="B74" s="88" t="inlineStr">
        <is>
          <t>1 낼 수 없는 사람은 안 내고 두 번 묻지 않는다 · 2 회의는 다섯 시 정각(Pepa의 쉬는 시간) · 3 금요일 한 명씩 이야기, 오늘은 안 돼 가능 · 4 아무도 숫자가 아니다 · 5 읽지 않은 것에 서명하지 않는다 · 6 진실은 면전에서 · 7 어디서 왔는지 묻지 않고 뭘 먹고 싶은지 묻는다 · 각주: 매트릭스 금지, Anselmo=청하지 않은 고문 · Gonzalo: 1유로마다 영수증 · Inés: 출처 둘+타당한 이유 없이 밖으로 안 나감.</t>
        </is>
      </c>
      <c r="C74" s="88" t="inlineStr">
        <is>
          <t>11화</t>
        </is>
      </c>
    </row>
    <row r="75" ht="15" customHeight="1" s="81">
      <c r="A75" s="86" t="inlineStr">
        <is>
          <t>합류 순서</t>
        </is>
      </c>
      <c r="B75" s="88" t="inlineStr">
        <is>
          <t>Carmen·Marina(1) → Nieves·Ramón(3) → Pepa·Anselmo(4) → Raimundo·Inés(8) → Tomás·Lucía(9) → Gonzalo(10). Carmen 인턴(11).</t>
        </is>
      </c>
      <c r="C75" s="88" t="inlineStr">
        <is>
          <t>6부</t>
        </is>
      </c>
    </row>
    <row r="76" ht="43.5" customHeight="1" s="81">
      <c r="A76" s="86" t="inlineStr">
        <is>
          <t>시그니처 사용</t>
        </is>
      </c>
      <c r="B76" s="88" t="inlineStr">
        <is>
          <t>Diego «Pongámoslo en una ma—» 두 번 자제. «Vale, sin diapositivas»는 13부 6화까지 보존(6부에서 Diego는 쓰지 않음). Anselmo «No está mal» 미사용. Ramón «Sin novedad» 말버릇으로만. Tomás 첫 연설 «Hoy nadie se ha ido. Y nadie se va a ir solo.»</t>
        </is>
      </c>
      <c r="C76" s="89" t="inlineStr">
        <is>
          <t>전체</t>
        </is>
      </c>
    </row>
    <row r="77" ht="40.5" customHeight="1" s="81"/>
    <row r="78" ht="15" customHeight="1" s="81">
      <c r="A78" s="102" t="inlineStr">
        <is>
          <t>7. 7부 집필 메모 (Picasso 합류)</t>
        </is>
      </c>
      <c r="B78" s="85" t="n"/>
      <c r="C78" s="85" t="n"/>
    </row>
    <row r="79" ht="29.25" customHeight="1" s="81">
      <c r="A79" s="103" t="inlineStr">
        <is>
          <t>항목</t>
        </is>
      </c>
      <c r="B79" s="103" t="inlineStr">
        <is>
          <t>내용</t>
        </is>
      </c>
      <c r="C79" s="103" t="inlineStr">
        <is>
          <t>주의</t>
        </is>
      </c>
    </row>
    <row r="80" ht="29.25" customHeight="1" s="81">
      <c r="A80" s="91" t="inlineStr">
        <is>
          <t>Picasso 설정</t>
        </is>
      </c>
      <c r="B80" s="88" t="inlineStr">
        <is>
          <t>Cervantes에 이은 두 번째 "설명되지 않는 부활". 법적으로 죽은 사람이라 서명할 수 없는 "가장 비싼 서명" ↔ Sofía. 마드리드 연결: 산 페르난도 왕립 아카데미(1897), 잡지 «Arte Joven»(1901), 게르니카(레이나 소피아). 7부 1화에서 Casa Pepa에 손님으로 등장, Ramón이 수습 열쇠를 내줌(합류 완료).</t>
        </is>
      </c>
      <c r="C80" s="89" t="inlineStr">
        <is>
          <t>실제 발언 창작 인용 금지. 작품은 말로만 묘사. 여성 관계 비판은 Carmen·Nieves·Lucía가 정면으로</t>
        </is>
      </c>
    </row>
    <row r="81" ht="44" customHeight="1" s="81">
      <c r="A81" s="86" t="inlineStr">
        <is>
          <t>부별 역할(제안)</t>
        </is>
      </c>
      <c r="B81" s="88" t="inlineStr">
        <is>
          <t>7부 2화에서 접수 매트릭스에 색칠(완료) · 7부 시위 포스터(Nieves와, 예정) · 8부 당 상징 부탁을 망설임 · 11부 국방비 논쟁에서 게르니카 · 13부 귀환</t>
        </is>
      </c>
      <c r="C81" s="88" t="inlineStr">
        <is>
          <t>Franco는 부재로만(Anselmo·Ramón 세대 회상), El Cid는 인용으로만(«¡Dios, qué buen vassallo, si oviesse buen señor!»)</t>
        </is>
      </c>
    </row>
    <row r="82" ht="15" customHeight="1" s="81">
      <c r="A82" s="86" t="inlineStr">
        <is>
          <t>수용 장치</t>
        </is>
      </c>
      <c r="B82" s="88" t="inlineStr">
        <is>
          <t>6부 11화 Pepa의 규칙 7 + Raimundo «존재하지 말아야 할 사람까지»</t>
        </is>
      </c>
      <c r="C82" s="88" t="inlineStr">
        <is>
          <t>Cervantes와의 첫 대면을 7부 초반에</t>
        </is>
      </c>
    </row>
    <row r="83" ht="15" customHeight="1" s="81">
      <c r="A83" s="86" t="inlineStr">
        <is>
          <t>이어받을 실</t>
        </is>
      </c>
      <c r="B83" s="88" t="inlineStr">
        <is>
          <t>Sofía의 USB + 상업등기(복선 44, 7부 5화 회수 완료) · Gonzalo의 카르디날 홀딩스(45, 7부 5화 회수 완료) · Nieves 무효 소송 계류 · Karim 분할 상환(6부 12화 계속 진행, 7부 4화 Bilal 소개) · Inés의 두 번째 출처(국립도서관 연차 보고서, 확보 완료·미발표) · 이카로 2 해고(50, 7부 1화 발표 확인)</t>
        </is>
      </c>
      <c r="C83" s="88" t="inlineStr">
        <is>
          <t>7부 6화(El expediente)에서 이 실들을 모아 querella 작성 예정</t>
        </is>
      </c>
    </row>
    <row r="84" ht="15" customHeight="1" s="81">
      <c r="A84" s="86" t="inlineStr">
        <is>
          <t>호칭</t>
        </is>
      </c>
      <c r="B84" s="89" t="inlineStr">
        <is>
          <t>네 사람 상호 tú. Carmen→네 사람 usted(인턴), Diego→Carmen usted(→5부 5화에서 tú, 시간순으론 7부 이후)</t>
        </is>
      </c>
      <c r="C84" s="88" t="inlineStr">
        <is>
          <t>5부 5화 프레임 시점이 7부보다 앞인지 뒤인지 확인</t>
        </is>
      </c>
    </row>
    <row r="85" ht="15" customHeight="1" s="81"/>
    <row r="86" ht="23.25" customHeight="1" s="81">
      <c r="A86" s="102" t="inlineStr">
        <is>
          <t>8. 5·6부 가상 인물 부록</t>
        </is>
      </c>
      <c r="B86" s="85" t="n"/>
      <c r="C86" s="85" t="n"/>
    </row>
    <row r="87" ht="15" customHeight="1" s="81">
      <c r="A87" s="103" t="inlineStr">
        <is>
          <t>이름</t>
        </is>
      </c>
      <c r="B87" s="103" t="inlineStr">
        <is>
          <t>소속·역할 / 등장</t>
        </is>
      </c>
      <c r="C87" s="103" t="inlineStr">
        <is>
          <t>말투·호칭</t>
        </is>
      </c>
    </row>
    <row r="88" ht="40.5" customHeight="1" s="81">
      <c r="A88" s="91" t="inlineStr">
        <is>
          <t>Almudena Roig</t>
        </is>
      </c>
      <c r="B88" s="88" t="inlineStr">
        <is>
          <t>Cenit 매니저→파트너 · 5부 2·4·6·7·8·10·11</t>
        </is>
      </c>
      <c r="C88" s="89" t="inlineStr">
        <is>
          <t>간결·냉소, Diego와 tú</t>
        </is>
      </c>
    </row>
    <row r="89" ht="15" customHeight="1" s="81">
      <c r="A89" s="91" t="inlineStr">
        <is>
          <t>Marcos</t>
        </is>
      </c>
      <c r="B89" s="88" t="inlineStr">
        <is>
          <t>Diego 입사 동기 → Meridiano Movilidad 경영관리 · 5부 2·4·6·7</t>
        </is>
      </c>
      <c r="C89" s="89" t="inlineStr">
        <is>
          <t>숫자로 말함, Diego와 tú</t>
        </is>
      </c>
    </row>
    <row r="90" ht="15" customHeight="1" s="81">
      <c r="A90" s="91" t="inlineStr">
        <is>
          <t>Julián·Alba·Mariano·Rafa Rueda</t>
        </is>
      </c>
      <c r="B90" s="88" t="inlineStr">
        <is>
          <t>Vallecas 가구 공방 · 5부 3 (6부 1: 여름에 폐업)</t>
        </is>
      </c>
      <c r="C90" s="88" t="inlineStr">
        <is>
          <t>Julián은 usted+"hijo", Alba «Quítese el reloj»</t>
        </is>
      </c>
    </row>
    <row r="91" ht="15" customHeight="1" s="81">
      <c r="A91" s="91" t="inlineStr">
        <is>
          <t>Ernesto Lastra</t>
        </is>
      </c>
      <c r="B91" s="88" t="inlineStr">
        <is>
          <t>GM 재무 담당 이사 · 5부 4·6</t>
        </is>
      </c>
      <c r="C91" s="88" t="inlineStr">
        <is>
          <t>«Seré breve», usted</t>
        </is>
      </c>
    </row>
    <row r="92" ht="15" customHeight="1" s="81">
      <c r="A92" s="91" t="inlineStr">
        <is>
          <t>Fermín Robles</t>
        </is>
      </c>
      <c r="B92" s="88" t="inlineStr">
        <is>
          <t>Meridiano Movilidad 운영, 31년 차, 헤타페 노선 기사 출신, 3월 은퇴 · 5부 4·7·10·11</t>
        </is>
      </c>
      <c r="C92" s="89" t="inlineStr">
        <is>
          <t>속담(«Quien avisa no es traidor», «Mal de muchos…», «Más vale ponerse una vez colorado…»), Diego에게 tú</t>
        </is>
      </c>
    </row>
    <row r="93" ht="15" customHeight="1" s="81">
      <c r="A93" s="91" t="inlineStr">
        <is>
          <t>Irene</t>
        </is>
      </c>
      <c r="B93" s="88" t="inlineStr">
        <is>
          <t>Cenit 신입 애널리스트 · 5부 6·8·11</t>
        </is>
      </c>
      <c r="C93" s="89" t="inlineStr">
        <is>
          <t>용어를 되묻고 받아 적음</t>
        </is>
      </c>
    </row>
    <row r="94" ht="15" customHeight="1" s="81">
      <c r="A94" s="91" t="inlineStr">
        <is>
          <t>Borja</t>
        </is>
      </c>
      <c r="B94" s="88" t="inlineStr">
        <is>
          <t>Cenit 시니어 어소시에이트 · 5부 6</t>
        </is>
      </c>
      <c r="C94" s="89" t="inlineStr">
        <is>
          <t>농담·냉소</t>
        </is>
      </c>
    </row>
    <row r="95" ht="15" customHeight="1" s="81">
      <c r="A95" s="91" t="inlineStr">
        <is>
          <t>Cristina Llorente</t>
        </is>
      </c>
      <c r="B95" s="88" t="inlineStr">
        <is>
          <t>Meridiano Movilidad 노무 담당 이사 · 5부 7·8·10</t>
        </is>
      </c>
      <c r="C95" s="89" t="inlineStr">
        <is>
          <t>절차적, 정중</t>
        </is>
      </c>
    </row>
    <row r="96" ht="15" customHeight="1" s="81">
      <c r="A96" s="91" t="inlineStr">
        <is>
          <t>Yolanda Prieto</t>
        </is>
      </c>
      <c r="B96" s="89" t="inlineStr">
        <is>
          <t>헤타페 노선 기사, 29세, 딸 둘 · 5부 7·8·10·11·12</t>
        </is>
      </c>
      <c r="C96" s="89" t="inlineStr">
        <is>
          <t>직설적, «No me lo diga»</t>
        </is>
      </c>
    </row>
    <row r="97" ht="23.25" customHeight="1" s="81">
      <c r="A97" s="91" t="inlineStr">
        <is>
          <t>Enrique Mazón</t>
        </is>
      </c>
      <c r="B97" s="88" t="inlineStr">
        <is>
          <t>Cenit 대표 파트너 · 5부 11</t>
        </is>
      </c>
      <c r="C97" s="88" t="inlineStr">
        <is>
          <t>Diego에게 tú</t>
        </is>
      </c>
    </row>
    <row r="98" ht="15" customHeight="1" s="81">
      <c r="A98" s="86" t="inlineStr">
        <is>
          <t>경비원</t>
        </is>
      </c>
      <c r="B98" s="88" t="inlineStr">
        <is>
          <t>Cenit 건물 · 5부 4·11</t>
        </is>
      </c>
      <c r="C98" s="89" t="inlineStr">
        <is>
          <t>단역</t>
        </is>
      </c>
    </row>
    <row r="99" ht="15" customHeight="1" s="81">
      <c r="A99" s="91" t="inlineStr">
        <is>
          <t>Marina</t>
        </is>
      </c>
      <c r="B99" s="88" t="inlineStr">
        <is>
          <t>Remedios의 손녀, 4층 C, 총회 대변인 · 6부 1·2·7(문자)</t>
        </is>
      </c>
      <c r="C99" s="89" t="inlineStr">
        <is>
          <t>단호</t>
        </is>
      </c>
    </row>
    <row r="100" ht="15" customHeight="1" s="81">
      <c r="A100" s="91" t="inlineStr">
        <is>
          <t>Pura</t>
        </is>
      </c>
      <c r="B100" s="88" t="inlineStr">
        <is>
          <t>5층, 88세 · 6부 3·4·9 (대사 없음)</t>
        </is>
      </c>
      <c r="C100" s="88" t="inlineStr">
        <is>
          <t>—</t>
        </is>
      </c>
    </row>
    <row r="101" ht="15" customHeight="1" s="81">
      <c r="A101" s="91" t="inlineStr">
        <is>
          <t>Fátima · Karim</t>
        </is>
      </c>
      <c r="B101" s="88" t="inlineStr">
        <is>
          <t>1층 C, 아이 셋 · 6부 7·8·9·12</t>
        </is>
      </c>
      <c r="C101" s="88" t="inlineStr">
        <is>
          <t>Fátima «Me quedo con la de hoy», Karim «No le perdono la primera»</t>
        </is>
      </c>
    </row>
    <row r="102">
      <c r="A102" s="91" t="inlineStr">
        <is>
          <t>Eusebio Palacios</t>
        </is>
      </c>
      <c r="B102" s="89" t="inlineStr">
        <is>
          <t>라바피에스 건물 주인, 소규모 임대인, 홀아비 · 6부 10·12</t>
        </is>
      </c>
      <c r="C102" s="88" t="inlineStr">
        <is>
          <t>usted, 커피</t>
        </is>
      </c>
    </row>
    <row r="103" ht="15" customHeight="1" s="81">
      <c r="A103" s="91" t="inlineStr">
        <is>
          <t>Manolo</t>
        </is>
      </c>
      <c r="B103" s="88" t="inlineStr">
        <is>
          <t>Pepa의 고인 남편, 1994년 간판 · 6부 12 (언급)</t>
        </is>
      </c>
      <c r="C103" s="88" t="inlineStr">
        <is>
          <t>—</t>
        </is>
      </c>
    </row>
    <row r="104" ht="15" customHeight="1" s="81"/>
    <row r="105" ht="15" customHeight="1" s="81">
      <c r="A105" s="102" t="inlineStr">
        <is>
          <t>9. 7부 1~5화 신규 가상 인물 부록</t>
        </is>
      </c>
    </row>
    <row r="106" ht="15" customHeight="1" s="81">
      <c r="A106" s="103" t="inlineStr">
        <is>
          <t>이름</t>
        </is>
      </c>
      <c r="B106" s="103" t="inlineStr">
        <is>
          <t>소속·역할 / 등장</t>
        </is>
      </c>
      <c r="C106" s="103" t="inlineStr">
        <is>
          <t>말투·호칭</t>
        </is>
      </c>
    </row>
    <row r="107" ht="15" customHeight="1" s="81">
      <c r="A107" s="91" t="inlineStr">
        <is>
          <t>Bilal</t>
        </is>
      </c>
      <c r="B107" s="88" t="inlineStr">
        <is>
          <t>Karim의 친구, 건설 노동자, 3년째 서류 없음 · 7부 4화(도입)·5화(언급)</t>
        </is>
      </c>
      <c r="C107" s="89" t="inlineStr">
        <is>
          <t>정중, usted. 색 A64D79 고정</t>
        </is>
      </c>
    </row>
    <row r="108" ht="15" customHeight="1" s="81">
      <c r="A108" s="91" t="inlineStr">
        <is>
          <t>Karim</t>
        </is>
      </c>
      <c r="B108" s="88" t="inlineStr">
        <is>
          <t>Fátima의 남편, 정비공 (6부 12화부터 재등장) · 7부 1·4화</t>
        </is>
      </c>
      <c r="C108" s="89" t="inlineStr">
        <is>
          <t>Pepa·규칙 7을 인용. 색 5B9BD5 고정</t>
        </is>
      </c>
    </row>
    <row r="109" ht="15" customHeight="1" s="81">
      <c r="A109" s="91" t="inlineStr">
        <is>
          <t>Milagros</t>
        </is>
      </c>
      <c r="B109" s="88" t="inlineStr">
        <is>
          <t>Grupo Meridiano 청소 협력업체(Limpiezas Tajo Norte, 가상) 노동자 대표 · 7부 2화</t>
        </is>
      </c>
      <c r="C109" s="89" t="inlineStr">
        <is>
          <t>직설적, Nieves와 tú</t>
        </is>
      </c>
    </row>
    <row r="110" ht="29.85" customHeight="1" s="81">
      <c r="A110" s="91" t="inlineStr">
        <is>
          <t>Ángeles</t>
        </is>
      </c>
      <c r="B110" s="88" t="inlineStr">
        <is>
          <t>79세 세입자, Ave María 거리 · 7부 2화</t>
        </is>
      </c>
      <c r="C110" s="89" t="inlineStr">
        <is>
          <t>느리고 예의 바름, usted</t>
        </is>
      </c>
    </row>
    <row r="111">
      <c r="A111" s="91" t="inlineStr">
        <is>
          <t>Iker</t>
        </is>
      </c>
      <c r="B111" s="88" t="inlineStr">
        <is>
          <t>22세 무급 인턴(가짜 becario) · 7부 2화</t>
        </is>
      </c>
      <c r="C111" s="89" t="inlineStr">
        <is>
          <t>짧고 급함, 또래에게 tú</t>
        </is>
      </c>
    </row>
    <row r="112">
      <c r="A112" s="91" t="inlineStr">
        <is>
          <t>Elena</t>
        </is>
      </c>
      <c r="B112" s="88" t="inlineStr">
        <is>
          <t>34세, N4(성폭력 관련 법 소급) 사건 피해자 · 7부 3화</t>
        </is>
      </c>
      <c r="C112" s="89" t="inlineStr">
        <is>
          <t>절제된 어조, 스스로 거리를 두고 말함. 본인 동의 없이 재등장·인용 금지</t>
        </is>
      </c>
    </row>
    <row r="114" ht="15" customHeight="1" s="81">
      <c r="A114" s="106" t="inlineStr">
        <is>
          <t>10. 7부 8~12화 확정 설정 · 수치</t>
        </is>
      </c>
    </row>
    <row r="115" ht="15" customHeight="1" s="81">
      <c r="A115" s="107" t="inlineStr">
        <is>
          <t>항목</t>
        </is>
      </c>
      <c r="B115" s="107" t="inlineStr">
        <is>
          <t>내용</t>
        </is>
      </c>
      <c r="C115" s="107" t="inlineStr">
        <is>
          <t>출처</t>
        </is>
      </c>
    </row>
    <row r="116" ht="15" customHeight="1" s="81">
      <c r="A116" s="108" t="inlineStr">
        <is>
          <t>도청기</t>
        </is>
      </c>
      <c r="B116" s="105" t="inlineStr">
        <is>
          <t>Casa Pepa 2층 구석 전등 안 GSM 도청기(유심, 전등 전원). 현장 봉인 → 사진·목록·봉투(cadena de custodia) → 경찰 신고. 되쏘기는 Mateo가 거부. «Las paredes oyen» (Pepa 어머니).</t>
        </is>
      </c>
      <c r="C116" s="109" t="inlineStr">
        <is>
          <t>7부 8화</t>
        </is>
      </c>
    </row>
    <row r="117" ht="15" customHeight="1" s="81">
      <c r="A117" s="108" t="inlineStr">
        <is>
          <t>동네의 보초</t>
        </is>
      </c>
      <c r="B117" s="105" t="inlineStr">
        <is>
          <t>Nieves의 교대표 43명. 신원 확인은 경찰만, 현행범 체포는 LECrim 490조. 벽 문구는 Eusebio 서면 허가.</t>
        </is>
      </c>
      <c r="C117" s="109" t="inlineStr">
        <is>
          <t>7부 9화</t>
        </is>
      </c>
    </row>
    <row r="118" ht="15" customHeight="1" s="81">
      <c r="A118" s="108" t="inlineStr">
        <is>
          <t>결정문(auto)</t>
        </is>
      </c>
      <c r="B118" s="105" t="inlineStr">
        <is>
          <t>Audiencia Nacional 중앙예심법원 수리. 피의자 3명(가상): Ernesto Lastra(GM 재무), Beatriz Olmedo(Meridiano Salud CEO), Íñigo Ferrández(Inversiones Meridiano 관리자, Cardinal 서명). 시민 소추 보증금 6천 유로, 10일 → 하루 만에 모금.</t>
        </is>
      </c>
      <c r="C118" s="109" t="inlineStr">
        <is>
          <t>7부 10화</t>
        </is>
      </c>
    </row>
    <row r="119" ht="15" customHeight="1" s="81">
      <c r="A119" s="108" t="inlineStr">
        <is>
          <t>시민 소추 제한 법안</t>
        </is>
      </c>
      <c r="B119" s="105" t="inlineStr">
        <is>
          <t>조직법안(가상), 경과 규정 «진행 중인 절차에도 적용». 심의 개시 170:165 → 조직법 176까지 6표 부족, 이후 ponencia에서 정체(선거 전 표결 회피).</t>
        </is>
      </c>
      <c r="C119" s="109" t="inlineStr">
        <is>
          <t>7부 11·12화, 8부</t>
        </is>
      </c>
    </row>
    <row r="120" ht="15" customHeight="1" s="81">
      <c r="A120" s="108" t="inlineStr">
        <is>
          <t>Sol의 의자</t>
        </is>
      </c>
      <c r="B120" s="105" t="inlineStr">
        <is>
          <t>Pepa가 식탁 의자를 Kilómetro Cero에 놓음. Picasso의 서명 없는 포스터.</t>
        </is>
      </c>
      <c r="C120" s="109" t="inlineStr">
        <is>
          <t>7부 12화</t>
        </is>
      </c>
    </row>
    <row r="122" ht="15" customHeight="1" s="81">
      <c r="A122" s="106" t="inlineStr">
        <is>
          <t>11. 8부 확정 설정 · 수치 / 9부 집필 메모</t>
        </is>
      </c>
    </row>
    <row r="123" ht="15" customHeight="1" s="81">
      <c r="A123" s="107" t="inlineStr">
        <is>
          <t>항목</t>
        </is>
      </c>
      <c r="B123" s="107" t="inlineStr">
        <is>
          <t>내용</t>
        </is>
      </c>
      <c r="C123" s="107" t="inlineStr">
        <is>
          <t>출처</t>
        </is>
      </c>
    </row>
    <row r="124" ht="15" customHeight="1" s="81">
      <c r="A124" s="108" t="inlineStr">
        <is>
          <t>ILP «Ley de volver a casa»</t>
        </is>
      </c>
      <c r="B124" s="105" t="inlineStr">
        <is>
          <t>LAU 개정: 'resolución por obras' 조항 무효화. Mateo가 11년 전 Aguirre y Salvat에서 쓴 조항(47건 중 19건). 서명 54만. 심의 개시 78:168:104(찬:반:기권) 기각.</t>
        </is>
      </c>
      <c r="C124" s="109" t="inlineStr">
        <is>
          <t>8부 2~4화</t>
        </is>
      </c>
    </row>
    <row r="125" ht="15" customHeight="1" s="81">
      <c r="A125" s="108" t="inlineStr">
        <is>
          <t>정당 Casa Común</t>
        </is>
      </c>
      <c r="B125" s="105" t="inlineStr">
        <is>
          <t>당명은 Pepa의 «casa común». 공증 창립 문서 → 내무부 정당 등록부. 당 대표 Mateo. 서명 불가: Picasso(법적 사망), 불참: Inés(기자).</t>
        </is>
      </c>
      <c r="C125" s="109" t="inlineStr">
        <is>
          <t>8부 5화</t>
        </is>
      </c>
    </row>
    <row r="126" ht="15" customHeight="1" s="81">
      <c r="A126" s="108" t="inlineStr">
        <is>
          <t>정관</t>
        </is>
      </c>
      <c r="B126" s="105" t="inlineStr">
        <is>
          <t>총회 주권 · 집행위 7인(총회 위임) · 소환 3/5 · 지출은 2인 서명 · 피의자 처리 규정 · 급여 상한 = 20년 차 버스 기사, 초과분은 당·파업 기금 · 임기 2회 · 1인 1표.</t>
        </is>
      </c>
      <c r="C126" s="109" t="inlineStr">
        <is>
          <t>8부 6화</t>
        </is>
      </c>
    </row>
    <row r="127" ht="15" customHeight="1" s="81">
      <c r="A127" s="108" t="inlineStr">
        <is>
          <t>돈</t>
        </is>
      </c>
      <c r="B127" s="105" t="inlineStr">
        <is>
          <t>지점장 Lorena(Gonzalo의 옛 인턴). 법정 상한 1인 연 5만, 당 자체 상한 3천. 법인·익명 기부 0. Fundación Hogar y Futuro(이사장 Beatriz Olmedo) 제안 거절. 회계는 Tribunal de Cuentas + 웹 공개.</t>
        </is>
      </c>
      <c r="C127" s="109" t="inlineStr">
        <is>
          <t>8부 7화</t>
        </is>
      </c>
    </row>
    <row r="128" ht="15" customHeight="1" s="81">
      <c r="A128" s="108" t="inlineStr">
        <is>
          <t>명부</t>
        </is>
      </c>
      <c r="B128" s="105" t="inlineStr">
        <is>
          <t>시의회: 1 Sofía · 2 Gonzalo(cremallera) · 3 Milagros · 7 Iker · 41 Rafa Rueda · 57 Pepa. 자치의회: 1 Javier · 2 Yolanda. 후보 수락서 67장.</t>
        </is>
      </c>
      <c r="C128" s="109" t="inlineStr">
        <is>
          <t>8부 8화</t>
        </is>
      </c>
    </row>
    <row r="129" ht="15" customHeight="1" s="81">
      <c r="A129" s="108" t="inlineStr">
        <is>
          <t>캠페인·언론</t>
        </is>
      </c>
      <c r="B129" s="105" t="inlineStr">
        <is>
          <t>무료 게시 공간은 직전 득표 비례. 바예카스 14동 가가호호. 1면 기사 → 정정보도 청구(LO 2/1984). Gonzalo의 딸 Laura = 간호사.</t>
        </is>
      </c>
      <c r="C129" s="109" t="inlineStr">
        <is>
          <t>8부 9·10화</t>
        </is>
      </c>
    </row>
    <row r="130" ht="15" customHeight="1" s="81">
      <c r="A130" s="108" t="inlineStr">
        <is>
          <t>선거 결과(가상)</t>
        </is>
      </c>
      <c r="B130" s="105" t="inlineStr">
        <is>
          <t>시의회 57석: UCN 23 · PPS 19 · CC 9(14.8%) · HU 5 · Plataforma Vecinal 1. 자치의회: CC 11석(Javier·Yolanda 포함). 내부 조사 9%(공표 금지 기간).</t>
        </is>
      </c>
      <c r="C130" s="109" t="inlineStr">
        <is>
          <t>8부 11·12화</t>
        </is>
      </c>
    </row>
    <row r="131" ht="15" customHeight="1" s="81">
      <c r="A131" s="108" t="inlineStr">
        <is>
          <t>9부 1화</t>
        </is>
      </c>
      <c r="B131" s="105" t="inlineStr">
        <is>
          <t>PPS 협상 대표(가상)의 제안: Iriarte 알칼데 + Sofía 주거 부시장 ↔ 조례 1년 유예. 당원 긴급 온라인 투표 84% 거부(Diego는 16% 쪽, 승복). 연령 의장단 = 73세 UCN 의원 + Iker(24). 선서 «sí, prometo». 결과 UCN 28 · Iriarte 19 · Sofía 9 · 백지 1(PV). 의원단 사무실은 4층 한 칸. 첫 본회의 안건에 조례 없음.</t>
        </is>
      </c>
      <c r="C131" s="109" t="inlineStr">
        <is>
          <t>9부 1화</t>
        </is>
      </c>
    </row>
    <row r="132" ht="15" customHeight="1" s="81">
      <c r="A132" s="108" t="inlineStr">
        <is>
          <t>9부 2화 메모</t>
        </is>
      </c>
      <c r="B132" s="105" t="inlineStr">
        <is>
          <t>첫 정례 본회의(월 1회, 6월 마지막 주). 조례는 대변인 회의(목) 이후 등록이라 7월 본회의로. 긴급 동의안(moción de urgencia)은 긴급성부터 표결. Iker의 건의: 시 계약 업체의 가짜 인턴. Sofía의 질의 → 알칼데 «Cuenta General을 보라» → 3화 감사로 연결(제안).</t>
        </is>
      </c>
      <c r="C132" s="109" t="inlineStr">
        <is>
          <t>9부 2화</t>
        </is>
      </c>
    </row>
    <row r="133" ht="15" customHeight="1" s="81">
      <c r="A133" s="108" t="inlineStr">
        <is>
          <t>시그니처 사용</t>
        </is>
      </c>
      <c r="B133" s="105" t="inlineStr">
        <is>
          <t>Diego «Vale, sin diapositivas», Anselmo «No está mal», Anselmo 계단 숨참(11부 6화)은 계속 보존. Carmen 2차 폭발(«¡BASTA!»)은 9부 6화 전까지 쓰지 않음. Pepa «Uy.», Ramón «Informo:», Raimundo «Anota. Busca:»는 화당 1~3회.</t>
        </is>
      </c>
      <c r="C133" s="109" t="inlineStr">
        <is>
          <t>전체</t>
        </is>
      </c>
    </row>
    <row r="135" ht="15" customHeight="1" s="81">
      <c r="A135" s="106" t="inlineStr">
        <is>
          <t>12. 7부 8화~9부 1화 신규·재등장 가상 인물 부록</t>
        </is>
      </c>
    </row>
    <row r="136" ht="15" customHeight="1" s="81">
      <c r="A136" s="107" t="inlineStr">
        <is>
          <t>이름</t>
        </is>
      </c>
      <c r="B136" s="107" t="inlineStr">
        <is>
          <t>소속·역할 / 등장</t>
        </is>
      </c>
      <c r="C136" s="107" t="inlineStr">
        <is>
          <t>말투·호칭</t>
        </is>
      </c>
    </row>
    <row r="137" ht="15" customHeight="1" s="81">
      <c r="A137" s="108" t="inlineStr">
        <is>
          <t>Eusebio Palacios</t>
        </is>
      </c>
      <c r="B137" s="105" t="inlineStr">
        <is>
          <t>라바피에스 건물 주인 · 7부 9화(벽 문구 서면 허가)</t>
        </is>
      </c>
      <c r="C137" s="109" t="inlineStr">
        <is>
          <t>usted, 커피</t>
        </is>
      </c>
    </row>
    <row r="138" ht="15" customHeight="1" s="81">
      <c r="A138" s="108" t="inlineStr">
        <is>
          <t>Noa</t>
        </is>
      </c>
      <c r="B138" s="105" t="inlineStr">
        <is>
          <t>17세 고등학생, 서명 불가 · 8부 3화</t>
        </is>
      </c>
      <c r="C138" s="109" t="inlineStr">
        <is>
          <t>또래 말투, tú</t>
        </is>
      </c>
    </row>
    <row r="139" ht="15" customHeight="1" s="81">
      <c r="A139" s="108" t="inlineStr">
        <is>
          <t>Ángeles</t>
        </is>
      </c>
      <c r="B139" s="105" t="inlineStr">
        <is>
          <t>79세 세입자, ILP 첫 서명자 · 8부 1·4화</t>
        </is>
      </c>
      <c r="C139" s="109" t="inlineStr">
        <is>
          <t>usted, 느림</t>
        </is>
      </c>
    </row>
    <row r="140" ht="15" customHeight="1" s="81">
      <c r="A140" s="108" t="inlineStr">
        <is>
          <t>Lorena</t>
        </is>
      </c>
      <c r="B140" s="105" t="inlineStr">
        <is>
          <t>은행 지점장, Gonzalo의 옛 인턴 · 8부 7화</t>
        </is>
      </c>
      <c r="C140" s="109" t="inlineStr">
        <is>
          <t>Gonzalo와 tú</t>
        </is>
      </c>
    </row>
    <row r="141" ht="15" customHeight="1" s="81">
      <c r="A141" s="108" t="inlineStr">
        <is>
          <t>Emisario</t>
        </is>
      </c>
      <c r="B141" s="105" t="inlineStr">
        <is>
          <t>Fundación Hogar y Futuro 대리인 · 8부 7화</t>
        </is>
      </c>
      <c r="C141" s="109" t="inlineStr">
        <is>
          <t>매끄러운 존댓말</t>
        </is>
      </c>
    </row>
    <row r="142" ht="15" customHeight="1" s="81">
      <c r="A142" s="108" t="inlineStr">
        <is>
          <t>Laura</t>
        </is>
      </c>
      <c r="B142" s="105" t="inlineStr">
        <is>
          <t>Gonzalo의 딸, 간호사 · 8부 10화, 9부 1화(방청석)</t>
        </is>
      </c>
      <c r="C142" s="109" t="inlineStr">
        <is>
          <t>아버지와 tú</t>
        </is>
      </c>
    </row>
    <row r="143" ht="15" customHeight="1" s="81">
      <c r="A143" s="108" t="inlineStr">
        <is>
          <t>Marta Iriarte</t>
        </is>
      </c>
      <c r="B143" s="105" t="inlineStr">
        <is>
          <t>PPS 시의회 명부 1번(가상) · 9부 1화(언급)</t>
        </is>
      </c>
      <c r="C143" s="109" t="inlineStr">
        <is>
          <t>—</t>
        </is>
      </c>
    </row>
    <row r="144" ht="15" customHeight="1" s="81">
      <c r="A144" s="108" t="inlineStr">
        <is>
          <t>Negociadora</t>
        </is>
      </c>
      <c r="B144" s="105" t="inlineStr">
        <is>
          <t>PPS 협상 대표(가상) · 9부 1화</t>
        </is>
      </c>
      <c r="C144" s="109" t="inlineStr">
        <is>
          <t>단도직입, usted</t>
        </is>
      </c>
    </row>
    <row r="145" ht="15" customHeight="1" s="81">
      <c r="A145" s="108" t="inlineStr">
        <is>
          <t>Secretario</t>
        </is>
      </c>
      <c r="B145" s="105" t="inlineStr">
        <is>
          <t>시의회 사무총장(가상) · 9부 1화~</t>
        </is>
      </c>
      <c r="C145" s="109" t="inlineStr">
        <is>
          <t>의례 문구, «señora concejala»</t>
        </is>
      </c>
    </row>
    <row r="146" ht="15" customHeight="1" s="81">
      <c r="A146" s="108" t="inlineStr">
        <is>
          <t>Milagros Cano Herrera</t>
        </is>
      </c>
      <c r="B146" s="105" t="inlineStr">
        <is>
          <t>청소 노동자 대표 → 시의원(명부 3번) · 7부 2화, 8부 8화~</t>
        </is>
      </c>
      <c r="C146" s="109" t="inlineStr">
        <is>
          <t>직설, Nieves와 tú. 6년 전 시벨레스 청소</t>
        </is>
      </c>
    </row>
    <row r="147" ht="15" customHeight="1" s="81">
      <c r="A147" s="108" t="inlineStr">
        <is>
          <t>Iker Salas</t>
        </is>
      </c>
      <c r="B147" s="105" t="inlineStr">
        <is>
          <t>가짜 인턴 → 최연소 시의원(명부 7번, 24세) · 7부 2화, 9부 1화~</t>
        </is>
      </c>
      <c r="C147" s="109" t="inlineStr">
        <is>
          <t>짧고 급함, «Perdón», 또래에 tú</t>
        </is>
      </c>
    </row>
    <row r="148" ht="15" customHeight="1" s="81">
      <c r="A148" s="108" t="inlineStr">
        <is>
          <t>Plataforma Vecinal 의원</t>
        </is>
      </c>
      <c r="B148" s="105" t="inlineStr">
        <is>
          <t>시의원 1명, 알칼데 표결 백지 · 9부 1화</t>
        </is>
      </c>
      <c r="C148" s="109" t="inlineStr">
        <is>
          <t>대사 없음(제안: 9부 5화 캐스팅보트)</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F5597"/>
    <outlinePr summaryBelow="1" summaryRight="1"/>
    <pageSetUpPr fitToPage="1"/>
  </sheetPr>
  <dimension ref="A1:S19"/>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5" customWidth="1" style="80" min="1" max="1"/>
    <col width="14" customWidth="1" style="80" min="2" max="2"/>
    <col width="24" customWidth="1" style="80" min="3" max="3"/>
    <col width="10" customWidth="1" style="80" min="4" max="4"/>
    <col width="8" customWidth="1" style="80" min="5" max="5"/>
    <col width="10" customWidth="1" style="80" min="6" max="6"/>
    <col width="6" customWidth="1" style="80" min="7" max="7"/>
    <col width="22" customWidth="1" style="80" min="8" max="8"/>
    <col width="26" customWidth="1" style="80" min="9" max="9"/>
    <col width="30" customWidth="1" style="80" min="10" max="10"/>
    <col width="34" customWidth="1" style="80" min="11" max="11"/>
    <col width="44" customWidth="1" style="80" min="12" max="12"/>
    <col width="30" customWidth="1" style="80" min="13" max="13"/>
    <col width="36" customWidth="1" style="80" min="14" max="14"/>
    <col width="24" customWidth="1" style="80" min="15" max="15"/>
    <col width="20" customWidth="1" style="80" min="16" max="16"/>
    <col width="9" customWidth="1" style="80" min="17" max="17"/>
    <col width="11" customWidth="1" style="80" min="18" max="18"/>
    <col width="16" customWidth="1" style="80" min="19" max="19"/>
  </cols>
  <sheetData>
    <row r="1" ht="24" customHeight="1" s="81">
      <c r="A1" s="101" t="inlineStr">
        <is>
          <t>캐릭터 바이블 — 15인</t>
        </is>
      </c>
    </row>
    <row r="2" ht="15" customHeight="1" s="81">
      <c r="A2" s="83" t="inlineStr">
        <is>
          <t>La Vieja Guardia = Anselmo · Ramón · Raimundo  |  '대화문 장치' 열: 지문이 없으므로 이 인물이 말로 상황을 전달한다  |  등장 화 수·등급은 '등장비중' 시트에서 자동 조회  |  직책은 현실 직제 기준 제안  |  현안 담당 ID는 '현안_배치' 시트</t>
        </is>
      </c>
    </row>
    <row r="4" ht="31.5" customHeight="1" s="81">
      <c r="A4" s="110" t="inlineStr">
        <is>
          <t>No</t>
        </is>
      </c>
      <c r="B4" s="103" t="inlineStr">
        <is>
          <t>그룹</t>
        </is>
      </c>
      <c r="C4" s="103" t="inlineStr">
        <is>
          <t>이름</t>
        </is>
      </c>
      <c r="D4" s="103" t="inlineStr">
        <is>
          <t>약칭</t>
        </is>
      </c>
      <c r="E4" s="103" t="inlineStr">
        <is>
          <t>나이
(1부)</t>
        </is>
      </c>
      <c r="F4" s="103" t="inlineStr">
        <is>
          <t>나이
(11부)</t>
        </is>
      </c>
      <c r="G4" s="103" t="inlineStr">
        <is>
          <t>성별</t>
        </is>
      </c>
      <c r="H4" s="103" t="inlineStr">
        <is>
          <t>직업·신분</t>
        </is>
      </c>
      <c r="I4" s="103" t="inlineStr">
        <is>
          <t>전 소속 (가상)</t>
        </is>
      </c>
      <c r="J4" s="103" t="inlineStr">
        <is>
          <t>결핍 (Herida)</t>
        </is>
      </c>
      <c r="K4" s="103" t="inlineStr">
        <is>
          <t>말투</t>
        </is>
      </c>
      <c r="L4" s="103" t="inlineStr">
        <is>
          <t>시그니처 표현</t>
        </is>
      </c>
      <c r="M4" s="103" t="inlineStr">
        <is>
          <t>낭독 포인트</t>
        </is>
      </c>
      <c r="N4" s="103" t="inlineStr">
        <is>
          <t>대화문 장치 (지문 대체)</t>
        </is>
      </c>
      <c r="O4" s="103" t="inlineStr">
        <is>
          <t>정치 직책 (8~12부, 제안)</t>
        </is>
      </c>
      <c r="P4" s="110" t="inlineStr">
        <is>
          <t>1부 등장 방식</t>
        </is>
      </c>
      <c r="Q4" s="103" t="inlineStr">
        <is>
          <t>등장
화 수</t>
        </is>
      </c>
      <c r="R4" s="103" t="inlineStr">
        <is>
          <t>등급</t>
        </is>
      </c>
      <c r="S4" s="103" t="inlineStr">
        <is>
          <t>현안 담당
(ID)</t>
        </is>
      </c>
    </row>
    <row r="5" ht="93" customHeight="1" s="81">
      <c r="A5" s="111" t="n">
        <v>1</v>
      </c>
      <c r="B5" s="89" t="inlineStr">
        <is>
          <t>주력 4인</t>
        </is>
      </c>
      <c r="C5" s="91" t="inlineStr">
        <is>
          <t>Mateo Ferrer Alcántara</t>
        </is>
      </c>
      <c r="D5" s="91" t="inlineStr">
        <is>
          <t>Mateo</t>
        </is>
      </c>
      <c r="E5" s="112" t="n">
        <v>39</v>
      </c>
      <c r="F5" s="111">
        <f>E5+개요!$C$11</f>
        <v/>
      </c>
      <c r="G5" s="113" t="inlineStr">
        <is>
          <t>남</t>
        </is>
      </c>
      <c r="H5" s="89" t="inlineStr">
        <is>
          <t>변호사 (M&amp;A·규제 전문)</t>
        </is>
      </c>
      <c r="I5" s="88" t="inlineStr">
        <is>
          <t>Aguirre &amp; Salvat Abogados (전 파트너 후보)</t>
        </is>
      </c>
      <c r="J5" s="89" t="inlineStr">
        <is>
          <t>승소율은 높지만, 자신이 이긴 강제 퇴거 사건 하나가 계속 마음에 걸린다.</t>
        </is>
      </c>
      <c r="K5" s="89" t="inlineStr">
        <is>
          <t>문장이 완결되고 접속법이 정확한 격식체. 초반엔 차갑고 조항을 인용, 후반엔 연설가로 성장해 문장이 따뜻해진다.</t>
        </is>
      </c>
      <c r="L5" s="88" t="inlineStr">
        <is>
          <t>Vayamos por partes.
Con todo respeto, eso no es lo que dice el artículo.
(후반) No les pido que crean en mí. Les pido que lean el texto.
(8~13부, 정치 연설) Caminante, no hay camino, se hace camino al andar. (Machado)</t>
        </is>
      </c>
      <c r="M5" s="89" t="inlineStr">
        <is>
          <t>또박또박, 중저음. 쉼표마다 정확히 숨을 쉰다.</t>
        </is>
      </c>
      <c r="N5" s="89" t="inlineStr">
        <is>
          <t>조항을 소리 내어 읽어 법적 상황을 설명한다 (예: «Artículo 24: …»).</t>
        </is>
      </c>
      <c r="O5" s="89" t="inlineStr">
        <is>
          <t>당 대표(8부) → 하원의원·총리 후보(10부) → 총리 (Presidente del Gobierno)</t>
        </is>
      </c>
      <c r="P5" s="89" t="inlineStr">
        <is>
          <t>본격</t>
        </is>
      </c>
      <c r="Q5" s="111">
        <f>INDEX(등장비중!$O$5:$O$18,MATCH($D5,등장비중!$A$5:$A$18,0))</f>
        <v/>
      </c>
      <c r="R5" s="111">
        <f>INDEX(등장비중!$Q$5:$Q$18,MATCH($D5,등장비중!$A$5:$A$18,0))</f>
        <v/>
      </c>
      <c r="S5" s="111" t="inlineStr">
        <is>
          <t>P2·P3·N4</t>
        </is>
      </c>
    </row>
    <row r="6" ht="54.75" customHeight="1" s="81">
      <c r="A6" s="111" t="n">
        <v>2</v>
      </c>
      <c r="B6" s="89" t="inlineStr">
        <is>
          <t>주력 4인</t>
        </is>
      </c>
      <c r="C6" s="91" t="inlineStr">
        <is>
          <t>Javier Molina Ríos</t>
        </is>
      </c>
      <c r="D6" s="91" t="inlineStr">
        <is>
          <t>Javier</t>
        </is>
      </c>
      <c r="E6" s="112" t="n">
        <v>41</v>
      </c>
      <c r="F6" s="111">
        <f>E6+개요!$C$11</f>
        <v/>
      </c>
      <c r="G6" s="113" t="inlineStr">
        <is>
          <t>남</t>
        </is>
      </c>
      <c r="H6" s="89" t="inlineStr">
        <is>
          <t>응급의학과 전문의</t>
        </is>
      </c>
      <c r="I6" s="88" t="inlineStr">
        <is>
          <t>Hospital Universitario San Bartolomé (가상)</t>
        </is>
      </c>
      <c r="J6" s="89" t="inlineStr">
        <is>
          <t>살리지 못한 환자의 이름을 전부 외우고 있다.</t>
        </is>
      </c>
      <c r="K6" s="89" t="inlineStr">
        <is>
          <t>문장이 짧고 명령형이 많다. 블랙유머. 화가 나면 오히려 조용해진다.</t>
        </is>
      </c>
      <c r="L6" s="88" t="inlineStr">
        <is>
          <t>Eso no es una estadística; es una persona.
Primero, respira.
He visto cosas peores un martes cualquiera.</t>
        </is>
      </c>
      <c r="M6" s="89" t="inlineStr">
        <is>
          <t>빠른 템포, 짧은 호흡. 1부에서 B1 문장 길이를 지켜 주는 핵심 화자.</t>
        </is>
      </c>
      <c r="N6" s="89" t="inlineStr">
        <is>
          <t>명령형으로 행동을 말하며 진행한다 (예: «Tensión, oxígeno, sala dos.»). 행동 묘사 지문을 대신한다.</t>
        </is>
      </c>
      <c r="O6" s="89" t="inlineStr">
        <is>
          <t>자치의회 의원(9부) → 보건부 장관 (Ministro de Sanidad)</t>
        </is>
      </c>
      <c r="P6" s="89" t="inlineStr">
        <is>
          <t>본격</t>
        </is>
      </c>
      <c r="Q6" s="111">
        <f>INDEX(등장비중!$O$5:$O$18,MATCH($D6,등장비중!$A$5:$A$18,0))</f>
        <v/>
      </c>
      <c r="R6" s="111">
        <f>INDEX(등장비중!$Q$5:$Q$18,MATCH($D6,등장비중!$A$5:$A$18,0))</f>
        <v/>
      </c>
      <c r="S6" s="111" t="inlineStr">
        <is>
          <t>S3·S4·S2·N1</t>
        </is>
      </c>
    </row>
    <row r="7" ht="42" customHeight="1" s="81">
      <c r="A7" s="111" t="n">
        <v>3</v>
      </c>
      <c r="B7" s="89" t="inlineStr">
        <is>
          <t>주력 4인</t>
        </is>
      </c>
      <c r="C7" s="91" t="inlineStr">
        <is>
          <t>Sofía Lozano Prieto</t>
        </is>
      </c>
      <c r="D7" s="91" t="inlineStr">
        <is>
          <t>Sofía</t>
        </is>
      </c>
      <c r="E7" s="112" t="n">
        <v>37</v>
      </c>
      <c r="F7" s="111">
        <f>E7+개요!$C$11</f>
        <v/>
      </c>
      <c r="G7" s="113" t="inlineStr">
        <is>
          <t>여</t>
        </is>
      </c>
      <c r="H7" s="89" t="inlineStr">
        <is>
          <t>회계사 (감사·세무)</t>
        </is>
      </c>
      <c r="I7" s="88" t="inlineStr">
        <is>
          <t>Ochoa &amp; Ruiz Auditores (전 시니어 파트너)</t>
        </is>
      </c>
      <c r="J7" s="89" t="inlineStr">
        <is>
          <t>부정을 발견하고도 서명했던 기억. 다시는 서명하지 않겠다고 다짐한 사람.</t>
        </is>
      </c>
      <c r="K7" s="89" t="inlineStr">
        <is>
          <t>건조하고 정확. 숫자를 정확한 단위로 읽는다. 비꼬는 유머.</t>
        </is>
      </c>
      <c r="L7" s="88" t="inlineStr">
        <is>
          <t>A ver los papeles.
Esto no cuadra.
Enséñame los números y te diré quién eres.</t>
        </is>
      </c>
      <c r="M7" s="89" t="inlineStr">
        <is>
          <t>숫자를 읽을 때 속도를 일정하게 유지, 결론 문장에서 톤을 낮춘다.</t>
        </is>
      </c>
      <c r="N7" s="89" t="inlineStr">
        <is>
          <t>숫자를 소리 내어 읽으며 상황을 전달하고, 어려운 말을 '번역'해 준다 (예: «Lo traduzco yo.»).</t>
        </is>
      </c>
      <c r="O7" s="89" t="inlineStr">
        <is>
          <t>시의원(9부) → 부총리 겸 재무부 장관 (Hacienda)</t>
        </is>
      </c>
      <c r="P7" s="89" t="inlineStr">
        <is>
          <t>본격</t>
        </is>
      </c>
      <c r="Q7" s="111">
        <f>INDEX(등장비중!$O$5:$O$18,MATCH($D7,등장비중!$A$5:$A$18,0))</f>
        <v/>
      </c>
      <c r="R7" s="111">
        <f>INDEX(등장비중!$Q$5:$Q$18,MATCH($D7,등장비중!$A$5:$A$18,0))</f>
        <v/>
      </c>
      <c r="S7" s="111" t="inlineStr">
        <is>
          <t>E3·N2·E1</t>
        </is>
      </c>
    </row>
    <row r="8" ht="67.5" customHeight="1" s="81">
      <c r="A8" s="111" t="n">
        <v>4</v>
      </c>
      <c r="B8" s="89" t="inlineStr">
        <is>
          <t>주력 4인</t>
        </is>
      </c>
      <c r="C8" s="91" t="inlineStr">
        <is>
          <t>Diego Navarro Beltrán</t>
        </is>
      </c>
      <c r="D8" s="91" t="inlineStr">
        <is>
          <t>Diego</t>
        </is>
      </c>
      <c r="E8" s="112" t="n">
        <v>36</v>
      </c>
      <c r="F8" s="111">
        <f>E8+개요!$C$11</f>
        <v/>
      </c>
      <c r="G8" s="113" t="inlineStr">
        <is>
          <t>남</t>
        </is>
      </c>
      <c r="H8" s="89" t="inlineStr">
        <is>
          <t>전략 컨설턴트 (조직·정책 설계)</t>
        </is>
      </c>
      <c r="I8" s="88" t="inlineStr">
        <is>
          <t>Cenit Consultores (전 소속)</t>
        </is>
      </c>
      <c r="J8" s="89" t="inlineStr">
        <is>
          <t>자신이 만든 구조조정 엑셀 한 칸이 수백 명의 실직이었음을 뒤늦게 알게 된다.</t>
        </is>
      </c>
      <c r="K8" s="89" t="inlineStr">
        <is>
          <t>영어식 경영 용어가 섞인 빠른 말투 (alinear, escalable, impacto, stakeholders). 성장하며 쉬운 말로 바뀐다 — 이 변화 자체가 학습 포인트.</t>
        </is>
      </c>
      <c r="L8" s="88" t="inlineStr">
        <is>
          <t>Pongámoslo en una matriz.
(후반) Vale, sin diapositivas: ¿qué necesitas?</t>
        </is>
      </c>
      <c r="M8" s="89" t="inlineStr">
        <is>
          <t>초반엔 숨 가쁜 프레젠테이션 톤, 후반엔 느리고 솔직한 톤.</t>
        </is>
      </c>
      <c r="N8" s="89" t="inlineStr">
        <is>
          <t>프레젠테이션식 브리핑으로 계획과 상황을 설명한다.</t>
        </is>
      </c>
      <c r="O8" s="89" t="inlineStr">
        <is>
          <t>캠프 참모(8~10부) → 대통령실장 (Director del Gabinete de la Presidencia)</t>
        </is>
      </c>
      <c r="P8" s="89" t="inlineStr">
        <is>
          <t>본격</t>
        </is>
      </c>
      <c r="Q8" s="111">
        <f>INDEX(등장비중!$O$5:$O$18,MATCH($D8,등장비중!$A$5:$A$18,0))</f>
        <v/>
      </c>
      <c r="R8" s="111">
        <f>INDEX(등장비중!$Q$5:$Q$18,MATCH($D8,등장비중!$A$5:$A$18,0))</f>
        <v/>
      </c>
      <c r="S8" s="111" t="inlineStr">
        <is>
          <t>P1·E2·S1·N2</t>
        </is>
      </c>
    </row>
    <row r="9" ht="170.25" customHeight="1" s="81">
      <c r="A9" s="111" t="n">
        <v>5</v>
      </c>
      <c r="B9" s="89" t="inlineStr">
        <is>
          <t>올드보이 자문단</t>
        </is>
      </c>
      <c r="C9" s="91" t="inlineStr">
        <is>
          <t>Anselmo Vidal de Arteaga</t>
        </is>
      </c>
      <c r="D9" s="91" t="inlineStr">
        <is>
          <t>Anselmo</t>
        </is>
      </c>
      <c r="E9" s="112" t="n">
        <v>74</v>
      </c>
      <c r="F9" s="111">
        <f>E9+개요!$C$11</f>
        <v/>
      </c>
      <c r="G9" s="113" t="inlineStr">
        <is>
          <t>남</t>
        </is>
      </c>
      <c r="H9" s="89" t="inlineStr">
        <is>
          <t>은퇴 외교관 (전 주EU 대사)</t>
        </is>
      </c>
      <c r="I9" s="89" t="inlineStr">
        <is>
          <t>외교부 (전 주EU 대사) — 파벌 싸움에 밀려 은퇴</t>
        </is>
      </c>
      <c r="J9" s="89" t="inlineStr">
        <is>
          <t>초대장이 오지 않는 전화기를 본다. 엄살 뒤에 진짜 병(만성 심부전)을 숨기고 있다.</t>
        </is>
      </c>
      <c r="K9" s="89" t="inlineStr">
        <is>
          <t>우아하고 완곡. 조건법·접속법 과거를 자주 쓴다. 정중하게 독을 뿌리는 '가장 까칠하고 심술 맞은' 인물. 여럿에게는 ustedes.</t>
        </is>
      </c>
      <c r="L9" s="88" t="inlineStr">
        <is>
          <t>Permítame una precisión.
Cuando yo era embajador…
Discrepo, con todo el cariño.
Qué manera de estropear un buen café.
En mis tiempos, esto se arreglaba con una llamada.
No está mal. (최고의 칭찬 — 복선)
Este será mi último invierno. / Anótenlo en mi testamento.
(고전 인용) Toda la vida es sueño, y los sueños, sueños son. (Calderón) — 11부: Nuestras vidas son los ríos que van a dar en la mar, que es el morir. (Manrique)</t>
        </is>
      </c>
      <c r="M9" s="89" t="inlineStr">
        <is>
          <t>느리고 품위 있는 리듬. 문장 끝을 살짝 올리며 비꼰다.</t>
        </is>
      </c>
      <c r="N9" s="88" t="inlineStr">
        <is>
          <t>«Cuando yo era embajador…» 회상과 논평으로 분위기를 전달한다. 커피 불평으로 장소(Casa Pepa)를 알린다.</t>
        </is>
      </c>
      <c r="O9" s="89" t="inlineStr">
        <is>
          <t>외교 자문 (11부 6화 사망)</t>
        </is>
      </c>
      <c r="P9" s="89" t="inlineStr">
        <is>
          <t>준본격 (겨울 복선)</t>
        </is>
      </c>
      <c r="Q9" s="111">
        <f>INDEX(등장비중!$O$5:$O$18,MATCH($D9,등장비중!$A$5:$A$18,0))</f>
        <v/>
      </c>
      <c r="R9" s="111">
        <f>INDEX(등장비중!$Q$5:$Q$18,MATCH($D9,등장비중!$A$5:$A$18,0))</f>
        <v/>
      </c>
      <c r="S9" s="111" t="inlineStr">
        <is>
          <t>P2·E3</t>
        </is>
      </c>
    </row>
    <row r="10" ht="54.75" customHeight="1" s="81">
      <c r="A10" s="111" t="n">
        <v>6</v>
      </c>
      <c r="B10" s="89" t="inlineStr">
        <is>
          <t>올드보이 자문단</t>
        </is>
      </c>
      <c r="C10" s="91" t="inlineStr">
        <is>
          <t>Ramón Iturbe Calleja</t>
        </is>
      </c>
      <c r="D10" s="91" t="inlineStr">
        <is>
          <t>Ramón</t>
        </is>
      </c>
      <c r="E10" s="112" t="n">
        <v>68</v>
      </c>
      <c r="F10" s="111">
        <f>E10+개요!$C$11</f>
        <v/>
      </c>
      <c r="G10" s="113" t="inlineStr">
        <is>
          <t>남</t>
        </is>
      </c>
      <c r="H10" s="89" t="inlineStr">
        <is>
          <t>예편한 소장 (별 2개)</t>
        </is>
      </c>
      <c r="I10" s="89" t="inlineStr">
        <is>
          <t>육군 (소장으로 예편)</t>
        </is>
      </c>
      <c r="J10" s="89" t="inlineStr">
        <is>
          <t>방산 비리를 덮지 않아 별 하나를 더 달지 못했다.</t>
        </is>
      </c>
      <c r="K10" s="89" t="inlineStr">
        <is>
          <t>단문과 명령형 중심. 군대식 보고 형식.</t>
        </is>
      </c>
      <c r="L10" s="88" t="inlineStr">
        <is>
          <t>Sin novedad.
Esto se resuelve con logística, no con discursos.
¡Orden!</t>
        </is>
      </c>
      <c r="M10" s="89" t="inlineStr">
        <is>
          <t>짧고 단단하게 끊는다. 볼륨보다 명료함.</t>
        </is>
      </c>
      <c r="N10" s="89" t="inlineStr">
        <is>
          <t>보고 형식으로 현장 상황을 전달한다 (예: «Informo: …»).</t>
        </is>
      </c>
      <c r="O10" s="89" t="inlineStr">
        <is>
          <t>캠프 총괄(8~10부) → 국가안보실장 (Departamento de Seguridad Nacional)</t>
        </is>
      </c>
      <c r="P10" s="89" t="inlineStr">
        <is>
          <t>카메오</t>
        </is>
      </c>
      <c r="Q10" s="111">
        <f>INDEX(등장비중!$O$5:$O$18,MATCH($D10,등장비중!$A$5:$A$18,0))</f>
        <v/>
      </c>
      <c r="R10" s="111">
        <f>INDEX(등장비중!$Q$5:$Q$18,MATCH($D10,등장비중!$A$5:$A$18,0))</f>
        <v/>
      </c>
      <c r="S10" s="111" t="inlineStr">
        <is>
          <t>N1·N3·S3·N5</t>
        </is>
      </c>
    </row>
    <row r="11" ht="132" customHeight="1" s="81">
      <c r="A11" s="111" t="n">
        <v>7</v>
      </c>
      <c r="B11" s="89" t="inlineStr">
        <is>
          <t>올드보이 자문단</t>
        </is>
      </c>
      <c r="C11" s="91" t="inlineStr">
        <is>
          <t>Raimundo Salcedo Vera</t>
        </is>
      </c>
      <c r="D11" s="91" t="inlineStr">
        <is>
          <t>Raimundo</t>
        </is>
      </c>
      <c r="E11" s="112" t="n">
        <v>66</v>
      </c>
      <c r="F11" s="111">
        <f>E11+개요!$C$11</f>
        <v/>
      </c>
      <c r="G11" s="113" t="inlineStr">
        <is>
          <t>남</t>
        </is>
      </c>
      <c r="H11" s="89" t="inlineStr">
        <is>
          <t>전 CNI 요원, 현 고서점 주인</t>
        </is>
      </c>
      <c r="I11" s="88" t="inlineStr">
        <is>
          <t>CNI(국립정보센터) → 고서점 운영</t>
        </is>
      </c>
      <c r="J11" s="89" t="inlineStr">
        <is>
          <t>너무 많이 알아서 쫓겨났다. 지금은 고서점 안쪽 방에서 산다.</t>
        </is>
      </c>
      <c r="K11" s="89" t="inlineStr">
        <is>
          <t>낮고 느리며, 결론을 직접 말하지 않고 '출처만 가리킨다'. 모두에게 tú — 그래서 더 위협적. 욕은 하지 않는다.</t>
        </is>
      </c>
      <c r="L11" s="88" t="inlineStr">
        <is>
          <t>Yo no he dicho nada. Pero mira en…
No te lo digo. Te digo dónde está.
Casi todo está en fuentes abiertas. Solo hay que saber leer.
Búscalo tú.
Eso no lo sabes por mí.
Todo el mundo tiene un cajón que no abre.
(고전 인용, 서지 톤) Polvo serán, mas polvo enamorado. Quevedo, soneto «Amor constante más allá de la muerte».</t>
        </is>
      </c>
      <c r="M11" s="89" t="inlineStr">
        <is>
          <t>속삭이듯 낮은 음역. 문장 사이 호흡을 길게 둔다 (침묵 대신 출처 안내).</t>
        </is>
      </c>
      <c r="N11" s="89" t="inlineStr">
        <is>
          <t>카드(ficha)를 구술한다 («Anota. Busca: … Dónde: …»). 손짓 대신 «Tercera balda, a tu izquierda.»처럼 서가 위치를 말한다.</t>
        </is>
      </c>
      <c r="O11" s="89" t="inlineStr">
        <is>
          <t>정보기관 감독 개혁 자문 (CNI는 국방부 소속)</t>
        </is>
      </c>
      <c r="P11" s="89" t="inlineStr">
        <is>
          <t>카메오 (고서점 주인·바 단골)</t>
        </is>
      </c>
      <c r="Q11" s="111">
        <f>INDEX(등장비중!$O$5:$O$18,MATCH($D11,등장비중!$A$5:$A$18,0))</f>
        <v/>
      </c>
      <c r="R11" s="111">
        <f>INDEX(등장비중!$Q$5:$Q$18,MATCH($D11,등장비중!$A$5:$A$18,0))</f>
        <v/>
      </c>
      <c r="S11" s="111" t="inlineStr">
        <is>
          <t>P3</t>
        </is>
      </c>
    </row>
    <row r="12" ht="42" customHeight="1" s="81">
      <c r="A12" s="111" t="n">
        <v>8</v>
      </c>
      <c r="B12" s="89" t="inlineStr">
        <is>
          <t>올드보이 자문단</t>
        </is>
      </c>
      <c r="C12" s="91" t="inlineStr">
        <is>
          <t>Inés Carvajal</t>
        </is>
      </c>
      <c r="D12" s="91" t="inlineStr">
        <is>
          <t>Inés</t>
        </is>
      </c>
      <c r="E12" s="112" t="n">
        <v>52</v>
      </c>
      <c r="F12" s="111">
        <f>E12+개요!$C$11</f>
        <v/>
      </c>
      <c r="G12" s="113" t="inlineStr">
        <is>
          <t>여</t>
        </is>
      </c>
      <c r="H12" s="89" t="inlineStr">
        <is>
          <t>탐사보도 기자</t>
        </is>
      </c>
      <c r="I12" s="88" t="inlineStr">
        <is>
          <t>El Diario de la Capital (전 데스크) → 독립매체 La Hoja Abierta</t>
        </is>
      </c>
      <c r="J12" s="89" t="inlineStr">
        <is>
          <t>진실을 쓰다 쫓겨났고, 독립매체는 늘 적자다.</t>
        </is>
      </c>
      <c r="K12" s="89" t="inlineStr">
        <is>
          <t>질문형 문장이 많고 빠르고 정확. 취재할 때는 usted, 친해지면 tú.</t>
        </is>
      </c>
      <c r="L12" s="88" t="inlineStr">
        <is>
          <t>Necesito dos fuentes.
Eso, ¿lo puedes probar?
Esto no sale de aquí.</t>
        </is>
      </c>
      <c r="M12" s="89" t="inlineStr">
        <is>
          <t>뉴스 앵커 톤과 취재 현장의 거친 톤을 오간다.</t>
        </is>
      </c>
      <c r="N12" s="89" t="inlineStr">
        <is>
          <t>인터뷰 질문으로 사건의 경위와 시간 경과를 끌어낸다.</t>
        </is>
      </c>
      <c r="O12" s="89" t="inlineStr">
        <is>
          <t>커뮤니케이션 국무차관 (Secretaría de Estado de Comunicación)</t>
        </is>
      </c>
      <c r="P12" s="89" t="inlineStr">
        <is>
          <t>카메오</t>
        </is>
      </c>
      <c r="Q12" s="111">
        <f>INDEX(등장비중!$O$5:$O$18,MATCH($D12,등장비중!$A$5:$A$18,0))</f>
        <v/>
      </c>
      <c r="R12" s="111">
        <f>INDEX(등장비중!$Q$5:$Q$18,MATCH($D12,등장비중!$A$5:$A$18,0))</f>
        <v/>
      </c>
      <c r="S12" s="111" t="inlineStr">
        <is>
          <t>P3·N1</t>
        </is>
      </c>
    </row>
    <row r="13" ht="42" customHeight="1" s="81">
      <c r="A13" s="111" t="n">
        <v>9</v>
      </c>
      <c r="B13" s="89" t="inlineStr">
        <is>
          <t>올드보이 자문단</t>
        </is>
      </c>
      <c r="C13" s="91" t="inlineStr">
        <is>
          <t>Dra. Lucía Bermejo</t>
        </is>
      </c>
      <c r="D13" s="91" t="inlineStr">
        <is>
          <t>Lucía</t>
        </is>
      </c>
      <c r="E13" s="112" t="n">
        <v>49</v>
      </c>
      <c r="F13" s="111">
        <f>E13+개요!$C$11</f>
        <v/>
      </c>
      <c r="G13" s="113" t="inlineStr">
        <is>
          <t>여</t>
        </is>
      </c>
      <c r="H13" s="89" t="inlineStr">
        <is>
          <t>임상심리학자 (시간강사)</t>
        </is>
      </c>
      <c r="I13" s="89" t="inlineStr">
        <is>
          <t>대학 시간강사 (교수 임용 3회 낙방)</t>
        </is>
      </c>
      <c r="J13" s="89" t="inlineStr">
        <is>
          <t>논문은 많은데 세상이 알아주지 않아 자기 확신이 흔들린다.</t>
        </is>
      </c>
      <c r="K13" s="89" t="inlineStr">
        <is>
          <t>차분하고 천천히 말하며, 상대의 말을 되받아 정리한다.</t>
        </is>
      </c>
      <c r="L13" s="88" t="inlineStr">
        <is>
          <t>¿Y cómo te hace sentir eso? (다들 질색하는 반복 개그)
Fíjate en lo que no dice.</t>
        </is>
      </c>
      <c r="M13" s="89" t="inlineStr">
        <is>
          <t>부드럽고 낮은 톤, 일정한 속도.</t>
        </is>
      </c>
      <c r="N13" s="89" t="inlineStr">
        <is>
          <t>상대의 말을 되받아 요약해 준다 → 대화의 정리·복습 역할.</t>
        </is>
      </c>
      <c r="O13" s="89" t="inlineStr">
        <is>
          <t>메시지·정신건강 정책 자문</t>
        </is>
      </c>
      <c r="P13" s="89" t="inlineStr">
        <is>
          <t>카메오</t>
        </is>
      </c>
      <c r="Q13" s="111">
        <f>INDEX(등장비중!$O$5:$O$18,MATCH($D13,등장비중!$A$5:$A$18,0))</f>
        <v/>
      </c>
      <c r="R13" s="111">
        <f>INDEX(등장비중!$Q$5:$Q$18,MATCH($D13,등장비중!$A$5:$A$18,0))</f>
        <v/>
      </c>
      <c r="S13" s="111" t="inlineStr">
        <is>
          <t>N4·N5·S2</t>
        </is>
      </c>
    </row>
    <row r="14" ht="93" customHeight="1" s="81">
      <c r="A14" s="111" t="n">
        <v>10</v>
      </c>
      <c r="B14" s="89" t="inlineStr">
        <is>
          <t>서민·청년</t>
        </is>
      </c>
      <c r="C14" s="91" t="inlineStr">
        <is>
          <t>Josefa «Pepa» Ortega</t>
        </is>
      </c>
      <c r="D14" s="91" t="inlineStr">
        <is>
          <t>Pepa</t>
        </is>
      </c>
      <c r="E14" s="112" t="n">
        <v>63</v>
      </c>
      <c r="F14" s="111">
        <f>E14+개요!$C$11</f>
        <v/>
      </c>
      <c r="G14" s="113" t="inlineStr">
        <is>
          <t>여</t>
        </is>
      </c>
      <c r="H14" s="89" t="inlineStr">
        <is>
          <t>바 사장 (Casa Pepa, 30년 운영)</t>
        </is>
      </c>
      <c r="I14" s="88" t="inlineStr">
        <is>
          <t>Casa Pepa, Lavapiés → 사무소 1층으로 이전</t>
        </is>
      </c>
      <c r="J14" s="89" t="inlineStr">
        <is>
          <t>임대료 폭등으로 가게를 잃었다. 사무소 1층이 새 아지트가 된다.</t>
        </is>
      </c>
      <c r="K14" s="89" t="inlineStr">
        <is>
          <t>마드리드 토박이 구어체. 누구에게나 tú, 'hijo/hija'라고 부른다.</t>
        </is>
      </c>
      <c r="L14" s="88" t="inlineStr">
        <is>
          <t>Sentaos, que os pongo algo.
Con el estómago vacío no se piensa.
¡Anda ya!
Invita la casa.
(refranes) No hay mal que por bien no venga. / Dime con quién andas y te diré quién eres.</t>
        </is>
      </c>
      <c r="M14" s="89" t="inlineStr">
        <is>
          <t>따뜻하고 넉넉한 톤. 1부 B1 대화의 기준점.</t>
        </is>
      </c>
      <c r="N14" s="89" t="inlineStr">
        <is>
          <t>장면을 여는 사람: 시간·장소·식사를 말로 알린다 (예: «Son las cinco. Reunión en mi mesa.»).</t>
        </is>
      </c>
      <c r="O14" s="89" t="inlineStr">
        <is>
          <t>소상공인 정책 자문 (비공식)</t>
        </is>
      </c>
      <c r="P14" s="89" t="inlineStr">
        <is>
          <t>본격</t>
        </is>
      </c>
      <c r="Q14" s="111">
        <f>INDEX(등장비중!$O$5:$O$18,MATCH($D14,등장비중!$A$5:$A$18,0))</f>
        <v/>
      </c>
      <c r="R14" s="111">
        <f>INDEX(등장비중!$Q$5:$Q$18,MATCH($D14,등장비중!$A$5:$A$18,0))</f>
        <v/>
      </c>
      <c r="S14" s="111" t="inlineStr">
        <is>
          <t>E1·S2·E2</t>
        </is>
      </c>
    </row>
    <row r="15" ht="42" customHeight="1" s="81">
      <c r="A15" s="111" t="n">
        <v>11</v>
      </c>
      <c r="B15" s="89" t="inlineStr">
        <is>
          <t>서민·청년</t>
        </is>
      </c>
      <c r="C15" s="91" t="inlineStr">
        <is>
          <t>Nieves Barroso</t>
        </is>
      </c>
      <c r="D15" s="91" t="inlineStr">
        <is>
          <t>Nieves</t>
        </is>
      </c>
      <c r="E15" s="112" t="n">
        <v>55</v>
      </c>
      <c r="F15" s="111">
        <f>E15+개요!$C$11</f>
        <v/>
      </c>
      <c r="G15" s="113" t="inlineStr">
        <is>
          <t>여</t>
        </is>
      </c>
      <c r="H15" s="89" t="inlineStr">
        <is>
          <t>전 대중교통 노조위원장</t>
        </is>
      </c>
      <c r="I15" s="89" t="inlineStr">
        <is>
          <t>마드리드 대중교통 노조 (파업 책임으로 해고·블랙리스트)</t>
        </is>
      </c>
      <c r="J15" s="89" t="inlineStr">
        <is>
          <t>파업 책임으로 해고되어 블랙리스트에 올랐지만 후회하지 않는다.</t>
        </is>
      </c>
      <c r="K15" s="89" t="inlineStr">
        <is>
          <t>거칠고 직설적. 구호형 문장. 청중에겐 «compañeros y compañeras».</t>
        </is>
      </c>
      <c r="L15" s="88" t="inlineStr">
        <is>
          <t>¡Aquí no se rinde nadie!
Esto se arregla en la calle.
No me toques las narices.</t>
        </is>
      </c>
      <c r="M15" s="89" t="inlineStr">
        <is>
          <t>큰 볼륨, 강한 억양. 문장 끝을 내리꽂는다.</t>
        </is>
      </c>
      <c r="N15" s="89" t="inlineStr">
        <is>
          <t>구호와 함성으로 군중·현장의 분위기를 전달한다.</t>
        </is>
      </c>
      <c r="O15" s="89" t="inlineStr">
        <is>
          <t>사회적 대화(Diálogo Social) 자문</t>
        </is>
      </c>
      <c r="P15" s="89" t="inlineStr">
        <is>
          <t>카메오</t>
        </is>
      </c>
      <c r="Q15" s="111">
        <f>INDEX(등장비중!$O$5:$O$18,MATCH($D15,등장비중!$A$5:$A$18,0))</f>
        <v/>
      </c>
      <c r="R15" s="111">
        <f>INDEX(등장비중!$Q$5:$Q$18,MATCH($D15,등장비중!$A$5:$A$18,0))</f>
        <v/>
      </c>
      <c r="S15" s="111" t="inlineStr">
        <is>
          <t>S1·S2·E2</t>
        </is>
      </c>
    </row>
    <row r="16" ht="67.5" customHeight="1" s="81">
      <c r="A16" s="111" t="n">
        <v>12</v>
      </c>
      <c r="B16" s="89" t="inlineStr">
        <is>
          <t>서민·청년</t>
        </is>
      </c>
      <c r="C16" s="91" t="inlineStr">
        <is>
          <t>Tomás Iglesias</t>
        </is>
      </c>
      <c r="D16" s="91" t="inlineStr">
        <is>
          <t>Tomás</t>
        </is>
      </c>
      <c r="E16" s="112" t="n">
        <v>44</v>
      </c>
      <c r="F16" s="111">
        <f>E16+개요!$C$11</f>
        <v/>
      </c>
      <c r="G16" s="113" t="inlineStr">
        <is>
          <t>남</t>
        </is>
      </c>
      <c r="H16" s="88" t="inlineStr">
        <is>
          <t>20년째 작가 지망생 (연설문 작가)</t>
        </is>
      </c>
      <c r="I16" s="89" t="inlineStr">
        <is>
          <t>편의점 야간 알바·대필 (원고를 다섯 번 갈아엎음)</t>
        </is>
      </c>
      <c r="J16" s="89" t="inlineStr">
        <is>
          <t>자신의 첫 문장이 늘 불안하다.</t>
        </is>
      </c>
      <c r="K16" s="89" t="inlineStr">
        <is>
          <t>은유를 남발하다가 핀잔을 듣는다. 결정적 순간에는 가장 단순한 문장이 나온다.</t>
        </is>
      </c>
      <c r="L16" s="88" t="inlineStr">
        <is>
          <t>Es que la primera frase lo es todo.
Dejadme buscar una metáfora.
(고전 인용, 도피처) Verde que te quiero verde. (Lorca) / ¿Qué es poesía?… Poesía… eres tú. (Bécquer)</t>
        </is>
      </c>
      <c r="M16" s="89" t="inlineStr">
        <is>
          <t>시적일 때는 느리고 감정적, 평소엔 머뭇거리는 톤.</t>
        </is>
      </c>
      <c r="N16" s="89" t="inlineStr">
        <is>
          <t>초고를 소리 내어 읽으며 연설·글의 내용을 보여 준다.</t>
        </is>
      </c>
      <c r="O16" s="89" t="inlineStr">
        <is>
          <t>연설 담당관 (Gabinete)</t>
        </is>
      </c>
      <c r="P16" s="89" t="inlineStr">
        <is>
          <t>카메오 (고서점 손님 — Raimundo와 연결)</t>
        </is>
      </c>
      <c r="Q16" s="111">
        <f>INDEX(등장비중!$O$5:$O$18,MATCH($D16,등장비중!$A$5:$A$18,0))</f>
        <v/>
      </c>
      <c r="R16" s="111">
        <f>INDEX(등장비중!$Q$5:$Q$18,MATCH($D16,등장비중!$A$5:$A$18,0))</f>
        <v/>
      </c>
      <c r="S16" s="111" t="inlineStr">
        <is>
          <t>N1·N5</t>
        </is>
      </c>
    </row>
    <row r="17" ht="67.5" customHeight="1" s="81">
      <c r="A17" s="111" t="n">
        <v>13</v>
      </c>
      <c r="B17" s="89" t="inlineStr">
        <is>
          <t>서민·청년</t>
        </is>
      </c>
      <c r="C17" s="91" t="inlineStr">
        <is>
          <t>Carmen Solano</t>
        </is>
      </c>
      <c r="D17" s="91" t="inlineStr">
        <is>
          <t>Carmen</t>
        </is>
      </c>
      <c r="E17" s="112" t="n">
        <v>23</v>
      </c>
      <c r="F17" s="111">
        <f>E17+개요!$C$11</f>
        <v/>
      </c>
      <c r="G17" s="113" t="inlineStr">
        <is>
          <t>여</t>
        </is>
      </c>
      <c r="H17" s="89" t="inlineStr">
        <is>
          <t>신입 인턴 (독자의 대리인)</t>
        </is>
      </c>
      <c r="I17" s="89" t="inlineStr">
        <is>
          <t>대기업 인턴 출신 (부당 해고), 월세 밀림</t>
        </is>
      </c>
      <c r="J17" s="89" t="inlineStr">
        <is>
          <t>대기업 인턴에서 부당하게 쫓겨났고 월세가 밀려 있다.</t>
        </is>
      </c>
      <c r="K17" s="88" t="inlineStr">
        <is>
          <t>Z세대 구어체 (en plan, literal, flipar, mola). 어른들에겐 usted, 성장하며 tú로 넘어간다. 폭발은 1부·9부 단 2회.</t>
        </is>
      </c>
      <c r="L17" s="88" t="inlineStr">
        <is>
          <t>Perdone, ¿qué significa eso?
¿Me lo explica como si tuviera cinco años?
Vale, pero… ¿eso qué es?
¡BASTA! ¡No entiendo nada! (폭발 — 1부·9부 각 1회)</t>
        </is>
      </c>
      <c r="M17" s="89" t="inlineStr">
        <is>
          <t>빠르고 밝은 톤, 짧은 문장. 어려운 용어 뒤에는 반드시 Carmen의 질문이 온다.</t>
        </is>
      </c>
      <c r="N17" s="89" t="inlineStr">
        <is>
          <t>질문으로 용어와 배경을 끌어낸다. 지문 대신 장소·상황을 되묻는 질문으로 밝히기도 한다.</t>
        </is>
      </c>
      <c r="O17" s="89" t="inlineStr">
        <is>
          <t>시의원 보좌(9부) → 청년 정책 자문관 (Gabinete)</t>
        </is>
      </c>
      <c r="P17" s="89" t="inlineStr">
        <is>
          <t>본격</t>
        </is>
      </c>
      <c r="Q17" s="111">
        <f>INDEX(등장비중!$O$5:$O$18,MATCH($D17,등장비중!$A$5:$A$18,0))</f>
        <v/>
      </c>
      <c r="R17" s="111">
        <f>INDEX(등장비중!$Q$5:$Q$18,MATCH($D17,등장비중!$A$5:$A$18,0))</f>
        <v/>
      </c>
      <c r="S17" s="111" t="inlineStr">
        <is>
          <t>S1·E1</t>
        </is>
      </c>
    </row>
    <row r="18" ht="42" customHeight="1" s="81">
      <c r="A18" s="111" t="n">
        <v>14</v>
      </c>
      <c r="B18" s="89" t="inlineStr">
        <is>
          <t>금융</t>
        </is>
      </c>
      <c r="C18" s="91" t="inlineStr">
        <is>
          <t>Gonzalo Arévalo Sanz</t>
        </is>
      </c>
      <c r="D18" s="91" t="inlineStr">
        <is>
          <t>Gonzalo</t>
        </is>
      </c>
      <c r="E18" s="112" t="n">
        <v>58</v>
      </c>
      <c r="F18" s="111">
        <f>E18+개요!$C$11</f>
        <v/>
      </c>
      <c r="G18" s="113" t="inlineStr">
        <is>
          <t>남</t>
        </is>
      </c>
      <c r="H18" s="89" t="inlineStr">
        <is>
          <t>전 은행 지점장</t>
        </is>
      </c>
      <c r="I18" s="88" t="inlineStr">
        <is>
          <t>Banco Ibérico (25년 근속)</t>
        </is>
      </c>
      <c r="J18" s="89" t="inlineStr">
        <is>
          <t>불법 대출 공모를 내부 고발하다 해고되었고, 가족에게도 이유를 다 말하지 못했다.</t>
        </is>
      </c>
      <c r="K18" s="89" t="inlineStr">
        <is>
          <t>정중하고 조심스러운 은행원식 완곡어법. 비유가 실무적 («돈은 물처럼 낮은 곳으로 흐릅니다»).</t>
        </is>
      </c>
      <c r="L18" s="88" t="inlineStr">
        <is>
          <t>Sigue el dinero.
El dinero siempre deja huella.
Cuando yo dirigía la sucursal…</t>
        </is>
      </c>
      <c r="M18" s="89" t="inlineStr">
        <is>
          <t>차분하고 신중하게. 숫자와 계좌 경로를 설명할 때는 또렷하게.</t>
        </is>
      </c>
      <c r="N18" s="89" t="inlineStr">
        <is>
          <t>돈의 경로를 «De A pasa a B…»식으로 말로 그려 준다.</t>
        </is>
      </c>
      <c r="O18" s="89" t="inlineStr">
        <is>
          <t>금융 개혁 자문</t>
        </is>
      </c>
      <c r="P18" s="89" t="inlineStr">
        <is>
          <t>카메오 (의뢰인)</t>
        </is>
      </c>
      <c r="Q18" s="111">
        <f>INDEX(등장비중!$O$5:$O$18,MATCH($D18,등장비중!$A$5:$A$18,0))</f>
        <v/>
      </c>
      <c r="R18" s="111">
        <f>INDEX(등장비중!$Q$5:$Q$18,MATCH($D18,등장비중!$A$5:$A$18,0))</f>
        <v/>
      </c>
      <c r="S18" s="111" t="inlineStr">
        <is>
          <t>E3·N2</t>
        </is>
      </c>
    </row>
    <row r="19" ht="100.5" customHeight="1" s="81">
      <c r="A19" s="111" t="n">
        <v>15</v>
      </c>
      <c r="B19" s="89" t="inlineStr">
        <is>
          <t>특별 인물</t>
        </is>
      </c>
      <c r="C19" s="91" t="inlineStr">
        <is>
          <t>Miguel de Cervantes Saavedra</t>
        </is>
      </c>
      <c r="D19" s="91" t="inlineStr">
        <is>
          <t>Cervantes</t>
        </is>
      </c>
      <c r="E19" s="112" t="n">
        <v>68</v>
      </c>
      <c r="F19" s="111">
        <f>E19+개요!$C$11</f>
        <v/>
      </c>
      <c r="G19" s="113" t="inlineStr">
        <is>
          <t>남</t>
        </is>
      </c>
      <c r="H19" s="89" t="inlineStr">
        <is>
          <t>소설가·극작가 (부활 후 무직 → 사무소 자료실 담당)</t>
        </is>
      </c>
      <c r="I19" s="89" t="inlineStr">
        <is>
          <t>무적함대 식량·세금 징수관 (역사적 배경, 가상 반영) → 1616년 사망 → 3부에서 부활</t>
        </is>
      </c>
      <c r="J19" s="89" t="inlineStr">
        <is>
          <t>살아서는 가난·투옥·인정받지 못함. 이제 모두가 이름은 아는데 아무도 그가 '그 사람'이라 믿지 않고, 왜 돌아왔는지 본인도 모른다.</t>
        </is>
      </c>
      <c r="K19" s="89" t="inlineStr">
        <is>
          <t>어른에게는 vuestra merced(3인칭 동사), 젊은이에게는 vos(-áis/-éis). venta·brebaje·ingenio·mas·había de 등 옛 어휘. 철자는 현대식.</t>
        </is>
      </c>
      <c r="L19" s="88" t="inlineStr">
        <is>
          <t>Para servir a vuestras mercedes.
Jamás escribí tal cosa.
(고전 인용, 본인 작품만 정확히) «Cada uno es hijo de sus obras.» (Quijote 1부 4장)</t>
        </is>
      </c>
      <c r="M19" s="89" t="inlineStr">
        <is>
          <t>정중한 고어체 리듬, 현대 철자로 알아듣기 쉽게. vuestra merced/vos 사용을 낭독 포인트로 삼는다.</t>
        </is>
      </c>
      <c r="N19" s="89" t="inlineStr">
        <is>
          <t>현대 사물을 옛말로 묘사하면 주변 인물이 현대어로 정정해 준다 (양방향 어휘 학습 장치). 가짜 명언은 본인이 직접 교정한다.</t>
        </is>
      </c>
      <c r="O19" s="89" t="inlineStr">
        <is>
          <t>(7부) 민사등록·신원 회복 의뢰인 → (8부) 창당 발기인 → (10부) 하원의원(Madrid 명부) → (11~12부) 문화부 장관 (Ministro de Cultura), 12부 Anselmo 사후 외교 비공식 자문 겸임</t>
        </is>
      </c>
      <c r="P19" s="89" t="inlineStr">
        <is>
          <t>미등장 (3부 1화부터 등장)</t>
        </is>
      </c>
      <c r="Q19" s="111">
        <f>INDEX(등장비중!$O$5:$O$19,MATCH($D19,등장비중!$A$5:$A$19,0))</f>
        <v/>
      </c>
      <c r="R19" s="111">
        <f>INDEX(등장비중!$Q$5:$Q$19,MATCH($D19,등장비중!$A$5:$A$19,0))</f>
        <v/>
      </c>
      <c r="S19" s="111" t="inlineStr">
        <is>
          <t>—</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tabColor rgb="FF2F5597"/>
    <outlinePr summaryBelow="1" summaryRight="1"/>
    <pageSetUpPr fitToPage="1"/>
  </sheetPr>
  <dimension ref="A1:S39"/>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24" customWidth="1" style="80" min="1" max="1"/>
    <col width="9" customWidth="1" style="80" min="2" max="14"/>
    <col width="8" customWidth="1" style="80" min="15" max="16"/>
    <col width="11" customWidth="1" style="80" min="17" max="17"/>
    <col width="9" customWidth="1" style="80" min="18" max="18"/>
    <col width="12" customWidth="1" style="80" min="19" max="19"/>
  </cols>
  <sheetData>
    <row r="1" ht="24" customHeight="1" s="81">
      <c r="A1" s="101" t="inlineStr">
        <is>
          <t>인물별 등장 비중 (부별 등장 화 수)</t>
        </is>
      </c>
    </row>
    <row r="2" ht="15" customHeight="1" s="81">
      <c r="A2" s="100" t="inlineStr">
        <is>
          <t>등장 화 = 대사가 있는 화 수 (기획용 초안). 파란 숫자는 직접 입력값이며 수정하면 합계·비중·등급이 자동 갱신됩니다.</t>
        </is>
      </c>
    </row>
    <row r="4" ht="43.5" customHeight="1" s="81">
      <c r="A4" s="103" t="inlineStr">
        <is>
          <t>인물 (약칭)</t>
        </is>
      </c>
      <c r="B4" s="110" t="inlineStr">
        <is>
          <t>1부
사무소</t>
        </is>
      </c>
      <c r="C4" s="110" t="inlineStr">
        <is>
          <t>2부
Mateo</t>
        </is>
      </c>
      <c r="D4" s="110" t="inlineStr">
        <is>
          <t>3부
Javier</t>
        </is>
      </c>
      <c r="E4" s="110" t="inlineStr">
        <is>
          <t>4부
Sofía</t>
        </is>
      </c>
      <c r="F4" s="110" t="inlineStr">
        <is>
          <t>5부
Diego</t>
        </is>
      </c>
      <c r="G4" s="110" t="inlineStr">
        <is>
          <t>6부
만남</t>
        </is>
      </c>
      <c r="H4" s="110" t="inlineStr">
        <is>
          <t>7부
전면전</t>
        </is>
      </c>
      <c r="I4" s="110" t="inlineStr">
        <is>
          <t>8부
창당</t>
        </is>
      </c>
      <c r="J4" s="110" t="inlineStr">
        <is>
          <t>9부
지방 의회</t>
        </is>
      </c>
      <c r="K4" s="110" t="inlineStr">
        <is>
          <t>10부
총선·총리</t>
        </is>
      </c>
      <c r="L4" s="110" t="inlineStr">
        <is>
          <t>11부
국정 I</t>
        </is>
      </c>
      <c r="M4" s="110" t="inlineStr">
        <is>
          <t>12부
국정 II</t>
        </is>
      </c>
      <c r="N4" s="110" t="inlineStr">
        <is>
          <t>13부
귀환</t>
        </is>
      </c>
      <c r="O4" s="103" t="inlineStr">
        <is>
          <t>합계</t>
        </is>
      </c>
      <c r="P4" s="103" t="inlineStr">
        <is>
          <t>비중</t>
        </is>
      </c>
      <c r="Q4" s="103" t="inlineStr">
        <is>
          <t>등급</t>
        </is>
      </c>
      <c r="R4" s="103" t="inlineStr">
        <is>
          <t>검증
(≤부당 화 수)</t>
        </is>
      </c>
      <c r="S4" s="103" t="inlineStr">
        <is>
          <t>단독 중심 화
목표 (조연)</t>
        </is>
      </c>
    </row>
    <row r="5" ht="15" customHeight="1" s="81">
      <c r="A5" s="114" t="inlineStr">
        <is>
          <t>Mateo</t>
        </is>
      </c>
      <c r="B5" s="115" t="n">
        <v>7</v>
      </c>
      <c r="C5" s="115" t="n">
        <v>12</v>
      </c>
      <c r="D5" s="115" t="n">
        <v>3</v>
      </c>
      <c r="E5" s="115" t="n">
        <v>3</v>
      </c>
      <c r="F5" s="115" t="n">
        <v>3</v>
      </c>
      <c r="G5" s="115" t="n">
        <v>12</v>
      </c>
      <c r="H5" s="115" t="n">
        <v>11</v>
      </c>
      <c r="I5" s="115" t="n">
        <v>12</v>
      </c>
      <c r="J5" s="115" t="n">
        <v>11</v>
      </c>
      <c r="K5" s="115" t="n">
        <v>11</v>
      </c>
      <c r="L5" s="115" t="n">
        <v>10</v>
      </c>
      <c r="M5" s="115" t="n">
        <v>3</v>
      </c>
      <c r="N5" s="115" t="n">
        <v>10</v>
      </c>
      <c r="O5" s="116">
        <f>SUM(B5:N5)</f>
        <v/>
      </c>
      <c r="P5" s="117">
        <f>O5/개요!$C$7</f>
        <v/>
      </c>
      <c r="Q5" s="116">
        <f>IF(P5&gt;=$B$23,"주연",IF(P5&gt;=$B$24,"준주연",IF(P5&gt;=$B$25,"핵심 조연","조연")))</f>
        <v/>
      </c>
      <c r="R5" s="116">
        <f>IF(MAX(B5:N5)&lt;=개요!$C$6,"OK","확인")</f>
        <v/>
      </c>
      <c r="S5" s="116" t="inlineStr">
        <is>
          <t>—</t>
        </is>
      </c>
    </row>
    <row r="6" ht="15" customHeight="1" s="81">
      <c r="A6" s="114" t="inlineStr">
        <is>
          <t>Javier</t>
        </is>
      </c>
      <c r="B6" s="115" t="n">
        <v>6</v>
      </c>
      <c r="C6" s="115" t="n">
        <v>3</v>
      </c>
      <c r="D6" s="115" t="n">
        <v>12</v>
      </c>
      <c r="E6" s="115" t="n">
        <v>3</v>
      </c>
      <c r="F6" s="115" t="n">
        <v>3</v>
      </c>
      <c r="G6" s="115" t="n">
        <v>12</v>
      </c>
      <c r="H6" s="115" t="n">
        <v>10</v>
      </c>
      <c r="I6" s="115" t="n">
        <v>10</v>
      </c>
      <c r="J6" s="115" t="n">
        <v>8</v>
      </c>
      <c r="K6" s="115" t="n">
        <v>10</v>
      </c>
      <c r="L6" s="115" t="n">
        <v>10</v>
      </c>
      <c r="M6" s="115" t="n">
        <v>2</v>
      </c>
      <c r="N6" s="115" t="n">
        <v>9</v>
      </c>
      <c r="O6" s="116">
        <f>SUM(B6:N6)</f>
        <v/>
      </c>
      <c r="P6" s="117">
        <f>O6/개요!$C$7</f>
        <v/>
      </c>
      <c r="Q6" s="116">
        <f>IF(P6&gt;=$B$23,"주연",IF(P6&gt;=$B$24,"준주연",IF(P6&gt;=$B$25,"핵심 조연","조연")))</f>
        <v/>
      </c>
      <c r="R6" s="116">
        <f>IF(MAX(B6:N6)&lt;=개요!$C$6,"OK","확인")</f>
        <v/>
      </c>
      <c r="S6" s="116" t="inlineStr">
        <is>
          <t>—</t>
        </is>
      </c>
    </row>
    <row r="7" ht="15" customHeight="1" s="81">
      <c r="A7" s="114" t="inlineStr">
        <is>
          <t>Sofía</t>
        </is>
      </c>
      <c r="B7" s="115" t="n">
        <v>7</v>
      </c>
      <c r="C7" s="115" t="n">
        <v>3</v>
      </c>
      <c r="D7" s="115" t="n">
        <v>3</v>
      </c>
      <c r="E7" s="115" t="n">
        <v>12</v>
      </c>
      <c r="F7" s="115" t="n">
        <v>3</v>
      </c>
      <c r="G7" s="115" t="n">
        <v>12</v>
      </c>
      <c r="H7" s="115" t="n">
        <v>11</v>
      </c>
      <c r="I7" s="115" t="n">
        <v>10</v>
      </c>
      <c r="J7" s="115" t="n">
        <v>10</v>
      </c>
      <c r="K7" s="115" t="n">
        <v>11</v>
      </c>
      <c r="L7" s="115" t="n">
        <v>10</v>
      </c>
      <c r="M7" s="115" t="n">
        <v>8</v>
      </c>
      <c r="N7" s="115" t="n">
        <v>9</v>
      </c>
      <c r="O7" s="116">
        <f>SUM(B7:N7)</f>
        <v/>
      </c>
      <c r="P7" s="117">
        <f>O7/개요!$C$7</f>
        <v/>
      </c>
      <c r="Q7" s="116">
        <f>IF(P7&gt;=$B$23,"주연",IF(P7&gt;=$B$24,"준주연",IF(P7&gt;=$B$25,"핵심 조연","조연")))</f>
        <v/>
      </c>
      <c r="R7" s="116">
        <f>IF(MAX(B7:N7)&lt;=개요!$C$6,"OK","확인")</f>
        <v/>
      </c>
      <c r="S7" s="116" t="inlineStr">
        <is>
          <t>—</t>
        </is>
      </c>
    </row>
    <row r="8" ht="15" customHeight="1" s="81">
      <c r="A8" s="114" t="inlineStr">
        <is>
          <t>Diego</t>
        </is>
      </c>
      <c r="B8" s="115" t="n">
        <v>6</v>
      </c>
      <c r="C8" s="115" t="n">
        <v>3</v>
      </c>
      <c r="D8" s="115" t="n">
        <v>3</v>
      </c>
      <c r="E8" s="115" t="n">
        <v>3</v>
      </c>
      <c r="F8" s="115" t="n">
        <v>12</v>
      </c>
      <c r="G8" s="115" t="n">
        <v>12</v>
      </c>
      <c r="H8" s="115" t="n">
        <v>10</v>
      </c>
      <c r="I8" s="115" t="n">
        <v>11</v>
      </c>
      <c r="J8" s="115" t="n">
        <v>10</v>
      </c>
      <c r="K8" s="115" t="n">
        <v>10</v>
      </c>
      <c r="L8" s="115" t="n">
        <v>9</v>
      </c>
      <c r="M8" s="115" t="n">
        <v>3</v>
      </c>
      <c r="N8" s="115" t="n">
        <v>9</v>
      </c>
      <c r="O8" s="116">
        <f>SUM(B8:N8)</f>
        <v/>
      </c>
      <c r="P8" s="117">
        <f>O8/개요!$C$7</f>
        <v/>
      </c>
      <c r="Q8" s="116">
        <f>IF(P8&gt;=$B$23,"주연",IF(P8&gt;=$B$24,"준주연",IF(P8&gt;=$B$25,"핵심 조연","조연")))</f>
        <v/>
      </c>
      <c r="R8" s="116">
        <f>IF(MAX(B8:N8)&lt;=개요!$C$6,"OK","확인")</f>
        <v/>
      </c>
      <c r="S8" s="116" t="inlineStr">
        <is>
          <t>—</t>
        </is>
      </c>
    </row>
    <row r="9" ht="15" customHeight="1" s="81">
      <c r="A9" s="114" t="inlineStr">
        <is>
          <t>Anselmo</t>
        </is>
      </c>
      <c r="B9" s="115" t="n">
        <v>4</v>
      </c>
      <c r="C9" s="115" t="n">
        <v>2</v>
      </c>
      <c r="D9" s="115" t="n">
        <v>2</v>
      </c>
      <c r="E9" s="115" t="n">
        <v>2</v>
      </c>
      <c r="F9" s="115" t="n">
        <v>2</v>
      </c>
      <c r="G9" s="115" t="n">
        <v>7</v>
      </c>
      <c r="H9" s="115" t="n">
        <v>9</v>
      </c>
      <c r="I9" s="115" t="n">
        <v>7</v>
      </c>
      <c r="J9" s="115" t="n">
        <v>9</v>
      </c>
      <c r="K9" s="115" t="n">
        <v>9</v>
      </c>
      <c r="L9" s="115" t="n">
        <v>9</v>
      </c>
      <c r="M9" s="115" t="n">
        <v>0</v>
      </c>
      <c r="N9" s="115" t="n">
        <v>3</v>
      </c>
      <c r="O9" s="116">
        <f>SUM(B9:N9)</f>
        <v/>
      </c>
      <c r="P9" s="117">
        <f>O9/개요!$C$7</f>
        <v/>
      </c>
      <c r="Q9" s="116">
        <f>IF(P9&gt;=$B$23,"주연",IF(P9&gt;=$B$24,"준주연",IF(P9&gt;=$B$25,"핵심 조연","조연")))</f>
        <v/>
      </c>
      <c r="R9" s="116">
        <f>IF(MAX(B9:N9)&lt;=개요!$C$6,"OK","확인")</f>
        <v/>
      </c>
      <c r="S9" s="115" t="n">
        <v>2</v>
      </c>
    </row>
    <row r="10" ht="15" customHeight="1" s="81">
      <c r="A10" s="114" t="inlineStr">
        <is>
          <t>Ramón</t>
        </is>
      </c>
      <c r="B10" s="115" t="n">
        <v>3</v>
      </c>
      <c r="C10" s="115" t="n">
        <v>1</v>
      </c>
      <c r="D10" s="115" t="n">
        <v>1</v>
      </c>
      <c r="E10" s="115" t="n">
        <v>1</v>
      </c>
      <c r="F10" s="115" t="n">
        <v>1</v>
      </c>
      <c r="G10" s="115" t="n">
        <v>6</v>
      </c>
      <c r="H10" s="115" t="n">
        <v>8</v>
      </c>
      <c r="I10" s="115" t="n">
        <v>9</v>
      </c>
      <c r="J10" s="115" t="n">
        <v>8</v>
      </c>
      <c r="K10" s="115" t="n">
        <v>8</v>
      </c>
      <c r="L10" s="115" t="n">
        <v>7</v>
      </c>
      <c r="M10" s="115" t="n">
        <v>4</v>
      </c>
      <c r="N10" s="115" t="n">
        <v>7</v>
      </c>
      <c r="O10" s="116">
        <f>SUM(B10:N10)</f>
        <v/>
      </c>
      <c r="P10" s="117">
        <f>O10/개요!$C$7</f>
        <v/>
      </c>
      <c r="Q10" s="116">
        <f>IF(P10&gt;=$B$23,"주연",IF(P10&gt;=$B$24,"준주연",IF(P10&gt;=$B$25,"핵심 조연","조연")))</f>
        <v/>
      </c>
      <c r="R10" s="116">
        <f>IF(MAX(B10:N10)&lt;=개요!$C$6,"OK","확인")</f>
        <v/>
      </c>
      <c r="S10" s="115" t="n">
        <v>2</v>
      </c>
    </row>
    <row r="11" ht="15" customHeight="1" s="81">
      <c r="A11" s="114" t="inlineStr">
        <is>
          <t>Raimundo</t>
        </is>
      </c>
      <c r="B11" s="115" t="n">
        <v>3</v>
      </c>
      <c r="C11" s="115" t="n">
        <v>1</v>
      </c>
      <c r="D11" s="115" t="n">
        <v>1</v>
      </c>
      <c r="E11" s="115" t="n">
        <v>2</v>
      </c>
      <c r="F11" s="115" t="n">
        <v>1</v>
      </c>
      <c r="G11" s="115" t="n">
        <v>5</v>
      </c>
      <c r="H11" s="115" t="n">
        <v>8</v>
      </c>
      <c r="I11" s="115" t="n">
        <v>6</v>
      </c>
      <c r="J11" s="115" t="n">
        <v>8</v>
      </c>
      <c r="K11" s="115" t="n">
        <v>8</v>
      </c>
      <c r="L11" s="115" t="n">
        <v>7</v>
      </c>
      <c r="M11" s="115" t="n">
        <v>3</v>
      </c>
      <c r="N11" s="115" t="n">
        <v>7</v>
      </c>
      <c r="O11" s="116">
        <f>SUM(B11:N11)</f>
        <v/>
      </c>
      <c r="P11" s="117">
        <f>O11/개요!$C$7</f>
        <v/>
      </c>
      <c r="Q11" s="116">
        <f>IF(P11&gt;=$B$23,"주연",IF(P11&gt;=$B$24,"준주연",IF(P11&gt;=$B$25,"핵심 조연","조연")))</f>
        <v/>
      </c>
      <c r="R11" s="116">
        <f>IF(MAX(B11:N11)&lt;=개요!$C$6,"OK","확인")</f>
        <v/>
      </c>
      <c r="S11" s="115" t="n">
        <v>2</v>
      </c>
    </row>
    <row r="12" ht="15" customHeight="1" s="81">
      <c r="A12" s="114" t="inlineStr">
        <is>
          <t>Inés</t>
        </is>
      </c>
      <c r="B12" s="115" t="n">
        <v>2</v>
      </c>
      <c r="C12" s="115" t="n">
        <v>1</v>
      </c>
      <c r="D12" s="115" t="n">
        <v>1</v>
      </c>
      <c r="E12" s="115" t="n">
        <v>3</v>
      </c>
      <c r="F12" s="115" t="n">
        <v>1</v>
      </c>
      <c r="G12" s="115" t="n">
        <v>5</v>
      </c>
      <c r="H12" s="115" t="n">
        <v>10</v>
      </c>
      <c r="I12" s="115" t="n">
        <v>7</v>
      </c>
      <c r="J12" s="115" t="n">
        <v>8</v>
      </c>
      <c r="K12" s="115" t="n">
        <v>8</v>
      </c>
      <c r="L12" s="115" t="n">
        <v>7</v>
      </c>
      <c r="M12" s="115" t="n">
        <v>3</v>
      </c>
      <c r="N12" s="115" t="n">
        <v>7</v>
      </c>
      <c r="O12" s="116">
        <f>SUM(B12:N12)</f>
        <v/>
      </c>
      <c r="P12" s="117">
        <f>O12/개요!$C$7</f>
        <v/>
      </c>
      <c r="Q12" s="116">
        <f>IF(P12&gt;=$B$23,"주연",IF(P12&gt;=$B$24,"준주연",IF(P12&gt;=$B$25,"핵심 조연","조연")))</f>
        <v/>
      </c>
      <c r="R12" s="116">
        <f>IF(MAX(B12:N12)&lt;=개요!$C$6,"OK","확인")</f>
        <v/>
      </c>
      <c r="S12" s="115" t="n">
        <v>2</v>
      </c>
    </row>
    <row r="13" ht="15" customHeight="1" s="81">
      <c r="A13" s="114" t="inlineStr">
        <is>
          <t>Lucía</t>
        </is>
      </c>
      <c r="B13" s="115" t="n">
        <v>1</v>
      </c>
      <c r="C13" s="115" t="n">
        <v>1</v>
      </c>
      <c r="D13" s="115" t="n">
        <v>2</v>
      </c>
      <c r="E13" s="115" t="n">
        <v>1</v>
      </c>
      <c r="F13" s="115" t="n">
        <v>2</v>
      </c>
      <c r="G13" s="115" t="n">
        <v>4</v>
      </c>
      <c r="H13" s="115" t="n">
        <v>7</v>
      </c>
      <c r="I13" s="115" t="n">
        <v>8</v>
      </c>
      <c r="J13" s="115" t="n">
        <v>6</v>
      </c>
      <c r="K13" s="115" t="n">
        <v>7</v>
      </c>
      <c r="L13" s="115" t="n">
        <v>6</v>
      </c>
      <c r="M13" s="115" t="n">
        <v>2</v>
      </c>
      <c r="N13" s="115" t="n">
        <v>7</v>
      </c>
      <c r="O13" s="116">
        <f>SUM(B13:N13)</f>
        <v/>
      </c>
      <c r="P13" s="117">
        <f>O13/개요!$C$7</f>
        <v/>
      </c>
      <c r="Q13" s="116">
        <f>IF(P13&gt;=$B$23,"주연",IF(P13&gt;=$B$24,"준주연",IF(P13&gt;=$B$25,"핵심 조연","조연")))</f>
        <v/>
      </c>
      <c r="R13" s="116">
        <f>IF(MAX(B13:N13)&lt;=개요!$C$6,"OK","확인")</f>
        <v/>
      </c>
      <c r="S13" s="115" t="n">
        <v>2</v>
      </c>
    </row>
    <row r="14" ht="15" customHeight="1" s="81">
      <c r="A14" s="114" t="inlineStr">
        <is>
          <t>Pepa</t>
        </is>
      </c>
      <c r="B14" s="115" t="n">
        <v>12</v>
      </c>
      <c r="C14" s="115" t="n">
        <v>2</v>
      </c>
      <c r="D14" s="115" t="n">
        <v>2</v>
      </c>
      <c r="E14" s="115" t="n">
        <v>2</v>
      </c>
      <c r="F14" s="115" t="n">
        <v>2</v>
      </c>
      <c r="G14" s="115" t="n">
        <v>5</v>
      </c>
      <c r="H14" s="115" t="n">
        <v>8</v>
      </c>
      <c r="I14" s="115" t="n">
        <v>6</v>
      </c>
      <c r="J14" s="115" t="n">
        <v>4</v>
      </c>
      <c r="K14" s="115" t="n">
        <v>5</v>
      </c>
      <c r="L14" s="115" t="n">
        <v>8</v>
      </c>
      <c r="M14" s="115" t="n">
        <v>3</v>
      </c>
      <c r="N14" s="115" t="n">
        <v>10</v>
      </c>
      <c r="O14" s="116">
        <f>SUM(B14:N14)</f>
        <v/>
      </c>
      <c r="P14" s="117">
        <f>O14/개요!$C$7</f>
        <v/>
      </c>
      <c r="Q14" s="116">
        <f>IF(P14&gt;=$B$23,"주연",IF(P14&gt;=$B$24,"준주연",IF(P14&gt;=$B$25,"핵심 조연","조연")))</f>
        <v/>
      </c>
      <c r="R14" s="116">
        <f>IF(MAX(B14:N14)&lt;=개요!$C$6,"OK","확인")</f>
        <v/>
      </c>
      <c r="S14" s="115" t="n">
        <v>2</v>
      </c>
    </row>
    <row r="15" ht="15" customHeight="1" s="81">
      <c r="A15" s="114" t="inlineStr">
        <is>
          <t>Nieves</t>
        </is>
      </c>
      <c r="B15" s="115" t="n">
        <v>2</v>
      </c>
      <c r="C15" s="115" t="n">
        <v>1</v>
      </c>
      <c r="D15" s="115" t="n">
        <v>2</v>
      </c>
      <c r="E15" s="115" t="n">
        <v>1</v>
      </c>
      <c r="F15" s="115" t="n">
        <v>3</v>
      </c>
      <c r="G15" s="115" t="n">
        <v>5</v>
      </c>
      <c r="H15" s="115" t="n">
        <v>9</v>
      </c>
      <c r="I15" s="115" t="n">
        <v>8</v>
      </c>
      <c r="J15" s="115" t="n">
        <v>6</v>
      </c>
      <c r="K15" s="115" t="n">
        <v>6</v>
      </c>
      <c r="L15" s="115" t="n">
        <v>7</v>
      </c>
      <c r="M15" s="115" t="n">
        <v>2</v>
      </c>
      <c r="N15" s="115" t="n">
        <v>6</v>
      </c>
      <c r="O15" s="116">
        <f>SUM(B15:N15)</f>
        <v/>
      </c>
      <c r="P15" s="117">
        <f>O15/개요!$C$7</f>
        <v/>
      </c>
      <c r="Q15" s="116">
        <f>IF(P15&gt;=$B$23,"주연",IF(P15&gt;=$B$24,"준주연",IF(P15&gt;=$B$25,"핵심 조연","조연")))</f>
        <v/>
      </c>
      <c r="R15" s="116">
        <f>IF(MAX(B15:N15)&lt;=개요!$C$6,"OK","확인")</f>
        <v/>
      </c>
      <c r="S15" s="115" t="n">
        <v>2</v>
      </c>
    </row>
    <row r="16" ht="15" customHeight="1" s="81">
      <c r="A16" s="114" t="inlineStr">
        <is>
          <t>Tomás</t>
        </is>
      </c>
      <c r="B16" s="115" t="n">
        <v>1</v>
      </c>
      <c r="C16" s="115" t="n">
        <v>1</v>
      </c>
      <c r="D16" s="115" t="n">
        <v>1</v>
      </c>
      <c r="E16" s="115" t="n">
        <v>1</v>
      </c>
      <c r="F16" s="115" t="n">
        <v>1</v>
      </c>
      <c r="G16" s="115" t="n">
        <v>4</v>
      </c>
      <c r="H16" s="115" t="n">
        <v>6</v>
      </c>
      <c r="I16" s="115" t="n">
        <v>9</v>
      </c>
      <c r="J16" s="115" t="n">
        <v>7</v>
      </c>
      <c r="K16" s="115" t="n">
        <v>9</v>
      </c>
      <c r="L16" s="115" t="n">
        <v>7</v>
      </c>
      <c r="M16" s="115" t="n">
        <v>4</v>
      </c>
      <c r="N16" s="115" t="n">
        <v>7</v>
      </c>
      <c r="O16" s="116">
        <f>SUM(B16:N16)</f>
        <v/>
      </c>
      <c r="P16" s="117">
        <f>O16/개요!$C$7</f>
        <v/>
      </c>
      <c r="Q16" s="116">
        <f>IF(P16&gt;=$B$23,"주연",IF(P16&gt;=$B$24,"준주연",IF(P16&gt;=$B$25,"핵심 조연","조연")))</f>
        <v/>
      </c>
      <c r="R16" s="116">
        <f>IF(MAX(B16:N16)&lt;=개요!$C$6,"OK","확인")</f>
        <v/>
      </c>
      <c r="S16" s="115" t="n">
        <v>2</v>
      </c>
    </row>
    <row r="17" ht="15" customHeight="1" s="81">
      <c r="A17" s="114" t="inlineStr">
        <is>
          <t>Carmen</t>
        </is>
      </c>
      <c r="B17" s="115" t="n">
        <v>12</v>
      </c>
      <c r="C17" s="115" t="n">
        <v>4</v>
      </c>
      <c r="D17" s="115" t="n">
        <v>4</v>
      </c>
      <c r="E17" s="115" t="n">
        <v>4</v>
      </c>
      <c r="F17" s="115" t="n">
        <v>4</v>
      </c>
      <c r="G17" s="115" t="n">
        <v>8</v>
      </c>
      <c r="H17" s="115" t="n">
        <v>10</v>
      </c>
      <c r="I17" s="115" t="n">
        <v>10</v>
      </c>
      <c r="J17" s="115" t="n">
        <v>9</v>
      </c>
      <c r="K17" s="115" t="n">
        <v>9</v>
      </c>
      <c r="L17" s="115" t="n">
        <v>10</v>
      </c>
      <c r="M17" s="115" t="n">
        <v>3</v>
      </c>
      <c r="N17" s="115" t="n">
        <v>12</v>
      </c>
      <c r="O17" s="116">
        <f>SUM(B17:N17)</f>
        <v/>
      </c>
      <c r="P17" s="117">
        <f>O17/개요!$C$7</f>
        <v/>
      </c>
      <c r="Q17" s="116">
        <f>IF(P17&gt;=$B$23,"주연",IF(P17&gt;=$B$24,"준주연",IF(P17&gt;=$B$25,"핵심 조연","조연")))</f>
        <v/>
      </c>
      <c r="R17" s="116">
        <f>IF(MAX(B17:N17)&lt;=개요!$C$6,"OK","확인")</f>
        <v/>
      </c>
      <c r="S17" s="116" t="inlineStr">
        <is>
          <t>—</t>
        </is>
      </c>
    </row>
    <row r="18" ht="15" customHeight="1" s="81">
      <c r="A18" s="114" t="inlineStr">
        <is>
          <t>Gonzalo</t>
        </is>
      </c>
      <c r="B18" s="115" t="n">
        <v>2</v>
      </c>
      <c r="C18" s="115" t="n">
        <v>1</v>
      </c>
      <c r="D18" s="115" t="n">
        <v>1</v>
      </c>
      <c r="E18" s="115" t="n">
        <v>3</v>
      </c>
      <c r="F18" s="115" t="n">
        <v>1</v>
      </c>
      <c r="G18" s="115" t="n">
        <v>5</v>
      </c>
      <c r="H18" s="115" t="n">
        <v>8</v>
      </c>
      <c r="I18" s="115" t="n">
        <v>5</v>
      </c>
      <c r="J18" s="115" t="n">
        <v>7</v>
      </c>
      <c r="K18" s="115" t="n">
        <v>7</v>
      </c>
      <c r="L18" s="115" t="n">
        <v>9</v>
      </c>
      <c r="M18" s="115" t="n">
        <v>1</v>
      </c>
      <c r="N18" s="115" t="n">
        <v>6</v>
      </c>
      <c r="O18" s="116">
        <f>SUM(B18:N18)</f>
        <v/>
      </c>
      <c r="P18" s="117">
        <f>O18/개요!$C$7</f>
        <v/>
      </c>
      <c r="Q18" s="116">
        <f>IF(P18&gt;=$B$23,"주연",IF(P18&gt;=$B$24,"준주연",IF(P18&gt;=$B$25,"핵심 조연","조연")))</f>
        <v/>
      </c>
      <c r="R18" s="116">
        <f>IF(MAX(B18:N18)&lt;=개요!$C$6,"OK","확인")</f>
        <v/>
      </c>
      <c r="S18" s="115" t="n">
        <v>2</v>
      </c>
    </row>
    <row r="19" ht="15" customHeight="1" s="81">
      <c r="A19" s="114" t="inlineStr">
        <is>
          <t>Cervantes</t>
        </is>
      </c>
      <c r="B19" s="115" t="n">
        <v>0</v>
      </c>
      <c r="C19" s="115" t="n">
        <v>0</v>
      </c>
      <c r="D19" s="115" t="n">
        <v>4</v>
      </c>
      <c r="E19" s="115" t="n">
        <v>2</v>
      </c>
      <c r="F19" s="115" t="n">
        <v>2</v>
      </c>
      <c r="G19" s="115" t="n">
        <v>6</v>
      </c>
      <c r="H19" s="115" t="n">
        <v>6</v>
      </c>
      <c r="I19" s="115" t="n">
        <v>8</v>
      </c>
      <c r="J19" s="115" t="n">
        <v>5</v>
      </c>
      <c r="K19" s="115" t="n">
        <v>8</v>
      </c>
      <c r="L19" s="115" t="n">
        <v>6</v>
      </c>
      <c r="M19" s="115" t="n">
        <v>9</v>
      </c>
      <c r="N19" s="115" t="n">
        <v>8</v>
      </c>
      <c r="O19" s="116">
        <f>SUM(B19:N19)</f>
        <v/>
      </c>
      <c r="P19" s="117">
        <f>O19/개요!$C$7</f>
        <v/>
      </c>
      <c r="Q19" s="116">
        <f>IF(P19&gt;=$B$23,"주연",IF(P19&gt;=$B$24,"준주연",IF(P19&gt;=$B$25,"핵심 조연","조연")))</f>
        <v/>
      </c>
      <c r="R19" s="116">
        <f>IF(MAX(B19:N19)&lt;=개요!$C$6,"OK","확인")</f>
        <v/>
      </c>
      <c r="S19" s="115" t="n">
        <v>2</v>
      </c>
    </row>
    <row r="20" ht="15" customHeight="1" s="81">
      <c r="A20" s="118" t="inlineStr">
        <is>
          <t>부별 연인원 (합계)</t>
        </is>
      </c>
      <c r="B20" s="119">
        <f>SUM(B5:B19)</f>
        <v/>
      </c>
      <c r="C20" s="119">
        <f>SUM(C5:C19)</f>
        <v/>
      </c>
      <c r="D20" s="119">
        <f>SUM(D5:D19)</f>
        <v/>
      </c>
      <c r="E20" s="119">
        <f>SUM(E5:E19)</f>
        <v/>
      </c>
      <c r="F20" s="119">
        <f>SUM(F5:F19)</f>
        <v/>
      </c>
      <c r="G20" s="119">
        <f>SUM(G5:G19)</f>
        <v/>
      </c>
      <c r="H20" s="119">
        <f>SUM(H5:H19)</f>
        <v/>
      </c>
      <c r="I20" s="119">
        <f>SUM(I5:I19)</f>
        <v/>
      </c>
      <c r="J20" s="119">
        <f>SUM(J5:J19)</f>
        <v/>
      </c>
      <c r="K20" s="119">
        <f>SUM(K5:K19)</f>
        <v/>
      </c>
      <c r="L20" s="119">
        <f>SUM(L5:L19)</f>
        <v/>
      </c>
      <c r="M20" s="119">
        <f>SUM(M5:M19)</f>
        <v/>
      </c>
      <c r="N20" s="119">
        <f>SUM(N5:N19)</f>
        <v/>
      </c>
      <c r="O20" s="119">
        <f>SUM(O5:O19)</f>
        <v/>
      </c>
      <c r="P20" s="120" t="n"/>
      <c r="Q20" s="120" t="n"/>
      <c r="R20" s="120" t="n"/>
      <c r="S20" s="119">
        <f>SUM(S5:S19)</f>
        <v/>
      </c>
    </row>
    <row r="22" ht="15" customHeight="1" s="81">
      <c r="A22" s="84" t="inlineStr">
        <is>
          <t>등급 기준 (비중 ≥)</t>
        </is>
      </c>
      <c r="B22" s="85" t="n"/>
      <c r="C22" s="85" t="n"/>
    </row>
    <row r="23" ht="15" customHeight="1" s="81">
      <c r="A23" s="93" t="inlineStr">
        <is>
          <t>주연</t>
        </is>
      </c>
      <c r="B23" s="121" t="n">
        <v>0.6899999999999999</v>
      </c>
      <c r="C23" s="100" t="inlineStr">
        <is>
          <t>← 기준값은 등급 구분(주연 4 / 준주연 1 / 핵심 조연 4 / 조연 5)을 재현하도록 정한 제안값입니다.</t>
        </is>
      </c>
    </row>
    <row r="24" ht="15" customHeight="1" s="81">
      <c r="A24" s="93" t="inlineStr">
        <is>
          <t>준주연</t>
        </is>
      </c>
      <c r="B24" s="121" t="n">
        <v>0.6</v>
      </c>
    </row>
    <row r="25" ht="15" customHeight="1" s="81">
      <c r="A25" s="93" t="inlineStr">
        <is>
          <t>핵심 조연</t>
        </is>
      </c>
      <c r="B25" s="121" t="n">
        <v>0.4</v>
      </c>
    </row>
    <row r="26" ht="15" customHeight="1" s="81">
      <c r="A26" s="93" t="inlineStr">
        <is>
          <t>조연</t>
        </is>
      </c>
      <c r="B26" s="95" t="inlineStr">
        <is>
          <t>그 미만</t>
        </is>
      </c>
    </row>
    <row r="28" ht="18" customHeight="1" s="81">
      <c r="A28" s="84" t="inlineStr">
        <is>
          <t>배분 원칙</t>
        </is>
      </c>
      <c r="B28" s="85" t="n"/>
      <c r="C28" s="85" t="n"/>
      <c r="D28" s="85" t="n"/>
      <c r="E28" s="85" t="n"/>
      <c r="F28" s="85" t="n"/>
      <c r="G28" s="85" t="n"/>
      <c r="H28" s="85" t="n"/>
      <c r="I28" s="85" t="n"/>
      <c r="J28" s="85" t="n"/>
      <c r="K28" s="85" t="n"/>
      <c r="L28" s="85" t="n"/>
      <c r="M28" s="85" t="n"/>
      <c r="N28" s="85" t="n"/>
      <c r="O28" s="85" t="n"/>
      <c r="P28" s="85" t="n"/>
      <c r="Q28" s="85" t="n"/>
      <c r="R28" s="85" t="n"/>
    </row>
    <row r="29" ht="29.25" customHeight="1" s="81">
      <c r="A29" s="122" t="inlineStr">
        <is>
          <t>1. 1부는 개소 1개월 후 시점: Carmen·Pepa가 전 화에, 주력 4인은 사건별로 2~3인씩 교대 등장(전원 겹치지 않음). Anselmo 4화, Raimundo 3화(1·2·6화)로 자주 얼굴을 비추고 '이번 겨울이 마지막' 복선을 1화부터 깐다. 나머지는 사건마다 다른 조합으로 카메오.</t>
        </is>
      </c>
    </row>
    <row r="30" ht="16.5" customHeight="1" s="81">
      <c r="A30" s="122" t="inlineStr">
        <is>
          <t>2. 2~5부: 각 주인공이 자기 부 12화 전부에 나오고, 다른 주력 3인은 3화씩 스쳐 지나가며 6부 만남을 예고. Carmen은 4화씩 '사무소에서 이야기를 듣는 프레임'으로 등장해 회상을 잇는다.</t>
        </is>
      </c>
    </row>
    <row r="31" ht="16.5" customHeight="1" s="81">
      <c r="A31" s="122" t="inlineStr">
        <is>
          <t>3. 자문단은 과거와 겹치는 곳에만 배치: Nieves-5부(Diego의 구조조정 현장), Gonzalo·Inés-4부(Sofía의 감사 사건), Lucía-3부·5부(트라우마·번아웃 상담).</t>
        </is>
      </c>
    </row>
    <row r="32" ht="16.5" customHeight="1" s="81">
      <c r="A32" s="122" t="inlineStr">
        <is>
          <t>4. 자문단 본격 비중은 7~10부에서 최고치: 7부 Inés·Nieves(공론화·현장 조직), 8부 Tomás·Lucía·Ramón(선언문·메시지·캠프), 10부 Tomás·Inés·Raimundo(취임 연설·대변인·정보 감독).</t>
        </is>
      </c>
    </row>
    <row r="33" ht="16.5" customHeight="1" s="81">
      <c r="A33" s="122" t="inlineStr">
        <is>
          <t>5. 11부(국정 I)는 Anselmo가 9~12화에서 브뤼셀 직접 협상을 이끌며 최고치(9화)를 찍고 12화에서 사망한다. Gonzalo는 앞선 주거·금융 국내 현안 화에서 정점.</t>
        </is>
      </c>
    </row>
    <row r="34" ht="16.5" customHeight="1" s="81">
      <c r="A34" s="122" t="inlineStr">
        <is>
          <t>6. 12부(국정 II)는 Anselmo 사후: 1화 장례식에서 Ramón·Raimundo·Javier가 몰리고, Sofía·Tomás가 유작 메모를 이어받는 3화에서 비중이 오른다.</t>
        </is>
      </c>
    </row>
    <row r="35" ht="16.5" customHeight="1" s="81">
      <c r="A35" s="122" t="inlineStr">
        <is>
          <t>7. 13부(귀환, 구 12부)는 원형 구조: Carmen 12화 전부, Pepa 10화. Anselmo는 유언장·회상으로 3화, Mateo·Javier·Sofía·Diego는 사무소의 손님으로 9~10화 등장.</t>
        </is>
      </c>
    </row>
    <row r="36" ht="16.5" customHeight="1" s="81">
      <c r="A36" s="122" t="inlineStr">
        <is>
          <t>8. Anselmo는 11부 12화(브뤼셀 승리 직후)에서 사망한다. 12부 1화 장례식, 2·3화 유작 메모 승계, 13부 2화 유언장까지 이어진다.</t>
        </is>
      </c>
    </row>
    <row r="37" ht="16.5" customHeight="1" s="81">
      <c r="A37" s="122" t="inlineStr">
        <is>
          <t>9. 등장 화 수와 대사량은 다르다: Carmen은 약 67%지만 문장이 짧아 대사량은 Mateo의 절반 이하가 되게 하고, Anselmo·Tomás는 화당 대사가 길어도 된다.</t>
        </is>
      </c>
    </row>
    <row r="38" ht="16.5" customHeight="1" s="81">
      <c r="A38" s="122" t="inlineStr">
        <is>
          <t>10. 조연 9인은 화 전체의 중심이 되는 에피소드를 각자 2개 이상 배정(R열 목표). 자기 이야기가 한 번도 없으면 얇은 인물이 된다.</t>
        </is>
      </c>
    </row>
    <row r="39" ht="16.5" customHeight="1" s="81">
      <c r="A39" s="122" t="inlineStr">
        <is>
          <t>11. Lucía가 가장 얇다(약 36%): 3·5부 상담 장면을 늘리거나, 11부 Anselmo 애도 상담을 맡겨 서사를 넓히는 안을 검토.</t>
        </is>
      </c>
    </row>
  </sheetData>
  <mergeCells count="11">
    <mergeCell ref="A30:R30"/>
    <mergeCell ref="A39:R39"/>
    <mergeCell ref="A29:R29"/>
    <mergeCell ref="A38:R38"/>
    <mergeCell ref="A33:R33"/>
    <mergeCell ref="A32:R32"/>
    <mergeCell ref="A36:R36"/>
    <mergeCell ref="A37:R37"/>
    <mergeCell ref="A31:R31"/>
    <mergeCell ref="A34:R34"/>
    <mergeCell ref="A35:R35"/>
  </mergeCells>
  <conditionalFormatting sqref="B5:N18">
    <cfRule type="colorScale" priority="2">
      <colorScale>
        <cfvo type="num" val="0"/>
        <cfvo type="num" val="12"/>
        <color rgb="FFFFFFFF"/>
        <color rgb="FF9DC3E6"/>
      </colorScale>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tabColor rgb="FF2F5597"/>
    <outlinePr summaryBelow="1" summaryRight="1"/>
    <pageSetUpPr fitToPage="1"/>
  </sheetPr>
  <dimension ref="A1:N66"/>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30" customWidth="1" style="80" min="1" max="1"/>
    <col width="12" customWidth="1" style="80" min="2" max="2"/>
    <col width="9" customWidth="1" style="80" min="3" max="14"/>
  </cols>
  <sheetData>
    <row r="1" ht="24" customHeight="1" s="81">
      <c r="A1" s="101" t="inlineStr">
        <is>
          <t>대화량 설계: 화당 120턴</t>
        </is>
      </c>
    </row>
    <row r="2" ht="15" customHeight="1" s="81">
      <c r="A2" s="100" t="inlineStr">
        <is>
          <t>한 화 = 대화 120턴, 전체 144화 = 17,280턴(기준값). 7부부터는 화당 180턴으로 상향(아래 39행 C39 참고). 점유율·평균 단어/턴·배율·낭독 속도는 가정값(파란 숫자)이며 수정하면 아래 표가 자동 갱신됩니다.</t>
        </is>
      </c>
    </row>
    <row r="4" ht="18" customHeight="1" s="81">
      <c r="A4" s="102" t="inlineStr">
        <is>
          <t>1. 기본 설정</t>
        </is>
      </c>
      <c r="B4" s="85" t="n"/>
      <c r="C4" s="85" t="n"/>
      <c r="D4" s="85" t="n"/>
      <c r="E4" s="85" t="n"/>
      <c r="F4" s="85" t="n"/>
      <c r="G4" s="85" t="n"/>
      <c r="H4" s="85" t="n"/>
      <c r="I4" s="85" t="n"/>
      <c r="J4" s="85" t="n"/>
      <c r="K4" s="85" t="n"/>
      <c r="L4" s="85" t="n"/>
      <c r="M4" s="85" t="n"/>
      <c r="N4" s="85" t="n"/>
    </row>
    <row r="5" ht="15" customHeight="1" s="81">
      <c r="A5" s="93" t="inlineStr">
        <is>
          <t>화당 대화 턴</t>
        </is>
      </c>
      <c r="B5" s="115" t="n">
        <v>120</v>
      </c>
    </row>
    <row r="6" ht="15" customHeight="1" s="81">
      <c r="A6" s="93" t="inlineStr">
        <is>
          <t>낭독 속도 (단어/분, 가정)</t>
        </is>
      </c>
      <c r="B6" s="123" t="n">
        <v>130</v>
      </c>
    </row>
    <row r="7" ht="15" customHeight="1" s="81">
      <c r="A7" s="93" t="inlineStr">
        <is>
          <t>총 화 수</t>
        </is>
      </c>
      <c r="B7" s="116">
        <f>개요!$C$7</f>
        <v/>
      </c>
    </row>
    <row r="8" ht="15" customHeight="1" s="81">
      <c r="A8" s="93" t="inlineStr">
        <is>
          <t>총 대화 턴</t>
        </is>
      </c>
      <c r="B8" s="124">
        <f>B5*B7</f>
        <v/>
      </c>
    </row>
    <row r="9" ht="15" customHeight="1" s="81">
      <c r="A9" s="93" t="inlineStr">
        <is>
          <t>턴 정의</t>
        </is>
      </c>
      <c r="B9" s="125" t="inlineStr">
        <is>
          <t>화자 표기 한 줄 = 1턴 (화자가 바뀌면 새 턴). 연설·조항·기사 낭독처럼 긴 발화도 1턴으로 센다.</t>
        </is>
      </c>
    </row>
    <row r="11" ht="18" customHeight="1" s="81">
      <c r="A11" s="102" t="inlineStr">
        <is>
          <t>2. 부별 화자 점유율 (턴 기준, 각 부의 합 = 100%)</t>
        </is>
      </c>
      <c r="B11" s="85" t="n"/>
      <c r="C11" s="85" t="n"/>
      <c r="D11" s="85" t="n"/>
      <c r="E11" s="85" t="n"/>
      <c r="F11" s="85" t="n"/>
      <c r="G11" s="85" t="n"/>
      <c r="H11" s="85" t="n"/>
      <c r="I11" s="85" t="n"/>
      <c r="J11" s="85" t="n"/>
      <c r="K11" s="85" t="n"/>
      <c r="L11" s="85" t="n"/>
      <c r="M11" s="85" t="n"/>
      <c r="N11" s="85" t="n"/>
    </row>
    <row r="12" ht="31.5" customHeight="1" s="81">
      <c r="A12" s="103" t="inlineStr">
        <is>
          <t>인물</t>
        </is>
      </c>
      <c r="B12" s="103" t="inlineStr">
        <is>
          <t>평균
단어/턴</t>
        </is>
      </c>
      <c r="C12" s="110" t="inlineStr">
        <is>
          <t>1부</t>
        </is>
      </c>
      <c r="D12" s="110" t="inlineStr">
        <is>
          <t>2부</t>
        </is>
      </c>
      <c r="E12" s="110" t="inlineStr">
        <is>
          <t>3부</t>
        </is>
      </c>
      <c r="F12" s="110" t="inlineStr">
        <is>
          <t>4부</t>
        </is>
      </c>
      <c r="G12" s="110" t="inlineStr">
        <is>
          <t>5부</t>
        </is>
      </c>
      <c r="H12" s="110" t="inlineStr">
        <is>
          <t>6부</t>
        </is>
      </c>
      <c r="I12" s="110" t="inlineStr">
        <is>
          <t>7부</t>
        </is>
      </c>
      <c r="J12" s="110" t="inlineStr">
        <is>
          <t>8부</t>
        </is>
      </c>
      <c r="K12" s="110" t="inlineStr">
        <is>
          <t>9부</t>
        </is>
      </c>
      <c r="L12" s="110" t="inlineStr">
        <is>
          <t>10부</t>
        </is>
      </c>
      <c r="M12" s="110" t="inlineStr">
        <is>
          <t>11부</t>
        </is>
      </c>
      <c r="N12" s="110" t="inlineStr">
        <is>
          <t>12부</t>
        </is>
      </c>
    </row>
    <row r="13" ht="15" customHeight="1" s="81">
      <c r="A13" s="126" t="inlineStr">
        <is>
          <t>Mateo</t>
        </is>
      </c>
      <c r="B13" s="115" t="n">
        <v>13</v>
      </c>
      <c r="C13" s="127" t="n">
        <v>0.13</v>
      </c>
      <c r="D13" s="127" t="n">
        <v>0.48</v>
      </c>
      <c r="E13" s="127" t="n">
        <v>0.03</v>
      </c>
      <c r="F13" s="127" t="n">
        <v>0.02</v>
      </c>
      <c r="G13" s="127" t="n">
        <v>0.02</v>
      </c>
      <c r="H13" s="127" t="n">
        <v>0.13</v>
      </c>
      <c r="I13" s="127" t="n">
        <v>0.14</v>
      </c>
      <c r="J13" s="127" t="n">
        <v>0.15</v>
      </c>
      <c r="K13" s="127" t="n">
        <v>0.08</v>
      </c>
      <c r="L13" s="127" t="n">
        <v>0.18</v>
      </c>
      <c r="M13" s="127" t="n">
        <v>0.15</v>
      </c>
      <c r="N13" s="127" t="n">
        <v>0.07000000000000001</v>
      </c>
    </row>
    <row r="14" ht="15" customHeight="1" s="81">
      <c r="A14" s="126" t="inlineStr">
        <is>
          <t>Javier</t>
        </is>
      </c>
      <c r="B14" s="115" t="n">
        <v>8</v>
      </c>
      <c r="C14" s="127" t="n">
        <v>0.12</v>
      </c>
      <c r="D14" s="127" t="n">
        <v>0.03</v>
      </c>
      <c r="E14" s="127" t="n">
        <v>0.46</v>
      </c>
      <c r="F14" s="127" t="n">
        <v>0.04</v>
      </c>
      <c r="G14" s="127" t="n">
        <v>0.03</v>
      </c>
      <c r="H14" s="127" t="n">
        <v>0.12</v>
      </c>
      <c r="I14" s="127" t="n">
        <v>0.07000000000000001</v>
      </c>
      <c r="J14" s="127" t="n">
        <v>0.08</v>
      </c>
      <c r="K14" s="127" t="n">
        <v>0.11</v>
      </c>
      <c r="L14" s="127" t="n">
        <v>0.06</v>
      </c>
      <c r="M14" s="127" t="n">
        <v>0.09</v>
      </c>
      <c r="N14" s="127" t="n">
        <v>0.06</v>
      </c>
    </row>
    <row r="15" ht="15" customHeight="1" s="81">
      <c r="A15" s="126" t="inlineStr">
        <is>
          <t>Sofía</t>
        </is>
      </c>
      <c r="B15" s="115" t="n">
        <v>11</v>
      </c>
      <c r="C15" s="127" t="n">
        <v>0.12</v>
      </c>
      <c r="D15" s="127" t="n">
        <v>0.04</v>
      </c>
      <c r="E15" s="127" t="n">
        <v>0.04</v>
      </c>
      <c r="F15" s="127" t="n">
        <v>0.46</v>
      </c>
      <c r="G15" s="127" t="n">
        <v>0.04</v>
      </c>
      <c r="H15" s="127" t="n">
        <v>0.12</v>
      </c>
      <c r="I15" s="127" t="n">
        <v>0.1</v>
      </c>
      <c r="J15" s="127" t="n">
        <v>0.09</v>
      </c>
      <c r="K15" s="127" t="n">
        <v>0.15</v>
      </c>
      <c r="L15" s="127" t="n">
        <v>0.08</v>
      </c>
      <c r="M15" s="127" t="n">
        <v>0.11</v>
      </c>
      <c r="N15" s="127" t="n">
        <v>0.07000000000000001</v>
      </c>
    </row>
    <row r="16" ht="15" customHeight="1" s="81">
      <c r="A16" s="126" t="inlineStr">
        <is>
          <t>Diego</t>
        </is>
      </c>
      <c r="B16" s="115" t="n">
        <v>12</v>
      </c>
      <c r="C16" s="127" t="n">
        <v>0.12</v>
      </c>
      <c r="D16" s="127" t="n">
        <v>0.05</v>
      </c>
      <c r="E16" s="127" t="n">
        <v>0.03</v>
      </c>
      <c r="F16" s="127" t="n">
        <v>0.03</v>
      </c>
      <c r="G16" s="127" t="n">
        <v>0.46</v>
      </c>
      <c r="H16" s="127" t="n">
        <v>0.12</v>
      </c>
      <c r="I16" s="127" t="n">
        <v>0.06</v>
      </c>
      <c r="J16" s="127" t="n">
        <v>0.09</v>
      </c>
      <c r="K16" s="127" t="n">
        <v>0.08</v>
      </c>
      <c r="L16" s="127" t="n">
        <v>0.11</v>
      </c>
      <c r="M16" s="127" t="n">
        <v>0.08</v>
      </c>
      <c r="N16" s="127" t="n">
        <v>0.07000000000000001</v>
      </c>
    </row>
    <row r="17" ht="15" customHeight="1" s="81">
      <c r="A17" s="126" t="inlineStr">
        <is>
          <t>Anselmo</t>
        </is>
      </c>
      <c r="B17" s="115" t="n">
        <v>14</v>
      </c>
      <c r="C17" s="127" t="n">
        <v>0.08</v>
      </c>
      <c r="D17" s="127" t="n">
        <v>0.04</v>
      </c>
      <c r="E17" s="127" t="n">
        <v>0.04</v>
      </c>
      <c r="F17" s="127" t="n">
        <v>0.04</v>
      </c>
      <c r="G17" s="127" t="n">
        <v>0.04</v>
      </c>
      <c r="H17" s="127" t="n">
        <v>0.04</v>
      </c>
      <c r="I17" s="127" t="n">
        <v>0.06</v>
      </c>
      <c r="J17" s="127" t="n">
        <v>0.05</v>
      </c>
      <c r="K17" s="127" t="n">
        <v>0.04</v>
      </c>
      <c r="L17" s="127" t="n">
        <v>0.06</v>
      </c>
      <c r="M17" s="127" t="n">
        <v>0.04</v>
      </c>
      <c r="N17" s="127" t="n">
        <v>0.02</v>
      </c>
    </row>
    <row r="18" ht="15" customHeight="1" s="81">
      <c r="A18" s="126" t="inlineStr">
        <is>
          <t>Ramón</t>
        </is>
      </c>
      <c r="B18" s="115" t="n">
        <v>7</v>
      </c>
      <c r="C18" s="127" t="n">
        <v>0.02</v>
      </c>
      <c r="D18" s="127" t="n">
        <v>0.01</v>
      </c>
      <c r="E18" s="127" t="n">
        <v>0.01</v>
      </c>
      <c r="F18" s="127" t="n">
        <v>0.01</v>
      </c>
      <c r="G18" s="127" t="n">
        <v>0.01</v>
      </c>
      <c r="H18" s="127" t="n">
        <v>0.05</v>
      </c>
      <c r="I18" s="127" t="n">
        <v>0.06</v>
      </c>
      <c r="J18" s="127" t="n">
        <v>0.06</v>
      </c>
      <c r="K18" s="127" t="n">
        <v>0.04</v>
      </c>
      <c r="L18" s="127" t="n">
        <v>0.08</v>
      </c>
      <c r="M18" s="127" t="n">
        <v>0.07000000000000001</v>
      </c>
      <c r="N18" s="127" t="n">
        <v>0.06</v>
      </c>
    </row>
    <row r="19" ht="15" customHeight="1" s="81">
      <c r="A19" s="126" t="inlineStr">
        <is>
          <t>Raimundo</t>
        </is>
      </c>
      <c r="B19" s="115" t="n">
        <v>9</v>
      </c>
      <c r="C19" s="127" t="n">
        <v>0.02</v>
      </c>
      <c r="D19" s="127" t="n">
        <v>0.01</v>
      </c>
      <c r="E19" s="127" t="n">
        <v>0.01</v>
      </c>
      <c r="F19" s="127" t="n">
        <v>0.01</v>
      </c>
      <c r="G19" s="127" t="n">
        <v>0.01</v>
      </c>
      <c r="H19" s="127" t="n">
        <v>0.03</v>
      </c>
      <c r="I19" s="127" t="n">
        <v>0.06</v>
      </c>
      <c r="J19" s="127" t="n">
        <v>0.03</v>
      </c>
      <c r="K19" s="127" t="n">
        <v>0.04</v>
      </c>
      <c r="L19" s="127" t="n">
        <v>0.03</v>
      </c>
      <c r="M19" s="127" t="n">
        <v>0.05</v>
      </c>
      <c r="N19" s="127" t="n">
        <v>0.08</v>
      </c>
    </row>
    <row r="20" ht="15" customHeight="1" s="81">
      <c r="A20" s="126" t="inlineStr">
        <is>
          <t>Inés</t>
        </is>
      </c>
      <c r="B20" s="115" t="n">
        <v>10</v>
      </c>
      <c r="C20" s="127" t="n">
        <v>0.02</v>
      </c>
      <c r="D20" s="127" t="n">
        <v>0.01</v>
      </c>
      <c r="E20" s="127" t="n">
        <v>0.03</v>
      </c>
      <c r="F20" s="127" t="n">
        <v>0.04</v>
      </c>
      <c r="G20" s="127" t="n">
        <v>0.01</v>
      </c>
      <c r="H20" s="127" t="n">
        <v>0.03</v>
      </c>
      <c r="I20" s="127" t="n">
        <v>0.08</v>
      </c>
      <c r="J20" s="127" t="n">
        <v>0.06</v>
      </c>
      <c r="K20" s="127" t="n">
        <v>0.07000000000000001</v>
      </c>
      <c r="L20" s="127" t="n">
        <v>0.05</v>
      </c>
      <c r="M20" s="127" t="n">
        <v>0.06</v>
      </c>
      <c r="N20" s="127" t="n">
        <v>0.05</v>
      </c>
    </row>
    <row r="21" ht="15" customHeight="1" s="81">
      <c r="A21" s="126" t="inlineStr">
        <is>
          <t>Lucía</t>
        </is>
      </c>
      <c r="B21" s="115" t="n">
        <v>9</v>
      </c>
      <c r="C21" s="127" t="n">
        <v>0.01</v>
      </c>
      <c r="D21" s="127" t="n">
        <v>0.01</v>
      </c>
      <c r="E21" s="127" t="n">
        <v>0.04</v>
      </c>
      <c r="F21" s="127" t="n">
        <v>0.01</v>
      </c>
      <c r="G21" s="127" t="n">
        <v>0.04</v>
      </c>
      <c r="H21" s="127" t="n">
        <v>0.03</v>
      </c>
      <c r="I21" s="127" t="n">
        <v>0.05</v>
      </c>
      <c r="J21" s="127" t="n">
        <v>0.06</v>
      </c>
      <c r="K21" s="127" t="n">
        <v>0.04</v>
      </c>
      <c r="L21" s="127" t="n">
        <v>0.05</v>
      </c>
      <c r="M21" s="127" t="n">
        <v>0.04</v>
      </c>
      <c r="N21" s="127" t="n">
        <v>0.05</v>
      </c>
    </row>
    <row r="22" ht="15" customHeight="1" s="81">
      <c r="A22" s="126" t="inlineStr">
        <is>
          <t>Pepa</t>
        </is>
      </c>
      <c r="B22" s="115" t="n">
        <v>9</v>
      </c>
      <c r="C22" s="127" t="n">
        <v>0.12</v>
      </c>
      <c r="D22" s="127" t="n">
        <v>0.04</v>
      </c>
      <c r="E22" s="127" t="n">
        <v>0.03</v>
      </c>
      <c r="F22" s="127" t="n">
        <v>0.03</v>
      </c>
      <c r="G22" s="127" t="n">
        <v>0.03</v>
      </c>
      <c r="H22" s="127" t="n">
        <v>0.05</v>
      </c>
      <c r="I22" s="127" t="n">
        <v>0.04</v>
      </c>
      <c r="J22" s="127" t="n">
        <v>0.05</v>
      </c>
      <c r="K22" s="127" t="n">
        <v>0.03</v>
      </c>
      <c r="L22" s="127" t="n">
        <v>0.04</v>
      </c>
      <c r="M22" s="127" t="n">
        <v>0.04</v>
      </c>
      <c r="N22" s="127" t="n">
        <v>0.13</v>
      </c>
    </row>
    <row r="23" ht="15" customHeight="1" s="81">
      <c r="A23" s="126" t="inlineStr">
        <is>
          <t>Nieves</t>
        </is>
      </c>
      <c r="B23" s="115" t="n">
        <v>10</v>
      </c>
      <c r="C23" s="127" t="n">
        <v>0.01</v>
      </c>
      <c r="D23" s="127" t="n">
        <v>0.02</v>
      </c>
      <c r="E23" s="127" t="n">
        <v>0.01</v>
      </c>
      <c r="F23" s="127" t="n">
        <v>0.01</v>
      </c>
      <c r="G23" s="127" t="n">
        <v>0.09</v>
      </c>
      <c r="H23" s="127" t="n">
        <v>0.05</v>
      </c>
      <c r="I23" s="127" t="n">
        <v>0.06</v>
      </c>
      <c r="J23" s="127" t="n">
        <v>0.08</v>
      </c>
      <c r="K23" s="127" t="n">
        <v>0.08</v>
      </c>
      <c r="L23" s="127" t="n">
        <v>0.06</v>
      </c>
      <c r="M23" s="127" t="n">
        <v>0.05</v>
      </c>
      <c r="N23" s="127" t="n">
        <v>0.05</v>
      </c>
    </row>
    <row r="24" ht="15" customHeight="1" s="81">
      <c r="A24" s="126" t="inlineStr">
        <is>
          <t>Tomás</t>
        </is>
      </c>
      <c r="B24" s="115" t="n">
        <v>12</v>
      </c>
      <c r="C24" s="127" t="n">
        <v>0.02</v>
      </c>
      <c r="D24" s="127" t="n">
        <v>0.01</v>
      </c>
      <c r="E24" s="127" t="n">
        <v>0.01</v>
      </c>
      <c r="F24" s="127" t="n">
        <v>0.01</v>
      </c>
      <c r="G24" s="127" t="n">
        <v>0.01</v>
      </c>
      <c r="H24" s="127" t="n">
        <v>0.03</v>
      </c>
      <c r="I24" s="127" t="n">
        <v>0.03</v>
      </c>
      <c r="J24" s="127" t="n">
        <v>0.08</v>
      </c>
      <c r="K24" s="127" t="n">
        <v>0.05</v>
      </c>
      <c r="L24" s="127" t="n">
        <v>0.07000000000000001</v>
      </c>
      <c r="M24" s="127" t="n">
        <v>0.05</v>
      </c>
      <c r="N24" s="127" t="n">
        <v>0.05</v>
      </c>
    </row>
    <row r="25" ht="15" customHeight="1" s="81">
      <c r="A25" s="126" t="inlineStr">
        <is>
          <t>Carmen</t>
        </is>
      </c>
      <c r="B25" s="115" t="n">
        <v>7</v>
      </c>
      <c r="C25" s="127" t="n">
        <v>0.17</v>
      </c>
      <c r="D25" s="127" t="n">
        <v>0.08</v>
      </c>
      <c r="E25" s="127" t="n">
        <v>0.08</v>
      </c>
      <c r="F25" s="127" t="n">
        <v>0.08</v>
      </c>
      <c r="G25" s="127" t="n">
        <v>0.08</v>
      </c>
      <c r="H25" s="127" t="n">
        <v>0.11</v>
      </c>
      <c r="I25" s="127" t="n">
        <v>0.06</v>
      </c>
      <c r="J25" s="127" t="n">
        <v>0.06</v>
      </c>
      <c r="K25" s="127" t="n">
        <v>0.09</v>
      </c>
      <c r="L25" s="127" t="n">
        <v>0.05</v>
      </c>
      <c r="M25" s="127" t="n">
        <v>0.08</v>
      </c>
      <c r="N25" s="127" t="n">
        <v>0.18</v>
      </c>
    </row>
    <row r="26" ht="15" customHeight="1" s="81">
      <c r="A26" s="126" t="inlineStr">
        <is>
          <t>Gonzalo</t>
        </is>
      </c>
      <c r="B26" s="115" t="n">
        <v>11</v>
      </c>
      <c r="C26" s="127" t="n">
        <v>0.01</v>
      </c>
      <c r="D26" s="127" t="n">
        <v>0.02</v>
      </c>
      <c r="E26" s="127" t="n">
        <v>0.01</v>
      </c>
      <c r="F26" s="127" t="n">
        <v>0.08</v>
      </c>
      <c r="G26" s="127" t="n">
        <v>0.01</v>
      </c>
      <c r="H26" s="127" t="n">
        <v>0.02</v>
      </c>
      <c r="I26" s="127" t="n">
        <v>0.06</v>
      </c>
      <c r="J26" s="127" t="n">
        <v>0.03</v>
      </c>
      <c r="K26" s="127" t="n">
        <v>0.05</v>
      </c>
      <c r="L26" s="127" t="n">
        <v>0.03</v>
      </c>
      <c r="M26" s="127" t="n">
        <v>0.05</v>
      </c>
      <c r="N26" s="127" t="n">
        <v>0.02</v>
      </c>
    </row>
    <row r="27" ht="15" customHeight="1" s="81">
      <c r="A27" s="128" t="inlineStr">
        <is>
          <t>엑스트라(가상)</t>
        </is>
      </c>
      <c r="B27" s="115" t="n">
        <v>10</v>
      </c>
      <c r="C27" s="127" t="n">
        <v>0.03</v>
      </c>
      <c r="D27" s="127" t="n">
        <v>0.15</v>
      </c>
      <c r="E27" s="127" t="n">
        <v>0.17</v>
      </c>
      <c r="F27" s="127" t="n">
        <v>0.13</v>
      </c>
      <c r="G27" s="127" t="n">
        <v>0.12</v>
      </c>
      <c r="H27" s="127" t="n">
        <v>0.07000000000000001</v>
      </c>
      <c r="I27" s="127" t="n">
        <v>0.07000000000000001</v>
      </c>
      <c r="J27" s="127" t="n">
        <v>0.03</v>
      </c>
      <c r="K27" s="127" t="n">
        <v>0.05</v>
      </c>
      <c r="L27" s="127" t="n">
        <v>0.05</v>
      </c>
      <c r="M27" s="127" t="n">
        <v>0.04</v>
      </c>
      <c r="N27" s="127" t="n">
        <v>0.04</v>
      </c>
    </row>
    <row r="28" ht="15" customHeight="1" s="81">
      <c r="A28" s="129" t="inlineStr">
        <is>
          <t>합계</t>
        </is>
      </c>
      <c r="B28" s="130" t="n"/>
      <c r="C28" s="131">
        <f>SUM(C13:C27)</f>
        <v/>
      </c>
      <c r="D28" s="131">
        <f>SUM(D13:D27)</f>
        <v/>
      </c>
      <c r="E28" s="131">
        <f>SUM(E13:E27)</f>
        <v/>
      </c>
      <c r="F28" s="131">
        <f>SUM(F13:F27)</f>
        <v/>
      </c>
      <c r="G28" s="131">
        <f>SUM(G13:G27)</f>
        <v/>
      </c>
      <c r="H28" s="131">
        <f>SUM(H13:H27)</f>
        <v/>
      </c>
      <c r="I28" s="131">
        <f>SUM(I13:I27)</f>
        <v/>
      </c>
      <c r="J28" s="131">
        <f>SUM(J13:J27)</f>
        <v/>
      </c>
      <c r="K28" s="131">
        <f>SUM(K13:K27)</f>
        <v/>
      </c>
      <c r="L28" s="131">
        <f>SUM(L13:L27)</f>
        <v/>
      </c>
      <c r="M28" s="131">
        <f>SUM(M13:M27)</f>
        <v/>
      </c>
      <c r="N28" s="131">
        <f>SUM(N13:N27)</f>
        <v/>
      </c>
    </row>
    <row r="29" ht="15" customHeight="1" s="81">
      <c r="A29" s="129" t="inlineStr">
        <is>
          <t>검증</t>
        </is>
      </c>
      <c r="B29" s="130" t="n"/>
      <c r="C29" s="130">
        <f>IF(ROUND(C28,4)=1,"OK","확인")</f>
        <v/>
      </c>
      <c r="D29" s="130">
        <f>IF(ROUND(D28,4)=1,"OK","확인")</f>
        <v/>
      </c>
      <c r="E29" s="130">
        <f>IF(ROUND(E28,4)=1,"OK","확인")</f>
        <v/>
      </c>
      <c r="F29" s="130">
        <f>IF(ROUND(F28,4)=1,"OK","확인")</f>
        <v/>
      </c>
      <c r="G29" s="130">
        <f>IF(ROUND(G28,4)=1,"OK","확인")</f>
        <v/>
      </c>
      <c r="H29" s="130">
        <f>IF(ROUND(H28,4)=1,"OK","확인")</f>
        <v/>
      </c>
      <c r="I29" s="130">
        <f>IF(ROUND(I28,4)=1,"OK","확인")</f>
        <v/>
      </c>
      <c r="J29" s="130">
        <f>IF(ROUND(J28,4)=1,"OK","확인")</f>
        <v/>
      </c>
      <c r="K29" s="130">
        <f>IF(ROUND(K28,4)=1,"OK","확인")</f>
        <v/>
      </c>
      <c r="L29" s="130">
        <f>IF(ROUND(L28,4)=1,"OK","확인")</f>
        <v/>
      </c>
      <c r="M29" s="130">
        <f>IF(ROUND(M28,4)=1,"OK","확인")</f>
        <v/>
      </c>
      <c r="N29" s="130">
        <f>IF(ROUND(N28,4)=1,"OK","확인")</f>
        <v/>
      </c>
    </row>
    <row r="31" ht="18" customHeight="1" s="81">
      <c r="A31" s="102" t="inlineStr">
        <is>
          <t>3. 부별 턴·단어·낭독 시간 (수식)</t>
        </is>
      </c>
      <c r="B31" s="85" t="n"/>
      <c r="C31" s="85" t="n"/>
      <c r="D31" s="85" t="n"/>
      <c r="E31" s="85" t="n"/>
      <c r="F31" s="85" t="n"/>
      <c r="G31" s="85" t="n"/>
      <c r="H31" s="85" t="n"/>
      <c r="I31" s="85" t="n"/>
      <c r="J31" s="85" t="n"/>
      <c r="K31" s="85" t="n"/>
      <c r="L31" s="85" t="n"/>
      <c r="M31" s="85" t="n"/>
      <c r="N31" s="85" t="n"/>
    </row>
    <row r="32" ht="31.5" customHeight="1" s="81">
      <c r="A32" s="103" t="inlineStr">
        <is>
          <t>부</t>
        </is>
      </c>
      <c r="B32" s="103" t="inlineStr">
        <is>
          <t>난이도
배율</t>
        </is>
      </c>
      <c r="C32" s="103" t="inlineStr">
        <is>
          <t>화당 턴</t>
        </is>
      </c>
      <c r="D32" s="103" t="inlineStr">
        <is>
          <t>부 총 턴</t>
        </is>
      </c>
      <c r="E32" s="103" t="inlineStr">
        <is>
          <t>평균
단어/턴</t>
        </is>
      </c>
      <c r="F32" s="103" t="inlineStr">
        <is>
          <t>화당
단어</t>
        </is>
      </c>
      <c r="G32" s="103" t="inlineStr">
        <is>
          <t>부 총
단어</t>
        </is>
      </c>
      <c r="H32" s="103" t="inlineStr">
        <is>
          <t>화당 낭독
(분)</t>
        </is>
      </c>
      <c r="I32" s="103" t="inlineStr">
        <is>
          <t>부 총 낭독
(시간)</t>
        </is>
      </c>
    </row>
    <row r="33" ht="15" customHeight="1" s="81">
      <c r="A33" s="132" t="inlineStr">
        <is>
          <t>1부</t>
        </is>
      </c>
      <c r="B33" s="133" t="n">
        <v>0.8</v>
      </c>
      <c r="C33" s="116">
        <f>$B$5</f>
        <v/>
      </c>
      <c r="D33" s="124">
        <f>C33*개요!$C$6</f>
        <v/>
      </c>
      <c r="E33" s="134">
        <f>SUMPRODUCT(C$13:C$27,$B$13:$B$27)*B33</f>
        <v/>
      </c>
      <c r="F33" s="124">
        <f>C33*E33</f>
        <v/>
      </c>
      <c r="G33" s="124">
        <f>F33*개요!$C$6</f>
        <v/>
      </c>
      <c r="H33" s="134">
        <f>F33/$B$6</f>
        <v/>
      </c>
      <c r="I33" s="134">
        <f>H33*개요!$C$6/60</f>
        <v/>
      </c>
    </row>
    <row r="34" ht="15" customHeight="1" s="81">
      <c r="A34" s="132" t="inlineStr">
        <is>
          <t>2부</t>
        </is>
      </c>
      <c r="B34" s="133" t="n">
        <v>1</v>
      </c>
      <c r="C34" s="116">
        <f>$B$5</f>
        <v/>
      </c>
      <c r="D34" s="124">
        <f>C34*개요!$C$6</f>
        <v/>
      </c>
      <c r="E34" s="134">
        <f>SUMPRODUCT(D$13:D$27,$B$13:$B$27)*B34</f>
        <v/>
      </c>
      <c r="F34" s="124">
        <f>C34*E34</f>
        <v/>
      </c>
      <c r="G34" s="124">
        <f>F34*개요!$C$6</f>
        <v/>
      </c>
      <c r="H34" s="134">
        <f>F34/$B$6</f>
        <v/>
      </c>
      <c r="I34" s="134">
        <f>H34*개요!$C$6/60</f>
        <v/>
      </c>
    </row>
    <row r="35" ht="15" customHeight="1" s="81">
      <c r="A35" s="132" t="inlineStr">
        <is>
          <t>3부</t>
        </is>
      </c>
      <c r="B35" s="133" t="n">
        <v>1</v>
      </c>
      <c r="C35" s="116">
        <f>$B$5</f>
        <v/>
      </c>
      <c r="D35" s="124">
        <f>C35*개요!$C$6</f>
        <v/>
      </c>
      <c r="E35" s="134">
        <f>SUMPRODUCT(E$13:E$27,$B$13:$B$27)*B35</f>
        <v/>
      </c>
      <c r="F35" s="124">
        <f>C35*E35</f>
        <v/>
      </c>
      <c r="G35" s="124">
        <f>F35*개요!$C$6</f>
        <v/>
      </c>
      <c r="H35" s="134">
        <f>F35/$B$6</f>
        <v/>
      </c>
      <c r="I35" s="134">
        <f>H35*개요!$C$6/60</f>
        <v/>
      </c>
    </row>
    <row r="36" ht="15" customHeight="1" s="81">
      <c r="A36" s="132" t="inlineStr">
        <is>
          <t>4부</t>
        </is>
      </c>
      <c r="B36" s="133" t="n">
        <v>1</v>
      </c>
      <c r="C36" s="116">
        <f>$B$5</f>
        <v/>
      </c>
      <c r="D36" s="124">
        <f>C36*개요!$C$6</f>
        <v/>
      </c>
      <c r="E36" s="134">
        <f>SUMPRODUCT(F$13:F$27,$B$13:$B$27)*B36</f>
        <v/>
      </c>
      <c r="F36" s="124">
        <f>C36*E36</f>
        <v/>
      </c>
      <c r="G36" s="124">
        <f>F36*개요!$C$6</f>
        <v/>
      </c>
      <c r="H36" s="134">
        <f>F36/$B$6</f>
        <v/>
      </c>
      <c r="I36" s="134">
        <f>H36*개요!$C$6/60</f>
        <v/>
      </c>
    </row>
    <row r="37" ht="15" customHeight="1" s="81">
      <c r="A37" s="132" t="inlineStr">
        <is>
          <t>5부</t>
        </is>
      </c>
      <c r="B37" s="133" t="n">
        <v>1</v>
      </c>
      <c r="C37" s="116">
        <f>$B$5</f>
        <v/>
      </c>
      <c r="D37" s="124">
        <f>C37*개요!$C$6</f>
        <v/>
      </c>
      <c r="E37" s="134">
        <f>SUMPRODUCT(G$13:G$27,$B$13:$B$27)*B37</f>
        <v/>
      </c>
      <c r="F37" s="124">
        <f>C37*E37</f>
        <v/>
      </c>
      <c r="G37" s="124">
        <f>F37*개요!$C$6</f>
        <v/>
      </c>
      <c r="H37" s="134">
        <f>F37/$B$6</f>
        <v/>
      </c>
      <c r="I37" s="134">
        <f>H37*개요!$C$6/60</f>
        <v/>
      </c>
    </row>
    <row r="38" ht="15" customHeight="1" s="81">
      <c r="A38" s="132" t="inlineStr">
        <is>
          <t>6부</t>
        </is>
      </c>
      <c r="B38" s="133" t="n">
        <v>1</v>
      </c>
      <c r="C38" s="116">
        <f>$B$5</f>
        <v/>
      </c>
      <c r="D38" s="124">
        <f>C38*개요!$C$6</f>
        <v/>
      </c>
      <c r="E38" s="134">
        <f>SUMPRODUCT(H$13:H$27,$B$13:$B$27)*B38</f>
        <v/>
      </c>
      <c r="F38" s="124">
        <f>C38*E38</f>
        <v/>
      </c>
      <c r="G38" s="124">
        <f>F38*개요!$C$6</f>
        <v/>
      </c>
      <c r="H38" s="134">
        <f>F38/$B$6</f>
        <v/>
      </c>
      <c r="I38" s="134">
        <f>H38*개요!$C$6/60</f>
        <v/>
      </c>
    </row>
    <row r="39" ht="15" customHeight="1" s="81">
      <c r="A39" s="132" t="inlineStr">
        <is>
          <t>7부</t>
        </is>
      </c>
      <c r="B39" s="133" t="n">
        <v>1</v>
      </c>
      <c r="C39" s="116" t="n">
        <v>180</v>
      </c>
      <c r="D39" s="124">
        <f>C39*개요!$C$6</f>
        <v/>
      </c>
      <c r="E39" s="134">
        <f>SUMPRODUCT(I$13:I$27,$B$13:$B$27)*B39</f>
        <v/>
      </c>
      <c r="F39" s="124">
        <f>C39*E39</f>
        <v/>
      </c>
      <c r="G39" s="124">
        <f>F39*개요!$C$6</f>
        <v/>
      </c>
      <c r="H39" s="134">
        <f>F39/$B$6</f>
        <v/>
      </c>
      <c r="I39" s="134">
        <f>H39*개요!$C$6/60</f>
        <v/>
      </c>
    </row>
    <row r="40" ht="15" customHeight="1" s="81">
      <c r="A40" s="132" t="inlineStr">
        <is>
          <t>8부</t>
        </is>
      </c>
      <c r="B40" s="133" t="n">
        <v>1.1</v>
      </c>
      <c r="C40" s="116">
        <f>$B$5</f>
        <v/>
      </c>
      <c r="D40" s="124">
        <f>C40*개요!$C$6</f>
        <v/>
      </c>
      <c r="E40" s="134">
        <f>SUMPRODUCT(J$13:J$27,$B$13:$B$27)*B40</f>
        <v/>
      </c>
      <c r="F40" s="124">
        <f>C40*E40</f>
        <v/>
      </c>
      <c r="G40" s="124">
        <f>F40*개요!$C$6</f>
        <v/>
      </c>
      <c r="H40" s="134">
        <f>F40/$B$6</f>
        <v/>
      </c>
      <c r="I40" s="134">
        <f>H40*개요!$C$6/60</f>
        <v/>
      </c>
    </row>
    <row r="41" ht="15" customHeight="1" s="81">
      <c r="A41" s="132" t="inlineStr">
        <is>
          <t>9부</t>
        </is>
      </c>
      <c r="B41" s="133" t="n">
        <v>1.1</v>
      </c>
      <c r="C41" s="116">
        <f>$B$5</f>
        <v/>
      </c>
      <c r="D41" s="124">
        <f>C41*개요!$C$6</f>
        <v/>
      </c>
      <c r="E41" s="134">
        <f>SUMPRODUCT(K$13:K$27,$B$13:$B$27)*B41</f>
        <v/>
      </c>
      <c r="F41" s="124">
        <f>C41*E41</f>
        <v/>
      </c>
      <c r="G41" s="124">
        <f>F41*개요!$C$6</f>
        <v/>
      </c>
      <c r="H41" s="134">
        <f>F41/$B$6</f>
        <v/>
      </c>
      <c r="I41" s="134">
        <f>H41*개요!$C$6/60</f>
        <v/>
      </c>
    </row>
    <row r="42" ht="15" customHeight="1" s="81">
      <c r="A42" s="132" t="inlineStr">
        <is>
          <t>10부</t>
        </is>
      </c>
      <c r="B42" s="133" t="n">
        <v>1.2</v>
      </c>
      <c r="C42" s="116">
        <f>$B$5</f>
        <v/>
      </c>
      <c r="D42" s="124">
        <f>C42*개요!$C$6</f>
        <v/>
      </c>
      <c r="E42" s="134">
        <f>SUMPRODUCT(L$13:L$27,$B$13:$B$27)*B42</f>
        <v/>
      </c>
      <c r="F42" s="124">
        <f>C42*E42</f>
        <v/>
      </c>
      <c r="G42" s="124">
        <f>F42*개요!$C$6</f>
        <v/>
      </c>
      <c r="H42" s="134">
        <f>F42/$B$6</f>
        <v/>
      </c>
      <c r="I42" s="134">
        <f>H42*개요!$C$6/60</f>
        <v/>
      </c>
    </row>
    <row r="43" ht="15" customHeight="1" s="81">
      <c r="A43" s="132" t="inlineStr">
        <is>
          <t>11부</t>
        </is>
      </c>
      <c r="B43" s="133" t="n">
        <v>1.2</v>
      </c>
      <c r="C43" s="116">
        <f>$B$5</f>
        <v/>
      </c>
      <c r="D43" s="124">
        <f>C43*개요!$C$6</f>
        <v/>
      </c>
      <c r="E43" s="134">
        <f>SUMPRODUCT(M$13:M$27,$B$13:$B$27)*B43</f>
        <v/>
      </c>
      <c r="F43" s="124">
        <f>C43*E43</f>
        <v/>
      </c>
      <c r="G43" s="124">
        <f>F43*개요!$C$6</f>
        <v/>
      </c>
      <c r="H43" s="134">
        <f>F43/$B$6</f>
        <v/>
      </c>
      <c r="I43" s="134">
        <f>H43*개요!$C$6/60</f>
        <v/>
      </c>
    </row>
    <row r="44" ht="15" customHeight="1" s="81">
      <c r="A44" s="132" t="inlineStr">
        <is>
          <t>12부</t>
        </is>
      </c>
      <c r="B44" s="133" t="n">
        <v>0.8</v>
      </c>
      <c r="C44" s="116">
        <f>$B$5</f>
        <v/>
      </c>
      <c r="D44" s="124">
        <f>C44*개요!$C$6</f>
        <v/>
      </c>
      <c r="E44" s="134">
        <f>SUMPRODUCT(N$13:N$27,$B$13:$B$27)*B44</f>
        <v/>
      </c>
      <c r="F44" s="124">
        <f>C44*E44</f>
        <v/>
      </c>
      <c r="G44" s="124">
        <f>F44*개요!$C$6</f>
        <v/>
      </c>
      <c r="H44" s="134">
        <f>F44/$B$6</f>
        <v/>
      </c>
      <c r="I44" s="134">
        <f>H44*개요!$C$6/60</f>
        <v/>
      </c>
    </row>
    <row r="45" ht="15" customHeight="1" s="81">
      <c r="A45" s="135" t="inlineStr">
        <is>
          <t>전체</t>
        </is>
      </c>
      <c r="B45" s="135" t="n"/>
      <c r="C45" s="135" t="n"/>
      <c r="D45" s="136">
        <f>SUM(D33:D44)</f>
        <v/>
      </c>
      <c r="E45" s="137">
        <f>G45/D45</f>
        <v/>
      </c>
      <c r="F45" s="136">
        <f>AVERAGE(F33:F44)</f>
        <v/>
      </c>
      <c r="G45" s="136">
        <f>SUM(G33:G44)</f>
        <v/>
      </c>
      <c r="H45" s="137">
        <f>AVERAGE(H33:H44)</f>
        <v/>
      </c>
      <c r="I45" s="137">
        <f>SUM(I33:I44)</f>
        <v/>
      </c>
    </row>
    <row r="46" ht="15" customHeight="1" s="81">
      <c r="A46" s="100" t="inlineStr">
        <is>
          <t>※ 난이도 배율: 1·12부(B1~B2)는 짧게 0.8, 10~11부(C1~C2)는 길게 1.2. 화당 단어는 '평균 단어/턴 × 120턴', 낭독 시간은 낭독 속도로 환산한 추정치.</t>
        </is>
      </c>
    </row>
    <row r="47" ht="15" customHeight="1" s="81">
      <c r="A47" s="100" t="inlineStr">
        <is>
          <t>※ 7부(39행)의 화당 턴은 2026-09-25 사용자 요청으로 120 → 180으로 수동 상향 조정(C39 = 180, 수식 대신 값 직접 입력). 8부 이후에도 180을 유지할지는 변경이력_미결 미결 31번 참고. B8(총 대화 턴)은 전 부 120 가정의 구 추정치이며, 실제 총합은 D45(부별 실제 합)를 참고할 것.</t>
        </is>
      </c>
    </row>
    <row r="48" ht="18" customHeight="1" s="81"/>
    <row r="49" ht="19.5" customHeight="1" s="81">
      <c r="A49" s="102" t="inlineStr">
        <is>
          <t>4. 화 유형별 턴 구성 (합계 = 화당 120턴)</t>
        </is>
      </c>
      <c r="B49" s="85" t="n"/>
      <c r="C49" s="85" t="n"/>
      <c r="D49" s="85" t="n"/>
      <c r="E49" s="85" t="n"/>
      <c r="F49" s="85" t="n"/>
      <c r="G49" s="85" t="n"/>
      <c r="H49" s="85" t="n"/>
      <c r="I49" s="85" t="n"/>
      <c r="J49" s="138" t="n"/>
      <c r="K49" s="138" t="n"/>
      <c r="L49" s="138" t="n"/>
      <c r="M49" s="138" t="n"/>
      <c r="N49" s="139" t="n"/>
    </row>
    <row r="50" ht="18" customHeight="1" s="81">
      <c r="A50" s="103" t="inlineStr">
        <is>
          <t>화 유형</t>
        </is>
      </c>
      <c r="B50" s="103" t="inlineStr">
        <is>
          <t>도입</t>
        </is>
      </c>
      <c r="C50" s="103" t="inlineStr">
        <is>
          <t>장면 1</t>
        </is>
      </c>
      <c r="D50" s="103" t="inlineStr">
        <is>
          <t>장면 2</t>
        </is>
      </c>
      <c r="E50" s="103" t="inlineStr">
        <is>
          <t>절정·전환</t>
        </is>
      </c>
      <c r="F50" s="103" t="inlineStr">
        <is>
          <t>마무리</t>
        </is>
      </c>
      <c r="G50" s="103" t="inlineStr">
        <is>
          <t>합계</t>
        </is>
      </c>
      <c r="H50" s="103" t="inlineStr">
        <is>
          <t>검증</t>
        </is>
      </c>
      <c r="I50" s="103" t="inlineStr">
        <is>
          <t>적용</t>
        </is>
      </c>
      <c r="J50" s="138" t="n"/>
      <c r="K50" s="138" t="n"/>
      <c r="L50" s="138" t="n"/>
      <c r="M50" s="138" t="n"/>
      <c r="N50" s="139" t="n"/>
    </row>
    <row r="51" ht="18" customHeight="1" s="81">
      <c r="A51" s="140" t="inlineStr">
        <is>
          <t>일반 화</t>
        </is>
      </c>
      <c r="B51" s="141" t="n">
        <v>15</v>
      </c>
      <c r="C51" s="141" t="n">
        <v>35</v>
      </c>
      <c r="D51" s="141" t="n">
        <v>30</v>
      </c>
      <c r="E51" s="141" t="n">
        <v>25</v>
      </c>
      <c r="F51" s="141" t="n">
        <v>15</v>
      </c>
      <c r="G51" s="142">
        <f>SUM(B50:F50)</f>
        <v/>
      </c>
      <c r="H51" s="142">
        <f>IF(G50=$B$5,"OK","확인")</f>
        <v/>
      </c>
      <c r="I51" s="143" t="inlineStr">
        <is>
          <t>발단·전개·위기 화 대부분</t>
        </is>
      </c>
      <c r="J51" s="138" t="n"/>
      <c r="K51" s="138" t="n"/>
      <c r="L51" s="138" t="n"/>
      <c r="M51" s="138" t="n"/>
      <c r="N51" s="139" t="n"/>
    </row>
    <row r="52" ht="18" customHeight="1" s="81">
      <c r="A52" s="140" t="inlineStr">
        <is>
          <t>프레임 화</t>
        </is>
      </c>
      <c r="B52" s="141" t="n">
        <v>15</v>
      </c>
      <c r="C52" s="141" t="n">
        <v>30</v>
      </c>
      <c r="D52" s="141" t="n">
        <v>30</v>
      </c>
      <c r="E52" s="141" t="n">
        <v>25</v>
      </c>
      <c r="F52" s="141" t="n">
        <v>20</v>
      </c>
      <c r="G52" s="142">
        <f>SUM(B51:F51)</f>
        <v/>
      </c>
      <c r="H52" s="142">
        <f>IF(G51=$B$5,"OK","확인")</f>
        <v/>
      </c>
      <c r="I52" s="144" t="inlineStr">
        <is>
          <t>2~5부 1·5·9·12화: 금요일 프레임(도입·마무리)과 과거 장면</t>
        </is>
      </c>
      <c r="J52" s="138" t="n"/>
      <c r="K52" s="138" t="n"/>
      <c r="L52" s="138" t="n"/>
      <c r="M52" s="138" t="n"/>
      <c r="N52" s="139" t="n"/>
    </row>
    <row r="53" ht="30" customHeight="1" s="81">
      <c r="A53" s="140" t="inlineStr">
        <is>
          <t>폭발·감정 정점 화</t>
        </is>
      </c>
      <c r="B53" s="141" t="n">
        <v>15</v>
      </c>
      <c r="C53" s="141" t="n">
        <v>30</v>
      </c>
      <c r="D53" s="141" t="n">
        <v>25</v>
      </c>
      <c r="E53" s="141" t="n">
        <v>35</v>
      </c>
      <c r="F53" s="141" t="n">
        <v>15</v>
      </c>
      <c r="G53" s="142">
        <f>SUM(B52:F52)</f>
        <v/>
      </c>
      <c r="H53" s="142">
        <f>IF(G52=$B$5,"OK","확인")</f>
        <v/>
      </c>
      <c r="I53" s="144" t="inlineStr">
        <is>
          <t>1부 6화, 9부 6화 등 인물의 감정이 터지는 화</t>
        </is>
      </c>
      <c r="J53" s="138" t="n"/>
      <c r="K53" s="138" t="n"/>
      <c r="L53" s="138" t="n"/>
      <c r="M53" s="138" t="n"/>
      <c r="N53" s="139" t="n"/>
    </row>
    <row r="54" ht="18" customHeight="1" s="81">
      <c r="A54" s="140" t="inlineStr">
        <is>
          <t>표결·절차 화</t>
        </is>
      </c>
      <c r="B54" s="141" t="n">
        <v>15</v>
      </c>
      <c r="C54" s="141" t="n">
        <v>30</v>
      </c>
      <c r="D54" s="141" t="n">
        <v>25</v>
      </c>
      <c r="E54" s="141" t="n">
        <v>35</v>
      </c>
      <c r="F54" s="141" t="n">
        <v>15</v>
      </c>
      <c r="G54" s="142">
        <f>SUM(B53:F53)</f>
        <v/>
      </c>
      <c r="H54" s="142">
        <f>IF(G53=$B$5,"OK","확인")</f>
        <v/>
      </c>
      <c r="I54" s="144" t="inlineStr">
        <is>
          <t>10부 7·12화 investidura, 11부 10화 불신임안 (의장의 결과 낭독 포함)</t>
        </is>
      </c>
      <c r="J54" s="138" t="n"/>
      <c r="K54" s="138" t="n"/>
      <c r="L54" s="138" t="n"/>
      <c r="M54" s="138" t="n"/>
      <c r="N54" s="139" t="n"/>
    </row>
    <row r="55" ht="18" customHeight="1" s="81">
      <c r="A55" s="140" t="inlineStr">
        <is>
          <t>재난·추도 화</t>
        </is>
      </c>
      <c r="B55" s="141" t="n">
        <v>10</v>
      </c>
      <c r="C55" s="141" t="n">
        <v>30</v>
      </c>
      <c r="D55" s="141" t="n">
        <v>30</v>
      </c>
      <c r="E55" s="141" t="n">
        <v>40</v>
      </c>
      <c r="F55" s="141" t="n">
        <v>10</v>
      </c>
      <c r="G55" s="142">
        <f>SUM(B54:F54)</f>
        <v/>
      </c>
      <c r="H55" s="142">
        <f>IF(G54=$B$5,"OK","확인")</f>
        <v/>
      </c>
      <c r="I55" s="144" t="inlineStr">
        <is>
          <t>11부 6화(Anselmo 죽음), 11화(DANA)</t>
        </is>
      </c>
      <c r="J55" s="138" t="n"/>
      <c r="K55" s="138" t="n"/>
      <c r="L55" s="138" t="n"/>
      <c r="M55" s="138" t="n"/>
      <c r="N55" s="139" t="n"/>
    </row>
    <row r="56" ht="86.55" customHeight="1" s="81">
      <c r="A56" s="140" t="inlineStr">
        <is>
          <t>원형·회고 화</t>
        </is>
      </c>
      <c r="B56" s="141" t="n">
        <v>20</v>
      </c>
      <c r="C56" s="141" t="n">
        <v>25</v>
      </c>
      <c r="D56" s="141" t="n">
        <v>25</v>
      </c>
      <c r="E56" s="141" t="n">
        <v>25</v>
      </c>
      <c r="F56" s="141" t="n">
        <v>25</v>
      </c>
      <c r="G56" s="142">
        <f>SUM(B55:F55)</f>
        <v/>
      </c>
      <c r="H56" s="142">
        <f>IF(G55=$B$5,"OK","확인")</f>
        <v/>
      </c>
      <c r="I56" s="144" t="inlineStr">
        <is>
          <t>12부 1·11·12화: 1부 대사를 되풀이하고 마무리를 길게</t>
        </is>
      </c>
      <c r="J56" s="145" t="n"/>
      <c r="K56" s="145" t="n"/>
      <c r="L56" s="145" t="n"/>
      <c r="M56" s="145" t="n"/>
      <c r="N56" s="146" t="n"/>
    </row>
    <row r="57" ht="18" customHeight="1" s="81">
      <c r="A57" s="140" t="inlineStr">
        <is>
          <t>일반 화 (7부부터, 180턴)</t>
        </is>
      </c>
      <c r="B57" s="141" t="n">
        <v>22</v>
      </c>
      <c r="C57" s="141" t="n">
        <v>45</v>
      </c>
      <c r="D57" s="141" t="n">
        <v>45</v>
      </c>
      <c r="E57" s="141" t="n">
        <v>45</v>
      </c>
      <c r="F57" s="141" t="n">
        <v>23</v>
      </c>
      <c r="G57" s="142">
        <f>SUM(B57:F57)</f>
        <v/>
      </c>
      <c r="H57" s="142">
        <f>IF(G57=180,"OK","확인")</f>
        <v/>
      </c>
      <c r="I57" s="144" t="inlineStr">
        <is>
          <t>7부 이후 일반 화 표준(180턴 기준, $B$5=120 기준 검증식과 별개로 180 고정 비교)</t>
        </is>
      </c>
    </row>
    <row r="58" ht="16.5" customHeight="1" s="81">
      <c r="A58" s="80" t="n"/>
    </row>
    <row r="59" ht="16.5" customHeight="1" s="81">
      <c r="A59" s="102" t="inlineStr">
        <is>
          <t>5. 집필 규칙</t>
        </is>
      </c>
      <c r="B59" s="138" t="n"/>
      <c r="C59" s="138" t="n"/>
      <c r="D59" s="138" t="n"/>
      <c r="E59" s="138" t="n"/>
      <c r="F59" s="138" t="n"/>
      <c r="G59" s="138" t="n"/>
      <c r="H59" s="138" t="n"/>
      <c r="I59" s="138" t="n"/>
      <c r="J59" s="138" t="n"/>
      <c r="K59" s="138" t="n"/>
      <c r="L59" s="138" t="n"/>
      <c r="M59" s="138" t="n"/>
      <c r="N59" s="139" t="n"/>
    </row>
    <row r="60" ht="16.5" customHeight="1" s="81">
      <c r="A60" s="122" t="inlineStr">
        <is>
          <t>1. 1부는 한 턴 15단어 이내를 지킨다. 연설·조항·기사·카드처럼 긴 낭독은 예외로 두되 1턴으로 세고, 화당 최대 3개까지만 쓴다.</t>
        </is>
      </c>
    </row>
    <row r="61" ht="16.5" customHeight="1" s="81">
      <c r="A61" s="122" t="inlineStr">
        <is>
          <t>2. 지문이 없으므로 장소·시간·행동을 알리는 턴이 화당 5~10턴 필요하다 (Pepa의 시간 안내, Ramón의 보고, 의장의 결과 낭독 등).</t>
        </is>
      </c>
    </row>
    <row r="62" ht="16.5" customHeight="1" s="81">
      <c r="A62" s="122" t="inlineStr">
        <is>
          <t>3. Carmen의 질문 → 쉬운 재설명 짝은 화당 3~6쌍(6~12턴)을 기본으로 한다. 어려운 용어를 도입할 때 반드시 사용한다.</t>
        </is>
      </c>
    </row>
    <row r="63" ht="16.5" customHeight="1" s="81">
      <c r="A63" s="122" t="inlineStr">
        <is>
          <t>4. 시그니처 표현은 화자당 1~2회. 120턴 안에서 같은 시그니처가 반복되지 않게 배분한다.</t>
        </is>
      </c>
    </row>
    <row r="64" ht="44" customHeight="1" s="81">
      <c r="A64" s="122" t="inlineStr">
        <is>
          <t>5. 화자 점유율은 턴 수 기준이다. Carmen처럼 턴은 많지만 짧게 말하는 인물은 평균 단어/턴을 낮게 잡았다.</t>
        </is>
      </c>
    </row>
    <row r="65" ht="44" customHeight="1" s="81">
      <c r="A65" s="122" t="inlineStr">
        <is>
          <t>6. 표의 파란 숫자는 가정값이다. 1부 1~3화 대본을 쓴 뒤 실제 턴·단어 수를 재서 점유율과 평균 단어/턴을 교정한다.</t>
        </is>
      </c>
    </row>
    <row r="66" ht="126.1" customHeight="1" s="81">
      <c r="A66" s="122" t="inlineStr">
        <is>
          <t>7. 7부부터 화당 180턴(기존 15·30·30·30·15의 1.5배 근사: 22·45·45·45·23 표준). 1~6부는 120턴을 그대로 유지한다. 실제 집필 결과는 7부1화 15·30·30·30·15(180턴 적용 전 마지막), 7부2화 15·30·30·30·15, 7부3화 22·45·45·45·23, 7부4화 27·48·38·39·28, 7부5화 26·46·52·31·25.</t>
        </is>
      </c>
    </row>
  </sheetData>
  <mergeCells count="13">
    <mergeCell ref="A61:N61"/>
    <mergeCell ref="I49:N49"/>
    <mergeCell ref="I55:N55"/>
    <mergeCell ref="A62:N62"/>
    <mergeCell ref="I50:N50"/>
    <mergeCell ref="I52:N52"/>
    <mergeCell ref="A59:N59"/>
    <mergeCell ref="A60:N60"/>
    <mergeCell ref="I53:N53"/>
    <mergeCell ref="A63:N63"/>
    <mergeCell ref="I54:N54"/>
    <mergeCell ref="I51:N51"/>
    <mergeCell ref="A58:N58"/>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tabColor rgb="FF1F3864"/>
    <outlinePr summaryBelow="1" summaryRight="1"/>
    <pageSetUpPr fitToPage="1"/>
  </sheetPr>
  <dimension ref="A1:H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80" min="1" max="1"/>
    <col width="30" customWidth="1" style="80" min="2" max="2"/>
    <col width="22" customWidth="1" style="80" min="3" max="3"/>
    <col width="32" customWidth="1" style="80" min="4" max="4"/>
    <col width="56" customWidth="1" style="80" min="5" max="5"/>
    <col width="11" customWidth="1" style="80" min="6" max="6"/>
    <col width="48" customWidth="1" style="80" min="7" max="7"/>
    <col width="10" customWidth="1" style="80" min="8" max="8"/>
  </cols>
  <sheetData>
    <row r="1" ht="24" customHeight="1" s="81">
      <c r="A1" s="82" t="inlineStr">
        <is>
          <t>13부 구성 (13부 × 12화 = 156화)</t>
        </is>
      </c>
    </row>
    <row r="2" ht="15" customHeight="1" s="81">
      <c r="A2" s="100" t="inlineStr">
        <is>
          <t>정치 파트(8~11부)는 현실 정치 제도에 맞춰 재설계했습니다. 화별 목차는 '화별목차_전체', 제도 근거는 '정치제도' 시트.</t>
        </is>
      </c>
    </row>
    <row r="4" ht="29.25" customHeight="1" s="81">
      <c r="A4" s="103" t="inlineStr">
        <is>
          <t>부</t>
        </is>
      </c>
      <c r="B4" s="103" t="inlineStr">
        <is>
          <t>제목 (ES)</t>
        </is>
      </c>
      <c r="C4" s="103" t="inlineStr">
        <is>
          <t>한국어</t>
        </is>
      </c>
      <c r="D4" s="103" t="inlineStr">
        <is>
          <t>배경</t>
        </is>
      </c>
      <c r="E4" s="103" t="inlineStr">
        <is>
          <t>핵심 내용</t>
        </is>
      </c>
      <c r="F4" s="103" t="inlineStr">
        <is>
          <t>난이도
(CEFR)</t>
        </is>
      </c>
      <c r="G4" s="103" t="inlineStr">
        <is>
          <t>반영 제도·전문 영역</t>
        </is>
      </c>
      <c r="H4" s="103" t="inlineStr">
        <is>
          <t>시점</t>
        </is>
      </c>
    </row>
    <row r="5" ht="42" customHeight="1" s="81">
      <c r="A5" s="111" t="n">
        <v>1</v>
      </c>
      <c r="B5" s="88" t="inlineStr">
        <is>
          <t>El Despacho de Lavapiés</t>
        </is>
      </c>
      <c r="C5" s="89" t="inlineStr">
        <is>
          <t>라바피에스 사무소</t>
        </is>
      </c>
      <c r="D5" s="88" t="inlineStr">
        <is>
          <t>Lavapiés의 작은 사무실 (1층은 Pepa의 바), 개소 1개월 후</t>
        </is>
      </c>
      <c r="E5" s="89" t="inlineStr">
        <is>
          <t>이미 한 달째 좌충우돌 중인 팀이 이웃들의 사건 6개를 2화씩(도입→해결) 풀어 간다. 자기소개 대신 '이 사람들이 어쩌다 이렇게 됐지?' 하는 궁금증(In medias res)으로 시작.</t>
        </is>
      </c>
      <c r="F5" s="111" t="inlineStr">
        <is>
          <t>B1</t>
        </is>
      </c>
      <c r="G5" s="89" t="inlineStr">
        <is>
          <t>생활 법률·노동·의료·금융 기초 어휘, 반복되는 말다툼, Carmen 1차 폭발(6화)</t>
        </is>
      </c>
      <c r="H5" s="113" t="inlineStr">
        <is>
          <t>현재(개소 후 1개월)</t>
        </is>
      </c>
    </row>
    <row r="6" ht="29.25" customHeight="1" s="81">
      <c r="A6" s="111" t="n">
        <v>2</v>
      </c>
      <c r="B6" s="88" t="inlineStr">
        <is>
          <t>El Abogado</t>
        </is>
      </c>
      <c r="C6" s="89" t="inlineStr">
        <is>
          <t>변호사</t>
        </is>
      </c>
      <c r="D6" s="88" t="inlineStr">
        <is>
          <t>Paseo de la Castellana의 대형 로펌</t>
        </is>
      </c>
      <c r="E6" s="89" t="inlineStr">
        <is>
          <t>승소율 100%의 이면: 강제 퇴거 사건이 Mateo의 결핍이 된다.</t>
        </is>
      </c>
      <c r="F6" s="111" t="inlineStr">
        <is>
          <t>B2~C1</t>
        </is>
      </c>
      <c r="G6" s="89" t="inlineStr">
        <is>
          <t>상법, 소송, 퇴거 절차(LEC)</t>
        </is>
      </c>
      <c r="H6" s="113" t="inlineStr">
        <is>
          <t>과거</t>
        </is>
      </c>
    </row>
    <row r="7" ht="29.25" customHeight="1" s="81">
      <c r="A7" s="111" t="n">
        <v>3</v>
      </c>
      <c r="B7" s="88" t="inlineStr">
        <is>
          <t>El Médico</t>
        </is>
      </c>
      <c r="C7" s="89" t="inlineStr">
        <is>
          <t>의사</t>
        </is>
      </c>
      <c r="D7" s="88" t="inlineStr">
        <is>
          <t>Hospital San Bartolomé 응급실 (가상)</t>
        </is>
      </c>
      <c r="E7" s="89" t="inlineStr">
        <is>
          <t>예산 삭감과 외주 압박 속에서 치료받지 못하는 환자들. Javier의 이름 목록.</t>
        </is>
      </c>
      <c r="F7" s="111" t="inlineStr">
        <is>
          <t>B2~C1</t>
        </is>
      </c>
      <c r="G7" s="89" t="inlineStr">
        <is>
          <t>의학·보건행정, 자치주 보건 체계(SERMAS), 병원 외주(gestión indirecta)</t>
        </is>
      </c>
      <c r="H7" s="113" t="inlineStr">
        <is>
          <t>과거</t>
        </is>
      </c>
    </row>
    <row r="8" ht="29.25" customHeight="1" s="81">
      <c r="A8" s="111" t="n">
        <v>4</v>
      </c>
      <c r="B8" s="88" t="inlineStr">
        <is>
          <t>La Auditora</t>
        </is>
      </c>
      <c r="C8" s="89" t="inlineStr">
        <is>
          <t>회계사</t>
        </is>
      </c>
      <c r="D8" s="88" t="inlineStr">
        <is>
          <t>Ochoa &amp; Ruiz Auditores (가상)</t>
        </is>
      </c>
      <c r="E8" s="89" t="inlineStr">
        <is>
          <t>역외 탈세·자금세탁 정황을 발견하지만 조직의 묵인 압박. 서명하지 않겠다는 다짐의 기원.</t>
        </is>
      </c>
      <c r="F8" s="111" t="inlineStr">
        <is>
          <t>B2~C1</t>
        </is>
      </c>
      <c r="G8" s="89" t="inlineStr">
        <is>
          <t>감사·세무, 자금세탁방지법(Ley 10/2010), 감사법(ICAC)</t>
        </is>
      </c>
      <c r="H8" s="113" t="inlineStr">
        <is>
          <t>과거</t>
        </is>
      </c>
    </row>
    <row r="9" ht="29.25" customHeight="1" s="81">
      <c r="A9" s="111" t="n">
        <v>5</v>
      </c>
      <c r="B9" s="88" t="inlineStr">
        <is>
          <t>El Consultor</t>
        </is>
      </c>
      <c r="C9" s="89" t="inlineStr">
        <is>
          <t>컨설턴트</t>
        </is>
      </c>
      <c r="D9" s="88" t="inlineStr">
        <is>
          <t>Cenit Consultores (가상)</t>
        </is>
      </c>
      <c r="E9" s="89" t="inlineStr">
        <is>
          <t>구조조정 엑셀 한 칸이 수백 명의 실직이었음을 깨닫는다. Nieves와의 첫 접점.</t>
        </is>
      </c>
      <c r="F9" s="111" t="inlineStr">
        <is>
          <t>B2~C1</t>
        </is>
      </c>
      <c r="G9" s="89" t="inlineStr">
        <is>
          <t>경영 전략, 집단해고(ERE), 노동법</t>
        </is>
      </c>
      <c r="H9" s="113" t="inlineStr">
        <is>
          <t>과거</t>
        </is>
      </c>
    </row>
    <row r="10" ht="29.25" customHeight="1" s="81">
      <c r="A10" s="111" t="n">
        <v>6</v>
      </c>
      <c r="B10" s="88" t="inlineStr">
        <is>
          <t>El Encuentro</t>
        </is>
      </c>
      <c r="C10" s="89" t="inlineStr">
        <is>
          <t>운명적 만남</t>
        </is>
      </c>
      <c r="D10" s="88" t="inlineStr">
        <is>
          <t>Vallecas의 서민 주거 지역, 작은 카페</t>
        </is>
      </c>
      <c r="E10" s="89" t="inlineStr">
        <is>
          <t>강제 퇴거와 의료 방치가 한 건으로 얽힌 사건에서 네 사람이 만나 사무소를 차리기로 한다.</t>
        </is>
      </c>
      <c r="F10" s="111" t="inlineStr">
        <is>
          <t>B2</t>
        </is>
      </c>
      <c r="G10" s="89" t="inlineStr">
        <is>
          <t>협상·설득 구어체</t>
        </is>
      </c>
      <c r="H10" s="113" t="inlineStr">
        <is>
          <t>현재로 수렴</t>
        </is>
      </c>
    </row>
    <row r="11" ht="29.25" customHeight="1" s="81">
      <c r="A11" s="111" t="n">
        <v>7</v>
      </c>
      <c r="B11" s="88" t="inlineStr">
        <is>
          <t>La Red de Resistencia</t>
        </is>
      </c>
      <c r="C11" s="89" t="inlineStr">
        <is>
          <t>사무소 2탄: 전면전</t>
        </is>
      </c>
      <c r="D11" s="89" t="inlineStr">
        <is>
          <t>법원, 시청 앞, 마드리드 전역</t>
        </is>
      </c>
      <c r="E11" s="89" t="inlineStr">
        <is>
          <t>부당 해고·의료 사고·탈세 대기업 상대 집단 대응. 내부 제보자를 보호하고 acusación popular로 고소한다.</t>
        </is>
      </c>
      <c r="F11" s="111" t="inlineStr">
        <is>
          <t>B2~C1</t>
        </is>
      </c>
      <c r="G11" s="88" t="inlineStr">
        <is>
          <t>querella, acusación popular, Fiscalía Anticorrupción, 내부고발자 보호법(Ley 2/2023)</t>
        </is>
      </c>
      <c r="H11" s="113" t="inlineStr">
        <is>
          <t>과거→현재</t>
        </is>
      </c>
    </row>
    <row r="12" ht="29.25" customHeight="1" s="81">
      <c r="A12" s="111" t="n">
        <v>8</v>
      </c>
      <c r="B12" s="88" t="inlineStr">
        <is>
          <t>El Despertar Cívico</t>
        </is>
      </c>
      <c r="C12" s="89" t="inlineStr">
        <is>
          <t>정치적 각성과 창당</t>
        </is>
      </c>
      <c r="D12" s="88" t="inlineStr">
        <is>
          <t>Puerta del Sol, 시민 집회</t>
        </is>
      </c>
      <c r="E12" s="89" t="inlineStr">
        <is>
          <t>시민 입법발의가 좌초하자 스스로 정당 «Casa Común»을 창당해 첫 지방·자치 선거에 나선다.</t>
        </is>
      </c>
      <c r="F12" s="111" t="inlineStr">
        <is>
          <t>B2~C1</t>
        </is>
      </c>
      <c r="G12" s="89" t="inlineStr">
        <is>
          <t>집회 신고, 정당 등록(Registro de Partidos Políticos), 정관, 정당 재정, 선거운동 규칙</t>
        </is>
      </c>
      <c r="H12" s="113" t="inlineStr">
        <is>
          <t>정치</t>
        </is>
      </c>
    </row>
    <row r="13" ht="29.25" customHeight="1" s="81">
      <c r="A13" s="111" t="n">
        <v>9</v>
      </c>
      <c r="B13" s="88" t="inlineStr">
        <is>
          <t>En Cibeles y en la Asamblea</t>
        </is>
      </c>
      <c r="C13" s="89" t="inlineStr">
        <is>
          <t>시의회와 자치의회</t>
        </is>
      </c>
      <c r="D13" s="88" t="inlineStr">
        <is>
          <t>Palacio de Cibeles, Asamblea de Madrid(Vallecas 소재)</t>
        </is>
      </c>
      <c r="E13" s="88" t="inlineStr">
        <is>
          <t>Sofía는 시의회에서 예산을, Javier는 자치의회에서 보건을 파고든다. 스캔들 폭로와 Carmen의 2차 폭발.</t>
        </is>
      </c>
      <c r="F13" s="111" t="inlineStr">
        <is>
          <t>C1</t>
        </is>
      </c>
      <c r="G13" s="88" t="inlineStr">
        <is>
          <t>Pleno, 예산 집행 규정, 공공계약, 자치주 권한(보건·주거), 조사·고소</t>
        </is>
      </c>
      <c r="H13" s="113" t="inlineStr">
        <is>
          <t>정치</t>
        </is>
      </c>
    </row>
    <row r="14" ht="29.25" customHeight="1" s="81">
      <c r="A14" s="111" t="n">
        <v>10</v>
      </c>
      <c r="B14" s="88" t="inlineStr">
        <is>
          <t>Hacia La Moncloa</t>
        </is>
      </c>
      <c r="C14" s="89" t="inlineStr">
        <is>
          <t>총선에서 총리 선출까지</t>
        </is>
      </c>
      <c r="D14" s="88" t="inlineStr">
        <is>
          <t>Congreso de los Diputados, Zarzuela, La Moncloa</t>
        </is>
      </c>
      <c r="E14" s="89" t="inlineStr">
        <is>
          <t>해산·총선·개원·국왕 협의·첫 후보 실패·2개월 시계·재선거·1표 차 총리 선출.</t>
        </is>
      </c>
      <c r="F14" s="111" t="inlineStr">
        <is>
          <t>C1~C2</t>
        </is>
      </c>
      <c r="G14" s="89" t="inlineStr">
        <is>
          <t>선거 절차, 개원, investidura(art. 99), 해산(art. 115), 국왕 앞 선서</t>
        </is>
      </c>
      <c r="H14" s="113" t="inlineStr">
        <is>
          <t>정치</t>
        </is>
      </c>
    </row>
    <row r="15" ht="42" customHeight="1" s="81">
      <c r="A15" s="111" t="n">
        <v>11</v>
      </c>
      <c r="B15" s="88" t="inlineStr">
        <is>
          <t>La Gran Batalla Social I</t>
        </is>
      </c>
      <c r="C15" s="89" t="inlineStr">
        <is>
          <t>사회 현안 전투 I</t>
        </is>
      </c>
      <c r="D15" s="88" t="inlineStr">
        <is>
          <t>La Moncloa, Consejo de Ministros, 브뤼셀</t>
        </is>
      </c>
      <c r="E15" s="89" t="inlineStr">
        <is>
          <t>소수 정부로 주거·보건·이민·청년·물가 국내 현안을 돌파한 뒤, Anselmo가 직접 브뤼셀 협상(NATO 방위비·EU 재정규칙)에 나서 승리하고 귀국 직후 사망한다.</t>
        </is>
      </c>
      <c r="F15" s="111" t="inlineStr">
        <is>
          <t>C1~C2</t>
        </is>
      </c>
      <c r="G15" s="88" t="inlineStr">
        <is>
          <t>Consejo de Ministros, 자치주 협의체, NATO 방위비 목표(2025 헤이그 합의), EU 재정규칙</t>
        </is>
      </c>
      <c r="H15" s="113" t="inlineStr">
        <is>
          <t>정치</t>
        </is>
      </c>
    </row>
    <row r="16" ht="42" customHeight="1" s="81">
      <c r="A16" s="111" t="n">
        <v>12</v>
      </c>
      <c r="B16" s="88" t="inlineStr">
        <is>
          <t>La Gran Batalla Social II</t>
        </is>
      </c>
      <c r="C16" s="89" t="inlineStr">
        <is>
          <t>사회 현안 전투 II</t>
        </is>
      </c>
      <c r="D16" s="88" t="inlineStr">
        <is>
          <t>La Moncloa, 브뤼셀, 재난 현장</t>
        </is>
      </c>
      <c r="E16" s="89" t="inlineStr">
        <is>
          <t>장례식으로 열고 Anselmo의 유작 메모로 브뤼셀 후속 협상을 마무리한다. 플랫폼 노동·정보기관 사찰·청년 정신건강 등 새 현안과 건설적 불신임안 방어, DANA 재난, 예산안까지.</t>
        </is>
      </c>
      <c r="F16" s="111" t="inlineStr">
        <is>
          <t>C1~C2</t>
        </is>
      </c>
      <c r="G16" s="89" t="inlineStr">
        <is>
          <t>메모 승계, 법률 vs 긴급 칙령, 헌법재판소, 불신임안, DANA 민방위, 예산</t>
        </is>
      </c>
      <c r="H16" s="113" t="inlineStr">
        <is>
          <t>정치</t>
        </is>
      </c>
    </row>
    <row r="17" ht="29.25" customHeight="1" s="81">
      <c r="A17" s="111" t="n">
        <v>13</v>
      </c>
      <c r="B17" s="88" t="inlineStr">
        <is>
          <t>De vuelta a Lavapiés</t>
        </is>
      </c>
      <c r="C17" s="89" t="inlineStr">
        <is>
          <t>귀환</t>
        </is>
      </c>
      <c r="D17" s="88" t="inlineStr">
        <is>
          <t>Lavapiés, Casa Pepa</t>
        </is>
      </c>
      <c r="E17" s="88" t="inlineStr">
        <is>
          <t>1부 1화와 같은 대사로 시작해 원을 닫는다. Anselmo의 유언장, 새 인턴, 이제 설명하는 쪽이 된 Carmen.</t>
        </is>
      </c>
      <c r="F17" s="111" t="inlineStr">
        <is>
          <t>B1~B2</t>
        </is>
      </c>
      <c r="G17" s="89" t="inlineStr">
        <is>
          <t>유언(notaría, albacea), 고위직 겸직 제한, 재단 전환, 원형 구조</t>
        </is>
      </c>
      <c r="H17" s="113" t="inlineStr">
        <is>
          <t>귀환</t>
        </is>
      </c>
    </row>
    <row r="19" ht="29.25" customHeight="1" s="81">
      <c r="A19" s="147" t="inlineStr">
        <is>
          <t>흐름: 현재(1) → 과거(2~5) → 교차(6) → 전면전(7) → 정치(8 창당 → 9 지방 → 10 총선·총리) → 정부(11) → 귀환(12, 원형 구조). 난이도는 B1 → C1/C2 → B1~B2로 올라갔다 내려와 마무리가 부드럽고, 12부에서 1부 장면을 다시 읽으면 낭독 실력의 성장을 스스로 확인할 수 있다.</t>
        </is>
      </c>
    </row>
  </sheetData>
  <mergeCells count="1">
    <mergeCell ref="A19:H19"/>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tabColor rgb="FF1F3864"/>
    <outlinePr summaryBelow="1" summaryRight="1"/>
    <pageSetUpPr fitToPage="1"/>
  </sheetPr>
  <dimension ref="A1:B26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80" min="1" max="1"/>
    <col width="118" customWidth="1" style="80" min="2" max="2"/>
  </cols>
  <sheetData>
    <row r="1" ht="24" customHeight="1" s="81">
      <c r="A1" s="101" t="inlineStr">
        <is>
          <t>아크별 구성 계획 (1~12부)</t>
        </is>
      </c>
    </row>
    <row r="2" ht="15" customHeight="1" s="81">
      <c r="A2" s="100" t="inlineStr">
        <is>
          <t>각 부(아크)의 서사 기능, 변화, 비트(발단→결말), 인물 아크, 복선, 현안·제도, 언어 설계를 한 블록으로 정리. 화별 세부는 '화별목차_전체', 복선 추적은 '복선_회수'.</t>
        </is>
      </c>
    </row>
    <row r="4" ht="30" customHeight="1" s="81">
      <c r="A4" s="148" t="inlineStr">
        <is>
          <t>1부</t>
        </is>
      </c>
      <c r="B4" s="149" t="inlineStr">
        <is>
          <t>El Despacho de Lavapiés — 라바피에스 사무소   |   난이도 B1   |   사무소 개소 1개월 후(6부 12화로부터 약 4주). Lavapiés 사무소와 1층 Pepa의 바.</t>
        </is>
      </c>
    </row>
    <row r="5" ht="29.25" customHeight="1" s="81">
      <c r="A5" s="86" t="inlineStr">
        <is>
          <t>서사 기능</t>
        </is>
      </c>
      <c r="B5" s="89" t="inlineStr">
        <is>
          <t>독자 진입 장치. 이미 굴러가는(그러나 여전히 좌충우돌하는) 사무소를 보여 주어 '이 사람들이 어쩌다 이렇게 됐지?' 하는 궁금증을 만든다. 자기소개 대신 여섯 사건을 통해 인물의 습관과 리듬을 익히게 한다.</t>
        </is>
      </c>
    </row>
    <row r="6" ht="29.25" customHeight="1" s="81">
      <c r="A6" s="86" t="inlineStr">
        <is>
          <t>로그라인</t>
        </is>
      </c>
      <c r="B6" s="89" t="inlineStr">
        <is>
          <t>개소 한 달째, 여전히 순서 하나 못 정하고 매번 다투는 네 전문가와 팀이 그래도 이웃들의 사건 여섯 개를 하나씩 해결해 나가지만, 마지막 사건의 서류에서 Mateo의 옛 로펌 이름이 튀어나온다.</t>
        </is>
      </c>
    </row>
    <row r="7" ht="29.25" customHeight="1" s="81">
      <c r="A7" s="86" t="inlineStr">
        <is>
          <t>변화 (시작 → 끝)</t>
        </is>
      </c>
      <c r="B7" s="88" t="inlineStr">
        <is>
          <t>'한 달이나 됐는데 아직도 이 모양' → 그래도 매번 어떻게든 해결하는 팀이라는 신뢰. 그러나 각자의 과거는 여전히 미해결이고, 옛 로펌 이름이 도착한다.</t>
        </is>
      </c>
    </row>
    <row r="8" ht="16.5" customHeight="1" s="81">
      <c r="A8" s="86" t="inlineStr">
        <is>
          <t>핵심 갈등</t>
        </is>
      </c>
      <c r="B8" s="89" t="inlineStr">
        <is>
          <t>전문가의 말투 vs 이웃의 삶 / 여전히 못 정한 방법 / 각자 숨기는 과거</t>
        </is>
      </c>
    </row>
    <row r="9" ht="29.25" customHeight="1" s="81">
      <c r="A9" s="86" t="inlineStr">
        <is>
          <t>비트 1</t>
        </is>
      </c>
      <c r="B9" s="89" t="inlineStr">
        <is>
          <t>사건1 임대료 조작, 1~2화(Fátima): 도입에서 여전히 자리 못 잡은 한 달 차 팀의 말다툼을 보여 주고, 해결에서 Raimundo의 책·카드 #1(LAU)로 부당 인상을 막는다.</t>
        </is>
      </c>
    </row>
    <row r="10" ht="29.25" customHeight="1" s="81">
      <c r="A10" s="86" t="inlineStr">
        <is>
          <t>비트 2</t>
        </is>
      </c>
      <c r="B10" s="89" t="inlineStr">
        <is>
          <t>사건2 퇴거 집행, 3~4화: 밤 여덟 시 급보 → 아침 집행 저지. Ramón·Nieves 첫 카메오, 넷의 역할 분담(서류·건강·숫자·동선)이 처음으로 손발이 맞는다.</t>
        </is>
      </c>
    </row>
    <row r="11" ht="29.25" customHeight="1" s="81">
      <c r="A11" s="86" t="inlineStr">
        <is>
          <t>비트 3</t>
        </is>
      </c>
      <c r="B11" s="89" t="inlineStr">
        <is>
          <t>사건3 임금 체불, 5~6화: Diego의 컨설팅 용어가 청년 노동자를 지치게 하고, 협상 중 Carmen이 1차 폭발한다. 폭발 후 쉬운 말로 다시 협상해 해결.</t>
        </is>
      </c>
    </row>
    <row r="12" ht="29.25" customHeight="1" s="81">
      <c r="A12" s="86" t="inlineStr">
        <is>
          <t>비트 4</t>
        </is>
      </c>
      <c r="B12" s="89" t="inlineStr">
        <is>
          <t>사건4 의료 접근, 7~8화: 서류 없는 가족의 아이가 진료를 못 받는다. Lucía·Tomás 카메오, Anselmo의 가짜 무릎이 진짜 아픈 아이 앞에서 조용해지는 대비.</t>
        </is>
      </c>
    </row>
    <row r="13" ht="29.25" customHeight="1" s="81">
      <c r="A13" s="86" t="inlineStr">
        <is>
          <t>비트 5</t>
        </is>
      </c>
      <c r="B13" s="89" t="inlineStr">
        <is>
          <t>사건5 금융 사기, 9~10화: 저축을 잃은 이웃을 두고 Sofía가 장부를, 낯선 Gonzalo가 계좌 흐름을 추적한다. Inés 카메오. Gonzalo는 설명 없이 사라지고 Sofía는 은행 이름에 말없이 굳는다.</t>
        </is>
      </c>
    </row>
    <row r="14" ht="29.25" customHeight="1" s="81">
      <c r="A14" s="86" t="inlineStr">
        <is>
          <t>비트 6</t>
        </is>
      </c>
      <c r="B14" s="89" t="inlineStr">
        <is>
          <t>사건6 오래된 서류·훅, 11~12화: 수십 년 전 퇴거 서류의 절차 오류를 바로잡다가 서명란에서 Mateo의 옛 로펌 이름을 발견한다. Mateo가 얼어붙고 금요일 이야기(2부)가 예고된다.</t>
        </is>
      </c>
    </row>
    <row r="15" ht="42" customHeight="1" s="81">
      <c r="A15" s="86" t="inlineStr">
        <is>
          <t>인물 아크</t>
        </is>
      </c>
      <c r="B15" s="88" t="inlineStr">
        <is>
          <t>Carmen=독자의 대리인(질문), 한 달이 지나도 Mateo에게 usted 유지. Anselmo=심술과 복선(매년 하는 소리라는 게 드러남). Pepa=정서적 중심. 카메오는 사건별로 분산: Raimundo(1·2·11화), Ramón·Nieves(3·4화), Lucía·Tomás(7화), Gonzalo·Inés(9·10·11화). 폭발 화(6화)에는 Ramón·Pepa·Raimundo의 고정 반응만 남기고 Nieves의 욕은 9부 2차 폭발로 이관해 과밀을 해소.</t>
        </is>
      </c>
    </row>
    <row r="16" ht="42" customHeight="1" s="81">
      <c r="A16" s="86" t="inlineStr">
        <is>
          <t>복선·회수</t>
        </is>
      </c>
      <c r="B16" s="88" t="inlineStr">
        <is>
          <t>Anselmo의 마지막 겨울·우산(1화 → 11부 6화, 12부 2화) / Raimundo 카드 #1(2화 → 12부 10화) / Carmen 1차 폭발(6화 → 9부 6화) / Ramón «Sin novedad»(4화 → 11부 11화) / Gonzalo 첫 등장(9화 → 9부 8화) / Anselmo의 «No está mal»(7화, Tomás에게 → 11부 6화, Carmen에게) / 옛 로펌 이름(12화 → 2부 전체)</t>
        </is>
      </c>
    </row>
    <row r="17" ht="16.5" customHeight="1" s="81">
      <c r="A17" s="86" t="inlineStr">
        <is>
          <t>현안 (ID)</t>
        </is>
      </c>
      <c r="B17" s="88" t="inlineStr">
        <is>
          <t>E1●● S1●● S2● E3●</t>
        </is>
      </c>
    </row>
    <row r="18" ht="29.25" customHeight="1" s="81">
      <c r="A18" s="86" t="inlineStr">
        <is>
          <t>제도·전문 영역</t>
        </is>
      </c>
      <c r="B18" s="89" t="inlineStr">
        <is>
          <t>임대차(LAU), 퇴거 집행과 취약계층 유예(확인 필요), 노동 임시계약·체불, 서류 없는 의료 접근, 금융 사기·계좌 추적, 오래된 절차 정정, 공개 출처 찾기(BOE·DLE)</t>
        </is>
      </c>
    </row>
    <row r="19" ht="29.25" customHeight="1" s="81">
      <c r="A19" s="86" t="inlineStr">
        <is>
          <t>언어 설계</t>
        </is>
      </c>
      <c r="B19" s="88" t="inlineStr">
        <is>
          <t>B1. 한 줄 15단어 이내, 현재·명령형·간단한 과거. tú·vosotros 중심. 낭독: 빠른 티키타카로 입 풀기. Mateo·Anselmo의 격식체는 한두 줄 맛보기. 매 사건 2화(도입→해결) 리듬을 반복해 구조를 익히게 한다.</t>
        </is>
      </c>
    </row>
    <row r="20" ht="18" customHeight="1" s="81">
      <c r="A20" s="86" t="inlineStr">
        <is>
          <t>대화량 (화당 120턴)</t>
        </is>
      </c>
      <c r="B20" s="88">
        <f>"화당 "&amp;턴_설계!$B$5&amp;"턴 · 부 총 "&amp;TEXT(턴_설계!D33,"#,##0")&amp;"턴 · 화당 약 "&amp;TEXT(턴_설계!F33,"#,##0")&amp;"단어 · 낭독 약 "&amp;TEXT(턴_설계!H33,"0.0")&amp;"분 (평균 "&amp;TEXT(턴_설계!E33,"0.0")&amp;"단어/턴)"</f>
        <v/>
      </c>
    </row>
    <row r="21" ht="29.25" customHeight="1" s="81">
      <c r="A21" s="91" t="inlineStr">
        <is>
          <t>Carmen 질문·Raimundo 카드</t>
        </is>
      </c>
      <c r="B21" s="88" t="inlineStr">
        <is>
          <t>Carmen: 임대·노동·의료·금융 기초 용어(fianza, contrato temporal, padrón, cuenta bancaria). 카드: LAU(Ley 29/1994), 사전(DLE·DPEJ).</t>
        </is>
      </c>
    </row>
    <row r="22" ht="16.5" customHeight="1" s="81">
      <c r="A22" s="86" t="inlineStr">
        <is>
          <t>다음 부 연결</t>
        </is>
      </c>
      <c r="B22" s="88" t="inlineStr">
        <is>
          <t>2부: 금요일마다 한 명씩 과거를 이야기하는 규칙 — 첫 번째는 Mateo.</t>
        </is>
      </c>
    </row>
    <row r="24" ht="30" customHeight="1" s="81">
      <c r="A24" s="148" t="inlineStr">
        <is>
          <t>2부</t>
        </is>
      </c>
      <c r="B24" s="149" t="inlineStr">
        <is>
          <t>El Abogado — 변호사   |   난이도 B2~C1   |   프레임: 1부와 같은 첫 겨울의 금요일 밤. 과거: 약 5년 전, Paseo de la Castellana의 대형 로펌.</t>
        </is>
      </c>
    </row>
    <row r="25" ht="29.25" customHeight="1" s="81">
      <c r="A25" s="86" t="inlineStr">
        <is>
          <t>서사 기능</t>
        </is>
      </c>
      <c r="B25" s="89" t="inlineStr">
        <is>
          <t>첫 과거 회상. 공동 악역 Grupo Meridiano를 도입하고 '법을 잘 쓰는 것과 옳은 것은 다르다'는 이 이야기의 첫 질문을 던진다. 프레임(Pepa의 식탁)과 과거를 오가는 구조 실험.</t>
        </is>
      </c>
    </row>
    <row r="26" ht="29.25" customHeight="1" s="81">
      <c r="A26" s="86" t="inlineStr">
        <is>
          <t>로그라인</t>
        </is>
      </c>
      <c r="B26" s="89" t="inlineStr">
        <is>
          <t>승소율 100%의 파트너 후보가 대형 고객의 주택 포트폴리오를 비우는 조항을 설계해 재판에서 이기고, 그 승리가 한 노인의 죽음이 되었음을 알게 된다.</t>
        </is>
      </c>
    </row>
    <row r="27" ht="16.5" customHeight="1" s="81">
      <c r="A27" s="86" t="inlineStr">
        <is>
          <t>변화 (시작 → 끝)</t>
        </is>
      </c>
      <c r="B27" s="89" t="inlineStr">
        <is>
          <t>자랑스러운 승자 → 자기 승리에 사직서를 낸 사람.</t>
        </is>
      </c>
    </row>
    <row r="28" ht="16.5" customHeight="1" s="81">
      <c r="A28" s="86" t="inlineStr">
        <is>
          <t>핵심 갈등</t>
        </is>
      </c>
      <c r="B28" s="89" t="inlineStr">
        <is>
          <t>잘 쓰는 법 vs 옳은 것 / 파트너 승진 vs 양심</t>
        </is>
      </c>
    </row>
    <row r="29" ht="16.5" customHeight="1" s="81">
      <c r="A29" s="86" t="inlineStr">
        <is>
          <t>비트 1</t>
        </is>
      </c>
      <c r="B29" s="89" t="inlineStr">
        <is>
          <t>발단(1~3화): 금요일 프레임, 카스티야나의 월요일, VIP 고객 Quintana.</t>
        </is>
      </c>
    </row>
    <row r="30" ht="16.5" customHeight="1" s="81">
      <c r="A30" s="86" t="inlineStr">
        <is>
          <t>비트 2</t>
        </is>
      </c>
      <c r="B30" s="89" t="inlineStr">
        <is>
          <t>전개(4~5화): 실사에서 Lavapiés 건물 발견 / 프레임에서 그곳이 Pepa의 거리였음이 드러남.</t>
        </is>
      </c>
    </row>
    <row r="31" ht="16.5" customHeight="1" s="81">
      <c r="A31" s="86" t="inlineStr">
        <is>
          <t>비트 3</t>
        </is>
      </c>
      <c r="B31" s="89" t="inlineStr">
        <is>
          <t>미드포인트(6화): 조항 설계 — Mateo가 스스로 함정을 만든다.</t>
        </is>
      </c>
    </row>
    <row r="32" ht="16.5" customHeight="1" s="81">
      <c r="A32" s="86" t="inlineStr">
        <is>
          <t>비트 4</t>
        </is>
      </c>
      <c r="B32" s="89" t="inlineStr">
        <is>
          <t>위기(7~9화): 주민 총회(Remedios), 재판 승소, 프레임에서 Mateo의 말이 막힘.</t>
        </is>
      </c>
    </row>
    <row r="33" ht="16.5" customHeight="1" s="81">
      <c r="A33" s="86" t="inlineStr">
        <is>
          <t>비트 5</t>
        </is>
      </c>
      <c r="B33" s="89" t="inlineStr">
        <is>
          <t>절정(10~11화): 살라망카 축하 만찬 중 부고, 손녀 Marina의 방문.</t>
        </is>
      </c>
    </row>
    <row r="34" ht="16.5" customHeight="1" s="81">
      <c r="A34" s="86" t="inlineStr">
        <is>
          <t>비트 6</t>
        </is>
      </c>
      <c r="B34" s="89" t="inlineStr">
        <is>
          <t>결말·훅(12화): 사직과 응급실 — Javier가 Mateo를 진료한다.</t>
        </is>
      </c>
    </row>
    <row r="35" ht="29.25" customHeight="1" s="81">
      <c r="A35" s="86" t="inlineStr">
        <is>
          <t>인물 아크</t>
        </is>
      </c>
      <c r="B35" s="88" t="inlineStr">
        <is>
          <t>Mateo: 완결된 문장·조항 인용(초반의 차가움). 교차 카메오: Diego(고객 컨설턴트), Sofía(감사인), Javier(응급의), Gonzalo·Raimundo·Nieves·Tomás·Inés. 가상 인물: Salvat(상사), Quintana(회장), Remedios(78세), Marina(손녀).</t>
        </is>
      </c>
    </row>
    <row r="36" ht="29.25" customHeight="1" s="81">
      <c r="A36" s="86" t="inlineStr">
        <is>
          <t>복선·회수</t>
        </is>
      </c>
      <c r="B36" s="88" t="inlineStr">
        <is>
          <t>«resolución por obras» 조항 → 6부 6화 폭로, 11부 3화 주거법 개정으로 폐지 / «Esto no cuadra»(Sofía) → 4부 / Pepa의 건물 → 8부 창당 동기</t>
        </is>
      </c>
    </row>
    <row r="37" ht="16.5" customHeight="1" s="81">
      <c r="A37" s="86" t="inlineStr">
        <is>
          <t>현안 (ID)</t>
        </is>
      </c>
      <c r="B37" s="88" t="inlineStr">
        <is>
          <t>E1● P3○</t>
        </is>
      </c>
    </row>
    <row r="38" ht="16.5" customHeight="1" s="81">
      <c r="A38" s="86" t="inlineStr">
        <is>
          <t>제도·전문 영역</t>
        </is>
      </c>
      <c r="B38" s="89" t="inlineStr">
        <is>
          <t>임대 해지·리모델링 사유, 실사(due diligence), 등기, 소송(demanda, vista, sentencia, costas), 로펌 구조(socio)</t>
        </is>
      </c>
    </row>
    <row r="39" ht="29.25" customHeight="1" s="81">
      <c r="A39" s="86" t="inlineStr">
        <is>
          <t>언어 설계</t>
        </is>
      </c>
      <c r="B39" s="88" t="inlineStr">
        <is>
          <t>B2~C1. 접속법 현재·과거, 수동태, 법률 문어체. 과거 장면은 격식 문어, 프레임 장면은 B1로 두어 톤을 대비. 발성: 또박또박, 중저음.</t>
        </is>
      </c>
    </row>
    <row r="40" ht="18" customHeight="1" s="81">
      <c r="A40" s="86" t="inlineStr">
        <is>
          <t>대화량 (화당 120턴)</t>
        </is>
      </c>
      <c r="B40" s="88">
        <f>"화당 "&amp;턴_설계!$B$5&amp;"턴 · 부 총 "&amp;TEXT(턴_설계!D34,"#,##0")&amp;"턴 · 화당 약 "&amp;TEXT(턴_설계!F34,"#,##0")&amp;"단어 · 낭독 약 "&amp;TEXT(턴_설계!H34,"0.0")&amp;"분 (평균 "&amp;TEXT(턴_설계!E34,"0.0")&amp;"단어/턴)"</f>
        <v/>
      </c>
    </row>
    <row r="41" ht="16.5" customHeight="1" s="81">
      <c r="A41" s="91" t="inlineStr">
        <is>
          <t>Carmen 질문·Raimundo 카드</t>
        </is>
      </c>
      <c r="B41" s="88" t="inlineStr">
        <is>
          <t>Carmen: demanda·sentencia·cláusula 등 법률 용어. 카드: Registro de la Propiedad, LAU, LEC 퇴거 절차.</t>
        </is>
      </c>
    </row>
    <row r="42" ht="16.5" customHeight="1" s="81">
      <c r="A42" s="86" t="inlineStr">
        <is>
          <t>다음 부 연결</t>
        </is>
      </c>
      <c r="B42" s="88" t="inlineStr">
        <is>
          <t>3부: 응급실에서 쓰러진 Mateo — 다음 금요일은 Javier의 이야기.</t>
        </is>
      </c>
    </row>
    <row r="44" ht="30" customHeight="1" s="81">
      <c r="A44" s="148" t="inlineStr">
        <is>
          <t>3부</t>
        </is>
      </c>
      <c r="B44" s="149" t="inlineStr">
        <is>
          <t>El Médico — 의사   |   난이도 B2~C1   |   프레임: 금요일 밤. 과거: 약 4년 전, Hospital San Bartolomé(가상) 응급실.</t>
        </is>
      </c>
    </row>
    <row r="45" ht="29.25" customHeight="1" s="81">
      <c r="A45" s="86" t="inlineStr">
        <is>
          <t>서사 기능</t>
        </is>
      </c>
      <c r="B45" s="89" t="inlineStr">
        <is>
          <t>인간의 생명과 공공 보건이라는 정서적 무게. Grupo Meridiano의 두 번째 얼굴(병원 외주)을 보여 주고, 폭염·고령 환자·서류 없는 환자 등 현안을 응급실에서 체감하게 한다.</t>
        </is>
      </c>
    </row>
    <row r="46" ht="16.5" customHeight="1" s="81">
      <c r="A46" s="86" t="inlineStr">
        <is>
          <t>로그라인</t>
        </is>
      </c>
      <c r="B46" s="89" t="inlineStr">
        <is>
          <t>응급의가 예산 삭감과 병원 외주 속에서 환자를 잃기 시작하고, 이름을 적어 두다가 내부 보고를 올리지만 징계로 돌아온다.</t>
        </is>
      </c>
    </row>
    <row r="47" ht="16.5" customHeight="1" s="81">
      <c r="A47" s="86" t="inlineStr">
        <is>
          <t>변화 (시작 → 끝)</t>
        </is>
      </c>
      <c r="B47" s="89" t="inlineStr">
        <is>
          <t>시스템을 믿는 의사 → 이름 명단만 든 사직자.</t>
        </is>
      </c>
    </row>
    <row r="48" ht="16.5" customHeight="1" s="81">
      <c r="A48" s="86" t="inlineStr">
        <is>
          <t>핵심 갈등</t>
        </is>
      </c>
      <c r="B48" s="89" t="inlineStr">
        <is>
          <t>의료 윤리 vs 관리 효율 / 침묵하는 동료들</t>
        </is>
      </c>
    </row>
    <row r="49" ht="16.5" customHeight="1" s="81">
      <c r="A49" s="86" t="inlineStr">
        <is>
          <t>비트 1</t>
        </is>
      </c>
      <c r="B49" s="89" t="inlineStr">
        <is>
          <t>발단(1~3화): 금요일 프레임, 야간 근무(Mateo 진료), 폭염 환자 폭증.</t>
        </is>
      </c>
    </row>
    <row r="50" ht="16.5" customHeight="1" s="81">
      <c r="A50" s="86" t="inlineStr">
        <is>
          <t>비트 2</t>
        </is>
      </c>
      <c r="B50" s="89" t="inlineStr">
        <is>
          <t>전개(4~5화): 병원 외주 발표(컨설턴트 Diego 등장), 프레임에서 수첩 명단과 Anselmo의 부은 발목.</t>
        </is>
      </c>
    </row>
    <row r="51" ht="16.5" customHeight="1" s="81">
      <c r="A51" s="86" t="inlineStr">
        <is>
          <t>비트 3</t>
        </is>
      </c>
      <c r="B51" s="89" t="inlineStr">
        <is>
          <t>미드포인트(6화): '명단의 첫 번째' — 서류 없는 환자가 병상 지연으로 숨진다.</t>
        </is>
      </c>
    </row>
    <row r="52" ht="16.5" customHeight="1" s="81">
      <c r="A52" s="86" t="inlineStr">
        <is>
          <t>비트 4</t>
        </is>
      </c>
      <c r="B52" s="89" t="inlineStr">
        <is>
          <t>위기(7~9화): 원장의 통계, 징계 절차, 프레임에서 Lucía의 되받기.</t>
        </is>
      </c>
    </row>
    <row r="53" ht="16.5" customHeight="1" s="81">
      <c r="A53" s="86" t="inlineStr">
        <is>
          <t>비트 5</t>
        </is>
      </c>
      <c r="B53" s="89" t="inlineStr">
        <is>
          <t>절정(10~11화): 병상 없는 밤, 사직.</t>
        </is>
      </c>
    </row>
    <row r="54" ht="16.5" customHeight="1" s="81">
      <c r="A54" s="86" t="inlineStr">
        <is>
          <t>비트 6</t>
        </is>
      </c>
      <c r="B54" s="89" t="inlineStr">
        <is>
          <t>결말·훅(12화): 계약 감사보고서에 서명한 사람이 있다 — Sofía의 차례.</t>
        </is>
      </c>
    </row>
    <row r="55" ht="29.25" customHeight="1" s="81">
      <c r="A55" s="86" t="inlineStr">
        <is>
          <t>인물 아크</t>
        </is>
      </c>
      <c r="B55" s="88" t="inlineStr">
        <is>
          <t>Javier: 짧은 문장·명령형·블랙유머. 가상 인물: Marisol(간호사), 원장. 교차 카메오: Mateo(환자), Diego(효율 발표), Sofía(외주 업체 자문), Inés(취재).</t>
        </is>
      </c>
    </row>
    <row r="56" ht="16.5" customHeight="1" s="81">
      <c r="A56" s="86" t="inlineStr">
        <is>
          <t>복선·회수</t>
        </is>
      </c>
      <c r="B56" s="88" t="inlineStr">
        <is>
          <t>Anselmo의 부은 발목·숨참(→11부 4~6화 심부전) / Javier의 이름 명단(→12부 7화) / 외주 계약(→9부 7화, 11부 4화)</t>
        </is>
      </c>
    </row>
    <row r="57" ht="16.5" customHeight="1" s="81">
      <c r="A57" s="86" t="inlineStr">
        <is>
          <t>현안 (ID)</t>
        </is>
      </c>
      <c r="B57" s="88" t="inlineStr">
        <is>
          <t>S4● S3○ S2○ P3○</t>
        </is>
      </c>
    </row>
    <row r="58" ht="16.5" customHeight="1" s="81">
      <c r="A58" s="86" t="inlineStr">
        <is>
          <t>제도·전문 영역</t>
        </is>
      </c>
      <c r="B58" s="89" t="inlineStr">
        <is>
          <t>병원 외주(gestión indirecta), 자치주 보건(SERMAS), 분류(triaje), 서류 없는 환자의 보건 접근권(확인), 징계 절차</t>
        </is>
      </c>
    </row>
    <row r="59" ht="16.5" customHeight="1" s="81">
      <c r="A59" s="86" t="inlineStr">
        <is>
          <t>언어 설계</t>
        </is>
      </c>
      <c r="B59" s="88" t="inlineStr">
        <is>
          <t>B2~C1. 의학 어휘, 짧은 명령형, 긴박한 호흡. 발성: 빠른 템포와 짧은 호흡.</t>
        </is>
      </c>
    </row>
    <row r="60" ht="18" customHeight="1" s="81">
      <c r="A60" s="86" t="inlineStr">
        <is>
          <t>대화량 (화당 120턴)</t>
        </is>
      </c>
      <c r="B60" s="88">
        <f>"화당 "&amp;턴_설계!$B$5&amp;"턴 · 부 총 "&amp;TEXT(턴_설계!D35,"#,##0")&amp;"턴 · 화당 약 "&amp;TEXT(턴_설계!F35,"#,##0")&amp;"단어 · 낭독 약 "&amp;TEXT(턴_설계!H35,"0.0")&amp;"분 (평균 "&amp;TEXT(턴_설계!E35,"0.0")&amp;"단어/턴)"</f>
        <v/>
      </c>
    </row>
    <row r="61" ht="16.5" customHeight="1" s="81">
      <c r="A61" s="91" t="inlineStr">
        <is>
          <t>Carmen 질문·Raimundo 카드</t>
        </is>
      </c>
      <c r="B61" s="88" t="inlineStr">
        <is>
          <t>Carmen: triaje·constantes·sepsis 등 의학 용어. 카드: Ley 41/2002, Ley 14/1986, SERMAS.</t>
        </is>
      </c>
    </row>
    <row r="62" ht="16.5" customHeight="1" s="81">
      <c r="A62" s="86" t="inlineStr">
        <is>
          <t>다음 부 연결</t>
        </is>
      </c>
      <c r="B62" s="88" t="inlineStr">
        <is>
          <t>4부: Sofía — «Mi turno.» 그 서명의 주인.</t>
        </is>
      </c>
    </row>
    <row r="64" ht="30" customHeight="1" s="81">
      <c r="A64" s="148" t="inlineStr">
        <is>
          <t>4부</t>
        </is>
      </c>
      <c r="B64" s="149" t="inlineStr">
        <is>
          <t>La Auditora — 회계사   |   난이도 B2~C1   |   프레임: 금요일 밤. 과거: 약 3년 전, Ochoa &amp; Ruiz Auditores(가상).</t>
        </is>
      </c>
    </row>
    <row r="65" ht="16.5" customHeight="1" s="81">
      <c r="A65" s="86" t="inlineStr">
        <is>
          <t>서사 기능</t>
        </is>
      </c>
      <c r="B65" s="89" t="inlineStr">
        <is>
          <t>돈의 흐름과 '서명의 책임'. 부패의 공모가 일상 업무의 얼굴로 온다는 것을 보여 주고, 이후 아크의 결정적 증거(USB)를 만든다.</t>
        </is>
      </c>
    </row>
    <row r="66" ht="29.25" customHeight="1" s="81">
      <c r="A66" s="86" t="inlineStr">
        <is>
          <t>로그라인</t>
        </is>
      </c>
      <c r="B66" s="89" t="inlineStr">
        <is>
          <t>시니어 파트너가 최대 고객의 이상 거래를 발견하지만, 압박과 승진 앞에서 결국 '깨끗한' 의견서에 서명하고 그 서명이 다른 사람의 죽음과 해고에 쓰인다.</t>
        </is>
      </c>
    </row>
    <row r="67" ht="16.5" customHeight="1" s="81">
      <c r="A67" s="86" t="inlineStr">
        <is>
          <t>변화 (시작 → 끝)</t>
        </is>
      </c>
      <c r="B67" s="89" t="inlineStr">
        <is>
          <t>정확함을 자랑하던 감사인 → '서명한 사람'. 다시는 서명하지 않겠다는 다짐.</t>
        </is>
      </c>
    </row>
    <row r="68" ht="16.5" customHeight="1" s="81">
      <c r="A68" s="86" t="inlineStr">
        <is>
          <t>핵심 갈등</t>
        </is>
      </c>
      <c r="B68" s="89" t="inlineStr">
        <is>
          <t>감사인의 독립성 vs 수임료 / 정확함 vs 생존</t>
        </is>
      </c>
    </row>
    <row r="69" ht="16.5" customHeight="1" s="81">
      <c r="A69" s="86" t="inlineStr">
        <is>
          <t>비트 1</t>
        </is>
      </c>
      <c r="B69" s="89" t="inlineStr">
        <is>
          <t>발단(1~3화): '내가 서명했다' 프레임, 결산 마감, 돈 잘 주는 고객.</t>
        </is>
      </c>
    </row>
    <row r="70" ht="16.5" customHeight="1" s="81">
      <c r="A70" s="86" t="inlineStr">
        <is>
          <t>비트 2</t>
        </is>
      </c>
      <c r="B70" s="89" t="inlineStr">
        <is>
          <t>전개(4~5화): '이건 안 맞아' — 특수관계자 대출 발견 / 프레임에서 아버지 이야기.</t>
        </is>
      </c>
    </row>
    <row r="71" ht="16.5" customHeight="1" s="81">
      <c r="A71" s="86" t="inlineStr">
        <is>
          <t>비트 3</t>
        </is>
      </c>
      <c r="B71" s="89" t="inlineStr">
        <is>
          <t>미드포인트(6화): 파트너 회의 — 한정 의견 주장, 리스크 위원회로 에스컬레이션.</t>
        </is>
      </c>
    </row>
    <row r="72" ht="16.5" customHeight="1" s="81">
      <c r="A72" s="86" t="inlineStr">
        <is>
          <t>비트 4</t>
        </is>
      </c>
      <c r="B72" s="89" t="inlineStr">
        <is>
          <t>위기(7~9화): 위원회의 '증거 불충분', 살라망카의 점심(위협), 프레임 '서명했나요?'.</t>
        </is>
      </c>
    </row>
    <row r="73" ht="16.5" customHeight="1" s="81">
      <c r="A73" s="86" t="inlineStr">
        <is>
          <t>비트 5</t>
        </is>
      </c>
      <c r="B73" s="89" t="inlineStr">
        <is>
          <t>절정(10~11화): 서명, 그리고 서명 이후 — 계약 확정과 구조조정 통보, 사직.</t>
        </is>
      </c>
    </row>
    <row r="74" ht="16.5" customHeight="1" s="81">
      <c r="A74" s="86" t="inlineStr">
        <is>
          <t>비트 6</t>
        </is>
      </c>
      <c r="B74" s="89" t="inlineStr">
        <is>
          <t>결말·훅(12화): 프레임에서 Diego — «Yo hacía la lista.»</t>
        </is>
      </c>
    </row>
    <row r="75" ht="29.25" customHeight="1" s="81">
      <c r="A75" s="86" t="inlineStr">
        <is>
          <t>인물 아크</t>
        </is>
      </c>
      <c r="B75" s="88" t="inlineStr">
        <is>
          <t>Sofía: 건조·정확, 숫자 낭독. 가상 인물: Ochoa(대표 파트너). 교차 카메오: Gonzalo(자료 제공), Quintana(회유), Inés(전화), Diego(구조조정 통보).</t>
        </is>
      </c>
    </row>
    <row r="76" ht="16.5" customHeight="1" s="81">
      <c r="A76" s="86" t="inlineStr">
        <is>
          <t>복선·회수</t>
        </is>
      </c>
      <c r="B76" s="89" t="inlineStr">
        <is>
          <t>복사본 USB(→6부 5화, 7부 5~6화) / «Yo solo firmo lo que he verificado»(→11부 9화) / Gonzalo 첫 접점(→7부 5화)</t>
        </is>
      </c>
    </row>
    <row r="77" ht="16.5" customHeight="1" s="81">
      <c r="A77" s="86" t="inlineStr">
        <is>
          <t>현안 (ID)</t>
        </is>
      </c>
      <c r="B77" s="88" t="inlineStr">
        <is>
          <t>—(정치 현안 없음, 감사·자금 세탁 중심)</t>
        </is>
      </c>
    </row>
    <row r="78" ht="29.25" customHeight="1" s="81">
      <c r="A78" s="86" t="inlineStr">
        <is>
          <t>제도·전문 영역</t>
        </is>
      </c>
      <c r="B78" s="89" t="inlineStr">
        <is>
          <t>감사법(Ley 22/2015, ICAC: 독립성·순환), 자금세탁방지(Ley 10/2010), 특수관계자 거래, 의견 종류(favorable / con salvedades / desfavorable / denegada)</t>
        </is>
      </c>
    </row>
    <row r="79" ht="16.5" customHeight="1" s="81">
      <c r="A79" s="86" t="inlineStr">
        <is>
          <t>언어 설계</t>
        </is>
      </c>
      <c r="B79" s="88" t="inlineStr">
        <is>
          <t>B2~C1. 숫자 낭독, 수동태·조건문, 감사 보고서체. 발성: 일정한 속도, 결론 문장에서 톤 낮춤.</t>
        </is>
      </c>
    </row>
    <row r="80" ht="18" customHeight="1" s="81">
      <c r="A80" s="86" t="inlineStr">
        <is>
          <t>대화량 (화당 120턴)</t>
        </is>
      </c>
      <c r="B80" s="88">
        <f>"화당 "&amp;턴_설계!$B$5&amp;"턴 · 부 총 "&amp;TEXT(턴_설계!D36,"#,##0")&amp;"턴 · 화당 약 "&amp;TEXT(턴_설계!F36,"#,##0")&amp;"단어 · 낭독 약 "&amp;TEXT(턴_설계!H36,"0.0")&amp;"분 (평균 "&amp;TEXT(턴_설계!E36,"0.0")&amp;"단어/턴)"</f>
        <v/>
      </c>
    </row>
    <row r="81" ht="16.5" customHeight="1" s="81">
      <c r="A81" s="91" t="inlineStr">
        <is>
          <t>Carmen 질문·Raimundo 카드</t>
        </is>
      </c>
      <c r="B81" s="88" t="inlineStr">
        <is>
          <t>Carmen: balance·cuenta de resultados·materialidad 등 회계 용어. 카드: Ley 22/2015, ICAC, Registro Mercantil.</t>
        </is>
      </c>
    </row>
    <row r="82" ht="16.5" customHeight="1" s="81">
      <c r="A82" s="86" t="inlineStr">
        <is>
          <t>다음 부 연결</t>
        </is>
      </c>
      <c r="B82" s="88" t="inlineStr">
        <is>
          <t>5부: Diego — 그 의견서 이후 시작된 구조조정 명단의 주인.</t>
        </is>
      </c>
    </row>
    <row r="84" ht="30" customHeight="1" s="81">
      <c r="A84" s="148" t="inlineStr">
        <is>
          <t>5부</t>
        </is>
      </c>
      <c r="B84" s="149" t="inlineStr">
        <is>
          <t>El Consultor — 컨설턴트   |   난이도 B2~C1   |   프레임: 금요일 밤. 과거: 약 2년 전, Cenit Consultores(가상) 32층.</t>
        </is>
      </c>
    </row>
    <row r="85" ht="29.25" customHeight="1" s="81">
      <c r="A85" s="86" t="inlineStr">
        <is>
          <t>서사 기능</t>
        </is>
      </c>
      <c r="B85" s="89" t="inlineStr">
        <is>
          <t>효율의 이름으로 사람이 숫자가 되는 순간. 노동(Nieves), 청년 고용(S1), 영세 기업 구조(E2)를 도입하고 Diego의 말투 변화를 예고한다.</t>
        </is>
      </c>
    </row>
    <row r="86" ht="16.5" customHeight="1" s="81">
      <c r="A86" s="86" t="inlineStr">
        <is>
          <t>로그라인</t>
        </is>
      </c>
      <c r="B86" s="89" t="inlineStr">
        <is>
          <t>전략 컨설턴트가 영세 기업을 살리려던 낙관에서 출발해, 대형 고객 구조조정 모델의 셀 하나가 412명의 해고임을 알게 된다.</t>
        </is>
      </c>
    </row>
    <row r="87" ht="16.5" customHeight="1" s="81">
      <c r="A87" s="86" t="inlineStr">
        <is>
          <t>변화 (시작 → 끝)</t>
        </is>
      </c>
      <c r="B87" s="88" t="inlineStr">
        <is>
          <t>'스케일'을 믿던 사람 → 사람을 숫자로 본 죄책감을 인정하는 사람(프레젠테이션 톤에서 솔직한 톤으로 가는 시작).</t>
        </is>
      </c>
    </row>
    <row r="88" ht="16.5" customHeight="1" s="81">
      <c r="A88" s="86" t="inlineStr">
        <is>
          <t>핵심 갈등</t>
        </is>
      </c>
      <c r="B88" s="89" t="inlineStr">
        <is>
          <t>효율 vs 사람 / 조직 충성 vs 양심</t>
        </is>
      </c>
    </row>
    <row r="89" ht="16.5" customHeight="1" s="81">
      <c r="A89" s="86" t="inlineStr">
        <is>
          <t>비트 1</t>
        </is>
      </c>
      <c r="B89" s="89" t="inlineStr">
        <is>
          <t>발단(1~3화): 매트릭스 프레임, Cenit 32층, Rueda 공방(영세 기업의 실패).</t>
        </is>
      </c>
    </row>
    <row r="90" ht="16.5" customHeight="1" s="81">
      <c r="A90" s="86" t="inlineStr">
        <is>
          <t>비트 2</t>
        </is>
      </c>
      <c r="B90" s="89" t="inlineStr">
        <is>
          <t>전개(4~5화): 이카로 프로젝트 킥오프 / 프레임 '엑셀 한 장'.</t>
        </is>
      </c>
    </row>
    <row r="91" ht="16.5" customHeight="1" s="81">
      <c r="A91" s="86" t="inlineStr">
        <is>
          <t>비트 3</t>
        </is>
      </c>
      <c r="B91" s="89" t="inlineStr">
        <is>
          <t>미드포인트(6화): C47 셀 — 412개 일자리, 샴페인.</t>
        </is>
      </c>
    </row>
    <row r="92" ht="16.5" customHeight="1" s="81">
      <c r="A92" s="86" t="inlineStr">
        <is>
          <t>비트 4</t>
        </is>
      </c>
      <c r="B92" s="89" t="inlineStr">
        <is>
          <t>위기(7~9화): 협상 테이블에서 Nieves와 대면, 잘못 보낸 이메일과 Lucía 상담, 프레임 '412'.</t>
        </is>
      </c>
    </row>
    <row r="93" ht="16.5" customHeight="1" s="81">
      <c r="A93" s="86" t="inlineStr">
        <is>
          <t>비트 5</t>
        </is>
      </c>
      <c r="B93" s="89" t="inlineStr">
        <is>
          <t>절정(10~11화): 파업과 Nieves의 해고, 마지막 회의에서 사직.</t>
        </is>
      </c>
    </row>
    <row r="94" ht="16.5" customHeight="1" s="81">
      <c r="A94" s="86" t="inlineStr">
        <is>
          <t>비트 6</t>
        </is>
      </c>
      <c r="B94" s="89" t="inlineStr">
        <is>
          <t>결말·훅(12화): 프레임 — 네 명이 같은 강당에 모인 바예카스의 화요일 예고.</t>
        </is>
      </c>
    </row>
    <row r="95" ht="29.25" customHeight="1" s="81">
      <c r="A95" s="86" t="inlineStr">
        <is>
          <t>인물 아크</t>
        </is>
      </c>
      <c r="B95" s="88" t="inlineStr">
        <is>
          <t>Diego: 영어식 경영 용어가 섞인 빠른 말투. 가상 인물: Rueda(공방 주인), Cenit 파트너. 교차 카메오: Nieves(협상 상대), Lucía(상담), Sofía(프레임).</t>
        </is>
      </c>
    </row>
    <row r="96" ht="29.25" customHeight="1" s="81">
      <c r="A96" s="86" t="inlineStr">
        <is>
          <t>복선·회수</t>
        </is>
      </c>
      <c r="B96" s="88" t="inlineStr">
        <is>
          <t>C47 셀(→11부 9화 '해고 없는 통합') / Nieves–Diego 갈등(→8부 6화, 9부 5화, 10부 8화 화해) / «Vale, sin diapositivas»(→6부, 12부 6화)</t>
        </is>
      </c>
    </row>
    <row r="97" ht="16.5" customHeight="1" s="81">
      <c r="A97" s="86" t="inlineStr">
        <is>
          <t>현안 (ID)</t>
        </is>
      </c>
      <c r="B97" s="88" t="inlineStr">
        <is>
          <t>E2● S1○</t>
        </is>
      </c>
    </row>
    <row r="98" ht="16.5" customHeight="1" s="81">
      <c r="A98" s="86" t="inlineStr">
        <is>
          <t>제도·전문 영역</t>
        </is>
      </c>
      <c r="B98" s="89" t="inlineStr">
        <is>
          <t>집단해고(ERE, Estatuto de los Trabajadores 제51조, 협의 기간 30일), 노조 대표, 파업권, 영세 기업 구조</t>
        </is>
      </c>
    </row>
    <row r="99" ht="16.5" customHeight="1" s="81">
      <c r="A99" s="86" t="inlineStr">
        <is>
          <t>언어 설계</t>
        </is>
      </c>
      <c r="B99" s="88" t="inlineStr">
        <is>
          <t>B2~C1. 경영 외래어(alinear, escalable), 프레젠테이션 톤. 발성: 숨 가쁜 톤에서 느린 솔직한 톤으로.</t>
        </is>
      </c>
    </row>
    <row r="100" ht="18" customHeight="1" s="81">
      <c r="A100" s="86" t="inlineStr">
        <is>
          <t>대화량 (화당 120턴)</t>
        </is>
      </c>
      <c r="B100" s="88">
        <f>"화당 "&amp;턴_설계!$B$5&amp;"턴 · 부 총 "&amp;TEXT(턴_설계!D37,"#,##0")&amp;"턴 · 화당 약 "&amp;TEXT(턴_설계!F37,"#,##0")&amp;"단어 · 낭독 약 "&amp;TEXT(턴_설계!H37,"0.0")&amp;"분 (평균 "&amp;TEXT(턴_설계!E37,"0.0")&amp;"단어/턴)"</f>
        <v/>
      </c>
    </row>
    <row r="101" ht="16.5" customHeight="1" s="81">
      <c r="A101" s="91" t="inlineStr">
        <is>
          <t>Carmen 질문·Raimundo 카드</t>
        </is>
      </c>
      <c r="B101" s="88" t="inlineStr">
        <is>
          <t>Carmen: stakeholder·escalar·sinergia·KPI 등 경영 용어. 카드: Estatuto de los Trabajadores 제51조.</t>
        </is>
      </c>
    </row>
    <row r="102" ht="16.5" customHeight="1" s="81">
      <c r="A102" s="86" t="inlineStr">
        <is>
          <t>다음 부 연결</t>
        </is>
      </c>
      <c r="B102" s="88" t="inlineStr">
        <is>
          <t>6부: 바예카스 — 네 사람이 같은 총회에.</t>
        </is>
      </c>
    </row>
    <row r="104" ht="30" customHeight="1" s="81">
      <c r="A104" s="148" t="inlineStr">
        <is>
          <t>6부</t>
        </is>
      </c>
      <c r="B104" s="149" t="inlineStr">
        <is>
          <t>El Encuentro — 운명적 만남   |   난이도 B2   |   약 1년 전(1부보다 앞). Vallecas '14번 블록' → Lavapiés 사무소 개소.</t>
        </is>
      </c>
    </row>
    <row r="105" ht="29.25" customHeight="1" s="81">
      <c r="A105" s="86" t="inlineStr">
        <is>
          <t>서사 기능</t>
        </is>
      </c>
      <c r="B105" s="89" t="inlineStr">
        <is>
          <t>퍼즐 완성. 네 개의 과거가 하나의 이름(Grupo Meridiano)으로 수렴하고 팀이 결성된다. 1부의 '왜?'에 대한 대답이자 시간의 고리를 닫는 아크.</t>
        </is>
      </c>
    </row>
    <row r="106" ht="29.25" customHeight="1" s="81">
      <c r="A106" s="86" t="inlineStr">
        <is>
          <t>로그라인</t>
        </is>
      </c>
      <c r="B106" s="89" t="inlineStr">
        <is>
          <t>각자 무너진 네 사람이 같은 건물을 지키려고 모였다가 자기들이 서로 다른 얼굴의 같은 회사를 도왔음을 알게 되고, 서로를 비난한 끝에 처음으로 함께 이긴다.</t>
        </is>
      </c>
    </row>
    <row r="107" ht="16.5" customHeight="1" s="81">
      <c r="A107" s="86" t="inlineStr">
        <is>
          <t>변화 (시작 → 끝)</t>
        </is>
      </c>
      <c r="B107" s="89" t="inlineStr">
        <is>
          <t>혼자 무너진 네 사람 → 서로의 죄를 아는 팀.</t>
        </is>
      </c>
    </row>
    <row r="108" ht="16.5" customHeight="1" s="81">
      <c r="A108" s="86" t="inlineStr">
        <is>
          <t>핵심 갈등</t>
        </is>
      </c>
      <c r="B108" s="89" t="inlineStr">
        <is>
          <t>서로에 대한 책임(공모) vs 함께 속죄</t>
        </is>
      </c>
    </row>
    <row r="109" ht="16.5" customHeight="1" s="81">
      <c r="A109" s="86" t="inlineStr">
        <is>
          <t>비트 1</t>
        </is>
      </c>
      <c r="B109" s="89" t="inlineStr">
        <is>
          <t>발단(1~3화): 바예카스의 화요일, 낯선 넷, 14번 블록.</t>
        </is>
      </c>
    </row>
    <row r="110" ht="16.5" customHeight="1" s="81">
      <c r="A110" s="86" t="inlineStr">
        <is>
          <t>비트 2</t>
        </is>
      </c>
      <c r="B110" s="89" t="inlineStr">
        <is>
          <t>전개(4~5화): 계단의 밤(첫 속내), Sofía의 서류.</t>
        </is>
      </c>
    </row>
    <row r="111" ht="16.5" customHeight="1" s="81">
      <c r="A111" s="86" t="inlineStr">
        <is>
          <t>비트 3</t>
        </is>
      </c>
      <c r="B111" s="89" t="inlineStr">
        <is>
          <t>미드포인트(6화): '같은 이름' — 네 개의 과거가 Meridiano 하나로 이어진다.</t>
        </is>
      </c>
    </row>
    <row r="112" ht="16.5" customHeight="1" s="81">
      <c r="A112" s="86" t="inlineStr">
        <is>
          <t>비트 4</t>
        </is>
      </c>
      <c r="B112" s="89" t="inlineStr">
        <is>
          <t>위기(7~9화): 서로에 대한 비난, 퇴거 아침 영시의 협업, 첫 정지 승리.</t>
        </is>
      </c>
    </row>
    <row r="113" ht="16.5" customHeight="1" s="81">
      <c r="A113" s="86" t="inlineStr">
        <is>
          <t>비트 5</t>
        </is>
      </c>
      <c r="B113" s="89" t="inlineStr">
        <is>
          <t>절정(10~11화): 라바피에스의 가게, 식탁의 규칙(금요일 이야기 전통).</t>
        </is>
      </c>
    </row>
    <row r="114" ht="16.5" customHeight="1" s="81">
      <c r="A114" s="86" t="inlineStr">
        <is>
          <t>비트 6</t>
        </is>
      </c>
      <c r="B114" s="89" t="inlineStr">
        <is>
          <t>결말·훅(12화): 간판이 걸리고 «Mañana, a las cinco.» → 1부 1화로.</t>
        </is>
      </c>
    </row>
    <row r="115" ht="29.25" customHeight="1" s="81">
      <c r="A115" s="86" t="inlineStr">
        <is>
          <t>인물 아크</t>
        </is>
      </c>
      <c r="B115" s="89" t="inlineStr">
        <is>
          <t>합류 순서: Carmen·Marina(1) → Nieves·Ramón(3) → Pepa·Anselmo(4) → Raimundo·Inés(8) → Tomás·Lucía(9) → Gonzalo(10). Carmen은 이 건물의 세입자로 인턴이 된다.</t>
        </is>
      </c>
    </row>
    <row r="116" ht="16.5" customHeight="1" s="81">
      <c r="A116" s="86" t="inlineStr">
        <is>
          <t>복선·회수</t>
        </is>
      </c>
      <c r="B116" s="89" t="inlineStr">
        <is>
          <t>첫 회의 대사(→1부 1화) / 금요일 이야기 규칙(→2~5부 프레임) / Quintana의 이름(→7부, 9부)</t>
        </is>
      </c>
    </row>
    <row r="117" ht="16.5" customHeight="1" s="81">
      <c r="A117" s="86" t="inlineStr">
        <is>
          <t>현안 (ID)</t>
        </is>
      </c>
      <c r="B117" s="88" t="inlineStr">
        <is>
          <t>E1● S2● S1○</t>
        </is>
      </c>
    </row>
    <row r="118" ht="16.5" customHeight="1" s="81">
      <c r="A118" s="86" t="inlineStr">
        <is>
          <t>제도·전문 영역</t>
        </is>
      </c>
      <c r="B118" s="89" t="inlineStr">
        <is>
          <t>퇴거 집행과 취약계층 유예(확인), 가처분(medidas cautelares), 소유 구조(fondo, SOCIMI), 소규모 임대인</t>
        </is>
      </c>
    </row>
    <row r="119" ht="16.5" customHeight="1" s="81">
      <c r="A119" s="86" t="inlineStr">
        <is>
          <t>언어 설계</t>
        </is>
      </c>
      <c r="B119" s="88" t="inlineStr">
        <is>
          <t>B2. 감정 폭발·설득 구어체, 다툼과 화해. 발성: 소리 높임과 회복의 대비. usted → tú 전환의 시작.</t>
        </is>
      </c>
    </row>
    <row r="120" ht="18" customHeight="1" s="81">
      <c r="A120" s="86" t="inlineStr">
        <is>
          <t>대화량 (화당 120턴)</t>
        </is>
      </c>
      <c r="B120" s="88">
        <f>"화당 "&amp;턴_설계!$B$5&amp;"턴 · 부 총 "&amp;TEXT(턴_설계!D38,"#,##0")&amp;"턴 · 화당 약 "&amp;TEXT(턴_설계!F38,"#,##0")&amp;"단어 · 낭독 약 "&amp;TEXT(턴_설계!H38,"0.0")&amp;"분 (평균 "&amp;TEXT(턴_설계!E38,"0.0")&amp;"단어/턴)"</f>
        <v/>
      </c>
    </row>
    <row r="121" ht="16.5" customHeight="1" s="81">
      <c r="A121" s="91" t="inlineStr">
        <is>
          <t>Carmen 질문·Raimundo 카드</t>
        </is>
      </c>
      <c r="B121" s="88" t="inlineStr">
        <is>
          <t>Carmen: '¿Qué es un fondo buitre?' 등 소유 구조 용어. 카드: Registro Mercantil, 퇴거 유예 규정.</t>
        </is>
      </c>
    </row>
    <row r="122" ht="16.5" customHeight="1" s="81">
      <c r="A122" s="86" t="inlineStr">
        <is>
          <t>다음 부 연결</t>
        </is>
      </c>
      <c r="B122" s="88" t="inlineStr">
        <is>
          <t>1부 1화 — 원이 닫힌다. 그리고 7부로.</t>
        </is>
      </c>
    </row>
    <row r="124" ht="30" customHeight="1" s="81">
      <c r="A124" s="148" t="inlineStr">
        <is>
          <t>7부</t>
        </is>
      </c>
      <c r="B124" s="149" t="inlineStr">
        <is>
          <t>La Red de Resistencia — 전면전   |   난이도 B2~C1   |   사무소 개소 1년 후. 법원, 시청 앞, 마드리드 전역.</t>
        </is>
      </c>
    </row>
    <row r="125" ht="16.5" customHeight="1" s="81">
      <c r="A125" s="86" t="inlineStr">
        <is>
          <t>서사 기능</t>
        </is>
      </c>
      <c r="B125" s="89" t="inlineStr">
        <is>
          <t>전문 능력이 결합되어 첫 결정적 승리를 얻지만, 판결이 법 앞에서 무력할 수 있음을 배운다. 정치의 필요성을 낳는 아크.</t>
        </is>
      </c>
    </row>
    <row r="126" ht="29.25" customHeight="1" s="81">
      <c r="A126" s="86" t="inlineStr">
        <is>
          <t>로그라인</t>
        </is>
      </c>
      <c r="B126" s="89" t="inlineStr">
        <is>
          <t>사무소가 고소·내부고발·보도를 결합해 Grupo Meridiano를 상대로 전면전을 벌이고 법원 결정을 얻지만, 그 승리를 뒤집을 법이 준비되고 있음을 알게 된다.</t>
        </is>
      </c>
    </row>
    <row r="127" ht="16.5" customHeight="1" s="81">
      <c r="A127" s="86" t="inlineStr">
        <is>
          <t>변화 (시작 → 끝)</t>
        </is>
      </c>
      <c r="B127" s="89" t="inlineStr">
        <is>
          <t>사건을 푸는 사무소 → 법을 바꿔야 한다는 결론.</t>
        </is>
      </c>
    </row>
    <row r="128" ht="16.5" customHeight="1" s="81">
      <c r="A128" s="86" t="inlineStr">
        <is>
          <t>핵심 갈등</t>
        </is>
      </c>
      <c r="B128" s="89" t="inlineStr">
        <is>
          <t>합법 vs 효율(도청기) / 승리의 지속 가능성</t>
        </is>
      </c>
    </row>
    <row r="129" ht="16.5" customHeight="1" s="81">
      <c r="A129" s="86" t="inlineStr">
        <is>
          <t>비트 1</t>
        </is>
      </c>
      <c r="B129" s="89" t="inlineStr">
        <is>
          <t>발단(1~3화): 1년 후, 계단 위의 줄, 피해자를 벌한 법(N4).</t>
        </is>
      </c>
    </row>
    <row r="130" ht="16.5" customHeight="1" s="81">
      <c r="A130" s="86" t="inlineStr">
        <is>
          <t>비트 2</t>
        </is>
      </c>
      <c r="B130" s="89" t="inlineStr">
        <is>
          <t>전개(4~5화): 서류 없는 사람들(S2), Gonzalo의 제보.</t>
        </is>
      </c>
    </row>
    <row r="131" ht="16.5" customHeight="1" s="81">
      <c r="A131" s="86" t="inlineStr">
        <is>
          <t>비트 3</t>
        </is>
      </c>
      <c r="B131" s="89" t="inlineStr">
        <is>
          <t>미드포인트(6화): 사건 파일 — 고소장(acusación popular) 제출.</t>
        </is>
      </c>
    </row>
    <row r="132" ht="16.5" customHeight="1" s="81">
      <c r="A132" s="86" t="inlineStr">
        <is>
          <t>비트 4</t>
        </is>
      </c>
      <c r="B132" s="89" t="inlineStr">
        <is>
          <t>위기(7~9화): 보복, 전등 속 마이크(위법 수집 증거 논쟁), 동네의 보초.</t>
        </is>
      </c>
    </row>
    <row r="133" ht="16.5" customHeight="1" s="81">
      <c r="A133" s="86" t="inlineStr">
        <is>
          <t>비트 5</t>
        </is>
      </c>
      <c r="B133" s="89" t="inlineStr">
        <is>
          <t>절정(10~11화): 법원 결정과 피의자 소환 / 다가오는 법(acusación popular 제한 법안).</t>
        </is>
      </c>
    </row>
    <row r="134" ht="16.5" customHeight="1" s="81">
      <c r="A134" s="86" t="inlineStr">
        <is>
          <t>비트 6</t>
        </is>
      </c>
      <c r="B134" s="89" t="inlineStr">
        <is>
          <t>결말·훅(12화): Sol의 의자 — «Tenemos que cambiar la ley.»</t>
        </is>
      </c>
    </row>
    <row r="135" ht="16.5" customHeight="1" s="81">
      <c r="A135" s="86" t="inlineStr">
        <is>
          <t>인물 아크</t>
        </is>
      </c>
      <c r="B135" s="88" t="inlineStr">
        <is>
          <t>Vieja Guardia 전원 본격 합류. 가상 인물: Quintana(회장), GM 임원 3인, 판사. Raimundo와 Mateo의 합법성 갈등이 핵심.</t>
        </is>
      </c>
    </row>
    <row r="136" ht="16.5" customHeight="1" s="81">
      <c r="A136" s="86" t="inlineStr">
        <is>
          <t>복선·회수</t>
        </is>
      </c>
      <c r="B136" s="88" t="inlineStr">
        <is>
          <t>USB·Gonzalo 자료(→9부 8화) / 도청기 논쟁(→11부 7화) / acusación popular 제한 법안(→8부 동기)</t>
        </is>
      </c>
    </row>
    <row r="137" ht="16.5" customHeight="1" s="81">
      <c r="A137" s="86" t="inlineStr">
        <is>
          <t>현안 (ID)</t>
        </is>
      </c>
      <c r="B137" s="88" t="inlineStr">
        <is>
          <t>N4● S2● P3●</t>
        </is>
      </c>
    </row>
    <row r="138" ht="29.25" customHeight="1" s="81">
      <c r="A138" s="86" t="inlineStr">
        <is>
          <t>제도·전문 영역</t>
        </is>
      </c>
      <c r="B138" s="88" t="inlineStr">
        <is>
          <t>acusación popular, querella, Fiscalía Anticorrupción, Audiencia Nacional, Ley 2/2023, 위법 수집 증거, 명예훼손, 형법 제2조 2항</t>
        </is>
      </c>
    </row>
    <row r="139" ht="16.5" customHeight="1" s="81">
      <c r="A139" s="86" t="inlineStr">
        <is>
          <t>언어 설계</t>
        </is>
      </c>
      <c r="B139" s="88" t="inlineStr">
        <is>
          <t>B2~C1. 집단 소송·성명서·인터뷰 어휘. 발성: 긴박한 대화와 기자회견 톤.</t>
        </is>
      </c>
    </row>
    <row r="140" ht="18" customHeight="1" s="81">
      <c r="A140" s="86" t="inlineStr">
        <is>
          <t>대화량 (화당 120턴)</t>
        </is>
      </c>
      <c r="B140" s="88">
        <f>"화당 "&amp;턴_설계!$B$5&amp;"턴 · 부 총 "&amp;TEXT(턴_설계!D39,"#,##0")&amp;"턴 · 화당 약 "&amp;TEXT(턴_설계!F39,"#,##0")&amp;"단어 · 낭독 약 "&amp;TEXT(턴_설계!H39,"0.0")&amp;"분 (평균 "&amp;TEXT(턴_설계!E39,"0.0")&amp;"단어/턴)"</f>
        <v/>
      </c>
    </row>
    <row r="141" ht="16.5" customHeight="1" s="81">
      <c r="A141" s="91" t="inlineStr">
        <is>
          <t>Carmen 질문·Raimundo 카드</t>
        </is>
      </c>
      <c r="B141" s="88" t="inlineStr">
        <is>
          <t>Carmen: querella·imputación·auto 등. 카드: Ley 2/2023, LOPJ 11.1, 형법.</t>
        </is>
      </c>
    </row>
    <row r="142" ht="16.5" customHeight="1" s="81">
      <c r="A142" s="86" t="inlineStr">
        <is>
          <t>다음 부 연결</t>
        </is>
      </c>
      <c r="B142" s="88" t="inlineStr">
        <is>
          <t>8부: Sol — 광장으로.</t>
        </is>
      </c>
    </row>
    <row r="144" ht="30" customHeight="1" s="81">
      <c r="A144" s="148" t="inlineStr">
        <is>
          <t>8부</t>
        </is>
      </c>
      <c r="B144" s="149" t="inlineStr">
        <is>
          <t>El Despertar Cívico — 정치적 각성과 창당   |   난이도 B2~C1   |   사무소 개소 약 2년 후. Puerta del Sol → 골목길 캠페인 → 지방·자치 선거.</t>
        </is>
      </c>
    </row>
    <row r="145" ht="29.25" customHeight="1" s="81">
      <c r="A145" s="86" t="inlineStr">
        <is>
          <t>서사 기능</t>
        </is>
      </c>
      <c r="B145" s="89" t="inlineStr">
        <is>
          <t>장르 전환점. 사건을 푸는 사무소에서 법을 바꾸는 정당으로. 집회 신고·시민 입법발의·정당 등록·선거 절차를 낭독 어휘로 소개한다.</t>
        </is>
      </c>
    </row>
    <row r="146" ht="29.25" customHeight="1" s="81">
      <c r="A146" s="86" t="inlineStr">
        <is>
          <t>로그라인</t>
        </is>
      </c>
      <c r="B146" s="89" t="inlineStr">
        <is>
          <t>법정에서 이겨도 법이 그대로면 소용없다는 걸 안 사무소가 광장으로 나가 시민 입법발의에 도전하지만 좌초하고, 스스로 정당 «Casa Común»을 만든다.</t>
        </is>
      </c>
    </row>
    <row r="147" ht="16.5" customHeight="1" s="81">
      <c r="A147" s="86" t="inlineStr">
        <is>
          <t>변화 (시작 → 끝)</t>
        </is>
      </c>
      <c r="B147" s="89" t="inlineStr">
        <is>
          <t>사건 해결자 → 후보. 사무소가 정당이 된다.</t>
        </is>
      </c>
    </row>
    <row r="148" ht="16.5" customHeight="1" s="81">
      <c r="A148" s="86" t="inlineStr">
        <is>
          <t>핵심 갈등</t>
        </is>
      </c>
      <c r="B148" s="89" t="inlineStr">
        <is>
          <t>원칙(Nieves) vs 현실(Diego) / 순수함 vs 이기는 것</t>
        </is>
      </c>
    </row>
    <row r="149" ht="16.5" customHeight="1" s="81">
      <c r="A149" s="86" t="inlineStr">
        <is>
          <t>비트 1</t>
        </is>
      </c>
      <c r="B149" s="89" t="inlineStr">
        <is>
          <t>발단(1~3화): Sol 집회, 사건에서 법으로, 50만 서명.</t>
        </is>
      </c>
    </row>
    <row r="150" ht="16.5" customHeight="1" s="81">
      <c r="A150" s="86" t="inlineStr">
        <is>
          <t>비트 2</t>
        </is>
      </c>
      <c r="B150" s="89" t="inlineStr">
        <is>
          <t>전환점(4화): 심의 개시 표결에서 기각.</t>
        </is>
      </c>
    </row>
    <row r="151" ht="16.5" customHeight="1" s="81">
      <c r="A151" s="86" t="inlineStr">
        <is>
          <t>비트 3</t>
        </is>
      </c>
      <c r="B151" s="89" t="inlineStr">
        <is>
          <t>미드포인트(5화): 정당의 탄생 — acta fundacional 서명, 이름 «Casa Común».</t>
        </is>
      </c>
    </row>
    <row r="152" ht="16.5" customHeight="1" s="81">
      <c r="A152" s="86" t="inlineStr">
        <is>
          <t>비트 4</t>
        </is>
      </c>
      <c r="B152" s="89" t="inlineStr">
        <is>
          <t>위기(6~9화): 정관(내부 민주주의), 깨끗한 돈, 후보 명부, 골목길 캠페인.</t>
        </is>
      </c>
    </row>
    <row r="153" ht="16.5" customHeight="1" s="81">
      <c r="A153" s="86" t="inlineStr">
        <is>
          <t>비트 5</t>
        </is>
      </c>
      <c r="B153" s="89" t="inlineStr">
        <is>
          <t>절정(10~11화): 언론의 공격과 정정 청구, 숙고의 날.</t>
        </is>
      </c>
    </row>
    <row r="154" ht="16.5" customHeight="1" s="81">
      <c r="A154" s="86" t="inlineStr">
        <is>
          <t>비트 6</t>
        </is>
      </c>
      <c r="B154" s="89" t="inlineStr">
        <is>
          <t>결말·훅(12화): 개표의 밤 — 시의회 9석·자치의회 진출(가상).</t>
        </is>
      </c>
    </row>
    <row r="155" ht="29.25" customHeight="1" s="81">
      <c r="A155" s="86" t="inlineStr">
        <is>
          <t>인물 아크</t>
        </is>
      </c>
      <c r="B155" s="88" t="inlineStr">
        <is>
          <t>Tomás: 첫 문장 → 정당 이름·연설문. Nieves vs Diego의 원칙 논쟁. Sofía=시의회, Javier=자치의회 후보. Carmen: 첫 명부 실무.</t>
        </is>
      </c>
    </row>
    <row r="156" ht="16.5" customHeight="1" s="81">
      <c r="A156" s="86" t="inlineStr">
        <is>
          <t>복선·회수</t>
        </is>
      </c>
      <c r="B156" s="88" t="inlineStr">
        <is>
          <t>Nieves–Diego 화해(→10부 8화) / 정당 이름의 유래(Pepa의 식탁)(→12부 마지막) / 정정권·언론 갈등(→9부 10화)</t>
        </is>
      </c>
    </row>
    <row r="157" ht="16.5" customHeight="1" s="81">
      <c r="A157" s="86" t="inlineStr">
        <is>
          <t>현안 (ID)</t>
        </is>
      </c>
      <c r="B157" s="88" t="inlineStr">
        <is>
          <t>P1○ E1○ E2○ S1○ S2○ N4○</t>
        </is>
      </c>
    </row>
    <row r="158" ht="16.5" customHeight="1" s="81">
      <c r="A158" s="86" t="inlineStr">
        <is>
          <t>제도·전문 영역</t>
        </is>
      </c>
      <c r="B158" s="89" t="inlineStr">
        <is>
          <t>집회 신고(LO 9/1983), ILP(LO 3/1984), 정당 등록(LO 6/2002), 정당 재정(LO 8/2007), 선거법(LOREG), 정정권(LO 2/1984)</t>
        </is>
      </c>
    </row>
    <row r="159" ht="16.5" customHeight="1" s="81">
      <c r="A159" s="86" t="inlineStr">
        <is>
          <t>언어 설계</t>
        </is>
      </c>
      <c r="B159" s="88" t="inlineStr">
        <is>
          <t>B2~C1. 연설(discurso)·구호·선언문, 접속법. 발성: 광장 연설의 볼륨과 호흡.</t>
        </is>
      </c>
    </row>
    <row r="160" ht="18" customHeight="1" s="81">
      <c r="A160" s="86" t="inlineStr">
        <is>
          <t>대화량 (화당 120턴)</t>
        </is>
      </c>
      <c r="B160" s="88">
        <f>"화당 "&amp;턴_설계!$B$5&amp;"턴 · 부 총 "&amp;TEXT(턴_설계!D40,"#,##0")&amp;"턴 · 화당 약 "&amp;TEXT(턴_설계!F40,"#,##0")&amp;"단어 · 낭독 약 "&amp;TEXT(턴_설계!H40,"0.0")&amp;"분 (평균 "&amp;TEXT(턴_설계!E40,"0.0")&amp;"단어/턴)"</f>
        <v/>
      </c>
    </row>
    <row r="161" ht="16.5" customHeight="1" s="81">
      <c r="A161" s="91" t="inlineStr">
        <is>
          <t>Carmen 질문·Raimundo 카드</t>
        </is>
      </c>
      <c r="B161" s="88" t="inlineStr">
        <is>
          <t>Carmen: avales·censo·escaño 등 선거 용어. 카드: LO 6/2002, LOREG, Registro de Partidos Políticos.</t>
        </is>
      </c>
    </row>
    <row r="162" ht="16.5" customHeight="1" s="81">
      <c r="A162" s="86" t="inlineStr">
        <is>
          <t>다음 부 연결</t>
        </is>
      </c>
      <c r="B162" s="88" t="inlineStr">
        <is>
          <t>9부: 시의회와 자치의회 — 소수 야당의 싸움.</t>
        </is>
      </c>
    </row>
    <row r="164" ht="30" customHeight="1" s="81">
      <c r="A164" s="148" t="inlineStr">
        <is>
          <t>9부</t>
        </is>
      </c>
      <c r="B164" s="149" t="inlineStr">
        <is>
          <t>En Cibeles y en la Asamblea — 시의회와 자치의회   |   난이도 C1   |   지방·자치 선거 직후 ~ 임기 중반. Palacio de Cibeles, Asamblea de Madrid(Vallecas 소재), 당사.</t>
        </is>
      </c>
    </row>
    <row r="165" ht="16.5" customHeight="1" s="81">
      <c r="A165" s="86" t="inlineStr">
        <is>
          <t>서사 기능</t>
        </is>
      </c>
      <c r="B165" s="89" t="inlineStr">
        <is>
          <t>제도 안의 싸움. 소수 야당으로 예산·계약·병원 외주를 파헤치며 권력의 내부를 배운다. Carmen의 2차 폭발(이번엔 옳다).</t>
        </is>
      </c>
    </row>
    <row r="166" ht="29.25" customHeight="1" s="81">
      <c r="A166" s="86" t="inlineStr">
        <is>
          <t>로그라인</t>
        </is>
      </c>
      <c r="B166" s="89" t="inlineStr">
        <is>
          <t>시의원 Sofía와 자치의원 Javier가 예산과 계약을 파헤쳐 Grupo Meridiano로 이어지는 스캔들을 폭로하고 고소로 잇지만, 정치는 사법을 기다려 주지 않는다.</t>
        </is>
      </c>
    </row>
    <row r="167" ht="16.5" customHeight="1" s="81">
      <c r="A167" s="86" t="inlineStr">
        <is>
          <t>변화 (시작 → 끝)</t>
        </is>
      </c>
      <c r="B167" s="89" t="inlineStr">
        <is>
          <t>구경꾼 → 견제자. 순진함 → 제도의 요령.</t>
        </is>
      </c>
    </row>
    <row r="168" ht="16.5" customHeight="1" s="81">
      <c r="A168" s="86" t="inlineStr">
        <is>
          <t>핵심 갈등</t>
        </is>
      </c>
      <c r="B168" s="89" t="inlineStr">
        <is>
          <t>동맹의 대가 vs 원칙 / 폭로의 합법성</t>
        </is>
      </c>
    </row>
    <row r="169" ht="16.5" customHeight="1" s="81">
      <c r="A169" s="86" t="inlineStr">
        <is>
          <t>비트 1</t>
        </is>
      </c>
      <c r="B169" s="89" t="inlineStr">
        <is>
          <t>발단(1~3화): 시의회 개원, 첫 본회의, 도시 예산 감사.</t>
        </is>
      </c>
    </row>
    <row r="170" ht="16.5" customHeight="1" s="81">
      <c r="A170" s="86" t="inlineStr">
        <is>
          <t>비트 2</t>
        </is>
      </c>
      <c r="B170" s="89" t="inlineStr">
        <is>
          <t>전개(4~5화): 계약 돋보기(회복기금·EMVS), 불편한 동맹.</t>
        </is>
      </c>
    </row>
    <row r="171" ht="16.5" customHeight="1" s="81">
      <c r="A171" s="86" t="inlineStr">
        <is>
          <t>비트 3</t>
        </is>
      </c>
      <c r="B171" s="89" t="inlineStr">
        <is>
          <t>미드포인트(6화): 예산의 덫 — 임대 보조 삭감 조항, Carmen 2차 폭발(Nieves의 욕 포함).</t>
        </is>
      </c>
    </row>
    <row r="172" ht="16.5" customHeight="1" s="81">
      <c r="A172" s="86" t="inlineStr">
        <is>
          <t>비트 4</t>
        </is>
      </c>
      <c r="B172" s="89" t="inlineStr">
        <is>
          <t>위기(7~9화): 자치의회 보건(농촌 병원), 스캔들 폭로, 고소장(사법 지연).</t>
        </is>
      </c>
    </row>
    <row r="173" ht="16.5" customHeight="1" s="81">
      <c r="A173" s="86" t="inlineStr">
        <is>
          <t>비트 5</t>
        </is>
      </c>
      <c r="B173" s="89" t="inlineStr">
        <is>
          <t>절정(10~11화): 권력의 반격, 당내 경선 — 의리의 시험.</t>
        </is>
      </c>
    </row>
    <row r="174" ht="16.5" customHeight="1" s="81">
      <c r="A174" s="86" t="inlineStr">
        <is>
          <t>비트 6</t>
        </is>
      </c>
      <c r="B174" s="89" t="inlineStr">
        <is>
          <t>결말·훅(12화): 예산 부결 → 조기 총선 소집, 서명 수집 시작.</t>
        </is>
      </c>
    </row>
    <row r="175" ht="29.25" customHeight="1" s="81">
      <c r="A175" s="86" t="inlineStr">
        <is>
          <t>인물 아크</t>
        </is>
      </c>
      <c r="B175" s="88" t="inlineStr">
        <is>
          <t>Sofía·Javier는 각자 의회 무대. Carmen: 시의원 보좌. Raimundo·Inés·Gonzalo: 스캔들 증거와 보도. Nieves·Diego: 동맹 갈등.</t>
        </is>
      </c>
    </row>
    <row r="176" ht="16.5" customHeight="1" s="81">
      <c r="A176" s="86" t="inlineStr">
        <is>
          <t>복선·회수</t>
        </is>
      </c>
      <c r="B176" s="88" t="inlineStr">
        <is>
          <t>Carmen 2차 폭발(1부 1차의 회수) / Meridiano 스캔들(→11부 2화, 12부 7화)</t>
        </is>
      </c>
    </row>
    <row r="177" ht="16.5" customHeight="1" s="81">
      <c r="A177" s="86" t="inlineStr">
        <is>
          <t>현안 (ID)</t>
        </is>
      </c>
      <c r="B177" s="88" t="inlineStr">
        <is>
          <t>P1● P3● E1● N2● S3●</t>
        </is>
      </c>
    </row>
    <row r="178" ht="16.5" customHeight="1" s="81">
      <c r="A178" s="86" t="inlineStr">
        <is>
          <t>제도·전문 영역</t>
        </is>
      </c>
      <c r="B178" s="88" t="inlineStr">
        <is>
          <t>Pleno, 예산 집행 규정, 공공계약법(Ley 9/2017), 자치주 권한(보건·주거), 조사·고소, Ley 2/2023</t>
        </is>
      </c>
    </row>
    <row r="179" ht="16.5" customHeight="1" s="81">
      <c r="A179" s="86" t="inlineStr">
        <is>
          <t>언어 설계</t>
        </is>
      </c>
      <c r="B179" s="88" t="inlineStr">
        <is>
          <t>C1. 회의 어휘, 표결·동의안, 질의·답변, señoría·alcalde 호칭. 발성: 정확하고 절제된 회의체.</t>
        </is>
      </c>
    </row>
    <row r="180" ht="18" customHeight="1" s="81">
      <c r="A180" s="86" t="inlineStr">
        <is>
          <t>대화량 (화당 120턴)</t>
        </is>
      </c>
      <c r="B180" s="88">
        <f>"화당 "&amp;턴_설계!$B$5&amp;"턴 · 부 총 "&amp;TEXT(턴_설계!D41,"#,##0")&amp;"턴 · 화당 약 "&amp;TEXT(턴_설계!F41,"#,##0")&amp;"단어 · 낭독 약 "&amp;TEXT(턴_설계!H41,"0.0")&amp;"분 (평균 "&amp;TEXT(턴_설계!E41,"0.0")&amp;"단어/턴)"</f>
        <v/>
      </c>
    </row>
    <row r="181" ht="16.5" customHeight="1" s="81">
      <c r="A181" s="91" t="inlineStr">
        <is>
          <t>Carmen 질문·Raimundo 카드</t>
        </is>
      </c>
      <c r="B181" s="88" t="inlineStr">
        <is>
          <t>Carmen: pliego·licitación·enmienda 등. 카드: Ley 9/2017, LBRL, Pleno 규정.</t>
        </is>
      </c>
    </row>
    <row r="182" ht="16.5" customHeight="1" s="81">
      <c r="A182" s="86" t="inlineStr">
        <is>
          <t>다음 부 연결</t>
        </is>
      </c>
      <c r="B182" s="88" t="inlineStr">
        <is>
          <t>10부: 국정 도전 — 해산과 총선.</t>
        </is>
      </c>
    </row>
    <row r="184" ht="30" customHeight="1" s="81">
      <c r="A184" s="148" t="inlineStr">
        <is>
          <t>10부</t>
        </is>
      </c>
      <c r="B184" s="149" t="inlineStr">
        <is>
          <t>Hacia La Moncloa — 총선에서 총리 선출까지   |   난이도 C1~C2   |   9부 이후 1~2년. Congreso, Zarzuela, La Moncloa.</t>
        </is>
      </c>
    </row>
    <row r="185" ht="16.5" customHeight="1" s="81">
      <c r="A185" s="86" t="inlineStr">
        <is>
          <t>서사 기능</t>
        </is>
      </c>
      <c r="B185" s="89" t="inlineStr">
        <is>
          <t>긴장의 정점. 현실의 총리 선출 절차(투표 실패, 2개월 시계, 재선거, 1표 차)를 드라마로 옮긴다. Mateo가 연설가가 되는 순간.</t>
        </is>
      </c>
    </row>
    <row r="186" ht="16.5" customHeight="1" s="81">
      <c r="A186" s="86" t="inlineStr">
        <is>
          <t>로그라인</t>
        </is>
      </c>
      <c r="B186" s="89" t="inlineStr">
        <is>
          <t>조기 총선에서 3위로 들어간 Casa Común이 두 번의 선거와 두 번의 총리 투표를 거쳐 1표 차로 총리를 배출한다.</t>
        </is>
      </c>
    </row>
    <row r="187" ht="16.5" customHeight="1" s="81">
      <c r="A187" s="86" t="inlineStr">
        <is>
          <t>변화 (시작 → 끝)</t>
        </is>
      </c>
      <c r="B187" s="89" t="inlineStr">
        <is>
          <t>제3당 → 정부의 주인.</t>
        </is>
      </c>
    </row>
    <row r="188" ht="16.5" customHeight="1" s="81">
      <c r="A188" s="86" t="inlineStr">
        <is>
          <t>핵심 갈등</t>
        </is>
      </c>
      <c r="B188" s="89" t="inlineStr">
        <is>
          <t>원칙 vs 협상(사면·재정 분권) / 피로</t>
        </is>
      </c>
    </row>
    <row r="189" ht="16.5" customHeight="1" s="81">
      <c r="A189" s="86" t="inlineStr">
        <is>
          <t>비트 1</t>
        </is>
      </c>
      <c r="B189" s="89" t="inlineStr">
        <is>
          <t>발단(1~3화): 해산 칙령과 서명, 15일 유세(텅 빈 스페인·태양광), TV 토론.</t>
        </is>
      </c>
    </row>
    <row r="190" ht="16.5" customHeight="1" s="81">
      <c r="A190" s="86" t="inlineStr">
        <is>
          <t>비트 2</t>
        </is>
      </c>
      <c r="B190" s="89" t="inlineStr">
        <is>
          <t>전환점(4화): 1차 총선 — 3위. 전개(5~6화): 개원·의원단, 국왕 협의.</t>
        </is>
      </c>
    </row>
    <row r="191" ht="16.5" customHeight="1" s="81">
      <c r="A191" s="86" t="inlineStr">
        <is>
          <t>비트 3</t>
        </is>
      </c>
      <c r="B191" s="89" t="inlineStr">
        <is>
          <t>미드포인트(7화): 첫 총리 후보 투표에서 UCN 후보 실패.</t>
        </is>
      </c>
    </row>
    <row r="192" ht="16.5" customHeight="1" s="81">
      <c r="A192" s="86" t="inlineStr">
        <is>
          <t>비트 4</t>
        </is>
      </c>
      <c r="B192" s="89" t="inlineStr">
        <is>
          <t>위기(8~9화): 두 달의 시계, 재선거 소집·캠페인.</t>
        </is>
      </c>
    </row>
    <row r="193" ht="16.5" customHeight="1" s="81">
      <c r="A193" s="86" t="inlineStr">
        <is>
          <t>비트 5</t>
        </is>
      </c>
      <c r="B193" s="89" t="inlineStr">
        <is>
          <t>전환점·절정(10~11화): 재선거 결과 1당(과반 아님), 지역정당과의 지명 협상.</t>
        </is>
      </c>
    </row>
    <row r="194" ht="16.5" customHeight="1" s="81">
      <c r="A194" s="86" t="inlineStr">
        <is>
          <t>비트 6</t>
        </is>
      </c>
      <c r="B194" s="89" t="inlineStr">
        <is>
          <t>결말·훅(12화): 1표 차 부결 → 48시간 후 2차 통과, Zarzuela 선서.</t>
        </is>
      </c>
    </row>
    <row r="195" ht="29.25" customHeight="1" s="81">
      <c r="A195" s="86" t="inlineStr">
        <is>
          <t>인물 아크</t>
        </is>
      </c>
      <c r="B195" s="88" t="inlineStr">
        <is>
          <t>Mateo: 후반 연설가로 성장(따뜻한 문장). Tomás: 연설문. Diego: 협상. Ramón: 캠프 총괄. 가상 인물: 하원의장(투표 결과 낭독). 국왕은 직접 대사 없음.</t>
        </is>
      </c>
    </row>
    <row r="196" ht="16.5" customHeight="1" s="81">
      <c r="A196" s="86" t="inlineStr">
        <is>
          <t>복선·회수</t>
        </is>
      </c>
      <c r="B196" s="88" t="inlineStr">
        <is>
          <t>TB의 조건부 기권(→11부 10화) / Anselmo의 해설(→11부 6화 죽음) / 투표 1표(→12부 원형)</t>
        </is>
      </c>
    </row>
    <row r="197" ht="16.5" customHeight="1" s="81">
      <c r="A197" s="86" t="inlineStr">
        <is>
          <t>현안 (ID)</t>
        </is>
      </c>
      <c r="B197" s="88" t="inlineStr">
        <is>
          <t>P1● P2● N5● (○ S3·S4·S1·S2·N3·N4·P3)</t>
        </is>
      </c>
    </row>
    <row r="198" ht="16.5" customHeight="1" s="81">
      <c r="A198" s="86" t="inlineStr">
        <is>
          <t>제도·전문 영역</t>
        </is>
      </c>
      <c r="B198" s="89" t="inlineStr">
        <is>
          <t>해산·선거 일정·서명 0.1%, 개원·의원단, 헌법 제99조 investidura, 제99조 5항 두 달 시계, 사면·재정 분권 논쟁</t>
        </is>
      </c>
    </row>
    <row r="199" ht="16.5" customHeight="1" s="81">
      <c r="A199" s="86" t="inlineStr">
        <is>
          <t>언어 설계</t>
        </is>
      </c>
      <c r="B199" s="88" t="inlineStr">
        <is>
          <t>C1~C2. 토론·연설 수사, 접속법·조건문 완곡. 발성: 장엄한 호흡, 표결 결과 낭독의 또박또박함.</t>
        </is>
      </c>
    </row>
    <row r="200" ht="18" customHeight="1" s="81">
      <c r="A200" s="86" t="inlineStr">
        <is>
          <t>대화량 (화당 120턴)</t>
        </is>
      </c>
      <c r="B200" s="88">
        <f>"화당 "&amp;턴_설계!$B$5&amp;"턴 · 부 총 "&amp;TEXT(턴_설계!D42,"#,##0")&amp;"턴 · 화당 약 "&amp;TEXT(턴_설계!F42,"#,##0")&amp;"단어 · 낭독 약 "&amp;TEXT(턴_설계!H42,"0.0")&amp;"분 (평균 "&amp;TEXT(턴_설계!E42,"0.0")&amp;"단어/턴)"</f>
        <v/>
      </c>
    </row>
    <row r="201" ht="16.5" customHeight="1" s="81">
      <c r="A201" s="91" t="inlineStr">
        <is>
          <t>Carmen 질문·Raimundo 카드</t>
        </is>
      </c>
      <c r="B201" s="88" t="inlineStr">
        <is>
          <t>Carmen: escaño·mayoría absoluta 등. 카드: 헌법 제99조, Diario de Sesiones.</t>
        </is>
      </c>
    </row>
    <row r="202" ht="16.5" customHeight="1" s="81">
      <c r="A202" s="86" t="inlineStr">
        <is>
          <t>다음 부 연결</t>
        </is>
      </c>
      <c r="B202" s="88" t="inlineStr">
        <is>
          <t>11부: 소수 정부의 국정.</t>
        </is>
      </c>
    </row>
    <row r="204" ht="30" customHeight="1" s="81">
      <c r="A204" s="148" t="inlineStr">
        <is>
          <t>11부</t>
        </is>
      </c>
      <c r="B204" s="149" t="inlineStr">
        <is>
          <t>La Gran Batalla Social I — 사회 현안 전투 I   |   난이도 C1~C2   |   취임 후 첫 해(가상). La Moncloa, Consejo de Ministros, 브뤼셀.</t>
        </is>
      </c>
    </row>
    <row r="205" ht="29.25" customHeight="1" s="81">
      <c r="A205" s="86" t="inlineStr">
        <is>
          <t>서사 기능</t>
        </is>
      </c>
      <c r="B205" s="89" t="inlineStr">
        <is>
          <t>이야기의 시험대이자 Anselmo의 마지막 임무. 총리가 되어도 권한은 나뉘어 있다는 현실을 국내에서 배운 뒤, 은퇴 외교관이 현역으로 돌아가 브뤼셀에서 직접 협상하고 승리한 직후 숨을 거둔다.</t>
        </is>
      </c>
    </row>
    <row r="206" ht="29.25" customHeight="1" s="81">
      <c r="A206" s="86" t="inlineStr">
        <is>
          <t>로그라인</t>
        </is>
      </c>
      <c r="B206" s="89" t="inlineStr">
        <is>
          <t>소수 정부가 주거·보건·이민·청년의 벽을 넘고, Anselmo가 자원해 NATO 방위비와 EU 재정규칙을 직접 협상해 이긴 뒤 귀국길에 쓰러진다.</t>
        </is>
      </c>
    </row>
    <row r="207" ht="16.5" customHeight="1" s="81">
      <c r="A207" s="86" t="inlineStr">
        <is>
          <t>변화 (시작 → 끝)</t>
        </is>
      </c>
      <c r="B207" s="89" t="inlineStr">
        <is>
          <t>선거의 사람들 → 통치하는 사람들. 그리고 은퇴한 조언자 → 현역 협상가로 마지막으로 돌아간 사람.</t>
        </is>
      </c>
    </row>
    <row r="208" ht="16.5" customHeight="1" s="81">
      <c r="A208" s="86" t="inlineStr">
        <is>
          <t>핵심 갈등</t>
        </is>
      </c>
      <c r="B208" s="89" t="inlineStr">
        <is>
          <t>하고 싶은 것 vs 할 수 있는 것(권한) / 늙은 몸 vs 마지막 임무를 향한 의지</t>
        </is>
      </c>
    </row>
    <row r="209" ht="16.5" customHeight="1" s="81">
      <c r="A209" s="86" t="inlineStr">
        <is>
          <t>비트 1</t>
        </is>
      </c>
      <c r="B209" s="89" t="inlineStr">
        <is>
          <t>발단(1~2화): 첫 국무회의, 보이지 않는 집주인들 — 주거 현안.</t>
        </is>
      </c>
    </row>
    <row r="210" ht="16.5" customHeight="1" s="81">
      <c r="A210" s="86" t="inlineStr">
        <is>
          <t>비트 2</t>
        </is>
      </c>
      <c r="B210" s="89" t="inlineStr">
        <is>
          <t>전개(3~5화): 주거법(자기 조항 폐지), 응급실 마비(자치주 권한), 이민 분담.</t>
        </is>
      </c>
    </row>
    <row r="211" ht="16.5" customHeight="1" s="81">
      <c r="A211" s="86" t="inlineStr">
        <is>
          <t>비트 3</t>
        </is>
      </c>
      <c r="B211" s="89" t="inlineStr">
        <is>
          <t>위기(6화): 청년 고용 협상 — 아직 죽지 않지만 계단에서 숨이 가쁘다.</t>
        </is>
      </c>
    </row>
    <row r="212" ht="16.5" customHeight="1" s="81">
      <c r="A212" s="86" t="inlineStr">
        <is>
          <t>비트 4</t>
        </is>
      </c>
      <c r="B212" s="89" t="inlineStr">
        <is>
          <t>위기(7~8화): 가격 카르텔·도청 논쟁(Anselmo가 중재), 횡재세.</t>
        </is>
      </c>
    </row>
    <row r="213" ht="29.25" customHeight="1" s="81">
      <c r="A213" s="86" t="inlineStr">
        <is>
          <t>비트 5</t>
        </is>
      </c>
      <c r="B213" s="89" t="inlineStr">
        <is>
          <t>전환점(9화): Anselmo가 브뤼셀行을 자원한다 — 금박 이름을 새긴 사업가 출신과 정보기관 출신의 이웃국 병합자, 두 지도자를 특징으로만 회상하며 이름은 끝내 말하지 않는다.</t>
        </is>
      </c>
    </row>
    <row r="214" ht="16.5" customHeight="1" s="81">
      <c r="A214" s="86" t="inlineStr">
        <is>
          <t>비트 6</t>
        </is>
      </c>
      <c r="B214" s="89" t="inlineStr">
        <is>
          <t>절정(10~11화): 직접 협상 — 상대의 거짓말을 반박하고 타결. 귀국길의 피로.</t>
        </is>
      </c>
    </row>
    <row r="215" ht="16.5" customHeight="1" s="81">
      <c r="A215" s="86" t="inlineStr">
        <is>
          <t>비트 7</t>
        </is>
      </c>
      <c r="B215" s="89" t="inlineStr">
        <is>
          <t>결말(12화): 귀국 직후 사망. «No está mal.» — 승리 직후라 더 무겁다.</t>
        </is>
      </c>
    </row>
    <row r="216" ht="29.25" customHeight="1" s="81">
      <c r="A216" s="86" t="inlineStr">
        <is>
          <t>인물 아크</t>
        </is>
      </c>
      <c r="B216" s="88" t="inlineStr">
        <is>
          <t>Mateo=총리, Sofía=재무(브뤼셀 동행), Javier=보건, Diego=대통령실장, Ramón=국가안보, Tomás=연설·브리핑 문구, Carmen: 마지막 순간을 함께한다.</t>
        </is>
      </c>
    </row>
    <row r="217" ht="29.25" customHeight="1" s="81">
      <c r="A217" s="86" t="inlineStr">
        <is>
          <t>복선·회수</t>
        </is>
      </c>
      <c r="B217" s="88" t="inlineStr">
        <is>
          <t>Mateo의 옛 조항 폐지(2부 6화 회수) / Anselmo 죽음·우산(→12부 1화, 13부 2화) / 도청 논쟁(7부 8화 회수) / Anselmo가 브뤼셀로 자원(→12부 3화 메모 승계)</t>
        </is>
      </c>
    </row>
    <row r="218" ht="16.5" customHeight="1" s="81">
      <c r="A218" s="86" t="inlineStr">
        <is>
          <t>현안 (ID)</t>
        </is>
      </c>
      <c r="B218" s="88" t="inlineStr">
        <is>
          <t>E1● E3● S1● S2● N3●</t>
        </is>
      </c>
    </row>
    <row r="219" ht="16.5" customHeight="1" s="81">
      <c r="A219" s="86" t="inlineStr">
        <is>
          <t>제도·전문 영역</t>
        </is>
      </c>
      <c r="B219" s="88" t="inlineStr">
        <is>
          <t>Consejo de Ministros, 자치주 협의체, NATO 방위비 목표(2025 헤이그 합의·5%·2035, 스페인 예외), EU 재정규칙(TFUE 126)</t>
        </is>
      </c>
    </row>
    <row r="220" ht="29.25" customHeight="1" s="81">
      <c r="A220" s="86" t="inlineStr">
        <is>
          <t>언어 설계</t>
        </is>
      </c>
      <c r="B220" s="88" t="inlineStr">
        <is>
          <t>C1~C2. 국정 문서·외교 협상 어휘, 조문 낭독, 완곡어법(Anselmo). 발성: 노련한 협상가의 절제된 반박과 임종 장면의 낮은 목소리.</t>
        </is>
      </c>
    </row>
    <row r="221" ht="18" customHeight="1" s="81">
      <c r="A221" s="86" t="inlineStr">
        <is>
          <t>대화량 (화당 120턴)</t>
        </is>
      </c>
      <c r="B221" s="88">
        <f>"화당 "&amp;턴_설계!$B$5&amp;"턴 · 부 총 "&amp;TEXT(턴_설계!D43,"#,##0")&amp;"턴 · 화당 약 "&amp;TEXT(턴_설계!F43,"#,##0")&amp;"단어 · 낭독 약 "&amp;TEXT(턴_설계!H43,"0.0")&amp;"분 (평균 "&amp;TEXT(턴_설계!E43,"0.0")&amp;"단어/턴)"</f>
        <v/>
      </c>
    </row>
    <row r="222" ht="16.5" customHeight="1" s="81">
      <c r="A222" s="91" t="inlineStr">
        <is>
          <t>Carmen 질문·Raimundo 카드</t>
        </is>
      </c>
      <c r="B222" s="88" t="inlineStr">
        <is>
          <t>Carmen: decreto-ley·conflicto de competencia 등. 카드: 헌법 제148·149조, NATO 방위비 목표 문서.</t>
        </is>
      </c>
    </row>
    <row r="223" ht="16.5" customHeight="1" s="81">
      <c r="A223" s="86" t="inlineStr">
        <is>
          <t>다음 부 연결</t>
        </is>
      </c>
      <c r="B223" s="88" t="inlineStr">
        <is>
          <t>12부: 장례식으로 시작해 그의 메모로 협상을 잇는다.</t>
        </is>
      </c>
    </row>
    <row r="225" ht="30" customHeight="1" s="81">
      <c r="A225" s="148" t="inlineStr">
        <is>
          <t>12부</t>
        </is>
      </c>
      <c r="B225" s="149" t="inlineStr">
        <is>
          <t>La Gran Batalla Social II — 사회 현안 전투 II   |   난이도 C1~C2   |   Anselmo 사후. La Moncloa, 브뤼셀, 재난 현장.</t>
        </is>
      </c>
    </row>
    <row r="226" ht="29.25" customHeight="1" s="81">
      <c r="A226" s="86" t="inlineStr">
        <is>
          <t>서사 기능</t>
        </is>
      </c>
      <c r="B226" s="89" t="inlineStr">
        <is>
          <t>상실 이후의 국정. 죽은 사람의 메모로 산 사람들이 협상을 잇는 법, 그리고 새로운 현안(플랫폼 노동·정보기관 사찰·청년 정신건강)을 통과하는 팀의 성장.</t>
        </is>
      </c>
    </row>
    <row r="227" ht="29.25" customHeight="1" s="81">
      <c r="A227" s="86" t="inlineStr">
        <is>
          <t>로그라인</t>
        </is>
      </c>
      <c r="B227" s="89" t="inlineStr">
        <is>
          <t>장례식을 치른 팀이 Anselmo의 메모로 브뤼셀 후속 협상을 마무리하고, 플랫폼 노동·사찰 스캔들·청년 정신건강을 거쳐 불신임안과 재난까지 버텨낸다.</t>
        </is>
      </c>
    </row>
    <row r="228" ht="16.5" customHeight="1" s="81">
      <c r="A228" s="86" t="inlineStr">
        <is>
          <t>변화 (시작 → 끝)</t>
        </is>
      </c>
      <c r="B228" s="89" t="inlineStr">
        <is>
          <t>한 사람의 노련함에 기대던 팀 → 그의 방식을 자기 것으로 만든 팀.</t>
        </is>
      </c>
    </row>
    <row r="229" ht="16.5" customHeight="1" s="81">
      <c r="A229" s="86" t="inlineStr">
        <is>
          <t>핵심 갈등</t>
        </is>
      </c>
      <c r="B229" s="89" t="inlineStr">
        <is>
          <t>애도 vs 계속 가는 것 / 새 현안들의 무게</t>
        </is>
      </c>
    </row>
    <row r="230" ht="16.5" customHeight="1" s="81">
      <c r="A230" s="86" t="inlineStr">
        <is>
          <t>비트 1</t>
        </is>
      </c>
      <c r="B230" s="89" t="inlineStr">
        <is>
          <t>발단(1화): 장례식 — Carmen이 처음으로 tú를 쓴다.</t>
        </is>
      </c>
    </row>
    <row r="231" ht="16.5" customHeight="1" s="81">
      <c r="A231" s="86" t="inlineStr">
        <is>
          <t>비트 2</t>
        </is>
      </c>
      <c r="B231" s="89" t="inlineStr">
        <is>
          <t>전개(2~3화): 유작 메모 발견, 그 메모로 잇는 2차 브뤼셀 협상.</t>
        </is>
      </c>
    </row>
    <row r="232" ht="16.5" customHeight="1" s="81">
      <c r="A232" s="86" t="inlineStr">
        <is>
          <t>비트 3</t>
        </is>
      </c>
      <c r="B232" s="89" t="inlineStr">
        <is>
          <t>전개(4~6화): 플랫폼 노동(라이더법), 정보기관 사찰 스캔들, 청년 정신건강.</t>
        </is>
      </c>
    </row>
    <row r="233" ht="16.5" customHeight="1" s="81">
      <c r="A233" s="86" t="inlineStr">
        <is>
          <t>비트 4</t>
        </is>
      </c>
      <c r="B233" s="89" t="inlineStr">
        <is>
          <t>위기(7~8화): 건설적 불신임안 방어, 고립 저기압(DANA) 재난.</t>
        </is>
      </c>
    </row>
    <row r="234" ht="16.5" customHeight="1" s="81">
      <c r="A234" s="86" t="inlineStr">
        <is>
          <t>비트 5</t>
        </is>
      </c>
      <c r="B234" s="89" t="inlineStr">
        <is>
          <t>절정(9화): 거리에서 나타난 성과들.</t>
        </is>
      </c>
    </row>
    <row r="235" ht="16.5" customHeight="1" s="81">
      <c r="A235" s="86" t="inlineStr">
        <is>
          <t>비트 6</t>
        </is>
      </c>
      <c r="B235" s="89" t="inlineStr">
        <is>
          <t>위기·결말(10~12화): 올드 가드의 빈자리, 국방비 예산 반영 논쟁, 예산안 제출 준비.</t>
        </is>
      </c>
    </row>
    <row r="236" ht="29.25" customHeight="1" s="81">
      <c r="A236" s="86" t="inlineStr">
        <is>
          <t>인물 아크</t>
        </is>
      </c>
      <c r="B236" s="88" t="inlineStr">
        <is>
          <t>Sofía·Tomás=Anselmo의 메모를 잇는 두 사람. Raimundo=옛 동료 인맥으로 사찰 스캔들 추적. Lucía·Carmen=청년 정신건강. Ramón·Raimundo=빈자리를 마주함.</t>
        </is>
      </c>
    </row>
    <row r="237" ht="16.5" customHeight="1" s="81">
      <c r="A237" s="86" t="inlineStr">
        <is>
          <t>복선·회수</t>
        </is>
      </c>
      <c r="B237" s="88" t="inlineStr">
        <is>
          <t>Anselmo의 유작 메모(11부 12화 회수 시작) / Carmen의 usted→tú(1화에서 전환) / 7부 도청 논쟁이 국가적 스캔들로 확장</t>
        </is>
      </c>
    </row>
    <row r="238" ht="16.5" customHeight="1" s="81">
      <c r="A238" s="86" t="inlineStr">
        <is>
          <t>현안 (ID)</t>
        </is>
      </c>
      <c r="B238" s="88" t="inlineStr">
        <is>
          <t>N3● E3● N6● N7● N8● P1● P2● P3● N1● S4●</t>
        </is>
      </c>
    </row>
    <row r="239" ht="29.25" customHeight="1" s="81">
      <c r="A239" s="86" t="inlineStr">
        <is>
          <t>제도·전문 영역</t>
        </is>
      </c>
      <c r="B239" s="89" t="inlineStr">
        <is>
          <t>유작 메모 승계, 정보기관 사법 통제(Ley 11/2002), 플랫폼 노동(Ley Rider), 불신임안(art. 113), 민방위(Ley 17/2015), 예산(art. 134)</t>
        </is>
      </c>
    </row>
    <row r="240" ht="16.5" customHeight="1" s="81">
      <c r="A240" s="86" t="inlineStr">
        <is>
          <t>언어 설계</t>
        </is>
      </c>
      <c r="B240" s="88" t="inlineStr">
        <is>
          <t>C1~C2. 추도사, 인용(Anselmo의 문장을 빌려 쓰는 대사), 국정 어휘. 발성: 1화의 낮고 절제된 애도 톤에서 점차 회복.</t>
        </is>
      </c>
    </row>
    <row r="241" ht="18" customHeight="1" s="81">
      <c r="A241" s="86" t="inlineStr">
        <is>
          <t>대화량 (화당 120턴)</t>
        </is>
      </c>
      <c r="B241" s="88">
        <f>"화당 "&amp;턴_설계!$B$5&amp;"턴 · 부 총 "&amp;TEXT(턴_설계!D44,"#,##0")&amp;"턴 · 화당 약 "&amp;TEXT(턴_설계!F44,"#,##0")&amp;"단어 · 낭독 약 "&amp;TEXT(턴_설계!H44,"0.0")&amp;"분 (평균 "&amp;TEXT(턴_설계!E44,"0.0")&amp;"단어/턴)"</f>
        <v/>
      </c>
    </row>
    <row r="242" ht="16.5" customHeight="1" s="81">
      <c r="A242" s="91" t="inlineStr">
        <is>
          <t>Carmen 질문·Raimundo 카드</t>
        </is>
      </c>
      <c r="B242" s="88" t="inlineStr">
        <is>
          <t>Carmen: escuchas ilegales·spyware·salud mental 등. 카드: Ley 11/2002, Ley Rider.</t>
        </is>
      </c>
    </row>
    <row r="243" ht="16.5" customHeight="1" s="81">
      <c r="A243" s="86" t="inlineStr">
        <is>
          <t>다음 부 연결</t>
        </is>
      </c>
      <c r="B243" s="88" t="inlineStr">
        <is>
          <t>13부: 1부의 식탁으로 돌아간다.</t>
        </is>
      </c>
    </row>
    <row r="245" ht="30" customHeight="1" s="81">
      <c r="A245" s="148" t="inlineStr">
        <is>
          <t>13부</t>
        </is>
      </c>
      <c r="B245" s="149" t="inlineStr">
        <is>
          <t>De vuelta a Lavapiés — 귀환   |   난이도 B1~B2   |   임기 후반. Lavapiés 사무소와 Casa Pepa. 마지막에 다시 '다섯 시'.</t>
        </is>
      </c>
    </row>
    <row r="246" ht="16.5" customHeight="1" s="81">
      <c r="A246" s="86" t="inlineStr">
        <is>
          <t>서사 기능</t>
        </is>
      </c>
      <c r="B246" s="89" t="inlineStr">
        <is>
          <t>원형 닫기와 성장의 확인. 낭독자가 1부 장면을 다시 읽으며 실력의 성장을 체감한다. Carmen이 질문받는 쪽으로 이동한다.</t>
        </is>
      </c>
    </row>
    <row r="247" ht="16.5" customHeight="1" s="81">
      <c r="A247" s="86" t="inlineStr">
        <is>
          <t>로그라인</t>
        </is>
      </c>
      <c r="B247" s="89" t="inlineStr">
        <is>
          <t>장관들이 손님으로 돌아온 라바피에스에서 Anselmo의 우산이 Carmen에게 도착하고, 새 인턴이 던진 질문에 Carmen이 답한다.</t>
        </is>
      </c>
    </row>
    <row r="248" ht="16.5" customHeight="1" s="81">
      <c r="A248" s="86" t="inlineStr">
        <is>
          <t>변화 (시작 → 끝)</t>
        </is>
      </c>
      <c r="B248" s="89" t="inlineStr">
        <is>
          <t>총리와 장관들 → 다시 식탁 앞의 사람들. Carmen: 묻는 사람 → 설명하는 사람.</t>
        </is>
      </c>
    </row>
    <row r="249" ht="16.5" customHeight="1" s="81">
      <c r="A249" s="86" t="inlineStr">
        <is>
          <t>핵심 갈등</t>
        </is>
      </c>
      <c r="B249" s="89" t="inlineStr">
        <is>
          <t>애도 vs 계속 가는 것 / 겸직 제한으로 사무소를 놓아야 함</t>
        </is>
      </c>
    </row>
    <row r="250" ht="16.5" customHeight="1" s="81">
      <c r="A250" s="86" t="inlineStr">
        <is>
          <t>비트 1</t>
        </is>
      </c>
      <c r="B250" s="89" t="inlineStr">
        <is>
          <t>발단(1~3화): 다섯 시, 우산(유언장), 빈 의자.</t>
        </is>
      </c>
    </row>
    <row r="251" ht="16.5" customHeight="1" s="81">
      <c r="A251" s="86" t="inlineStr">
        <is>
          <t>비트 2</t>
        </is>
      </c>
      <c r="B251" s="89" t="inlineStr">
        <is>
          <t>전개(4~5화): 사무소의 재단 전환, 새 인턴 Lucas.</t>
        </is>
      </c>
    </row>
    <row r="252" ht="16.5" customHeight="1" s="81">
      <c r="A252" s="86" t="inlineStr">
        <is>
          <t>비트 3</t>
        </is>
      </c>
      <c r="B252" s="89" t="inlineStr">
        <is>
          <t>미드포인트(6화): Carmen이 어려운 말을 쉬운 말로 설명한다.</t>
        </is>
      </c>
    </row>
    <row r="253" ht="16.5" customHeight="1" s="81">
      <c r="A253" s="86" t="inlineStr">
        <is>
          <t>비트 4</t>
        </is>
      </c>
      <c r="B253" s="89" t="inlineStr">
        <is>
          <t>전개(7~8화): 임기 보고서(현안 결산), 시민들의 편지.</t>
        </is>
      </c>
    </row>
    <row r="254" ht="16.5" customHeight="1" s="81">
      <c r="A254" s="86" t="inlineStr">
        <is>
          <t>비트 5</t>
        </is>
      </c>
      <c r="B254" s="89" t="inlineStr">
        <is>
          <t>위기(9화): 올드 가드와 빈 의자.</t>
        </is>
      </c>
    </row>
    <row r="255" ht="16.5" customHeight="1" s="81">
      <c r="A255" s="86" t="inlineStr">
        <is>
          <t>비트 6</t>
        </is>
      </c>
      <c r="B255" s="89" t="inlineStr">
        <is>
          <t>절정·결말(10~12화): 빠진 카드(Raimundo가 처음 결론을 말함), 다시 다섯 시, «Sentaos, que os pongo algo.»</t>
        </is>
      </c>
    </row>
    <row r="256" ht="16.5" customHeight="1" s="81">
      <c r="A256" s="86" t="inlineStr">
        <is>
          <t>인물 아크</t>
        </is>
      </c>
      <c r="B256" s="88" t="inlineStr">
        <is>
          <t>Carmen 12화 전부, Pepa 10화. Anselmo는 유언장·회상 3화. 신규 엑스트라: Lucas(새 인턴), 공증인.</t>
        </is>
      </c>
    </row>
    <row r="257" ht="16.5" customHeight="1" s="81">
      <c r="A257" s="86" t="inlineStr">
        <is>
          <t>복선·회수</t>
        </is>
      </c>
      <c r="B257" s="88" t="inlineStr">
        <is>
          <t>(회수 아크) 1부 첫 대사·우산·Raimundo 카드·Carmen의 질문 — '복선_회수' 시트 참고</t>
        </is>
      </c>
    </row>
    <row r="258" ht="16.5" customHeight="1" s="81">
      <c r="A258" s="86" t="inlineStr">
        <is>
          <t>현안 (ID)</t>
        </is>
      </c>
      <c r="B258" s="88" t="inlineStr">
        <is>
          <t>S1● (7화 결산에서 E3·S3·N5·N3 등)</t>
        </is>
      </c>
    </row>
    <row r="259" ht="16.5" customHeight="1" s="81">
      <c r="A259" s="86" t="inlineStr">
        <is>
          <t>제도·전문 영역</t>
        </is>
      </c>
      <c r="B259" s="89" t="inlineStr">
        <is>
          <t>고위직 이해충돌(Ley 3/2015), 유언(notaría, albacea, certificado de últimas voluntades), 재단 설립</t>
        </is>
      </c>
    </row>
    <row r="260" ht="16.5" customHeight="1" s="81">
      <c r="A260" s="86" t="inlineStr">
        <is>
          <t>언어 설계</t>
        </is>
      </c>
      <c r="B260" s="88" t="inlineStr">
        <is>
          <t>B1~B2. 1부와 같은 문장을 다시 읽어 비교. 발성: 따뜻하고 여유로운 톤. Carmen의 설명은 쉬운 말.</t>
        </is>
      </c>
    </row>
    <row r="261" ht="18" customHeight="1" s="81">
      <c r="A261" s="86" t="inlineStr">
        <is>
          <t>대화량 (화당 120턴)</t>
        </is>
      </c>
      <c r="B261" s="88">
        <f>"화당 "&amp;턴_설계!$B$5&amp;"턴 · 부 총 "&amp;TEXT(턴_설계!D45,"#,##0")&amp;"턴 · 화당 약 "&amp;TEXT(턴_설계!F45,"#,##0")&amp;"단어 · 낭독 약 "&amp;TEXT(턴_설계!H45,"0.0")&amp;"분 (평균 "&amp;TEXT(턴_설계!E45,"0.0")&amp;"단어/턴)"</f>
        <v/>
      </c>
    </row>
    <row r="262" ht="16.5" customHeight="1" s="81">
      <c r="A262" s="91" t="inlineStr">
        <is>
          <t>Carmen 질문·Raimundo 카드</t>
        </is>
      </c>
      <c r="B262" s="88" t="inlineStr">
        <is>
          <t>Carmen이 새 인턴의 질문에 답한다. 카드: Raimundo가 처음으로 결론을 직접 말한다.</t>
        </is>
      </c>
    </row>
    <row r="263" ht="16.5" customHeight="1" s="81">
      <c r="A263" s="86" t="inlineStr">
        <is>
          <t>다음 부 연결</t>
        </is>
      </c>
      <c r="B263" s="89" t="inlineStr">
        <is>
          <t>끝 — 원.</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tabColor rgb="FFBF8F00"/>
    <outlinePr summaryBelow="1" summaryRight="1"/>
    <pageSetUpPr fitToPage="1"/>
  </sheetPr>
  <dimension ref="A1:J161"/>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6" customWidth="1" style="80" min="1" max="2"/>
    <col width="13" customWidth="1" style="80" min="3" max="3"/>
    <col width="32" customWidth="1" style="80" min="4" max="4"/>
    <col width="24" customWidth="1" style="80" min="5" max="5"/>
    <col width="62" customWidth="1" style="80" min="6" max="6"/>
    <col width="46" customWidth="1" style="80" min="7" max="7"/>
    <col width="28" customWidth="1" style="80" min="8" max="8"/>
    <col width="16" customWidth="1" style="80" min="9" max="9"/>
    <col width="8" customWidth="1" style="80" min="10" max="10"/>
  </cols>
  <sheetData>
    <row r="1" ht="24" customHeight="1" s="81">
      <c r="A1" s="101" t="inlineStr">
        <is>
          <t>전체 화별 목차 (1~12부, 144화)</t>
        </is>
      </c>
    </row>
    <row r="2" ht="15" customHeight="1" s="81">
      <c r="A2" s="100" t="inlineStr">
        <is>
          <t>현실 제도와 현안(ID는 '현안_배치' 시트)을 반영한 초안. 의석 수·결과는 가상 수치. 모든 화는 지문 없이 대화문으로만 진행한다.</t>
        </is>
      </c>
    </row>
    <row r="4" ht="29.25" customHeight="1" s="81">
      <c r="A4" s="103" t="inlineStr">
        <is>
          <t>부</t>
        </is>
      </c>
      <c r="B4" s="103" t="inlineStr">
        <is>
          <t>화</t>
        </is>
      </c>
      <c r="C4" s="103" t="inlineStr">
        <is>
          <t>서사 기능</t>
        </is>
      </c>
      <c r="D4" s="103" t="inlineStr">
        <is>
          <t>제목 (ES)</t>
        </is>
      </c>
      <c r="E4" s="103" t="inlineStr">
        <is>
          <t>한국어</t>
        </is>
      </c>
      <c r="F4" s="103" t="inlineStr">
        <is>
          <t>핵심 사건</t>
        </is>
      </c>
      <c r="G4" s="103" t="inlineStr">
        <is>
          <t>반영 제도·전문 영역</t>
        </is>
      </c>
      <c r="H4" s="103" t="inlineStr">
        <is>
          <t>주요 인물</t>
        </is>
      </c>
      <c r="I4" s="103" t="inlineStr">
        <is>
          <t>반영 현안
(ID)</t>
        </is>
      </c>
      <c r="J4" s="103" t="inlineStr">
        <is>
          <t>턴 수</t>
        </is>
      </c>
    </row>
    <row r="5" ht="67.5" customHeight="1" s="81">
      <c r="A5" s="111" t="n">
        <v>1</v>
      </c>
      <c r="B5" s="111" t="n">
        <v>1</v>
      </c>
      <c r="C5" s="113" t="inlineStr">
        <is>
          <t>사건1 도입</t>
        </is>
      </c>
      <c r="D5" s="88" t="inlineStr">
        <is>
          <t>Otra carta más</t>
        </is>
      </c>
      <c r="E5" s="89" t="inlineStr">
        <is>
          <t>또 다른 편지</t>
        </is>
      </c>
      <c r="F5" s="89" t="inlineStr">
        <is>
          <t>사무소 개소 1개월 후. 다섯 시, 여전히 방법을 못 정한 채 매일 다투는 팀. Fátima가 두 번째로 찾아와 새 퇴거 예고장을 보인다. Carmen은 여전히 Mateo에게 usted를 쓴다. Raimundo가 지나가며 «날짜를 세어 보라»는 힌트만 던지고, 계약서가 없어 다음 날로 미뤄진다.</t>
        </is>
      </c>
      <c r="G5" s="89" t="inlineStr">
        <is>
          <t>생활 법률 구어체, 반복되는 말다툼 (B1)</t>
        </is>
      </c>
      <c r="H5" s="88" t="inlineStr">
        <is>
          <t>Pepa, Mateo, Javier, Sofía, Diego, Carmen, Anselmo, Fátima, Raimundo</t>
        </is>
      </c>
      <c r="I5" s="111" t="inlineStr">
        <is>
          <t>E1</t>
        </is>
      </c>
      <c r="J5" s="111">
        <f>턴_설계!$B$5</f>
        <v/>
      </c>
    </row>
    <row r="6" ht="54.75" customHeight="1" s="81">
      <c r="A6" s="111" t="n">
        <v>1</v>
      </c>
      <c r="B6" s="111" t="n">
        <v>2</v>
      </c>
      <c r="C6" s="113" t="inlineStr">
        <is>
          <t>사건1 해결</t>
        </is>
      </c>
      <c r="D6" s="88" t="inlineStr">
        <is>
          <t>La cláusula que no sube</t>
        </is>
      </c>
      <c r="E6" s="89" t="inlineStr">
        <is>
          <t>오르지 않는 조항</t>
        </is>
      </c>
      <c r="F6" s="88" t="inlineStr">
        <is>
          <t>[사건1 해결] Fátima와 Carmen이 계약서를 가져온다. Raimundo의 카드 #1(LAU 조항)로 인상률이 부당함을 확인하고, 열흘의 기한 안에 답장을 쓴다. 사무소의 첫 번째 규칙(가난한 이웃에겐 돈을 받지 않는다)이 확인된다.</t>
        </is>
      </c>
      <c r="G6" s="89" t="inlineStr">
        <is>
          <t>임대차(LAU), 소비자물가지수 조정, 기한·답변</t>
        </is>
      </c>
      <c r="H6" s="88" t="inlineStr">
        <is>
          <t>Mateo, Sofía, Diego, Fátima, Raimundo, Carmen, Pepa</t>
        </is>
      </c>
      <c r="I6" s="111" t="inlineStr">
        <is>
          <t>E1</t>
        </is>
      </c>
      <c r="J6" s="111">
        <f>턴_설계!$B$5</f>
        <v/>
      </c>
    </row>
    <row r="7" ht="54.75" customHeight="1" s="81">
      <c r="A7" s="111" t="n">
        <v>1</v>
      </c>
      <c r="B7" s="111" t="n">
        <v>3</v>
      </c>
      <c r="C7" s="113" t="inlineStr">
        <is>
          <t>사건2 도입</t>
        </is>
      </c>
      <c r="D7" s="88" t="inlineStr">
        <is>
          <t>Aviso de las ocho</t>
        </is>
      </c>
      <c r="E7" s="89" t="inlineStr">
        <is>
          <t>여덟 시의 통지</t>
        </is>
      </c>
      <c r="F7" s="88" t="inlineStr">
        <is>
          <t>[사건2 도입] 밤 여덟 시, 퇴거 집행이 다음 날 아침으로 잡혔다는 급보가 온다. Ramón이 주민을 조직하고 Nieves가 이웃들을 모은다. 네 사람이 각자 서류·건강·숫자·동선을 맡아 밤새 준비하지만 승산은 불투명하다.</t>
        </is>
      </c>
      <c r="G7" s="89" t="inlineStr">
        <is>
          <t>퇴거 집행 예고, 긴급 동원, 이웃 조직</t>
        </is>
      </c>
      <c r="H7" s="88" t="inlineStr">
        <is>
          <t>Mateo, Javier, Sofía, Diego, Ramón, Nieves, Carmen, Pepa</t>
        </is>
      </c>
      <c r="I7" s="111" t="inlineStr">
        <is>
          <t>S1</t>
        </is>
      </c>
      <c r="J7" s="111">
        <f>턴_설계!$B$5</f>
        <v/>
      </c>
    </row>
    <row r="8" ht="42" customHeight="1" s="81">
      <c r="A8" s="111" t="n">
        <v>1</v>
      </c>
      <c r="B8" s="111" t="n">
        <v>4</v>
      </c>
      <c r="C8" s="113" t="inlineStr">
        <is>
          <t>사건2 해결</t>
        </is>
      </c>
      <c r="D8" s="88" t="inlineStr">
        <is>
          <t>El furgón que no llegó</t>
        </is>
      </c>
      <c r="E8" s="89" t="inlineStr">
        <is>
          <t>오지 않은 트럭</t>
        </is>
      </c>
      <c r="F8" s="88" t="inlineStr">
        <is>
          <t>[사건2 해결] 집행 당일 아침. Mateo의 긴급 신청, Javier의 취약계층 진단서, Sofía의 금액 계산, Diego의 동선 배치가 맞물려 집행이 연기된다. Ramón의 «Sin novedad» 보고로 마무리된다.</t>
        </is>
      </c>
      <c r="G8" s="89" t="inlineStr">
        <is>
          <t>가처분 신청, 취약계층 유예, 집행관 대응</t>
        </is>
      </c>
      <c r="H8" s="88" t="inlineStr">
        <is>
          <t>Mateo, Javier, Sofía, Diego, Ramón, Nieves, Carmen, Pepa</t>
        </is>
      </c>
      <c r="I8" s="111" t="inlineStr">
        <is>
          <t>S1</t>
        </is>
      </c>
      <c r="J8" s="111">
        <f>턴_설계!$B$5</f>
        <v/>
      </c>
    </row>
    <row r="9" ht="42" customHeight="1" s="81">
      <c r="A9" s="111" t="n">
        <v>1</v>
      </c>
      <c r="B9" s="111" t="n">
        <v>5</v>
      </c>
      <c r="C9" s="113" t="inlineStr">
        <is>
          <t>사건3 도입</t>
        </is>
      </c>
      <c r="D9" s="88" t="inlineStr">
        <is>
          <t>El becario de la fábrica</t>
        </is>
      </c>
      <c r="E9" s="89" t="inlineStr">
        <is>
          <t>공장의 인턴</t>
        </is>
      </c>
      <c r="F9" s="88" t="inlineStr">
        <is>
          <t>[사건3 도입] 임금 체불과 부당한 초과근무에 지친 청년 노동자 Álvaro(가상)가 찾아온다. Diego가 컨설팅 용어로 상황을 분석하려 하고 Carmen이 통역하듯 애쓰지만 Álvaro는 점점 지쳐 간다.</t>
        </is>
      </c>
      <c r="G9" s="89" t="inlineStr">
        <is>
          <t>임시 계약, 초과근무, 경영 용어의 벽</t>
        </is>
      </c>
      <c r="H9" s="88" t="inlineStr">
        <is>
          <t>Diego, Carmen, Sofía, Pepa, Álvaro(가상)</t>
        </is>
      </c>
      <c r="I9" s="111" t="inlineStr">
        <is>
          <t>S1</t>
        </is>
      </c>
      <c r="J9" s="111">
        <f>턴_설계!$B$5</f>
        <v/>
      </c>
    </row>
    <row r="10" ht="54.75" customHeight="1" s="81">
      <c r="A10" s="111" t="n">
        <v>1</v>
      </c>
      <c r="B10" s="111" t="n">
        <v>6</v>
      </c>
      <c r="C10" s="113" t="inlineStr">
        <is>
          <t>사건3 해결(폭발)</t>
        </is>
      </c>
      <c r="D10" s="88" t="inlineStr">
        <is>
          <t>¡Basta!</t>
        </is>
      </c>
      <c r="E10" s="89" t="inlineStr">
        <is>
          <t>그만!</t>
        </is>
      </c>
      <c r="F10" s="88" t="inlineStr">
        <is>
          <t>[사건3 해결] 협상 자리에서 Diego의 용어가 한 시간째 이어지자 Carmen이 폭발한다(1차 폭발). Javier·Ramón·Pepa·Raimundo의 고정 반응, Anselmo의 «Mentecata… Pregunta.», Sofía의 «Lo traduzco yo.» 이후 쉬운 말로 다시 협상해 밀린 임금 지급에 합의한다.</t>
        </is>
      </c>
      <c r="G10" s="89" t="inlineStr">
        <is>
          <t>감정 표현, 전문 용어 → 쉬운 말, 임금 체불 합의</t>
        </is>
      </c>
      <c r="H10" s="88" t="inlineStr">
        <is>
          <t>Carmen, Diego, Sofía, Javier, Anselmo, Ramón, Pepa, Raimundo, Álvaro(가상)</t>
        </is>
      </c>
      <c r="I10" s="111" t="inlineStr">
        <is>
          <t>S1</t>
        </is>
      </c>
      <c r="J10" s="111">
        <f>턴_설계!$B$5</f>
        <v/>
      </c>
    </row>
    <row r="11" ht="67.5" customHeight="1" s="81">
      <c r="A11" s="111" t="n">
        <v>1</v>
      </c>
      <c r="B11" s="111" t="n">
        <v>7</v>
      </c>
      <c r="C11" s="113" t="inlineStr">
        <is>
          <t>사건4 도입</t>
        </is>
      </c>
      <c r="D11" s="88" t="inlineStr">
        <is>
          <t>La niña con fiebre</t>
        </is>
      </c>
      <c r="E11" s="89" t="inlineStr">
        <is>
          <t>열이 나는 아이</t>
        </is>
      </c>
      <c r="F11" s="88" t="inlineStr">
        <is>
          <t>[사건4 도입] 서류가 없어 소아과 예약을 못 잡는 가족이 찾아온다. Javier가 나서고 Lucía가 친구로 들러 «¿Y cómo te hace sentir eso?»를 처음 선보인다. 마침 들른 Tomás는 Anselmo에게 원고를 놀림받다 «No está mal.»라는 최고의 칭찬을 듣는다. 정작 진짜 아픈 아이 앞에서 Anselmo는 자기 무릎 타령을 멈춘다.</t>
        </is>
      </c>
      <c r="G11" s="89" t="inlineStr">
        <is>
          <t>서류 없는 가족의 의료 접근, 증상 표현</t>
        </is>
      </c>
      <c r="H11" s="88" t="inlineStr">
        <is>
          <t>Javier, Lucía, Anselmo, Tomás, Carmen, Pepa, 가족(가상)</t>
        </is>
      </c>
      <c r="I11" s="111" t="inlineStr">
        <is>
          <t>S2</t>
        </is>
      </c>
      <c r="J11" s="111">
        <f>턴_설계!$B$5</f>
        <v/>
      </c>
    </row>
    <row r="12" ht="42" customHeight="1" s="81">
      <c r="A12" s="111" t="n">
        <v>1</v>
      </c>
      <c r="B12" s="111" t="n">
        <v>8</v>
      </c>
      <c r="C12" s="113" t="inlineStr">
        <is>
          <t>사건4 해결</t>
        </is>
      </c>
      <c r="D12" s="88" t="inlineStr">
        <is>
          <t>Un volante para todos</t>
        </is>
      </c>
      <c r="E12" s="89" t="inlineStr">
        <is>
          <t>모두를 위한 진료 의뢰서</t>
        </is>
      </c>
      <c r="F12" s="88" t="inlineStr">
        <is>
          <t>[사건4 해결] Mateo와 Javier가 주민등록(padrón) 경로를 찾아내 아이가 진료를 받는다. Anselmo가 평소와 달리 조용히 커피를 마신다.</t>
        </is>
      </c>
      <c r="G12" s="89" t="inlineStr">
        <is>
          <t>주민등록·거주 등록 경로, 진료 의뢰서</t>
        </is>
      </c>
      <c r="H12" s="88" t="inlineStr">
        <is>
          <t>Javier, Mateo, Carmen, Pepa, 가족(가상)</t>
        </is>
      </c>
      <c r="I12" s="111" t="inlineStr">
        <is>
          <t>S2</t>
        </is>
      </c>
      <c r="J12" s="111">
        <f>턴_설계!$B$5</f>
        <v/>
      </c>
    </row>
    <row r="13" ht="54.75" customHeight="1" s="81">
      <c r="A13" s="111" t="n">
        <v>1</v>
      </c>
      <c r="B13" s="111" t="n">
        <v>9</v>
      </c>
      <c r="C13" s="113" t="inlineStr">
        <is>
          <t>사건5 도입</t>
        </is>
      </c>
      <c r="D13" s="88" t="inlineStr">
        <is>
          <t>La viuda del quinto</t>
        </is>
      </c>
      <c r="E13" s="88" t="inlineStr">
        <is>
          <t>5층의 미망인</t>
        </is>
      </c>
      <c r="F13" s="88" t="inlineStr">
        <is>
          <t>[사건5 도입] 가짜 투자에 저축을 잃은 노년의 이웃 Encarna(가상)가 찾아온다. Sofía가 장부를 살피는 동안, 양복 입은 낯선 남자 Gonzalo가 나타나 은행 쪽 흐름을 봐 주겠다고 하면서도 자기 이야기는 하지 않는다. Inés가 냄새를 맡고 기웃거린다.</t>
        </is>
      </c>
      <c r="G13" s="89" t="inlineStr">
        <is>
          <t>저축·투자 사기, 은행 계좌 기초 어휘</t>
        </is>
      </c>
      <c r="H13" s="88" t="inlineStr">
        <is>
          <t>Sofía, Gonzalo, Inés, Carmen, Pepa, Encarna(가상)</t>
        </is>
      </c>
      <c r="I13" s="111" t="inlineStr">
        <is>
          <t>E3</t>
        </is>
      </c>
      <c r="J13" s="111">
        <f>턴_설계!$B$5</f>
        <v/>
      </c>
    </row>
    <row r="14" ht="42" customHeight="1" s="81">
      <c r="A14" s="111" t="n">
        <v>1</v>
      </c>
      <c r="B14" s="111" t="n">
        <v>10</v>
      </c>
      <c r="C14" s="113" t="inlineStr">
        <is>
          <t>사건5 해결</t>
        </is>
      </c>
      <c r="D14" s="88" t="inlineStr">
        <is>
          <t>Sigue el dinero</t>
        </is>
      </c>
      <c r="E14" s="89" t="inlineStr">
        <is>
          <t>돈을 따라가라</t>
        </is>
      </c>
      <c r="F14" s="88" t="inlineStr">
        <is>
          <t>[사건5 해결] Gonzalo의 계좌 흐름 추적과 Sofía의 장부 대조로 사기 계좌를 찾아 돈 일부를 되찾는다. Gonzalo는 설명 없이 떠나고, Sofía는 «Banco Ibérico»라는 이름에 말없이 굳는다.</t>
        </is>
      </c>
      <c r="G14" s="89" t="inlineStr">
        <is>
          <t>자금 흐름 추적, 계좌·송금 어휘</t>
        </is>
      </c>
      <c r="H14" s="88" t="inlineStr">
        <is>
          <t>Sofía, Gonzalo, Carmen, Pepa, Encarna(가상)</t>
        </is>
      </c>
      <c r="I14" s="111" t="inlineStr">
        <is>
          <t>E3</t>
        </is>
      </c>
      <c r="J14" s="111">
        <f>턴_설계!$B$5</f>
        <v/>
      </c>
    </row>
    <row r="15" ht="42" customHeight="1" s="81">
      <c r="A15" s="111" t="n">
        <v>1</v>
      </c>
      <c r="B15" s="111" t="n">
        <v>11</v>
      </c>
      <c r="C15" s="113" t="inlineStr">
        <is>
          <t>사건6 도입</t>
        </is>
      </c>
      <c r="D15" s="88" t="inlineStr">
        <is>
          <t>Un papel de hace años</t>
        </is>
      </c>
      <c r="E15" s="89" t="inlineStr">
        <is>
          <t>수년 전 서류</t>
        </is>
      </c>
      <c r="F15" s="88" t="inlineStr">
        <is>
          <t>[사건6 도입] Fátima의 남편이 수십 년 전 다른 건물에서 받은 낡은 퇴거 서류를 들고 온다. 당장 급한 사안은 아니지만 오래된 절차 오류가 보인다. Inés가 취재 각도로 흥미를 보인다.</t>
        </is>
      </c>
      <c r="G15" s="89" t="inlineStr">
        <is>
          <t>오래된 서류 판독, 절차 하자</t>
        </is>
      </c>
      <c r="H15" s="88" t="inlineStr">
        <is>
          <t>Mateo, Inés, Carmen, Pepa, Fátima의 남편(가상)</t>
        </is>
      </c>
      <c r="I15" s="111" t="inlineStr">
        <is>
          <t>E1</t>
        </is>
      </c>
      <c r="J15" s="111">
        <f>턴_설계!$B$5</f>
        <v/>
      </c>
    </row>
    <row r="16" ht="54.75" customHeight="1" s="81">
      <c r="A16" s="111" t="n">
        <v>1</v>
      </c>
      <c r="B16" s="111" t="n">
        <v>12</v>
      </c>
      <c r="C16" s="113" t="inlineStr">
        <is>
          <t>사건6 해결(훅)</t>
        </is>
      </c>
      <c r="D16" s="88" t="inlineStr">
        <is>
          <t>La firma</t>
        </is>
      </c>
      <c r="E16" s="89" t="inlineStr">
        <is>
          <t>서명</t>
        </is>
      </c>
      <c r="F16" s="88" t="inlineStr">
        <is>
          <t>[사건6 해결·훅] 절차 오류를 바로잡아 오래된 기록을 정정하지만, 진짜 충격은 서류 맨 아래: Mateo의 옛 로펌 «Aguirre &amp; Salvat»의 서명이다. Mateo가 얼어붙고 Pepa가 «Sentaos, que os pongo algo.»로 분위기를 잇는다. 금요일에는 Mateo의 이야기가 시작된다.</t>
        </is>
      </c>
      <c r="G16" s="89" t="inlineStr">
        <is>
          <t>서명·기록 정정, 이름 확인</t>
        </is>
      </c>
      <c r="H16" s="88" t="inlineStr">
        <is>
          <t>Mateo, Pepa, Carmen, Anselmo, Fátima의 남편(가상)</t>
        </is>
      </c>
      <c r="I16" s="111" t="inlineStr">
        <is>
          <t>E1</t>
        </is>
      </c>
      <c r="J16" s="111">
        <f>턴_설계!$B$5</f>
        <v/>
      </c>
    </row>
    <row r="17" ht="42" customHeight="1" s="81">
      <c r="A17" s="111" t="n">
        <v>2</v>
      </c>
      <c r="B17" s="111" t="n">
        <v>1</v>
      </c>
      <c r="C17" s="113" t="inlineStr">
        <is>
          <t>발단</t>
        </is>
      </c>
      <c r="D17" s="88" t="inlineStr">
        <is>
          <t>Viernes de historias</t>
        </is>
      </c>
      <c r="E17" s="89" t="inlineStr">
        <is>
          <t>금요일의 이야기</t>
        </is>
      </c>
      <c r="F17" s="88" t="inlineStr">
        <is>
          <t>(프레임) Pepa의 식탁에서 금요일마다 한 사람이 과거를 이야기하는 규칙이 시작된다. Carmen이 Mateo에게 왜 로펌을 그만뒀느냐고 묻고 Mateo는 «Vayamos por partes.»로 시작한다.</t>
        </is>
      </c>
      <c r="G17" s="89" t="inlineStr">
        <is>
          <t>격식체(usted)와 tú의 대비, 과거 이야기 도입</t>
        </is>
      </c>
      <c r="H17" s="88" t="inlineStr">
        <is>
          <t>Carmen, Mateo, Pepa, Anselmo</t>
        </is>
      </c>
      <c r="I17" s="111" t="inlineStr">
        <is>
          <t>E1</t>
        </is>
      </c>
      <c r="J17" s="111">
        <f>턴_설계!$B$5</f>
        <v/>
      </c>
    </row>
    <row r="18" ht="42" customHeight="1" s="81">
      <c r="A18" s="111" t="n">
        <v>2</v>
      </c>
      <c r="B18" s="111" t="n">
        <v>2</v>
      </c>
      <c r="C18" s="113" t="inlineStr">
        <is>
          <t>발단</t>
        </is>
      </c>
      <c r="D18" s="88" t="inlineStr">
        <is>
          <t>Un lunes en la Castellana</t>
        </is>
      </c>
      <c r="E18" s="89" t="inlineStr">
        <is>
          <t>카스티야나의 월요일</t>
        </is>
      </c>
      <c r="F18" s="88" t="inlineStr">
        <is>
          <t>(과거) 승소율 100%의 파트너 후보 Mateo의 하루. 새벽 편의점에서 야간 점원 Tomás와 마주친다. 상사 Salvat(가상)이 파트너 승진을 암시한다.</t>
        </is>
      </c>
      <c r="G18" s="89" t="inlineStr">
        <is>
          <t>로펌 어휘: socio, honorarios, cartera de clientes</t>
        </is>
      </c>
      <c r="H18" s="88" t="inlineStr">
        <is>
          <t>Mateo, Tomás, Salvat(가상)</t>
        </is>
      </c>
      <c r="I18" s="111" t="n"/>
      <c r="J18" s="111">
        <f>턴_설계!$B$5</f>
        <v/>
      </c>
    </row>
    <row r="19" ht="42" customHeight="1" s="81">
      <c r="A19" s="111" t="n">
        <v>2</v>
      </c>
      <c r="B19" s="111" t="n">
        <v>3</v>
      </c>
      <c r="C19" s="113" t="inlineStr">
        <is>
          <t>발단</t>
        </is>
      </c>
      <c r="D19" s="88" t="inlineStr">
        <is>
          <t>El cliente estrella</t>
        </is>
      </c>
      <c r="E19" s="88" t="inlineStr">
        <is>
          <t>VIP 고객</t>
        </is>
      </c>
      <c r="F19" s="89" t="inlineStr">
        <is>
          <t>대형 고객 Grupo Meridiano의 회장 Quintana(가상)를 소개받는다. 회의석에는 고객 측 컨설턴트 Diego와 매각 은행 지점장 Gonzalo가 있다.</t>
        </is>
      </c>
      <c r="G19" s="89" t="inlineStr">
        <is>
          <t>인수합병 어휘: adquisición, cartera, cláusula</t>
        </is>
      </c>
      <c r="H19" s="88" t="inlineStr">
        <is>
          <t>Mateo, Diego, Gonzalo, Quintana(가상)</t>
        </is>
      </c>
      <c r="I19" s="111" t="inlineStr">
        <is>
          <t>E1</t>
        </is>
      </c>
      <c r="J19" s="111">
        <f>턴_설계!$B$5</f>
        <v/>
      </c>
    </row>
    <row r="20" ht="42" customHeight="1" s="81">
      <c r="A20" s="111" t="n">
        <v>2</v>
      </c>
      <c r="B20" s="111" t="n">
        <v>4</v>
      </c>
      <c r="C20" s="113" t="inlineStr">
        <is>
          <t>전개</t>
        </is>
      </c>
      <c r="D20" s="88" t="inlineStr">
        <is>
          <t>La cartera de Lavapiés</t>
        </is>
      </c>
      <c r="E20" s="89" t="inlineStr">
        <is>
          <t>라바피에스 자산 포트폴리오</t>
        </is>
      </c>
      <c r="F20" s="89" t="inlineStr">
        <is>
          <t>실사(due diligence). 포트폴리오에 Lavapiés 건물 12채가 들어 있다. 감사인 Sofía가 «Esto no cuadra»를 흘리고, 고서점에서 등기 자료를 찾던 Mateo에게 Raimundo가 «Búscalo tú.»</t>
        </is>
      </c>
      <c r="G20" s="89" t="inlineStr">
        <is>
          <t>실사, 등기(Registro de la Propiedad), 임차인 명부</t>
        </is>
      </c>
      <c r="H20" s="88" t="inlineStr">
        <is>
          <t>Mateo, Sofía, Raimundo</t>
        </is>
      </c>
      <c r="I20" s="111" t="inlineStr">
        <is>
          <t>E1</t>
        </is>
      </c>
      <c r="J20" s="111">
        <f>턴_설계!$B$5</f>
        <v/>
      </c>
    </row>
    <row r="21" ht="42" customHeight="1" s="81">
      <c r="A21" s="111" t="n">
        <v>2</v>
      </c>
      <c r="B21" s="111" t="n">
        <v>5</v>
      </c>
      <c r="C21" s="113" t="inlineStr">
        <is>
          <t>전개</t>
        </is>
      </c>
      <c r="D21" s="88" t="inlineStr">
        <is>
          <t>Viernes: la calle de Pepa</t>
        </is>
      </c>
      <c r="E21" s="89" t="inlineStr">
        <is>
          <t>금요일: Pepa의 거리</t>
        </is>
      </c>
      <c r="F21" s="88" t="inlineStr">
        <is>
          <t>(프레임) 그 포트폴리오에 Pepa의 가게가 있던 건물이 들어 있었음이 밝혀진다. Carmen은 놀라 usted를 놓치고 Mateo는 잠시 침묵한다.</t>
        </is>
      </c>
      <c r="G21" s="89" t="inlineStr">
        <is>
          <t>감정 표현, 놀람</t>
        </is>
      </c>
      <c r="H21" s="88" t="inlineStr">
        <is>
          <t>Pepa, Mateo, Carmen</t>
        </is>
      </c>
      <c r="I21" s="111" t="inlineStr">
        <is>
          <t>E1</t>
        </is>
      </c>
      <c r="J21" s="111">
        <f>턴_설계!$B$5</f>
        <v/>
      </c>
    </row>
    <row r="22" ht="42" customHeight="1" s="81">
      <c r="A22" s="111" t="n">
        <v>2</v>
      </c>
      <c r="B22" s="111" t="n">
        <v>6</v>
      </c>
      <c r="C22" s="113" t="inlineStr">
        <is>
          <t>미드포인트</t>
        </is>
      </c>
      <c r="D22" s="88" t="inlineStr">
        <is>
          <t>La cláusula</t>
        </is>
      </c>
      <c r="E22" s="89" t="inlineStr">
        <is>
          <t>조항</t>
        </is>
      </c>
      <c r="F22" s="89" t="inlineStr">
        <is>
          <t>임차인을 비우는 가장 '깨끗한' 방법으로 Mateo가 «resolución por obras de rehabilitación» 조항을 설계한다. Diego의 재무 모델이 이를 뒷받침한다.</t>
        </is>
      </c>
      <c r="G22" s="89" t="inlineStr">
        <is>
          <t>임대 해지, 리모델링 사유, 통지 요건</t>
        </is>
      </c>
      <c r="H22" s="88" t="inlineStr">
        <is>
          <t>Mateo, Diego, Salvat(가상)</t>
        </is>
      </c>
      <c r="I22" s="111" t="inlineStr">
        <is>
          <t>E1</t>
        </is>
      </c>
      <c r="J22" s="111">
        <f>턴_설계!$B$5</f>
        <v/>
      </c>
    </row>
    <row r="23" ht="42" customHeight="1" s="81">
      <c r="A23" s="111" t="n">
        <v>2</v>
      </c>
      <c r="B23" s="111" t="n">
        <v>7</v>
      </c>
      <c r="C23" s="113" t="inlineStr">
        <is>
          <t>위기</t>
        </is>
      </c>
      <c r="D23" s="88" t="inlineStr">
        <is>
          <t>La asamblea de vecinos</t>
        </is>
      </c>
      <c r="E23" s="89" t="inlineStr">
        <is>
          <t>주민 총회</t>
        </is>
      </c>
      <c r="F23" s="89" t="inlineStr">
        <is>
          <t>세입자들이 총회를 연다. 노조 출신 Nieves가 이끌고, 응급실 의사 Javier가 공황을 일으킨 노인을 돌본다. Mateo는 78세 Remedios(가상)를 만난다.</t>
        </is>
      </c>
      <c r="G23" s="89" t="inlineStr">
        <is>
          <t>총회·발언·동의, 항의 표현</t>
        </is>
      </c>
      <c r="H23" s="88" t="inlineStr">
        <is>
          <t>Mateo, Nieves, Javier, Remedios(가상)</t>
        </is>
      </c>
      <c r="I23" s="111" t="inlineStr">
        <is>
          <t>E1</t>
        </is>
      </c>
      <c r="J23" s="111">
        <f>턴_설계!$B$5</f>
        <v/>
      </c>
    </row>
    <row r="24" ht="42" customHeight="1" s="81">
      <c r="A24" s="111" t="n">
        <v>2</v>
      </c>
      <c r="B24" s="111" t="n">
        <v>8</v>
      </c>
      <c r="C24" s="113" t="inlineStr">
        <is>
          <t>위기</t>
        </is>
      </c>
      <c r="D24" s="88" t="inlineStr">
        <is>
          <t>El juicio</t>
        </is>
      </c>
      <c r="E24" s="89" t="inlineStr">
        <is>
          <t>재판</t>
        </is>
      </c>
      <c r="F24" s="89" t="inlineStr">
        <is>
          <t>심리(vista)와 판결. Mateo가 승소한다. 취재하던 Inés가 «¿Está orgulloso?»라고 묻는다. 감사인 Sofía는 고객의 장부를 보고 고개를 젓는다.</t>
        </is>
      </c>
      <c r="G24" s="89" t="inlineStr">
        <is>
          <t>소송: demanda, vista, sentencia, costas</t>
        </is>
      </c>
      <c r="H24" s="88" t="inlineStr">
        <is>
          <t>Mateo, Inés, Sofía, 판사(가상)</t>
        </is>
      </c>
      <c r="I24" s="111" t="inlineStr">
        <is>
          <t>E1·P3</t>
        </is>
      </c>
      <c r="J24" s="111">
        <f>턴_설계!$B$5</f>
        <v/>
      </c>
    </row>
    <row r="25" ht="42" customHeight="1" s="81">
      <c r="A25" s="111" t="n">
        <v>2</v>
      </c>
      <c r="B25" s="111" t="n">
        <v>9</v>
      </c>
      <c r="C25" s="113" t="inlineStr">
        <is>
          <t>위기</t>
        </is>
      </c>
      <c r="D25" s="88" t="inlineStr">
        <is>
          <t>Viernes: sigue</t>
        </is>
      </c>
      <c r="E25" s="89" t="inlineStr">
        <is>
          <t>금요일: 계속해</t>
        </is>
      </c>
      <c r="F25" s="88" t="inlineStr">
        <is>
          <t>(프레임) Mateo가 말을 잇지 못하자 Anselmo가 «Cuando yo era embajador…»로 시간을 벌어 주고 Pepa가 «Sigue.»라고 한다. Carmen은 «¿Y ella?»라고 묻는다.</t>
        </is>
      </c>
      <c r="G25" s="89" t="inlineStr">
        <is>
          <t>위로·재촉 표현</t>
        </is>
      </c>
      <c r="H25" s="88" t="inlineStr">
        <is>
          <t>Mateo, Anselmo, Pepa, Carmen</t>
        </is>
      </c>
      <c r="I25" s="111" t="n"/>
      <c r="J25" s="111">
        <f>턴_설계!$B$5</f>
        <v/>
      </c>
    </row>
    <row r="26" ht="29.25" customHeight="1" s="81">
      <c r="A26" s="111" t="n">
        <v>2</v>
      </c>
      <c r="B26" s="111" t="n">
        <v>10</v>
      </c>
      <c r="C26" s="113" t="inlineStr">
        <is>
          <t>절정</t>
        </is>
      </c>
      <c r="D26" s="88" t="inlineStr">
        <is>
          <t>Una cena en Salamanca</t>
        </is>
      </c>
      <c r="E26" s="89" t="inlineStr">
        <is>
          <t>살라망카의 저녁</t>
        </is>
      </c>
      <c r="F26" s="89" t="inlineStr">
        <is>
          <t>승소 축하 만찬. 파트너들이 건배하는 동안 Quintana가 다음 포트폴리오를 건넨다. Mateo의 휴대전화가 울린다.</t>
        </is>
      </c>
      <c r="G26" s="89" t="inlineStr">
        <is>
          <t>고급 식당 표현, 건배·축하</t>
        </is>
      </c>
      <c r="H26" s="88" t="inlineStr">
        <is>
          <t>Mateo, Salvat(가상), Quintana(가상), Sofía</t>
        </is>
      </c>
      <c r="I26" s="111" t="n"/>
      <c r="J26" s="111">
        <f>턴_설계!$B$5</f>
        <v/>
      </c>
    </row>
    <row r="27" ht="29.25" customHeight="1" s="81">
      <c r="A27" s="111" t="n">
        <v>2</v>
      </c>
      <c r="B27" s="111" t="n">
        <v>11</v>
      </c>
      <c r="C27" s="113" t="inlineStr">
        <is>
          <t>절정</t>
        </is>
      </c>
      <c r="D27" s="88" t="inlineStr">
        <is>
          <t>La nieta de Remedios</t>
        </is>
      </c>
      <c r="E27" s="88" t="inlineStr">
        <is>
          <t>Remedios의 손녀</t>
        </is>
      </c>
      <c r="F27" s="88" t="inlineStr">
        <is>
          <t>Remedios가 퇴거 석 달 뒤 세상을 떠났다는 소식. 손녀 Marina(가상)가 사무실로 찾아와 조용히 묻는다: «¿Usted ganó?»</t>
        </is>
      </c>
      <c r="G27" s="89" t="inlineStr">
        <is>
          <t>조의·항의, 문서 vs 사람</t>
        </is>
      </c>
      <c r="H27" s="88" t="inlineStr">
        <is>
          <t>Mateo, Marina(가상)</t>
        </is>
      </c>
      <c r="I27" s="111" t="inlineStr">
        <is>
          <t>E1</t>
        </is>
      </c>
      <c r="J27" s="111">
        <f>턴_설계!$B$5</f>
        <v/>
      </c>
    </row>
    <row r="28" ht="42" customHeight="1" s="81">
      <c r="A28" s="111" t="n">
        <v>2</v>
      </c>
      <c r="B28" s="111" t="n">
        <v>12</v>
      </c>
      <c r="C28" s="113" t="inlineStr">
        <is>
          <t>결말·훅</t>
        </is>
      </c>
      <c r="D28" s="88" t="inlineStr">
        <is>
          <t>Viernes: la renuncia</t>
        </is>
      </c>
      <c r="E28" s="89" t="inlineStr">
        <is>
          <t>금요일: 사직</t>
        </is>
      </c>
      <c r="F28" s="88" t="inlineStr">
        <is>
          <t>(프레임+과거) Mateo가 다음 포트폴리오 서명을 거부하고 사직서를 낸다. 짐 상자를 든 채 응급실 대기실에서 쓰러지고 Javier가 그를 진료한다. Carmen은 여전히 usted를 쓴다.</t>
        </is>
      </c>
      <c r="G28" s="89" t="inlineStr">
        <is>
          <t>사직·거절 표현, 접속법</t>
        </is>
      </c>
      <c r="H28" s="88" t="inlineStr">
        <is>
          <t>Mateo, Javier, Carmen, Pepa</t>
        </is>
      </c>
      <c r="I28" s="111" t="n"/>
      <c r="J28" s="111">
        <f>턴_설계!$B$5</f>
        <v/>
      </c>
    </row>
    <row r="29" ht="42" customHeight="1" s="81">
      <c r="A29" s="111" t="n">
        <v>3</v>
      </c>
      <c r="B29" s="111" t="n">
        <v>1</v>
      </c>
      <c r="C29" s="113" t="inlineStr">
        <is>
          <t>발단</t>
        </is>
      </c>
      <c r="D29" s="88" t="inlineStr">
        <is>
          <t>Viernes: los nombres</t>
        </is>
      </c>
      <c r="E29" s="89" t="inlineStr">
        <is>
          <t>금요일: 이름들</t>
        </is>
      </c>
      <c r="F29" s="88" t="inlineStr">
        <is>
          <t>(프레임) Javier가 «Eso no es una estadística; es una persona.»라며 이야기를 시작한다. Anselmo가 계단을 오르내리다 숨을 고르는 것을 Javier가 흘끗 본다.</t>
        </is>
      </c>
      <c r="G29" s="89" t="inlineStr">
        <is>
          <t>의학 어휘 도입</t>
        </is>
      </c>
      <c r="H29" s="88" t="inlineStr">
        <is>
          <t>Javier, Carmen, Anselmo, Pepa, Cervantes(신규)</t>
        </is>
      </c>
      <c r="I29" s="111" t="n"/>
      <c r="J29" s="111">
        <f>턴_설계!$B$5</f>
        <v/>
      </c>
    </row>
    <row r="30" ht="42" customHeight="1" s="81">
      <c r="A30" s="111" t="n">
        <v>3</v>
      </c>
      <c r="B30" s="111" t="n">
        <v>2</v>
      </c>
      <c r="C30" s="113" t="inlineStr">
        <is>
          <t>발단</t>
        </is>
      </c>
      <c r="D30" s="88" t="inlineStr">
        <is>
          <t>Turno de noche</t>
        </is>
      </c>
      <c r="E30" s="89" t="inlineStr">
        <is>
          <t>야간 근무</t>
        </is>
      </c>
      <c r="F30" s="88" t="inlineStr">
        <is>
          <t>(과거) San Bartolomé 응급실의 야간 근무. 분류(triaje), 병상, 간호사 Marisol(가상)과의 호흡. 가슴 통증으로 실려 온 Mateo를 진료한다.</t>
        </is>
      </c>
      <c r="G30" s="88" t="inlineStr">
        <is>
          <t>triaje, constantes, camilla, box</t>
        </is>
      </c>
      <c r="H30" s="88" t="inlineStr">
        <is>
          <t>Javier, Marisol(가상), Mateo, Lucas(가상), Nacho(가상)</t>
        </is>
      </c>
      <c r="I30" s="111" t="n"/>
      <c r="J30" s="111">
        <f>턴_설계!$B$5</f>
        <v/>
      </c>
    </row>
    <row r="31" ht="29.25" customHeight="1" s="81">
      <c r="A31" s="111" t="n">
        <v>3</v>
      </c>
      <c r="B31" s="111" t="n">
        <v>3</v>
      </c>
      <c r="C31" s="113" t="inlineStr">
        <is>
          <t>발단</t>
        </is>
      </c>
      <c r="D31" s="88" t="inlineStr">
        <is>
          <t>La ola de calor</t>
        </is>
      </c>
      <c r="E31" s="89" t="inlineStr">
        <is>
          <t>폭염</t>
        </is>
      </c>
      <c r="F31" s="89" t="inlineStr">
        <is>
          <t>폭염에 고령 환자가 몰려 응급실이 넘친다. 산소·수액·얼음. Javier는 밤새 환자 이름을 외운다.</t>
        </is>
      </c>
      <c r="G31" s="89" t="inlineStr">
        <is>
          <t>열사병(golpe de calor), 탈수, 고령 환자</t>
        </is>
      </c>
      <c r="H31" s="88" t="inlineStr">
        <is>
          <t>Javier, Marisol(가상), Lucas(가상), Nacho(가상), Rosa·Julián·Carmela·Pilar(가상)</t>
        </is>
      </c>
      <c r="I31" s="111" t="inlineStr">
        <is>
          <t>S4·S3</t>
        </is>
      </c>
      <c r="J31" s="111">
        <f>턴_설계!$B$5</f>
        <v/>
      </c>
    </row>
    <row r="32" ht="29.25" customHeight="1" s="81">
      <c r="A32" s="111" t="n">
        <v>3</v>
      </c>
      <c r="B32" s="111" t="n">
        <v>4</v>
      </c>
      <c r="C32" s="113" t="inlineStr">
        <is>
          <t>전개</t>
        </is>
      </c>
      <c r="D32" s="88" t="inlineStr">
        <is>
          <t>Un contrato que no se lee</t>
        </is>
      </c>
      <c r="E32" s="89" t="inlineStr">
        <is>
          <t>읽히지 않는 계약</t>
        </is>
      </c>
      <c r="F32" s="89" t="inlineStr">
        <is>
          <t>병원이 검사·병상 관리를 Meridiano Salud에 외주한다고 발표한다. 원장 회의에서 컨설턴트 Diego가 '효율' 발표를 한다.</t>
        </is>
      </c>
      <c r="G32" s="89" t="inlineStr">
        <is>
          <t>외주(gestión indirecta), 예산, 입찰</t>
        </is>
      </c>
      <c r="H32" s="88" t="inlineStr">
        <is>
          <t>Javier, Diego, 원장(가상), Marisol(가상), Lucas(가상), Nacho(가상), Amparo(가상)</t>
        </is>
      </c>
      <c r="I32" s="111" t="inlineStr">
        <is>
          <t>S3</t>
        </is>
      </c>
      <c r="J32" s="111">
        <f>턴_설계!$B$5</f>
        <v/>
      </c>
    </row>
    <row r="33" ht="42" customHeight="1" s="81">
      <c r="A33" s="111" t="n">
        <v>3</v>
      </c>
      <c r="B33" s="111" t="n">
        <v>5</v>
      </c>
      <c r="C33" s="113" t="inlineStr">
        <is>
          <t>전개</t>
        </is>
      </c>
      <c r="D33" s="88" t="inlineStr">
        <is>
          <t>Viernes: la lista</t>
        </is>
      </c>
      <c r="E33" s="89" t="inlineStr">
        <is>
          <t>금요일: 명단</t>
        </is>
      </c>
      <c r="F33" s="88" t="inlineStr">
        <is>
          <t>(프레임) Carmen이 Javier의 수첩 명단을 본다. Javier는 «He visto cosas peores un martes cualquiera.»로 넘긴다. Anselmo는 발목이 부었냐는 물음에 «Es el calzado.»</t>
        </is>
      </c>
      <c r="G33" s="89" t="inlineStr">
        <is>
          <t>명단·숫자 읽기</t>
        </is>
      </c>
      <c r="H33" s="88" t="inlineStr">
        <is>
          <t>Javier, Carmen, Anselmo, Pepa, Cervantes</t>
        </is>
      </c>
      <c r="I33" s="111" t="n"/>
      <c r="J33" s="111">
        <f>턴_설계!$B$5</f>
        <v/>
      </c>
    </row>
    <row r="34" ht="42" customHeight="1" s="81">
      <c r="A34" s="111" t="n">
        <v>3</v>
      </c>
      <c r="B34" s="111" t="n">
        <v>6</v>
      </c>
      <c r="C34" s="113" t="inlineStr">
        <is>
          <t>미드포인트</t>
        </is>
      </c>
      <c r="D34" s="88" t="inlineStr">
        <is>
          <t>La primera de la lista</t>
        </is>
      </c>
      <c r="E34" s="89" t="inlineStr">
        <is>
          <t>명단의 첫 번째</t>
        </is>
      </c>
      <c r="F34" s="89" t="inlineStr">
        <is>
          <t>서류 없는 20대 여성이 패혈증으로 실려 오지만 병상 배정이 아홉 시간 지연되어 숨진다. 외주 병상관리가 '비용 검토' 중이었다. Javier가 수첩에 첫 이름을 쓴다.</t>
        </is>
      </c>
      <c r="G34" s="89" t="inlineStr">
        <is>
          <t>패혈증(sepsis), 병상 관리, 서류 없는 환자의 접근권(확인)</t>
        </is>
      </c>
      <c r="H34" s="88" t="inlineStr">
        <is>
          <t>Javier, Marisol(가상), Nilda·Teresa(가상), Lucas(가상), 원장(가상)</t>
        </is>
      </c>
      <c r="I34" s="111" t="inlineStr">
        <is>
          <t>S2·S3</t>
        </is>
      </c>
      <c r="J34" s="111">
        <f>턴_설계!$B$5</f>
        <v/>
      </c>
    </row>
    <row r="35" ht="42" customHeight="1" s="81">
      <c r="A35" s="111" t="n">
        <v>3</v>
      </c>
      <c r="B35" s="111" t="n">
        <v>7</v>
      </c>
      <c r="C35" s="113" t="inlineStr">
        <is>
          <t>위기</t>
        </is>
      </c>
      <c r="D35" s="88" t="inlineStr">
        <is>
          <t>Las cifras del director</t>
        </is>
      </c>
      <c r="E35" s="89" t="inlineStr">
        <is>
          <t>원장의 숫자</t>
        </is>
      </c>
      <c r="F35" s="89" t="inlineStr">
        <is>
          <t>원장이 '대기 시간 개선' 통계를 발표한다. 외주 업체의 재무를 자문하는 Sofía가 배석한다. Javier가 내부 사망 사례 보고서를 제출한다.</t>
        </is>
      </c>
      <c r="G35" s="89" t="inlineStr">
        <is>
          <t>통계 읽기, 보고서 어휘</t>
        </is>
      </c>
      <c r="H35" s="88" t="inlineStr">
        <is>
          <t>Javier, 원장(가상), Sofía, Lucas·Marisol(가상)</t>
        </is>
      </c>
      <c r="I35" s="111" t="inlineStr">
        <is>
          <t>P3</t>
        </is>
      </c>
      <c r="J35" s="111">
        <f>턴_설계!$B$5</f>
        <v/>
      </c>
    </row>
    <row r="36" ht="29.25" customHeight="1" s="81">
      <c r="A36" s="111" t="n">
        <v>3</v>
      </c>
      <c r="B36" s="111" t="n">
        <v>8</v>
      </c>
      <c r="C36" s="113" t="inlineStr">
        <is>
          <t>위기</t>
        </is>
      </c>
      <c r="D36" s="88" t="inlineStr">
        <is>
          <t>El expediente</t>
        </is>
      </c>
      <c r="E36" s="89" t="inlineStr">
        <is>
          <t>징계 절차</t>
        </is>
      </c>
      <c r="F36" s="89" t="inlineStr">
        <is>
          <t>보고서 유출 의혹으로 징계 절차가 시작된다. 취재하는 Inés에게 Javier가 «Esto no sale de aquí.»를 듣는다.</t>
        </is>
      </c>
      <c r="G36" s="89" t="inlineStr">
        <is>
          <t>징계(expediente disciplinario), 비밀유지</t>
        </is>
      </c>
      <c r="H36" s="88" t="inlineStr">
        <is>
          <t>Javier, Inés, 원장(가상), Clara(가상), Lucas·Marisol(가상)</t>
        </is>
      </c>
      <c r="I36" s="111" t="inlineStr">
        <is>
          <t>P3</t>
        </is>
      </c>
      <c r="J36" s="111">
        <f>턴_설계!$B$5</f>
        <v/>
      </c>
    </row>
    <row r="37" ht="29.25" customHeight="1" s="81">
      <c r="A37" s="111" t="n">
        <v>3</v>
      </c>
      <c r="B37" s="111" t="n">
        <v>9</v>
      </c>
      <c r="C37" s="113" t="inlineStr">
        <is>
          <t>위기</t>
        </is>
      </c>
      <c r="D37" s="88" t="inlineStr">
        <is>
          <t>Viernes: ¿y cómo te hace sentir?</t>
        </is>
      </c>
      <c r="E37" s="89" t="inlineStr">
        <is>
          <t>금요일: 기분이 어때요?</t>
        </is>
      </c>
      <c r="F37" s="88" t="inlineStr">
        <is>
          <t>(프레임) Lucía가 Javier에게 감정을 되묻는다. Javier는 «Primero, respira.»로 받아친다. Carmen이 Lucía의 화법을 흉내 낸다.</t>
        </is>
      </c>
      <c r="G37" s="89" t="inlineStr">
        <is>
          <t>감정 표현, 되받기 화법</t>
        </is>
      </c>
      <c r="H37" s="88" t="inlineStr">
        <is>
          <t>Javier, Lucía, Carmen, Anselmo, Pepa, Cervantes</t>
        </is>
      </c>
      <c r="I37" s="111" t="n"/>
      <c r="J37" s="111">
        <f>턴_설계!$B$5</f>
        <v/>
      </c>
    </row>
    <row r="38" ht="29.25" customHeight="1" s="81">
      <c r="A38" s="111" t="n">
        <v>3</v>
      </c>
      <c r="B38" s="111" t="n">
        <v>10</v>
      </c>
      <c r="C38" s="113" t="inlineStr">
        <is>
          <t>절정</t>
        </is>
      </c>
      <c r="D38" s="88" t="inlineStr">
        <is>
          <t>Una noche sin camas</t>
        </is>
      </c>
      <c r="E38" s="89" t="inlineStr">
        <is>
          <t>병상 없는 밤</t>
        </is>
      </c>
      <c r="F38" s="89" t="inlineStr">
        <is>
          <t>버스 사고와 폭염이 겹친 밤. 병상이 없어 복도까지 환자가 찬다. Javier가 즉흥으로 일곱 명을 살리고 한 명을 잃는다.</t>
        </is>
      </c>
      <c r="G38" s="89" t="inlineStr">
        <is>
          <t>대량 환자(catástrofe), 우선순위, 명령형</t>
        </is>
      </c>
      <c r="H38" s="88" t="inlineStr">
        <is>
          <t>Javier, Marisol(가상), Nacho(가상), Aurora·Rubén·Sara(가상)</t>
        </is>
      </c>
      <c r="I38" s="111" t="inlineStr">
        <is>
          <t>S4</t>
        </is>
      </c>
      <c r="J38" s="111">
        <f>턴_설계!$B$5</f>
        <v/>
      </c>
    </row>
    <row r="39" ht="29.25" customHeight="1" s="81">
      <c r="A39" s="111" t="n">
        <v>3</v>
      </c>
      <c r="B39" s="111" t="n">
        <v>11</v>
      </c>
      <c r="C39" s="113" t="inlineStr">
        <is>
          <t>절정</t>
        </is>
      </c>
      <c r="D39" s="88" t="inlineStr">
        <is>
          <t>La renuncia del doctor</t>
        </is>
      </c>
      <c r="E39" s="89" t="inlineStr">
        <is>
          <t>의사의 사직</t>
        </is>
      </c>
      <c r="F39" s="89" t="inlineStr">
        <is>
          <t>징계 통보와 마지막 근무. 수첩을 덮고 사직서를 낸다. Marisol이 «Doctor, no se vaya.»</t>
        </is>
      </c>
      <c r="G39" s="89" t="inlineStr">
        <is>
          <t>사직서, 작별</t>
        </is>
      </c>
      <c r="H39" s="88" t="inlineStr">
        <is>
          <t>Javier, Marisol(가상), 원장(가상), Lucas·Nacho(가상)</t>
        </is>
      </c>
      <c r="I39" s="111" t="n"/>
      <c r="J39" s="111">
        <f>턴_설계!$B$5</f>
        <v/>
      </c>
    </row>
    <row r="40" ht="29.25" customHeight="1" s="81">
      <c r="A40" s="111" t="n">
        <v>3</v>
      </c>
      <c r="B40" s="111" t="n">
        <v>12</v>
      </c>
      <c r="C40" s="113" t="inlineStr">
        <is>
          <t>결말·훅</t>
        </is>
      </c>
      <c r="D40" s="88" t="inlineStr">
        <is>
          <t>Viernes: una firma</t>
        </is>
      </c>
      <c r="E40" s="89" t="inlineStr">
        <is>
          <t>금요일: 한 사람의 서명</t>
        </is>
      </c>
      <c r="F40" s="88" t="inlineStr">
        <is>
          <t>(프레임) Javier가 «El informe de auditoría del contrato llevaba una firma.»라고 말한다. Sofía가 조용히 «Mi turno.»</t>
        </is>
      </c>
      <c r="G40" s="89" t="inlineStr">
        <is>
          <t>서명·책임 표현</t>
        </is>
      </c>
      <c r="H40" s="88" t="inlineStr">
        <is>
          <t>Javier, Sofía, Carmen, Anselmo, Pepa, Cervantes</t>
        </is>
      </c>
      <c r="I40" s="111" t="n"/>
      <c r="J40" s="111">
        <f>턴_설계!$B$5</f>
        <v/>
      </c>
    </row>
    <row r="41" ht="29.25" customHeight="1" s="81">
      <c r="A41" s="111" t="n">
        <v>4</v>
      </c>
      <c r="B41" s="111" t="n">
        <v>1</v>
      </c>
      <c r="C41" s="113" t="inlineStr">
        <is>
          <t>발단</t>
        </is>
      </c>
      <c r="D41" s="88" t="inlineStr">
        <is>
          <t>Viernes: yo firmé</t>
        </is>
      </c>
      <c r="E41" s="89" t="inlineStr">
        <is>
          <t>금요일: 내가 서명했다</t>
        </is>
      </c>
      <c r="F41" s="88" t="inlineStr">
        <is>
          <t>(프레임) Sofía가 «A ver los papeles.»를 습관처럼 하다가 «Yo firmé.»라고 시작한다. Carmen이 숫자를 못 읽어 질문한다.</t>
        </is>
      </c>
      <c r="G41" s="89" t="inlineStr">
        <is>
          <t>회계 어휘 도입</t>
        </is>
      </c>
      <c r="H41" s="88" t="inlineStr">
        <is>
          <t>Sofía, Carmen, Javier, Anselmo</t>
        </is>
      </c>
      <c r="I41" s="111" t="n"/>
      <c r="J41" s="111">
        <f>턴_설계!$B$5</f>
        <v/>
      </c>
    </row>
    <row r="42" ht="29.25" customHeight="1" s="81">
      <c r="A42" s="111" t="n">
        <v>4</v>
      </c>
      <c r="B42" s="111" t="n">
        <v>2</v>
      </c>
      <c r="C42" s="113" t="inlineStr">
        <is>
          <t>발단</t>
        </is>
      </c>
      <c r="D42" s="88" t="inlineStr">
        <is>
          <t>Cierre de ejercicio</t>
        </is>
      </c>
      <c r="E42" s="89" t="inlineStr">
        <is>
          <t>결산 마감</t>
        </is>
      </c>
      <c r="F42" s="88" t="inlineStr">
        <is>
          <t>(과거) Ochoa &amp; Ruiz의 결산 감사 마감 주간. 표본추출(muestreo)과 중요성(materialidad). Sofía의 정확성과 냉소.</t>
        </is>
      </c>
      <c r="G42" s="89" t="inlineStr">
        <is>
          <t>감사 절차 어휘</t>
        </is>
      </c>
      <c r="H42" s="88" t="inlineStr">
        <is>
          <t>Sofía, Ochoa(가상), 후배 감사인(가상)</t>
        </is>
      </c>
      <c r="I42" s="111" t="n"/>
      <c r="J42" s="111">
        <f>턴_설계!$B$5</f>
        <v/>
      </c>
    </row>
    <row r="43" ht="29.25" customHeight="1" s="81">
      <c r="A43" s="111" t="n">
        <v>4</v>
      </c>
      <c r="B43" s="111" t="n">
        <v>3</v>
      </c>
      <c r="C43" s="113" t="inlineStr">
        <is>
          <t>발단</t>
        </is>
      </c>
      <c r="D43" s="88" t="inlineStr">
        <is>
          <t>El cliente que paga bien</t>
        </is>
      </c>
      <c r="E43" s="89" t="inlineStr">
        <is>
          <t>돈 잘 주는 고객</t>
        </is>
      </c>
      <c r="F43" s="88" t="inlineStr">
        <is>
          <t>Grupo Meridiano가 회사 수임료의 15%를 차지한다. 독립성과 감사인 순환 규정이 문제가 된다. Ochoa는 '관계'를 강조한다.</t>
        </is>
      </c>
      <c r="G43" s="89" t="inlineStr">
        <is>
          <t>독립성, 수임료 집중, 감사인 순환</t>
        </is>
      </c>
      <c r="H43" s="88" t="inlineStr">
        <is>
          <t>Sofía, Ochoa(가상)</t>
        </is>
      </c>
      <c r="I43" s="111" t="n"/>
      <c r="J43" s="111">
        <f>턴_설계!$B$5</f>
        <v/>
      </c>
    </row>
    <row r="44" ht="29.25" customHeight="1" s="81">
      <c r="A44" s="111" t="n">
        <v>4</v>
      </c>
      <c r="B44" s="111" t="n">
        <v>4</v>
      </c>
      <c r="C44" s="113" t="inlineStr">
        <is>
          <t>전개</t>
        </is>
      </c>
      <c r="D44" s="88" t="inlineStr">
        <is>
          <t>Esto no cuadra</t>
        </is>
      </c>
      <c r="E44" s="89" t="inlineStr">
        <is>
          <t>이건 안 맞아</t>
        </is>
      </c>
      <c r="F44" s="89" t="inlineStr">
        <is>
          <t>특수관계자 대출이 네덜란드 지주회사로 흘러간 흔적. 은행 자료를 보내 준 Gonzalo가 «Sigue el dinero.»</t>
        </is>
      </c>
      <c r="G44" s="89" t="inlineStr">
        <is>
          <t>특수관계자 거래, 조세 회피처</t>
        </is>
      </c>
      <c r="H44" s="88" t="inlineStr">
        <is>
          <t>Sofía, Gonzalo</t>
        </is>
      </c>
      <c r="I44" s="111" t="n"/>
      <c r="J44" s="111">
        <f>턴_설계!$B$5</f>
        <v/>
      </c>
    </row>
    <row r="45" ht="29.25" customHeight="1" s="81">
      <c r="A45" s="111" t="n">
        <v>4</v>
      </c>
      <c r="B45" s="111" t="n">
        <v>5</v>
      </c>
      <c r="C45" s="113" t="inlineStr">
        <is>
          <t>전개</t>
        </is>
      </c>
      <c r="D45" s="88" t="inlineStr">
        <is>
          <t>Viernes: el padre de Sofía</t>
        </is>
      </c>
      <c r="E45" s="89" t="inlineStr">
        <is>
          <t>금요일: Sofía의 아버지</t>
        </is>
      </c>
      <c r="F45" s="88" t="inlineStr">
        <is>
          <t>(프레임) 정직한 장부를 지키다 해고된 아버지 이야기. «Enséñame los números y te diré quién eres.»의 기원.</t>
        </is>
      </c>
      <c r="G45" s="89" t="inlineStr">
        <is>
          <t>가족 이야기, 과거</t>
        </is>
      </c>
      <c r="H45" s="88" t="inlineStr">
        <is>
          <t>Sofía, Carmen, Pepa</t>
        </is>
      </c>
      <c r="I45" s="111" t="n"/>
      <c r="J45" s="111">
        <f>턴_설계!$B$5</f>
        <v/>
      </c>
    </row>
    <row r="46" ht="42" customHeight="1" s="81">
      <c r="A46" s="111" t="n">
        <v>4</v>
      </c>
      <c r="B46" s="111" t="n">
        <v>6</v>
      </c>
      <c r="C46" s="113" t="inlineStr">
        <is>
          <t>미드포인트</t>
        </is>
      </c>
      <c r="D46" s="88" t="inlineStr">
        <is>
          <t>La reunión de socios</t>
        </is>
      </c>
      <c r="E46" s="89" t="inlineStr">
        <is>
          <t>파트너 회의</t>
        </is>
      </c>
      <c r="F46" s="88" t="inlineStr">
        <is>
          <t>Sofía가 '한정 의견(con salvedades)'을 주장하자 파트너들이 승진과 고객 유지를 들어 설득한다. Sofía는 리스크 위원회로 사안을 올린다.</t>
        </is>
      </c>
      <c r="G46" s="89" t="inlineStr">
        <is>
          <t>의견 종류: favorable, con salvedades, desfavorable, denegada</t>
        </is>
      </c>
      <c r="H46" s="88" t="inlineStr">
        <is>
          <t>Sofía, Ochoa(가상), 파트너들</t>
        </is>
      </c>
      <c r="I46" s="111" t="n"/>
      <c r="J46" s="111">
        <f>턴_설계!$B$5</f>
        <v/>
      </c>
    </row>
    <row r="47" ht="29.25" customHeight="1" s="81">
      <c r="A47" s="111" t="n">
        <v>4</v>
      </c>
      <c r="B47" s="111" t="n">
        <v>7</v>
      </c>
      <c r="C47" s="113" t="inlineStr">
        <is>
          <t>위기</t>
        </is>
      </c>
      <c r="D47" s="88" t="inlineStr">
        <is>
          <t>El comité de riesgos</t>
        </is>
      </c>
      <c r="E47" s="89" t="inlineStr">
        <is>
          <t>리스크 위원회</t>
        </is>
      </c>
      <c r="F47" s="88" t="inlineStr">
        <is>
          <t>GM의 변호사 서한이 도착한다(고객 측 변호사는 Mateo의 옛 동료). 위원회는 '증거 불충분'으로 결정한다.</t>
        </is>
      </c>
      <c r="G47" s="89" t="inlineStr">
        <is>
          <t>변호사 서한(carta de abogados), 충분한 증거</t>
        </is>
      </c>
      <c r="H47" s="88" t="inlineStr">
        <is>
          <t>Sofía, 위원회(가상)</t>
        </is>
      </c>
      <c r="I47" s="111" t="inlineStr">
        <is>
          <t>P3</t>
        </is>
      </c>
      <c r="J47" s="111">
        <f>턴_설계!$B$5</f>
        <v/>
      </c>
    </row>
    <row r="48" ht="29.25" customHeight="1" s="81">
      <c r="A48" s="111" t="n">
        <v>4</v>
      </c>
      <c r="B48" s="111" t="n">
        <v>8</v>
      </c>
      <c r="C48" s="113" t="inlineStr">
        <is>
          <t>위기</t>
        </is>
      </c>
      <c r="D48" s="88" t="inlineStr">
        <is>
          <t>Una comida en Salamanca</t>
        </is>
      </c>
      <c r="E48" s="89" t="inlineStr">
        <is>
          <t>살라망카의 점심</t>
        </is>
      </c>
      <c r="F48" s="88" t="inlineStr">
        <is>
          <t>Quintana가 Sofía에게 점심을 산다. 정중한 위협과 제안: 파트너 승진과 개인 컨설팅. 기자 Inés의 전화가 온다.</t>
        </is>
      </c>
      <c r="G48" s="89" t="inlineStr">
        <is>
          <t>완곡한 압박, 접속법 조건</t>
        </is>
      </c>
      <c r="H48" s="88" t="inlineStr">
        <is>
          <t>Sofía, Quintana(가상), Inés</t>
        </is>
      </c>
      <c r="I48" s="111" t="n"/>
      <c r="J48" s="111">
        <f>턴_설계!$B$5</f>
        <v/>
      </c>
    </row>
    <row r="49" ht="42" customHeight="1" s="81">
      <c r="A49" s="111" t="n">
        <v>4</v>
      </c>
      <c r="B49" s="111" t="n">
        <v>9</v>
      </c>
      <c r="C49" s="113" t="inlineStr">
        <is>
          <t>위기</t>
        </is>
      </c>
      <c r="D49" s="88" t="inlineStr">
        <is>
          <t>Viernes: ¿y firmó?</t>
        </is>
      </c>
      <c r="E49" s="89" t="inlineStr">
        <is>
          <t>금요일: 서명했나요?</t>
        </is>
      </c>
      <c r="F49" s="88" t="inlineStr">
        <is>
          <t>(프레임) Carmen이 묻고 Sofía는 «Espera.»라고 한다. Anselmo가 «Todos firmamos algo alguna vez.»라고 말하고 Javier가 눈을 감는다.</t>
        </is>
      </c>
      <c r="G49" s="89" t="inlineStr">
        <is>
          <t>재촉·회피</t>
        </is>
      </c>
      <c r="H49" s="88" t="inlineStr">
        <is>
          <t>Sofía, Carmen, Anselmo, Javier</t>
        </is>
      </c>
      <c r="I49" s="111" t="n"/>
      <c r="J49" s="111">
        <f>턴_설계!$B$5</f>
        <v/>
      </c>
    </row>
    <row r="50" ht="29.25" customHeight="1" s="81">
      <c r="A50" s="111" t="n">
        <v>4</v>
      </c>
      <c r="B50" s="111" t="n">
        <v>10</v>
      </c>
      <c r="C50" s="113" t="inlineStr">
        <is>
          <t>절정</t>
        </is>
      </c>
      <c r="D50" s="88" t="inlineStr">
        <is>
          <t>La firma</t>
        </is>
      </c>
      <c r="E50" s="89" t="inlineStr">
        <is>
          <t>서명</t>
        </is>
      </c>
      <c r="F50" s="88" t="inlineStr">
        <is>
          <t>Sofía가 '적정' 의견서에 서명한다. 서명 후 그녀는 복사본 USB를 챙긴다.</t>
        </is>
      </c>
      <c r="G50" s="89" t="inlineStr">
        <is>
          <t>서명, 의견서, 책임</t>
        </is>
      </c>
      <c r="H50" s="88" t="inlineStr">
        <is>
          <t>Sofía, Ochoa(가상)</t>
        </is>
      </c>
      <c r="I50" s="111" t="n"/>
      <c r="J50" s="111">
        <f>턴_설계!$B$5</f>
        <v/>
      </c>
    </row>
    <row r="51" ht="42" customHeight="1" s="81">
      <c r="A51" s="111" t="n">
        <v>4</v>
      </c>
      <c r="B51" s="111" t="n">
        <v>11</v>
      </c>
      <c r="C51" s="113" t="inlineStr">
        <is>
          <t>절정</t>
        </is>
      </c>
      <c r="D51" s="88" t="inlineStr">
        <is>
          <t>Después de la firma</t>
        </is>
      </c>
      <c r="E51" s="89" t="inlineStr">
        <is>
          <t>서명 이후</t>
        </is>
      </c>
      <c r="F51" s="89" t="inlineStr">
        <is>
          <t>그 의견서로 병원 외주 계약이 확정되고(3부의 계약) 구조조정 컨설팅이 시작된다는 통보를 받는다. Sofía는 사직하고 다시는 서명하지 않겠다고 다짐한다.</t>
        </is>
      </c>
      <c r="G51" s="89" t="inlineStr">
        <is>
          <t>결과·책임, 사직</t>
        </is>
      </c>
      <c r="H51" s="88" t="inlineStr">
        <is>
          <t>Sofía, Ochoa(가상), Diego</t>
        </is>
      </c>
      <c r="I51" s="111" t="n"/>
      <c r="J51" s="111">
        <f>턴_설계!$B$5</f>
        <v/>
      </c>
    </row>
    <row r="52" ht="29.25" customHeight="1" s="81">
      <c r="A52" s="111" t="n">
        <v>4</v>
      </c>
      <c r="B52" s="111" t="n">
        <v>12</v>
      </c>
      <c r="C52" s="113" t="inlineStr">
        <is>
          <t>결말·훅</t>
        </is>
      </c>
      <c r="D52" s="88" t="inlineStr">
        <is>
          <t>Viernes: la lista de Diego</t>
        </is>
      </c>
      <c r="E52" s="89" t="inlineStr">
        <is>
          <t>금요일: Diego의 명단</t>
        </is>
      </c>
      <c r="F52" s="88" t="inlineStr">
        <is>
          <t>(프레임) Sofía가 USB를 꺼내지 않은 채 식탁에 놓고, Diego가 «Yo hacía la lista.»라고 말한다.</t>
        </is>
      </c>
      <c r="G52" s="89" t="inlineStr">
        <is>
          <t>고백</t>
        </is>
      </c>
      <c r="H52" s="88" t="inlineStr">
        <is>
          <t>Sofía, Diego, Carmen, Pepa</t>
        </is>
      </c>
      <c r="I52" s="111" t="n"/>
      <c r="J52" s="111">
        <f>턴_설계!$B$5</f>
        <v/>
      </c>
    </row>
    <row r="53" ht="29.25" customHeight="1" s="81">
      <c r="A53" s="111" t="n">
        <v>5</v>
      </c>
      <c r="B53" s="111" t="n">
        <v>1</v>
      </c>
      <c r="C53" s="113" t="inlineStr">
        <is>
          <t>발단</t>
        </is>
      </c>
      <c r="D53" s="88" t="inlineStr">
        <is>
          <t>Viernes: en una matriz</t>
        </is>
      </c>
      <c r="E53" s="89" t="inlineStr">
        <is>
          <t>금요일: 매트릭스로</t>
        </is>
      </c>
      <c r="F53" s="88" t="inlineStr">
        <is>
          <t>(프레임) Diego가 «Pongámoslo en una matriz.»로 시작하다 Carmen에게 제지당한다.</t>
        </is>
      </c>
      <c r="G53" s="89" t="inlineStr">
        <is>
          <t>경영 어휘 도입, 쉬운 말로 바꾸기</t>
        </is>
      </c>
      <c r="H53" s="88" t="inlineStr">
        <is>
          <t>Diego, Carmen, Anselmo, Pepa</t>
        </is>
      </c>
      <c r="I53" s="111" t="n"/>
      <c r="J53" s="111">
        <f>턴_설계!$B$5</f>
        <v/>
      </c>
    </row>
    <row r="54" ht="29.25" customHeight="1" s="81">
      <c r="A54" s="111" t="n">
        <v>5</v>
      </c>
      <c r="B54" s="111" t="n">
        <v>2</v>
      </c>
      <c r="C54" s="113" t="inlineStr">
        <is>
          <t>발단</t>
        </is>
      </c>
      <c r="D54" s="88" t="inlineStr">
        <is>
          <t>Cenit, planta 32</t>
        </is>
      </c>
      <c r="E54" s="88" t="inlineStr">
        <is>
          <t>Cenit, 32층</t>
        </is>
      </c>
      <c r="F54" s="88" t="inlineStr">
        <is>
          <t>(과거) 컨설팅 회사의 문화: up-or-out, 야근, 영어식 스페인어. Diego의 초고속 승진.</t>
        </is>
      </c>
      <c r="G54" s="88" t="inlineStr">
        <is>
          <t>alinear, escalable, impacto, stakeholders</t>
        </is>
      </c>
      <c r="H54" s="88" t="inlineStr">
        <is>
          <t>Diego, Almudena(가상), Marcos(가상)</t>
        </is>
      </c>
      <c r="I54" s="111" t="n"/>
      <c r="J54" s="111">
        <f>턴_설계!$B$5</f>
        <v/>
      </c>
    </row>
    <row r="55" ht="42" customHeight="1" s="81">
      <c r="A55" s="111" t="n">
        <v>5</v>
      </c>
      <c r="B55" s="111" t="n">
        <v>3</v>
      </c>
      <c r="C55" s="113" t="inlineStr">
        <is>
          <t>발단</t>
        </is>
      </c>
      <c r="D55" s="88" t="inlineStr">
        <is>
          <t>El taller de los Rueda</t>
        </is>
      </c>
      <c r="E55" s="88" t="inlineStr">
        <is>
          <t>Rueda 가족의 공방</t>
        </is>
      </c>
      <c r="F55" s="89" t="inlineStr">
        <is>
          <t>영세 제조업체 컨설팅. Diego의 '규모 키우기' 권고가 현실과 맞지 않아 실패한다. 생산성은 조언이 아니라 구조의 문제임을 처음 본다.</t>
        </is>
      </c>
      <c r="G55" s="89" t="inlineStr">
        <is>
          <t>영세 기업, 생산성, 규모의 경제</t>
        </is>
      </c>
      <c r="H55" s="88" t="inlineStr">
        <is>
          <t>Diego, Julián Rueda(가상), Alba(가상), Mariano(가상)</t>
        </is>
      </c>
      <c r="I55" s="111" t="inlineStr">
        <is>
          <t>E2</t>
        </is>
      </c>
      <c r="J55" s="111">
        <f>턴_설계!$B$5</f>
        <v/>
      </c>
    </row>
    <row r="56" ht="29.25" customHeight="1" s="81">
      <c r="A56" s="111" t="n">
        <v>5</v>
      </c>
      <c r="B56" s="111" t="n">
        <v>4</v>
      </c>
      <c r="C56" s="113" t="inlineStr">
        <is>
          <t>전개</t>
        </is>
      </c>
      <c r="D56" s="88" t="inlineStr">
        <is>
          <t>Proyecto Ícaro</t>
        </is>
      </c>
      <c r="E56" s="89" t="inlineStr">
        <is>
          <t>이카로 프로젝트</t>
        </is>
      </c>
      <c r="F56" s="88" t="inlineStr">
        <is>
          <t>GM(Grupo Meridiano)의 자회사 Meridiano Movilidad(시외버스)가 '12개월 내 비용 18% 절감'을 의뢰한다. 킥오프 회의에서 옛 동기 Marcos가 고객 측으로 재등장하고, 운영 담당 Fermín이 밤에 찾아와 «¿Cuánta gente es un dieciocho por ciento?»라고 묻는다.</t>
        </is>
      </c>
      <c r="G56" s="89" t="inlineStr">
        <is>
          <t>프로젝트 관리, 목표, 절감</t>
        </is>
      </c>
      <c r="H56" s="88" t="inlineStr">
        <is>
          <t>Diego, Almudena Roig(파트너, 가상), Marcos(고객 측, 가상), Ernesto Lastra(GM 재무, 가상), Fermín Robles(운영, 가상), 경비원(단역)</t>
        </is>
      </c>
      <c r="I56" s="111" t="n"/>
      <c r="J56" s="111">
        <f>턴_설계!$B$5</f>
        <v/>
      </c>
    </row>
    <row r="57" ht="29.25" customHeight="1" s="81">
      <c r="A57" s="111" t="n">
        <v>5</v>
      </c>
      <c r="B57" s="111" t="n">
        <v>5</v>
      </c>
      <c r="C57" s="113" t="inlineStr">
        <is>
          <t>전개</t>
        </is>
      </c>
      <c r="D57" s="88" t="inlineStr">
        <is>
          <t>Viernes: un Excel</t>
        </is>
      </c>
      <c r="E57" s="89" t="inlineStr">
        <is>
          <t>금요일: 엑셀 한 장</t>
        </is>
      </c>
      <c r="F57" s="88" t="inlineStr">
        <is>
          <t>(프레임) Diego가 인쇄한 엑셀 한 장을 들고 온다. Sofía는 킥오프에서 인용된 '한정 없는 감사 의견'이 자기 서명이었음을 확인한다. «Yo no despedía gente; movía celdas.» — «¿Y cuántas celdas?» 숫자는 말하지 않고 힌트 'C47'만 남긴다.</t>
        </is>
      </c>
      <c r="G57" s="89" t="inlineStr">
        <is>
          <t>질문·죄책 표현</t>
        </is>
      </c>
      <c r="H57" s="88" t="inlineStr">
        <is>
          <t>Diego, Carmen, Sofía, Pepa</t>
        </is>
      </c>
      <c r="I57" s="111" t="n"/>
      <c r="J57" s="111">
        <f>턴_설계!$B$5</f>
        <v/>
      </c>
    </row>
    <row r="58" ht="29.25" customHeight="1" s="81">
      <c r="A58" s="111" t="n">
        <v>5</v>
      </c>
      <c r="B58" s="111" t="n">
        <v>6</v>
      </c>
      <c r="C58" s="113" t="inlineStr">
        <is>
          <t>미드포인트</t>
        </is>
      </c>
      <c r="D58" s="88" t="inlineStr">
        <is>
          <t>La celda C47</t>
        </is>
      </c>
      <c r="E58" s="88" t="inlineStr">
        <is>
          <t>C47 셀</t>
        </is>
      </c>
      <c r="F58" s="89" t="inlineStr">
        <is>
          <t>모델 v14 완성. 시나리오 A 290명(14%)·B 412명(18.1%)·C 560명(22%). B가 C47에 뜨고 승인된다. 선정 기준 "퇴직 비용 최소"가 사실상 젊은 사람부터 자른다. 어항에서 샴페인. Diego는 Fermín에게 "412"를 썼다 지운다.</t>
        </is>
      </c>
      <c r="G58" s="89" t="inlineStr">
        <is>
          <t>모델, 시나리오, 인원 감축</t>
        </is>
      </c>
      <c r="H58" s="88" t="inlineStr">
        <is>
          <t>Diego, Irene(신입 애널리스트, 가상), Borja(시니어 어소시에이트, 가상), Almudena, Lastra, Marcos</t>
        </is>
      </c>
      <c r="I58" s="111" t="inlineStr">
        <is>
          <t>S1</t>
        </is>
      </c>
      <c r="J58" s="111">
        <f>턴_설계!$B$5</f>
        <v/>
      </c>
    </row>
    <row r="59" ht="29.25" customHeight="1" s="81">
      <c r="A59" s="111" t="n">
        <v>5</v>
      </c>
      <c r="B59" s="111" t="n">
        <v>7</v>
      </c>
      <c r="C59" s="113" t="inlineStr">
        <is>
          <t>위기</t>
        </is>
      </c>
      <c r="D59" s="88" t="inlineStr">
        <is>
          <t>La mesa de negociación</t>
        </is>
      </c>
      <c r="E59" s="89" t="inlineStr">
        <is>
          <t>협상 테이블</t>
        </is>
      </c>
      <c r="F59" s="89" t="inlineStr">
        <is>
          <t>ERE 협의 기간 첫 회의(레가네스 본사). Nieves 첫 등장: «¿Tú eres el del Excel?», «Detrás de cada celda hay una persona.» 노조 4안(희망퇴직 45일치·58세 이상 조기퇴직·재배치·초과근무 분배). Diego가 초과근무 310만 유로=약 67개 자리라고 말해 버린다. 마무리에 Marcos에게 이름 붙은 명단을 부탁.</t>
        </is>
      </c>
      <c r="G59" s="88" t="inlineStr">
        <is>
          <t>ERE, 협의 기간(30일), 노조 대표</t>
        </is>
      </c>
      <c r="H59" s="88" t="inlineStr">
        <is>
          <t>Diego, Nieves, Cristina Llorente(노무, 가상), Fermín, Marcos, Almudena(전화)</t>
        </is>
      </c>
      <c r="I59" s="111" t="inlineStr">
        <is>
          <t>S1</t>
        </is>
      </c>
      <c r="J59" s="111">
        <f>턴_설계!$B$5</f>
        <v/>
      </c>
    </row>
    <row r="60" ht="29.25" customHeight="1" s="81">
      <c r="A60" s="111" t="n">
        <v>5</v>
      </c>
      <c r="B60" s="111" t="n">
        <v>8</v>
      </c>
      <c r="C60" s="113" t="inlineStr">
        <is>
          <t>위기</t>
        </is>
      </c>
      <c r="D60" s="88" t="inlineStr">
        <is>
          <t>El correo equivocado</t>
        </is>
      </c>
      <c r="E60" s="89" t="inlineStr">
        <is>
          <t>잘못 보낸 이메일</t>
        </is>
      </c>
      <c r="F60" s="89" t="inlineStr">
        <is>
          <t>새벽 1시 52분, 이름 붙은 명단+연령 분석(35세 미만 22%→명단 56%, 임시직 100%)이 자동완성으로 Nieves에게 간다. 개인정보 유출(72시간 신고). Diego는 이카로에서 1주 제외, 직원지원프로그램 상담 → Lucía 첫 등장, 번아웃. 첫 이름 «Yolanda». 14일 파업 표결.</t>
        </is>
      </c>
      <c r="G60" s="89" t="inlineStr">
        <is>
          <t>임시 계약, 청년 우선 해고, 죄책감</t>
        </is>
      </c>
      <c r="H60" s="88" t="inlineStr">
        <is>
          <t>Diego, Irene, Almudena, Cristina(전화), Nieves(전화), Lucía</t>
        </is>
      </c>
      <c r="I60" s="111" t="inlineStr">
        <is>
          <t>S1</t>
        </is>
      </c>
      <c r="J60" s="111">
        <f>턴_설계!$B$5</f>
        <v/>
      </c>
    </row>
    <row r="61" ht="29.25" customHeight="1" s="81">
      <c r="A61" s="111" t="n">
        <v>5</v>
      </c>
      <c r="B61" s="111" t="n">
        <v>9</v>
      </c>
      <c r="C61" s="113" t="inlineStr">
        <is>
          <t>위기</t>
        </is>
      </c>
      <c r="D61" s="88" t="inlineStr">
        <is>
          <t>Viernes: cuatrocientos doce</t>
        </is>
      </c>
      <c r="E61" s="89" t="inlineStr">
        <is>
          <t>금요일: 412</t>
        </is>
      </c>
      <c r="F61" s="88" t="inlineStr">
        <is>
          <t>(프레임) 종이를 Carmen에게 맡기고 안 보고 «Cuatrocientos doce.» Carmen이 말을 잃는다. Anselmo «Al menos lo dice sin diapositivas», 세르반테스 «Cada uno es hijo de sus obras». Pepa가 '우리 Nieves', '우리 Lucía'를 알아본다. Carmen: «Seis más que yo.»</t>
        </is>
      </c>
      <c r="G61" s="89" t="inlineStr">
        <is>
          <t>숫자 낭독</t>
        </is>
      </c>
      <c r="H61" s="88" t="inlineStr">
        <is>
          <t>Diego, Carmen, Anselmo, Pepa</t>
        </is>
      </c>
      <c r="I61" s="111" t="n"/>
      <c r="J61" s="111">
        <f>턴_설계!$B$5</f>
        <v/>
      </c>
    </row>
    <row r="62" ht="29.25" customHeight="1" s="81">
      <c r="A62" s="111" t="n">
        <v>5</v>
      </c>
      <c r="B62" s="111" t="n">
        <v>10</v>
      </c>
      <c r="C62" s="113" t="inlineStr">
        <is>
          <t>절정</t>
        </is>
      </c>
      <c r="D62" s="88" t="inlineStr">
        <is>
          <t>La huelga</t>
        </is>
      </c>
      <c r="E62" s="89" t="inlineStr">
        <is>
          <t>파업</t>
        </is>
      </c>
      <c r="F62" s="89" t="inlineStr">
        <is>
          <t>14일 파업. Diego는 관제실 유리창 뒤. Yolanda는 필수 유지 근무. 회사는 영상과 '비밀 유지 위반'으로 Nieves 징계 → 2주 뒤 해고, 업계 블랙리스트(«Mejor que no»). Almudena가 Diego의 진술을 막는다. ERE 합의 345명(다른 두 노조 서명).</t>
        </is>
      </c>
      <c r="G62" s="89" t="inlineStr">
        <is>
          <t>파업권, 해고, 블랙리스트</t>
        </is>
      </c>
      <c r="H62" s="88" t="inlineStr">
        <is>
          <t>Diego, Fermín, Nieves, Yolanda Prieto(가상), Cristina, Almudena(전화)</t>
        </is>
      </c>
      <c r="I62" s="111" t="inlineStr">
        <is>
          <t>S1</t>
        </is>
      </c>
      <c r="J62" s="111">
        <f>턴_설계!$B$5</f>
        <v/>
      </c>
    </row>
    <row r="63" ht="16.5" customHeight="1" s="81">
      <c r="A63" s="111" t="n">
        <v>5</v>
      </c>
      <c r="B63" s="111" t="n">
        <v>11</v>
      </c>
      <c r="C63" s="113" t="inlineStr">
        <is>
          <t>절정</t>
        </is>
      </c>
      <c r="D63" s="88" t="inlineStr">
        <is>
          <t>La última reunión</t>
        </is>
      </c>
      <c r="E63" s="89" t="inlineStr">
        <is>
          <t>마지막 회의</t>
        </is>
      </c>
      <c r="F63" s="89" t="inlineStr">
        <is>
          <t>밤 11시 15분 Yolanda와의 대화(«No me lo diga»). 보너스 회의: 5만 5천 유로, 파트너 추천 조건=이카로 2. Quintana가 직접 와서 제안, Diego는 Fermín의 질문을 되돌리고 거절·사직. Almudena의 냉소 최종 답(바야돌리드 공장 거절 과거). C47 한 장 인쇄, 경비원 «해 있을 때 나가는 걸 처음 봤다».</t>
        </is>
      </c>
      <c r="G63" s="89" t="inlineStr">
        <is>
          <t>보너스, 거절, 사직</t>
        </is>
      </c>
      <c r="H63" s="88" t="inlineStr">
        <is>
          <t>Diego, Yolanda, Fermín, Enrique Mazón(대표 파트너, 가상), Almudena, Quintana, Irene, 경비원</t>
        </is>
      </c>
      <c r="I63" s="111" t="n"/>
      <c r="J63" s="111">
        <f>턴_설계!$B$5</f>
        <v/>
      </c>
    </row>
    <row r="64" ht="29.25" customHeight="1" s="81">
      <c r="A64" s="111" t="n">
        <v>5</v>
      </c>
      <c r="B64" s="111" t="n">
        <v>12</v>
      </c>
      <c r="C64" s="113" t="inlineStr">
        <is>
          <t>결말·훅</t>
        </is>
      </c>
      <c r="D64" s="88" t="inlineStr">
        <is>
          <t>Viernes: un martes en Vallecas</t>
        </is>
      </c>
      <c r="E64" s="89" t="inlineStr">
        <is>
          <t>금요일: 바예카스의 화요일</t>
        </is>
      </c>
      <c r="F64" s="88" t="inlineStr">
        <is>
          <t>(프레임) Yolanda는 345명에 없었다(초과근무 분배 덕분). Carmen이 종이를 돌려준다. 사직 후 1년, Lucía 숙제 수첩, Rueda 공방이 폐업한 걸 보고 옆 문의 초록 포스터(Carmen이 붙인 것)를 발견. Pepa가 네 사람의 도착 이유를 들려주고, 사흘 뒤 계단에서 Nieves와 재회로 6부 예고.</t>
        </is>
      </c>
      <c r="G64" s="89" t="inlineStr">
        <is>
          <t>다음 이야기 예고</t>
        </is>
      </c>
      <c r="H64" s="88" t="inlineStr">
        <is>
          <t>Diego, Carmen, Mateo, Javier, Sofía, Pepa</t>
        </is>
      </c>
      <c r="I64" s="111" t="n"/>
      <c r="J64" s="111">
        <f>턴_설계!$B$5</f>
        <v/>
      </c>
    </row>
    <row r="65" ht="29.25" customHeight="1" s="81">
      <c r="A65" s="111" t="n">
        <v>6</v>
      </c>
      <c r="B65" s="111" t="n">
        <v>1</v>
      </c>
      <c r="C65" s="113" t="inlineStr">
        <is>
          <t>발단</t>
        </is>
      </c>
      <c r="D65" s="88" t="inlineStr">
        <is>
          <t>Un martes en Vallecas</t>
        </is>
      </c>
      <c r="E65" s="89" t="inlineStr">
        <is>
          <t>바예카스의 화요일</t>
        </is>
      </c>
      <c r="F65" s="89" t="inlineStr">
        <is>
          <t>14동 세입자 총회. Carmen·Marina가 문을 연다. Mateo(Marina의 편지), Javier(진료소), Sofía(Fondo Cardinal 이름), Diego(포스터) 순으로 도착. 내용증명의 '전면 리모델링 해지' 조항이 Mateo의 것, 첨부 타당성 검토의 시나리오 셋이 Diego의 템플릿. «Cuatro desconocidos».</t>
        </is>
      </c>
      <c r="G65" s="89" t="inlineStr">
        <is>
          <t>총회 공고, 자기소개</t>
        </is>
      </c>
      <c r="H65" s="88" t="inlineStr">
        <is>
          <t>Mateo, Javier, Sofía, Diego, Marina, Carmen</t>
        </is>
      </c>
      <c r="I65" s="111" t="inlineStr">
        <is>
          <t>E1</t>
        </is>
      </c>
      <c r="J65" s="111">
        <f>턴_설계!$B$5</f>
        <v/>
      </c>
    </row>
    <row r="66" ht="29.25" customHeight="1" s="81">
      <c r="A66" s="111" t="n">
        <v>6</v>
      </c>
      <c r="B66" s="111" t="n">
        <v>2</v>
      </c>
      <c r="C66" s="113" t="inlineStr">
        <is>
          <t>발단</t>
        </is>
      </c>
      <c r="D66" s="88" t="inlineStr">
        <is>
          <t>Cuatro desconocidos</t>
        </is>
      </c>
      <c r="E66" s="89" t="inlineStr">
        <is>
          <t>네 명의 낯선 사람</t>
        </is>
      </c>
      <c r="F66" s="89" t="inlineStr">
        <is>
          <t>계약서 15부를 나눠 읽는다(승계, 최소 5/7년). 회의록에 소속을 적자 Aguirre &amp; Salvat / Ochoa &amp; Ruiz에서 흠칫. Javier가 병원 파란 슬라이드, Sofía가 구조조정 설명을 기억. 건너편 바. 마무리에 Mateo–Sofía가 둘만 있을 때 tú, Carmen이 엿듣는다.</t>
        </is>
      </c>
      <c r="G66" s="89" t="inlineStr">
        <is>
          <t>긴장 대화, usted</t>
        </is>
      </c>
      <c r="H66" s="88" t="inlineStr">
        <is>
          <t>Mateo, Javier, Sofía, Diego, Carmen, Marina</t>
        </is>
      </c>
      <c r="I66" s="111" t="n"/>
      <c r="J66" s="111">
        <f>턴_설계!$B$5</f>
        <v/>
      </c>
    </row>
    <row r="67" ht="29.25" customHeight="1" s="81">
      <c r="A67" s="111" t="n">
        <v>6</v>
      </c>
      <c r="B67" s="111" t="n">
        <v>3</v>
      </c>
      <c r="C67" s="113" t="inlineStr">
        <is>
          <t>발단</t>
        </is>
      </c>
      <c r="D67" s="88" t="inlineStr">
        <is>
          <t>El bloque catorce</t>
        </is>
      </c>
      <c r="E67" s="88" t="inlineStr">
        <is>
          <t>14번 블록</t>
        </is>
      </c>
      <c r="F67" s="89" t="inlineStr">
        <is>
          <t>금요일 건물 순회. Ramón 첫 등장(«Informo»). 진료소 900장, 철문 빈집 넷(6천 유로씩 cash for keys), Carmen 방의 '포르투갈' 곰팡이. 3층 계단에서 Nieves와 재회(5부 12화 대사 그대로), Diego가 모두 앞에서 메일을 고백. 빈집 순서 = '퇴직 비용 최소'. 옥상에서 법원 통지 소문.</t>
        </is>
      </c>
      <c r="G67" s="89" t="inlineStr">
        <is>
          <t>건물·거주 표현</t>
        </is>
      </c>
      <c r="H67" s="88" t="inlineStr">
        <is>
          <t>Mateo, Javier, Sofía, Diego, Ramón, Nieves, Carmen</t>
        </is>
      </c>
      <c r="I67" s="111" t="inlineStr">
        <is>
          <t>E1</t>
        </is>
      </c>
      <c r="J67" s="111">
        <f>턴_설계!$B$5</f>
        <v/>
      </c>
    </row>
    <row r="68" ht="29.25" customHeight="1" s="81">
      <c r="A68" s="111" t="n">
        <v>6</v>
      </c>
      <c r="B68" s="111" t="n">
        <v>4</v>
      </c>
      <c r="C68" s="113" t="inlineStr">
        <is>
          <t>전개</t>
        </is>
      </c>
      <c r="D68" s="88" t="inlineStr">
        <is>
          <t>La noche de la escalera</t>
        </is>
      </c>
      <c r="E68" s="89" t="inlineStr">
        <is>
          <t>계단의 밤</t>
        </is>
      </c>
      <c r="F68" s="89" t="inlineStr">
        <is>
          <t>5층 계단 보초(두 시간씩 세 조). Pepa·Anselmo 첫 등장(Pepa는 월세 두 배로 가게를 잃음). Mateo–Javier 첫 tú(새벽 1시 45분), Javier의 이름 수첩. Sofía 아버지의 해고와 Diego의 412. Anselmo 만리케 인용. 승합차는 오지 않음.</t>
        </is>
      </c>
      <c r="G68" s="89" t="inlineStr">
        <is>
          <t>밤샘 대화, 위로</t>
        </is>
      </c>
      <c r="H68" s="88" t="inlineStr">
        <is>
          <t>Mateo, Javier, Sofía, Diego, Ramón, Pepa, Anselmo</t>
        </is>
      </c>
      <c r="I68" s="111" t="n"/>
      <c r="J68" s="111">
        <f>턴_설계!$B$5</f>
        <v/>
      </c>
    </row>
    <row r="69" ht="29.25" customHeight="1" s="81">
      <c r="A69" s="111" t="n">
        <v>6</v>
      </c>
      <c r="B69" s="111" t="n">
        <v>5</v>
      </c>
      <c r="C69" s="113" t="inlineStr">
        <is>
          <t>전개</t>
        </is>
      </c>
      <c r="D69" s="88" t="inlineStr">
        <is>
          <t>Los papeles de Sofía</t>
        </is>
      </c>
      <c r="E69" s="88" t="inlineStr">
        <is>
          <t>Sofía의 서류</t>
        </is>
      </c>
      <c r="F69" s="88" t="inlineStr">
        <is>
          <t>Sofía가 USB를 연다(Sofía·Mateo·Carmen). 조직도, 메리디아노 살루드→카르디날 홀딩스 4천만 유로 0.5% 대출, 건물 38채, 14동 '퇴거 진행 중'. Sofía의 서명 경위, Mateo 조항의 출처. 내부신고자 보호법. Carmen이 산 바르톨로메·메리디아노 모빌리다드를 잇는다.</t>
        </is>
      </c>
      <c r="G69" s="89" t="inlineStr">
        <is>
          <t>서류 브리핑, 지분 구조</t>
        </is>
      </c>
      <c r="H69" s="88" t="inlineStr">
        <is>
          <t>Sofía, Mateo, Carmen</t>
        </is>
      </c>
      <c r="I69" s="111" t="n"/>
      <c r="J69" s="111">
        <f>턴_설계!$B$5</f>
        <v/>
      </c>
    </row>
    <row r="70" ht="42" customHeight="1" s="81">
      <c r="A70" s="111" t="n">
        <v>6</v>
      </c>
      <c r="B70" s="111" t="n">
        <v>6</v>
      </c>
      <c r="C70" s="113" t="inlineStr">
        <is>
          <t>미드포인트</t>
        </is>
      </c>
      <c r="D70" s="88" t="inlineStr">
        <is>
          <t>Un mismo nombre</t>
        </is>
      </c>
      <c r="E70" s="89" t="inlineStr">
        <is>
          <t>같은 이름</t>
        </is>
      </c>
      <c r="F70" s="88" t="inlineStr">
        <is>
          <t>(미드포인트) 각자 가져온 것: Javier의 편지, Sofía의 USB, Diego의 C47 종이, Mateo의 내용증명. 병상 인센티브·Nilda, Ochoa &amp; Ruiz 인용, 시나리오 템플릿. Carmen이 식탁보에 조직도. «Mi cliente / Mi contrato / Mi informe / Mi plan.» «Lo sabíamos. No queríamos saberlo.»</t>
        </is>
      </c>
      <c r="G70" s="89" t="inlineStr">
        <is>
          <t>책임 표현, 접속법</t>
        </is>
      </c>
      <c r="H70" s="88" t="inlineStr">
        <is>
          <t>Mateo, Javier, Sofía, Diego, Carmen</t>
        </is>
      </c>
      <c r="I70" s="111" t="inlineStr">
        <is>
          <t>E1</t>
        </is>
      </c>
      <c r="J70" s="111">
        <f>턴_설계!$B$5</f>
        <v/>
      </c>
    </row>
    <row r="71" ht="29.25" customHeight="1" s="81">
      <c r="A71" s="111" t="n">
        <v>6</v>
      </c>
      <c r="B71" s="111" t="n">
        <v>7</v>
      </c>
      <c r="C71" s="113" t="inlineStr">
        <is>
          <t>위기</t>
        </is>
      </c>
      <c r="D71" s="88" t="inlineStr">
        <is>
          <t>Reproches</t>
        </is>
      </c>
      <c r="E71" s="89" t="inlineStr">
        <is>
          <t>서로에 대한 비난</t>
        </is>
      </c>
      <c r="F71" s="89" t="inlineStr">
        <is>
          <t>일요일 비난. Javier↔Sofía(«No me tutees para gritarme»), Diego↔Javier, Mateo↔Diego·Sofía. Mateo가 나가고 Javier가 문을 막는다(«서명할래?»). 사과의 연쇄. Marina의 문자: 목요일 9시 1층 C호 Fátima 강제 퇴거(월세 체납, 남편 Karim은 이카로 정비 외주 해고자).</t>
        </is>
      </c>
      <c r="G71" s="89" t="inlineStr">
        <is>
          <t>다툼, 비난·사과</t>
        </is>
      </c>
      <c r="H71" s="88" t="inlineStr">
        <is>
          <t>Mateo, Javier, Sofía, Diego, Carmen</t>
        </is>
      </c>
      <c r="I71" s="111" t="n"/>
      <c r="J71" s="111">
        <f>턴_설계!$B$5</f>
        <v/>
      </c>
    </row>
    <row r="72" ht="42" customHeight="1" s="81">
      <c r="A72" s="111" t="n">
        <v>6</v>
      </c>
      <c r="B72" s="111" t="n">
        <v>8</v>
      </c>
      <c r="C72" s="113" t="inlineStr">
        <is>
          <t>위기</t>
        </is>
      </c>
      <c r="D72" s="88" t="inlineStr">
        <is>
          <t>Hora cero</t>
        </is>
      </c>
      <c r="E72" s="89" t="inlineStr">
        <is>
          <t>영시</t>
        </is>
      </c>
      <c r="F72" s="89" t="inlineStr">
        <is>
          <t>목요일 새벽. Raimundo 첫 등장 → 상업등기 공보에서 카르디날 홀딩스의 단독 관리자가 인베르시오네스 메리디아노임을 확인. Javier–Sofía tú. 소견서 4장(면허번호 누락을 Sofía가 발견). 집행 정지 제도·소규모 임대인 예외. Inés 첫 등장. 9시 «Hora cero».</t>
        </is>
      </c>
      <c r="G72" s="89" t="inlineStr">
        <is>
          <t>가처분(medida cautelar), 진단서</t>
        </is>
      </c>
      <c r="H72" s="88" t="inlineStr">
        <is>
          <t>Mateo, Javier, Sofía, Diego, Ramón, Raimundo, Inés</t>
        </is>
      </c>
      <c r="I72" s="111" t="inlineStr">
        <is>
          <t>E1·S2</t>
        </is>
      </c>
      <c r="J72" s="111">
        <f>턴_설계!$B$5</f>
        <v/>
      </c>
    </row>
    <row r="73" ht="42" customHeight="1" s="81">
      <c r="A73" s="111" t="n">
        <v>6</v>
      </c>
      <c r="B73" s="111" t="n">
        <v>9</v>
      </c>
      <c r="C73" s="113" t="inlineStr">
        <is>
          <t>위기</t>
        </is>
      </c>
      <c r="D73" s="88" t="inlineStr">
        <is>
          <t>La primera suspensión</t>
        </is>
      </c>
      <c r="E73" s="89" t="inlineStr">
        <is>
          <t>첫 정지</t>
        </is>
      </c>
      <c r="F73" s="89" t="inlineStr">
        <is>
          <t>법원이 집행 정지. Lucía(목요일 상담이 계단으로)·Tomás(Raimundo가 보냄) 첫 등장. Fátima 가족(Adam 9·Salma·Yusuf 4). Diego의 고백과 Fátima «오늘 명단을 택할게요». Tomás의 첫 연설 «Hoy nadie se ha ido. Y nadie se va a ir solo.» Javier–Diego tú.</t>
        </is>
      </c>
      <c r="G73" s="89" t="inlineStr">
        <is>
          <t>안도·감사 표현</t>
        </is>
      </c>
      <c r="H73" s="88" t="inlineStr">
        <is>
          <t>Mateo, Javier, Sofía, Diego, Lucía, Tomás, Fátima(가상), Raimundo, Carmen</t>
        </is>
      </c>
      <c r="I73" s="111" t="inlineStr">
        <is>
          <t>S2·E1</t>
        </is>
      </c>
      <c r="J73" s="111">
        <f>턴_설계!$B$5</f>
        <v/>
      </c>
    </row>
    <row r="74" ht="29.25" customHeight="1" s="81">
      <c r="A74" s="111" t="n">
        <v>6</v>
      </c>
      <c r="B74" s="111" t="n">
        <v>10</v>
      </c>
      <c r="C74" s="113" t="inlineStr">
        <is>
          <t>절정</t>
        </is>
      </c>
      <c r="D74" s="88" t="inlineStr">
        <is>
          <t>Un local en Lavapiés</t>
        </is>
      </c>
      <c r="E74" s="89" t="inlineStr">
        <is>
          <t>라바피에스의 가게</t>
        </is>
      </c>
      <c r="F74" s="89" t="inlineStr">
        <is>
          <t>라바피에스 가게+2층 사무실. 소규모 임대인 Eusebio(Pepa 옛 가게 30년 단골)와 협상 1,900→1,300유로+매일 커피+일요일 토르티야, 5년. Gonzalo 첫 등장(보증서·계좌), «Cardinal Holdings가 우리 지점을 거쳐 갔다». Mateo–Diego tú. Sofía의 첫 서명.</t>
        </is>
      </c>
      <c r="G74" s="89" t="inlineStr">
        <is>
          <t>임대 협상, 소규모 임대인</t>
        </is>
      </c>
      <c r="H74" s="88" t="inlineStr">
        <is>
          <t>Mateo, Javier, Sofía, Diego, Pepa, Eusebio Palacios(가상), Gonzalo</t>
        </is>
      </c>
      <c r="I74" s="111" t="inlineStr">
        <is>
          <t>E1</t>
        </is>
      </c>
      <c r="J74" s="111">
        <f>턴_설계!$B$5</f>
        <v/>
      </c>
    </row>
    <row r="75" ht="42" customHeight="1" s="81">
      <c r="A75" s="111" t="n">
        <v>6</v>
      </c>
      <c r="B75" s="111" t="n">
        <v>11</v>
      </c>
      <c r="C75" s="113" t="inlineStr">
        <is>
          <t>절정</t>
        </is>
      </c>
      <c r="D75" s="88" t="inlineStr">
        <is>
          <t>Las reglas de la mesa</t>
        </is>
      </c>
      <c r="E75" s="89" t="inlineStr">
        <is>
          <t>식탁의 규칙</t>
        </is>
      </c>
      <c r="F75" s="89" t="inlineStr">
        <is>
          <t>문짝 테이블 첫 금요일, 14명. 규칙 7개(수임료·다섯 시·금요일 이야기·'오늘은 안 돼'·숫자 아님·서명·면전의 진실·어디서 왔는지 묻지 않음)+각주(매트릭스 금지·청하지 않은 고문). 제비뽑기 순서 Mateo→Javier→Sofía→Diego. Carmen «¿Puedo quedarme?» → 인턴, 월요일부터 usted.</t>
        </is>
      </c>
      <c r="G75" s="89" t="inlineStr">
        <is>
          <t>규칙, 약속 표현</t>
        </is>
      </c>
      <c r="H75" s="89" t="inlineStr">
        <is>
          <t>전원 14명 (Mateo, Javier, Sofía, Diego, Carmen, Pepa, Anselmo, Ramón, Nieves, Raimundo, Inés, Tomás, Lucía, Gonzalo)</t>
        </is>
      </c>
      <c r="I75" s="111" t="inlineStr">
        <is>
          <t>S1</t>
        </is>
      </c>
      <c r="J75" s="111">
        <f>턴_설계!$B$5</f>
        <v/>
      </c>
    </row>
    <row r="76" ht="29.25" customHeight="1" s="81">
      <c r="A76" s="111" t="n">
        <v>6</v>
      </c>
      <c r="B76" s="111" t="n">
        <v>12</v>
      </c>
      <c r="C76" s="113" t="inlineStr">
        <is>
          <t>결말·훅</t>
        </is>
      </c>
      <c r="D76" s="88" t="inlineStr">
        <is>
          <t>El rótulo</t>
        </is>
      </c>
      <c r="E76" s="89" t="inlineStr">
        <is>
          <t>간판</t>
        </is>
      </c>
      <c r="F76" s="89" t="inlineStr">
        <is>
          <t>월요일. Eusebio의 첫 커피, 1994년 마놀로가 칠한 'Casa Pepa' 간판을 다시 건다. 사무소 이름 «El Despacho de Lavapiés», Pepa의 «casa común»(8부 씨앗). 첫 방문객 Karim(정규직), «첫 번째 명단은 용서 못 해요, 두 번째는 고마워요». Sofía–Diego tú. «Mañana, a las cinco.»</t>
        </is>
      </c>
      <c r="G76" s="89" t="inlineStr">
        <is>
          <t>시간 표현, 마무리</t>
        </is>
      </c>
      <c r="H76" s="89" t="inlineStr">
        <is>
          <t>전원 + Eusebio, Karim(가상)</t>
        </is>
      </c>
      <c r="I76" s="111" t="n"/>
      <c r="J76" s="111">
        <f>턴_설계!$B$5</f>
        <v/>
      </c>
    </row>
    <row r="77" ht="42" customHeight="1" s="81">
      <c r="A77" s="111" t="n">
        <v>7</v>
      </c>
      <c r="B77" s="111" t="n">
        <v>1</v>
      </c>
      <c r="C77" s="113" t="inlineStr">
        <is>
          <t>발단</t>
        </is>
      </c>
      <c r="D77" s="88" t="inlineStr">
        <is>
          <t>Un año después</t>
        </is>
      </c>
      <c r="E77" s="88" t="inlineStr">
        <is>
          <t>1년 후</t>
        </is>
      </c>
      <c r="F77" s="89" t="inlineStr">
        <is>
          <t>사무소가 커졌다. Pepa가 팀 이름을 호명하며 역할을 소개한다: Ramón 로지스틱스, Raimundo 출처, Inés 공론화, Lucía 상담, Nieves 현장, Tomás 글, Gonzalo 자금.</t>
        </is>
      </c>
      <c r="G77" s="89" t="inlineStr">
        <is>
          <t>역할·업무 분담</t>
        </is>
      </c>
      <c r="H77" s="89" t="inlineStr">
        <is>
          <t>전원</t>
        </is>
      </c>
      <c r="I77" s="111" t="n"/>
      <c r="J77" s="111" t="n">
        <v>180</v>
      </c>
    </row>
    <row r="78" ht="29.25" customHeight="1" s="81">
      <c r="A78" s="111" t="n">
        <v>7</v>
      </c>
      <c r="B78" s="111" t="n">
        <v>2</v>
      </c>
      <c r="C78" s="113" t="inlineStr">
        <is>
          <t>발단</t>
        </is>
      </c>
      <c r="D78" s="88" t="inlineStr">
        <is>
          <t>La cola en la escalera</t>
        </is>
      </c>
      <c r="E78" s="89" t="inlineStr">
        <is>
          <t>계단 위의 줄</t>
        </is>
      </c>
      <c r="F78" s="89" t="inlineStr">
        <is>
          <t>의뢰인 줄이 계단까지 이어진다. 분류 체계(mesa de entrada)를 세우고 Diego의 매트릭스가 처음으로 쓸모 있어진다.</t>
        </is>
      </c>
      <c r="G78" s="89" t="inlineStr">
        <is>
          <t>접수·분류, 순서</t>
        </is>
      </c>
      <c r="H78" s="88" t="inlineStr">
        <is>
          <t>Diego, Carmen, Ramón, Pepa</t>
        </is>
      </c>
      <c r="I78" s="111" t="inlineStr">
        <is>
          <t>S1·E1</t>
        </is>
      </c>
      <c r="J78" s="111" t="n">
        <v>180</v>
      </c>
    </row>
    <row r="79" ht="42" customHeight="1" s="81">
      <c r="A79" s="111" t="n">
        <v>7</v>
      </c>
      <c r="B79" s="111" t="n">
        <v>3</v>
      </c>
      <c r="C79" s="113" t="inlineStr">
        <is>
          <t>발단</t>
        </is>
      </c>
      <c r="D79" s="88" t="inlineStr">
        <is>
          <t>La ley que castigó a la víctima</t>
        </is>
      </c>
      <c r="E79" s="89" t="inlineStr">
        <is>
          <t>피해자를 벌한 법</t>
        </is>
      </c>
      <c r="F79" s="89" t="inlineStr">
        <is>
          <t>성폭력 피해자 사건. 유리한 신법 소급으로 가해자의 형량이 줄어든 현실에서 Mateo와 Lucía가 피해자를 돕는다. 법을 폐지하자는 쪽과 고치자는 쪽이 사무실 안에서도 갈린다.</t>
        </is>
      </c>
      <c r="G79" s="89" t="inlineStr">
        <is>
          <t>유리한 신법 소급(형법 제2조 2항), consentimiento</t>
        </is>
      </c>
      <c r="H79" s="88" t="inlineStr">
        <is>
          <t>Mateo, Lucía, Sofía, Inés</t>
        </is>
      </c>
      <c r="I79" s="111" t="inlineStr">
        <is>
          <t>N4</t>
        </is>
      </c>
      <c r="J79" s="111" t="n">
        <v>180</v>
      </c>
    </row>
    <row r="80" ht="42" customHeight="1" s="81">
      <c r="A80" s="111" t="n">
        <v>7</v>
      </c>
      <c r="B80" s="111" t="n">
        <v>4</v>
      </c>
      <c r="C80" s="113" t="inlineStr">
        <is>
          <t>전개</t>
        </is>
      </c>
      <c r="D80" s="88" t="inlineStr">
        <is>
          <t>Sin papeles</t>
        </is>
      </c>
      <c r="E80" s="89" t="inlineStr">
        <is>
          <t>서류 없는 사람들</t>
        </is>
      </c>
      <c r="F80" s="88" t="inlineStr">
        <is>
          <t>Fátima의 남편이 체류 자격(arraigo)과 노동 서류 문제를 들고 온다. Nieves는 노동, Javier는 의료 접근을 이야기하고 수용의 한계를 두고 의견이 갈린다.</t>
        </is>
      </c>
      <c r="G80" s="88" t="inlineStr">
        <is>
          <t>arraigo, permiso de residencia</t>
        </is>
      </c>
      <c r="H80" s="88" t="inlineStr">
        <is>
          <t>Mateo, Nieves, Javier, Fátima(가상)</t>
        </is>
      </c>
      <c r="I80" s="111" t="inlineStr">
        <is>
          <t>S2</t>
        </is>
      </c>
      <c r="J80" s="111" t="n">
        <v>180</v>
      </c>
    </row>
    <row r="81" ht="29.25" customHeight="1" s="81">
      <c r="A81" s="111" t="n">
        <v>7</v>
      </c>
      <c r="B81" s="111" t="n">
        <v>5</v>
      </c>
      <c r="C81" s="113" t="inlineStr">
        <is>
          <t>전개</t>
        </is>
      </c>
      <c r="D81" s="88" t="inlineStr">
        <is>
          <t>La denuncia de Gonzalo</t>
        </is>
      </c>
      <c r="E81" s="88" t="inlineStr">
        <is>
          <t>Gonzalo의 제보</t>
        </is>
      </c>
      <c r="F81" s="89" t="inlineStr">
        <is>
          <t>전 은행 지점장이 내부 자료를 들고 나온다. 내부고발자 보호법과 보호 채널을 검토한다.</t>
        </is>
      </c>
      <c r="G81" s="89" t="inlineStr">
        <is>
          <t>내부고발자 보호(Ley 2/2023), canal de denuncias</t>
        </is>
      </c>
      <c r="H81" s="88" t="inlineStr">
        <is>
          <t>Gonzalo, Mateo, Sofía, Inés</t>
        </is>
      </c>
      <c r="I81" s="111" t="inlineStr">
        <is>
          <t>P3</t>
        </is>
      </c>
      <c r="J81" s="111" t="n">
        <v>180</v>
      </c>
    </row>
    <row r="82" ht="29.25" customHeight="1" s="81">
      <c r="A82" s="111" t="n">
        <v>7</v>
      </c>
      <c r="B82" s="111" t="n">
        <v>6</v>
      </c>
      <c r="C82" s="113" t="inlineStr">
        <is>
          <t>미드포인트</t>
        </is>
      </c>
      <c r="D82" s="88" t="inlineStr">
        <is>
          <t>El expediente</t>
        </is>
      </c>
      <c r="E82" s="89" t="inlineStr">
        <is>
          <t>사건 파일</t>
        </is>
      </c>
      <c r="F82" s="88" t="inlineStr">
        <is>
          <t>Sofía·Gonzalo의 자금 경로 + Raimundo의 공개 출처 + Javier의 사망 사례. Mateo가 acusación popular로 querella를 쓴다.</t>
        </is>
      </c>
      <c r="G82" s="88" t="inlineStr">
        <is>
          <t>querella, acusación popular, Fiscalía Anticorrupción</t>
        </is>
      </c>
      <c r="H82" s="88" t="inlineStr">
        <is>
          <t>Mateo, Sofía, Gonzalo, Raimundo, Javier</t>
        </is>
      </c>
      <c r="I82" s="111" t="inlineStr">
        <is>
          <t>P3</t>
        </is>
      </c>
      <c r="J82" s="111" t="n">
        <v>180</v>
      </c>
    </row>
    <row r="83" ht="29.25" customHeight="1" s="81">
      <c r="A83" s="111" t="n">
        <v>7</v>
      </c>
      <c r="B83" s="111" t="n">
        <v>7</v>
      </c>
      <c r="C83" s="113" t="inlineStr">
        <is>
          <t>위기</t>
        </is>
      </c>
      <c r="D83" s="88" t="inlineStr">
        <is>
          <t>Represalias</t>
        </is>
      </c>
      <c r="E83" s="89" t="inlineStr">
        <is>
          <t>보복</t>
        </is>
      </c>
      <c r="F83" s="89" t="inlineStr">
        <is>
          <t>명예훼손 소송이 Inés에게, 위생 점검이 Pepa의 바에 날아온다. 익명의 협박이 이어진다.</t>
        </is>
      </c>
      <c r="G83" s="89" t="inlineStr">
        <is>
          <t>명예훼손, 협박, 보복</t>
        </is>
      </c>
      <c r="H83" s="88" t="inlineStr">
        <is>
          <t>Inés, Pepa, Mateo, Ramón</t>
        </is>
      </c>
      <c r="I83" s="111" t="inlineStr">
        <is>
          <t>P3</t>
        </is>
      </c>
      <c r="J83" s="111" t="n">
        <v>180</v>
      </c>
    </row>
    <row r="84" ht="29.25" customHeight="1" s="81">
      <c r="A84" s="111" t="n">
        <v>7</v>
      </c>
      <c r="B84" s="111" t="n">
        <v>8</v>
      </c>
      <c r="C84" s="113" t="inlineStr">
        <is>
          <t>위기</t>
        </is>
      </c>
      <c r="D84" s="88" t="inlineStr">
        <is>
          <t>El micrófono en la lámpara</t>
        </is>
      </c>
      <c r="E84" s="89" t="inlineStr">
        <is>
          <t>전등 속 마이크</t>
        </is>
      </c>
      <c r="F84" s="88" t="inlineStr">
        <is>
          <t>Raimundo가 Casa Pepa 2층 전등에서 GSM 도청기를 찾아낸다. 되쏘자는 Raimundo와 합법 경로만 쓰자는 Mateo가 충돌하고, 현장을 봉인한 뒤 증거 보존 절차(cadena de custodia)를 밟아 경찰에 신고한다.</t>
        </is>
      </c>
      <c r="G84" s="89" t="inlineStr">
        <is>
          <t>위법 수집 증거, 통신 비밀</t>
        </is>
      </c>
      <c r="H84" s="88" t="inlineStr">
        <is>
          <t>Raimundo, Mateo, Ramón, Pepa, Carmen, Lucía</t>
        </is>
      </c>
      <c r="I84" s="111" t="inlineStr">
        <is>
          <t>P3</t>
        </is>
      </c>
      <c r="J84" s="111" t="n">
        <v>180</v>
      </c>
    </row>
    <row r="85" ht="29.25" customHeight="1" s="81">
      <c r="A85" s="111" t="n">
        <v>7</v>
      </c>
      <c r="B85" s="111" t="n">
        <v>9</v>
      </c>
      <c r="C85" s="113" t="inlineStr">
        <is>
          <t>위기</t>
        </is>
      </c>
      <c r="D85" s="88" t="inlineStr">
        <is>
          <t>La guardia del barrio</t>
        </is>
      </c>
      <c r="E85" s="89" t="inlineStr">
        <is>
          <t>동네의 보초</t>
        </is>
      </c>
      <c r="F85" s="89" t="inlineStr">
        <is>
          <t>도청기 발견 이튿날, Nieves가 이웃 43명의 교대 근무표를 들고 온다. 보초의 법적 한계(신원 확인은 경찰만, 현행범 체포 LECrim 490조)를 정하고, 서류 없는 Bilal의 자리를 찾는다. Tomás는 건물주 Eusebio의 서면 허가로 벽에 첫 문장을 쓴다. 새벽, 후드 쓴 사람이 다시 나타난다.</t>
        </is>
      </c>
      <c r="G85" s="89" t="inlineStr">
        <is>
          <t>연대·조직 표현</t>
        </is>
      </c>
      <c r="H85" s="88" t="inlineStr">
        <is>
          <t>Nieves, Tomás, Pepa, Ramón, Karim, Bilal, Eusebio</t>
        </is>
      </c>
      <c r="I85" s="111" t="n"/>
      <c r="J85" s="111" t="n">
        <v>180</v>
      </c>
    </row>
    <row r="86" ht="29.25" customHeight="1" s="81">
      <c r="A86" s="111" t="n">
        <v>7</v>
      </c>
      <c r="B86" s="111" t="n">
        <v>10</v>
      </c>
      <c r="C86" s="113" t="inlineStr">
        <is>
          <t>절정</t>
        </is>
      </c>
      <c r="D86" s="88" t="inlineStr">
        <is>
          <t>El auto</t>
        </is>
      </c>
      <c r="E86" s="89" t="inlineStr">
        <is>
          <t>법원 결정</t>
        </is>
      </c>
      <c r="F86" s="88" t="inlineStr">
        <is>
          <t>LexNET으로 결정문 도착. Audiencia Nacional 중앙예심법원이 고소를 수리하고 GM 임원 3명(Lastra·Olmedo·Ferrández, 가상)을 피의자로 소환. 시민 소추인에게 10일 안에 보증금 6천 유로 → 동네가 하루 만에 모은다. Inés는 '무죄 추정'을 지켜 기사를 쓴다. 저녁, 국회 공보에 법안 하나.</t>
        </is>
      </c>
      <c r="G86" s="89" t="inlineStr">
        <is>
          <t>결정문(auto), imputación, comparecencia</t>
        </is>
      </c>
      <c r="H86" s="88" t="inlineStr">
        <is>
          <t>Mateo, Sofía, Inés, Gonzalo, Karim</t>
        </is>
      </c>
      <c r="I86" s="111" t="inlineStr">
        <is>
          <t>P3</t>
        </is>
      </c>
      <c r="J86" s="111" t="n">
        <v>180</v>
      </c>
    </row>
    <row r="87" ht="29.25" customHeight="1" s="81">
      <c r="A87" s="111" t="n">
        <v>7</v>
      </c>
      <c r="B87" s="111" t="n">
        <v>11</v>
      </c>
      <c r="C87" s="113" t="inlineStr">
        <is>
          <t>절정</t>
        </is>
      </c>
      <c r="D87" s="88" t="inlineStr">
        <is>
          <t>La ley que viene</t>
        </is>
      </c>
      <c r="E87" s="89" t="inlineStr">
        <is>
          <t>다가오는 법</t>
        </is>
      </c>
      <c r="F87" s="88" t="inlineStr">
        <is>
          <t>시민 소추 제한 조직법안(가상)에 '진행 중인 절차에도 적용' 경과 규정. Anselmo는 반대편의 가장 강한 논거(정치적 괴롭힘)를 내놓고, 사무소는 헌법 124·125조로 맞선다. Diego(숫자)와 Nieves(거리)가 부딪치다 손을 잡는다. Anselmo의 '마지막 겨울'.</t>
        </is>
      </c>
      <c r="G87" s="89" t="inlineStr">
        <is>
          <t>입법 발의, 제한</t>
        </is>
      </c>
      <c r="H87" s="88" t="inlineStr">
        <is>
          <t>Anselmo, Mateo, Diego, Nieves</t>
        </is>
      </c>
      <c r="I87" s="111" t="inlineStr">
        <is>
          <t>P1·P3</t>
        </is>
      </c>
      <c r="J87" s="111" t="n">
        <v>180</v>
      </c>
    </row>
    <row r="88" ht="29.25" customHeight="1" s="81">
      <c r="A88" s="111" t="n">
        <v>7</v>
      </c>
      <c r="B88" s="111" t="n">
        <v>12</v>
      </c>
      <c r="C88" s="113" t="inlineStr">
        <is>
          <t>결말·훅</t>
        </is>
      </c>
      <c r="D88" s="88" t="inlineStr">
        <is>
          <t>Una silla en Sol</t>
        </is>
      </c>
      <c r="E88" s="89" t="inlineStr">
        <is>
          <t>솔의 의자</t>
        </is>
      </c>
      <c r="F88" s="88" t="inlineStr">
        <is>
          <t>하원이 법안 심의 개시를 170:165로 의결(조직법 통과 176표까지 6표 부족). Nieves가 Sol 집회를 제안, Ramón은 '20명 초과' 기준으로 인원을 센다. Picasso의 서명 없는 포스터, Pepa가 식탁 의자를 0km 지점에 놓는다. Mateo: «Tenemos que cambiar la ley.»</t>
        </is>
      </c>
      <c r="G88" s="89" t="inlineStr">
        <is>
          <t>결단, 제안</t>
        </is>
      </c>
      <c r="H88" s="89" t="inlineStr">
        <is>
          <t>전원</t>
        </is>
      </c>
      <c r="I88" s="111" t="inlineStr">
        <is>
          <t>P1</t>
        </is>
      </c>
      <c r="J88" s="111" t="n">
        <v>180</v>
      </c>
    </row>
    <row r="89" ht="29.25" customHeight="1" s="81">
      <c r="A89" s="111" t="n">
        <v>8</v>
      </c>
      <c r="B89" s="111" t="n">
        <v>1</v>
      </c>
      <c r="C89" s="113" t="inlineStr">
        <is>
          <t>발단</t>
        </is>
      </c>
      <c r="D89" s="88" t="inlineStr">
        <is>
          <t>La asamblea en Sol</t>
        </is>
      </c>
      <c r="E89" s="89" t="inlineStr">
        <is>
          <t>솔 광장의 집회</t>
        </is>
      </c>
      <c r="F89" s="89" t="inlineStr">
        <is>
          <t>의뢰인들이 Sol에 모인다. 20명 초과라 정부 대표부에 열흘 전 신고, '목적'란과 주최자 서명을 두고 Mateo·Ramón 실랑이. 의뢰인들이 직접 마이크를 잡고 Mateo가 처음 연설한다.</t>
        </is>
      </c>
      <c r="G89" s="89" t="inlineStr">
        <is>
          <t>집회는 사전 통지(LO 9/1983). Sol은 Comunidad de Madrid 청사(Real Casa de Correos) 앞</t>
        </is>
      </c>
      <c r="H89" s="88" t="inlineStr">
        <is>
          <t>Nieves, Ramón, Mateo, Karim, Ángeles, Yolanda</t>
        </is>
      </c>
      <c r="I89" s="111" t="inlineStr">
        <is>
          <t>E1·S2</t>
        </is>
      </c>
      <c r="J89" s="111" t="n">
        <v>180</v>
      </c>
    </row>
    <row r="90" ht="29.25" customHeight="1" s="81">
      <c r="A90" s="111" t="n">
        <v>8</v>
      </c>
      <c r="B90" s="111" t="n">
        <v>2</v>
      </c>
      <c r="C90" s="113" t="inlineStr">
        <is>
          <t>발단</t>
        </is>
      </c>
      <c r="D90" s="88" t="inlineStr">
        <is>
          <t>Del caso a la ley</t>
        </is>
      </c>
      <c r="E90" s="89" t="inlineStr">
        <is>
          <t>사건에서 법으로</t>
        </is>
      </c>
      <c r="F90" s="88" t="inlineStr">
        <is>
          <t>사건 파일 47권 중 19건에 같은 조항 — 11년 전 Mateo가 Aguirre y Salvat에서 쓴 '공사를 이유로 한 계약 해지'. LAU상 무효인데 왜 통하는가. 세 가지 길 중 ILP 선택, 발의 위원회 구성.</t>
        </is>
      </c>
      <c r="G90" s="89" t="inlineStr">
        <is>
          <t>법을 바꾸는 세 길: 정부 proyecto, 의원 proposición, 시민 입법발의(ILP)</t>
        </is>
      </c>
      <c r="H90" s="88" t="inlineStr">
        <is>
          <t>Mateo, Carmen</t>
        </is>
      </c>
      <c r="I90" s="111" t="n"/>
      <c r="J90" s="111" t="n">
        <v>180</v>
      </c>
    </row>
    <row r="91" ht="16.5" customHeight="1" s="81">
      <c r="A91" s="111" t="n">
        <v>8</v>
      </c>
      <c r="B91" s="111" t="n">
        <v>3</v>
      </c>
      <c r="C91" s="113" t="inlineStr">
        <is>
          <t>발단</t>
        </is>
      </c>
      <c r="D91" s="88" t="inlineStr">
        <is>
          <t>Quinientas mil firmas</t>
        </is>
      </c>
      <c r="E91" s="88" t="inlineStr">
        <is>
          <t>50만 서명</t>
        </is>
      </c>
      <c r="F91" s="88" t="inlineStr">
        <is>
          <t>하원 의장단이 ILP «Ley de volver a casa» 수리 → 9개월 안에 50만 서명. Pepa·Carmen이 fedatarias especiales로 선서. 서명할 수 없는 사람들(Bilal, 17세 Noa, 법적으로 죽은 Picasso). 여름.</t>
        </is>
      </c>
      <c r="G91" s="88" t="inlineStr">
        <is>
          <t>ILP는 서명 50만 (LO 3/1984)</t>
        </is>
      </c>
      <c r="H91" s="88" t="inlineStr">
        <is>
          <t>Pepa, Nieves, Carmen, Karim, Bilal, Noa</t>
        </is>
      </c>
      <c r="I91" s="111" t="inlineStr">
        <is>
          <t>S1·S2</t>
        </is>
      </c>
      <c r="J91" s="111" t="n">
        <v>180</v>
      </c>
    </row>
    <row r="92" ht="29.25" customHeight="1" s="81">
      <c r="A92" s="111" t="n">
        <v>8</v>
      </c>
      <c r="B92" s="111" t="n">
        <v>4</v>
      </c>
      <c r="C92" s="113" t="inlineStr">
        <is>
          <t>전환점</t>
        </is>
      </c>
      <c r="D92" s="88" t="inlineStr">
        <is>
          <t>La toma en consideración</t>
        </is>
      </c>
      <c r="E92" s="89" t="inlineStr">
        <is>
          <t>심의 개시 표결</t>
        </is>
      </c>
      <c r="F92" s="89" t="inlineStr">
        <is>
          <t>54만 서명. 심의 개시 표결 찬성 78, 반대 168, 기권 104로 기각. 방청석에선 박수·야유 금지. 반대 측의 가장 강한 논거('이미 무효인 조항').</t>
        </is>
      </c>
      <c r="G92" s="89" t="inlineStr">
        <is>
          <t>큰 정당들이 반대하면 좌초 가능 (헌법 제87조 3항)</t>
        </is>
      </c>
      <c r="H92" s="88" t="inlineStr">
        <is>
          <t>Mateo, Inés, Ángeles, Diego, Carmen</t>
        </is>
      </c>
      <c r="I92" s="111" t="n"/>
      <c r="J92" s="111" t="n">
        <v>180</v>
      </c>
    </row>
    <row r="93" ht="29.25" customHeight="1" s="81">
      <c r="A93" s="111" t="n">
        <v>8</v>
      </c>
      <c r="B93" s="111" t="n">
        <v>5</v>
      </c>
      <c r="C93" s="113" t="inlineStr">
        <is>
          <t>미드포인트</t>
        </is>
      </c>
      <c r="D93" s="88" t="inlineStr">
        <is>
          <t>Nace un partido</t>
        </is>
      </c>
      <c r="E93" s="89" t="inlineStr">
        <is>
          <t>정당의 탄생</t>
        </is>
      </c>
      <c r="F93" s="89" t="inlineStr">
        <is>
          <t>부결 다음 날 다섯 시, Pepa의 «casa común»이 당명이 된다. 공증인 앞 창립 문서 → 내무부 정당 등록부. Picasso는 서명할 수 없고, 기자 Inés는 스스로 서명하지 않는다. Mateo 당 대표.</t>
        </is>
      </c>
      <c r="G93" s="88" t="inlineStr">
        <is>
          <t>acta fundacional + Registro de Partidos Políticos 등록 → 법인격 (LO 6/2002)</t>
        </is>
      </c>
      <c r="H93" s="88" t="inlineStr">
        <is>
          <t>Pepa, Tomás, Mateo, Picasso, Inés</t>
        </is>
      </c>
      <c r="I93" s="111" t="n"/>
      <c r="J93" s="111" t="n">
        <v>180</v>
      </c>
    </row>
    <row r="94" ht="29.25" customHeight="1" s="81">
      <c r="A94" s="111" t="n">
        <v>8</v>
      </c>
      <c r="B94" s="111" t="n">
        <v>6</v>
      </c>
      <c r="C94" s="113" t="inlineStr">
        <is>
          <t>위기</t>
        </is>
      </c>
      <c r="D94" s="88" t="inlineStr">
        <is>
          <t>Los estatutos</t>
        </is>
      </c>
      <c r="E94" s="89" t="inlineStr">
        <is>
          <t>정관</t>
        </is>
      </c>
      <c r="F94" s="89" t="inlineStr">
        <is>
          <t>Diego의 조직도 vs Nieves의 한 장짜리 원칙. 확정: 총회 주권, 집행위 7인(총회 위임), 3/5 소환, 돈은 두 사람 서명, 피의자 처리 규정, 급여 상한(20년 차 버스 기사 수준, 초과분은 당·파업 기금), 임기 2회 제한, 1인 1표 경선. 첫 총회 표결.</t>
        </is>
      </c>
      <c r="G94" s="89" t="inlineStr">
        <is>
          <t>정당 내부 운영은 민주적이어야 함 (헌법 제6조)</t>
        </is>
      </c>
      <c r="H94" s="88" t="inlineStr">
        <is>
          <t>Diego, Nieves, Mateo, Sofía, Karim</t>
        </is>
      </c>
      <c r="I94" s="111" t="inlineStr">
        <is>
          <t>P1</t>
        </is>
      </c>
      <c r="J94" s="111" t="n">
        <v>180</v>
      </c>
    </row>
    <row r="95" ht="29.25" customHeight="1" s="81">
      <c r="A95" s="111" t="n">
        <v>8</v>
      </c>
      <c r="B95" s="111" t="n">
        <v>7</v>
      </c>
      <c r="C95" s="113" t="inlineStr">
        <is>
          <t>위기</t>
        </is>
      </c>
      <c r="D95" s="88" t="inlineStr">
        <is>
          <t>El dinero limpio</t>
        </is>
      </c>
      <c r="E95" s="89" t="inlineStr">
        <is>
          <t>깨끗한 돈</t>
        </is>
      </c>
      <c r="F95" s="89" t="inlineStr">
        <is>
          <t>은행이 KYC를 이유로 계좌를 미룬다 → Gonzalo의 옛 인턴 Lorena(지점장). 정당재정법 규칙(법인·익명 기부 금지, 1인 연 5만 상한) + 자체 상한 3천. Fundación Hogar y Futuro(이사장 Beatriz Olmedo)의 '합법' 거액 제안 거절.</t>
        </is>
      </c>
      <c r="G95" s="89" t="inlineStr">
        <is>
          <t>정당 재정 LO 8/2007, LO 3/2015, Tribunal de Cuentas</t>
        </is>
      </c>
      <c r="H95" s="88" t="inlineStr">
        <is>
          <t>Sofía, Gonzalo, Lorena, Emisario</t>
        </is>
      </c>
      <c r="I95" s="111" t="n"/>
      <c r="J95" s="111" t="n">
        <v>180</v>
      </c>
    </row>
    <row r="96" ht="29.25" customHeight="1" s="81">
      <c r="A96" s="111" t="n">
        <v>8</v>
      </c>
      <c r="B96" s="111" t="n">
        <v>8</v>
      </c>
      <c r="C96" s="113" t="inlineStr">
        <is>
          <t>위기</t>
        </is>
      </c>
      <c r="D96" s="88" t="inlineStr">
        <is>
          <t>Las candidaturas</t>
        </is>
      </c>
      <c r="E96" s="89" t="inlineStr">
        <is>
          <t>후보 명부</t>
        </is>
      </c>
      <c r="F96" s="88" t="inlineStr">
        <is>
          <t>5월 지방·자치 선거 소집. 시의회 1번 Sofía, 2번은 cremallera로 Gonzalo(남), 3번 Milagros. 자치의회 1번 Javier, 2번 Yolanda. Pepa는 57번, Rafa Rueda 41번. Carmen이 후보 67명 수락서를 마감 전 제출.</t>
        </is>
      </c>
      <c r="G96" s="89" t="inlineStr">
        <is>
          <t>폐쇄·봉쇄 명부, 성별 균형(LO 3/2007)</t>
        </is>
      </c>
      <c r="H96" s="88" t="inlineStr">
        <is>
          <t>Sofía, Javier, Carmen, Diego, Nieves, Milagros, Yolanda</t>
        </is>
      </c>
      <c r="I96" s="111" t="inlineStr">
        <is>
          <t>N4·S1</t>
        </is>
      </c>
      <c r="J96" s="111" t="n">
        <v>180</v>
      </c>
    </row>
    <row r="97" ht="29.25" customHeight="1" s="81">
      <c r="A97" s="111" t="n">
        <v>8</v>
      </c>
      <c r="B97" s="111" t="n">
        <v>9</v>
      </c>
      <c r="C97" s="113" t="inlineStr">
        <is>
          <t>위기</t>
        </is>
      </c>
      <c r="D97" s="88" t="inlineStr">
        <is>
          <t>La campaña en los barrios</t>
        </is>
      </c>
      <c r="E97" s="89" t="inlineStr">
        <is>
          <t>골목길 캠페인</t>
        </is>
      </c>
      <c r="F97" s="88" t="inlineStr">
        <is>
          <t>자정의 포스터 붙이기. 무료 게시 공간은 직전 득표 비례라 CC 몫은 최소. 바예카스 14동 가가호호, 날카로운 반론. 선거권 없는 Bilal은 손을 보탠다. Tomás의 첫 자기 이름 연설.</t>
        </is>
      </c>
      <c r="G97" s="89" t="inlineStr">
        <is>
          <t>공식 캠페인 기간, Junta Electoral 감독</t>
        </is>
      </c>
      <c r="H97" s="88" t="inlineStr">
        <is>
          <t>Tomás, Pepa, Ramón, Marina, Bilal</t>
        </is>
      </c>
      <c r="I97" s="111" t="inlineStr">
        <is>
          <t>E1·E2·S2</t>
        </is>
      </c>
      <c r="J97" s="111" t="n">
        <v>180</v>
      </c>
    </row>
    <row r="98" ht="16.5" customHeight="1" s="81">
      <c r="A98" s="111" t="n">
        <v>8</v>
      </c>
      <c r="B98" s="111" t="n">
        <v>10</v>
      </c>
      <c r="C98" s="113" t="inlineStr">
        <is>
          <t>절정</t>
        </is>
      </c>
      <c r="D98" s="88" t="inlineStr">
        <is>
          <t>El ataque de la prensa</t>
        </is>
      </c>
      <c r="E98" s="89" t="inlineStr">
        <is>
          <t>언론의 공격</t>
        </is>
      </c>
      <c r="F98" s="89" t="inlineStr">
        <is>
          <t>선거 엿새 전 1면 «2번 후보, 은행에서 비리로 해고». 반박 성명 대신 정정보도 청구(LO 2/1984: 사실만, 7일 안, 3일 안 게재). Gonzalo가 딸 Laura(간호사)에게 내부 고발 이야기를 한다.</t>
        </is>
      </c>
      <c r="G98" s="89" t="inlineStr">
        <is>
          <t>정정권(LO 2/1984), Junta Electoral 제소</t>
        </is>
      </c>
      <c r="H98" s="88" t="inlineStr">
        <is>
          <t>Inés, Mateo, Gonzalo, Laura</t>
        </is>
      </c>
      <c r="I98" s="111" t="n"/>
      <c r="J98" s="111" t="n">
        <v>180</v>
      </c>
    </row>
    <row r="99" ht="29.25" customHeight="1" s="81">
      <c r="A99" s="111" t="n">
        <v>8</v>
      </c>
      <c r="B99" s="111" t="n">
        <v>11</v>
      </c>
      <c r="C99" s="113" t="inlineStr">
        <is>
          <t>절정</t>
        </is>
      </c>
      <c r="D99" s="88" t="inlineStr">
        <is>
          <t>La jornada de reflexión</t>
        </is>
      </c>
      <c r="E99" s="89" t="inlineStr">
        <is>
          <t>숙고의 날</t>
        </is>
      </c>
      <c r="F99" s="89" t="inlineStr">
        <is>
          <t>숙고의 날. Diego의 마지막 영상 유혹, 공표 못 하는 내부 조사(9% — 5% 문턱까지 떨어질 수도). 추첨으로 투표소 사무원이 된 Carmen의 '중립'. Lucía의 질문이 처음으로 위로가 된다.</t>
        </is>
      </c>
      <c r="G99" s="89" t="inlineStr">
        <is>
          <t>선거 전날 선거운동 금지, 마지막 5일 여론조사 공표 금지 (LOREG)</t>
        </is>
      </c>
      <c r="H99" s="88" t="inlineStr">
        <is>
          <t>Lucía, Diego, Carmen</t>
        </is>
      </c>
      <c r="I99" s="111" t="n"/>
      <c r="J99" s="111" t="n">
        <v>180</v>
      </c>
    </row>
    <row r="100" ht="29.25" customHeight="1" s="81">
      <c r="A100" s="111" t="n">
        <v>8</v>
      </c>
      <c r="B100" s="111" t="n">
        <v>12</v>
      </c>
      <c r="C100" s="113" t="inlineStr">
        <is>
          <t>결말·훅</t>
        </is>
      </c>
      <c r="D100" s="88" t="inlineStr">
        <is>
          <t>La noche de las urnas</t>
        </is>
      </c>
      <c r="E100" s="89" t="inlineStr">
        <is>
          <t>개표의 밤</t>
        </is>
      </c>
      <c r="F100" s="89" t="inlineStr">
        <is>
          <t>Carmen은 투표소 사무원(전화로만 합류). 시의회 57석: UCN 23·PPS 19·CC 9(14.8%)·HU 5·Plataforma Vecinal 1, 자치의회 CC 11석(가상). 과반 29 없음 → 알칼데는 다른 당 몫.</t>
        </is>
      </c>
      <c r="G100" s="89" t="inlineStr">
        <is>
          <t>문턱 5%, 시의회 과반 29석</t>
        </is>
      </c>
      <c r="H100" s="89" t="inlineStr">
        <is>
          <t>전원, Bilal, Yolanda</t>
        </is>
      </c>
      <c r="I100" s="111" t="n"/>
      <c r="J100" s="111" t="n">
        <v>180</v>
      </c>
    </row>
    <row r="101" ht="29.25" customHeight="1" s="81">
      <c r="A101" s="111" t="n">
        <v>9</v>
      </c>
      <c r="B101" s="111" t="n">
        <v>1</v>
      </c>
      <c r="C101" s="113" t="inlineStr">
        <is>
          <t>발단</t>
        </is>
      </c>
      <c r="D101" s="88" t="inlineStr">
        <is>
          <t>La constitución de la Corporación</t>
        </is>
      </c>
      <c r="E101" s="89" t="inlineStr">
        <is>
          <t>시의회 개원</t>
        </is>
      </c>
      <c r="F101" s="88" t="inlineStr">
        <is>
          <t>개원 전날 밤 PPS가 제안: PPS 19+CC 9+PV 1=29로 Marta Iriarte 알칼데, 대가로 Sofía 주거 부시장 + 조례 1년 유예. 당원 긴급 투표 84% 거부. 연령 의장단(73세 UCN 의원 + 최연소 Iker 24세), 선서, 비밀투표 UCN 28·Iriarte 19·Sofía 9·백지 1 → LOREG 196으로 UCN 명부 1번 알칼데. Sofía가 제안을 공개하고 조례 등록.</t>
        </is>
      </c>
      <c r="G101" s="89" t="inlineStr">
        <is>
          <t>알칼데: 과반 29표 또는 최다득표 명부 1번 (LOREG 제196조)</t>
        </is>
      </c>
      <c r="H101" s="88" t="inlineStr">
        <is>
          <t>Sofía, Mateo, Carmen, Gonzalo, Milagros, Iker, Diego, Nieves, Negociadora(PPS), Secretario</t>
        </is>
      </c>
      <c r="I101" s="111" t="n"/>
      <c r="J101" s="111" t="n">
        <v>180</v>
      </c>
    </row>
    <row r="102" ht="29.25" customHeight="1" s="81">
      <c r="A102" s="111" t="n">
        <v>9</v>
      </c>
      <c r="B102" s="111" t="n">
        <v>2</v>
      </c>
      <c r="C102" s="113" t="inlineStr">
        <is>
          <t>발단</t>
        </is>
      </c>
      <c r="D102" s="88" t="inlineStr">
        <is>
          <t>El primer Pleno</t>
        </is>
      </c>
      <c r="E102" s="89" t="inlineStr">
        <is>
          <t>첫 본회의</t>
        </is>
      </c>
      <c r="F102" s="89" t="inlineStr">
        <is>
          <t>발언 시간, 질문·동의안 절차를 배우는 신참 의원들. Carmen의 질문 연발.</t>
        </is>
      </c>
      <c r="G102" s="88" t="inlineStr">
        <is>
          <t>Pleno 운영: moción, ruegos y preguntas</t>
        </is>
      </c>
      <c r="H102" s="88" t="inlineStr">
        <is>
          <t>Sofía, Carmen</t>
        </is>
      </c>
      <c r="I102" s="111" t="n"/>
      <c r="J102" s="111" t="n">
        <v>180</v>
      </c>
    </row>
    <row r="103" ht="29.25" customHeight="1" s="81">
      <c r="A103" s="111" t="n">
        <v>9</v>
      </c>
      <c r="B103" s="111" t="n">
        <v>3</v>
      </c>
      <c r="C103" s="113" t="inlineStr">
        <is>
          <t>발단</t>
        </is>
      </c>
      <c r="D103" s="88" t="inlineStr">
        <is>
          <t>La auditoría de la ciudad</t>
        </is>
      </c>
      <c r="E103" s="89" t="inlineStr">
        <is>
          <t>도시 예산 감사</t>
        </is>
      </c>
      <c r="F103" s="88" t="inlineStr">
        <is>
          <t>Sofía가 시 예산과 결산(Cuenta General)을 파고들고 Gonzalo가 계좌 흐름을 그린다.</t>
        </is>
      </c>
      <c r="G103" s="88" t="inlineStr">
        <is>
          <t>Cuenta General, Intervención, Tribunal de Cuentas</t>
        </is>
      </c>
      <c r="H103" s="88" t="inlineStr">
        <is>
          <t>Sofía, Gonzalo</t>
        </is>
      </c>
      <c r="I103" s="111" t="n"/>
      <c r="J103" s="111" t="n">
        <v>180</v>
      </c>
    </row>
    <row r="104" ht="29.25" customHeight="1" s="81">
      <c r="A104" s="111" t="n">
        <v>9</v>
      </c>
      <c r="B104" s="111" t="n">
        <v>4</v>
      </c>
      <c r="C104" s="113" t="inlineStr">
        <is>
          <t>전개</t>
        </is>
      </c>
      <c r="D104" s="88" t="inlineStr">
        <is>
          <t>Contratos bajo la lupa</t>
        </is>
      </c>
      <c r="E104" s="89" t="inlineStr">
        <is>
          <t>돋보기 아래의 계약들</t>
        </is>
      </c>
      <c r="F104" s="89" t="inlineStr">
        <is>
          <t>주택 공기업(EMVS)의 계약 쪼개기와, 회복기금 사업이 소수 업체로 흘러간 정황. 행정 병목 때문에 일부는 집행조차 못 했다.</t>
        </is>
      </c>
      <c r="G104" s="89" t="inlineStr">
        <is>
          <t>공공계약법(Ley 9/2017), fraccionamiento, 회복기금 PRTR</t>
        </is>
      </c>
      <c r="H104" s="88" t="inlineStr">
        <is>
          <t>Sofía, Raimundo, Gonzalo</t>
        </is>
      </c>
      <c r="I104" s="111" t="inlineStr">
        <is>
          <t>N2</t>
        </is>
      </c>
      <c r="J104" s="111" t="n">
        <v>180</v>
      </c>
    </row>
    <row r="105" ht="29.25" customHeight="1" s="81">
      <c r="A105" s="111" t="n">
        <v>9</v>
      </c>
      <c r="B105" s="111" t="n">
        <v>5</v>
      </c>
      <c r="C105" s="113" t="inlineStr">
        <is>
          <t>전개</t>
        </is>
      </c>
      <c r="D105" s="88" t="inlineStr">
        <is>
          <t>La alianza incómoda</t>
        </is>
      </c>
      <c r="E105" s="89" t="inlineStr">
        <is>
          <t>불편한 동맹</t>
        </is>
      </c>
      <c r="F105" s="89" t="inlineStr">
        <is>
          <t>예산 통과를 위해 양대 정당 중 한 곳과 표를 맞바꿔야 하는 딜레마. Nieves 반대.</t>
        </is>
      </c>
      <c r="G105" s="89" t="inlineStr">
        <is>
          <t>소수 의원단의 캐스팅보트, 예산안 표결</t>
        </is>
      </c>
      <c r="H105" s="88" t="inlineStr">
        <is>
          <t>Diego, Nieves</t>
        </is>
      </c>
      <c r="I105" s="111" t="inlineStr">
        <is>
          <t>P1</t>
        </is>
      </c>
      <c r="J105" s="111" t="n">
        <v>180</v>
      </c>
    </row>
    <row r="106" ht="42" customHeight="1" s="81">
      <c r="A106" s="111" t="n">
        <v>9</v>
      </c>
      <c r="B106" s="111" t="n">
        <v>6</v>
      </c>
      <c r="C106" s="113" t="inlineStr">
        <is>
          <t>미드포인트</t>
        </is>
      </c>
      <c r="D106" s="88" t="inlineStr">
        <is>
          <t>La trampa del presupuesto</t>
        </is>
      </c>
      <c r="E106" s="89" t="inlineStr">
        <is>
          <t>예산의 덫</t>
        </is>
      </c>
      <c r="F106" s="89" t="inlineStr">
        <is>
          <t>예산 집행 규정(bases de ejecución)에 숨은 임대 보조 20% 삭감과 관광 아파트 인허가 완화 조항. Carmen의 2차 폭발. Anselmo가 선을 넘고 Ramón·Pepa이 나무란다.</t>
        </is>
      </c>
      <c r="G106" s="88" t="inlineStr">
        <is>
          <t>Bases de ejecución, Comisión de Hacienda, 도시계획 인허가</t>
        </is>
      </c>
      <c r="H106" s="88" t="inlineStr">
        <is>
          <t>Carmen, Sofía, Anselmo, Ramón, Pepa</t>
        </is>
      </c>
      <c r="I106" s="111" t="inlineStr">
        <is>
          <t>E1</t>
        </is>
      </c>
      <c r="J106" s="111" t="n">
        <v>180</v>
      </c>
    </row>
    <row r="107" ht="29.25" customHeight="1" s="81">
      <c r="A107" s="111" t="n">
        <v>9</v>
      </c>
      <c r="B107" s="111" t="n">
        <v>7</v>
      </c>
      <c r="C107" s="113" t="inlineStr">
        <is>
          <t>위기</t>
        </is>
      </c>
      <c r="D107" s="88" t="inlineStr">
        <is>
          <t>Sanidad en la Asamblea</t>
        </is>
      </c>
      <c r="E107" s="89" t="inlineStr">
        <is>
          <t>자치의회에서의 보건</t>
        </is>
      </c>
      <c r="F107" s="89" t="inlineStr">
        <is>
          <t>농촌 진료소가 문을 닫고 고령 인구가 늘어난다. Javier가 자치의회 보건 위원회에서 병원 외주 계약 자료를 요구한다.</t>
        </is>
      </c>
      <c r="G107" s="89" t="inlineStr">
        <is>
          <t>보건은 자치주 권한(SERMAS), Asamblea de Madrid</t>
        </is>
      </c>
      <c r="H107" s="88" t="inlineStr">
        <is>
          <t>Javier, Inés</t>
        </is>
      </c>
      <c r="I107" s="111" t="inlineStr">
        <is>
          <t>S3</t>
        </is>
      </c>
      <c r="J107" s="111" t="n">
        <v>180</v>
      </c>
    </row>
    <row r="108" ht="29.25" customHeight="1" s="81">
      <c r="A108" s="111" t="n">
        <v>9</v>
      </c>
      <c r="B108" s="111" t="n">
        <v>8</v>
      </c>
      <c r="C108" s="113" t="inlineStr">
        <is>
          <t>위기</t>
        </is>
      </c>
      <c r="D108" s="88" t="inlineStr">
        <is>
          <t>El escándalo destapado</t>
        </is>
      </c>
      <c r="E108" s="89" t="inlineStr">
        <is>
          <t>파헤쳐진 스캔들</t>
        </is>
      </c>
      <c r="F108" s="89" t="inlineStr">
        <is>
          <t>외주 계약과 시 계약이 한 회사로 이어진다. Raimundo가 출처를 가리키고 Mateo는 합법 증거만 쓰자고 고집한다.</t>
        </is>
      </c>
      <c r="G108" s="89" t="inlineStr">
        <is>
          <t>위법 수집 증거(LOPJ 11.1), 내부고발자 보호(Ley 2/2023)</t>
        </is>
      </c>
      <c r="H108" s="88" t="inlineStr">
        <is>
          <t>Raimundo, Mateo, Gonzalo</t>
        </is>
      </c>
      <c r="I108" s="111" t="n"/>
      <c r="J108" s="111" t="n">
        <v>180</v>
      </c>
    </row>
    <row r="109" ht="29.25" customHeight="1" s="81">
      <c r="A109" s="111" t="n">
        <v>9</v>
      </c>
      <c r="B109" s="111" t="n">
        <v>9</v>
      </c>
      <c r="C109" s="113" t="inlineStr">
        <is>
          <t>위기</t>
        </is>
      </c>
      <c r="D109" s="88" t="inlineStr">
        <is>
          <t>La querella</t>
        </is>
      </c>
      <c r="E109" s="89" t="inlineStr">
        <is>
          <t>고소장</t>
        </is>
      </c>
      <c r="F109" s="89" t="inlineStr">
        <is>
          <t>사무소가 acusación popular로 querella를 제기. Fiscalía Anticorrupción.</t>
        </is>
      </c>
      <c r="G109" s="89" t="inlineStr">
        <is>
          <t>공익 소추(헌법 제125조), Audiencia Nacional</t>
        </is>
      </c>
      <c r="H109" s="88" t="inlineStr">
        <is>
          <t>Mateo, Inés</t>
        </is>
      </c>
      <c r="I109" s="111" t="inlineStr">
        <is>
          <t>P3</t>
        </is>
      </c>
      <c r="J109" s="111" t="n">
        <v>180</v>
      </c>
    </row>
    <row r="110" ht="29.25" customHeight="1" s="81">
      <c r="A110" s="111" t="n">
        <v>9</v>
      </c>
      <c r="B110" s="111" t="n">
        <v>10</v>
      </c>
      <c r="C110" s="113" t="inlineStr">
        <is>
          <t>절정</t>
        </is>
      </c>
      <c r="D110" s="88" t="inlineStr">
        <is>
          <t>La respuesta del poder</t>
        </is>
      </c>
      <c r="E110" s="89" t="inlineStr">
        <is>
          <t>권력의 반격</t>
        </is>
      </c>
      <c r="F110" s="89" t="inlineStr">
        <is>
          <t>명예훼손 소송과 여론전. Lucía와 Tomás가 대응 메시지를 설계한다.</t>
        </is>
      </c>
      <c r="G110" s="89" t="inlineStr">
        <is>
          <t>명예훼손 소송, 정정권</t>
        </is>
      </c>
      <c r="H110" s="88" t="inlineStr">
        <is>
          <t>Tomás, Lucía</t>
        </is>
      </c>
      <c r="I110" s="111" t="n"/>
      <c r="J110" s="111" t="n">
        <v>180</v>
      </c>
    </row>
    <row r="111" ht="16.5" customHeight="1" s="81">
      <c r="A111" s="111" t="n">
        <v>9</v>
      </c>
      <c r="B111" s="111" t="n">
        <v>11</v>
      </c>
      <c r="C111" s="113" t="inlineStr">
        <is>
          <t>절정</t>
        </is>
      </c>
      <c r="D111" s="88" t="inlineStr">
        <is>
          <t>La lealtad a prueba</t>
        </is>
      </c>
      <c r="E111" s="89" t="inlineStr">
        <is>
          <t>시험대에 오른 의리</t>
        </is>
      </c>
      <c r="F111" s="89" t="inlineStr">
        <is>
          <t>총선에 누가 나설지 당내 경선. 서운함과 화해.</t>
        </is>
      </c>
      <c r="G111" s="89" t="inlineStr">
        <is>
          <t>당내 경선, 정관</t>
        </is>
      </c>
      <c r="H111" s="88" t="inlineStr">
        <is>
          <t>Diego, Nieves, Sofía</t>
        </is>
      </c>
      <c r="I111" s="111" t="n"/>
      <c r="J111" s="111" t="n">
        <v>180</v>
      </c>
    </row>
    <row r="112" ht="29.25" customHeight="1" s="81">
      <c r="A112" s="111" t="n">
        <v>9</v>
      </c>
      <c r="B112" s="111" t="n">
        <v>12</v>
      </c>
      <c r="C112" s="113" t="inlineStr">
        <is>
          <t>결말·훅</t>
        </is>
      </c>
      <c r="D112" s="88" t="inlineStr">
        <is>
          <t>El salto a las Cortes</t>
        </is>
      </c>
      <c r="E112" s="89" t="inlineStr">
        <is>
          <t>국정으로의 도약</t>
        </is>
      </c>
      <c r="F112" s="89" t="inlineStr">
        <is>
          <t>예산 부결로 총리가 조기 총선을 소집한다. Casa Común은 서명(avales) 수집부터 시작.</t>
        </is>
      </c>
      <c r="G112" s="89" t="inlineStr">
        <is>
          <t>해산(art. 115), 직전 총선 무의석 정당은 선거구 유권자 0.1% 서명 (LOREG 169.3)</t>
        </is>
      </c>
      <c r="H112" s="88" t="inlineStr">
        <is>
          <t>Mateo, Diego, Ramón</t>
        </is>
      </c>
      <c r="I112" s="111" t="n"/>
      <c r="J112" s="111" t="n">
        <v>180</v>
      </c>
    </row>
    <row r="113" ht="29.25" customHeight="1" s="81">
      <c r="A113" s="111" t="n">
        <v>10</v>
      </c>
      <c r="B113" s="111" t="n">
        <v>1</v>
      </c>
      <c r="C113" s="113" t="inlineStr">
        <is>
          <t>발단</t>
        </is>
      </c>
      <c r="D113" s="88" t="inlineStr">
        <is>
          <t>El decreto y las firmas</t>
        </is>
      </c>
      <c r="E113" s="89" t="inlineStr">
        <is>
          <t>해산 칙령과 서명</t>
        </is>
      </c>
      <c r="F113" s="89" t="inlineStr">
        <is>
          <t>해산 칙령이 BOE에 실리고 소집 후 54일째 선거. 마드리드 선거구 서명을 모은다.</t>
        </is>
      </c>
      <c r="G113" s="89" t="inlineStr">
        <is>
          <t>해산(art. 115), 54일(LOREG), 서명 0.1% (LOREG 169.3)</t>
        </is>
      </c>
      <c r="H113" s="88" t="inlineStr">
        <is>
          <t>Diego, Ramón, Pepa</t>
        </is>
      </c>
      <c r="I113" s="111" t="n"/>
      <c r="J113" s="111">
        <f>턴_설계!$B$5</f>
        <v/>
      </c>
    </row>
    <row r="114" ht="29.25" customHeight="1" s="81">
      <c r="A114" s="111" t="n">
        <v>10</v>
      </c>
      <c r="B114" s="111" t="n">
        <v>2</v>
      </c>
      <c r="C114" s="113" t="inlineStr">
        <is>
          <t>발단</t>
        </is>
      </c>
      <c r="D114" s="88" t="inlineStr">
        <is>
          <t>La campaña de quince días</t>
        </is>
      </c>
      <c r="E114" s="88" t="inlineStr">
        <is>
          <t>15일의 유세</t>
        </is>
      </c>
      <c r="F114" s="89" t="inlineStr">
        <is>
          <t>전국 순회. Ramón의 로지스틱스, Tomás의 문구.</t>
        </is>
      </c>
      <c r="G114" s="89" t="inlineStr">
        <is>
          <t>공식 캠페인 15일, 공영방송 무료 유세 시간 배분(Junta Electoral)</t>
        </is>
      </c>
      <c r="H114" s="88" t="inlineStr">
        <is>
          <t>Ramón, Tomás</t>
        </is>
      </c>
      <c r="I114" s="111" t="inlineStr">
        <is>
          <t>N5·S3·S4</t>
        </is>
      </c>
      <c r="J114" s="111">
        <f>턴_설계!$B$5</f>
        <v/>
      </c>
    </row>
    <row r="115" ht="16.5" customHeight="1" s="81">
      <c r="A115" s="111" t="n">
        <v>10</v>
      </c>
      <c r="B115" s="111" t="n">
        <v>3</v>
      </c>
      <c r="C115" s="113" t="inlineStr">
        <is>
          <t>발단</t>
        </is>
      </c>
      <c r="D115" s="88" t="inlineStr">
        <is>
          <t>El debate televisado</t>
        </is>
      </c>
      <c r="E115" s="88" t="inlineStr">
        <is>
          <t>TV 토론</t>
        </is>
      </c>
      <c r="F115" s="88" t="inlineStr">
        <is>
          <t>Mateo의 첫 TV 토론. Carmen이 준비한 질문 목록이 승부를 가른다.</t>
        </is>
      </c>
      <c r="G115" s="89" t="inlineStr">
        <is>
          <t>방송사와 후보 진영의 협상으로 규칙 결정</t>
        </is>
      </c>
      <c r="H115" s="88" t="inlineStr">
        <is>
          <t>Mateo, Carmen, Lucía</t>
        </is>
      </c>
      <c r="I115" s="111" t="inlineStr">
        <is>
          <t>N4·S2·N3·P2·S1</t>
        </is>
      </c>
      <c r="J115" s="111">
        <f>턴_설계!$B$5</f>
        <v/>
      </c>
    </row>
    <row r="116" ht="16.5" customHeight="1" s="81">
      <c r="A116" s="111" t="n">
        <v>10</v>
      </c>
      <c r="B116" s="111" t="n">
        <v>4</v>
      </c>
      <c r="C116" s="113" t="inlineStr">
        <is>
          <t>전환점</t>
        </is>
      </c>
      <c r="D116" s="88" t="inlineStr">
        <is>
          <t>La noche electoral</t>
        </is>
      </c>
      <c r="E116" s="89" t="inlineStr">
        <is>
          <t>총선의 밤 (1차)</t>
        </is>
      </c>
      <c r="F116" s="88" t="inlineStr">
        <is>
          <t>CC 62석 3위, UCN이 1당이지만 과반과는 멀다 (가상 수치).</t>
        </is>
      </c>
      <c r="G116" s="88" t="inlineStr">
        <is>
          <t>350석, D'Hondt, 선거구별 3% 문턱</t>
        </is>
      </c>
      <c r="H116" s="89" t="inlineStr">
        <is>
          <t>전원</t>
        </is>
      </c>
      <c r="I116" s="111" t="n"/>
      <c r="J116" s="111">
        <f>턴_설계!$B$5</f>
        <v/>
      </c>
    </row>
    <row r="117" ht="16.5" customHeight="1" s="81">
      <c r="A117" s="111" t="n">
        <v>10</v>
      </c>
      <c r="B117" s="111" t="n">
        <v>5</v>
      </c>
      <c r="C117" s="113" t="inlineStr">
        <is>
          <t>전개</t>
        </is>
      </c>
      <c r="D117" s="88" t="inlineStr">
        <is>
          <t>La sesión constitutiva</t>
        </is>
      </c>
      <c r="E117" s="89" t="inlineStr">
        <is>
          <t>개원</t>
        </is>
      </c>
      <c r="F117" s="88" t="inlineStr">
        <is>
          <t>Mesa와 하원의장 선출. CC 의원단 구성. 초선 의원들의 첫 좌석.</t>
        </is>
      </c>
      <c r="G117" s="89" t="inlineStr">
        <is>
          <t>개원, Mesa, 의원단 15석 이상 요건</t>
        </is>
      </c>
      <c r="H117" s="88" t="inlineStr">
        <is>
          <t>Mateo, Sofía</t>
        </is>
      </c>
      <c r="I117" s="111" t="n"/>
      <c r="J117" s="111">
        <f>턴_설계!$B$5</f>
        <v/>
      </c>
    </row>
    <row r="118" ht="29.25" customHeight="1" s="81">
      <c r="A118" s="111" t="n">
        <v>10</v>
      </c>
      <c r="B118" s="111" t="n">
        <v>6</v>
      </c>
      <c r="C118" s="113" t="inlineStr">
        <is>
          <t>전개</t>
        </is>
      </c>
      <c r="D118" s="88" t="inlineStr">
        <is>
          <t>La ronda de consultas</t>
        </is>
      </c>
      <c r="E118" s="89" t="inlineStr">
        <is>
          <t>국왕 협의</t>
        </is>
      </c>
      <c r="F118" s="88" t="inlineStr">
        <is>
          <t>Zarzuela에서 국왕이 각 정당 대표와 면담. Ramón이 정장을 입고 어색해한다.</t>
        </is>
      </c>
      <c r="G118" s="89" t="inlineStr">
        <is>
          <t>국왕이 협의 후 후보 제안, 하원의장이 부서 (art. 99)</t>
        </is>
      </c>
      <c r="H118" s="88" t="inlineStr">
        <is>
          <t>Mateo, Anselmo</t>
        </is>
      </c>
      <c r="I118" s="111" t="n"/>
      <c r="J118" s="111">
        <f>턴_설계!$B$5</f>
        <v/>
      </c>
    </row>
    <row r="119" ht="16.5" customHeight="1" s="81">
      <c r="A119" s="111" t="n">
        <v>10</v>
      </c>
      <c r="B119" s="111" t="n">
        <v>7</v>
      </c>
      <c r="C119" s="113" t="inlineStr">
        <is>
          <t>미드포인트</t>
        </is>
      </c>
      <c r="D119" s="88" t="inlineStr">
        <is>
          <t>La primera investidura</t>
        </is>
      </c>
      <c r="E119" s="89" t="inlineStr">
        <is>
          <t>첫 총리 후보 투표</t>
        </is>
      </c>
      <c r="F119" s="88" t="inlineStr">
        <is>
          <t>UCN 후보가 1·2차 표결에서 모두 부결. Anselmo의 해설.</t>
        </is>
      </c>
      <c r="G119" s="88" t="inlineStr">
        <is>
          <t>1차 절대다수 176, 2차 단순다수 (48시간 후)</t>
        </is>
      </c>
      <c r="H119" s="88" t="inlineStr">
        <is>
          <t>Anselmo, Mateo</t>
        </is>
      </c>
      <c r="I119" s="111" t="n"/>
      <c r="J119" s="111">
        <f>턴_설계!$B$5</f>
        <v/>
      </c>
    </row>
    <row r="120" ht="29.25" customHeight="1" s="81">
      <c r="A120" s="111" t="n">
        <v>10</v>
      </c>
      <c r="B120" s="111" t="n">
        <v>8</v>
      </c>
      <c r="C120" s="113" t="inlineStr">
        <is>
          <t>위기</t>
        </is>
      </c>
      <c r="D120" s="88" t="inlineStr">
        <is>
          <t>El reloj de dos meses</t>
        </is>
      </c>
      <c r="E120" s="89" t="inlineStr">
        <is>
          <t>두 달의 시계</t>
        </is>
      </c>
      <c r="F120" s="89" t="inlineStr">
        <is>
          <t>협상이 결렬되고 시간만 흐른다. Casa Común 내부의 원칙 논쟁.</t>
        </is>
      </c>
      <c r="G120" s="89" t="inlineStr">
        <is>
          <t>첫 표결 후 2개월 내 미선출 시 자동 해산·재선거 (art. 99.5)</t>
        </is>
      </c>
      <c r="H120" s="88" t="inlineStr">
        <is>
          <t>Mateo, Nieves, Diego</t>
        </is>
      </c>
      <c r="I120" s="111" t="inlineStr">
        <is>
          <t>P1</t>
        </is>
      </c>
      <c r="J120" s="111">
        <f>턴_설계!$B$5</f>
        <v/>
      </c>
    </row>
    <row r="121" ht="16.5" customHeight="1" s="81">
      <c r="A121" s="111" t="n">
        <v>10</v>
      </c>
      <c r="B121" s="111" t="n">
        <v>9</v>
      </c>
      <c r="C121" s="113" t="inlineStr">
        <is>
          <t>위기</t>
        </is>
      </c>
      <c r="D121" s="88" t="inlineStr">
        <is>
          <t>Otra vez a las urnas</t>
        </is>
      </c>
      <c r="E121" s="89" t="inlineStr">
        <is>
          <t>다시 투표소로</t>
        </is>
      </c>
      <c r="F121" s="89" t="inlineStr">
        <is>
          <t>재선거 소집. 지친 유권자, 짧아진 준비. Pepa의 위로.</t>
        </is>
      </c>
      <c r="G121" s="89" t="inlineStr">
        <is>
          <t>해산 칙령은 하원의장 부서, 54일 후 선거</t>
        </is>
      </c>
      <c r="H121" s="88" t="inlineStr">
        <is>
          <t>Pepa, Diego</t>
        </is>
      </c>
      <c r="I121" s="111" t="n"/>
      <c r="J121" s="111">
        <f>턴_설계!$B$5</f>
        <v/>
      </c>
    </row>
    <row r="122" ht="16.5" customHeight="1" s="81">
      <c r="A122" s="111" t="n">
        <v>10</v>
      </c>
      <c r="B122" s="111" t="n">
        <v>10</v>
      </c>
      <c r="C122" s="113" t="inlineStr">
        <is>
          <t>전환점</t>
        </is>
      </c>
      <c r="D122" s="88" t="inlineStr">
        <is>
          <t>La noche electoral II</t>
        </is>
      </c>
      <c r="E122" s="89" t="inlineStr">
        <is>
          <t>총선의 밤 (2차)</t>
        </is>
      </c>
      <c r="F122" s="88" t="inlineStr">
        <is>
          <t>CC 112석 1당, 그러나 과반은 아니다 (가상 수치).</t>
        </is>
      </c>
      <c r="G122" s="88" t="inlineStr">
        <is>
          <t>176석 절대다수 미달 → 소수 정부·협상</t>
        </is>
      </c>
      <c r="H122" s="89" t="inlineStr">
        <is>
          <t>전원</t>
        </is>
      </c>
      <c r="I122" s="111" t="n"/>
      <c r="J122" s="111">
        <f>턴_설계!$B$5</f>
        <v/>
      </c>
    </row>
    <row r="123" ht="29.25" customHeight="1" s="81">
      <c r="A123" s="111" t="n">
        <v>10</v>
      </c>
      <c r="B123" s="111" t="n">
        <v>11</v>
      </c>
      <c r="C123" s="113" t="inlineStr">
        <is>
          <t>절정</t>
        </is>
      </c>
      <c r="D123" s="88" t="inlineStr">
        <is>
          <t>Las negociaciones de investidura</t>
        </is>
      </c>
      <c r="E123" s="89" t="inlineStr">
        <is>
          <t>총리 지명 협상</t>
        </is>
      </c>
      <c r="F123" s="88" t="inlineStr">
        <is>
          <t>PPS·지역정당과 협상. 조건 목록, 밤샘. Gonzalo·Sofía가 비용을 추산한다.</t>
        </is>
      </c>
      <c r="G123" s="89" t="inlineStr">
        <is>
          <t>정당 간 협약, 정부 구성 협상</t>
        </is>
      </c>
      <c r="H123" s="88" t="inlineStr">
        <is>
          <t>Diego, Sofía, Gonzalo</t>
        </is>
      </c>
      <c r="I123" s="111" t="inlineStr">
        <is>
          <t>P2·P3·P1</t>
        </is>
      </c>
      <c r="J123" s="111">
        <f>턴_설계!$B$5</f>
        <v/>
      </c>
    </row>
    <row r="124" ht="29.25" customHeight="1" s="81">
      <c r="A124" s="111" t="n">
        <v>10</v>
      </c>
      <c r="B124" s="111" t="n">
        <v>12</v>
      </c>
      <c r="C124" s="113" t="inlineStr">
        <is>
          <t>결말·훅</t>
        </is>
      </c>
      <c r="D124" s="88" t="inlineStr">
        <is>
          <t>El voto decisivo</t>
        </is>
      </c>
      <c r="E124" s="89" t="inlineStr">
        <is>
          <t>결정적 한 표</t>
        </is>
      </c>
      <c r="F124" s="88" t="inlineStr">
        <is>
          <t>1차 175표, 한 표 부족으로 부결. 48시간 뒤 2차에서 175 대 142로 통과. 다음 날 Zarzuela에서 선서.</t>
        </is>
      </c>
      <c r="G124" s="88" t="inlineStr">
        <is>
          <t>1차 절대다수/2차 단순다수 (2020.1 실제 사례와 같은 구조), promesa</t>
        </is>
      </c>
      <c r="H124" s="88" t="inlineStr">
        <is>
          <t>Mateo, 하원의장</t>
        </is>
      </c>
      <c r="I124" s="111" t="n"/>
      <c r="J124" s="111">
        <f>턴_설계!$B$5</f>
        <v/>
      </c>
    </row>
    <row r="125" ht="29.25" customHeight="1" s="81">
      <c r="A125" s="111" t="n">
        <v>11</v>
      </c>
      <c r="B125" s="111" t="n">
        <v>1</v>
      </c>
      <c r="C125" s="113" t="inlineStr">
        <is>
          <t>발단</t>
        </is>
      </c>
      <c r="D125" s="88" t="inlineStr">
        <is>
          <t>El Primer Obstáculo</t>
        </is>
      </c>
      <c r="E125" s="89" t="inlineStr">
        <is>
          <t>첫 번째 벽</t>
        </is>
      </c>
      <c r="F125" s="89" t="inlineStr">
        <is>
          <t>첫 화요일 국무회의. Moncloa 첫날의 어색함. 임대료 시위가 Moncloa 앞까지 온다.</t>
        </is>
      </c>
      <c r="G125" s="88" t="inlineStr">
        <is>
          <t>Consejo de Ministros(화요일), 장관 임명 Real Decreto, Ley 50/1997</t>
        </is>
      </c>
      <c r="H125" s="88" t="inlineStr">
        <is>
          <t>Mateo, Diego</t>
        </is>
      </c>
      <c r="I125" s="111" t="inlineStr">
        <is>
          <t>P1·E1</t>
        </is>
      </c>
      <c r="J125" s="111">
        <f>턴_설계!$B$5</f>
        <v/>
      </c>
    </row>
    <row r="126" ht="29.25" customHeight="1" s="81">
      <c r="A126" s="111" t="n">
        <v>11</v>
      </c>
      <c r="B126" s="111" t="n">
        <v>2</v>
      </c>
      <c r="C126" s="113" t="inlineStr">
        <is>
          <t>전개</t>
        </is>
      </c>
      <c r="D126" s="88" t="inlineStr">
        <is>
          <t>Caseros Invisibles</t>
        </is>
      </c>
      <c r="E126" s="89" t="inlineStr">
        <is>
          <t>보이지 않는 집주인들</t>
        </is>
      </c>
      <c r="F126" s="88" t="inlineStr">
        <is>
          <t>Sofía·Gonzalo가 사모펀드의 주택 매입을 SOCIMI·자회사 구조로 추적한다.</t>
        </is>
      </c>
      <c r="G126" s="89" t="inlineStr">
        <is>
          <t>실소유자 추적(Ley 10/2010), Registro Mercantil</t>
        </is>
      </c>
      <c r="H126" s="88" t="inlineStr">
        <is>
          <t>Sofía, Gonzalo</t>
        </is>
      </c>
      <c r="I126" s="111" t="inlineStr">
        <is>
          <t>E1</t>
        </is>
      </c>
      <c r="J126" s="111">
        <f>턴_설계!$B$5</f>
        <v/>
      </c>
    </row>
    <row r="127" ht="29.25" customHeight="1" s="81">
      <c r="A127" s="111" t="n">
        <v>11</v>
      </c>
      <c r="B127" s="111" t="n">
        <v>3</v>
      </c>
      <c r="C127" s="113" t="inlineStr">
        <is>
          <t>전개</t>
        </is>
      </c>
      <c r="D127" s="88" t="inlineStr">
        <is>
          <t>La Ley de Vivienda</t>
        </is>
      </c>
      <c r="E127" s="89" t="inlineStr">
        <is>
          <t>주거법</t>
        </is>
      </c>
      <c r="F127" s="89" t="inlineStr">
        <is>
          <t>주거법 개정안. 그러나 임대료 상한 '긴장 지역' 지정은 자치주 몫이라 Comunidad de Madrid이 헌법재판소를 예고한다.</t>
        </is>
      </c>
      <c r="G127" s="89" t="inlineStr">
        <is>
          <t>주거는 자치주 권한(art. 148), Ley 12/2023, recurso de inconstitucionalidad</t>
        </is>
      </c>
      <c r="H127" s="88" t="inlineStr">
        <is>
          <t>Mateo, Raimundo</t>
        </is>
      </c>
      <c r="I127" s="111" t="inlineStr">
        <is>
          <t>E1</t>
        </is>
      </c>
      <c r="J127" s="111">
        <f>턴_설계!$B$5</f>
        <v/>
      </c>
    </row>
    <row r="128" ht="42" customHeight="1" s="81">
      <c r="A128" s="111" t="n">
        <v>11</v>
      </c>
      <c r="B128" s="111" t="n">
        <v>4</v>
      </c>
      <c r="C128" s="113" t="inlineStr">
        <is>
          <t>위기</t>
        </is>
      </c>
      <c r="D128" s="88" t="inlineStr">
        <is>
          <t>Colapso en Urgencias</t>
        </is>
      </c>
      <c r="E128" s="89" t="inlineStr">
        <is>
          <t>응급실 마비</t>
        </is>
      </c>
      <c r="F128" s="89" t="inlineStr">
        <is>
          <t>폭염이 겹쳐 고령 환자가 몰린 응급실이 마비된다. Javier가 현장으로 달려가지만 병원 운영·외주 계약은 자치주 권한임을 다시 배운다. 정부가 쓸 수 있는 수단은 법 개정, 재정 조건부 지원, 협의체.</t>
        </is>
      </c>
      <c r="G128" s="89" t="inlineStr">
        <is>
          <t>보건 권한 이양(SERMAS), Consejo Interterritorial, Ley 15/1997, Ley 16/2003, Fondo de Cohesión Sanitaria</t>
        </is>
      </c>
      <c r="H128" s="88" t="inlineStr">
        <is>
          <t>Javier, Carmen, Lucía, Mateo</t>
        </is>
      </c>
      <c r="I128" s="111" t="inlineStr">
        <is>
          <t>S3·S4</t>
        </is>
      </c>
      <c r="J128" s="111">
        <f>턴_설계!$B$5</f>
        <v/>
      </c>
    </row>
    <row r="129" ht="42" customHeight="1" s="81">
      <c r="A129" s="111" t="n">
        <v>11</v>
      </c>
      <c r="B129" s="111" t="n">
        <v>5</v>
      </c>
      <c r="C129" s="113" t="inlineStr">
        <is>
          <t>위기</t>
        </is>
      </c>
      <c r="D129" s="88" t="inlineStr">
        <is>
          <t>El Reparto</t>
        </is>
      </c>
      <c r="E129" s="89" t="inlineStr">
        <is>
          <t>분담</t>
        </is>
      </c>
      <c r="F129" s="89" t="inlineStr">
        <is>
          <t>도착 지역의 이주민 수용 시설이 한계에 달하고 자치주들이 서로 떠넘긴다. 국무회의가 분산 수용을 추진하자 Pepa가 Lavapiés 이웃들의 이야기를 꺼낸다.</t>
        </is>
      </c>
      <c r="G129" s="89" t="inlineStr">
        <is>
          <t>외국인법(LO 4/2000), 이주 아동 분산 수용 조치(2025, 확인 필요), Conferencia Sectorial</t>
        </is>
      </c>
      <c r="H129" s="88" t="inlineStr">
        <is>
          <t>Mateo, Pepa, Javier, Nieves</t>
        </is>
      </c>
      <c r="I129" s="111" t="inlineStr">
        <is>
          <t>S2</t>
        </is>
      </c>
      <c r="J129" s="111">
        <f>턴_설계!$B$5</f>
        <v/>
      </c>
    </row>
    <row r="130" ht="42" customHeight="1" s="81">
      <c r="A130" s="111" t="n">
        <v>11</v>
      </c>
      <c r="B130" s="111" t="n">
        <v>6</v>
      </c>
      <c r="C130" s="113" t="inlineStr">
        <is>
          <t>전개</t>
        </is>
      </c>
      <c r="D130" s="88" t="inlineStr">
        <is>
          <t>La Voz de la Juventud</t>
        </is>
      </c>
      <c r="E130" s="89" t="inlineStr">
        <is>
          <t>청년들의 목소리</t>
        </is>
      </c>
      <c r="F130" s="89" t="inlineStr">
        <is>
          <t>청년 고용·인턴 처우 협상. Anselmo가 Carmen의 청년 정책안을 놓고 평소처럼 투덜대며 조언한다 — 아직은 죽지 않는다, 그러나 계단을 오르며 살짝 숨이 가쁜 게 보인다.</t>
        </is>
      </c>
      <c r="G130" s="89" t="inlineStr">
        <is>
          <t>사회적 대화(Diálogo Social): 정부·노조·경영계</t>
        </is>
      </c>
      <c r="H130" s="88" t="inlineStr">
        <is>
          <t>Carmen, Anselmo, Nieves</t>
        </is>
      </c>
      <c r="I130" s="111" t="inlineStr">
        <is>
          <t>S1</t>
        </is>
      </c>
      <c r="J130" s="111">
        <f>턴_설계!$B$5</f>
        <v/>
      </c>
    </row>
    <row r="131" ht="42" customHeight="1" s="81">
      <c r="A131" s="111" t="n">
        <v>11</v>
      </c>
      <c r="B131" s="111" t="n">
        <v>7</v>
      </c>
      <c r="C131" s="113" t="inlineStr">
        <is>
          <t>위기</t>
        </is>
      </c>
      <c r="D131" s="88" t="inlineStr">
        <is>
          <t>El Cartel de los Precios</t>
        </is>
      </c>
      <c r="E131" s="89" t="inlineStr">
        <is>
          <t>가격 카르텔</t>
        </is>
      </c>
      <c r="F131" s="89" t="inlineStr">
        <is>
          <t>도청 자료를 쓰자는 Raimundo vs 합법 경로만 쓰겠다는 Mateo. 아직 Anselmo는 살아 있어 둘의 다툼을 지켜보며 «합법이 이기는 데는 시간이 걸리지만, 이기고 나면 아무도 뒤집지 못하오»라고 거든다.</t>
        </is>
      </c>
      <c r="G131" s="88" t="inlineStr">
        <is>
          <t>CNMC 조사(Ley 15/2007), 위법 수집 증거, 통신 감청은 법원 허가</t>
        </is>
      </c>
      <c r="H131" s="88" t="inlineStr">
        <is>
          <t>Raimundo, Mateo, Inés, Anselmo</t>
        </is>
      </c>
      <c r="I131" s="111" t="n"/>
      <c r="J131" s="111">
        <f>턴_설계!$B$5</f>
        <v/>
      </c>
    </row>
    <row r="132" ht="54.75" customHeight="1" s="81">
      <c r="A132" s="111" t="n">
        <v>11</v>
      </c>
      <c r="B132" s="111" t="n">
        <v>8</v>
      </c>
      <c r="C132" s="113" t="inlineStr">
        <is>
          <t>위기</t>
        </is>
      </c>
      <c r="D132" s="88" t="inlineStr">
        <is>
          <t>El Impuesto a los Gigantes</t>
        </is>
      </c>
      <c r="E132" s="89" t="inlineStr">
        <is>
          <t>거인들에게 매기는 세금</t>
        </is>
      </c>
      <c r="F132" s="89" t="inlineStr">
        <is>
          <t>횡재세는 긴급 칙령이 아니라 법률로 가야 하는 이유. 걷힌 돈을 전기요금과 에너지 전환에 어떻게 나눌지, 농촌 태양광 갈등의 재원 문제도 얽힌다. 재계·은행의 반발과 계좌 동결 시도를 Gonzalo가 막는다.</t>
        </is>
      </c>
      <c r="G132" s="89" t="inlineStr">
        <is>
          <t>긴급 칙령은 세금 본질 요소 불가(art. 86.1), 의원 발의 법안(선례 Ley 38/2022), Ley 24/2013</t>
        </is>
      </c>
      <c r="H132" s="88" t="inlineStr">
        <is>
          <t>Sofía, Gonzalo, Mateo</t>
        </is>
      </c>
      <c r="I132" s="111" t="inlineStr">
        <is>
          <t>N5·S4</t>
        </is>
      </c>
      <c r="J132" s="111">
        <f>턴_설계!$B$5</f>
        <v/>
      </c>
    </row>
    <row r="133" ht="105.75" customHeight="1" s="81">
      <c r="A133" s="111" t="n">
        <v>11</v>
      </c>
      <c r="B133" s="111" t="n">
        <v>9</v>
      </c>
      <c r="C133" s="113" t="inlineStr">
        <is>
          <t>전환점</t>
        </is>
      </c>
      <c r="D133" s="88" t="inlineStr">
        <is>
          <t>Camino a Bruselas</t>
        </is>
      </c>
      <c r="E133" s="89" t="inlineStr">
        <is>
          <t>브뤼셀로 가는 길</t>
        </is>
      </c>
      <c r="F133" s="88" t="inlineStr">
        <is>
          <t>NATO의 GDP 5% 목표(2035년 시한) 재검토와 EU 재정 규칙 협상이 겹친 대표단이 꾸려진다. Anselmo가 «내가 가겠소»라고 자원한다 — 은퇴 후 처음 외교관으로 돌아가는 순간. 짐을 싸며 Tomás에게 자신이 만난 두 종류의 지도자를 회상한다: 건물에 금박 이름을 새기던 사업가 출신으로 이제 관세를 무기 삼아 카메라 앞에서 소리치는 인물, 그리고 정보기관에서 30년을 보낸 뒤 '민주주의'라 부르는 자리에 눌러앉아 이웃 나라 땅을 가져간 인물. 이름도 국가도 끝내 말하지 않는다(실존 인물 실명 미사용, 특징 묘사로만).</t>
        </is>
      </c>
      <c r="G133" s="88" t="inlineStr">
        <is>
          <t>NATO 방위비 목표(2025 헤이그 합의, 5%·2035년), 국왕 위임장, 대표단 구성</t>
        </is>
      </c>
      <c r="H133" s="88" t="inlineStr">
        <is>
          <t>Anselmo, Tomás, Sofía</t>
        </is>
      </c>
      <c r="I133" s="111" t="inlineStr">
        <is>
          <t>N3</t>
        </is>
      </c>
      <c r="J133" s="111">
        <f>턴_설계!$B$5</f>
        <v/>
      </c>
    </row>
    <row r="134" ht="67.5" customHeight="1" s="81">
      <c r="A134" s="111" t="n">
        <v>11</v>
      </c>
      <c r="B134" s="111" t="n">
        <v>10</v>
      </c>
      <c r="C134" s="113" t="inlineStr">
        <is>
          <t>절정</t>
        </is>
      </c>
      <c r="D134" s="88" t="inlineStr">
        <is>
          <t>La Mesa de Bruselas</t>
        </is>
      </c>
      <c r="E134" s="89" t="inlineStr">
        <is>
          <t>브뤼셀의 테이블</t>
        </is>
      </c>
      <c r="F134" s="89" t="inlineStr">
        <is>
          <t>직접 협상. 상대측 인사(가상)가 «스페인은 항상 약속만 하고 지키지 않았다»고 과장하자 Anselmo가 자신이 직접 서명했던 옛 합의 날짜를 정확히 짚어 반박한다. 완곡어법과 «Permítame una precisión»으로 2.1% 예외를 지키면서도 검증 가능한 3.5% 이행 경로를 제안해 절충을 이끈다.</t>
        </is>
      </c>
      <c r="G134" s="89" t="inlineStr">
        <is>
          <t>과도한 재정적자 절차(TFUE 126), NATO 국방비 이행 검토(2029 중간점검), ECOFIN</t>
        </is>
      </c>
      <c r="H134" s="88" t="inlineStr">
        <is>
          <t>Anselmo, Sofía, Tomás</t>
        </is>
      </c>
      <c r="I134" s="111" t="inlineStr">
        <is>
          <t>N3·E3</t>
        </is>
      </c>
      <c r="J134" s="111">
        <f>턴_설계!$B$5</f>
        <v/>
      </c>
    </row>
    <row r="135" ht="42" customHeight="1" s="81">
      <c r="A135" s="111" t="n">
        <v>11</v>
      </c>
      <c r="B135" s="111" t="n">
        <v>11</v>
      </c>
      <c r="C135" s="113" t="inlineStr">
        <is>
          <t>절정</t>
        </is>
      </c>
      <c r="D135" s="88" t="inlineStr">
        <is>
          <t>El Triunfo y el Cansancio</t>
        </is>
      </c>
      <c r="E135" s="89" t="inlineStr">
        <is>
          <t>승리와 피로</t>
        </is>
      </c>
      <c r="F135" s="89" t="inlineStr">
        <is>
          <t>협상 타결: 재정 유연성 확보 + 국방비의 단계적·검증 가능한 증액. 귀국 비행기에서 Anselmo가 지친 기색을 숨기며 Sofía에게 메모를 남기라고 한다.</t>
        </is>
      </c>
      <c r="G135" s="89" t="inlineStr">
        <is>
          <t>협상 결과 국내 비준 절차, 예산 반영 일정</t>
        </is>
      </c>
      <c r="H135" s="88" t="inlineStr">
        <is>
          <t>Anselmo, Sofía, Ramón</t>
        </is>
      </c>
      <c r="I135" s="111" t="inlineStr">
        <is>
          <t>N3·E3</t>
        </is>
      </c>
      <c r="J135" s="111">
        <f>턴_설계!$B$5</f>
        <v/>
      </c>
    </row>
    <row r="136" ht="42" customHeight="1" s="81">
      <c r="A136" s="111" t="n">
        <v>11</v>
      </c>
      <c r="B136" s="111" t="n">
        <v>12</v>
      </c>
      <c r="C136" s="113" t="inlineStr">
        <is>
          <t>결말(사망)</t>
        </is>
      </c>
      <c r="D136" s="88" t="inlineStr">
        <is>
          <t>Una Última Precisión</t>
        </is>
      </c>
      <c r="E136" s="89" t="inlineStr">
        <is>
          <t>마지막 각주 하나</t>
        </is>
      </c>
      <c r="F136" s="89" t="inlineStr">
        <is>
          <t>귀국 직후, 자택에서 심부전으로 사망. Carmen이 청년 정책안 마지막 서명을 받으러 왔다가 그를 발견한다. 마지막 말은 «No está mal.» — 브뤼셀 승리 직후라 더 무겁다.</t>
        </is>
      </c>
      <c r="G136" s="88" t="inlineStr">
        <is>
          <t>insuficiencia cardíaca, 사망 확인, 장례 절차 시작</t>
        </is>
      </c>
      <c r="H136" s="88" t="inlineStr">
        <is>
          <t>Carmen, Javier, Anselmo</t>
        </is>
      </c>
      <c r="I136" s="111" t="inlineStr">
        <is>
          <t>N3</t>
        </is>
      </c>
      <c r="J136" s="111">
        <f>턴_설계!$B$5</f>
        <v/>
      </c>
    </row>
    <row r="137" ht="42" customHeight="1" s="81">
      <c r="A137" s="111" t="n">
        <v>12</v>
      </c>
      <c r="B137" s="111" t="n">
        <v>1</v>
      </c>
      <c r="C137" s="113" t="inlineStr">
        <is>
          <t>발단(장례)</t>
        </is>
      </c>
      <c r="D137" s="88" t="inlineStr">
        <is>
          <t>El Velatorio</t>
        </is>
      </c>
      <c r="E137" s="89" t="inlineStr">
        <is>
          <t>장례식</t>
        </is>
      </c>
      <c r="F137" s="88" t="inlineStr">
        <is>
          <t>Casa Pepa가 첫 장면. 빈자리에 커피 한 잔이 놓인다. Carmen이 조사에서 처음으로 Anselmo에게 tú를 쓴다. «Para él, ‘no está mal’ era el mayor elogio.»</t>
        </is>
      </c>
      <c r="G137" s="88" t="inlineStr">
        <is>
          <t>velatorio, entierro, pésame, elogio fúnebre</t>
        </is>
      </c>
      <c r="H137" s="88" t="inlineStr">
        <is>
          <t>Carmen, Pepa, Ramón, Raimundo, Javier</t>
        </is>
      </c>
      <c r="I137" s="111" t="n"/>
      <c r="J137" s="111">
        <f>턴_설계!$B$5</f>
        <v/>
      </c>
    </row>
    <row r="138" ht="29.25" customHeight="1" s="81">
      <c r="A138" s="111" t="n">
        <v>12</v>
      </c>
      <c r="B138" s="111" t="n">
        <v>2</v>
      </c>
      <c r="C138" s="113" t="inlineStr">
        <is>
          <t>전개</t>
        </is>
      </c>
      <c r="D138" s="88" t="inlineStr">
        <is>
          <t>La Ficha que Dejó</t>
        </is>
      </c>
      <c r="E138" s="89" t="inlineStr">
        <is>
          <t>그가 남긴 카드</t>
        </is>
      </c>
      <c r="F138" s="88" t="inlineStr">
        <is>
          <t>Anselmo가 죽기 전 남긴 브뤼셀 후속 협상 메모가 발견된다. Raimundo가 정리하고 Tomás가 문장을 다듬는다.</t>
        </is>
      </c>
      <c r="G138" s="89" t="inlineStr">
        <is>
          <t>유작 메모, 외교 기록 인계</t>
        </is>
      </c>
      <c r="H138" s="88" t="inlineStr">
        <is>
          <t>Raimundo, Tomás, Sofía</t>
        </is>
      </c>
      <c r="I138" s="111" t="n"/>
      <c r="J138" s="111">
        <f>턴_설계!$B$5</f>
        <v/>
      </c>
    </row>
    <row r="139" ht="42" customHeight="1" s="81">
      <c r="A139" s="111" t="n">
        <v>12</v>
      </c>
      <c r="B139" s="111" t="n">
        <v>3</v>
      </c>
      <c r="C139" s="113" t="inlineStr">
        <is>
          <t>전개</t>
        </is>
      </c>
      <c r="D139" s="88" t="inlineStr">
        <is>
          <t>Segunda Ronda en Bruselas</t>
        </is>
      </c>
      <c r="E139" s="89" t="inlineStr">
        <is>
          <t>브뤼셀 2차 협상</t>
        </is>
      </c>
      <c r="F139" s="88" t="inlineStr">
        <is>
          <t>Anselmo 없이 떠나는 팀. Sofía가 협상석에 앉고 Tomás가 다듬은 그의 문장(«no ha estado mal» 포함)을 인용해 3.5% 이행 경로의 세부 일정을 확정짓는다.</t>
        </is>
      </c>
      <c r="G139" s="89" t="inlineStr">
        <is>
          <t>협상 세부 일정 확정, 중기 재정구조계획 승인</t>
        </is>
      </c>
      <c r="H139" s="88" t="inlineStr">
        <is>
          <t>Sofía, Tomás, Ramón</t>
        </is>
      </c>
      <c r="I139" s="111" t="inlineStr">
        <is>
          <t>N3·E3</t>
        </is>
      </c>
      <c r="J139" s="111">
        <f>턴_설계!$B$5</f>
        <v/>
      </c>
    </row>
    <row r="140" ht="42" customHeight="1" s="81">
      <c r="A140" s="111" t="n">
        <v>12</v>
      </c>
      <c r="B140" s="111" t="n">
        <v>4</v>
      </c>
      <c r="C140" s="113" t="inlineStr">
        <is>
          <t>전개</t>
        </is>
      </c>
      <c r="D140" s="88" t="inlineStr">
        <is>
          <t>La Aplicación que Decide</t>
        </is>
      </c>
      <c r="E140" s="89" t="inlineStr">
        <is>
          <t>결정하는 앱</t>
        </is>
      </c>
      <c r="F140" s="89" t="inlineStr">
        <is>
          <t>배달 라이더들이 알고리즘 배차·해고 통보를 두고 항의한다. Ley Rider 이후에도 고용 지위 분쟁이 계속됨을 Nieves가 현장에서, Tomás가 문구로 돕는다.</t>
        </is>
      </c>
      <c r="G140" s="89" t="inlineStr">
        <is>
          <t>플랫폼 노동(Ley Rider, 2021), 알고리즘 투명성, 고용 지위 판단</t>
        </is>
      </c>
      <c r="H140" s="88" t="inlineStr">
        <is>
          <t>Nieves, Tomás, Mateo</t>
        </is>
      </c>
      <c r="I140" s="111" t="inlineStr">
        <is>
          <t>N6</t>
        </is>
      </c>
      <c r="J140" s="111">
        <f>턴_설계!$B$5</f>
        <v/>
      </c>
    </row>
    <row r="141" ht="42" customHeight="1" s="81">
      <c r="A141" s="111" t="n">
        <v>12</v>
      </c>
      <c r="B141" s="111" t="n">
        <v>5</v>
      </c>
      <c r="C141" s="113" t="inlineStr">
        <is>
          <t>전개</t>
        </is>
      </c>
      <c r="D141" s="88" t="inlineStr">
        <is>
          <t>El Software que Nadie Autorizó</t>
        </is>
      </c>
      <c r="E141" s="89" t="inlineStr">
        <is>
          <t>누구도 승인하지 않은 소프트웨어</t>
        </is>
      </c>
      <c r="F141" s="89" t="inlineStr">
        <is>
          <t>야당 정치인과 언론인 휴대전화에 스파이웨어가 심어졌다는 의혹이 터진다. Raimundo가 옛 동료들의 흔적을 알아보고 Inés가 취재하며 Mateo는 합법적 감독 경로를 고집한다.</t>
        </is>
      </c>
      <c r="G141" s="89" t="inlineStr">
        <is>
          <t>정보기관 사법 통제(Ley 11/2002), 불법 감청 수사, 의회 조사위원회</t>
        </is>
      </c>
      <c r="H141" s="88" t="inlineStr">
        <is>
          <t>Raimundo, Inés, Mateo</t>
        </is>
      </c>
      <c r="I141" s="111" t="inlineStr">
        <is>
          <t>N7</t>
        </is>
      </c>
      <c r="J141" s="111">
        <f>턴_설계!$B$5</f>
        <v/>
      </c>
    </row>
    <row r="142" ht="29.25" customHeight="1" s="81">
      <c r="A142" s="111" t="n">
        <v>12</v>
      </c>
      <c r="B142" s="111" t="n">
        <v>6</v>
      </c>
      <c r="C142" s="113" t="inlineStr">
        <is>
          <t>전개</t>
        </is>
      </c>
      <c r="D142" s="88" t="inlineStr">
        <is>
          <t>Las Listas de Espera</t>
        </is>
      </c>
      <c r="E142" s="89" t="inlineStr">
        <is>
          <t>대기 명단</t>
        </is>
      </c>
      <c r="F142" s="89" t="inlineStr">
        <is>
          <t>청년 정신건강 상담 대기가 몇 달씩 밀린 현실. Lucía가 진료 현장에서, Carmen이 자신의 불안을 처음 인정하며 함께 부딪힌다.</t>
        </is>
      </c>
      <c r="G142" s="89" t="inlineStr">
        <is>
          <t>정신건강 상담 접근성, 공공 심리 지원 예산</t>
        </is>
      </c>
      <c r="H142" s="88" t="inlineStr">
        <is>
          <t>Lucía, Carmen, Javier</t>
        </is>
      </c>
      <c r="I142" s="111" t="inlineStr">
        <is>
          <t>N8</t>
        </is>
      </c>
      <c r="J142" s="111">
        <f>턴_설계!$B$5</f>
        <v/>
      </c>
    </row>
    <row r="143" ht="42" customHeight="1" s="81">
      <c r="A143" s="111" t="n">
        <v>12</v>
      </c>
      <c r="B143" s="111" t="n">
        <v>7</v>
      </c>
      <c r="C143" s="113" t="inlineStr">
        <is>
          <t>위기</t>
        </is>
      </c>
      <c r="D143" s="88" t="inlineStr">
        <is>
          <t>La Moción que no Suma</t>
        </is>
      </c>
      <c r="E143" s="89" t="inlineStr">
        <is>
          <t>합쳐지지 않는 불신임안</t>
        </is>
      </c>
      <c r="F143" s="89" t="inlineStr">
        <is>
          <t>야당의 건설적 불신임안: 대안 후보, 35명 서명, 5일 후 표결, 176표 필요 → 부결. 기권한 지역정당 TB는 재정 분권 논의를 요구하고, 사법평의회 갱신 교착이 정국을 더 얼어붙게 한다.</t>
        </is>
      </c>
      <c r="G143" s="89" t="inlineStr">
        <is>
          <t>헌법 제113조 (정치경로_의석 C블록), 사법평의회 위원 3/5 선출</t>
        </is>
      </c>
      <c r="H143" s="88" t="inlineStr">
        <is>
          <t>Mateo, Diego, Ramón</t>
        </is>
      </c>
      <c r="I143" s="111" t="inlineStr">
        <is>
          <t>P1·P2·P3</t>
        </is>
      </c>
      <c r="J143" s="111">
        <f>턴_설계!$B$5</f>
        <v/>
      </c>
    </row>
    <row r="144" ht="42" customHeight="1" s="81">
      <c r="A144" s="111" t="n">
        <v>12</v>
      </c>
      <c r="B144" s="111" t="n">
        <v>8</v>
      </c>
      <c r="C144" s="113" t="inlineStr">
        <is>
          <t>위기</t>
        </is>
      </c>
      <c r="D144" s="88" t="inlineStr">
        <is>
          <t>La Gota Fría</t>
        </is>
      </c>
      <c r="E144" s="89" t="inlineStr">
        <is>
          <t>고립 저기압(DANA)</t>
        </is>
      </c>
      <c r="F144" s="89" t="inlineStr">
        <is>
          <t>지중해 연안에 폭우가 덮친다(가상의 재난). 경보 지연과 초기 대응을 둘러싼 자치주–중앙정부 책임 공방, 긴급사태 선언 여부, 군 긴급대응부대 투입. Ramón이 지휘하고 Tomás가 추모 문구를 쓴다.</t>
        </is>
      </c>
      <c r="G144" s="89" t="inlineStr">
        <is>
          <t>민방위 체계(Ley 17/2015), emergencia de interés nacional, UME, ES-Alert, 보험보상 기구(Consorcio), EU 연대기금</t>
        </is>
      </c>
      <c r="H144" s="88" t="inlineStr">
        <is>
          <t>Ramón, Javier, Mateo, Inés, Tomás</t>
        </is>
      </c>
      <c r="I144" s="111" t="inlineStr">
        <is>
          <t>N1·N3·S4</t>
        </is>
      </c>
      <c r="J144" s="111">
        <f>턴_설계!$B$5</f>
        <v/>
      </c>
    </row>
    <row r="145" ht="16.5" customHeight="1" s="81">
      <c r="A145" s="111" t="n">
        <v>12</v>
      </c>
      <c r="B145" s="111" t="n">
        <v>9</v>
      </c>
      <c r="C145" s="113" t="inlineStr">
        <is>
          <t>절정</t>
        </is>
      </c>
      <c r="D145" s="88" t="inlineStr">
        <is>
          <t>Resultados en la Calle</t>
        </is>
      </c>
      <c r="E145" s="89" t="inlineStr">
        <is>
          <t>거리에서 나타난 변화</t>
        </is>
      </c>
      <c r="F145" s="89" t="inlineStr">
        <is>
          <t>임대료·응급실 대기·청년 고용 지표. 사회적 대화 협약 서명.</t>
        </is>
      </c>
      <c r="G145" s="89" t="inlineStr">
        <is>
          <t>성과 지표 공표, 사회적 대화 협약</t>
        </is>
      </c>
      <c r="H145" s="88" t="inlineStr">
        <is>
          <t>Sofía, Javier, Carmen</t>
        </is>
      </c>
      <c r="I145" s="111" t="inlineStr">
        <is>
          <t>N3·E3·P1</t>
        </is>
      </c>
      <c r="J145" s="111">
        <f>턴_설계!$B$5</f>
        <v/>
      </c>
    </row>
    <row r="146" ht="42" customHeight="1" s="81">
      <c r="A146" s="111" t="n">
        <v>12</v>
      </c>
      <c r="B146" s="111" t="n">
        <v>10</v>
      </c>
      <c r="C146" s="113" t="inlineStr">
        <is>
          <t>전개</t>
        </is>
      </c>
      <c r="D146" s="88" t="inlineStr">
        <is>
          <t>El Hueco en la Guardia</t>
        </is>
      </c>
      <c r="E146" s="89" t="inlineStr">
        <is>
          <t>올드 가드의 빈자리</t>
        </is>
      </c>
      <c r="F146" s="88" t="inlineStr">
        <is>
          <t>Ramón과 Raimundo가 Anselmo 없는 La Vieja Guardia를 마주한다. 둘 다 말을 아끼다가 결국 그의 커피 불평을 그리워한다고 인정한다.</t>
        </is>
      </c>
      <c r="G146" s="88" t="inlineStr">
        <is>
          <t>—</t>
        </is>
      </c>
      <c r="H146" s="88" t="inlineStr">
        <is>
          <t>Ramón, Raimundo, Pepa</t>
        </is>
      </c>
      <c r="I146" s="111" t="n"/>
      <c r="J146" s="111">
        <f>턴_설계!$B$5</f>
        <v/>
      </c>
    </row>
    <row r="147" ht="29.25" customHeight="1" s="81">
      <c r="A147" s="111" t="n">
        <v>12</v>
      </c>
      <c r="B147" s="111" t="n">
        <v>11</v>
      </c>
      <c r="C147" s="113" t="inlineStr">
        <is>
          <t>위기</t>
        </is>
      </c>
      <c r="D147" s="88" t="inlineStr">
        <is>
          <t>Antes del Presupuesto</t>
        </is>
      </c>
      <c r="E147" s="89" t="inlineStr">
        <is>
          <t>예산안 앞에서</t>
        </is>
      </c>
      <c r="F147" s="89" t="inlineStr">
        <is>
          <t>국방비 증액분을 예산에 어떻게 반영할지 논쟁: 연금·복지와의 줄다리기. Sofía가 브뤼셀 합의의 검증 가능한 경로를 방패로 쓴다.</t>
        </is>
      </c>
      <c r="G147" s="89" t="inlineStr">
        <is>
          <t>예산 편성, NATO 이행 경로 국내 반영</t>
        </is>
      </c>
      <c r="H147" s="88" t="inlineStr">
        <is>
          <t>Sofía, Mateo, Diego</t>
        </is>
      </c>
      <c r="I147" s="111" t="n"/>
      <c r="J147" s="111">
        <f>턴_설계!$B$5</f>
        <v/>
      </c>
    </row>
    <row r="148" ht="29.25" customHeight="1" s="81">
      <c r="A148" s="111" t="n">
        <v>12</v>
      </c>
      <c r="B148" s="111" t="n">
        <v>12</v>
      </c>
      <c r="C148" s="113" t="inlineStr">
        <is>
          <t>결말·훅</t>
        </is>
      </c>
      <c r="D148" s="88" t="inlineStr">
        <is>
          <t>La Batalla Continúa</t>
        </is>
      </c>
      <c r="E148" s="89" t="inlineStr">
        <is>
          <t>싸움은 계속된다</t>
        </is>
      </c>
      <c r="F148" s="89" t="inlineStr">
        <is>
          <t>예산안 제출 준비(9월 말 시한): 그동안의 성과 지표도 정리한다. 야당의 전체 수정안 위협.</t>
        </is>
      </c>
      <c r="G148" s="89" t="inlineStr">
        <is>
          <t>예산안은 만료 3개월 전 제출(art. 134), 미통과 시 prórroga, Pacto de Toledo</t>
        </is>
      </c>
      <c r="H148" s="88" t="inlineStr">
        <is>
          <t>Sofía, Mateo, Diego, Ramón</t>
        </is>
      </c>
      <c r="I148" s="111" t="n"/>
      <c r="J148" s="111">
        <f>턴_설계!$B$5</f>
        <v/>
      </c>
    </row>
    <row r="149" ht="29.25" customHeight="1" s="81">
      <c r="A149" s="111" t="n">
        <v>13</v>
      </c>
      <c r="B149" s="111" t="n">
        <v>1</v>
      </c>
      <c r="C149" s="113" t="inlineStr">
        <is>
          <t>발단</t>
        </is>
      </c>
      <c r="D149" s="88" t="inlineStr">
        <is>
          <t>Son las cinco</t>
        </is>
      </c>
      <c r="E149" s="89" t="inlineStr">
        <is>
          <t>다섯 시</t>
        </is>
      </c>
      <c r="F149" s="88" t="inlineStr">
        <is>
          <t>1부 1화와 같은 대사로 시작하지만 자리가 달라졌다: 장관들은 이제 손님으로 온다.</t>
        </is>
      </c>
      <c r="G149" s="89" t="inlineStr">
        <is>
          <t>고위직 겸직 제한(Ley 3/2015)</t>
        </is>
      </c>
      <c r="H149" s="88" t="inlineStr">
        <is>
          <t>Pepa, Mateo</t>
        </is>
      </c>
      <c r="I149" s="111" t="n"/>
      <c r="J149" s="111">
        <f>턴_설계!$B$5</f>
        <v/>
      </c>
    </row>
    <row r="150" ht="29.25" customHeight="1" s="81">
      <c r="A150" s="111" t="n">
        <v>13</v>
      </c>
      <c r="B150" s="111" t="n">
        <v>2</v>
      </c>
      <c r="C150" s="113" t="inlineStr">
        <is>
          <t>발단</t>
        </is>
      </c>
      <c r="D150" s="88" t="inlineStr">
        <is>
          <t>El paraguas</t>
        </is>
      </c>
      <c r="E150" s="89" t="inlineStr">
        <is>
          <t>우산</t>
        </is>
      </c>
      <c r="F150" s="88" t="inlineStr">
        <is>
          <t>Anselmo의 유언장. 공증인 앞에서 우산이 Carmen에게 간다.</t>
        </is>
      </c>
      <c r="G150" s="89" t="inlineStr">
        <is>
          <t>유언: notaría, albacea, 최종 유언 등록 증명서(certificado de últimas voluntades)</t>
        </is>
      </c>
      <c r="H150" s="88" t="inlineStr">
        <is>
          <t>Carmen, Ramón, Pepa</t>
        </is>
      </c>
      <c r="I150" s="111" t="n"/>
      <c r="J150" s="111">
        <f>턴_설계!$B$5</f>
        <v/>
      </c>
    </row>
    <row r="151" ht="16.5" customHeight="1" s="81">
      <c r="A151" s="111" t="n">
        <v>13</v>
      </c>
      <c r="B151" s="111" t="n">
        <v>3</v>
      </c>
      <c r="C151" s="113" t="inlineStr">
        <is>
          <t>발단</t>
        </is>
      </c>
      <c r="D151" s="88" t="inlineStr">
        <is>
          <t>La silla vacía</t>
        </is>
      </c>
      <c r="E151" s="89" t="inlineStr">
        <is>
          <t>빈 의자</t>
        </is>
      </c>
      <c r="F151" s="89" t="inlineStr">
        <is>
          <t>커피 한 잔이 놓인 빈 자리. 새 손님이 그 자리에 앉으려 한다.</t>
        </is>
      </c>
      <c r="G151" s="88" t="inlineStr">
        <is>
          <t>—</t>
        </is>
      </c>
      <c r="H151" s="88" t="inlineStr">
        <is>
          <t>Pepa, Ramón</t>
        </is>
      </c>
      <c r="I151" s="111" t="n"/>
      <c r="J151" s="111">
        <f>턴_설계!$B$5</f>
        <v/>
      </c>
    </row>
    <row r="152" ht="29.25" customHeight="1" s="81">
      <c r="A152" s="111" t="n">
        <v>13</v>
      </c>
      <c r="B152" s="111" t="n">
        <v>4</v>
      </c>
      <c r="C152" s="113" t="inlineStr">
        <is>
          <t>전개</t>
        </is>
      </c>
      <c r="D152" s="88" t="inlineStr">
        <is>
          <t>Una fundación para el despacho</t>
        </is>
      </c>
      <c r="E152" s="89" t="inlineStr">
        <is>
          <t>사무소를 재단으로</t>
        </is>
      </c>
      <c r="F152" s="89" t="inlineStr">
        <is>
          <t>장관들이 사무소를 떠나며 재단으로 전환. Nieves와 Pepa가 운영을 맡는다.</t>
        </is>
      </c>
      <c r="G152" s="89" t="inlineStr">
        <is>
          <t>재단 설립, 고위직 이해충돌</t>
        </is>
      </c>
      <c r="H152" s="88" t="inlineStr">
        <is>
          <t>Nieves, Pepa, Gonzalo</t>
        </is>
      </c>
      <c r="I152" s="111" t="n"/>
      <c r="J152" s="111">
        <f>턴_설계!$B$5</f>
        <v/>
      </c>
    </row>
    <row r="153" ht="29.25" customHeight="1" s="81">
      <c r="A153" s="111" t="n">
        <v>13</v>
      </c>
      <c r="B153" s="111" t="n">
        <v>5</v>
      </c>
      <c r="C153" s="113" t="inlineStr">
        <is>
          <t>전개</t>
        </is>
      </c>
      <c r="D153" s="88" t="inlineStr">
        <is>
          <t>El becario nuevo</t>
        </is>
      </c>
      <c r="E153" s="89" t="inlineStr">
        <is>
          <t>새 인턴</t>
        </is>
      </c>
      <c r="F153" s="89" t="inlineStr">
        <is>
          <t>새 인턴 Lucas가 도착해 «Perdone, ¿qué significa eso?»라고 묻는다. Carmen이 답하는 쪽에 선다.</t>
        </is>
      </c>
      <c r="G153" s="88" t="inlineStr">
        <is>
          <t>—</t>
        </is>
      </c>
      <c r="H153" s="88" t="inlineStr">
        <is>
          <t>Carmen, Lucas(신규 엑스트라)</t>
        </is>
      </c>
      <c r="I153" s="111" t="inlineStr">
        <is>
          <t>S1</t>
        </is>
      </c>
      <c r="J153" s="111">
        <f>턴_설계!$B$5</f>
        <v/>
      </c>
    </row>
    <row r="154" ht="29.25" customHeight="1" s="81">
      <c r="A154" s="111" t="n">
        <v>13</v>
      </c>
      <c r="B154" s="111" t="n">
        <v>6</v>
      </c>
      <c r="C154" s="113" t="inlineStr">
        <is>
          <t>미드포인트</t>
        </is>
      </c>
      <c r="D154" s="88" t="inlineStr">
        <is>
          <t>Carmen explica</t>
        </is>
      </c>
      <c r="E154" s="88" t="inlineStr">
        <is>
          <t>Carmen의 설명</t>
        </is>
      </c>
      <c r="F154" s="88" t="inlineStr">
        <is>
          <t>Lucas의 질문에 Carmen이 어려운 말을 쉬운 말로 풀어 준다. Ramón도 함께 배운다.</t>
        </is>
      </c>
      <c r="G154" s="88" t="inlineStr">
        <is>
          <t>—</t>
        </is>
      </c>
      <c r="H154" s="88" t="inlineStr">
        <is>
          <t>Carmen, Ramón</t>
        </is>
      </c>
      <c r="I154" s="111" t="inlineStr">
        <is>
          <t>S1</t>
        </is>
      </c>
      <c r="J154" s="111">
        <f>턴_설계!$B$5</f>
        <v/>
      </c>
    </row>
    <row r="155" ht="29.25" customHeight="1" s="81">
      <c r="A155" s="111" t="n">
        <v>13</v>
      </c>
      <c r="B155" s="111" t="n">
        <v>7</v>
      </c>
      <c r="C155" s="113" t="inlineStr">
        <is>
          <t>전개</t>
        </is>
      </c>
      <c r="D155" s="88" t="inlineStr">
        <is>
          <t>El informe de la legislatura</t>
        </is>
      </c>
      <c r="E155" s="89" t="inlineStr">
        <is>
          <t>임기 보고서</t>
        </is>
      </c>
      <c r="F155" s="88" t="inlineStr">
        <is>
          <t>Sofía가 숫자로 성과를 발표하고 Javier가 사람 이야기로 보완한다.</t>
        </is>
      </c>
      <c r="G155" s="89" t="inlineStr">
        <is>
          <t>성과 공시, Diario de Sesiones</t>
        </is>
      </c>
      <c r="H155" s="88" t="inlineStr">
        <is>
          <t>Sofía, Javier</t>
        </is>
      </c>
      <c r="I155" s="111" t="inlineStr">
        <is>
          <t>E3·S3·N5·N3</t>
        </is>
      </c>
      <c r="J155" s="111">
        <f>턴_설계!$B$5</f>
        <v/>
      </c>
    </row>
    <row r="156" ht="16.5" customHeight="1" s="81">
      <c r="A156" s="111" t="n">
        <v>13</v>
      </c>
      <c r="B156" s="111" t="n">
        <v>8</v>
      </c>
      <c r="C156" s="113" t="inlineStr">
        <is>
          <t>전개</t>
        </is>
      </c>
      <c r="D156" s="88" t="inlineStr">
        <is>
          <t>Las cartas de la gente</t>
        </is>
      </c>
      <c r="E156" s="89" t="inlineStr">
        <is>
          <t>시민들이 보낸 편지</t>
        </is>
      </c>
      <c r="F156" s="88" t="inlineStr">
        <is>
          <t>Inés가 편지를 낭독하고 Tomás가 답장을 쓴다.</t>
        </is>
      </c>
      <c r="G156" s="88" t="inlineStr">
        <is>
          <t>—</t>
        </is>
      </c>
      <c r="H156" s="88" t="inlineStr">
        <is>
          <t>Inés, Tomás</t>
        </is>
      </c>
      <c r="I156" s="111" t="n"/>
      <c r="J156" s="111">
        <f>턴_설계!$B$5</f>
        <v/>
      </c>
    </row>
    <row r="157" ht="16.5" customHeight="1" s="81">
      <c r="A157" s="111" t="n">
        <v>13</v>
      </c>
      <c r="B157" s="111" t="n">
        <v>9</v>
      </c>
      <c r="C157" s="113" t="inlineStr">
        <is>
          <t>위기</t>
        </is>
      </c>
      <c r="D157" s="88" t="inlineStr">
        <is>
          <t>La vieja guardia</t>
        </is>
      </c>
      <c r="E157" s="89" t="inlineStr">
        <is>
          <t>올드 가드</t>
        </is>
      </c>
      <c r="F157" s="88" t="inlineStr">
        <is>
          <t>Ramón과 Raimundo와 빈 의자. Raimundo가 마지막 카드를 꺼낸다.</t>
        </is>
      </c>
      <c r="G157" s="88" t="inlineStr">
        <is>
          <t>—</t>
        </is>
      </c>
      <c r="H157" s="88" t="inlineStr">
        <is>
          <t>Ramón, Raimundo</t>
        </is>
      </c>
      <c r="I157" s="111" t="n"/>
      <c r="J157" s="111">
        <f>턴_설계!$B$5</f>
        <v/>
      </c>
    </row>
    <row r="158" ht="29.25" customHeight="1" s="81">
      <c r="A158" s="111" t="n">
        <v>13</v>
      </c>
      <c r="B158" s="111" t="n">
        <v>10</v>
      </c>
      <c r="C158" s="113" t="inlineStr">
        <is>
          <t>절정</t>
        </is>
      </c>
      <c r="D158" s="88" t="inlineStr">
        <is>
          <t>La ficha que faltaba</t>
        </is>
      </c>
      <c r="E158" s="89" t="inlineStr">
        <is>
          <t>빠진 카드</t>
        </is>
      </c>
      <c r="F158" s="89" t="inlineStr">
        <is>
          <t>카드 뒷면에 끝내 적지 않던 것. Raimundo가 처음으로 결론을 직접 말한다.</t>
        </is>
      </c>
      <c r="G158" s="88" t="inlineStr">
        <is>
          <t>—</t>
        </is>
      </c>
      <c r="H158" s="88" t="inlineStr">
        <is>
          <t>Raimundo, Carmen</t>
        </is>
      </c>
      <c r="I158" s="111" t="n"/>
      <c r="J158" s="111">
        <f>턴_설계!$B$5</f>
        <v/>
      </c>
    </row>
    <row r="159" ht="29.25" customHeight="1" s="81">
      <c r="A159" s="111" t="n">
        <v>13</v>
      </c>
      <c r="B159" s="111" t="n">
        <v>11</v>
      </c>
      <c r="C159" s="113" t="inlineStr">
        <is>
          <t>절정</t>
        </is>
      </c>
      <c r="D159" s="88" t="inlineStr">
        <is>
          <t>Otra vez las cinco</t>
        </is>
      </c>
      <c r="E159" s="89" t="inlineStr">
        <is>
          <t>다시 다섯 시</t>
        </is>
      </c>
      <c r="F159" s="88" t="inlineStr">
        <is>
          <t>1부 1화 장면을 새 인턴이 읽고, 낭독 학습자도 다시 읽는다. 원형 구조.</t>
        </is>
      </c>
      <c r="G159" s="88" t="inlineStr">
        <is>
          <t>—</t>
        </is>
      </c>
      <c r="H159" s="89" t="inlineStr">
        <is>
          <t>전원</t>
        </is>
      </c>
      <c r="I159" s="111" t="n"/>
      <c r="J159" s="111">
        <f>턴_설계!$B$5</f>
        <v/>
      </c>
    </row>
    <row r="160" ht="16.5" customHeight="1" s="81">
      <c r="A160" s="111" t="n">
        <v>13</v>
      </c>
      <c r="B160" s="111" t="n">
        <v>12</v>
      </c>
      <c r="C160" s="113" t="inlineStr">
        <is>
          <t>결말</t>
        </is>
      </c>
      <c r="D160" s="88" t="inlineStr">
        <is>
          <t>Sentaos, que os pongo algo</t>
        </is>
      </c>
      <c r="E160" s="89" t="inlineStr">
        <is>
          <t>앉아, 뭐 좀 내줄게</t>
        </is>
      </c>
      <c r="F160" s="89" t="inlineStr">
        <is>
          <t>최종화. Pepa의 시그니처로 끝난다.</t>
        </is>
      </c>
      <c r="G160" s="88" t="inlineStr">
        <is>
          <t>—</t>
        </is>
      </c>
      <c r="H160" s="88" t="inlineStr">
        <is>
          <t>Pepa, 전원</t>
        </is>
      </c>
      <c r="I160" s="111" t="n"/>
      <c r="J160" s="111">
        <f>턴_설계!$B$5</f>
        <v/>
      </c>
    </row>
    <row r="161" ht="15" customHeight="1" s="81">
      <c r="I161" s="150" t="inlineStr">
        <is>
          <t>합계</t>
        </is>
      </c>
      <c r="J161" s="151">
        <f>SUM(J5:J160)</f>
        <v/>
      </c>
    </row>
  </sheetData>
  <autoFilter ref="A4:J160"/>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tabColor rgb="FF1F3864"/>
    <outlinePr summaryBelow="1" summaryRight="1"/>
    <pageSetUpPr fitToPage="1"/>
  </sheetPr>
  <dimension ref="A1:I67"/>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5" customWidth="1" style="80" min="1" max="1"/>
    <col width="34" customWidth="1" style="80" min="2" max="2"/>
    <col width="12" customWidth="1" style="80" min="3" max="3"/>
    <col width="8" customWidth="1" style="80" min="4" max="4"/>
    <col width="16" customWidth="1" style="80" min="5" max="5"/>
    <col width="8" customWidth="1" style="80" min="6" max="7"/>
    <col width="42" customWidth="1" style="80" min="8" max="8"/>
    <col width="20" customWidth="1" style="80" min="9" max="9"/>
  </cols>
  <sheetData>
    <row r="1" ht="24" customHeight="1" s="81">
      <c r="A1" s="101" t="inlineStr">
        <is>
          <t>복선 설치와 회수 (Setup → Payoff)</t>
        </is>
      </c>
    </row>
    <row r="2" ht="15" customHeight="1" s="81">
      <c r="A2" s="100" t="inlineStr">
        <is>
          <t>설치 부와 회수 부의 간격(부 수)은 수식으로 계산됩니다. 간격이 클수록 오래 기다린 복선이라 낭독 시 기억에 남습니다.</t>
        </is>
      </c>
    </row>
    <row r="4" ht="30" customHeight="1" s="81">
      <c r="A4" s="110" t="inlineStr">
        <is>
          <t>No</t>
        </is>
      </c>
      <c r="B4" s="103" t="inlineStr">
        <is>
          <t>복선(설치)</t>
        </is>
      </c>
      <c r="C4" s="103" t="inlineStr">
        <is>
          <t>유형</t>
        </is>
      </c>
      <c r="D4" s="103" t="inlineStr">
        <is>
          <t>설치 부</t>
        </is>
      </c>
      <c r="E4" s="103" t="inlineStr">
        <is>
          <t>설치 위치</t>
        </is>
      </c>
      <c r="F4" s="103" t="inlineStr">
        <is>
          <t>회수 부</t>
        </is>
      </c>
      <c r="G4" s="103" t="inlineStr">
        <is>
          <t>간격(부)</t>
        </is>
      </c>
      <c r="H4" s="103" t="inlineStr">
        <is>
          <t>회수 위치와 효과</t>
        </is>
      </c>
      <c r="I4" s="103" t="inlineStr">
        <is>
          <t>관련 인물</t>
        </is>
      </c>
    </row>
    <row r="5" ht="29.25" customHeight="1" s="81">
      <c r="A5" s="111" t="n">
        <v>1</v>
      </c>
      <c r="B5" s="88" t="inlineStr">
        <is>
          <t>Anselmo의 «Este será mi último invierno» 반복</t>
        </is>
      </c>
      <c r="C5" s="113" t="inlineStr">
        <is>
          <t>대사</t>
        </is>
      </c>
      <c r="D5" s="112" t="n">
        <v>1</v>
      </c>
      <c r="E5" s="88" t="inlineStr">
        <is>
          <t>1부 1화</t>
        </is>
      </c>
      <c r="F5" s="112" t="n">
        <v>11</v>
      </c>
      <c r="G5" s="111">
        <f>F5-D5</f>
        <v/>
      </c>
      <c r="H5" s="88" t="inlineStr">
        <is>
          <t>11부 12화 — 양치기 소년 개그가 진짜 죽음이 되는 낙차</t>
        </is>
      </c>
      <c r="I5" s="88" t="inlineStr">
        <is>
          <t>Anselmo</t>
        </is>
      </c>
    </row>
    <row r="6" ht="29.25" customHeight="1" s="81">
      <c r="A6" s="111" t="n">
        <v>2</v>
      </c>
      <c r="B6" s="88" t="inlineStr">
        <is>
          <t>Anselmo가 Carmen에게 우산을 물려준다고 말한다</t>
        </is>
      </c>
      <c r="C6" s="113" t="inlineStr">
        <is>
          <t>소품</t>
        </is>
      </c>
      <c r="D6" s="112" t="n">
        <v>1</v>
      </c>
      <c r="E6" s="88" t="inlineStr">
        <is>
          <t>1부 1화</t>
        </is>
      </c>
      <c r="F6" s="112" t="n">
        <v>13</v>
      </c>
      <c r="G6" s="111">
        <f>F6-D6</f>
        <v/>
      </c>
      <c r="H6" s="88" t="inlineStr">
        <is>
          <t>13부 2화 — 유언장에서 우산이 진짜 유산으로 돌아옴</t>
        </is>
      </c>
      <c r="I6" s="88" t="inlineStr">
        <is>
          <t>Anselmo, Carmen</t>
        </is>
      </c>
    </row>
    <row r="7" ht="29.25" customHeight="1" s="81">
      <c r="A7" s="111" t="n">
        <v>3</v>
      </c>
      <c r="B7" s="88" t="inlineStr">
        <is>
          <t>Anselmo의 부은 발목·숨참</t>
        </is>
      </c>
      <c r="C7" s="113" t="inlineStr">
        <is>
          <t>설정</t>
        </is>
      </c>
      <c r="D7" s="112" t="n">
        <v>3</v>
      </c>
      <c r="E7" s="88" t="inlineStr">
        <is>
          <t>3부 1·5화</t>
        </is>
      </c>
      <c r="F7" s="112" t="n">
        <v>11</v>
      </c>
      <c r="G7" s="111">
        <f>F7-D7</f>
        <v/>
      </c>
      <c r="H7" s="88" t="inlineStr">
        <is>
          <t>11부 4~6화 — Javier가 진단을 알고도 침묵한 이유가 드러남</t>
        </is>
      </c>
      <c r="I7" s="88" t="inlineStr">
        <is>
          <t>Javier, Anselmo</t>
        </is>
      </c>
    </row>
    <row r="8" ht="29.25" customHeight="1" s="81">
      <c r="A8" s="111" t="n">
        <v>4</v>
      </c>
      <c r="B8" s="88" t="inlineStr">
        <is>
          <t>Anselmo의 최고 칭찬 «No está mal.»</t>
        </is>
      </c>
      <c r="C8" s="113" t="inlineStr">
        <is>
          <t>대사</t>
        </is>
      </c>
      <c r="D8" s="112" t="n">
        <v>1</v>
      </c>
      <c r="E8" s="88" t="inlineStr">
        <is>
          <t>1부 7화(Tomás에게 1회)</t>
        </is>
      </c>
      <c r="F8" s="112" t="n">
        <v>11</v>
      </c>
      <c r="G8" s="111">
        <f>F8-D8</f>
        <v/>
      </c>
      <c r="H8" s="88" t="inlineStr">
        <is>
          <t>11부 12화 — Carmen에게 처음이자 마지막 칭찬, 브뤼셀 승리 직후라 더 무겁다</t>
        </is>
      </c>
      <c r="I8" s="88" t="inlineStr">
        <is>
          <t>Anselmo, Carmen</t>
        </is>
      </c>
    </row>
    <row r="9" ht="29.25" customHeight="1" s="81">
      <c r="A9" s="111" t="n">
        <v>5</v>
      </c>
      <c r="B9" s="88" t="inlineStr">
        <is>
          <t>Carmen의 1차 폭발</t>
        </is>
      </c>
      <c r="C9" s="113" t="inlineStr">
        <is>
          <t>사건</t>
        </is>
      </c>
      <c r="D9" s="112" t="n">
        <v>1</v>
      </c>
      <c r="E9" s="88" t="inlineStr">
        <is>
          <t>1부 6화</t>
        </is>
      </c>
      <c r="F9" s="112" t="n">
        <v>9</v>
      </c>
      <c r="G9" s="111">
        <f>F9-D9</f>
        <v/>
      </c>
      <c r="H9" s="88" t="inlineStr">
        <is>
          <t>9부 6화 — 몰라서 화내던 Carmen → 알아서 화내는 Carmen</t>
        </is>
      </c>
      <c r="I9" s="88" t="inlineStr">
        <is>
          <t>Carmen</t>
        </is>
      </c>
    </row>
    <row r="10" ht="29.25" customHeight="1" s="81">
      <c r="A10" s="111" t="n">
        <v>6</v>
      </c>
      <c r="B10" s="88" t="inlineStr">
        <is>
          <t>Carmen의 usted (Anselmo에게)</t>
        </is>
      </c>
      <c r="C10" s="113" t="inlineStr">
        <is>
          <t>호칭</t>
        </is>
      </c>
      <c r="D10" s="112" t="n">
        <v>1</v>
      </c>
      <c r="E10" s="88" t="inlineStr">
        <is>
          <t>1부 1화</t>
        </is>
      </c>
      <c r="F10" s="112" t="n">
        <v>11</v>
      </c>
      <c r="G10" s="111">
        <f>F10-D10</f>
        <v/>
      </c>
      <c r="H10" s="88" t="inlineStr">
        <is>
          <t>11부 7화 — 조사에서 처음 tú — 호칭 전환이 곧 애도</t>
        </is>
      </c>
      <c r="I10" s="88" t="inlineStr">
        <is>
          <t>Carmen, Anselmo</t>
        </is>
      </c>
    </row>
    <row r="11" ht="29.25" customHeight="1" s="81">
      <c r="A11" s="111" t="n">
        <v>7</v>
      </c>
      <c r="B11" s="88" t="inlineStr">
        <is>
          <t>Raimundo의 카드 #1과 «Búscalo tú.»</t>
        </is>
      </c>
      <c r="C11" s="113" t="inlineStr">
        <is>
          <t>대사</t>
        </is>
      </c>
      <c r="D11" s="112" t="n">
        <v>1</v>
      </c>
      <c r="E11" s="88" t="inlineStr">
        <is>
          <t>1부 2화</t>
        </is>
      </c>
      <c r="F11" s="112" t="n">
        <v>13</v>
      </c>
      <c r="G11" s="111">
        <f>F11-D11</f>
        <v/>
      </c>
      <c r="H11" s="88" t="inlineStr">
        <is>
          <t>13부 10화 — 끝까지 결론을 말하지 않던 그가 처음 답을 말함</t>
        </is>
      </c>
      <c r="I11" s="88" t="inlineStr">
        <is>
          <t>Raimundo, Carmen</t>
        </is>
      </c>
    </row>
    <row r="12" ht="29.25" customHeight="1" s="81">
      <c r="A12" s="111" t="n">
        <v>8</v>
      </c>
      <c r="B12" s="88" t="inlineStr">
        <is>
          <t>Mateo의 조항 «resolución por obras»</t>
        </is>
      </c>
      <c r="C12" s="113" t="inlineStr">
        <is>
          <t>사건</t>
        </is>
      </c>
      <c r="D12" s="112" t="n">
        <v>2</v>
      </c>
      <c r="E12" s="88" t="inlineStr">
        <is>
          <t>2부 6화</t>
        </is>
      </c>
      <c r="F12" s="112" t="n">
        <v>11</v>
      </c>
      <c r="G12" s="111">
        <f>F12-D12</f>
        <v/>
      </c>
      <c r="H12" s="88" t="inlineStr">
        <is>
          <t>11부 3화 — 자기가 만든 조항을 국정에서 폐지</t>
        </is>
      </c>
      <c r="I12" s="88" t="inlineStr">
        <is>
          <t>Mateo</t>
        </is>
      </c>
    </row>
    <row r="13" ht="29.25" customHeight="1" s="81">
      <c r="A13" s="111" t="n">
        <v>9</v>
      </c>
      <c r="B13" s="88" t="inlineStr">
        <is>
          <t>Sofía의 «Esto no cuadra»</t>
        </is>
      </c>
      <c r="C13" s="113" t="inlineStr">
        <is>
          <t>대사</t>
        </is>
      </c>
      <c r="D13" s="112" t="n">
        <v>2</v>
      </c>
      <c r="E13" s="88" t="inlineStr">
        <is>
          <t>2부 4화</t>
        </is>
      </c>
      <c r="F13" s="112" t="n">
        <v>4</v>
      </c>
      <c r="G13" s="111">
        <f>F13-D13</f>
        <v/>
      </c>
      <c r="H13" s="88" t="inlineStr">
        <is>
          <t>4부 4화 — 감사인의 눈이 처음 이상을 발견한 순간의 원점</t>
        </is>
      </c>
      <c r="I13" s="88" t="inlineStr">
        <is>
          <t>Sofía</t>
        </is>
      </c>
    </row>
    <row r="14" ht="42" customHeight="1" s="81">
      <c r="A14" s="111" t="n">
        <v>10</v>
      </c>
      <c r="B14" s="88" t="inlineStr">
        <is>
          <t>Mateo와 Sofía, tú로 전환</t>
        </is>
      </c>
      <c r="C14" s="113" t="inlineStr">
        <is>
          <t>관계</t>
        </is>
      </c>
      <c r="D14" s="112" t="n">
        <v>2</v>
      </c>
      <c r="E14" s="88" t="inlineStr">
        <is>
          <t>2부 10화</t>
        </is>
      </c>
      <c r="F14" s="112" t="n">
        <v>6</v>
      </c>
      <c r="G14" s="111">
        <f>F14-D14</f>
        <v/>
      </c>
      <c r="H14" s="88" t="inlineStr">
        <is>
          <t>6부 — 레스토랑 테라스에서 «같은 배를 탄 사람들끼린 말을 놓는다»며 처음 tú 사용 — 6부 재회 시 이미 tú인 이유</t>
        </is>
      </c>
      <c r="I14" s="88" t="inlineStr">
        <is>
          <t>Mateo, Sofía</t>
        </is>
      </c>
    </row>
    <row r="15" ht="16.5" customHeight="1" s="81">
      <c r="A15" s="111" t="n">
        <v>11</v>
      </c>
      <c r="B15" s="88" t="inlineStr">
        <is>
          <t>Sofía의 복사본 USB</t>
        </is>
      </c>
      <c r="C15" s="113" t="inlineStr">
        <is>
          <t>소품</t>
        </is>
      </c>
      <c r="D15" s="112" t="n">
        <v>4</v>
      </c>
      <c r="E15" s="88" t="inlineStr">
        <is>
          <t>4부 10화</t>
        </is>
      </c>
      <c r="F15" s="112" t="n">
        <v>7</v>
      </c>
      <c r="G15" s="111">
        <f>F15-D15</f>
        <v/>
      </c>
      <c r="H15" s="88" t="inlineStr">
        <is>
          <t>7부 5~6화 — 서명의 죄가 고소의 증거로 바뀜</t>
        </is>
      </c>
      <c r="I15" s="88" t="inlineStr">
        <is>
          <t>Sofía, Mateo</t>
        </is>
      </c>
    </row>
    <row r="16" ht="29.25" customHeight="1" s="81">
      <c r="A16" s="111" t="n">
        <v>12</v>
      </c>
      <c r="B16" s="88" t="inlineStr">
        <is>
          <t>Sofía의 «다시는 서명하지 않는다»</t>
        </is>
      </c>
      <c r="C16" s="113" t="inlineStr">
        <is>
          <t>인물</t>
        </is>
      </c>
      <c r="D16" s="112" t="n">
        <v>4</v>
      </c>
      <c r="E16" s="88" t="inlineStr">
        <is>
          <t>4부 11화</t>
        </is>
      </c>
      <c r="F16" s="112" t="n">
        <v>11</v>
      </c>
      <c r="G16" s="111">
        <f>F16-D16</f>
        <v/>
      </c>
      <c r="H16" s="88" t="inlineStr">
        <is>
          <t>11부 9화 — «Yo solo firmo lo que he verificado» — 숫자 서명의 회수</t>
        </is>
      </c>
      <c r="I16" s="88" t="inlineStr">
        <is>
          <t>Sofía</t>
        </is>
      </c>
    </row>
    <row r="17" ht="29.25" customHeight="1" s="81">
      <c r="A17" s="111" t="n">
        <v>13</v>
      </c>
      <c r="B17" s="88" t="inlineStr">
        <is>
          <t>Diego의 C47 셀</t>
        </is>
      </c>
      <c r="C17" s="113" t="inlineStr">
        <is>
          <t>소품</t>
        </is>
      </c>
      <c r="D17" s="112" t="n">
        <v>5</v>
      </c>
      <c r="E17" s="88" t="inlineStr">
        <is>
          <t>5부 6화</t>
        </is>
      </c>
      <c r="F17" s="112" t="n">
        <v>11</v>
      </c>
      <c r="G17" s="111">
        <f>F17-D17</f>
        <v/>
      </c>
      <c r="H17" s="88" t="inlineStr">
        <is>
          <t>11부 9화 — 사람을 지우던 셀이 해고 없는 통합 모델로</t>
        </is>
      </c>
      <c r="I17" s="88" t="inlineStr">
        <is>
          <t>Diego</t>
        </is>
      </c>
    </row>
    <row r="18" ht="29.25" customHeight="1" s="81">
      <c r="A18" s="111" t="n">
        <v>14</v>
      </c>
      <c r="B18" s="88" t="inlineStr">
        <is>
          <t>Diego의 «Pongámoslo en una matriz»</t>
        </is>
      </c>
      <c r="C18" s="113" t="inlineStr">
        <is>
          <t>대사</t>
        </is>
      </c>
      <c r="D18" s="112" t="n">
        <v>1</v>
      </c>
      <c r="E18" s="88" t="inlineStr">
        <is>
          <t>1부 1화</t>
        </is>
      </c>
      <c r="F18" s="112" t="n">
        <v>13</v>
      </c>
      <c r="G18" s="111">
        <f>F18-D18</f>
        <v/>
      </c>
      <c r="H18" s="88" t="inlineStr">
        <is>
          <t>13부 6화 — «Vale, sin diapositivas» — 쉬운 말로의 변화</t>
        </is>
      </c>
      <c r="I18" s="88" t="inlineStr">
        <is>
          <t>Diego</t>
        </is>
      </c>
    </row>
    <row r="19" ht="29.25" customHeight="1" s="81">
      <c r="A19" s="111" t="n">
        <v>15</v>
      </c>
      <c r="B19" s="88" t="inlineStr">
        <is>
          <t>Javier의 이름 명단</t>
        </is>
      </c>
      <c r="C19" s="113" t="inlineStr">
        <is>
          <t>소품</t>
        </is>
      </c>
      <c r="D19" s="112" t="n">
        <v>3</v>
      </c>
      <c r="E19" s="88" t="inlineStr">
        <is>
          <t>3부 5화</t>
        </is>
      </c>
      <c r="F19" s="112" t="n">
        <v>12</v>
      </c>
      <c r="G19" s="111">
        <f>F19-D19</f>
        <v/>
      </c>
      <c r="H19" s="88" t="inlineStr">
        <is>
          <t>12부 7화 — 수첩의 이름들이 성과 보고서의 사람 이야기가 됨</t>
        </is>
      </c>
      <c r="I19" s="88" t="inlineStr">
        <is>
          <t>Javier</t>
        </is>
      </c>
    </row>
    <row r="20" ht="16.5" customHeight="1" s="81">
      <c r="A20" s="111" t="n">
        <v>16</v>
      </c>
      <c r="B20" s="88" t="inlineStr">
        <is>
          <t>Nieves–Diego 갈등</t>
        </is>
      </c>
      <c r="C20" s="113" t="inlineStr">
        <is>
          <t>관계</t>
        </is>
      </c>
      <c r="D20" s="112" t="n">
        <v>5</v>
      </c>
      <c r="E20" s="88" t="inlineStr">
        <is>
          <t>5부 7·10화</t>
        </is>
      </c>
      <c r="F20" s="112" t="n">
        <v>10</v>
      </c>
      <c r="G20" s="111">
        <f>F20-D20</f>
        <v/>
      </c>
      <c r="H20" s="88" t="inlineStr">
        <is>
          <t>10부 8화 — 해고한 쪽과 해고당한 쪽의 화해</t>
        </is>
      </c>
      <c r="I20" s="88" t="inlineStr">
        <is>
          <t>Nieves, Diego</t>
        </is>
      </c>
    </row>
    <row r="21" ht="29.25" customHeight="1" s="81">
      <c r="A21" s="111" t="n">
        <v>17</v>
      </c>
      <c r="B21" s="88" t="inlineStr">
        <is>
          <t>Gonzalo의 첫 등장(의뢰인)</t>
        </is>
      </c>
      <c r="C21" s="113" t="inlineStr">
        <is>
          <t>인물</t>
        </is>
      </c>
      <c r="D21" s="112" t="n">
        <v>1</v>
      </c>
      <c r="E21" s="88" t="inlineStr">
        <is>
          <t>1부 9화</t>
        </is>
      </c>
      <c r="F21" s="112" t="n">
        <v>9</v>
      </c>
      <c r="G21" s="111">
        <f>F21-D21</f>
        <v/>
      </c>
      <c r="H21" s="88" t="inlineStr">
        <is>
          <t>9부 8화 — 내부고발자가 시 계약 스캔들의 열쇠가 됨</t>
        </is>
      </c>
      <c r="I21" s="88" t="inlineStr">
        <is>
          <t>Gonzalo</t>
        </is>
      </c>
    </row>
    <row r="22" ht="29.25" customHeight="1" s="81">
      <c r="A22" s="111" t="n">
        <v>18</v>
      </c>
      <c r="B22" s="88" t="inlineStr">
        <is>
          <t>Grupo Meridiano의 이름</t>
        </is>
      </c>
      <c r="C22" s="113" t="inlineStr">
        <is>
          <t>설정</t>
        </is>
      </c>
      <c r="D22" s="112" t="n">
        <v>2</v>
      </c>
      <c r="E22" s="88" t="inlineStr">
        <is>
          <t>2부 3화</t>
        </is>
      </c>
      <c r="F22" s="112" t="n">
        <v>12</v>
      </c>
      <c r="G22" s="111">
        <f>F22-D22</f>
        <v/>
      </c>
      <c r="H22" s="88" t="inlineStr">
        <is>
          <t>12부 7화 — 12개 부를 관통하는 악역이 재판에 이르는 흐름</t>
        </is>
      </c>
      <c r="I22" s="89" t="inlineStr">
        <is>
          <t>전원</t>
        </is>
      </c>
    </row>
    <row r="23" ht="29.25" customHeight="1" s="81">
      <c r="A23" s="111" t="n">
        <v>19</v>
      </c>
      <c r="B23" s="88" t="inlineStr">
        <is>
          <t>Lucía의 «¿Y cómo te hace sentir eso?»</t>
        </is>
      </c>
      <c r="C23" s="113" t="inlineStr">
        <is>
          <t>대사</t>
        </is>
      </c>
      <c r="D23" s="112" t="n">
        <v>1</v>
      </c>
      <c r="E23" s="88" t="inlineStr">
        <is>
          <t>1부 7화</t>
        </is>
      </c>
      <c r="F23" s="112" t="n">
        <v>11</v>
      </c>
      <c r="G23" s="111">
        <f>F23-D23</f>
        <v/>
      </c>
      <c r="H23" s="88" t="inlineStr">
        <is>
          <t>11부(애도 상담) — 다들 질색하던 질문이 처음 진지하게 쓰임</t>
        </is>
      </c>
      <c r="I23" s="88" t="inlineStr">
        <is>
          <t>Lucía</t>
        </is>
      </c>
    </row>
    <row r="24" ht="29.25" customHeight="1" s="81">
      <c r="A24" s="111" t="n">
        <v>20</v>
      </c>
      <c r="B24" s="88" t="inlineStr">
        <is>
          <t>Tomás의 서툰 첫 연설</t>
        </is>
      </c>
      <c r="C24" s="113" t="inlineStr">
        <is>
          <t>사건</t>
        </is>
      </c>
      <c r="D24" s="112" t="n">
        <v>6</v>
      </c>
      <c r="E24" s="88" t="inlineStr">
        <is>
          <t>6부 9화</t>
        </is>
      </c>
      <c r="F24" s="112" t="n">
        <v>10</v>
      </c>
      <c r="G24" s="111">
        <f>F24-D24</f>
        <v/>
      </c>
      <c r="H24" s="88" t="inlineStr">
        <is>
          <t>10부 12화 — 취임 연설·유작 메모까지 이어지는 글쟁이의 성장</t>
        </is>
      </c>
      <c r="I24" s="88" t="inlineStr">
        <is>
          <t>Tomás</t>
        </is>
      </c>
    </row>
    <row r="25" ht="29.25" customHeight="1" s="81">
      <c r="A25" s="111" t="n">
        <v>21</v>
      </c>
      <c r="B25" s="88" t="inlineStr">
        <is>
          <t>Ramón의 «Sin novedad»</t>
        </is>
      </c>
      <c r="C25" s="113" t="inlineStr">
        <is>
          <t>대사</t>
        </is>
      </c>
      <c r="D25" s="112" t="n">
        <v>1</v>
      </c>
      <c r="E25" s="88" t="inlineStr">
        <is>
          <t>1부 4화</t>
        </is>
      </c>
      <c r="F25" s="112" t="n">
        <v>11</v>
      </c>
      <c r="G25" s="111">
        <f>F25-D25</f>
        <v/>
      </c>
      <c r="H25" s="88" t="inlineStr">
        <is>
          <t>11부 11화 — 재난 앞에서 처음으로 'novedad이 있다'고 보고</t>
        </is>
      </c>
      <c r="I25" s="88" t="inlineStr">
        <is>
          <t>Ramón</t>
        </is>
      </c>
    </row>
    <row r="26" ht="29.25" customHeight="1" s="81">
      <c r="A26" s="111" t="n">
        <v>22</v>
      </c>
      <c r="B26" s="88" t="inlineStr">
        <is>
          <t>Pepa의 식탁과 «Sentaos, que os pongo algo.»</t>
        </is>
      </c>
      <c r="C26" s="113" t="inlineStr">
        <is>
          <t>소품</t>
        </is>
      </c>
      <c r="D26" s="112" t="n">
        <v>1</v>
      </c>
      <c r="E26" s="88" t="inlineStr">
        <is>
          <t>1부 1·12화</t>
        </is>
      </c>
      <c r="F26" s="112" t="n">
        <v>13</v>
      </c>
      <c r="G26" s="111">
        <f>F26-D26</f>
        <v/>
      </c>
      <c r="H26" s="88" t="inlineStr">
        <is>
          <t>13부 12화 — 같은 대사로 시작해 같은 대사로 끝나는 원형</t>
        </is>
      </c>
      <c r="I26" s="88" t="inlineStr">
        <is>
          <t>Pepa</t>
        </is>
      </c>
    </row>
    <row r="27" ht="29.25" customHeight="1" s="81">
      <c r="A27" s="111" t="n">
        <v>23</v>
      </c>
      <c r="B27" s="88" t="inlineStr">
        <is>
          <t>«Son las cinco. Empieza la reunión…»</t>
        </is>
      </c>
      <c r="C27" s="113" t="inlineStr">
        <is>
          <t>대사</t>
        </is>
      </c>
      <c r="D27" s="112" t="n">
        <v>6</v>
      </c>
      <c r="E27" s="88" t="inlineStr">
        <is>
          <t>6부 12화</t>
        </is>
      </c>
      <c r="F27" s="112" t="n">
        <v>13</v>
      </c>
      <c r="G27" s="111">
        <f>F27-D27</f>
        <v/>
      </c>
      <c r="H27" s="88" t="inlineStr">
        <is>
          <t>13부 1·11화 — 시간의 고리: 낭독자가 같은 문장을 다시 읽음</t>
        </is>
      </c>
      <c r="I27" s="88" t="inlineStr">
        <is>
          <t>Pepa, 전원</t>
        </is>
      </c>
    </row>
    <row r="28" ht="29.25" customHeight="1" s="81">
      <c r="A28" s="111" t="n">
        <v>24</v>
      </c>
      <c r="B28" s="88" t="inlineStr">
        <is>
          <t>TB의 조건부 기권</t>
        </is>
      </c>
      <c r="C28" s="113" t="inlineStr">
        <is>
          <t>정치</t>
        </is>
      </c>
      <c r="D28" s="112" t="n">
        <v>10</v>
      </c>
      <c r="E28" s="88" t="inlineStr">
        <is>
          <t>10부 11~12화</t>
        </is>
      </c>
      <c r="F28" s="112" t="n">
        <v>12</v>
      </c>
      <c r="G28" s="111">
        <f>F28-D28</f>
        <v/>
      </c>
      <c r="H28" s="88" t="inlineStr">
        <is>
          <t>12부 7화 — 협상의 대가가 불신임안 정국으로 이어짐</t>
        </is>
      </c>
      <c r="I28" s="88" t="inlineStr">
        <is>
          <t>Diego, Mateo</t>
        </is>
      </c>
    </row>
    <row r="29" ht="29.25" customHeight="1" s="81">
      <c r="A29" s="111" t="n">
        <v>25</v>
      </c>
      <c r="B29" s="88" t="inlineStr">
        <is>
          <t>acusación popular 제한 법안</t>
        </is>
      </c>
      <c r="C29" s="113" t="inlineStr">
        <is>
          <t>정치</t>
        </is>
      </c>
      <c r="D29" s="112" t="n">
        <v>7</v>
      </c>
      <c r="E29" s="88" t="inlineStr">
        <is>
          <t>7부 11화</t>
        </is>
      </c>
      <c r="F29" s="112" t="n">
        <v>8</v>
      </c>
      <c r="G29" s="111">
        <f>F29-D29</f>
        <v/>
      </c>
      <c r="H29" s="88" t="inlineStr">
        <is>
          <t>8부 1~5화 — 법정 승리가 법 앞에서 무력해지는 경험이 창당의 동기</t>
        </is>
      </c>
      <c r="I29" s="88" t="inlineStr">
        <is>
          <t>Mateo, Nieves</t>
        </is>
      </c>
    </row>
    <row r="30" ht="29.25" customHeight="1" s="81">
      <c r="A30" s="111" t="n">
        <v>26</v>
      </c>
      <c r="B30" s="88" t="inlineStr">
        <is>
          <t>Anselmo가 브뤼셀行을 자원한다</t>
        </is>
      </c>
      <c r="C30" s="113" t="inlineStr">
        <is>
          <t>사건</t>
        </is>
      </c>
      <c r="D30" s="112" t="n">
        <v>11</v>
      </c>
      <c r="E30" s="88" t="inlineStr">
        <is>
          <t>11부 9화</t>
        </is>
      </c>
      <c r="F30" s="112" t="n">
        <v>12</v>
      </c>
      <c r="G30" s="111">
        <f>F30-D30</f>
        <v/>
      </c>
      <c r="H30" s="88" t="inlineStr">
        <is>
          <t>12부 3화 — 그의 메모로 팀이 2차 협상을 잇는 복선</t>
        </is>
      </c>
      <c r="I30" s="88" t="inlineStr">
        <is>
          <t>Anselmo, Sofía, Tomás</t>
        </is>
      </c>
    </row>
    <row r="31" ht="29.25" customHeight="1" s="81">
      <c r="A31" s="111" t="n">
        <v>27</v>
      </c>
      <c r="B31" s="88" t="inlineStr">
        <is>
          <t>Anselmo가 상대의 거짓 주장을 반박한다</t>
        </is>
      </c>
      <c r="C31" s="113" t="inlineStr">
        <is>
          <t>대사</t>
        </is>
      </c>
      <c r="D31" s="112" t="n">
        <v>11</v>
      </c>
      <c r="E31" s="88" t="inlineStr">
        <is>
          <t>11부 10화</t>
        </is>
      </c>
      <c r="F31" s="112" t="n">
        <v>12</v>
      </c>
      <c r="G31" s="111">
        <f>F31-D31</f>
        <v/>
      </c>
      <c r="H31" s="88" t="inlineStr">
        <is>
          <t>12부 3화 — Tomás·Sofía가 같은 화법(정확한 반박)을 물려받음</t>
        </is>
      </c>
      <c r="I31" s="88" t="inlineStr">
        <is>
          <t>Anselmo, Sofía</t>
        </is>
      </c>
    </row>
    <row r="32" ht="29.25" customHeight="1" s="81">
      <c r="A32" s="111" t="n">
        <v>28</v>
      </c>
      <c r="B32" s="88" t="inlineStr">
        <is>
          <t>7부의 도청 논쟁</t>
        </is>
      </c>
      <c r="C32" s="113" t="inlineStr">
        <is>
          <t>사건</t>
        </is>
      </c>
      <c r="D32" s="112" t="n">
        <v>7</v>
      </c>
      <c r="E32" s="88" t="inlineStr">
        <is>
          <t>7부 8화</t>
        </is>
      </c>
      <c r="F32" s="112" t="n">
        <v>12</v>
      </c>
      <c r="G32" s="111">
        <f>F32-D32</f>
        <v/>
      </c>
      <c r="H32" s="88" t="inlineStr">
        <is>
          <t>12부 5화 — 개인 간 도청 논쟁이 국가적 스캔들로 확장</t>
        </is>
      </c>
      <c r="I32" s="88" t="inlineStr">
        <is>
          <t>Raimundo, Mateo, Inés</t>
        </is>
      </c>
    </row>
    <row r="33" ht="29.25" customHeight="1" s="81">
      <c r="A33" s="111" t="n">
        <v>29</v>
      </c>
      <c r="B33" s="88" t="inlineStr">
        <is>
          <t>Inés의 «Necesito dos fuentes»</t>
        </is>
      </c>
      <c r="C33" s="113" t="inlineStr">
        <is>
          <t>대사</t>
        </is>
      </c>
      <c r="D33" s="112" t="n">
        <v>1</v>
      </c>
      <c r="E33" s="88" t="inlineStr">
        <is>
          <t>1부 11화</t>
        </is>
      </c>
      <c r="F33" s="112" t="n">
        <v>9</v>
      </c>
      <c r="G33" s="111">
        <f>F33-D33</f>
        <v/>
      </c>
      <c r="H33" s="88" t="inlineStr">
        <is>
          <t>9부 8화 — 폭로 기사에서 두 개의 출처를 갖추는 장면</t>
        </is>
      </c>
      <c r="I33" s="88" t="inlineStr">
        <is>
          <t>Inés, Raimundo</t>
        </is>
      </c>
    </row>
    <row r="34" ht="29.25" customHeight="1" s="81">
      <c r="A34" s="111" t="n">
        <v>30</v>
      </c>
      <c r="B34" s="88" t="inlineStr">
        <is>
          <t>Cervantes의 부활 이유</t>
        </is>
      </c>
      <c r="C34" s="113" t="inlineStr">
        <is>
          <t>설정</t>
        </is>
      </c>
      <c r="D34" s="112" t="n">
        <v>3</v>
      </c>
      <c r="E34" s="88" t="inlineStr">
        <is>
          <t>3부 1화</t>
        </is>
      </c>
      <c r="F34" s="112" t="n">
        <v>13</v>
      </c>
      <c r="G34" s="111">
        <f>F34-D34</f>
        <v/>
      </c>
      <c r="H34" s="88" t="inlineStr">
        <is>
          <t>13부 — 끝내 설명되지 않는다 (의도적 미회수: 부활의 신비를 끝까지 남겨 둔다)</t>
        </is>
      </c>
      <c r="I34" s="88" t="inlineStr">
        <is>
          <t>Cervantes</t>
        </is>
      </c>
    </row>
    <row r="35" ht="15" customHeight="1" s="81">
      <c r="A35" s="111" t="n">
        <v>31</v>
      </c>
      <c r="B35" s="88" t="inlineStr">
        <is>
          <t>Cervantes의 신원 미확인 (서류 없음)</t>
        </is>
      </c>
      <c r="C35" s="113" t="inlineStr">
        <is>
          <t>사건</t>
        </is>
      </c>
      <c r="D35" s="112" t="n">
        <v>3</v>
      </c>
      <c r="E35" s="88" t="inlineStr">
        <is>
          <t>3부 5화</t>
        </is>
      </c>
      <c r="F35" s="112" t="n">
        <v>7</v>
      </c>
      <c r="G35" s="111">
        <f>F35-D35</f>
        <v/>
      </c>
      <c r="H35" s="88" t="inlineStr">
        <is>
          <t>[회수 완료 v25] 7부 — 민사등록에 동명이인으로 등록됨. 법적으로도 '진짜 세르반테스'인지는 끝내 확인되지 않는다</t>
        </is>
      </c>
      <c r="I35" s="88" t="inlineStr">
        <is>
          <t>Cervantes, Mateo</t>
        </is>
      </c>
    </row>
    <row r="36" ht="15" customHeight="1" s="81">
      <c r="A36" s="111" t="n">
        <v>32</v>
      </c>
      <c r="B36" s="88" t="inlineStr">
        <is>
          <t>Cervantes의 알제 포로 5년 (굶주림·몸값)</t>
        </is>
      </c>
      <c r="C36" s="113" t="inlineStr">
        <is>
          <t>대사</t>
        </is>
      </c>
      <c r="D36" s="112" t="n">
        <v>3</v>
      </c>
      <c r="E36" s="88" t="inlineStr">
        <is>
          <t>3부 1·5화</t>
        </is>
      </c>
      <c r="F36" s="112" t="n">
        <v>12</v>
      </c>
      <c r="G36" s="111">
        <f>F36-D36</f>
        <v/>
      </c>
      <c r="H36" s="88" t="inlineStr">
        <is>
          <t>12부 3화 — «En Argel aprendí que quien tiene prisa, paga el rescate.» 브뤼셀 2차 협상에서 조언으로 회수</t>
        </is>
      </c>
      <c r="I36" s="88" t="inlineStr">
        <is>
          <t>Cervantes, Sofía</t>
        </is>
      </c>
    </row>
    <row r="37" ht="15" customHeight="1" s="81">
      <c r="A37" s="111" t="n">
        <v>33</v>
      </c>
      <c r="B37" s="88" t="inlineStr">
        <is>
          <t>Cervantes, 사무소 열쇠로 정식 합류</t>
        </is>
      </c>
      <c r="C37" s="113" t="inlineStr">
        <is>
          <t>소품</t>
        </is>
      </c>
      <c r="D37" s="112" t="n">
        <v>3</v>
      </c>
      <c r="E37" s="88" t="inlineStr">
        <is>
          <t>3부 12화</t>
        </is>
      </c>
      <c r="F37" s="112" t="n">
        <v>12</v>
      </c>
      <c r="G37" s="111">
        <f>F37-D37</f>
        <v/>
      </c>
      <c r="H37" s="88" t="inlineStr">
        <is>
          <t>12부 10화 — La Vieja Guardia의 빈 의자를 사양하며 «Esa silla no está vacía… Está ocupada por un ausente.»</t>
        </is>
      </c>
      <c r="I37" s="88" t="inlineStr">
        <is>
          <t>Cervantes, Ramón</t>
        </is>
      </c>
    </row>
    <row r="38" ht="29.25" customHeight="1" s="81">
      <c r="A38" s="111" t="n">
        <v>34</v>
      </c>
      <c r="B38" s="88" t="inlineStr">
        <is>
          <t>Fermín의 «Explíquemelo sin diapositivas.»</t>
        </is>
      </c>
      <c r="C38" s="113" t="inlineStr">
        <is>
          <t>대사</t>
        </is>
      </c>
      <c r="D38" s="112" t="n">
        <v>5</v>
      </c>
      <c r="E38" s="88" t="inlineStr">
        <is>
          <t>5부 4화</t>
        </is>
      </c>
      <c r="F38" s="112" t="n">
        <v>13</v>
      </c>
      <c r="G38" s="111">
        <f>F38-D38</f>
        <v/>
      </c>
      <c r="H38" s="88" t="inlineStr">
        <is>
          <t>13부 6화 — Diego가 «Vale, sin diapositivas»로 스스로 그 말을 받아들임 (14번 복선과 한 쌍)</t>
        </is>
      </c>
      <c r="I38" s="88" t="inlineStr">
        <is>
          <t>Fermín, Diego</t>
        </is>
      </c>
    </row>
    <row r="39" ht="29.25" customHeight="1" s="81">
      <c r="A39" s="111" t="n">
        <v>35</v>
      </c>
      <c r="B39" s="88" t="inlineStr">
        <is>
          <t>Almudena의 '정직한 냉소 vs 위험한 냉소' («5년 뒤에 다시 물어봐»)</t>
        </is>
      </c>
      <c r="C39" s="113" t="inlineStr">
        <is>
          <t>대사</t>
        </is>
      </c>
      <c r="D39" s="112" t="n">
        <v>5</v>
      </c>
      <c r="E39" s="88" t="inlineStr">
        <is>
          <t>5부 2화 설치 · 4화 재질문 · 6화 정의</t>
        </is>
      </c>
      <c r="F39" s="112" t="n">
        <v>5</v>
      </c>
      <c r="G39" s="111">
        <f>F39-D39</f>
        <v/>
      </c>
      <c r="H39" s="88" t="inlineStr">
        <is>
          <t>5부 11화 — 회수 완료: 서른두 살 바야돌리드 공장 거절 과거, «정직한 줄 알았는데 오늘 위험한 쪽인 걸 알았다. 당신은 늦지 않았다, 가라»</t>
        </is>
      </c>
      <c r="I39" s="88" t="inlineStr">
        <is>
          <t>Almudena, Diego</t>
        </is>
      </c>
    </row>
    <row r="40" ht="15" customHeight="1" s="81">
      <c r="A40" s="111" t="n">
        <v>36</v>
      </c>
      <c r="B40" s="89" t="inlineStr">
        <is>
          <t>이카로 2 (물류·청소·경비 3사, 약 6천 명)</t>
        </is>
      </c>
      <c r="C40" s="113" t="inlineStr">
        <is>
          <t>설정</t>
        </is>
      </c>
      <c r="D40" s="112" t="n">
        <v>5</v>
      </c>
      <c r="E40" s="88" t="inlineStr">
        <is>
          <t>5부 6화</t>
        </is>
      </c>
      <c r="F40" s="112" t="n">
        <v>5</v>
      </c>
      <c r="G40" s="111">
        <f>F40-D40</f>
        <v/>
      </c>
      <c r="H40" s="88" t="inlineStr">
        <is>
          <t>5부 11화 — 회수 완료: Quintana가 직접 제안, Diego가 거절·사직</t>
        </is>
      </c>
      <c r="I40" s="88" t="inlineStr">
        <is>
          <t>Diego, Almudena</t>
        </is>
      </c>
    </row>
    <row r="41" ht="29.25" customHeight="1" s="81">
      <c r="A41" s="111" t="n">
        <v>37</v>
      </c>
      <c r="B41" s="89" t="inlineStr">
        <is>
          <t>선정 기준 '퇴직 비용 최소' — Irene «모델은 나이를 모르지만 알아서 찾아낸다»</t>
        </is>
      </c>
      <c r="C41" s="113" t="inlineStr">
        <is>
          <t>설정</t>
        </is>
      </c>
      <c r="D41" s="112" t="n">
        <v>5</v>
      </c>
      <c r="E41" s="88" t="inlineStr">
        <is>
          <t>5부 6화</t>
        </is>
      </c>
      <c r="F41" s="112" t="n">
        <v>5</v>
      </c>
      <c r="G41" s="111">
        <f>F41-D41</f>
        <v/>
      </c>
      <c r="H41" s="88" t="inlineStr">
        <is>
          <t>5부 8화 — 회수 완료: 35세 미만 22%→명단 56%, 임시직 100%. 7화 Nieves·8화 Irene의 확인</t>
        </is>
      </c>
      <c r="I41" s="88" t="inlineStr">
        <is>
          <t>Diego, Irene</t>
        </is>
      </c>
    </row>
    <row r="42" ht="40.5" customHeight="1" s="81">
      <c r="A42" s="111" t="n">
        <v>38</v>
      </c>
      <c r="B42" s="88" t="inlineStr">
        <is>
          <t>Diego가 Fermín에게 한 약속 «Yo. Se lo prometo.» / 답장 «Te llamo la semana que viene.»</t>
        </is>
      </c>
      <c r="C42" s="113" t="inlineStr">
        <is>
          <t>관계</t>
        </is>
      </c>
      <c r="D42" s="112" t="n">
        <v>5</v>
      </c>
      <c r="E42" s="88" t="inlineStr">
        <is>
          <t>5부 4·6화</t>
        </is>
      </c>
      <c r="F42" s="112" t="n">
        <v>5</v>
      </c>
      <c r="G42" s="111">
        <f>F42-D42</f>
        <v/>
      </c>
      <c r="H42" s="88" t="inlineStr">
        <is>
          <t>5부 7화 1차(«Me enteré por el comunicado») · 5부 11화 2차(밤 11시 15분 Yolanda를 '아래에서' 기다림) — 회수 완료</t>
        </is>
      </c>
      <c r="I42" s="88" t="inlineStr">
        <is>
          <t>Diego, Fermín</t>
        </is>
      </c>
    </row>
    <row r="43" ht="26.25" customHeight="1" s="81">
      <c r="A43" s="111" t="n">
        <v>39</v>
      </c>
      <c r="B43" s="88" t="inlineStr">
        <is>
          <t>Nieves Barroso의 이름 (Fermín: «Deberías temerla un poco.»)</t>
        </is>
      </c>
      <c r="C43" s="113" t="inlineStr">
        <is>
          <t>인물</t>
        </is>
      </c>
      <c r="D43" s="112" t="n">
        <v>5</v>
      </c>
      <c r="E43" s="88" t="inlineStr">
        <is>
          <t>5부 4화</t>
        </is>
      </c>
      <c r="F43" s="112" t="n">
        <v>5</v>
      </c>
      <c r="G43" s="111">
        <f>F43-D43</f>
        <v/>
      </c>
      <c r="H43" s="88" t="inlineStr">
        <is>
          <t>5부 7화 — 회수 완료: 협상 테이블 첫 등장, «Detrás de cada celda hay una persona.»</t>
        </is>
      </c>
      <c r="I43" s="88" t="inlineStr">
        <is>
          <t>Nieves, Diego, Fermín</t>
        </is>
      </c>
    </row>
    <row r="44" ht="29.25" customHeight="1" s="81">
      <c r="A44" s="111" t="n">
        <v>40</v>
      </c>
      <c r="B44" s="88" t="inlineStr">
        <is>
          <t>Carmen이 인턴 시절 금요일에 이메일로 해고됨 («Yo también era una celda»)</t>
        </is>
      </c>
      <c r="C44" s="113" t="inlineStr">
        <is>
          <t>설정</t>
        </is>
      </c>
      <c r="D44" s="112" t="n">
        <v>5</v>
      </c>
      <c r="E44" s="88" t="inlineStr">
        <is>
          <t>5부 5화</t>
        </is>
      </c>
      <c r="F44" s="112" t="n">
        <v>5</v>
      </c>
      <c r="G44" s="111">
        <f>F44-D44</f>
        <v/>
      </c>
      <c r="H44" s="88" t="inlineStr">
        <is>
          <t>5부 9화 — 회수 완료: «Seis más que yo» / «명단의 절반이 저였네요»</t>
        </is>
      </c>
      <c r="I44" s="88" t="inlineStr">
        <is>
          <t>Carmen</t>
        </is>
      </c>
    </row>
    <row r="45" ht="26.25" customHeight="1" s="81">
      <c r="A45" s="111" t="n">
        <v>41</v>
      </c>
      <c r="B45" s="88" t="inlineStr">
        <is>
          <t>Diego가 퇴사일에 인쇄해 간직한 모델 한 장 / «Cuando pueda decirlo sin mirar la hoja»</t>
        </is>
      </c>
      <c r="C45" s="113" t="inlineStr">
        <is>
          <t>소품</t>
        </is>
      </c>
      <c r="D45" s="112" t="n">
        <v>5</v>
      </c>
      <c r="E45" s="88" t="inlineStr">
        <is>
          <t>5부 5화</t>
        </is>
      </c>
      <c r="F45" s="112" t="n">
        <v>5</v>
      </c>
      <c r="G45" s="111">
        <f>F45-D45</f>
        <v/>
      </c>
      <c r="H45" s="88" t="inlineStr">
        <is>
          <t>5부 9화 — 회수 완료: Carmen에게 종이를 맡기고 안 보고 «Cuatrocientos doce». 5부 12화에서 종이 반환</t>
        </is>
      </c>
      <c r="I45" s="88" t="inlineStr">
        <is>
          <t>Diego, Carmen</t>
        </is>
      </c>
    </row>
    <row r="46" ht="29.25" customHeight="1" s="81">
      <c r="A46" s="111" t="n">
        <v>42</v>
      </c>
      <c r="B46" s="88" t="inlineStr">
        <is>
          <t>Yolanda의 결과 (Carmen이 종이를 맡은 이유)</t>
        </is>
      </c>
      <c r="C46" s="113" t="inlineStr">
        <is>
          <t>인물</t>
        </is>
      </c>
      <c r="D46" s="112" t="n">
        <v>5</v>
      </c>
      <c r="E46" s="88" t="inlineStr">
        <is>
          <t>5부 10·11화</t>
        </is>
      </c>
      <c r="F46" s="112" t="n">
        <v>5</v>
      </c>
      <c r="G46" s="111">
        <f>F46-D46</f>
        <v/>
      </c>
      <c r="H46" s="88" t="inlineStr">
        <is>
          <t>5부 12화 — 회수 완료: 345명에 없었다(초과근무 분배 67개 자리 덕분)</t>
        </is>
      </c>
      <c r="I46" s="88" t="inlineStr">
        <is>
          <t>Diego, Carmen, Yolanda</t>
        </is>
      </c>
    </row>
    <row r="47" ht="15" customHeight="1" s="81">
      <c r="A47" s="111" t="n">
        <v>43</v>
      </c>
      <c r="B47" s="88" t="inlineStr">
        <is>
          <t>Nieves 해고와 블랙리스트(«Mejor que no»), 메일은 Diego의 것</t>
        </is>
      </c>
      <c r="C47" s="113" t="inlineStr">
        <is>
          <t>관계</t>
        </is>
      </c>
      <c r="D47" s="112" t="n">
        <v>5</v>
      </c>
      <c r="E47" s="88" t="inlineStr">
        <is>
          <t>5부 10화</t>
        </is>
      </c>
      <c r="F47" s="112" t="n">
        <v>10</v>
      </c>
      <c r="G47" s="111">
        <f>F47-D47</f>
        <v/>
      </c>
      <c r="H47" s="88" t="inlineStr">
        <is>
          <t>10부 8화 — Nieves–Diego 화해 (6부 3화 계단 고백은 1차, «Decirlo no arregla nada»)</t>
        </is>
      </c>
      <c r="I47" s="88" t="inlineStr">
        <is>
          <t>Nieves, Diego</t>
        </is>
      </c>
    </row>
    <row r="48" ht="15" customHeight="1" s="81">
      <c r="A48" s="111" t="n">
        <v>44</v>
      </c>
      <c r="B48" s="89" t="inlineStr">
        <is>
          <t>카르디날 홀딩스 단독 관리자 = 인베르시오네스 메리디아노 (상업등기 공보)</t>
        </is>
      </c>
      <c r="C48" s="113" t="inlineStr">
        <is>
          <t>증거</t>
        </is>
      </c>
      <c r="D48" s="112" t="n">
        <v>6</v>
      </c>
      <c r="E48" s="88" t="inlineStr">
        <is>
          <t>6부 8화</t>
        </is>
      </c>
      <c r="F48" s="112" t="n">
        <v>7</v>
      </c>
      <c r="G48" s="111">
        <f>F48-D48</f>
        <v/>
      </c>
      <c r="H48" s="88" t="inlineStr">
        <is>
          <t>[회수 완료 v25] 7부 — USB와 함께 소송·보도 증거로 (Inés의 두 번째 출처: 국립도서관 연차 보고서)</t>
        </is>
      </c>
      <c r="I48" s="88" t="inlineStr">
        <is>
          <t>Sofía, Raimundo, Inés</t>
        </is>
      </c>
    </row>
    <row r="49" ht="15" customHeight="1" s="81">
      <c r="A49" s="111" t="n">
        <v>45</v>
      </c>
      <c r="B49" s="88" t="inlineStr">
        <is>
          <t>Gonzalo «Cardinal Holdings가 우리 지점을 거쳐 갔다 — 잘리기 바로 전에»</t>
        </is>
      </c>
      <c r="C49" s="113" t="inlineStr">
        <is>
          <t>대사</t>
        </is>
      </c>
      <c r="D49" s="112" t="n">
        <v>6</v>
      </c>
      <c r="E49" s="88" t="inlineStr">
        <is>
          <t>6부 10화</t>
        </is>
      </c>
      <c r="F49" s="112" t="n">
        <v>7</v>
      </c>
      <c r="G49" s="111">
        <f>F49-D49</f>
        <v/>
      </c>
      <c r="H49" s="88" t="inlineStr">
        <is>
          <t>[회수 완료 v25] 7부 — 돈의 경로 추적(«Sigue el dinero»), Gonzalo 해고 사유와 연결 (제안)</t>
        </is>
      </c>
      <c r="I49" s="88" t="inlineStr">
        <is>
          <t>Gonzalo, Sofía</t>
        </is>
      </c>
    </row>
    <row r="50" ht="43.5" customHeight="1" s="81">
      <c r="A50" s="111" t="n">
        <v>46</v>
      </c>
      <c r="B50" s="88" t="inlineStr">
        <is>
          <t>Pepa의 규칙 «어디서 왔는지 묻지 않는다, 뭘 먹고 싶은지 묻는다» + Raimundo «존재하지 말아야 할 사람까지»</t>
        </is>
      </c>
      <c r="C50" s="113" t="inlineStr">
        <is>
          <t>규칙</t>
        </is>
      </c>
      <c r="D50" s="112" t="n">
        <v>6</v>
      </c>
      <c r="E50" s="88" t="inlineStr">
        <is>
          <t>6부 11화</t>
        </is>
      </c>
      <c r="F50" s="112" t="n">
        <v>7</v>
      </c>
      <c r="G50" s="111">
        <f>F50-D50</f>
        <v/>
      </c>
      <c r="H50" s="88" t="inlineStr">
        <is>
          <t>3부 Cervantes(이미 집필)·7부 Picasso 합류 때 이 규칙으로 받아들인다</t>
        </is>
      </c>
      <c r="I50" s="88" t="inlineStr">
        <is>
          <t>Pepa, Raimundo</t>
        </is>
      </c>
    </row>
    <row r="51" ht="29.25" customHeight="1" s="81">
      <c r="A51" s="111" t="n">
        <v>47</v>
      </c>
      <c r="B51" s="88" t="inlineStr">
        <is>
          <t>Pepa의 «casa común» (Tomás «언젠가 다른 이름이 필요할지도»)</t>
        </is>
      </c>
      <c r="C51" s="113" t="inlineStr">
        <is>
          <t>대사</t>
        </is>
      </c>
      <c r="D51" s="112" t="n">
        <v>6</v>
      </c>
      <c r="E51" s="88" t="inlineStr">
        <is>
          <t>6부 12화</t>
        </is>
      </c>
      <c r="F51" s="112" t="n">
        <v>8</v>
      </c>
      <c r="G51" s="111">
        <f>F51-D51</f>
        <v/>
      </c>
      <c r="H51" s="88" t="inlineStr">
        <is>
          <t>8부 5화 — 정당 이름 «Casa Común»</t>
        </is>
      </c>
      <c r="I51" s="88" t="inlineStr">
        <is>
          <t>Pepa, Tomás, Carmen</t>
        </is>
      </c>
    </row>
    <row r="52" ht="29.25" customHeight="1" s="81">
      <c r="A52" s="111" t="n">
        <v>48</v>
      </c>
      <c r="B52" s="88" t="inlineStr">
        <is>
          <t>Tomás의 첫 연설 «Hoy nadie se ha ido. Y nadie se va a ir solo.» (Fátima 냉장고)</t>
        </is>
      </c>
      <c r="C52" s="113" t="inlineStr">
        <is>
          <t>대사</t>
        </is>
      </c>
      <c r="D52" s="112" t="n">
        <v>6</v>
      </c>
      <c r="E52" s="88" t="inlineStr">
        <is>
          <t>6부 9화</t>
        </is>
      </c>
      <c r="F52" s="112" t="n">
        <v>10</v>
      </c>
      <c r="G52" s="111">
        <f>F52-D52</f>
        <v/>
      </c>
      <c r="H52" s="88" t="inlineStr">
        <is>
          <t>10부 취임 연설 초고에서 다시 꺼낸다 (제안)</t>
        </is>
      </c>
      <c r="I52" s="88" t="inlineStr">
        <is>
          <t>Tomás, Fátima</t>
        </is>
      </c>
    </row>
    <row r="53" ht="43.5" customHeight="1" s="81">
      <c r="A53" s="111" t="n">
        <v>49</v>
      </c>
      <c r="B53" s="88" t="inlineStr">
        <is>
          <t>Karim «첫 번째 명단은 용서 못 해요. 두 번째는 고마워요» (Lucía: '절대'라고는 안 했다)</t>
        </is>
      </c>
      <c r="C53" s="113" t="inlineStr">
        <is>
          <t>관계</t>
        </is>
      </c>
      <c r="D53" s="112" t="n">
        <v>6</v>
      </c>
      <c r="E53" s="88" t="inlineStr">
        <is>
          <t>6부 12화</t>
        </is>
      </c>
      <c r="F53" s="112" t="n">
        <v>13</v>
      </c>
      <c r="G53" s="111">
        <f>F53-D53</f>
        <v/>
      </c>
      <c r="H53" s="88" t="inlineStr">
        <is>
          <t>13부 — 귀환에서 Karim·Fátima 재등장 (제안)</t>
        </is>
      </c>
      <c r="I53" s="88" t="inlineStr">
        <is>
          <t>Diego, Karim</t>
        </is>
      </c>
    </row>
    <row r="54" ht="29.25" customHeight="1" s="81">
      <c r="A54" s="111" t="n">
        <v>50</v>
      </c>
      <c r="B54" s="88" t="inlineStr">
        <is>
          <t>Almudena의 이카로 2 — «표지에 다른 이름만 있으면 된다»</t>
        </is>
      </c>
      <c r="C54" s="113" t="inlineStr">
        <is>
          <t>설정</t>
        </is>
      </c>
      <c r="D54" s="112" t="n">
        <v>5</v>
      </c>
      <c r="E54" s="88" t="inlineStr">
        <is>
          <t>5부 11화</t>
        </is>
      </c>
      <c r="F54" s="112" t="n">
        <v>7</v>
      </c>
      <c r="G54" s="111">
        <f>F54-D54</f>
        <v/>
      </c>
      <c r="H54" s="88" t="inlineStr">
        <is>
          <t>7부 — 이카로 2의 물류·청소·경비 해고가 전면전의 사례로 (제안)</t>
        </is>
      </c>
      <c r="I54" s="88" t="inlineStr">
        <is>
          <t>Almudena, Quintana</t>
        </is>
      </c>
    </row>
    <row r="55" ht="29.25" customHeight="1" s="81">
      <c r="A55" s="152" t="n">
        <v>51</v>
      </c>
      <c r="B55" s="105" t="inlineStr">
        <is>
          <t>Mateo가 11년 전 쓴 '공사를 이유로 한 계약 해지' 조항 (47건 중 19건)</t>
        </is>
      </c>
      <c r="C55" s="153" t="inlineStr">
        <is>
          <t>설정</t>
        </is>
      </c>
      <c r="D55" s="154" t="n">
        <v>8</v>
      </c>
      <c r="E55" s="105" t="inlineStr">
        <is>
          <t>8부 2화</t>
        </is>
      </c>
      <c r="F55" s="154" t="n">
        <v>11</v>
      </c>
      <c r="G55" s="152">
        <f>F55-D55</f>
        <v/>
      </c>
      <c r="H55" s="105" t="inlineStr">
        <is>
          <t>8부 4화 ILP 기각(1차) → 9부 1화 시 조례 등록(2차) → 11부 주거법에서 법률로 (제안)</t>
        </is>
      </c>
      <c r="I55" s="105" t="inlineStr">
        <is>
          <t>Mateo, Carmen</t>
        </is>
      </c>
    </row>
    <row r="56" ht="29.25" customHeight="1" s="81">
      <c r="A56" s="152" t="n">
        <v>52</v>
      </c>
      <c r="B56" s="105" t="inlineStr">
        <is>
          <t>시민 소추 제한 조직법안 — 170:165 심의 개시, 176까지 6표 부족, ponencia 정체</t>
        </is>
      </c>
      <c r="C56" s="153" t="inlineStr">
        <is>
          <t>설정</t>
        </is>
      </c>
      <c r="D56" s="154" t="n">
        <v>7</v>
      </c>
      <c r="E56" s="105" t="inlineStr">
        <is>
          <t>7부 11·12화</t>
        </is>
      </c>
      <c r="F56" s="154" t="n">
        <v>9</v>
      </c>
      <c r="G56" s="152">
        <f>F56-D56</f>
        <v/>
      </c>
      <c r="H56" s="105" t="inlineStr">
        <is>
          <t>9부 9화 querella — CC가 acusación popular를 계속 행사할 수 있는가 (제안)</t>
        </is>
      </c>
      <c r="I56" s="105" t="inlineStr">
        <is>
          <t>Mateo, Anselmo, Diego</t>
        </is>
      </c>
    </row>
    <row r="57" ht="29.25" customHeight="1" s="81">
      <c r="A57" s="152" t="n">
        <v>53</v>
      </c>
      <c r="B57" s="105" t="inlineStr">
        <is>
          <t>전등 속 GSM 도청기 — 되쏘자는 Raimundo vs 합법만 쓰자는 Mateo</t>
        </is>
      </c>
      <c r="C57" s="153" t="inlineStr">
        <is>
          <t>소품</t>
        </is>
      </c>
      <c r="D57" s="154" t="n">
        <v>7</v>
      </c>
      <c r="E57" s="105" t="inlineStr">
        <is>
          <t>7부 8화</t>
        </is>
      </c>
      <c r="F57" s="154" t="n">
        <v>11</v>
      </c>
      <c r="G57" s="152">
        <f>F57-D57</f>
        <v/>
      </c>
      <c r="H57" s="105" t="inlineStr">
        <is>
          <t>11부 7화 도청 논쟁 (아크_구성계획 기존 연결)</t>
        </is>
      </c>
      <c r="I57" s="105" t="inlineStr">
        <is>
          <t>Raimundo, Mateo</t>
        </is>
      </c>
    </row>
    <row r="58" ht="29.25" customHeight="1" s="81">
      <c r="A58" s="152" t="n">
        <v>54</v>
      </c>
      <c r="B58" s="105" t="inlineStr">
        <is>
          <t>Fundación Hogar y Futuro(이사장 Beatriz Olmedo)의 '합법' 거액 제안 거절</t>
        </is>
      </c>
      <c r="C58" s="153" t="inlineStr">
        <is>
          <t>관계</t>
        </is>
      </c>
      <c r="D58" s="154" t="n">
        <v>8</v>
      </c>
      <c r="E58" s="105" t="inlineStr">
        <is>
          <t>8부 7화</t>
        </is>
      </c>
      <c r="F58" s="154" t="n">
        <v>9</v>
      </c>
      <c r="G58" s="152">
        <f>F58-D58</f>
        <v/>
      </c>
      <c r="H58" s="105" t="inlineStr">
        <is>
          <t>9부 4화 계약·9부 8화 스캔들에서 재단 이름이 다시 나온다 (제안)</t>
        </is>
      </c>
      <c r="I58" s="105" t="inlineStr">
        <is>
          <t>Sofía, Gonzalo, Inés</t>
        </is>
      </c>
    </row>
    <row r="59" ht="29.25" customHeight="1" s="81">
      <c r="A59" s="152" t="n">
        <v>55</v>
      </c>
      <c r="B59" s="105" t="inlineStr">
        <is>
          <t>PPS 협상 대표 «la próxima vez vendrá a comer» / Anselmo «la próxima oferta será mejor»</t>
        </is>
      </c>
      <c r="C59" s="153" t="inlineStr">
        <is>
          <t>대사</t>
        </is>
      </c>
      <c r="D59" s="154" t="n">
        <v>9</v>
      </c>
      <c r="E59" s="105" t="inlineStr">
        <is>
          <t>9부 1화</t>
        </is>
      </c>
      <c r="F59" s="154" t="n">
        <v>9</v>
      </c>
      <c r="G59" s="152">
        <f>F59-D59</f>
        <v/>
      </c>
      <c r="H59" s="105" t="inlineStr">
        <is>
          <t>9부 5화 La alianza incómoda — 더 나은 제안과 Nieves의 반대 (제안)</t>
        </is>
      </c>
      <c r="I59" s="105" t="inlineStr">
        <is>
          <t>Diego, Nieves, Anselmo</t>
        </is>
      </c>
    </row>
    <row r="60" ht="29.25" customHeight="1" s="81">
      <c r="A60" s="152" t="n">
        <v>56</v>
      </c>
      <c r="B60" s="105" t="inlineStr">
        <is>
          <t>Plataforma Vecinal 의원의 백지투표 — «el voto que nadie compró»</t>
        </is>
      </c>
      <c r="C60" s="153" t="inlineStr">
        <is>
          <t>인물</t>
        </is>
      </c>
      <c r="D60" s="154" t="n">
        <v>9</v>
      </c>
      <c r="E60" s="105" t="inlineStr">
        <is>
          <t>9부 1화</t>
        </is>
      </c>
      <c r="F60" s="154" t="n">
        <v>9</v>
      </c>
      <c r="G60" s="152">
        <f>F60-D60</f>
        <v/>
      </c>
      <c r="H60" s="105" t="inlineStr">
        <is>
          <t>9부 5화 예산 표결의 캐스팅보트 (제안)</t>
        </is>
      </c>
      <c r="I60" s="105" t="inlineStr">
        <is>
          <t>Raimundo, Carmen</t>
        </is>
      </c>
    </row>
    <row r="61" ht="29.25" customHeight="1" s="81">
      <c r="A61" s="152" t="n">
        <v>57</v>
      </c>
      <c r="B61" s="105" t="inlineStr">
        <is>
          <t>Gonzalo의 딸 Laura(간호사), 방청석에서 아버지의 선서를 봄</t>
        </is>
      </c>
      <c r="C61" s="153" t="inlineStr">
        <is>
          <t>인물</t>
        </is>
      </c>
      <c r="D61" s="154" t="n">
        <v>8</v>
      </c>
      <c r="E61" s="105" t="inlineStr">
        <is>
          <t>8부 10화</t>
        </is>
      </c>
      <c r="F61" s="154" t="n">
        <v>9</v>
      </c>
      <c r="G61" s="152">
        <f>F61-D61</f>
        <v/>
      </c>
      <c r="H61" s="105" t="inlineStr">
        <is>
          <t>9부 7화 자치의회 보건 — 병원 외주 현장의 증언 (제안)</t>
        </is>
      </c>
      <c r="I61" s="105" t="inlineStr">
        <is>
          <t>Gonzalo, Javier</t>
        </is>
      </c>
    </row>
    <row r="62" ht="29.25" customHeight="1" s="81">
      <c r="A62" s="152" t="n">
        <v>58</v>
      </c>
      <c r="B62" s="105" t="inlineStr">
        <is>
          <t>Carmen이 투표소 사무원으로 하루 종일 '중립의 얼굴'을 지킴</t>
        </is>
      </c>
      <c r="C62" s="153" t="inlineStr">
        <is>
          <t>관계</t>
        </is>
      </c>
      <c r="D62" s="154" t="n">
        <v>8</v>
      </c>
      <c r="E62" s="105" t="inlineStr">
        <is>
          <t>8부 11·12화</t>
        </is>
      </c>
      <c r="F62" s="154" t="n">
        <v>9</v>
      </c>
      <c r="G62" s="152">
        <f>F62-D62</f>
        <v/>
      </c>
      <c r="H62" s="105" t="inlineStr">
        <is>
          <t>9부 6화 Carmen 2차 폭발 — 참아 온 것이 터진다 (제안)</t>
        </is>
      </c>
      <c r="I62" s="105" t="inlineStr">
        <is>
          <t>Carmen, Lucía</t>
        </is>
      </c>
    </row>
    <row r="63" ht="29.25" customHeight="1" s="81">
      <c r="A63" s="152" t="n">
        <v>59</v>
      </c>
      <c r="B63" s="105" t="inlineStr">
        <is>
          <t>Iker — 7부 2화 가짜 인턴 의뢰인</t>
        </is>
      </c>
      <c r="C63" s="153" t="inlineStr">
        <is>
          <t>인물</t>
        </is>
      </c>
      <c r="D63" s="154" t="n">
        <v>7</v>
      </c>
      <c r="E63" s="105" t="inlineStr">
        <is>
          <t>7부 2화</t>
        </is>
      </c>
      <c r="F63" s="154" t="n">
        <v>9</v>
      </c>
      <c r="G63" s="152">
        <f>F63-D63</f>
        <v/>
      </c>
      <c r="H63" s="105" t="inlineStr">
        <is>
          <t>[회수 완료 v26] 9부 1화 최연소 시의원·연령 의장단</t>
        </is>
      </c>
      <c r="I63" s="105" t="inlineStr">
        <is>
          <t>Iker, Sofía</t>
        </is>
      </c>
    </row>
    <row r="65">
      <c r="B65" s="150" t="inlineStr">
        <is>
          <t>평균 간격(부)</t>
        </is>
      </c>
      <c r="G65" s="155">
        <f>AVERAGE(G5:G63)</f>
        <v/>
      </c>
    </row>
    <row r="66">
      <c r="B66" s="150" t="inlineStr">
        <is>
          <t>가장 긴 복선(부)</t>
        </is>
      </c>
      <c r="G66" s="150">
        <f>MAX(G5:G63)</f>
        <v/>
      </c>
    </row>
    <row r="67">
      <c r="B67" s="150" t="inlineStr">
        <is>
          <t>복선 개수</t>
        </is>
      </c>
      <c r="G67" s="150">
        <f>COUNTA(B5:B63)</f>
        <v/>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tabColor rgb="FFC00000"/>
    <outlinePr summaryBelow="1" summaryRight="1"/>
    <pageSetUpPr fitToPage="1"/>
  </sheetPr>
  <dimension ref="A1:M29"/>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6" customWidth="1" style="80" min="1" max="1"/>
    <col width="9" customWidth="1" style="80" min="2" max="2"/>
    <col width="22" customWidth="1" style="80" min="3" max="3"/>
    <col width="26" customWidth="1" style="80" min="4" max="4"/>
    <col width="46" customWidth="1" style="80" min="5" max="5"/>
    <col width="36" customWidth="1" style="80" min="6" max="6"/>
    <col width="32" customWidth="1" style="80" min="7" max="7"/>
    <col width="24" customWidth="1" style="80" min="8" max="9"/>
    <col width="42" customWidth="1" style="80" min="10" max="10"/>
    <col width="34" customWidth="1" style="80" min="11" max="11"/>
    <col width="38" customWidth="1" style="80" min="12" max="12"/>
    <col width="36" customWidth="1" style="80" min="13" max="13"/>
  </cols>
  <sheetData>
    <row r="1" ht="24" customHeight="1" s="81">
      <c r="A1" s="101" t="inlineStr">
        <is>
          <t>스페인 현안 15개 배치표</t>
        </is>
      </c>
    </row>
    <row r="2" ht="15" customHeight="1" s="81">
      <c r="A2" s="100" t="inlineStr">
        <is>
          <t>현재 스페인의 쟁점을 이야기 곳곳에 녹이는 계획. 현실의 정당·정치인·참사 희생자는 특정하지 않고 가상 설정으로 각색하며, 제도와 통계만 현실 기준으로 쓴다.</t>
        </is>
      </c>
    </row>
    <row r="4" ht="19.5" customHeight="1" s="81">
      <c r="A4" s="110" t="inlineStr">
        <is>
          <t>ID</t>
        </is>
      </c>
      <c r="B4" s="103" t="inlineStr">
        <is>
          <t>분야</t>
        </is>
      </c>
      <c r="C4" s="103" t="inlineStr">
        <is>
          <t>현안</t>
        </is>
      </c>
      <c r="D4" s="103" t="inlineStr">
        <is>
          <t>스페인어 키워드</t>
        </is>
      </c>
      <c r="E4" s="103" t="inlineStr">
        <is>
          <t>이야기 속 가상 설정</t>
        </is>
      </c>
      <c r="F4" s="103" t="inlineStr">
        <is>
          <t>주요 배치 (전용 화)</t>
        </is>
      </c>
      <c r="G4" s="103" t="inlineStr">
        <is>
          <t>곁가지 배치</t>
        </is>
      </c>
      <c r="H4" s="103" t="inlineStr">
        <is>
          <t>주요 인물</t>
        </is>
      </c>
      <c r="I4" s="103" t="inlineStr">
        <is>
          <t>권한 소재</t>
        </is>
      </c>
      <c r="J4" s="103" t="inlineStr">
        <is>
          <t>관련 제도·법</t>
        </is>
      </c>
      <c r="K4" s="103" t="inlineStr">
        <is>
          <t>낭독 어휘</t>
        </is>
      </c>
      <c r="L4" s="103" t="inlineStr">
        <is>
          <t>균형·민감도 유의</t>
        </is>
      </c>
      <c r="M4" s="103" t="inlineStr">
        <is>
          <t>현실 기준값·확인</t>
        </is>
      </c>
    </row>
    <row r="5" ht="42" customHeight="1" s="81">
      <c r="A5" s="156" t="inlineStr">
        <is>
          <t>P1</t>
        </is>
      </c>
      <c r="B5" s="113" t="inlineStr">
        <is>
          <t>정치</t>
        </is>
      </c>
      <c r="C5" s="89" t="inlineStr">
        <is>
          <t>정치 파편화와 연정 불안정</t>
        </is>
      </c>
      <c r="D5" s="88" t="inlineStr">
        <is>
          <t>fragmentación, pacto, apoyo puntual, geometría variable</t>
        </is>
      </c>
      <c r="E5" s="89" t="inlineStr">
        <is>
          <t>어떤 정당도 과반이 안 되는 의회. 법안마다 협상 비용이 든다. Casa Común도 소수 정부로 표결마다 다른 파트너를 찾아야 한다.</t>
        </is>
      </c>
      <c r="F5" s="88" t="inlineStr">
        <is>
          <t>9부 5화 불편한 동맹, 10부 8화 두 달의 시계, 11부 10화 합쳐지지 않는 불신임안</t>
        </is>
      </c>
      <c r="G5" s="88" t="inlineStr">
        <is>
          <t>8부 6화(왜 새 정당인가: 양당 피로), 12부 7화</t>
        </is>
      </c>
      <c r="H5" s="88" t="inlineStr">
        <is>
          <t>Diego, Mateo, Nieves</t>
        </is>
      </c>
      <c r="I5" s="89" t="inlineStr">
        <is>
          <t>하원·시의회</t>
        </is>
      </c>
      <c r="J5" s="89" t="inlineStr">
        <is>
          <t>헌법 제99·113·134조, 정당 간 협약</t>
        </is>
      </c>
      <c r="K5" s="88" t="inlineStr">
        <is>
          <t>fragmentación, pacto de investidura, cesión, mayoría, bloqueo</t>
        </is>
      </c>
      <c r="L5" s="89" t="inlineStr">
        <is>
          <t>특정 실존 정당·인물을 비난하는 대사 금지. 가상 정당(UCN·PPS·HU·TA·TB)으로만.</t>
        </is>
      </c>
      <c r="M5" s="89" t="inlineStr">
        <is>
          <t>현 정부는 소수 연립 + 지역정당 지지 의존(2026-09 확인). 이야기에는 쓰지 않음</t>
        </is>
      </c>
    </row>
    <row r="6" ht="54.75" customHeight="1" s="81">
      <c r="A6" s="156" t="inlineStr">
        <is>
          <t>P2</t>
        </is>
      </c>
      <c r="B6" s="113" t="inlineStr">
        <is>
          <t>정치</t>
        </is>
      </c>
      <c r="C6" s="89" t="inlineStr">
        <is>
          <t>지역 갈등·사면·재정 분권</t>
        </is>
      </c>
      <c r="D6" s="88" t="inlineStr">
        <is>
          <t>amnistía, indulto, financiación autonómica, Tribunal Constitucional</t>
        </is>
      </c>
      <c r="E6" s="89" t="inlineStr">
        <is>
          <t>지역정당 연합 TB가 지지의 대가로 과거 '독립 추진' 사건 관련자의 사면과 재정 분권을 요구한다. 총리 지명이 여기에 걸린다.</t>
        </is>
      </c>
      <c r="F6" s="88" t="inlineStr">
        <is>
          <t>10부 11화 총리 지명 협상</t>
        </is>
      </c>
      <c r="G6" s="88" t="inlineStr">
        <is>
          <t>10부 3화(TV 토론 공격), 11부 10화(불신임안에서 TB의 기권), 12부 7화</t>
        </is>
      </c>
      <c r="H6" s="88" t="inlineStr">
        <is>
          <t>Mateo, Anselmo, Nieves, Diego</t>
        </is>
      </c>
      <c r="I6" s="89" t="inlineStr">
        <is>
          <t>하원, 헌법재판소, 자치주</t>
        </is>
      </c>
      <c r="J6" s="89" t="inlineStr">
        <is>
          <t>헌법 제62조 i, 사면법(LO 1/2024), LOFCA·CPFF</t>
        </is>
      </c>
      <c r="K6" s="88" t="inlineStr">
        <is>
          <t>amnistía vs indulto, soberanía, cupo, compensación</t>
        </is>
      </c>
      <c r="L6" s="89" t="inlineStr">
        <is>
          <t>가장 민감. 찬성·반대 논거를 각 인물이 나눠 말하게 하고 결론은 열어 둔다(Mateo는 헌법 우려, Nieves는 지역 간 형평, Diego는 현실 협상).</t>
        </is>
      </c>
      <c r="M6" s="89" t="inlineStr">
        <is>
          <t>사면법 후폭풍과 사법 절차 진행 상황은 반영 전 확인</t>
        </is>
      </c>
    </row>
    <row r="7" ht="42" customHeight="1" s="81">
      <c r="A7" s="156" t="inlineStr">
        <is>
          <t>P3</t>
        </is>
      </c>
      <c r="B7" s="113" t="inlineStr">
        <is>
          <t>정치</t>
        </is>
      </c>
      <c r="C7" s="89" t="inlineStr">
        <is>
          <t>사법부 독립과 정치적 대립</t>
        </is>
      </c>
      <c r="D7" s="88" t="inlineStr">
        <is>
          <t>CGPJ, renovación, dilaciones indebidas, instrucción</t>
        </is>
      </c>
      <c r="E7" s="89" t="inlineStr">
        <is>
          <t>사법평의회 갱신이 정당 대립으로 막혀 스캔들 수사가 표류한다. 사무소의 고소가 법원에서 지연된다.</t>
        </is>
      </c>
      <c r="F7" s="88" t="inlineStr">
        <is>
          <t>7부(고소·법원 결정·보복), 9부 9화 고소장</t>
        </is>
      </c>
      <c r="G7" s="88" t="inlineStr">
        <is>
          <t>2부 8화(재판), 3부(징계·외주), 4부 7화, 10부 11화(협상 조건), 11부 10화(교착)</t>
        </is>
      </c>
      <c r="H7" s="88" t="inlineStr">
        <is>
          <t>Mateo, Inés, Raimundo</t>
        </is>
      </c>
      <c r="I7" s="89" t="inlineStr">
        <is>
          <t>하원·상원(위원 선출), 사법부</t>
        </is>
      </c>
      <c r="J7" s="89" t="inlineStr">
        <is>
          <t>헌법 제122조, LOPJ, 3/5 다수</t>
        </is>
      </c>
      <c r="K7" s="88" t="inlineStr">
        <is>
          <t>renovación, mayoría de tres quintos, dilaciones, instrucción</t>
        </is>
      </c>
      <c r="L7" s="89" t="inlineStr">
        <is>
          <t>여야 모두가 사법부를 압박한다는 비판을 각각 담는다. 실제 재판 결과를 단정하지 않는다.</t>
        </is>
      </c>
      <c r="M7" s="89" t="inlineStr">
        <is>
          <t>최신 갱신 상황 확인</t>
        </is>
      </c>
    </row>
    <row r="8" ht="42" customHeight="1" s="81">
      <c r="A8" s="156" t="inlineStr">
        <is>
          <t>E1</t>
        </is>
      </c>
      <c r="B8" s="113" t="inlineStr">
        <is>
          <t>경제</t>
        </is>
      </c>
      <c r="C8" s="89" t="inlineStr">
        <is>
          <t>주거난과 단기 관광 임대</t>
        </is>
      </c>
      <c r="D8" s="88" t="inlineStr">
        <is>
          <t>vivienda, zona tensionada, vivienda turística, gran tenedor, licencia</t>
        </is>
      </c>
      <c r="E8" s="89" t="inlineStr">
        <is>
          <t>월세가 임금보다 빨리 오르고 관광 아파트가 동네를 비운다. 소규모 임대인의 입장(Pepa의 친구)도 대사에 넣는다.</t>
        </is>
      </c>
      <c r="F8" s="88" t="inlineStr">
        <is>
          <t>2부 6화(조항 설계), 6부 1·3·8·10화(Vallecas), 9부 6화(임대 보조 삭감·관광 아파트 조항), 11부 2·3화</t>
        </is>
      </c>
      <c r="G8" s="88" t="inlineStr">
        <is>
          <t>1부 1·2화(Fátima), 8부 1·9화, 12부</t>
        </is>
      </c>
      <c r="H8" s="88" t="inlineStr">
        <is>
          <t>Pepa, Carmen, Sofía, Mateo</t>
        </is>
      </c>
      <c r="I8" s="89" t="inlineStr">
        <is>
          <t>자치주(주거), 시(도시계획·인허가), 국가(기본 조건·세제)</t>
        </is>
      </c>
      <c r="J8" s="88" t="inlineStr">
        <is>
          <t>LAU, Ley 12/2023, 단기임대 등록제(2025, 확인)</t>
        </is>
      </c>
      <c r="K8" s="88" t="inlineStr">
        <is>
          <t>vivienda turística, zona tensionada, alquiler de temporada, pequeño propietario</t>
        </is>
      </c>
      <c r="L8" s="89" t="inlineStr">
        <is>
          <t>임차인만 피해자로 그리지 않는다. 소규모 임대인·대형 보유자를 구분해서 말한다.</t>
        </is>
      </c>
      <c r="M8" s="89" t="inlineStr">
        <is>
          <t>단기임대 규제 세부는 확인</t>
        </is>
      </c>
    </row>
    <row r="9" ht="42" customHeight="1" s="81">
      <c r="A9" s="156" t="inlineStr">
        <is>
          <t>E2</t>
        </is>
      </c>
      <c r="B9" s="113" t="inlineStr">
        <is>
          <t>경제</t>
        </is>
      </c>
      <c r="C9" s="89" t="inlineStr">
        <is>
          <t>저생산성과 영세 기업 구조</t>
        </is>
      </c>
      <c r="D9" s="88" t="inlineStr">
        <is>
          <t>microempresa, pyme, productividad, I+D, tamaño empresarial</t>
        </is>
      </c>
      <c r="E9" s="88" t="inlineStr">
        <is>
          <t>Diego가 컨설팅한 규모의 경제 없는 영세 제조업체들: 해고 없이 살릴 길을 못 찾았던 과거. 11부에서 영세 기업 통합·R&amp;D 전환 사업을 설계한다.</t>
        </is>
      </c>
      <c r="F9" s="88" t="inlineStr">
        <is>
          <t>5부 3화 Rueda 공방</t>
        </is>
      </c>
      <c r="G9" s="88" t="inlineStr">
        <is>
          <t>8부 9화(골목 상권), 11부 9화, 12부 7화</t>
        </is>
      </c>
      <c r="H9" s="88" t="inlineStr">
        <is>
          <t>Diego, Pepa, Nieves</t>
        </is>
      </c>
      <c r="I9" s="89" t="inlineStr">
        <is>
          <t>국가·자치주</t>
        </is>
      </c>
      <c r="J9" s="88" t="inlineStr">
        <is>
          <t>R&amp;D 세액공제·사회보험(확인), ERE</t>
        </is>
      </c>
      <c r="K9" s="88" t="inlineStr">
        <is>
          <t>productividad, escalar, consolidación, I+D+i</t>
        </is>
      </c>
      <c r="L9" s="88" t="inlineStr">
        <is>
          <t>'영세 기업이 문제'라는 식의 낙인 대신 구조 문제로 설명한다.</t>
        </is>
      </c>
      <c r="M9" s="89" t="inlineStr">
        <is>
          <t>통계 수치는 반영 전 확인</t>
        </is>
      </c>
    </row>
    <row r="10" ht="42" customHeight="1" s="81">
      <c r="A10" s="156" t="inlineStr">
        <is>
          <t>E3</t>
        </is>
      </c>
      <c r="B10" s="113" t="inlineStr">
        <is>
          <t>경제</t>
        </is>
      </c>
      <c r="C10" s="89" t="inlineStr">
        <is>
          <t>국가 부채와 재정 건전성</t>
        </is>
      </c>
      <c r="D10" s="88" t="inlineStr">
        <is>
          <t>deuda pública, regla de gasto, pensiones, revalorización</t>
        </is>
      </c>
      <c r="E10" s="89" t="inlineStr">
        <is>
          <t>부채를 줄이라는 EU 압박과 연금·보건 지출 증가 사이의 줄타기. Sofía가 숫자로 설명하고 Carmen이 되묻는다.</t>
        </is>
      </c>
      <c r="F10" s="88" t="inlineStr">
        <is>
          <t>11부 9화(EU 재정규칙), 11부 12화(예산안)</t>
        </is>
      </c>
      <c r="G10" s="88" t="inlineStr">
        <is>
          <t>12부 7화</t>
        </is>
      </c>
      <c r="H10" s="88" t="inlineStr">
        <is>
          <t>Sofía, Anselmo(메모), Gonzalo</t>
        </is>
      </c>
      <c r="I10" s="89" t="inlineStr">
        <is>
          <t>국가·EU</t>
        </is>
      </c>
      <c r="J10" s="89" t="inlineStr">
        <is>
          <t>중기 재정구조계획, TFUE 126, Pacto de Toledo</t>
        </is>
      </c>
      <c r="K10" s="88" t="inlineStr">
        <is>
          <t>deuda, déficit, regla de gasto, sostenibilidad</t>
        </is>
      </c>
      <c r="L10" s="89" t="inlineStr">
        <is>
          <t>긴축 vs 확대 양쪽 논거를 모두 숫자로 제시한다.</t>
        </is>
      </c>
      <c r="M10" s="89" t="inlineStr">
        <is>
          <t>부채는 GDP 대비 약 100% (2026.7 99.9%, 6월 101.5%, 스페인은행)</t>
        </is>
      </c>
    </row>
    <row r="11" ht="42" customHeight="1" s="81">
      <c r="A11" s="156" t="inlineStr">
        <is>
          <t>S1</t>
        </is>
      </c>
      <c r="B11" s="113" t="inlineStr">
        <is>
          <t>사회</t>
        </is>
      </c>
      <c r="C11" s="89" t="inlineStr">
        <is>
          <t>청년 고용 불안</t>
        </is>
      </c>
      <c r="D11" s="88" t="inlineStr">
        <is>
          <t>becario, contrato temporal, contrato formativo, SMI</t>
        </is>
      </c>
      <c r="E11" s="89" t="inlineStr">
        <is>
          <t>임시 계약과 저임금으로 청년의 자립이 늦어진다. Carmen이 그 당사자이자 질문자다.</t>
        </is>
      </c>
      <c r="F11" s="88" t="inlineStr">
        <is>
          <t>11부 6화, 12부 5·6화</t>
        </is>
      </c>
      <c r="G11" s="88" t="inlineStr">
        <is>
          <t>1부(Carmen), 5부(Diego의 인력 감축), 8부, 10부 3화</t>
        </is>
      </c>
      <c r="H11" s="88" t="inlineStr">
        <is>
          <t>Carmen, Nieves, Diego</t>
        </is>
      </c>
      <c r="I11" s="89" t="inlineStr">
        <is>
          <t>국가(노동법)·사회적 대화</t>
        </is>
      </c>
      <c r="J11" s="89" t="inlineStr">
        <is>
          <t>사회적 대화, 인턴 사회보험(2023 개정, 확인)</t>
        </is>
      </c>
      <c r="K11" s="88" t="inlineStr">
        <is>
          <t>becario, contrato, salario mínimo, precariedad</t>
        </is>
      </c>
      <c r="L11" s="89" t="inlineStr">
        <is>
          <t>청년 vs 기성세대 구도로 몰지 않는다(Nieves도 Anselmo도 청년의 편에서 돕는다).</t>
        </is>
      </c>
      <c r="M11" s="88" t="inlineStr">
        <is>
          <t>25세 미만 실업률 23.8%(2026 2분기), 전체 9.9%, 약 2.4배 (INE EPA 2026-09 확인)</t>
        </is>
      </c>
    </row>
    <row r="12" ht="42" customHeight="1" s="81">
      <c r="A12" s="156" t="inlineStr">
        <is>
          <t>S2</t>
        </is>
      </c>
      <c r="B12" s="113" t="inlineStr">
        <is>
          <t>사회</t>
        </is>
      </c>
      <c r="C12" s="89" t="inlineStr">
        <is>
          <t>이민·난민과 수용 분담</t>
        </is>
      </c>
      <c r="D12" s="88" t="inlineStr">
        <is>
          <t>arraigo, permiso de residencia, menor no acompañado, acogida, asilo</t>
        </is>
      </c>
      <c r="E12" s="88" t="inlineStr">
        <is>
          <t>Lavapiés는 다국적 동네다. 서류 없는 이웃, 체류 자격 사건, 도착 지역의 수용 과부하와 자치주 간 떠넘기기.</t>
        </is>
      </c>
      <c r="F12" s="88" t="inlineStr">
        <is>
          <t>6부 8·9화(퇴거 저지·서류 없는 이웃), 7부 4화(체류 자격), 11부 5화 분담</t>
        </is>
      </c>
      <c r="G12" s="88" t="inlineStr">
        <is>
          <t>1부 2화, 3부 6화(서류 없는 환자), 8부(투표권 없는 이웃), 10부 3화, 12부</t>
        </is>
      </c>
      <c r="H12" s="88" t="inlineStr">
        <is>
          <t>Pepa, Javier, Mateo, Nieves, Lucía</t>
        </is>
      </c>
      <c r="I12" s="89" t="inlineStr">
        <is>
          <t>국가(외국인법·국경), 자치주(아동 보호·수용)</t>
        </is>
      </c>
      <c r="J12" s="88" t="inlineStr">
        <is>
          <t>LO 4/2000, Ley 12/2009, 이주 아동 분산 조치(2025, 확인)</t>
        </is>
      </c>
      <c r="K12" s="88" t="inlineStr">
        <is>
          <t>arraigo, acogida, menor no acompañado, solicitud de asilo</t>
        </is>
      </c>
      <c r="L12" s="89" t="inlineStr">
        <is>
          <t>반이민 여론(HU)과 수용 부담 지역의 실제 어려움을 함께 담고, 이주민을 배경이 아닌 화자로 세운다.</t>
        </is>
      </c>
      <c r="M12" s="88" t="inlineStr">
        <is>
          <t>2025년 분산 수용 조치의 현재 상태 확인</t>
        </is>
      </c>
    </row>
    <row r="13" ht="54.75" customHeight="1" s="81">
      <c r="A13" s="156" t="inlineStr">
        <is>
          <t>S3</t>
        </is>
      </c>
      <c r="B13" s="113" t="inlineStr">
        <is>
          <t>사회</t>
        </is>
      </c>
      <c r="C13" s="89" t="inlineStr">
        <is>
          <t>고령화와 텅 빈 스페인(España Vaciada)</t>
        </is>
      </c>
      <c r="D13" s="88" t="inlineStr">
        <is>
          <t>despoblación, envejecimiento, natalidad, pensiones</t>
        </is>
      </c>
      <c r="E13" s="89" t="inlineStr">
        <is>
          <t>농촌 진료소가 문을 닫고 자치주는 병원 외주를 늘린다(9부). Ramón의 고향은 학교도 병원도 문을 닫은 내륙 마을이고, 캠페인이 그곳을 지나며 일자리·의료·연금 문제가 되풀이된다(10부).</t>
        </is>
      </c>
      <c r="F13" s="88" t="inlineStr">
        <is>
          <t>9부 7화 자치의회에서의 보건</t>
        </is>
      </c>
      <c r="G13" s="88" t="inlineStr">
        <is>
          <t>3부(응급실 고령 환자), 10부 2화(Ramón의 고향 마을), 11부 4화, 12부</t>
        </is>
      </c>
      <c r="H13" s="88" t="inlineStr">
        <is>
          <t>Ramón, Javier, Carmen</t>
        </is>
      </c>
      <c r="I13" s="89" t="inlineStr">
        <is>
          <t>자치주·시·국가</t>
        </is>
      </c>
      <c r="J13" s="89" t="inlineStr">
        <is>
          <t>헌법 제68조 2항(선거구 최소 의석), Pacto de Toledo</t>
        </is>
      </c>
      <c r="K13" s="88" t="inlineStr">
        <is>
          <t>despoblación, envejecimiento, natalidad, consultorio rural</t>
        </is>
      </c>
      <c r="L13" s="88" t="inlineStr">
        <is>
          <t>'텅 빈 스페인'을 동정하지 않고 마을 사람들이 직접 말하게 한다.</t>
        </is>
      </c>
      <c r="M13" s="89" t="inlineStr">
        <is>
          <t>인구·출생 통계는 반영 전 확인</t>
        </is>
      </c>
    </row>
    <row r="14" ht="42" customHeight="1" s="81">
      <c r="A14" s="156" t="inlineStr">
        <is>
          <t>S4</t>
        </is>
      </c>
      <c r="B14" s="113" t="inlineStr">
        <is>
          <t>사회</t>
        </is>
      </c>
      <c r="C14" s="89" t="inlineStr">
        <is>
          <t>가뭄·폭염과 에너지 전환 부담</t>
        </is>
      </c>
      <c r="D14" s="88" t="inlineStr">
        <is>
          <t>sequía, ola de calor, embalse, restricciones de agua</t>
        </is>
      </c>
      <c r="E14" s="89" t="inlineStr">
        <is>
          <t>폭염에 응급실이 넘치고(3부), 저수지가 마른 마을을 지나며(10부), 횡재세 재원을 전환 비용에 쓸지 논쟁한다(11부).</t>
        </is>
      </c>
      <c r="F14" s="88" t="inlineStr">
        <is>
          <t>3부 3·10화(폭염 응급실)</t>
        </is>
      </c>
      <c r="G14" s="88" t="inlineStr">
        <is>
          <t>10부 2화, 11부 4·8·11화, 12부</t>
        </is>
      </c>
      <c r="H14" s="88" t="inlineStr">
        <is>
          <t>Javier, Ramón, Sofía</t>
        </is>
      </c>
      <c r="I14" s="89" t="inlineStr">
        <is>
          <t>국가·자치주·유역기관</t>
        </is>
      </c>
      <c r="J14" s="89" t="inlineStr">
        <is>
          <t>폭염 경보, 수자원 관리(확인)</t>
        </is>
      </c>
      <c r="K14" s="88" t="inlineStr">
        <is>
          <t>sequía, ola de calor, AEMET, embalse, transición energética</t>
        </is>
      </c>
      <c r="L14" s="89" t="inlineStr">
        <is>
          <t>기후를 정치적 구호로 쓰지 않고 현장 사건으로 보여 준다.</t>
        </is>
      </c>
      <c r="M14" s="89" t="inlineStr">
        <is>
          <t>최신 가뭄·폭염 통계 확인</t>
        </is>
      </c>
    </row>
    <row r="15" ht="42" customHeight="1" s="81">
      <c r="A15" s="156" t="inlineStr">
        <is>
          <t>N1</t>
        </is>
      </c>
      <c r="B15" s="113" t="inlineStr">
        <is>
          <t>재난</t>
        </is>
      </c>
      <c r="C15" s="88" t="inlineStr">
        <is>
          <t>DANA와 방재 체계</t>
        </is>
      </c>
      <c r="D15" s="88" t="inlineStr">
        <is>
          <t>DANA, gota fría, aviso rojo, ES-Alert, UME, damnificados</t>
        </is>
      </c>
      <c r="E15" s="89" t="inlineStr">
        <is>
          <t>지중해 연안에 가상의 DANA 폭우가 덮친다. 경보 지연, 자치주–중앙정부 책임 공방, 긴급사태 선언 여부, 군 투입, 복구와 보험 보상.</t>
        </is>
      </c>
      <c r="F15" s="88" t="inlineStr">
        <is>
          <t>11부 11화 La Gota Fría</t>
        </is>
      </c>
      <c r="G15" s="88" t="inlineStr">
        <is>
          <t>12부(복구 결산)</t>
        </is>
      </c>
      <c r="H15" s="88" t="inlineStr">
        <is>
          <t>Ramón, Javier, Mateo, Inés, Tomás</t>
        </is>
      </c>
      <c r="I15" s="89" t="inlineStr">
        <is>
          <t>자치주(1차 대응), 국가(긴급사태·군), EU</t>
        </is>
      </c>
      <c r="J15" s="88" t="inlineStr">
        <is>
          <t>Ley 17/2015, 보험보상 기구, EU 연대기금</t>
        </is>
      </c>
      <c r="K15" s="88" t="inlineStr">
        <is>
          <t>protección civil, aviso rojo, emergencia de interés nacional, damnificados</t>
        </is>
      </c>
      <c r="L15" s="89" t="inlineStr">
        <is>
          <t>실제 참사와 희생자를 연상시키므로 추모의 톤을 지키고, 특정 정치인 비난 없이 제도의 공백을 보여 준다.</t>
        </is>
      </c>
      <c r="M15" s="89" t="inlineStr">
        <is>
          <t>실제 사건의 후속 조치·재판은 반영 전 확인</t>
        </is>
      </c>
    </row>
    <row r="16" ht="42" customHeight="1" s="81">
      <c r="A16" s="156" t="inlineStr">
        <is>
          <t>N2</t>
        </is>
      </c>
      <c r="B16" s="111" t="inlineStr">
        <is>
          <t>EU</t>
        </is>
      </c>
      <c r="C16" s="89" t="inlineStr">
        <is>
          <t>회복기금(NextGenerationEU) 집행</t>
        </is>
      </c>
      <c r="D16" s="88" t="inlineStr">
        <is>
          <t>fondos europeos, PERTE, hito, ejecución, justificación</t>
        </is>
      </c>
      <c r="E16" s="89" t="inlineStr">
        <is>
          <t>회복기금 사업이 시 계약으로 흘러가 소수 업체가 독점하고 행정 병목으로 지연된다. Sofía·Gonzalo가 자금 흐름을 추적한다.</t>
        </is>
      </c>
      <c r="F16" s="88" t="inlineStr">
        <is>
          <t>9부 4화 돋보기 아래의 계약들</t>
        </is>
      </c>
      <c r="G16" s="88" t="inlineStr">
        <is>
          <t>11부 9화, 12부 7화</t>
        </is>
      </c>
      <c r="H16" s="88" t="inlineStr">
        <is>
          <t>Sofía, Gonzalo, Diego</t>
        </is>
      </c>
      <c r="I16" s="89" t="inlineStr">
        <is>
          <t>국가·자치주·시·EU</t>
        </is>
      </c>
      <c r="J16" s="88" t="inlineStr">
        <is>
          <t>PRTR, RDL 36/2020, 공공계약법</t>
        </is>
      </c>
      <c r="K16" s="88" t="inlineStr">
        <is>
          <t>fondos europeos, licitación, hito, ejecución</t>
        </is>
      </c>
      <c r="L16" s="88" t="inlineStr">
        <is>
          <t>'기금이 낭비된다'는 단정 대신 병목의 원인(절차·인력·배분)을 나눠서 보여 준다.</t>
        </is>
      </c>
      <c r="M16" s="89" t="inlineStr">
        <is>
          <t>집행 시한과 최신 집행률 확인</t>
        </is>
      </c>
    </row>
    <row r="17" ht="67.5" customHeight="1" s="81">
      <c r="A17" s="156" t="inlineStr">
        <is>
          <t>N3</t>
        </is>
      </c>
      <c r="B17" s="111" t="inlineStr">
        <is>
          <t>EU·NATO</t>
        </is>
      </c>
      <c r="C17" s="89" t="inlineStr">
        <is>
          <t>국방비 증액과 NATO</t>
        </is>
      </c>
      <c r="D17" s="88" t="inlineStr">
        <is>
          <t>gasto en defensa, OTAN, capacidades, presupuesto</t>
        </is>
      </c>
      <c r="E17" s="88" t="inlineStr">
        <is>
          <t>2025년 헤이그 합의로 나토가 5%(3.5%+1.5%) 목표를 2035년까지 세웠고 스페인은 예외를 받았다. Anselmo가 11부에서 직접 나서 3.5%로의 단계적 경로를 얻어내고, 12부에서 그 경로를 예산에 반영하는 논쟁이 이어진다.</t>
        </is>
      </c>
      <c r="F17" s="88" t="inlineStr">
        <is>
          <t>11부 9~11화(Anselmo의 직접 협상), 11부 12화(사망)</t>
        </is>
      </c>
      <c r="G17" s="88" t="inlineStr">
        <is>
          <t>10부 3화(TV 토론), 12부 3화(후속 협상), 12부 11화(예산 반영)</t>
        </is>
      </c>
      <c r="H17" s="88" t="inlineStr">
        <is>
          <t>Anselmo, Sofía, Tomás, Ramón, Mateo</t>
        </is>
      </c>
      <c r="I17" s="89" t="inlineStr">
        <is>
          <t>국가·NATO·EU</t>
        </is>
      </c>
      <c r="J17" s="88" t="inlineStr">
        <is>
          <t>2025 헤이그 합의, 예산안 art. 134</t>
        </is>
      </c>
      <c r="K17" s="88" t="inlineStr">
        <is>
          <t>gasto en defensa, capacidades, compromiso, exención, disuasión</t>
        </is>
      </c>
      <c r="L17" s="89" t="inlineStr">
        <is>
          <t>안보 강화 vs 복지 우선 두 입장을 모두 설득력 있게 들려준다.</t>
        </is>
      </c>
      <c r="M17" s="88" t="inlineStr">
        <is>
          <t>NATO 목표 수치 확인 (최근 변동)</t>
        </is>
      </c>
    </row>
    <row r="18" ht="54.75" customHeight="1" s="81">
      <c r="A18" s="156" t="inlineStr">
        <is>
          <t>N4</t>
        </is>
      </c>
      <c r="B18" s="113" t="inlineStr">
        <is>
          <t>젠더</t>
        </is>
      </c>
      <c r="C18" s="89" t="inlineStr">
        <is>
          <t>성평등·성폭력 법을 둘러싼 갈등</t>
        </is>
      </c>
      <c r="D18" s="88" t="inlineStr">
        <is>
          <t>consentimiento, agresión sexual, retroactividad, reducción de condena</t>
        </is>
      </c>
      <c r="E18" s="88" t="inlineStr">
        <is>
          <t>'동의 여부' 중심의 법이 시행되자 유리한 신법 소급 원칙 때문에 일부 형량이 감경되는 부작용이 생긴다. 사무소가 피해자 사건을 돕고 Mateo는 좋은 뜻의 나쁜 법을 마주한다.</t>
        </is>
      </c>
      <c r="F18" s="88" t="inlineStr">
        <is>
          <t>7부 3화 피해자를 벌한 법</t>
        </is>
      </c>
      <c r="G18" s="88" t="inlineStr">
        <is>
          <t>8부 8화(성별 균형 명부), 10부 3화(TV 토론)</t>
        </is>
      </c>
      <c r="H18" s="88" t="inlineStr">
        <is>
          <t>Mateo, Lucía, Sofía, Inés</t>
        </is>
      </c>
      <c r="I18" s="89" t="inlineStr">
        <is>
          <t>국가(형법)</t>
        </is>
      </c>
      <c r="J18" s="88" t="inlineStr">
        <is>
          <t>LO 10/2022, 개정 LO 4/2023, 형법 제2조 2항</t>
        </is>
      </c>
      <c r="K18" s="88" t="inlineStr">
        <is>
          <t>consentimiento, retroactividad, víctima, agresión sexual</t>
        </is>
      </c>
      <c r="L18" s="89" t="inlineStr">
        <is>
          <t>폐지 주장과 개정 주장을 각자의 가장 강한 논거로 제시한다. 트랜스 관련 법은 본문에서 다루지 않거나 언급 수준으로 최소화(미결).</t>
        </is>
      </c>
      <c r="M18" s="89" t="inlineStr">
        <is>
          <t>법률 번호·개정 경과 확인</t>
        </is>
      </c>
    </row>
    <row r="19" ht="42" customHeight="1" s="81">
      <c r="A19" s="156" t="inlineStr">
        <is>
          <t>N5</t>
        </is>
      </c>
      <c r="B19" s="113" t="inlineStr">
        <is>
          <t>에너지</t>
        </is>
      </c>
      <c r="C19" s="89" t="inlineStr">
        <is>
          <t>재생에너지 입지 갈등(녹색 대 녹색)</t>
        </is>
      </c>
      <c r="D19" s="88" t="inlineStr">
        <is>
          <t>parque solar, aerogenerador, impacto ambiental, alegaciones</t>
        </is>
      </c>
      <c r="E19" s="89" t="inlineStr">
        <is>
          <t>내륙 마을 옆 대형 태양광 단지 계획: 일자리·세수 vs 농지·경관·생태. 주민 찬반이 갈리고 Lucía가 중재한다.</t>
        </is>
      </c>
      <c r="F19" s="88" t="inlineStr">
        <is>
          <t>10부 2화 15일의 유세 (내륙 마을의 태양광 단지)</t>
        </is>
      </c>
      <c r="G19" s="88" t="inlineStr">
        <is>
          <t>11부 8화(횡재세 재원), 12부 11화</t>
        </is>
      </c>
      <c r="H19" s="88" t="inlineStr">
        <is>
          <t>Ramón, Tomás, Carmen, Lucía</t>
        </is>
      </c>
      <c r="I19" s="89" t="inlineStr">
        <is>
          <t>국가(50MW 초과)·자치주(그 미만)·시</t>
        </is>
      </c>
      <c r="J19" s="88" t="inlineStr">
        <is>
          <t>Ley 24/2013, Ley 21/2013</t>
        </is>
      </c>
      <c r="K19" s="88" t="inlineStr">
        <is>
          <t>parque solar, evaluación de impacto ambiental, alegaciones, agricultor</t>
        </is>
      </c>
      <c r="L19" s="89" t="inlineStr">
        <is>
          <t>어느 쪽도 악역으로 만들지 않는다. 마을 안의 두 목소리가 모두 옳다는 형태로.</t>
        </is>
      </c>
      <c r="M19" s="89" t="inlineStr">
        <is>
          <t>인허가 기준(50MW)은 확인</t>
        </is>
      </c>
    </row>
    <row r="20" ht="42" customHeight="1" s="81">
      <c r="A20" s="156" t="inlineStr">
        <is>
          <t>N6</t>
        </is>
      </c>
      <c r="B20" s="113" t="inlineStr">
        <is>
          <t>노동</t>
        </is>
      </c>
      <c r="C20" s="89" t="inlineStr">
        <is>
          <t>플랫폼 노동(라이더법) 이후의 갈등</t>
        </is>
      </c>
      <c r="D20" s="88" t="inlineStr">
        <is>
          <t>repartidor, algoritmo, plataforma, alta laboral</t>
        </is>
      </c>
      <c r="E20" s="89" t="inlineStr">
        <is>
          <t>배달 라이더가 알고리즘 배차·일방적 로그아웃에 항의한다. 2021년 라이더법 이후에도 고용 지위 분쟁이 계속됨을 Nieves가 현장에서 겪는다.</t>
        </is>
      </c>
      <c r="F20" s="88" t="inlineStr">
        <is>
          <t>12부 4화 La Aplicación que Decide</t>
        </is>
      </c>
      <c r="G20" s="88" t="inlineStr">
        <is>
          <t>5부(Diego의 과거, 곁가지)</t>
        </is>
      </c>
      <c r="H20" s="88" t="inlineStr">
        <is>
          <t>Nieves, Tomás, Mateo</t>
        </is>
      </c>
      <c r="I20" s="89" t="inlineStr">
        <is>
          <t>국가(노동법)</t>
        </is>
      </c>
      <c r="J20" s="88" t="inlineStr">
        <is>
          <t>Ley Rider (RDL 9/2021), 알고리즘 투명성 의무</t>
        </is>
      </c>
      <c r="K20" s="88" t="inlineStr">
        <is>
          <t>algoritmo, plataforma, alta laboral, desconexión</t>
        </is>
      </c>
      <c r="L20" s="89" t="inlineStr">
        <is>
          <t>플랫폼 vs 라이더 구도를 단순화하지 않는다. 자영업을 원하는 라이더의 목소리도 담는다.</t>
        </is>
      </c>
      <c r="M20" s="88" t="inlineStr">
        <is>
          <t>Ley Rider는 2021년 시행된 실제 법. 최신 적용 사례는 확인 필요</t>
        </is>
      </c>
    </row>
    <row r="21" ht="42" customHeight="1" s="81">
      <c r="A21" s="156" t="inlineStr">
        <is>
          <t>N7</t>
        </is>
      </c>
      <c r="B21" s="113" t="inlineStr">
        <is>
          <t>사법·통제</t>
        </is>
      </c>
      <c r="C21" s="89" t="inlineStr">
        <is>
          <t>정보기관 사찰·스파이웨어 스캔들</t>
        </is>
      </c>
      <c r="D21" s="88" t="inlineStr">
        <is>
          <t>escuchas ilegales, software espía, control judicial</t>
        </is>
      </c>
      <c r="E21" s="89" t="inlineStr">
        <is>
          <t>야당 정치인과 언론인 휴대전화에 스파이웨어가 심어졌다는 의혹. Raimundo가 옛 동료들의 흔적을 알아채고 Mateo는 합법적 감독 경로를 고집한다.</t>
        </is>
      </c>
      <c r="F21" s="88" t="inlineStr">
        <is>
          <t>12부 5화 El Software que Nadie Autorizó</t>
        </is>
      </c>
      <c r="G21" s="88" t="inlineStr">
        <is>
          <t>7부 8화(도청 논쟁)와 연결·확장</t>
        </is>
      </c>
      <c r="H21" s="88" t="inlineStr">
        <is>
          <t>Raimundo, Inés, Mateo</t>
        </is>
      </c>
      <c r="I21" s="89" t="inlineStr">
        <is>
          <t>정보기관(CNI, 국방부 소속)·사법부·의회</t>
        </is>
      </c>
      <c r="J21" s="88" t="inlineStr">
        <is>
          <t>Ley 11/2002, LO 2/2002(사법 통제), 의회 조사위원회</t>
        </is>
      </c>
      <c r="K21" s="88" t="inlineStr">
        <is>
          <t>software espía, control judicial previo, comisión de investigación</t>
        </is>
      </c>
      <c r="L21" s="89" t="inlineStr">
        <is>
          <t>실제 사건을 특정하지 않는다. 가상의 스캔들로 각색하고 여야 모두를 향한 감독 공백을 보여 준다.</t>
        </is>
      </c>
      <c r="M21" s="88" t="inlineStr">
        <is>
          <t>2022년 카탈루냐 정치인 스파이웨어 의혹 등 실제 사례가 있음. 세부는 반영 전 확인</t>
        </is>
      </c>
    </row>
    <row r="22" ht="42" customHeight="1" s="81">
      <c r="A22" s="156" t="inlineStr">
        <is>
          <t>N8</t>
        </is>
      </c>
      <c r="B22" s="113" t="inlineStr">
        <is>
          <t>사회</t>
        </is>
      </c>
      <c r="C22" s="89" t="inlineStr">
        <is>
          <t>청년 정신건강 위기</t>
        </is>
      </c>
      <c r="D22" s="88" t="inlineStr">
        <is>
          <t>salud mental, ansiedad, lista de espera, terapia</t>
        </is>
      </c>
      <c r="E22" s="89" t="inlineStr">
        <is>
          <t>청년 정신건강 상담 대기가 몇 달씩 밀린다. Lucía가 진료 현장에서, Carmen이 자신의 불안을 처음 인정하며 함께 부딪힌다.</t>
        </is>
      </c>
      <c r="F22" s="88" t="inlineStr">
        <is>
          <t>12부 6화 Las Listas de Espera</t>
        </is>
      </c>
      <c r="G22" s="88" t="inlineStr">
        <is>
          <t>1부(Carmen의 폭발과 연결 가능, 곁가지)</t>
        </is>
      </c>
      <c r="H22" s="88" t="inlineStr">
        <is>
          <t>Lucía, Carmen, Javier</t>
        </is>
      </c>
      <c r="I22" s="89" t="inlineStr">
        <is>
          <t>자치주(공공 심리 지원)</t>
        </is>
      </c>
      <c r="J22" s="89" t="inlineStr">
        <is>
          <t>정신건강 상담 접근성, 공공 예산</t>
        </is>
      </c>
      <c r="K22" s="88" t="inlineStr">
        <is>
          <t>salud mental, ansiedad, terapia, lista de espera</t>
        </is>
      </c>
      <c r="L22" s="89" t="inlineStr">
        <is>
          <t>청년 정신건강을 극적 소재로만 소비하지 않는다. 낙인 없이, 도움을 구하는 것이 자연스럽다는 톤으로.</t>
        </is>
      </c>
      <c r="M22" s="89" t="inlineStr">
        <is>
          <t>청년 불안장애·상담 대기 증가는 스페인에서 널리 보도된 추세. 최신 통계는 확인 필요</t>
        </is>
      </c>
    </row>
    <row r="24" ht="18" customHeight="1" s="81">
      <c r="A24" s="84" t="inlineStr">
        <is>
          <t>현실 기준값 (확인일 2026-09-22)</t>
        </is>
      </c>
      <c r="B24" s="85" t="n"/>
      <c r="C24" s="85" t="n"/>
      <c r="D24" s="85" t="n"/>
      <c r="E24" s="85" t="n"/>
      <c r="F24" s="85" t="n"/>
      <c r="G24" s="85" t="n"/>
      <c r="H24" s="85" t="n"/>
      <c r="I24" s="85" t="n"/>
      <c r="J24" s="85" t="n"/>
      <c r="K24" s="85" t="n"/>
      <c r="L24" s="85" t="n"/>
      <c r="M24" s="85" t="n"/>
    </row>
    <row r="25" ht="19.5" customHeight="1" s="81">
      <c r="A25" s="110" t="inlineStr">
        <is>
          <t>No</t>
        </is>
      </c>
      <c r="B25" s="103" t="inlineStr">
        <is>
          <t>구분</t>
        </is>
      </c>
      <c r="C25" s="103" t="inlineStr">
        <is>
          <t>항목</t>
        </is>
      </c>
      <c r="D25" s="103" t="inlineStr">
        <is>
          <t>값</t>
        </is>
      </c>
      <c r="E25" s="103" t="inlineStr">
        <is>
          <t>출처·비고</t>
        </is>
      </c>
    </row>
    <row r="26" ht="29.25" customHeight="1" s="81">
      <c r="A26" s="111" t="n">
        <v>1</v>
      </c>
      <c r="B26" s="89" t="inlineStr">
        <is>
          <t>경제</t>
        </is>
      </c>
      <c r="C26" s="89" t="inlineStr">
        <is>
          <t>정부 부채 / GDP</t>
        </is>
      </c>
      <c r="D26" s="89" t="inlineStr">
        <is>
          <t>약 100% (2026.7 99.9%, 6월 101.5%)</t>
        </is>
      </c>
      <c r="E26" s="89" t="inlineStr">
        <is>
          <t>스페인은행(Banco de España) 월간 통계. 붙여 주신 자료의 97~99%보다 조금 높다.</t>
        </is>
      </c>
    </row>
    <row r="27" ht="29.25" customHeight="1" s="81">
      <c r="A27" s="111" t="n">
        <v>2</v>
      </c>
      <c r="B27" s="89" t="inlineStr">
        <is>
          <t>사회</t>
        </is>
      </c>
      <c r="C27" s="88" t="inlineStr">
        <is>
          <t>25세 미만 실업률</t>
        </is>
      </c>
      <c r="D27" s="88" t="inlineStr">
        <is>
          <t>23.8% (2026 2분기), 전체 9.9%</t>
        </is>
      </c>
      <c r="E27" s="88" t="inlineStr">
        <is>
          <t>INE 경제활동인구조사(EPA). 청년 실업은 전체의 약 2.4배.</t>
        </is>
      </c>
    </row>
    <row r="28" ht="29.25" customHeight="1" s="81">
      <c r="A28" s="111" t="n">
        <v>3</v>
      </c>
      <c r="B28" s="89" t="inlineStr">
        <is>
          <t>정치</t>
        </is>
      </c>
      <c r="C28" s="89" t="inlineStr">
        <is>
          <t>현 정부 형태</t>
        </is>
      </c>
      <c r="D28" s="89" t="inlineStr">
        <is>
          <t>소수 연립 + 지역정당 지지 의존</t>
        </is>
      </c>
      <c r="E28" s="89" t="inlineStr">
        <is>
          <t>이야기에는 실존 정당·인물을 쓰지 않는다. 표현은 '여소야대'가 아니라 '소수 정부'.</t>
        </is>
      </c>
    </row>
    <row r="29" ht="42" customHeight="1" s="81">
      <c r="A29" s="111" t="n">
        <v>4</v>
      </c>
      <c r="B29" s="89" t="inlineStr">
        <is>
          <t>확인 필요</t>
        </is>
      </c>
      <c r="C29" s="89" t="inlineStr">
        <is>
          <t>변동이 잦은 항목</t>
        </is>
      </c>
      <c r="D29" s="89" t="inlineStr">
        <is>
          <t>사면법 절차, DANA 후속, NATO 목표, 이주 아동 분산, 회복기금 시한</t>
        </is>
      </c>
      <c r="E29" s="89" t="inlineStr">
        <is>
          <t>교재에 넣기 직전 최신 상태를 확인한다.</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tabColor rgb="FFC00000"/>
    <outlinePr summaryBelow="1" summaryRight="1"/>
    <pageSetUpPr fitToPage="1"/>
  </sheetPr>
  <dimension ref="A1:Q27"/>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6" customWidth="1" style="80" min="1" max="1"/>
    <col width="30" customWidth="1" style="80" min="2" max="2"/>
    <col width="6" customWidth="1" style="80" min="3" max="15"/>
    <col width="10" customWidth="1" style="80" min="16" max="17"/>
  </cols>
  <sheetData>
    <row r="1" ht="24" customHeight="1" s="81">
      <c r="A1" s="101" t="inlineStr">
        <is>
          <t>현안 분포표 (부 × 현안)</t>
        </is>
      </c>
    </row>
    <row r="2" ht="15" customHeight="1" s="81">
      <c r="A2" s="83" t="inlineStr">
        <is>
          <t>● = 그 화의 주된 사건(전용 화), ○ = 곁가지(대사·서브플롯). 기호를 바꾸면 아래 집계가 자동 갱신됩니다.</t>
        </is>
      </c>
    </row>
    <row r="4" ht="21.75" customHeight="1" s="81">
      <c r="A4" s="110" t="inlineStr">
        <is>
          <t>ID</t>
        </is>
      </c>
      <c r="B4" s="103" t="inlineStr">
        <is>
          <t>현안</t>
        </is>
      </c>
      <c r="C4" s="110" t="inlineStr">
        <is>
          <t>1부</t>
        </is>
      </c>
      <c r="D4" s="110" t="inlineStr">
        <is>
          <t>2부</t>
        </is>
      </c>
      <c r="E4" s="110" t="inlineStr">
        <is>
          <t>3부</t>
        </is>
      </c>
      <c r="F4" s="110" t="inlineStr">
        <is>
          <t>4부</t>
        </is>
      </c>
      <c r="G4" s="110" t="inlineStr">
        <is>
          <t>5부</t>
        </is>
      </c>
      <c r="H4" s="110" t="inlineStr">
        <is>
          <t>6부</t>
        </is>
      </c>
      <c r="I4" s="110" t="inlineStr">
        <is>
          <t>7부</t>
        </is>
      </c>
      <c r="J4" s="110" t="inlineStr">
        <is>
          <t>8부</t>
        </is>
      </c>
      <c r="K4" s="110" t="inlineStr">
        <is>
          <t>9부</t>
        </is>
      </c>
      <c r="L4" s="110" t="inlineStr">
        <is>
          <t>10부</t>
        </is>
      </c>
      <c r="M4" s="110" t="inlineStr">
        <is>
          <t>11부</t>
        </is>
      </c>
      <c r="N4" s="110" t="inlineStr">
        <is>
          <t>12부</t>
        </is>
      </c>
      <c r="O4" s="110" t="inlineStr">
        <is>
          <t>13부</t>
        </is>
      </c>
      <c r="P4" s="103" t="inlineStr">
        <is>
          <t>● 수</t>
        </is>
      </c>
      <c r="Q4" s="103" t="inlineStr">
        <is>
          <t>○ 수</t>
        </is>
      </c>
    </row>
    <row r="5" ht="15" customHeight="1" s="81">
      <c r="A5" s="132" t="inlineStr">
        <is>
          <t>P1</t>
        </is>
      </c>
      <c r="B5" s="157" t="inlineStr">
        <is>
          <t>정치 파편화·연정 불안정</t>
        </is>
      </c>
      <c r="C5" s="115" t="n"/>
      <c r="D5" s="115" t="n"/>
      <c r="E5" s="115" t="n"/>
      <c r="F5" s="115" t="n"/>
      <c r="G5" s="115" t="n"/>
      <c r="H5" s="115" t="n"/>
      <c r="I5" s="115" t="inlineStr">
        <is>
          <t>○</t>
        </is>
      </c>
      <c r="J5" s="115" t="inlineStr">
        <is>
          <t>○</t>
        </is>
      </c>
      <c r="K5" s="115" t="n"/>
      <c r="L5" s="115" t="n"/>
      <c r="M5" s="115" t="n"/>
      <c r="N5" s="115" t="inlineStr">
        <is>
          <t>●</t>
        </is>
      </c>
      <c r="O5" s="115" t="inlineStr">
        <is>
          <t>○</t>
        </is>
      </c>
      <c r="P5" s="116">
        <f>COUNTIF(C5:O5,"●")</f>
        <v/>
      </c>
      <c r="Q5" s="116">
        <f>COUNTIF(C5:O5,"○")</f>
        <v/>
      </c>
    </row>
    <row r="6" ht="15" customHeight="1" s="81">
      <c r="A6" s="132" t="inlineStr">
        <is>
          <t>P2</t>
        </is>
      </c>
      <c r="B6" s="157" t="inlineStr">
        <is>
          <t>지역 갈등·사면·재정 분권</t>
        </is>
      </c>
      <c r="C6" s="115" t="n"/>
      <c r="D6" s="115" t="n"/>
      <c r="E6" s="115" t="n"/>
      <c r="F6" s="115" t="n"/>
      <c r="G6" s="115" t="n"/>
      <c r="H6" s="115" t="n"/>
      <c r="I6" s="115" t="n"/>
      <c r="J6" s="115" t="n"/>
      <c r="K6" s="115" t="n"/>
      <c r="L6" s="115" t="n"/>
      <c r="M6" s="115" t="n"/>
      <c r="N6" s="115" t="inlineStr">
        <is>
          <t>●</t>
        </is>
      </c>
      <c r="O6" s="115" t="inlineStr">
        <is>
          <t>○</t>
        </is>
      </c>
      <c r="P6" s="116">
        <f>COUNTIF(C6:O6,"●")</f>
        <v/>
      </c>
      <c r="Q6" s="116">
        <f>COUNTIF(C6:O6,"○")</f>
        <v/>
      </c>
    </row>
    <row r="7" ht="15" customHeight="1" s="81">
      <c r="A7" s="132" t="inlineStr">
        <is>
          <t>P3</t>
        </is>
      </c>
      <c r="B7" s="157" t="inlineStr">
        <is>
          <t>사법부 독립·정치 대립</t>
        </is>
      </c>
      <c r="C7" s="115" t="n"/>
      <c r="D7" s="115" t="inlineStr">
        <is>
          <t>○</t>
        </is>
      </c>
      <c r="E7" s="115" t="inlineStr">
        <is>
          <t>○</t>
        </is>
      </c>
      <c r="F7" s="115" t="inlineStr">
        <is>
          <t>○</t>
        </is>
      </c>
      <c r="G7" s="115" t="n"/>
      <c r="H7" s="115" t="n"/>
      <c r="I7" s="115" t="inlineStr">
        <is>
          <t>●</t>
        </is>
      </c>
      <c r="J7" s="115" t="n"/>
      <c r="K7" s="115" t="inlineStr">
        <is>
          <t>●</t>
        </is>
      </c>
      <c r="L7" s="115" t="n"/>
      <c r="M7" s="115" t="n"/>
      <c r="N7" s="115" t="inlineStr">
        <is>
          <t>○</t>
        </is>
      </c>
      <c r="O7" s="115" t="n"/>
      <c r="P7" s="116">
        <f>COUNTIF(C7:O7,"●")</f>
        <v/>
      </c>
      <c r="Q7" s="116">
        <f>COUNTIF(C7:O7,"○")</f>
        <v/>
      </c>
    </row>
    <row r="8" ht="15" customHeight="1" s="81">
      <c r="A8" s="132" t="inlineStr">
        <is>
          <t>E1</t>
        </is>
      </c>
      <c r="B8" s="157" t="inlineStr">
        <is>
          <t>주거난·단기 관광 임대</t>
        </is>
      </c>
      <c r="C8" s="115" t="inlineStr">
        <is>
          <t>○</t>
        </is>
      </c>
      <c r="D8" s="115" t="inlineStr">
        <is>
          <t>●</t>
        </is>
      </c>
      <c r="E8" s="115" t="n"/>
      <c r="F8" s="115" t="n"/>
      <c r="G8" s="115" t="n"/>
      <c r="H8" s="115" t="inlineStr">
        <is>
          <t>●</t>
        </is>
      </c>
      <c r="I8" s="115" t="inlineStr">
        <is>
          <t>○</t>
        </is>
      </c>
      <c r="J8" s="115" t="inlineStr">
        <is>
          <t>○</t>
        </is>
      </c>
      <c r="K8" s="115" t="n"/>
      <c r="L8" s="115" t="n"/>
      <c r="M8" s="115" t="inlineStr">
        <is>
          <t>●</t>
        </is>
      </c>
      <c r="N8" s="115" t="n"/>
      <c r="O8" s="115" t="inlineStr">
        <is>
          <t>○</t>
        </is>
      </c>
      <c r="P8" s="116">
        <f>COUNTIF(C8:O8,"●")</f>
        <v/>
      </c>
      <c r="Q8" s="116">
        <f>COUNTIF(C8:O8,"○")</f>
        <v/>
      </c>
    </row>
    <row r="9" ht="15" customHeight="1" s="81">
      <c r="A9" s="132" t="inlineStr">
        <is>
          <t>E2</t>
        </is>
      </c>
      <c r="B9" s="157" t="inlineStr">
        <is>
          <t>저생산성·영세 기업</t>
        </is>
      </c>
      <c r="C9" s="115" t="inlineStr">
        <is>
          <t>○</t>
        </is>
      </c>
      <c r="D9" s="115" t="n"/>
      <c r="E9" s="115" t="n"/>
      <c r="F9" s="115" t="n"/>
      <c r="G9" s="115" t="inlineStr">
        <is>
          <t>●</t>
        </is>
      </c>
      <c r="H9" s="115" t="n"/>
      <c r="I9" s="115" t="n"/>
      <c r="J9" s="115" t="inlineStr">
        <is>
          <t>○</t>
        </is>
      </c>
      <c r="K9" s="115" t="n"/>
      <c r="L9" s="115" t="n"/>
      <c r="M9" s="115" t="n"/>
      <c r="N9" s="115" t="inlineStr">
        <is>
          <t>○</t>
        </is>
      </c>
      <c r="O9" s="115" t="inlineStr">
        <is>
          <t>○</t>
        </is>
      </c>
      <c r="P9" s="116">
        <f>COUNTIF(C9:O9,"●")</f>
        <v/>
      </c>
      <c r="Q9" s="116">
        <f>COUNTIF(C9:O9,"○")</f>
        <v/>
      </c>
    </row>
    <row r="10" ht="15" customHeight="1" s="81">
      <c r="A10" s="132" t="inlineStr">
        <is>
          <t>E3</t>
        </is>
      </c>
      <c r="B10" s="157" t="inlineStr">
        <is>
          <t>부채·재정·연금</t>
        </is>
      </c>
      <c r="C10" s="115" t="n"/>
      <c r="D10" s="115" t="n"/>
      <c r="E10" s="115" t="n"/>
      <c r="F10" s="115" t="n"/>
      <c r="G10" s="115" t="n"/>
      <c r="H10" s="115" t="n"/>
      <c r="I10" s="115" t="n"/>
      <c r="J10" s="115" t="n"/>
      <c r="K10" s="115" t="n"/>
      <c r="L10" s="115" t="n"/>
      <c r="M10" s="115" t="inlineStr">
        <is>
          <t>●</t>
        </is>
      </c>
      <c r="N10" s="115" t="inlineStr">
        <is>
          <t>●</t>
        </is>
      </c>
      <c r="O10" s="115" t="inlineStr">
        <is>
          <t>○</t>
        </is>
      </c>
      <c r="P10" s="116">
        <f>COUNTIF(C10:O10,"●")</f>
        <v/>
      </c>
      <c r="Q10" s="116">
        <f>COUNTIF(C10:O10,"○")</f>
        <v/>
      </c>
    </row>
    <row r="11" ht="15" customHeight="1" s="81">
      <c r="A11" s="132" t="inlineStr">
        <is>
          <t>S1</t>
        </is>
      </c>
      <c r="B11" s="157" t="inlineStr">
        <is>
          <t>청년 고용 불안</t>
        </is>
      </c>
      <c r="C11" s="115" t="inlineStr">
        <is>
          <t>○</t>
        </is>
      </c>
      <c r="D11" s="115" t="n"/>
      <c r="E11" s="115" t="n"/>
      <c r="F11" s="115" t="n"/>
      <c r="G11" s="115" t="inlineStr">
        <is>
          <t>○</t>
        </is>
      </c>
      <c r="H11" s="115" t="inlineStr">
        <is>
          <t>○</t>
        </is>
      </c>
      <c r="I11" s="115" t="inlineStr">
        <is>
          <t>○</t>
        </is>
      </c>
      <c r="J11" s="115" t="inlineStr">
        <is>
          <t>○</t>
        </is>
      </c>
      <c r="K11" s="115" t="n"/>
      <c r="L11" s="115" t="n"/>
      <c r="M11" s="115" t="n"/>
      <c r="N11" s="115" t="n"/>
      <c r="O11" s="115" t="inlineStr">
        <is>
          <t>●</t>
        </is>
      </c>
      <c r="P11" s="116">
        <f>COUNTIF(C11:O11,"●")</f>
        <v/>
      </c>
      <c r="Q11" s="116">
        <f>COUNTIF(C11:O11,"○")</f>
        <v/>
      </c>
    </row>
    <row r="12" ht="15" customHeight="1" s="81">
      <c r="A12" s="132" t="inlineStr">
        <is>
          <t>S2</t>
        </is>
      </c>
      <c r="B12" s="157" t="inlineStr">
        <is>
          <t>이민·난민·수용 분담</t>
        </is>
      </c>
      <c r="C12" s="115" t="inlineStr">
        <is>
          <t>○</t>
        </is>
      </c>
      <c r="D12" s="115" t="n"/>
      <c r="E12" s="115" t="inlineStr">
        <is>
          <t>○</t>
        </is>
      </c>
      <c r="F12" s="115" t="n"/>
      <c r="G12" s="115" t="n"/>
      <c r="H12" s="115" t="inlineStr">
        <is>
          <t>●</t>
        </is>
      </c>
      <c r="I12" s="115" t="inlineStr">
        <is>
          <t>●</t>
        </is>
      </c>
      <c r="J12" s="115" t="inlineStr">
        <is>
          <t>○</t>
        </is>
      </c>
      <c r="K12" s="115" t="n"/>
      <c r="L12" s="115" t="n"/>
      <c r="M12" s="115" t="inlineStr">
        <is>
          <t>●</t>
        </is>
      </c>
      <c r="N12" s="115" t="n"/>
      <c r="O12" s="115" t="n"/>
      <c r="P12" s="116">
        <f>COUNTIF(C12:O12,"●")</f>
        <v/>
      </c>
      <c r="Q12" s="116">
        <f>COUNTIF(C12:O12,"○")</f>
        <v/>
      </c>
    </row>
    <row r="13" ht="15" customHeight="1" s="81">
      <c r="A13" s="132" t="inlineStr">
        <is>
          <t>S3</t>
        </is>
      </c>
      <c r="B13" s="157" t="inlineStr">
        <is>
          <t>고령화·텅 빈 스페인</t>
        </is>
      </c>
      <c r="C13" s="115" t="n"/>
      <c r="D13" s="115" t="n"/>
      <c r="E13" s="115" t="inlineStr">
        <is>
          <t>○</t>
        </is>
      </c>
      <c r="F13" s="115" t="n"/>
      <c r="G13" s="115" t="n"/>
      <c r="H13" s="115" t="n"/>
      <c r="I13" s="115" t="n"/>
      <c r="J13" s="115" t="n"/>
      <c r="K13" s="115" t="inlineStr">
        <is>
          <t>●</t>
        </is>
      </c>
      <c r="L13" s="115" t="n"/>
      <c r="M13" s="115" t="n"/>
      <c r="N13" s="115" t="n"/>
      <c r="O13" s="115" t="inlineStr">
        <is>
          <t>○</t>
        </is>
      </c>
      <c r="P13" s="116">
        <f>COUNTIF(C13:O13,"●")</f>
        <v/>
      </c>
      <c r="Q13" s="116">
        <f>COUNTIF(C13:O13,"○")</f>
        <v/>
      </c>
    </row>
    <row r="14" ht="15" customHeight="1" s="81">
      <c r="A14" s="132" t="inlineStr">
        <is>
          <t>S4</t>
        </is>
      </c>
      <c r="B14" s="157" t="inlineStr">
        <is>
          <t>가뭄·폭염·에너지 전환</t>
        </is>
      </c>
      <c r="C14" s="115" t="n"/>
      <c r="D14" s="115" t="n"/>
      <c r="E14" s="115" t="inlineStr">
        <is>
          <t>●</t>
        </is>
      </c>
      <c r="F14" s="115" t="n"/>
      <c r="G14" s="115" t="n"/>
      <c r="H14" s="115" t="n"/>
      <c r="I14" s="115" t="n"/>
      <c r="J14" s="115" t="n"/>
      <c r="K14" s="115" t="n"/>
      <c r="L14" s="115" t="n"/>
      <c r="M14" s="115" t="n"/>
      <c r="N14" s="115" t="inlineStr">
        <is>
          <t>○</t>
        </is>
      </c>
      <c r="O14" s="115" t="inlineStr">
        <is>
          <t>○</t>
        </is>
      </c>
      <c r="P14" s="116">
        <f>COUNTIF(C14:O14,"●")</f>
        <v/>
      </c>
      <c r="Q14" s="116">
        <f>COUNTIF(C14:O14,"○")</f>
        <v/>
      </c>
    </row>
    <row r="15" ht="15" customHeight="1" s="81">
      <c r="A15" s="132" t="inlineStr">
        <is>
          <t>N1</t>
        </is>
      </c>
      <c r="B15" s="158" t="inlineStr">
        <is>
          <t>DANA·방재</t>
        </is>
      </c>
      <c r="C15" s="115" t="n"/>
      <c r="D15" s="115" t="n"/>
      <c r="E15" s="115" t="n"/>
      <c r="F15" s="115" t="n"/>
      <c r="G15" s="115" t="n"/>
      <c r="H15" s="115" t="n"/>
      <c r="I15" s="115" t="n"/>
      <c r="J15" s="115" t="n"/>
      <c r="K15" s="115" t="n"/>
      <c r="L15" s="115" t="n"/>
      <c r="M15" s="115" t="n"/>
      <c r="N15" s="115" t="inlineStr">
        <is>
          <t>●</t>
        </is>
      </c>
      <c r="O15" s="115" t="inlineStr">
        <is>
          <t>○</t>
        </is>
      </c>
      <c r="P15" s="116">
        <f>COUNTIF(C15:O15,"●")</f>
        <v/>
      </c>
      <c r="Q15" s="116">
        <f>COUNTIF(C15:O15,"○")</f>
        <v/>
      </c>
    </row>
    <row r="16" ht="15" customHeight="1" s="81">
      <c r="A16" s="132" t="inlineStr">
        <is>
          <t>N2</t>
        </is>
      </c>
      <c r="B16" s="157" t="inlineStr">
        <is>
          <t>회복기금 집행</t>
        </is>
      </c>
      <c r="C16" s="115" t="n"/>
      <c r="D16" s="115" t="n"/>
      <c r="E16" s="115" t="n"/>
      <c r="F16" s="115" t="n"/>
      <c r="G16" s="115" t="n"/>
      <c r="H16" s="115" t="n"/>
      <c r="I16" s="115" t="n"/>
      <c r="J16" s="115" t="n"/>
      <c r="K16" s="115" t="inlineStr">
        <is>
          <t>●</t>
        </is>
      </c>
      <c r="L16" s="115" t="n"/>
      <c r="M16" s="115" t="n"/>
      <c r="N16" s="115" t="n"/>
      <c r="O16" s="115" t="inlineStr">
        <is>
          <t>○</t>
        </is>
      </c>
      <c r="P16" s="116">
        <f>COUNTIF(C16:O16,"●")</f>
        <v/>
      </c>
      <c r="Q16" s="116">
        <f>COUNTIF(C16:O16,"○")</f>
        <v/>
      </c>
    </row>
    <row r="17" ht="15" customHeight="1" s="81">
      <c r="A17" s="132" t="inlineStr">
        <is>
          <t>N3</t>
        </is>
      </c>
      <c r="B17" s="157" t="inlineStr">
        <is>
          <t>국방비·NATO</t>
        </is>
      </c>
      <c r="C17" s="115" t="n"/>
      <c r="D17" s="115" t="n"/>
      <c r="E17" s="115" t="n"/>
      <c r="F17" s="115" t="n"/>
      <c r="G17" s="115" t="n"/>
      <c r="H17" s="115" t="n"/>
      <c r="I17" s="115" t="n"/>
      <c r="J17" s="115" t="n"/>
      <c r="K17" s="115" t="n"/>
      <c r="L17" s="115" t="n"/>
      <c r="M17" s="115" t="inlineStr">
        <is>
          <t>●</t>
        </is>
      </c>
      <c r="N17" s="115" t="inlineStr">
        <is>
          <t>○</t>
        </is>
      </c>
      <c r="O17" s="115" t="inlineStr">
        <is>
          <t>○</t>
        </is>
      </c>
      <c r="P17" s="116">
        <f>COUNTIF(C17:O17,"●")</f>
        <v/>
      </c>
      <c r="Q17" s="116">
        <f>COUNTIF(C17:O17,"○")</f>
        <v/>
      </c>
    </row>
    <row r="18" ht="15" customHeight="1" s="81">
      <c r="A18" s="132" t="inlineStr">
        <is>
          <t>N4</t>
        </is>
      </c>
      <c r="B18" s="157" t="inlineStr">
        <is>
          <t>성평등·성폭력 법</t>
        </is>
      </c>
      <c r="C18" s="115" t="n"/>
      <c r="D18" s="115" t="n"/>
      <c r="E18" s="115" t="n"/>
      <c r="F18" s="115" t="n"/>
      <c r="G18" s="115" t="n"/>
      <c r="H18" s="115" t="n"/>
      <c r="I18" s="115" t="inlineStr">
        <is>
          <t>●</t>
        </is>
      </c>
      <c r="J18" s="115" t="inlineStr">
        <is>
          <t>○</t>
        </is>
      </c>
      <c r="K18" s="115" t="n"/>
      <c r="L18" s="115" t="n"/>
      <c r="M18" s="115" t="n"/>
      <c r="N18" s="115" t="n"/>
      <c r="O18" s="115" t="n"/>
      <c r="P18" s="116">
        <f>COUNTIF(C18:O18,"●")</f>
        <v/>
      </c>
      <c r="Q18" s="116">
        <f>COUNTIF(C18:O18,"○")</f>
        <v/>
      </c>
    </row>
    <row r="19" ht="15" customHeight="1" s="81">
      <c r="A19" s="132" t="inlineStr">
        <is>
          <t>N5</t>
        </is>
      </c>
      <c r="B19" s="157" t="inlineStr">
        <is>
          <t>녹색 대 녹색</t>
        </is>
      </c>
      <c r="C19" s="115" t="n"/>
      <c r="D19" s="115" t="n"/>
      <c r="E19" s="115" t="n"/>
      <c r="F19" s="115" t="n"/>
      <c r="G19" s="115" t="n"/>
      <c r="H19" s="115" t="n"/>
      <c r="I19" s="115" t="n"/>
      <c r="J19" s="115" t="n"/>
      <c r="K19" s="115" t="n"/>
      <c r="L19" s="115" t="inlineStr">
        <is>
          <t>●</t>
        </is>
      </c>
      <c r="M19" s="115" t="inlineStr">
        <is>
          <t>○</t>
        </is>
      </c>
      <c r="N19" s="115" t="inlineStr">
        <is>
          <t>○</t>
        </is>
      </c>
      <c r="O19" s="115" t="n"/>
      <c r="P19" s="116">
        <f>COUNTIF(C19:O19,"●")</f>
        <v/>
      </c>
      <c r="Q19" s="116">
        <f>COUNTIF(C19:O19,"○")</f>
        <v/>
      </c>
    </row>
    <row r="20" ht="15" customHeight="1" s="81">
      <c r="A20" s="132" t="inlineStr">
        <is>
          <t>N6</t>
        </is>
      </c>
      <c r="B20" s="157" t="inlineStr">
        <is>
          <t>플랫폼 노동(라이더법)</t>
        </is>
      </c>
      <c r="C20" s="115" t="n"/>
      <c r="D20" s="115" t="n"/>
      <c r="E20" s="115" t="n"/>
      <c r="F20" s="115" t="n"/>
      <c r="G20" s="115" t="n"/>
      <c r="H20" s="115" t="n"/>
      <c r="I20" s="115" t="n"/>
      <c r="J20" s="115" t="n"/>
      <c r="K20" s="115" t="n"/>
      <c r="L20" s="115" t="n"/>
      <c r="M20" s="115" t="n"/>
      <c r="N20" s="115" t="inlineStr">
        <is>
          <t>●</t>
        </is>
      </c>
      <c r="O20" s="115" t="n"/>
      <c r="P20" s="116">
        <f>COUNTIF(C20:O20,"●")</f>
        <v/>
      </c>
      <c r="Q20" s="116">
        <f>COUNTIF(C20:O20,"○")</f>
        <v/>
      </c>
    </row>
    <row r="21" ht="15" customHeight="1" s="81">
      <c r="A21" s="132" t="inlineStr">
        <is>
          <t>N7</t>
        </is>
      </c>
      <c r="B21" s="157" t="inlineStr">
        <is>
          <t>정보기관 사찰 스캔들</t>
        </is>
      </c>
      <c r="C21" s="115" t="n"/>
      <c r="D21" s="115" t="n"/>
      <c r="E21" s="115" t="n"/>
      <c r="F21" s="115" t="n"/>
      <c r="G21" s="115" t="n"/>
      <c r="H21" s="115" t="n"/>
      <c r="I21" s="115" t="n"/>
      <c r="J21" s="115" t="n"/>
      <c r="K21" s="115" t="n"/>
      <c r="L21" s="115" t="n"/>
      <c r="M21" s="115" t="n"/>
      <c r="N21" s="115" t="inlineStr">
        <is>
          <t>●</t>
        </is>
      </c>
      <c r="O21" s="115" t="n"/>
      <c r="P21" s="116">
        <f>COUNTIF(C21:O21,"●")</f>
        <v/>
      </c>
      <c r="Q21" s="116">
        <f>COUNTIF(C21:O21,"○")</f>
        <v/>
      </c>
    </row>
    <row r="22" ht="15" customHeight="1" s="81">
      <c r="A22" s="132" t="inlineStr">
        <is>
          <t>N8</t>
        </is>
      </c>
      <c r="B22" s="157" t="inlineStr">
        <is>
          <t>청년 정신건강</t>
        </is>
      </c>
      <c r="C22" s="115" t="n"/>
      <c r="D22" s="115" t="n"/>
      <c r="E22" s="115" t="n"/>
      <c r="F22" s="115" t="n"/>
      <c r="G22" s="115" t="n"/>
      <c r="H22" s="115" t="n"/>
      <c r="I22" s="115" t="n"/>
      <c r="J22" s="115" t="n"/>
      <c r="K22" s="115" t="n"/>
      <c r="L22" s="115" t="n"/>
      <c r="M22" s="115" t="n"/>
      <c r="N22" s="115" t="inlineStr">
        <is>
          <t>●</t>
        </is>
      </c>
      <c r="O22" s="115" t="n"/>
      <c r="P22" s="116">
        <f>COUNTIF(C22:O22,"●")</f>
        <v/>
      </c>
      <c r="Q22" s="116">
        <f>COUNTIF(C22:O22,"○")</f>
        <v/>
      </c>
    </row>
    <row r="23" ht="15" customHeight="1" s="81">
      <c r="A23" s="159" t="n"/>
      <c r="B23" s="129" t="inlineStr">
        <is>
          <t>부별 ● 수</t>
        </is>
      </c>
      <c r="C23" s="135">
        <f>COUNTIF(C5:C22,"●")</f>
        <v/>
      </c>
      <c r="D23" s="135">
        <f>COUNTIF(D5:D22,"●")</f>
        <v/>
      </c>
      <c r="E23" s="135">
        <f>COUNTIF(E5:E22,"●")</f>
        <v/>
      </c>
      <c r="F23" s="135">
        <f>COUNTIF(F5:F22,"●")</f>
        <v/>
      </c>
      <c r="G23" s="135">
        <f>COUNTIF(G5:G22,"●")</f>
        <v/>
      </c>
      <c r="H23" s="135">
        <f>COUNTIF(H5:H22,"●")</f>
        <v/>
      </c>
      <c r="I23" s="135">
        <f>COUNTIF(I5:I22,"●")</f>
        <v/>
      </c>
      <c r="J23" s="135">
        <f>COUNTIF(J5:J22,"●")</f>
        <v/>
      </c>
      <c r="K23" s="135">
        <f>COUNTIF(K5:K22,"●")</f>
        <v/>
      </c>
      <c r="L23" s="135">
        <f>COUNTIF(L5:L22,"●")</f>
        <v/>
      </c>
      <c r="M23" s="135">
        <f>COUNTIF(M5:M22,"●")</f>
        <v/>
      </c>
      <c r="N23" s="135">
        <f>COUNTIF(N5:N22,"●")</f>
        <v/>
      </c>
      <c r="O23" s="135">
        <f>COUNTIF(O5:O22,"●")</f>
        <v/>
      </c>
      <c r="P23" s="135">
        <f>SUM(P5:P22)</f>
        <v/>
      </c>
      <c r="Q23" s="159" t="n"/>
    </row>
    <row r="24" ht="15" customHeight="1" s="81">
      <c r="A24" s="159" t="n"/>
      <c r="B24" s="129" t="inlineStr">
        <is>
          <t>부별 ○ 수</t>
        </is>
      </c>
      <c r="C24" s="135">
        <f>COUNTIF(C5:C22,"○")</f>
        <v/>
      </c>
      <c r="D24" s="135">
        <f>COUNTIF(D5:D22,"○")</f>
        <v/>
      </c>
      <c r="E24" s="135">
        <f>COUNTIF(E5:E22,"○")</f>
        <v/>
      </c>
      <c r="F24" s="135">
        <f>COUNTIF(F5:F22,"○")</f>
        <v/>
      </c>
      <c r="G24" s="135">
        <f>COUNTIF(G5:G22,"○")</f>
        <v/>
      </c>
      <c r="H24" s="135">
        <f>COUNTIF(H5:H22,"○")</f>
        <v/>
      </c>
      <c r="I24" s="135">
        <f>COUNTIF(I5:I22,"○")</f>
        <v/>
      </c>
      <c r="J24" s="135">
        <f>COUNTIF(J5:J22,"○")</f>
        <v/>
      </c>
      <c r="K24" s="135">
        <f>COUNTIF(K5:K22,"○")</f>
        <v/>
      </c>
      <c r="L24" s="135">
        <f>COUNTIF(L5:L22,"○")</f>
        <v/>
      </c>
      <c r="M24" s="135">
        <f>COUNTIF(M5:M22,"○")</f>
        <v/>
      </c>
      <c r="N24" s="135">
        <f>COUNTIF(N5:N22,"○")</f>
        <v/>
      </c>
      <c r="O24" s="135">
        <f>COUNTIF(O5:O22,"○")</f>
        <v/>
      </c>
      <c r="P24" s="159" t="n"/>
      <c r="Q24" s="135">
        <f>SUM(Q5:Q22)</f>
        <v/>
      </c>
    </row>
    <row r="26" ht="29.25" customHeight="1" s="81">
      <c r="A26" s="147" t="inlineStr">
        <is>
          <t>읽는 법: 1~5부는 곁가지 중심이라 B1~B2 난이도를 지키고, 8·9·11·12부에서 전용 화가 몰린다. 화당 전용 현안은 1개(+곁가지 1~2개)로 제한해 낭독 분량을 지킨다. N6~N8은 12부의 신규 현안으로 각 1개 전용 화를 받는다.</t>
        </is>
      </c>
    </row>
    <row r="27" ht="16.5" customHeight="1" s="81">
      <c r="A27" s="147" t="inlineStr">
        <is>
          <t>현안 ID와 설명은 '현안_배치' 시트, 화별 반영은 '화별목차_전체'의 '반영 현안' 열을 참고.</t>
        </is>
      </c>
    </row>
  </sheetData>
  <mergeCells count="2">
    <mergeCell ref="A27:Q27"/>
    <mergeCell ref="A26:Q26"/>
  </mergeCells>
  <conditionalFormatting sqref="C5:O22">
    <cfRule type="cellIs" rank="0" priority="2" equalAverage="0" operator="equal" aboveAverage="0" dxfId="3" text="" percent="0" bottom="0">
      <formula>"●"</formula>
    </cfRule>
    <cfRule type="cellIs" rank="0" priority="3" equalAverage="0" operator="equal" aboveAverage="0" dxfId="4" text="" percent="0" bottom="0">
      <formula>"○"</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2.xml><?xml version="1.0" encoding="utf-8"?>
<worksheet xmlns="http://schemas.openxmlformats.org/spreadsheetml/2006/main">
  <sheetPr filterMode="0">
    <tabColor rgb="FFBF8F00"/>
    <outlinePr summaryBelow="1" summaryRight="1"/>
    <pageSetUpPr fitToPage="1"/>
  </sheetPr>
  <dimension ref="A1:G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4" customWidth="1" style="80" min="1" max="1"/>
    <col width="26" customWidth="1" style="80" min="2" max="2"/>
    <col width="62" customWidth="1" style="80" min="3" max="3"/>
    <col width="34" customWidth="1" style="80" min="4" max="4"/>
    <col width="20" customWidth="1" style="80" min="5" max="5"/>
    <col width="38" customWidth="1" style="80" min="6" max="6"/>
    <col width="18" customWidth="1" style="80" min="7" max="7"/>
  </cols>
  <sheetData>
    <row r="1" ht="24" customHeight="1" s="81">
      <c r="A1" s="101" t="inlineStr">
        <is>
          <t>현실 정치 제도 기준표 (스페인)</t>
        </is>
      </c>
    </row>
    <row r="2" ht="15" customHeight="1" s="81">
      <c r="A2" s="83" t="inlineStr">
        <is>
          <t>8~12부에 반영한 실제 제도. 정당·정치인은 전부 가상이며 실존 정치인의 대사는 쓰지 않는다. '검색 확인' 표시는 2026-09-22 기준 자료로 확인한 항목.</t>
        </is>
      </c>
    </row>
    <row r="4" ht="19.5" customHeight="1" s="81">
      <c r="A4" s="103" t="inlineStr">
        <is>
          <t>영역</t>
        </is>
      </c>
      <c r="B4" s="103" t="inlineStr">
        <is>
          <t>제도·규칙</t>
        </is>
      </c>
      <c r="C4" s="103" t="inlineStr">
        <is>
          <t>핵심 내용</t>
        </is>
      </c>
      <c r="D4" s="103" t="inlineStr">
        <is>
          <t>근거</t>
        </is>
      </c>
      <c r="E4" s="103" t="inlineStr">
        <is>
          <t>이야기 반영</t>
        </is>
      </c>
      <c r="F4" s="103" t="inlineStr">
        <is>
          <t>낭독 어휘</t>
        </is>
      </c>
      <c r="G4" s="103" t="inlineStr">
        <is>
          <t>확인 상태</t>
        </is>
      </c>
    </row>
    <row r="5" ht="42" customHeight="1" s="81">
      <c r="A5" s="86" t="inlineStr">
        <is>
          <t>정당·선거</t>
        </is>
      </c>
      <c r="B5" s="89" t="inlineStr">
        <is>
          <t>정당 창당</t>
        </is>
      </c>
      <c r="C5" s="89" t="inlineStr">
        <is>
          <t>정당은 창립자들이 서명한 acta fundacional(창립 문서)을 내무부의 Registro de Partidos Políticos에 제출·등록해야 법인격을 얻는다.</t>
        </is>
      </c>
      <c r="D5" s="88" t="inlineStr">
        <is>
          <t>LO 6/2002 (정당법) 제3조</t>
        </is>
      </c>
      <c r="E5" s="88" t="inlineStr">
        <is>
          <t>8부 5화</t>
        </is>
      </c>
      <c r="F5" s="88" t="inlineStr">
        <is>
          <t>acta fundacional, estatutos, inscripción, personalidad jurídica</t>
        </is>
      </c>
      <c r="G5" s="89" t="inlineStr">
        <is>
          <t>검색 확인 (2026-09-22)</t>
        </is>
      </c>
    </row>
    <row r="6" ht="29.25" customHeight="1" s="81">
      <c r="A6" s="86" t="inlineStr">
        <is>
          <t>정당·선거</t>
        </is>
      </c>
      <c r="B6" s="89" t="inlineStr">
        <is>
          <t>정당의 민주적 내부 운영</t>
        </is>
      </c>
      <c r="C6" s="89" t="inlineStr">
        <is>
          <t>정당의 내부 조직과 운영은 민주적이어야 한다.</t>
        </is>
      </c>
      <c r="D6" s="89" t="inlineStr">
        <is>
          <t>헌법 제6조</t>
        </is>
      </c>
      <c r="E6" s="88" t="inlineStr">
        <is>
          <t>8부 6화</t>
        </is>
      </c>
      <c r="F6" s="88" t="inlineStr">
        <is>
          <t>estructura interna, democrático, afiliado</t>
        </is>
      </c>
      <c r="G6" s="89" t="inlineStr">
        <is>
          <t>기획 시점 지식 — BOE 확인 필요</t>
        </is>
      </c>
    </row>
    <row r="7" ht="42" customHeight="1" s="81">
      <c r="A7" s="86" t="inlineStr">
        <is>
          <t>정당·선거</t>
        </is>
      </c>
      <c r="B7" s="89" t="inlineStr">
        <is>
          <t>정당 재정</t>
        </is>
      </c>
      <c r="C7" s="89" t="inlineStr">
        <is>
          <t>정당 재정 규율과 Tribunal de Cuentas의 감독. 2015년 개정으로 재정 통제가 강화되었다.</t>
        </is>
      </c>
      <c r="D7" s="88" t="inlineStr">
        <is>
          <t>LO 8/2007, LO 3/2015 (LO 6/2002·Tribunal de Cuentas법도 함께 개정)</t>
        </is>
      </c>
      <c r="E7" s="88" t="inlineStr">
        <is>
          <t>8부 7화</t>
        </is>
      </c>
      <c r="F7" s="88" t="inlineStr">
        <is>
          <t>financiación, donación, fiscalización, Tribunal de Cuentas</t>
        </is>
      </c>
      <c r="G7" s="89" t="inlineStr">
        <is>
          <t>검색 확인 (2026-09-22) (개정 사실)</t>
        </is>
      </c>
    </row>
    <row r="8" ht="29.25" customHeight="1" s="81">
      <c r="A8" s="86" t="inlineStr">
        <is>
          <t>정당·선거</t>
        </is>
      </c>
      <c r="B8" s="89" t="inlineStr">
        <is>
          <t>집회 신고</t>
        </is>
      </c>
      <c r="C8" s="89" t="inlineStr">
        <is>
          <t>집회·시위는 관할 당국에 사전 통지한다 (통상 10일 전, 긴급 시 24시간 전).</t>
        </is>
      </c>
      <c r="D8" s="88" t="inlineStr">
        <is>
          <t>LO 9/1983 (집회권)</t>
        </is>
      </c>
      <c r="E8" s="88" t="inlineStr">
        <is>
          <t>8부 1화</t>
        </is>
      </c>
      <c r="F8" s="88" t="inlineStr">
        <is>
          <t>comunicación previa, manifestación, Delegación del Gobierno</t>
        </is>
      </c>
      <c r="G8" s="89" t="inlineStr">
        <is>
          <t>기획 시점 지식 — BOE 확인 필요</t>
        </is>
      </c>
    </row>
    <row r="9" ht="29.25" customHeight="1" s="81">
      <c r="A9" s="86" t="inlineStr">
        <is>
          <t>정당·선거</t>
        </is>
      </c>
      <c r="B9" s="89" t="inlineStr">
        <is>
          <t>시민 입법발의 (ILP)</t>
        </is>
      </c>
      <c r="C9" s="89" t="inlineStr">
        <is>
          <t>서명 50만 명으로 법안을 발의할 수 있으나, 의회가 '심의 개시(toma en consideración)' 표결에서 기각할 수 있다.</t>
        </is>
      </c>
      <c r="D9" s="88" t="inlineStr">
        <is>
          <t>LO 3/1984, 헌법 제87조 3항</t>
        </is>
      </c>
      <c r="E9" s="88" t="inlineStr">
        <is>
          <t>8부 3~4화</t>
        </is>
      </c>
      <c r="F9" s="88" t="inlineStr">
        <is>
          <t>iniciativa legislativa popular, firmas, toma en consideración</t>
        </is>
      </c>
      <c r="G9" s="89" t="inlineStr">
        <is>
          <t>기획 시점 지식 — BOE 확인 필요</t>
        </is>
      </c>
    </row>
    <row r="10" ht="67.5" customHeight="1" s="81">
      <c r="A10" s="86" t="inlineStr">
        <is>
          <t>정당·선거</t>
        </is>
      </c>
      <c r="B10" s="89" t="inlineStr">
        <is>
          <t>총선 제도</t>
        </is>
      </c>
      <c r="C10" s="89" t="inlineStr">
        <is>
          <t>하원 350석, 52개 선거구, 비례대표(D'Hondt), 선거구별 3% 문턱. 과반은 176석.</t>
        </is>
      </c>
      <c r="D10" s="88" t="inlineStr">
        <is>
          <t>LOREG (LO 5/1985)</t>
        </is>
      </c>
      <c r="E10" s="88" t="inlineStr">
        <is>
          <t>10부</t>
        </is>
      </c>
      <c r="F10" s="88" t="inlineStr">
        <is>
          <t>circunscripción, escaño, mayoría absoluta, barrera</t>
        </is>
      </c>
      <c r="G10" s="88" t="inlineStr">
        <is>
          <t>350석·176석은 검색 확인 (2026-09-22), 나머지는 기획 시점 지식 — BOE 확인 필요</t>
        </is>
      </c>
    </row>
    <row r="11" ht="42" customHeight="1" s="81">
      <c r="A11" s="86" t="inlineStr">
        <is>
          <t>정당·선거</t>
        </is>
      </c>
      <c r="B11" s="89" t="inlineStr">
        <is>
          <t>후보 등록 서명 요건</t>
        </is>
      </c>
      <c r="C11" s="89" t="inlineStr">
        <is>
          <t>직전 총선에서 어느 원에서도 의석이 없던 정당은 해당 선거구 유권자의 0.1% 서명을 후보 명부와 함께 내야 한다. 지방선거 의석이 있어도 이 요건은 적용된다.</t>
        </is>
      </c>
      <c r="D11" s="88" t="inlineStr">
        <is>
          <t>LOREG 제169조 3항 (LO 2/2011 개정)</t>
        </is>
      </c>
      <c r="E11" s="88" t="inlineStr">
        <is>
          <t>9부 12화, 10부 1화</t>
        </is>
      </c>
      <c r="F11" s="88" t="inlineStr">
        <is>
          <t>avales, firmas, censo electoral, proclamación de candidaturas</t>
        </is>
      </c>
      <c r="G11" s="89" t="inlineStr">
        <is>
          <t>검색 확인 (2026-09-22)</t>
        </is>
      </c>
    </row>
    <row r="12" ht="29.25" customHeight="1" s="81">
      <c r="A12" s="86" t="inlineStr">
        <is>
          <t>정당·선거</t>
        </is>
      </c>
      <c r="B12" s="89" t="inlineStr">
        <is>
          <t>선거 일정</t>
        </is>
      </c>
      <c r="C12" s="89" t="inlineStr">
        <is>
          <t>해산 칙령 후 54일째 선거, 공식 캠페인 15일, 선거 전날 숙고의 날(선거운동 금지), 마지막 5일 여론조사 공표 금지.</t>
        </is>
      </c>
      <c r="D12" s="88" t="inlineStr">
        <is>
          <t>LOREG (제42·51·53·69조 등)</t>
        </is>
      </c>
      <c r="E12" s="88" t="inlineStr">
        <is>
          <t>8부 11화, 10부</t>
        </is>
      </c>
      <c r="F12" s="88" t="inlineStr">
        <is>
          <t>campaña electoral, jornada de reflexión, sondeo</t>
        </is>
      </c>
      <c r="G12" s="89" t="inlineStr">
        <is>
          <t>기획 시점 지식 — BOE 확인 필요</t>
        </is>
      </c>
    </row>
    <row r="13" ht="42" customHeight="1" s="81">
      <c r="A13" s="86" t="inlineStr">
        <is>
          <t>정당·선거</t>
        </is>
      </c>
      <c r="B13" s="89" t="inlineStr">
        <is>
          <t>지방·자치 선거</t>
        </is>
      </c>
      <c r="C13" s="88" t="inlineStr">
        <is>
          <t>4년 주기(5월 넷째 일요일)로 시의회·자치의회가 같은 날 치러진다. 마드리드 시의회는 57석(과반 29), 문턱 5%. 자치의회도 5% 문턱.</t>
        </is>
      </c>
      <c r="D13" s="88" t="inlineStr">
        <is>
          <t>LOREG, 마드리드 자치주 선거법</t>
        </is>
      </c>
      <c r="E13" s="88" t="inlineStr">
        <is>
          <t>8부 12화, 9부</t>
        </is>
      </c>
      <c r="F13" s="88" t="inlineStr">
        <is>
          <t>concejal, pleno, barrera del 5%, corporación</t>
        </is>
      </c>
      <c r="G13" s="89" t="inlineStr">
        <is>
          <t>검색 확인 (2026-09-22) (57석·29석·5%·4년 동시)</t>
        </is>
      </c>
    </row>
    <row r="14" ht="29.25" customHeight="1" s="81">
      <c r="A14" s="86" t="inlineStr">
        <is>
          <t>정당·선거</t>
        </is>
      </c>
      <c r="B14" s="89" t="inlineStr">
        <is>
          <t>알칼데 선출</t>
        </is>
      </c>
      <c r="C14" s="88" t="inlineStr">
        <is>
          <t>concejales 과반(마드리드는 29표)이 지지한 후보가 알칼데. 과반이 없으면 최다득표 명부의 1번 후보가 자동으로 알칼데.</t>
        </is>
      </c>
      <c r="D14" s="88" t="inlineStr">
        <is>
          <t>LOREG 제196조</t>
        </is>
      </c>
      <c r="E14" s="88" t="inlineStr">
        <is>
          <t>9부 1화</t>
        </is>
      </c>
      <c r="F14" s="88" t="inlineStr">
        <is>
          <t>alcalde, investidura municipal, cabeza de lista</t>
        </is>
      </c>
      <c r="G14" s="89" t="inlineStr">
        <is>
          <t>검색 확인 (2026-09-22)</t>
        </is>
      </c>
    </row>
    <row r="15" ht="29.25" customHeight="1" s="81">
      <c r="A15" s="86" t="inlineStr">
        <is>
          <t>정당·선거</t>
        </is>
      </c>
      <c r="B15" s="89" t="inlineStr">
        <is>
          <t>선거 분쟁</t>
        </is>
      </c>
      <c r="C15" s="88" t="inlineStr">
        <is>
          <t>Junta Electoral(중앙·지방)이 선거를 관리하고, 후보 등록 거부(no proclamación) 등은 contencioso-electoral 소송으로 다툰다.</t>
        </is>
      </c>
      <c r="D15" s="88" t="inlineStr">
        <is>
          <t>LOREG 제49조</t>
        </is>
      </c>
      <c r="E15" s="88" t="inlineStr">
        <is>
          <t>8부 10~11화, 10부</t>
        </is>
      </c>
      <c r="F15" s="88" t="inlineStr">
        <is>
          <t>Junta Electoral, recurso contencioso-electoral, amparo</t>
        </is>
      </c>
      <c r="G15" s="89" t="inlineStr">
        <is>
          <t>검색 확인 (2026-09-22) (제49조)</t>
        </is>
      </c>
    </row>
    <row r="16" ht="29.25" customHeight="1" s="81">
      <c r="A16" s="86" t="inlineStr">
        <is>
          <t>정당·선거</t>
        </is>
      </c>
      <c r="B16" s="89" t="inlineStr">
        <is>
          <t>정정권</t>
        </is>
      </c>
      <c r="C16" s="89" t="inlineStr">
        <is>
          <t>허위·왜곡 보도의 피해자는 해당 매체에 정정을 청구할 수 있다.</t>
        </is>
      </c>
      <c r="D16" s="88" t="inlineStr">
        <is>
          <t>LO 2/1984</t>
        </is>
      </c>
      <c r="E16" s="88" t="inlineStr">
        <is>
          <t>8부 10화</t>
        </is>
      </c>
      <c r="F16" s="88" t="inlineStr">
        <is>
          <t>derecho de rectificación, réplica</t>
        </is>
      </c>
      <c r="G16" s="89" t="inlineStr">
        <is>
          <t>기획 시점 지식 — BOE 확인 필요</t>
        </is>
      </c>
    </row>
    <row r="17" ht="29.25" customHeight="1" s="81">
      <c r="A17" s="86" t="inlineStr">
        <is>
          <t>정당·선거</t>
        </is>
      </c>
      <c r="B17" s="89" t="inlineStr">
        <is>
          <t>성별 균형 명부</t>
        </is>
      </c>
      <c r="C17" s="89" t="inlineStr">
        <is>
          <t>선거 명부는 성별 균형 구성 원칙(지퍼식 명부)을 따른다.</t>
        </is>
      </c>
      <c r="D17" s="88" t="inlineStr">
        <is>
          <t>LO 3/2007 (평등법)</t>
        </is>
      </c>
      <c r="E17" s="88" t="inlineStr">
        <is>
          <t>8부 8화</t>
        </is>
      </c>
      <c r="F17" s="88" t="inlineStr">
        <is>
          <t>paridad, lista cremallera</t>
        </is>
      </c>
      <c r="G17" s="89" t="inlineStr">
        <is>
          <t>기획 시점 지식 — BOE 확인 필요</t>
        </is>
      </c>
    </row>
    <row r="18" ht="42" customHeight="1" s="81">
      <c r="A18" s="86" t="inlineStr">
        <is>
          <t>의회</t>
        </is>
      </c>
      <c r="B18" s="88" t="inlineStr">
        <is>
          <t>Cortes Generales</t>
        </is>
      </c>
      <c r="C18" s="89" t="inlineStr">
        <is>
          <t>하원(Congreso)과 상원(Senado). 법안은 상원이 거부권·수정안을 낼 수 있으나 하원이 절대다수 또는 (2개월 후) 단순다수로 뒤집을 수 있다.</t>
        </is>
      </c>
      <c r="D18" s="89" t="inlineStr">
        <is>
          <t>헌법 제66조, 제90조</t>
        </is>
      </c>
      <c r="E18" s="88" t="inlineStr">
        <is>
          <t>10~11부</t>
        </is>
      </c>
      <c r="F18" s="88" t="inlineStr">
        <is>
          <t>Cortes Generales, veto, enmienda, Cámara Alta</t>
        </is>
      </c>
      <c r="G18" s="89" t="inlineStr">
        <is>
          <t>기획 시점 지식 — BOE 확인 필요</t>
        </is>
      </c>
    </row>
    <row r="19" ht="54.75" customHeight="1" s="81">
      <c r="A19" s="86" t="inlineStr">
        <is>
          <t>의회</t>
        </is>
      </c>
      <c r="B19" s="89" t="inlineStr">
        <is>
          <t>개원·Mesa·의원단</t>
        </is>
      </c>
      <c r="C19" s="89" t="inlineStr">
        <is>
          <t>총선 후 개원(sesión constitutiva)에서 Mesa와 하원의장을 뽑는다. 의원단(grupo parlamentario)은 15석 이상이거나, 5석 이상이면서 전국 5% 또는 출마 선거구 15% 득표가 필요하다. 미달하면 Grupo Mixto.</t>
        </is>
      </c>
      <c r="D19" s="89" t="inlineStr">
        <is>
          <t>하원 의사규칙</t>
        </is>
      </c>
      <c r="E19" s="88" t="inlineStr">
        <is>
          <t>10부 5화</t>
        </is>
      </c>
      <c r="F19" s="88" t="inlineStr">
        <is>
          <t>sesión constitutiva, Mesa, grupo parlamentario, Grupo Mixto</t>
        </is>
      </c>
      <c r="G19" s="89" t="inlineStr">
        <is>
          <t>검색 확인 (2026-09-22)</t>
        </is>
      </c>
    </row>
    <row r="20" ht="42" customHeight="1" s="81">
      <c r="A20" s="86" t="inlineStr">
        <is>
          <t>의회</t>
        </is>
      </c>
      <c r="B20" s="89" t="inlineStr">
        <is>
          <t>입법 절차</t>
        </is>
      </c>
      <c r="C20" s="89" t="inlineStr">
        <is>
          <t>정부 proyecto de ley / 의원·의원단 proposición de ley / ILP → 전체 토론·수정안·위원회·본회의 → 상원 → 국왕 sanción(15일 내) → BOE 공포.</t>
        </is>
      </c>
      <c r="D20" s="89" t="inlineStr">
        <is>
          <t>헌법 제87~91조</t>
        </is>
      </c>
      <c r="E20" s="88" t="inlineStr">
        <is>
          <t>11부</t>
        </is>
      </c>
      <c r="F20" s="88" t="inlineStr">
        <is>
          <t>proyecto de ley, proposición de ley, enmienda, ponencia, sanción, BOE</t>
        </is>
      </c>
      <c r="G20" s="89" t="inlineStr">
        <is>
          <t>기획 시점 지식 — BOE 확인 필요</t>
        </is>
      </c>
    </row>
    <row r="21" ht="29.25" customHeight="1" s="81">
      <c r="A21" s="86" t="inlineStr">
        <is>
          <t>의회</t>
        </is>
      </c>
      <c r="B21" s="89" t="inlineStr">
        <is>
          <t>유기법(Ley Orgánica)</t>
        </is>
      </c>
      <c r="C21" s="89" t="inlineStr">
        <is>
          <t>최종 전체 표결에서 절대다수(176표)가 필요.</t>
        </is>
      </c>
      <c r="D21" s="89" t="inlineStr">
        <is>
          <t>헌법 제81조</t>
        </is>
      </c>
      <c r="E21" s="88" t="inlineStr">
        <is>
          <t>11부 3화</t>
        </is>
      </c>
      <c r="F21" s="88" t="inlineStr">
        <is>
          <t>ley orgánica, mayoría absoluta, votación de conjunto</t>
        </is>
      </c>
      <c r="G21" s="89" t="inlineStr">
        <is>
          <t>기획 시점 지식 — BOE 확인 필요</t>
        </is>
      </c>
    </row>
    <row r="22" ht="42" customHeight="1" s="81">
      <c r="A22" s="86" t="inlineStr">
        <is>
          <t>의회</t>
        </is>
      </c>
      <c r="B22" s="89" t="inlineStr">
        <is>
          <t>긴급 칙령 (Real Decreto-ley)</t>
        </is>
      </c>
      <c r="C22" s="89" t="inlineStr">
        <is>
          <t>긴급하고 특별한 필요가 있을 때 정부가 발령, 30일 내 하원이 추인(convalidación). 기본 제도·기본권·자치주 체제·선거법·세금의 본질 요소는 다룰 수 없다.</t>
        </is>
      </c>
      <c r="D22" s="89" t="inlineStr">
        <is>
          <t>헌법 제86조</t>
        </is>
      </c>
      <c r="E22" s="88" t="inlineStr">
        <is>
          <t>11부 8화</t>
        </is>
      </c>
      <c r="F22" s="88" t="inlineStr">
        <is>
          <t>real decreto-ley, convalidación, extraordinaria y urgente necesidad</t>
        </is>
      </c>
      <c r="G22" s="89" t="inlineStr">
        <is>
          <t>기획 시점 지식 — BOE 확인 필요</t>
        </is>
      </c>
    </row>
    <row r="23" ht="42" customHeight="1" s="81">
      <c r="A23" s="86" t="inlineStr">
        <is>
          <t>의회</t>
        </is>
      </c>
      <c r="B23" s="89" t="inlineStr">
        <is>
          <t>예산안</t>
        </is>
      </c>
      <c r="C23" s="89" t="inlineStr">
        <is>
          <t>정부는 전년도 예산 만료 3개월 전(통상 9월 말)까지 제출. 전체 수정안(enmienda a la totalidad)으로 반려될 수 있고, 미통과 시 전년도 예산이 자동 연장(prórroga)된다.</t>
        </is>
      </c>
      <c r="D23" s="89" t="inlineStr">
        <is>
          <t>헌법 제134조</t>
        </is>
      </c>
      <c r="E23" s="88" t="inlineStr">
        <is>
          <t>11부 12화</t>
        </is>
      </c>
      <c r="F23" s="88" t="inlineStr">
        <is>
          <t>presupuestos generales, enmienda a la totalidad, prórroga presupuestaria</t>
        </is>
      </c>
      <c r="G23" s="89" t="inlineStr">
        <is>
          <t>기획 시점 지식 — BOE 확인 필요</t>
        </is>
      </c>
    </row>
    <row r="24" ht="29.25" customHeight="1" s="81">
      <c r="A24" s="86" t="inlineStr">
        <is>
          <t>의회</t>
        </is>
      </c>
      <c r="B24" s="89" t="inlineStr">
        <is>
          <t>의원 특권</t>
        </is>
      </c>
      <c r="C24" s="89" t="inlineStr">
        <is>
          <t>의원은 직무상 발언에 면책, 재임 중 불체포, 기소·재판은 사전 의회 허가와 대법원(Tribunal Supremo) 형사부 관할.</t>
        </is>
      </c>
      <c r="D24" s="89" t="inlineStr">
        <is>
          <t>헌법 제71조</t>
        </is>
      </c>
      <c r="E24" s="88" t="inlineStr">
        <is>
          <t>10~11부</t>
        </is>
      </c>
      <c r="F24" s="88" t="inlineStr">
        <is>
          <t>inviolabilidad, inmunidad, aforamiento, suplicatorio</t>
        </is>
      </c>
      <c r="G24" s="89" t="inlineStr">
        <is>
          <t>기획 시점 지식 — BOE 확인 필요</t>
        </is>
      </c>
    </row>
    <row r="25" ht="29.25" customHeight="1" s="81">
      <c r="A25" s="86" t="inlineStr">
        <is>
          <t>의회</t>
        </is>
      </c>
      <c r="B25" s="89" t="inlineStr">
        <is>
          <t>조사위원회</t>
        </is>
      </c>
      <c r="C25" s="89" t="inlineStr">
        <is>
          <t>의회는 조사위원회를 만들 수 있고 소환된 사람은 출석 의무가 있다.</t>
        </is>
      </c>
      <c r="D25" s="89" t="inlineStr">
        <is>
          <t>헌법 제76조, LO 5/1984</t>
        </is>
      </c>
      <c r="E25" s="88" t="inlineStr">
        <is>
          <t>9~11부</t>
        </is>
      </c>
      <c r="F25" s="88" t="inlineStr">
        <is>
          <t>comisión de investigación, comparecencia</t>
        </is>
      </c>
      <c r="G25" s="89" t="inlineStr">
        <is>
          <t>기획 시점 지식 — BOE 확인 필요</t>
        </is>
      </c>
    </row>
    <row r="26" ht="80.25" customHeight="1" s="81">
      <c r="A26" s="86" t="inlineStr">
        <is>
          <t>정부</t>
        </is>
      </c>
      <c r="B26" s="89" t="inlineStr">
        <is>
          <t>총리 선출 (investidura)</t>
        </is>
      </c>
      <c r="C26" s="89" t="inlineStr">
        <is>
          <t>국왕이 각 정당 대표와 협의해 후보를 제안(하원의장이 부서). 1차 표결은 절대다수(176), 실패하면 48시간 뒤 2차 표결은 단순다수(찬성&gt;반대). 첫 표결 후 2개월 안에 아무도 신임받지 못하면 의회를 해산하고 총선을 다시 치른다.</t>
        </is>
      </c>
      <c r="D26" s="89" t="inlineStr">
        <is>
          <t>헌법 제99조</t>
        </is>
      </c>
      <c r="E26" s="88" t="inlineStr">
        <is>
          <t>10부 6~12화</t>
        </is>
      </c>
      <c r="F26" s="88" t="inlineStr">
        <is>
          <t>ronda de consultas, investidura, mayoría absoluta, mayoría simple</t>
        </is>
      </c>
      <c r="G26" s="89" t="inlineStr">
        <is>
          <t>검색 확인 (2026-09-22) (2020.1 실제 사례: 1차 166:165:18 부결 → 2차 167:165:18 통과)</t>
        </is>
      </c>
    </row>
    <row r="27" ht="42" customHeight="1" s="81">
      <c r="A27" s="86" t="inlineStr">
        <is>
          <t>정부</t>
        </is>
      </c>
      <c r="B27" s="89" t="inlineStr">
        <is>
          <t>취임과 내각</t>
        </is>
      </c>
      <c r="C27" s="89" t="inlineStr">
        <is>
          <t>국왕이 Real Decreto로 총리를 임명하고, 총리는 Zarzuela에서 국왕 앞에서 promesa/juramento한다. 장관은 총리 제안으로 국왕이 임명. 국무회의(Consejo de Ministros)는 통상 화요일.</t>
        </is>
      </c>
      <c r="D27" s="89" t="inlineStr">
        <is>
          <t>헌법 제100조, Ley 50/1997 (정부법)</t>
        </is>
      </c>
      <c r="E27" s="88" t="inlineStr">
        <is>
          <t>10부 12화, 11부 1화</t>
        </is>
      </c>
      <c r="F27" s="88" t="inlineStr">
        <is>
          <t>toma de posesión, promesa, Real Decreto, Consejo de Ministros</t>
        </is>
      </c>
      <c r="G27" s="89" t="inlineStr">
        <is>
          <t>기획 시점 지식 — BOE 확인 필요</t>
        </is>
      </c>
    </row>
    <row r="28" ht="42" customHeight="1" s="81">
      <c r="A28" s="86" t="inlineStr">
        <is>
          <t>정부</t>
        </is>
      </c>
      <c r="B28" s="89" t="inlineStr">
        <is>
          <t>대통령실 직제</t>
        </is>
      </c>
      <c r="C28" s="89" t="inlineStr">
        <is>
          <t>대통령실장(Director del Gabinete), 커뮤니케이션 국무차관(Secretaría de Estado de Comunicación), 국가안보 부서(Departamento de Seguridad Nacional), 정부 대변인은 장관이 겸임.</t>
        </is>
      </c>
      <c r="D28" s="89" t="inlineStr">
        <is>
          <t>정부법 및 각종 Real Decreto</t>
        </is>
      </c>
      <c r="E28" s="88" t="inlineStr">
        <is>
          <t>10~12부</t>
        </is>
      </c>
      <c r="F28" s="88" t="inlineStr">
        <is>
          <t>Gabinete de la Presidencia, secretario de Estado, portavoz</t>
        </is>
      </c>
      <c r="G28" s="89" t="inlineStr">
        <is>
          <t>기획 시점 지식 — BOE 확인 필요</t>
        </is>
      </c>
    </row>
    <row r="29" ht="54.75" customHeight="1" s="81">
      <c r="A29" s="86" t="inlineStr">
        <is>
          <t>정부</t>
        </is>
      </c>
      <c r="B29" s="89" t="inlineStr">
        <is>
          <t>신임투표·건설적 불신임안</t>
        </is>
      </c>
      <c r="C29" s="89" t="inlineStr">
        <is>
          <t>신임투표(cuestión de confianza)는 단순다수. 불신임안(moción de censura)은 반드시 대안 총리 후보를 포함해야 하고, 하원 1/10(35명) 발의, 제출 5일 후 표결, 절대다수(176)로 가결. 부결되면 서명자는 같은 회기에 다시 발의할 수 없다.</t>
        </is>
      </c>
      <c r="D29" s="89" t="inlineStr">
        <is>
          <t>헌법 제112~113조</t>
        </is>
      </c>
      <c r="E29" s="88" t="inlineStr">
        <is>
          <t>11부 10화</t>
        </is>
      </c>
      <c r="F29" s="88" t="inlineStr">
        <is>
          <t>moción de censura constructiva, candidato alternativo, cuestión de confianza</t>
        </is>
      </c>
      <c r="G29" s="89" t="inlineStr">
        <is>
          <t>기획 시점 지식 — BOE 확인 필요</t>
        </is>
      </c>
    </row>
    <row r="30" ht="29.25" customHeight="1" s="81">
      <c r="A30" s="86" t="inlineStr">
        <is>
          <t>정부</t>
        </is>
      </c>
      <c r="B30" s="89" t="inlineStr">
        <is>
          <t>해산</t>
        </is>
      </c>
      <c r="C30" s="89" t="inlineStr">
        <is>
          <t>총리가 제안하고 국왕이 칙령으로 해산. 불신임안이 계류 중일 때는 불가, 직전 해산 후 1년 이내 재해산 불가(제99조 예외).</t>
        </is>
      </c>
      <c r="D30" s="89" t="inlineStr">
        <is>
          <t>헌법 제115조</t>
        </is>
      </c>
      <c r="E30" s="88" t="inlineStr">
        <is>
          <t>10부 1·9화</t>
        </is>
      </c>
      <c r="F30" s="88" t="inlineStr">
        <is>
          <t>disolución de las Cortes, decreto, convocatoria</t>
        </is>
      </c>
      <c r="G30" s="89" t="inlineStr">
        <is>
          <t>기획 시점 지식 — BOE 확인 필요</t>
        </is>
      </c>
    </row>
    <row r="31" ht="29.25" customHeight="1" s="81">
      <c r="A31" s="86" t="inlineStr">
        <is>
          <t>정부</t>
        </is>
      </c>
      <c r="B31" s="89" t="inlineStr">
        <is>
          <t>고위직 이해충돌</t>
        </is>
      </c>
      <c r="C31" s="89" t="inlineStr">
        <is>
          <t>장관 등 고위직은 겸직·민간 활동이 제한되고 재산·이해관계를 공개한다.</t>
        </is>
      </c>
      <c r="D31" s="88" t="inlineStr">
        <is>
          <t>Ley 3/2015, Ley 19/2013 (투명성법)</t>
        </is>
      </c>
      <c r="E31" s="88" t="inlineStr">
        <is>
          <t>12부 1·4화</t>
        </is>
      </c>
      <c r="F31" s="88" t="inlineStr">
        <is>
          <t>alto cargo, incompatibilidad, conflicto de intereses</t>
        </is>
      </c>
      <c r="G31" s="89" t="inlineStr">
        <is>
          <t>기획 시점 지식 — BOE 확인 필요</t>
        </is>
      </c>
    </row>
    <row r="32" ht="42" customHeight="1" s="81">
      <c r="A32" s="86" t="inlineStr">
        <is>
          <t>영토</t>
        </is>
      </c>
      <c r="B32" s="89" t="inlineStr">
        <is>
          <t>권한 배분</t>
        </is>
      </c>
      <c r="C32" s="89" t="inlineStr">
        <is>
          <t>보건(sanidad)은 자치주에 이양되어 운영·병원 계약이 자치주 권한이다. 주거(vivienda)도 자치주 권한이며 국가는 기본 조건과 세제로 개입한다.</t>
        </is>
      </c>
      <c r="D32" s="89" t="inlineStr">
        <is>
          <t>헌법 제148·149조</t>
        </is>
      </c>
      <c r="E32" s="88" t="inlineStr">
        <is>
          <t>9부 7화, 11부 3~5화</t>
        </is>
      </c>
      <c r="F32" s="88" t="inlineStr">
        <is>
          <t>competencia autonómica, transferencia, legislación básica</t>
        </is>
      </c>
      <c r="G32" s="89" t="inlineStr">
        <is>
          <t>기획 시점 지식 — BOE 확인 필요</t>
        </is>
      </c>
    </row>
    <row r="33" ht="54.75" customHeight="1" s="81">
      <c r="A33" s="86" t="inlineStr">
        <is>
          <t>영토</t>
        </is>
      </c>
      <c r="B33" s="89" t="inlineStr">
        <is>
          <t>마드리드 자치주</t>
        </is>
      </c>
      <c r="C33" s="88" t="inlineStr">
        <is>
          <t>Comunidad de Madrid은 자치법(LO 3/1983)에 따라 운영. 자치정부 청사(Presidencia)는 Puerta del Sol의 Real Casa de Correos, Asamblea de Madrid은 별도(Vallecas 소재).</t>
        </is>
      </c>
      <c r="D33" s="88" t="inlineStr">
        <is>
          <t>LO 3/1983 (자치법)</t>
        </is>
      </c>
      <c r="E33" s="88" t="inlineStr">
        <is>
          <t>8부 1화, 9부</t>
        </is>
      </c>
      <c r="F33" s="88" t="inlineStr">
        <is>
          <t>Estatuto de Autonomía, Asamblea, Presidencia, consejería</t>
        </is>
      </c>
      <c r="G33" s="89" t="inlineStr">
        <is>
          <t>청사 검색 확인 (2026-09-22), 자치법 기획 시점 지식 — BOE 확인 필요</t>
        </is>
      </c>
    </row>
    <row r="34" ht="42" customHeight="1" s="81">
      <c r="A34" s="86" t="inlineStr">
        <is>
          <t>영토</t>
        </is>
      </c>
      <c r="B34" s="89" t="inlineStr">
        <is>
          <t>협의체</t>
        </is>
      </c>
      <c r="C34" s="89" t="inlineStr">
        <is>
          <t>국가–자치주 조정: Conferencia de Presidentes, Consejo Interterritorial del SNS(보건), Conferencia Sectorial de Vivienda, 재정정책협의회(CPFF).</t>
        </is>
      </c>
      <c r="D34" s="88" t="inlineStr">
        <is>
          <t>LOFCA (LO 8/1980) 등</t>
        </is>
      </c>
      <c r="E34" s="88" t="inlineStr">
        <is>
          <t>11부 3~5화</t>
        </is>
      </c>
      <c r="F34" s="88" t="inlineStr">
        <is>
          <t>conferencia sectorial, Consejo Interterritorial, CPFF</t>
        </is>
      </c>
      <c r="G34" s="89" t="inlineStr">
        <is>
          <t>기획 시점 지식 — BOE 확인 필요</t>
        </is>
      </c>
    </row>
    <row r="35" ht="42" customHeight="1" s="81">
      <c r="A35" s="86" t="inlineStr">
        <is>
          <t>영토</t>
        </is>
      </c>
      <c r="B35" s="89" t="inlineStr">
        <is>
          <t>지방자치</t>
        </is>
      </c>
      <c r="C35" s="89" t="inlineStr">
        <is>
          <t>시의회의 조직: Pleno, Junta de Gobierno, 위원회, 알칼데. 마드리드는 수도 특별 규정을 둔다. 주택 공기업(EMVS) 등 산하 기관 계약은 공공계약법 적용.</t>
        </is>
      </c>
      <c r="D35" s="88" t="inlineStr">
        <is>
          <t>Ley 7/1985 (LBRL), Ley 22/2006 (수도 특별법), Ley 9/2017 (공공계약법)</t>
        </is>
      </c>
      <c r="E35" s="88" t="inlineStr">
        <is>
          <t>9부</t>
        </is>
      </c>
      <c r="F35" s="88" t="inlineStr">
        <is>
          <t>Pleno, Junta de Gobierno, moción, ruegos y preguntas, pliego</t>
        </is>
      </c>
      <c r="G35" s="89" t="inlineStr">
        <is>
          <t>기획 시점 지식 — BOE 확인 필요</t>
        </is>
      </c>
    </row>
    <row r="36" ht="42" customHeight="1" s="81">
      <c r="A36" s="86" t="inlineStr">
        <is>
          <t>사법·통제</t>
        </is>
      </c>
      <c r="B36" s="89" t="inlineStr">
        <is>
          <t>헌법재판소</t>
        </is>
      </c>
      <c r="C36" s="89" t="inlineStr">
        <is>
          <t>법률에 대한 위헌 심판(recurso de inconstitucionalidad)은 총리, 옴부즈맨, 하원·상원 50명, 자치주 정부·의회가 제기할 수 있다. 권한 다툼은 conflicto de competencia.</t>
        </is>
      </c>
      <c r="D36" s="89" t="inlineStr">
        <is>
          <t>헌법 제161~162조</t>
        </is>
      </c>
      <c r="E36" s="88" t="inlineStr">
        <is>
          <t>11부 3·5화</t>
        </is>
      </c>
      <c r="F36" s="88" t="inlineStr">
        <is>
          <t>recurso de inconstitucionalidad, conflicto de competencia, legitimación</t>
        </is>
      </c>
      <c r="G36" s="89" t="inlineStr">
        <is>
          <t>기획 시점 지식 — BOE 확인 필요</t>
        </is>
      </c>
    </row>
    <row r="37" ht="29.25" customHeight="1" s="81">
      <c r="A37" s="86" t="inlineStr">
        <is>
          <t>사법·통제</t>
        </is>
      </c>
      <c r="B37" s="89" t="inlineStr">
        <is>
          <t>반부패 사법</t>
        </is>
      </c>
      <c r="C37" s="88" t="inlineStr">
        <is>
          <t>Fiscalía Anticorrupción, Audiencia Nacional. 형사소송에서 시민·단체도 acción popular(공익 소추)로 참여할 수 있다.</t>
        </is>
      </c>
      <c r="D37" s="89" t="inlineStr">
        <is>
          <t>헌법 제125조</t>
        </is>
      </c>
      <c r="E37" s="88" t="inlineStr">
        <is>
          <t>7부, 9부 9화</t>
        </is>
      </c>
      <c r="F37" s="88" t="inlineStr">
        <is>
          <t>querella, acusación popular, Fiscalía Anticorrupción</t>
        </is>
      </c>
      <c r="G37" s="89" t="inlineStr">
        <is>
          <t>기획 시점 지식 — BOE 확인 필요</t>
        </is>
      </c>
    </row>
    <row r="38" ht="29.25" customHeight="1" s="81">
      <c r="A38" s="86" t="inlineStr">
        <is>
          <t>사법·통제</t>
        </is>
      </c>
      <c r="B38" s="89" t="inlineStr">
        <is>
          <t>내부고발자 보호</t>
        </is>
      </c>
      <c r="C38" s="89" t="inlineStr">
        <is>
          <t>위반 사실을 알린 사람의 보호와 독립 감독 기구(Autoridad Independiente de Protección del Informante).</t>
        </is>
      </c>
      <c r="D38" s="88" t="inlineStr">
        <is>
          <t>Ley 2/2023 (EU 지침 이행)</t>
        </is>
      </c>
      <c r="E38" s="88" t="inlineStr">
        <is>
          <t>7부, 9부 8화</t>
        </is>
      </c>
      <c r="F38" s="88" t="inlineStr">
        <is>
          <t>informante, canal de denuncias, represalia</t>
        </is>
      </c>
      <c r="G38" s="89" t="inlineStr">
        <is>
          <t>기획 시점 지식 — BOE 확인 필요</t>
        </is>
      </c>
    </row>
    <row r="39" ht="29.25" customHeight="1" s="81">
      <c r="A39" s="86" t="inlineStr">
        <is>
          <t>사법·통제</t>
        </is>
      </c>
      <c r="B39" s="89" t="inlineStr">
        <is>
          <t>위법 수집 증거</t>
        </is>
      </c>
      <c r="C39" s="89" t="inlineStr">
        <is>
          <t>기본권을 침해해 얻은 증거는 효력이 없다. 통신 감청은 법원 허가가 필요.</t>
        </is>
      </c>
      <c r="D39" s="88" t="inlineStr">
        <is>
          <t>LOPJ 제11조 1항, 헌법 제18조 3항</t>
        </is>
      </c>
      <c r="E39" s="88" t="inlineStr">
        <is>
          <t>11부 7화</t>
        </is>
      </c>
      <c r="F39" s="88" t="inlineStr">
        <is>
          <t>prueba ilícita, intervención telefónica, autorización judicial</t>
        </is>
      </c>
      <c r="G39" s="89" t="inlineStr">
        <is>
          <t>기획 시점 지식 — BOE 확인 필요</t>
        </is>
      </c>
    </row>
    <row r="40" ht="29.25" customHeight="1" s="81">
      <c r="A40" s="86" t="inlineStr">
        <is>
          <t>사법·통제</t>
        </is>
      </c>
      <c r="B40" s="89" t="inlineStr">
        <is>
          <t>정보기관 통제</t>
        </is>
      </c>
      <c r="C40" s="88" t="inlineStr">
        <is>
          <t>CNI는 국방부 소속이며 법원의 사전 통제를 받는다.</t>
        </is>
      </c>
      <c r="D40" s="88" t="inlineStr">
        <is>
          <t>Ley 11/2002, LO 2/2002</t>
        </is>
      </c>
      <c r="E40" s="88" t="inlineStr">
        <is>
          <t>10~11부</t>
        </is>
      </c>
      <c r="F40" s="88" t="inlineStr">
        <is>
          <t>CNI, control judicial previo, secretos oficiales</t>
        </is>
      </c>
      <c r="G40" s="89" t="inlineStr">
        <is>
          <t>기획 시점 지식 — BOE 확인 필요</t>
        </is>
      </c>
    </row>
    <row r="41" ht="42" customHeight="1" s="81">
      <c r="A41" s="91" t="inlineStr">
        <is>
          <t>EU</t>
        </is>
      </c>
      <c r="B41" s="88" t="inlineStr">
        <is>
          <t>EU 재정 규칙</t>
        </is>
      </c>
      <c r="C41" s="88" t="inlineStr">
        <is>
          <t>2024년 개정된 재정 규칙에 따라 중기 재정구조계획과 순지출 경로를 제출·협의. 과도한 재정적자 절차는 TFUE 제126조.</t>
        </is>
      </c>
      <c r="D41" s="88" t="inlineStr">
        <is>
          <t>TFUE 제126조, EU 재정규칙 개정(2024)</t>
        </is>
      </c>
      <c r="E41" s="88" t="inlineStr">
        <is>
          <t>11부 9화</t>
        </is>
      </c>
      <c r="F41" s="88" t="inlineStr">
        <is>
          <t>plan fiscal y estructural a medio plazo, déficit excesivo, ECOFIN, Comisión Europea</t>
        </is>
      </c>
      <c r="G41" s="89" t="inlineStr">
        <is>
          <t>기획 시점 지식 — BOE 확인 필요</t>
        </is>
      </c>
    </row>
    <row r="42" ht="67.5" customHeight="1" s="81">
      <c r="A42" s="86" t="inlineStr">
        <is>
          <t>영토</t>
        </is>
      </c>
      <c r="B42" s="89" t="inlineStr">
        <is>
          <t>재난·민방위</t>
        </is>
      </c>
      <c r="C42" s="89" t="inlineStr">
        <is>
          <t>재난 1차 대응은 자치주 책임이며, 국가가 '국가 이익 긴급사태(emergencia de interés nacional)'를 선언하면 국가가 지휘한다. 군 긴급대응부대(UME) 투입은 요청·지시 절차가 따로 있다. 피해 보상은 보험보상 기구(Consorcio de Compensación de Seguros)와 EU 연대기금.</t>
        </is>
      </c>
      <c r="D42" s="88" t="inlineStr">
        <is>
          <t>Ley 17/2015 (국가 민방위 체계)</t>
        </is>
      </c>
      <c r="E42" s="88" t="inlineStr">
        <is>
          <t>11부 11화</t>
        </is>
      </c>
      <c r="F42" s="88" t="inlineStr">
        <is>
          <t>protección civil, aviso rojo, ES-Alert, UME, damnificados, emergencia de interés nacional</t>
        </is>
      </c>
      <c r="G42" s="89" t="inlineStr">
        <is>
          <t>기획 시점 지식 — BOE 확인 필요</t>
        </is>
      </c>
    </row>
    <row r="43" ht="42" customHeight="1" s="81">
      <c r="A43" s="86" t="inlineStr">
        <is>
          <t>사회</t>
        </is>
      </c>
      <c r="B43" s="89" t="inlineStr">
        <is>
          <t>이민·외국인</t>
        </is>
      </c>
      <c r="C43" s="89" t="inlineStr">
        <is>
          <t>체류·난민은 국가 권한이지만 도착 지역의 수용·아동 보호는 자치주가 맡아 분담 갈등이 생긴다. 이주 아동 분산 수용을 의무화하는 조치가 2025년에 도입됨(세부 확인 필요).</t>
        </is>
      </c>
      <c r="D43" s="88" t="inlineStr">
        <is>
          <t>LO 4/2000 (외국인법), Ley 12/2009 (난민법)</t>
        </is>
      </c>
      <c r="E43" s="88" t="inlineStr">
        <is>
          <t>6·7부, 11부 5화</t>
        </is>
      </c>
      <c r="F43" s="88" t="inlineStr">
        <is>
          <t>arraigo, permiso de residencia, menor no acompañado, acogida, asilo</t>
        </is>
      </c>
      <c r="G43" s="89" t="inlineStr">
        <is>
          <t>기획 시점 지식 — BOE 확인 필요 (2025 조치 세부)</t>
        </is>
      </c>
    </row>
    <row r="44" ht="42" customHeight="1" s="81">
      <c r="A44" s="86" t="inlineStr">
        <is>
          <t>사회</t>
        </is>
      </c>
      <c r="B44" s="89" t="inlineStr">
        <is>
          <t>성폭력 관련 법</t>
        </is>
      </c>
      <c r="C44" s="89" t="inlineStr">
        <is>
          <t>동의 여부를 중심으로 한 성적 자유 보장법이 시행되자, 유리한 신법 소급 원칙 때문에 일부 형량이 감경되는 부작용이 생겼고 이를 고치는 개정이 이어졌다.</t>
        </is>
      </c>
      <c r="D44" s="88" t="inlineStr">
        <is>
          <t>LO 10/2022, 개정 LO 4/2023, 형법 제2조 2항</t>
        </is>
      </c>
      <c r="E44" s="88" t="inlineStr">
        <is>
          <t>7부, 8부, 10부 3화</t>
        </is>
      </c>
      <c r="F44" s="88" t="inlineStr">
        <is>
          <t>consentimiento, agresión sexual, retroactividad, reducción de condena</t>
        </is>
      </c>
      <c r="G44" s="89" t="inlineStr">
        <is>
          <t>기획 시점 지식 — BOE 확인 필요</t>
        </is>
      </c>
    </row>
    <row r="45" ht="42" customHeight="1" s="81">
      <c r="A45" s="86" t="inlineStr">
        <is>
          <t>사법·통제</t>
        </is>
      </c>
      <c r="B45" s="89" t="inlineStr">
        <is>
          <t>사면(amnistía)과 헌법</t>
        </is>
      </c>
      <c r="C45" s="89" t="inlineStr">
        <is>
          <t>헌법은 일반 사면(indulto general)을 금지한다(제62조 i). 사면법의 헌법 적합성은 논쟁이 계속되는 소재로 재판 절차 진행 상황을 확인해야 한다.</t>
        </is>
      </c>
      <c r="D45" s="89" t="inlineStr">
        <is>
          <t>헌법 제62조, LO 1/2024 (사면법)</t>
        </is>
      </c>
      <c r="E45" s="88" t="inlineStr">
        <is>
          <t>10부 11화</t>
        </is>
      </c>
      <c r="F45" s="88" t="inlineStr">
        <is>
          <t>amnistía, indulto, Tribunal Constitucional, financiación autonómica</t>
        </is>
      </c>
      <c r="G45" s="89" t="inlineStr">
        <is>
          <t>기획 시점 지식 — BOE 확인 필요 (최신 절차 확인)</t>
        </is>
      </c>
    </row>
    <row r="46" ht="29.25" customHeight="1" s="81">
      <c r="A46" s="86" t="inlineStr">
        <is>
          <t>사법·통제</t>
        </is>
      </c>
      <c r="B46" s="89" t="inlineStr">
        <is>
          <t>사법평의회(CGPJ)</t>
        </is>
      </c>
      <c r="C46" s="89" t="inlineStr">
        <is>
          <t>사법부의 최고 통제 기구로, 위원 갱신에 의회의 3/5 다수가 필요해 정당 간 합의가 막히면 갱신이 장기간 지연된다.</t>
        </is>
      </c>
      <c r="D46" s="89" t="inlineStr">
        <is>
          <t>헌법 제122조, LOPJ</t>
        </is>
      </c>
      <c r="E46" s="88" t="inlineStr">
        <is>
          <t>9부 9화, 10부 11화</t>
        </is>
      </c>
      <c r="F46" s="88" t="inlineStr">
        <is>
          <t>renovación, mayoría de tres quintos, vocal, dilaciones indebidas</t>
        </is>
      </c>
      <c r="G46" s="89" t="inlineStr">
        <is>
          <t>기획 시점 지식 — BOE 확인 필요</t>
        </is>
      </c>
    </row>
    <row r="47" ht="42" customHeight="1" s="81">
      <c r="A47" s="91" t="inlineStr">
        <is>
          <t>EU</t>
        </is>
      </c>
      <c r="B47" s="89" t="inlineStr">
        <is>
          <t>회복기금(NextGenerationEU)</t>
        </is>
      </c>
      <c r="C47" s="89" t="inlineStr">
        <is>
          <t>스페인은 회복·전환·복원력 계획(PRTR)으로 EU 회복기금을 받는다. 행정 병목과 지방정부 배분 문제로 집행 지연이 비판받는다. 집행 시한이 다가온다.</t>
        </is>
      </c>
      <c r="D47" s="88" t="inlineStr">
        <is>
          <t>RDL 36/2020 (집행 특례)</t>
        </is>
      </c>
      <c r="E47" s="88" t="inlineStr">
        <is>
          <t>9부 4화, 11부 9화</t>
        </is>
      </c>
      <c r="F47" s="88" t="inlineStr">
        <is>
          <t>fondos europeos, PERTE, hito, ejecución</t>
        </is>
      </c>
      <c r="G47" s="89" t="inlineStr">
        <is>
          <t>기획 시점 지식 — BOE 확인 필요 (시한 확인)</t>
        </is>
      </c>
    </row>
    <row r="48" ht="80.25" customHeight="1" s="81">
      <c r="A48" s="91" t="inlineStr">
        <is>
          <t>EU·NATO</t>
        </is>
      </c>
      <c r="B48" s="89" t="inlineStr">
        <is>
          <t>국방비와 NATO</t>
        </is>
      </c>
      <c r="C48" s="88" t="inlineStr">
        <is>
          <t>2025년 헤이그 정상회의에서 나토가 GDP 5%(핵심 방위 3.5% + 관련 지출 1.5%) 목표를 2035년까지 합의했다. 스페인만 유일하게 예외를 받아 약 2.1%로 버텼고, 2029년 중간 점검이 예정되어 있다. 이 실제 갈등을 배경으로 Anselmo가 3.5%로의 단계적·검증 가능한 경로를 협상한다.</t>
        </is>
      </c>
      <c r="D48" s="88" t="inlineStr">
        <is>
          <t>2025 헤이그 합의(Agreement on 5% Defence Spending), 예산안 art. 134</t>
        </is>
      </c>
      <c r="E48" s="88" t="inlineStr">
        <is>
          <t>11부 9~11화(Anselmo의 직접 협상), 12부 3·11화(후속)</t>
        </is>
      </c>
      <c r="F48" s="88" t="inlineStr">
        <is>
          <t>gasto en defensa, OTAN, capacidades, compromiso, exención</t>
        </is>
      </c>
      <c r="G48" s="89" t="inlineStr">
        <is>
          <t>검색 확인 (2026-09-22) (2025년 6월 헤이그 정상회의 합의·스페인 예외 확인, 2026-09-22 검색)</t>
        </is>
      </c>
    </row>
    <row r="49" ht="29.25" customHeight="1" s="81">
      <c r="A49" s="86" t="inlineStr">
        <is>
          <t>영토</t>
        </is>
      </c>
      <c r="B49" s="89" t="inlineStr">
        <is>
          <t>재생에너지 인허가</t>
        </is>
      </c>
      <c r="C49" s="89" t="inlineStr">
        <is>
          <t>일정 규모(50MW) 이상 발전소는 국가가, 그 미만은 자치주가 인허가하며 환경영향평가가 필수다. 농촌 주민의 찬반이 갈린다.</t>
        </is>
      </c>
      <c r="D49" s="88" t="inlineStr">
        <is>
          <t>Ley 24/2013 (전력부문), Ley 21/2013 (환경영향평가)</t>
        </is>
      </c>
      <c r="E49" s="88" t="inlineStr">
        <is>
          <t>10부 2화, 11부 8화</t>
        </is>
      </c>
      <c r="F49" s="88" t="inlineStr">
        <is>
          <t>parque solar, aerogenerador, impacto ambiental, alegaciones</t>
        </is>
      </c>
      <c r="G49" s="89" t="inlineStr">
        <is>
          <t>기획 시점 지식 — BOE 확인 필요</t>
        </is>
      </c>
    </row>
    <row r="50" ht="42" customHeight="1" s="81">
      <c r="A50" s="86" t="inlineStr">
        <is>
          <t>의회</t>
        </is>
      </c>
      <c r="B50" s="89" t="inlineStr">
        <is>
          <t>선거구 최소 의석</t>
        </is>
      </c>
      <c r="C50" s="89" t="inlineStr">
        <is>
          <t>각 province에 최소 의석을 먼저 배정하므로 인구가 적은 내륙 province의 정치적 비중이 상대적으로 크다 (España Vaciada 이슈와 연결).</t>
        </is>
      </c>
      <c r="D50" s="89" t="inlineStr">
        <is>
          <t>헌법 제68조 2항, LOREG</t>
        </is>
      </c>
      <c r="E50" s="88" t="inlineStr">
        <is>
          <t>10부 2화</t>
        </is>
      </c>
      <c r="F50" s="88" t="inlineStr">
        <is>
          <t>provincia, escaño, despoblación, sobrerrepresentación</t>
        </is>
      </c>
      <c r="G50" s="89" t="inlineStr">
        <is>
          <t>기획 시점 지식 — BOE 확인 필요</t>
        </is>
      </c>
    </row>
    <row r="51" ht="29.25" customHeight="1" s="81">
      <c r="A51" s="86" t="inlineStr">
        <is>
          <t>정부</t>
        </is>
      </c>
      <c r="B51" s="89" t="inlineStr">
        <is>
          <t>사회적 대화</t>
        </is>
      </c>
      <c r="C51" s="89" t="inlineStr">
        <is>
          <t>정부·노조(UGT·CCOO)·경영단체(CEOE·CEPYME)가 협의하는 틀. 청년 고용·최저임금·연금 논의에 쓰인다.</t>
        </is>
      </c>
      <c r="D51" s="89" t="inlineStr">
        <is>
          <t>관행 및 각종 협약</t>
        </is>
      </c>
      <c r="E51" s="88" t="inlineStr">
        <is>
          <t>11부 6화</t>
        </is>
      </c>
      <c r="F51" s="88" t="inlineStr">
        <is>
          <t>diálogo social, sindicatos, patronal, convenio</t>
        </is>
      </c>
      <c r="G51" s="89" t="inlineStr">
        <is>
          <t>기획 시점 지식 — BOE 확인 필요</t>
        </is>
      </c>
    </row>
    <row r="52" ht="29.25" customHeight="1" s="81">
      <c r="A52" s="86" t="inlineStr">
        <is>
          <t>정부</t>
        </is>
      </c>
      <c r="B52" s="89" t="inlineStr">
        <is>
          <t>연금과 Pacto de Toledo</t>
        </is>
      </c>
      <c r="C52" s="89" t="inlineStr">
        <is>
          <t>연금 제도의 지속 가능성은 의회 위원회(Pacto de Toledo)에서 합의 방식으로 논의하는 관행이 있다.</t>
        </is>
      </c>
      <c r="D52" s="88" t="inlineStr">
        <is>
          <t>Pacto de Toledo</t>
        </is>
      </c>
      <c r="E52" s="88" t="inlineStr">
        <is>
          <t>11부 12화</t>
        </is>
      </c>
      <c r="F52" s="88" t="inlineStr">
        <is>
          <t>pensiones, revalorización, sostenibilidad</t>
        </is>
      </c>
      <c r="G52" s="89" t="inlineStr">
        <is>
          <t>기획 시점 지식 — BOE 확인 필요</t>
        </is>
      </c>
    </row>
    <row r="54" ht="16.5" customHeight="1" s="81">
      <c r="A54" s="147" t="inlineStr">
        <is>
          <t>※ 법령 번호·조항은 교재에 넣기 전에 BOE의 현행 텍스트(texto consolidado)로 반드시 확인하세요. '검색 확인'은 공개 자료에서 교차 확인한 항목이며, 나머지는 기획 시점 지식입니다.</t>
        </is>
      </c>
    </row>
  </sheetData>
  <mergeCells count="1">
    <mergeCell ref="A54:G54"/>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3.xml><?xml version="1.0" encoding="utf-8"?>
<worksheet xmlns="http://schemas.openxmlformats.org/spreadsheetml/2006/main">
  <sheetPr filterMode="0">
    <tabColor rgb="FFBF8F00"/>
    <outlinePr summaryBelow="1" summaryRight="1"/>
    <pageSetUpPr fitToPage="1"/>
  </sheetPr>
  <dimension ref="A1:F10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80" min="1" max="1"/>
    <col width="26" customWidth="1" style="80" min="2" max="2"/>
    <col width="46" customWidth="1" style="80" min="3" max="3"/>
    <col width="54" customWidth="1" style="80" min="4" max="4"/>
    <col width="26" customWidth="1" style="80" min="5" max="5"/>
    <col width="6" customWidth="1" style="80" min="6" max="6"/>
  </cols>
  <sheetData>
    <row r="1" ht="24" customHeight="1" s="81">
      <c r="A1" s="101" t="inlineStr">
        <is>
          <t>정치 경로와 가상 의석 시뮬레이션</t>
        </is>
      </c>
    </row>
    <row r="2" ht="15" customHeight="1" s="81">
      <c r="A2" s="100" t="inlineStr">
        <is>
          <t>창당에서 총리까지의 경로를 현실 제도에 맞춰 단계화했다. 정당·의석 수는 전부 가상의 교육용 수치이며, 파란 숫자·표결 값은 수정하면 결과가 자동 갱신된다.</t>
        </is>
      </c>
    </row>
    <row r="4" ht="18" customHeight="1" s="81">
      <c r="A4" s="102" t="inlineStr">
        <is>
          <t>1. 정치 경로 (창당 → 총리)</t>
        </is>
      </c>
      <c r="B4" s="85" t="n"/>
      <c r="C4" s="85" t="n"/>
      <c r="D4" s="85" t="n"/>
      <c r="E4" s="85" t="n"/>
      <c r="F4" s="85" t="n"/>
    </row>
    <row r="5" ht="19.5" customHeight="1" s="81">
      <c r="A5" s="103" t="inlineStr">
        <is>
          <t>단계</t>
        </is>
      </c>
      <c r="B5" s="103" t="inlineStr">
        <is>
          <t>부·화</t>
        </is>
      </c>
      <c r="C5" s="103" t="inlineStr">
        <is>
          <t>이야기 사건</t>
        </is>
      </c>
      <c r="D5" s="103" t="inlineStr">
        <is>
          <t>제도·규칙</t>
        </is>
      </c>
      <c r="E5" s="103" t="inlineStr">
        <is>
          <t>확인 상태</t>
        </is>
      </c>
    </row>
    <row r="6" ht="29.25" customHeight="1" s="81">
      <c r="A6" s="111" t="inlineStr">
        <is>
          <t>1</t>
        </is>
      </c>
      <c r="B6" s="111" t="inlineStr">
        <is>
          <t>8부 1~4화</t>
        </is>
      </c>
      <c r="C6" s="88" t="inlineStr">
        <is>
          <t>Sol 집회 → 시민 입법발의(ILP)가 심의 개시 표결에서 좌초</t>
        </is>
      </c>
      <c r="D6" s="89" t="inlineStr">
        <is>
          <t>집회 사전 통지, ILP 서명 50만, toma en consideración</t>
        </is>
      </c>
      <c r="E6" s="89" t="inlineStr">
        <is>
          <t>기획 지식</t>
        </is>
      </c>
    </row>
    <row r="7" ht="29.25" customHeight="1" s="81">
      <c r="A7" s="111" t="inlineStr">
        <is>
          <t>2</t>
        </is>
      </c>
      <c r="B7" s="111" t="inlineStr">
        <is>
          <t>8부 5~7화</t>
        </is>
      </c>
      <c r="C7" s="89" t="inlineStr">
        <is>
          <t>정당 «Casa Común» 창당</t>
        </is>
      </c>
      <c r="D7" s="88" t="inlineStr">
        <is>
          <t>acta fundacional 제출 → Registro de Partidos Políticos 등록 시 법인격 (LO 6/2002), 재정 LO 8/2007</t>
        </is>
      </c>
      <c r="E7" s="89" t="inlineStr">
        <is>
          <t>검색 확인</t>
        </is>
      </c>
    </row>
    <row r="8" ht="29.25" customHeight="1" s="81">
      <c r="A8" s="111" t="inlineStr">
        <is>
          <t>3</t>
        </is>
      </c>
      <c r="B8" s="111" t="inlineStr">
        <is>
          <t>8부 8~12화</t>
        </is>
      </c>
      <c r="C8" s="89" t="inlineStr">
        <is>
          <t>첫 지방·자치 선거 출마, 시의회 57석 중 9석·자치의회 진출 (가상 수치)</t>
        </is>
      </c>
      <c r="D8" s="88" t="inlineStr">
        <is>
          <t>4년 주기, 문턱 5%, 성별 균형 명부, 정정권</t>
        </is>
      </c>
      <c r="E8" s="89" t="inlineStr">
        <is>
          <t>검색 확인 (57석·5%) · 8부 집필 완료</t>
        </is>
      </c>
    </row>
    <row r="9" ht="16.5" customHeight="1" s="81">
      <c r="A9" s="111" t="inlineStr">
        <is>
          <t>4</t>
        </is>
      </c>
      <c r="B9" s="111" t="inlineStr">
        <is>
          <t>9부 1화</t>
        </is>
      </c>
      <c r="C9" s="89" t="inlineStr">
        <is>
          <t>시의회 개원, 알칼데 선출은 다른 당의 몫</t>
        </is>
      </c>
      <c r="D9" s="89" t="inlineStr">
        <is>
          <t>과반 29표 또는 최다득표 명부 1번 자동 취임 (LOREG 196)</t>
        </is>
      </c>
      <c r="E9" s="89" t="inlineStr">
        <is>
          <t>검색 확인 · 9부 1화 집필 완료</t>
        </is>
      </c>
    </row>
    <row r="10" ht="42" customHeight="1" s="81">
      <c r="A10" s="111" t="inlineStr">
        <is>
          <t>5</t>
        </is>
      </c>
      <c r="B10" s="111" t="inlineStr">
        <is>
          <t>9부 2~11화</t>
        </is>
      </c>
      <c r="C10" s="88" t="inlineStr">
        <is>
          <t>Sofía는 시의회(예산·계약), Javier는 자치의회(보건)에서 활동. 스캔들 폭로, acusación popular 고소</t>
        </is>
      </c>
      <c r="D10" s="89" t="inlineStr">
        <is>
          <t>보건·주거는 자치주 권한, Pleno·위원회, Ley 2/2023, LOPJ 11.1</t>
        </is>
      </c>
      <c r="E10" s="89" t="inlineStr">
        <is>
          <t>기획 지식</t>
        </is>
      </c>
    </row>
    <row r="11" ht="29.25" customHeight="1" s="81">
      <c r="A11" s="111" t="inlineStr">
        <is>
          <t>6</t>
        </is>
      </c>
      <c r="B11" s="111" t="inlineStr">
        <is>
          <t>9부 12화</t>
        </is>
      </c>
      <c r="C11" s="89" t="inlineStr">
        <is>
          <t>총선 출마 결정. 현직 총리(UCN)가 예산 부결 후 조기 총선을 소집</t>
        </is>
      </c>
      <c r="D11" s="89" t="inlineStr">
        <is>
          <t>해산: 총리 제안·국왕 칙령(art. 115). 후보 등록에 선거구 유권자 0.1% 서명 필요(LOREG 169.3)</t>
        </is>
      </c>
      <c r="E11" s="89" t="inlineStr">
        <is>
          <t>서명 요건은 검색 확인</t>
        </is>
      </c>
    </row>
    <row r="12" ht="29.25" customHeight="1" s="81">
      <c r="A12" s="111" t="inlineStr">
        <is>
          <t>7</t>
        </is>
      </c>
      <c r="B12" s="111" t="inlineStr">
        <is>
          <t>10부 1~4화</t>
        </is>
      </c>
      <c r="C12" s="89" t="inlineStr">
        <is>
          <t>총선 1차: 캠페인, TV 토론, 결과 CC 62석 3위 (아래 A블록)</t>
        </is>
      </c>
      <c r="D12" s="89" t="inlineStr">
        <is>
          <t>소집 후 54일째 선거, 캠페인 15일, 350석·D'Hondt·3% 문턱</t>
        </is>
      </c>
      <c r="E12" s="89" t="inlineStr">
        <is>
          <t>기획 지식</t>
        </is>
      </c>
    </row>
    <row r="13" ht="16.5" customHeight="1" s="81">
      <c r="A13" s="111" t="inlineStr">
        <is>
          <t>8</t>
        </is>
      </c>
      <c r="B13" s="111" t="inlineStr">
        <is>
          <t>10부 5화</t>
        </is>
      </c>
      <c r="C13" s="89" t="inlineStr">
        <is>
          <t>개원, Mesa·의장 선출, CC 의원단 구성</t>
        </is>
      </c>
      <c r="D13" s="89" t="inlineStr">
        <is>
          <t>의원단 15석 이상 요건 (CC 62석이라 충족)</t>
        </is>
      </c>
      <c r="E13" s="89" t="inlineStr">
        <is>
          <t>검색 확인</t>
        </is>
      </c>
    </row>
    <row r="14" ht="29.25" customHeight="1" s="81">
      <c r="A14" s="111" t="inlineStr">
        <is>
          <t>9</t>
        </is>
      </c>
      <c r="B14" s="111" t="inlineStr">
        <is>
          <t>10부 6~7화</t>
        </is>
      </c>
      <c r="C14" s="89" t="inlineStr">
        <is>
          <t>국왕 협의 → UCN 후보 제안 → 1·2차 표결 모두 부결 (A블록)</t>
        </is>
      </c>
      <c r="D14" s="89" t="inlineStr">
        <is>
          <t>헌법 제99조: 1차 절대다수 176, 2차 단순다수(48시간 후)</t>
        </is>
      </c>
      <c r="E14" s="89" t="inlineStr">
        <is>
          <t>검색 확인</t>
        </is>
      </c>
    </row>
    <row r="15" ht="29.25" customHeight="1" s="81">
      <c r="A15" s="111" t="inlineStr">
        <is>
          <t>10</t>
        </is>
      </c>
      <c r="B15" s="111" t="inlineStr">
        <is>
          <t>10부 8화</t>
        </is>
      </c>
      <c r="C15" s="89" t="inlineStr">
        <is>
          <t>두 달의 시계: 첫 표결 후 2개월 내 아무도 신임받지 못한다</t>
        </is>
      </c>
      <c r="D15" s="89" t="inlineStr">
        <is>
          <t>제99조 5항: 의회 자동 해산·재선거 (의장 부서)</t>
        </is>
      </c>
      <c r="E15" s="89" t="inlineStr">
        <is>
          <t>검색 확인</t>
        </is>
      </c>
    </row>
    <row r="16" ht="29.25" customHeight="1" s="81">
      <c r="A16" s="111" t="inlineStr">
        <is>
          <t>11</t>
        </is>
      </c>
      <c r="B16" s="111" t="inlineStr">
        <is>
          <t>10부 9~10화</t>
        </is>
      </c>
      <c r="C16" s="89" t="inlineStr">
        <is>
          <t>재선거 캠페인과 결과: CC 112석 1당이지만 과반 아님 (B블록)</t>
        </is>
      </c>
      <c r="D16" s="88" t="inlineStr">
        <is>
          <t>176석 미달 → 소수 정부·협상</t>
        </is>
      </c>
      <c r="E16" s="89" t="inlineStr">
        <is>
          <t>가상 수치</t>
        </is>
      </c>
    </row>
    <row r="17" ht="16.5" customHeight="1" s="81">
      <c r="A17" s="111" t="inlineStr">
        <is>
          <t>12</t>
        </is>
      </c>
      <c r="B17" s="111" t="inlineStr">
        <is>
          <t>10부 11화</t>
        </is>
      </c>
      <c r="C17" s="88" t="inlineStr">
        <is>
          <t>PPS·지역정당과 총리 지명 협상</t>
        </is>
      </c>
      <c r="D17" s="89" t="inlineStr">
        <is>
          <t>정당 간 협약</t>
        </is>
      </c>
      <c r="E17" s="88" t="inlineStr">
        <is>
          <t>—</t>
        </is>
      </c>
    </row>
    <row r="18" ht="29.25" customHeight="1" s="81">
      <c r="A18" s="111" t="inlineStr">
        <is>
          <t>13</t>
        </is>
      </c>
      <c r="B18" s="111" t="inlineStr">
        <is>
          <t>10부 12화</t>
        </is>
      </c>
      <c r="C18" s="88" t="inlineStr">
        <is>
          <t>Mateo 1차 175표(1표 부족) 부결 → 48시간 후 2차 통과 → Zarzuela 선서</t>
        </is>
      </c>
      <c r="D18" s="88" t="inlineStr">
        <is>
          <t>1차 절대다수/2차 단순다수 (B블록). 실제 2020.1 사례와 같은 구조</t>
        </is>
      </c>
      <c r="E18" s="89" t="inlineStr">
        <is>
          <t>검색 확인</t>
        </is>
      </c>
    </row>
    <row r="19" ht="16.5" customHeight="1" s="81">
      <c r="A19" s="111" t="inlineStr">
        <is>
          <t>14</t>
        </is>
      </c>
      <c r="B19" s="111" t="inlineStr">
        <is>
          <t>11부 1화</t>
        </is>
      </c>
      <c r="C19" s="89" t="inlineStr">
        <is>
          <t>첫 국무회의, 장관 임명(Real Decreto)</t>
        </is>
      </c>
      <c r="D19" s="88" t="inlineStr">
        <is>
          <t>Ley 50/1997, 매주 화요일</t>
        </is>
      </c>
      <c r="E19" s="89" t="inlineStr">
        <is>
          <t>기획 지식</t>
        </is>
      </c>
    </row>
    <row r="20" ht="29.25" customHeight="1" s="81">
      <c r="A20" s="111" t="inlineStr">
        <is>
          <t>15</t>
        </is>
      </c>
      <c r="B20" s="111" t="inlineStr">
        <is>
          <t>11부 2~5·8화</t>
        </is>
      </c>
      <c r="C20" s="89" t="inlineStr">
        <is>
          <t>국정: 주거·보건·이민은 자치주와 나눠 가진 권한의 벽, 횡재세는 법률로</t>
        </is>
      </c>
      <c r="D20" s="88" t="inlineStr">
        <is>
          <t>art. 148-149, art. 86.1, 위헌 심판, 협의체</t>
        </is>
      </c>
      <c r="E20" s="89" t="inlineStr">
        <is>
          <t>기획 지식</t>
        </is>
      </c>
    </row>
    <row r="21" ht="16.5" customHeight="1" s="81">
      <c r="A21" s="111" t="inlineStr">
        <is>
          <t>16</t>
        </is>
      </c>
      <c r="B21" s="111" t="inlineStr">
        <is>
          <t>11부 10화</t>
        </is>
      </c>
      <c r="C21" s="89" t="inlineStr">
        <is>
          <t>야당이 건설적 불신임안 시도 → 부결 (C블록)</t>
        </is>
      </c>
      <c r="D21" s="88" t="inlineStr">
        <is>
          <t>art. 113: 대안 후보, 35명 발의, 5일 후 표결, 176표</t>
        </is>
      </c>
      <c r="E21" s="89" t="inlineStr">
        <is>
          <t>기획 지식</t>
        </is>
      </c>
    </row>
    <row r="22" ht="29.25" customHeight="1" s="81">
      <c r="A22" s="111" t="inlineStr">
        <is>
          <t>17</t>
        </is>
      </c>
      <c r="B22" s="111" t="inlineStr">
        <is>
          <t>11부 11화</t>
        </is>
      </c>
      <c r="C22" s="89" t="inlineStr">
        <is>
          <t>대규모 폭우(DANA, 가상): 경보·초기 대응 책임 공방, 긴급사태 선언 여부, UME 투입, 보상</t>
        </is>
      </c>
      <c r="D22" s="88" t="inlineStr">
        <is>
          <t>Ley 17/2015 민방위 체계, 긴급사태(emergencia de interés nacional), 보험보상 기구, EU 연대기금</t>
        </is>
      </c>
      <c r="E22" s="89" t="inlineStr">
        <is>
          <t>기획 지식</t>
        </is>
      </c>
    </row>
    <row r="23" ht="29.25" customHeight="1" s="81">
      <c r="A23" s="111" t="inlineStr">
        <is>
          <t>18</t>
        </is>
      </c>
      <c r="B23" s="111" t="inlineStr">
        <is>
          <t>11부 12화</t>
        </is>
      </c>
      <c r="C23" s="89" t="inlineStr">
        <is>
          <t>예산안 제출 준비 (연금·부채·방위비 사이의 줄타기)</t>
        </is>
      </c>
      <c r="D23" s="88" t="inlineStr">
        <is>
          <t>art. 134: 만료 3개월 전, 미통과 시 prórroga</t>
        </is>
      </c>
      <c r="E23" s="89" t="inlineStr">
        <is>
          <t>기획 지식</t>
        </is>
      </c>
    </row>
    <row r="24" ht="16.5" customHeight="1" s="81">
      <c r="A24" s="111" t="inlineStr">
        <is>
          <t>19</t>
        </is>
      </c>
      <c r="B24" s="111" t="inlineStr">
        <is>
          <t>12부</t>
        </is>
      </c>
      <c r="C24" s="89" t="inlineStr">
        <is>
          <t>임기 후반, 사무소를 재단으로 전환</t>
        </is>
      </c>
      <c r="D24" s="89" t="inlineStr">
        <is>
          <t>고위직 겸직 제한 (Ley 3/2015)</t>
        </is>
      </c>
      <c r="E24" s="89" t="inlineStr">
        <is>
          <t>기획 지식</t>
        </is>
      </c>
    </row>
    <row r="26" ht="18" customHeight="1" s="81">
      <c r="A26" s="102" t="inlineStr">
        <is>
          <t>2. 가상 정당 (실존 정당·정치인 사용 금지)</t>
        </is>
      </c>
      <c r="B26" s="85" t="n"/>
      <c r="C26" s="85" t="n"/>
      <c r="D26" s="85" t="n"/>
      <c r="E26" s="85" t="n"/>
      <c r="F26" s="85" t="n"/>
    </row>
    <row r="27" ht="19.5" customHeight="1" s="81">
      <c r="A27" s="103" t="inlineStr">
        <is>
          <t>약칭</t>
        </is>
      </c>
      <c r="B27" s="103" t="inlineStr">
        <is>
          <t>정당명 (가상)</t>
        </is>
      </c>
      <c r="C27" s="103" t="inlineStr">
        <is>
          <t>성격</t>
        </is>
      </c>
      <c r="D27" s="103" t="inlineStr">
        <is>
          <t>이야기 속 역할</t>
        </is>
      </c>
    </row>
    <row r="28" ht="16.5" customHeight="1" s="81">
      <c r="A28" s="91" t="inlineStr">
        <is>
          <t>CC</t>
        </is>
      </c>
      <c r="B28" s="88" t="inlineStr">
        <is>
          <t>Casa Común</t>
        </is>
      </c>
      <c r="C28" s="89" t="inlineStr">
        <is>
          <t>주인공 정당. Pepa의 식탁에서 나온 이름</t>
        </is>
      </c>
      <c r="D28" s="89" t="inlineStr">
        <is>
          <t>시민 정당. 창당 → 지방 → 총선 → 총리</t>
        </is>
      </c>
    </row>
    <row r="29" ht="16.5" customHeight="1" s="81">
      <c r="A29" s="91" t="inlineStr">
        <is>
          <t>UCN</t>
        </is>
      </c>
      <c r="B29" s="88" t="inlineStr">
        <is>
          <t>Unión Cívica Nacional</t>
        </is>
      </c>
      <c r="C29" s="89" t="inlineStr">
        <is>
          <t>거대 보수 정당</t>
        </is>
      </c>
      <c r="D29" s="89" t="inlineStr">
        <is>
          <t>현직 총리 배출, 1차 총선 1당, 첫 investidura 후보 실패</t>
        </is>
      </c>
    </row>
    <row r="30" ht="29.25" customHeight="1" s="81">
      <c r="A30" s="91" t="inlineStr">
        <is>
          <t>PPS</t>
        </is>
      </c>
      <c r="B30" s="88" t="inlineStr">
        <is>
          <t>Partido del Progreso Social</t>
        </is>
      </c>
      <c r="C30" s="89" t="inlineStr">
        <is>
          <t>거대 중도좌파 정당</t>
        </is>
      </c>
      <c r="D30" s="89" t="inlineStr">
        <is>
          <t>재선거에서 45석으로 추락, Mateo 지지</t>
        </is>
      </c>
    </row>
    <row r="31" ht="16.5" customHeight="1" s="81">
      <c r="A31" s="91" t="inlineStr">
        <is>
          <t>HU</t>
        </is>
      </c>
      <c r="B31" s="88" t="inlineStr">
        <is>
          <t>Hispania Unida</t>
        </is>
      </c>
      <c r="C31" s="89" t="inlineStr">
        <is>
          <t>민족주의 성향 소수당</t>
        </is>
      </c>
      <c r="D31" s="88" t="inlineStr">
        <is>
          <t>UCN과 함께 반대·불신임안 지지</t>
        </is>
      </c>
    </row>
    <row r="32" ht="16.5" customHeight="1" s="81">
      <c r="A32" s="91" t="inlineStr">
        <is>
          <t>TA</t>
        </is>
      </c>
      <c r="B32" s="88" t="inlineStr">
        <is>
          <t>Coalición Territorial A</t>
        </is>
      </c>
      <c r="C32" s="89" t="inlineStr">
        <is>
          <t>지역정당 연합</t>
        </is>
      </c>
      <c r="D32" s="89" t="inlineStr">
        <is>
          <t>조건부 친여</t>
        </is>
      </c>
    </row>
    <row r="33" ht="16.5" customHeight="1" s="81">
      <c r="A33" s="91" t="inlineStr">
        <is>
          <t>TB</t>
        </is>
      </c>
      <c r="B33" s="88" t="inlineStr">
        <is>
          <t>Coalición Territorial B</t>
        </is>
      </c>
      <c r="C33" s="89" t="inlineStr">
        <is>
          <t>지역정당 연합</t>
        </is>
      </c>
      <c r="D33" s="89" t="inlineStr">
        <is>
          <t>캐스팅보트: 1차엔 반대, 2차엔 기권 (협상의 열쇠)</t>
        </is>
      </c>
    </row>
    <row r="34" ht="16.5" customHeight="1" s="81">
      <c r="A34" s="108" t="inlineStr">
        <is>
          <t>PV</t>
        </is>
      </c>
      <c r="B34" s="105" t="inlineStr">
        <is>
          <t>Plataforma Vecinal</t>
        </is>
      </c>
      <c r="C34" s="109" t="inlineStr">
        <is>
          <t>지역 주민 후보 플랫폼</t>
        </is>
      </c>
      <c r="D34" s="109" t="inlineStr">
        <is>
          <t>마드리드 시의회 1석(8부 12화). 9부 1화 알칼데 표결 백지</t>
        </is>
      </c>
    </row>
    <row r="35" ht="18" customHeight="1" s="81">
      <c r="A35" s="102" t="inlineStr">
        <is>
          <t>3-A. 총선 1차 결과와 UCN 후보 investidura (가상)</t>
        </is>
      </c>
      <c r="B35" s="85" t="n"/>
      <c r="C35" s="85" t="n"/>
      <c r="D35" s="85" t="n"/>
      <c r="E35" s="85" t="n"/>
      <c r="F35" s="85" t="n"/>
    </row>
    <row r="36" ht="31.5" customHeight="1" s="81">
      <c r="A36" s="103" t="inlineStr">
        <is>
          <t>정당</t>
        </is>
      </c>
      <c r="B36" s="103" t="inlineStr">
        <is>
          <t>의석</t>
        </is>
      </c>
      <c r="C36" s="110" t="inlineStr">
        <is>
          <t>1차 표결 (절대다수)</t>
        </is>
      </c>
      <c r="D36" s="110" t="inlineStr">
        <is>
          <t>2차 표결 (단순다수, 48시간 후)</t>
        </is>
      </c>
      <c r="E36" s="103" t="inlineStr">
        <is>
          <t>비고</t>
        </is>
      </c>
    </row>
    <row r="37" ht="15" customHeight="1" s="81">
      <c r="A37" s="132" t="inlineStr">
        <is>
          <t>UCN</t>
        </is>
      </c>
      <c r="B37" s="115" t="n">
        <v>118</v>
      </c>
      <c r="C37" s="115" t="inlineStr">
        <is>
          <t>Sí</t>
        </is>
      </c>
      <c r="D37" s="115" t="inlineStr">
        <is>
          <t>Sí</t>
        </is>
      </c>
      <c r="E37" s="160" t="n"/>
    </row>
    <row r="38" ht="15" customHeight="1" s="81">
      <c r="A38" s="132" t="inlineStr">
        <is>
          <t>PPS</t>
        </is>
      </c>
      <c r="B38" s="115" t="n">
        <v>92</v>
      </c>
      <c r="C38" s="115" t="inlineStr">
        <is>
          <t>No</t>
        </is>
      </c>
      <c r="D38" s="115" t="inlineStr">
        <is>
          <t>No</t>
        </is>
      </c>
      <c r="E38" s="160" t="n"/>
    </row>
    <row r="39" ht="15" customHeight="1" s="81">
      <c r="A39" s="132" t="inlineStr">
        <is>
          <t>CC</t>
        </is>
      </c>
      <c r="B39" s="115" t="n">
        <v>62</v>
      </c>
      <c r="C39" s="115" t="inlineStr">
        <is>
          <t>No</t>
        </is>
      </c>
      <c r="D39" s="115" t="inlineStr">
        <is>
          <t>No</t>
        </is>
      </c>
      <c r="E39" s="160" t="n"/>
    </row>
    <row r="40" ht="15" customHeight="1" s="81">
      <c r="A40" s="132" t="inlineStr">
        <is>
          <t>HU</t>
        </is>
      </c>
      <c r="B40" s="115" t="n">
        <v>36</v>
      </c>
      <c r="C40" s="115" t="inlineStr">
        <is>
          <t>Sí</t>
        </is>
      </c>
      <c r="D40" s="115" t="inlineStr">
        <is>
          <t>Sí</t>
        </is>
      </c>
      <c r="E40" s="160" t="n"/>
    </row>
    <row r="41" ht="15" customHeight="1" s="81">
      <c r="A41" s="132" t="inlineStr">
        <is>
          <t>TA</t>
        </is>
      </c>
      <c r="B41" s="115" t="n">
        <v>14</v>
      </c>
      <c r="C41" s="115" t="inlineStr">
        <is>
          <t>No</t>
        </is>
      </c>
      <c r="D41" s="115" t="inlineStr">
        <is>
          <t>No</t>
        </is>
      </c>
      <c r="E41" s="160" t="n"/>
    </row>
    <row r="42" ht="15" customHeight="1" s="81">
      <c r="A42" s="132" t="inlineStr">
        <is>
          <t>TB</t>
        </is>
      </c>
      <c r="B42" s="115" t="n">
        <v>28</v>
      </c>
      <c r="C42" s="115" t="inlineStr">
        <is>
          <t>No</t>
        </is>
      </c>
      <c r="D42" s="115" t="inlineStr">
        <is>
          <t>Abst</t>
        </is>
      </c>
      <c r="E42" s="160" t="n"/>
    </row>
    <row r="43" ht="15" customHeight="1" s="81">
      <c r="A43" s="161" t="inlineStr">
        <is>
          <t>총 의석</t>
        </is>
      </c>
      <c r="B43" s="162">
        <f>SUM(B37:B42)</f>
        <v/>
      </c>
      <c r="C43" s="162" t="n"/>
      <c r="D43" s="162" t="n"/>
      <c r="E43" s="162">
        <f>IF(B43=350,"350석 OK","350석과 불일치")</f>
        <v/>
      </c>
    </row>
    <row r="44" ht="15" customHeight="1" s="81">
      <c r="A44" s="161" t="inlineStr">
        <is>
          <t>절대다수 (과반)</t>
        </is>
      </c>
      <c r="B44" s="162">
        <f>INT(B43/2)+1</f>
        <v/>
      </c>
      <c r="C44" s="162" t="n"/>
      <c r="D44" s="162" t="n"/>
      <c r="E44" s="162" t="n"/>
    </row>
    <row r="45" ht="15" customHeight="1" s="81">
      <c r="A45" s="161" t="inlineStr">
        <is>
          <t>찬성 (Sí)</t>
        </is>
      </c>
      <c r="B45" s="162" t="n"/>
      <c r="C45" s="162">
        <f>SUMIF(C37:C42,"Sí",$B$37:$B$42)</f>
        <v/>
      </c>
      <c r="D45" s="162">
        <f>SUMIF(D37:D42,"Sí",$B$37:$B$42)</f>
        <v/>
      </c>
      <c r="E45" s="162" t="n"/>
    </row>
    <row r="46" ht="15" customHeight="1" s="81">
      <c r="A46" s="161" t="inlineStr">
        <is>
          <t>반대 (No)</t>
        </is>
      </c>
      <c r="B46" s="162" t="n"/>
      <c r="C46" s="162">
        <f>SUMIF(C37:C42,"No",$B$37:$B$42)</f>
        <v/>
      </c>
      <c r="D46" s="162">
        <f>SUMIF(D37:D42,"No",$B$37:$B$42)</f>
        <v/>
      </c>
      <c r="E46" s="162" t="n"/>
    </row>
    <row r="47" ht="15" customHeight="1" s="81">
      <c r="A47" s="161" t="inlineStr">
        <is>
          <t>기권 (Abst)</t>
        </is>
      </c>
      <c r="B47" s="162" t="n"/>
      <c r="C47" s="162">
        <f>SUMIF(C37:C42,"Abst",$B$37:$B$42)</f>
        <v/>
      </c>
      <c r="D47" s="162">
        <f>SUMIF(D37:D42,"Abst",$B$37:$B$42)</f>
        <v/>
      </c>
      <c r="E47" s="162" t="n"/>
    </row>
    <row r="48" ht="29.25" customHeight="1" s="81">
      <c r="A48" s="161" t="inlineStr">
        <is>
          <t>결과</t>
        </is>
      </c>
      <c r="B48" s="162" t="n"/>
      <c r="C48" s="162">
        <f>IF(C45&gt;=$B$44,"통과","부결")</f>
        <v/>
      </c>
      <c r="D48" s="162">
        <f>IF(D45&gt;D46,"통과","부결")</f>
        <v/>
      </c>
      <c r="E48" s="162" t="inlineStr">
        <is>
          <t>1차: 찬성 ≥ 절대다수 / 2차: 찬성 &gt; 반대</t>
        </is>
      </c>
    </row>
    <row r="49" ht="15" customHeight="1" s="81">
      <c r="A49" s="163" t="inlineStr">
        <is>
          <t>1차 부족 표</t>
        </is>
      </c>
      <c r="B49" s="162" t="n"/>
      <c r="C49" s="162">
        <f>MAX($B$44-C45,0)</f>
        <v/>
      </c>
      <c r="D49" s="162" t="inlineStr">
        <is>
          <t>—</t>
        </is>
      </c>
      <c r="E49" s="162" t="n"/>
    </row>
    <row r="50" ht="16.5" customHeight="1" s="81">
      <c r="A50" s="147" t="inlineStr">
        <is>
          <t>해석: UCN 후보는 154표에 그쳐 1차 부결. 2차도 찬성 154 &lt; 반대 168로 부결. 이후 다른 후보도 성공하지 못하면 첫 표결 후 2개월에 자동 해산(제99조 5항).</t>
        </is>
      </c>
    </row>
    <row r="52" ht="18" customHeight="1" s="81">
      <c r="A52" s="102" t="inlineStr">
        <is>
          <t>3-B. 재선거 결과와 Mateo investidura (가상, 10부 12화)</t>
        </is>
      </c>
      <c r="B52" s="85" t="n"/>
      <c r="C52" s="85" t="n"/>
      <c r="D52" s="85" t="n"/>
      <c r="E52" s="85" t="n"/>
      <c r="F52" s="85" t="n"/>
    </row>
    <row r="53" ht="31.5" customHeight="1" s="81">
      <c r="A53" s="103" t="inlineStr">
        <is>
          <t>정당</t>
        </is>
      </c>
      <c r="B53" s="103" t="inlineStr">
        <is>
          <t>의석</t>
        </is>
      </c>
      <c r="C53" s="110" t="inlineStr">
        <is>
          <t>1차 표결 (절대다수)</t>
        </is>
      </c>
      <c r="D53" s="110" t="inlineStr">
        <is>
          <t>2차 표결 (단순다수, 48시간 후)</t>
        </is>
      </c>
      <c r="E53" s="103" t="inlineStr">
        <is>
          <t>비고</t>
        </is>
      </c>
    </row>
    <row r="54" ht="15" customHeight="1" s="81">
      <c r="A54" s="132" t="inlineStr">
        <is>
          <t>CC</t>
        </is>
      </c>
      <c r="B54" s="115" t="n">
        <v>112</v>
      </c>
      <c r="C54" s="115" t="inlineStr">
        <is>
          <t>Sí</t>
        </is>
      </c>
      <c r="D54" s="115" t="inlineStr">
        <is>
          <t>Sí</t>
        </is>
      </c>
      <c r="E54" s="160" t="n"/>
    </row>
    <row r="55" ht="15" customHeight="1" s="81">
      <c r="A55" s="132" t="inlineStr">
        <is>
          <t>UCN</t>
        </is>
      </c>
      <c r="B55" s="115" t="n">
        <v>108</v>
      </c>
      <c r="C55" s="115" t="inlineStr">
        <is>
          <t>No</t>
        </is>
      </c>
      <c r="D55" s="115" t="inlineStr">
        <is>
          <t>No</t>
        </is>
      </c>
      <c r="E55" s="160" t="n"/>
    </row>
    <row r="56" ht="15" customHeight="1" s="81">
      <c r="A56" s="132" t="inlineStr">
        <is>
          <t>PPS</t>
        </is>
      </c>
      <c r="B56" s="115" t="n">
        <v>45</v>
      </c>
      <c r="C56" s="115" t="inlineStr">
        <is>
          <t>Sí</t>
        </is>
      </c>
      <c r="D56" s="115" t="inlineStr">
        <is>
          <t>Sí</t>
        </is>
      </c>
      <c r="E56" s="160" t="n"/>
    </row>
    <row r="57" ht="15" customHeight="1" s="81">
      <c r="A57" s="132" t="inlineStr">
        <is>
          <t>HU</t>
        </is>
      </c>
      <c r="B57" s="115" t="n">
        <v>34</v>
      </c>
      <c r="C57" s="115" t="inlineStr">
        <is>
          <t>No</t>
        </is>
      </c>
      <c r="D57" s="115" t="inlineStr">
        <is>
          <t>No</t>
        </is>
      </c>
      <c r="E57" s="160" t="n"/>
    </row>
    <row r="58" ht="15" customHeight="1" s="81">
      <c r="A58" s="132" t="inlineStr">
        <is>
          <t>TA</t>
        </is>
      </c>
      <c r="B58" s="115" t="n">
        <v>18</v>
      </c>
      <c r="C58" s="115" t="inlineStr">
        <is>
          <t>Sí</t>
        </is>
      </c>
      <c r="D58" s="115" t="inlineStr">
        <is>
          <t>Sí</t>
        </is>
      </c>
      <c r="E58" s="160" t="n"/>
    </row>
    <row r="59" ht="15" customHeight="1" s="81">
      <c r="A59" s="132" t="inlineStr">
        <is>
          <t>TB</t>
        </is>
      </c>
      <c r="B59" s="115" t="n">
        <v>33</v>
      </c>
      <c r="C59" s="115" t="inlineStr">
        <is>
          <t>No</t>
        </is>
      </c>
      <c r="D59" s="115" t="inlineStr">
        <is>
          <t>Abst</t>
        </is>
      </c>
      <c r="E59" s="160" t="n"/>
    </row>
    <row r="60" ht="15" customHeight="1" s="81">
      <c r="A60" s="161" t="inlineStr">
        <is>
          <t>총 의석</t>
        </is>
      </c>
      <c r="B60" s="162">
        <f>SUM(B54:B59)</f>
        <v/>
      </c>
      <c r="C60" s="162" t="n"/>
      <c r="D60" s="162" t="n"/>
      <c r="E60" s="162">
        <f>IF(B60=350,"350석 OK","350석과 불일치")</f>
        <v/>
      </c>
    </row>
    <row r="61" ht="15" customHeight="1" s="81">
      <c r="A61" s="161" t="inlineStr">
        <is>
          <t>절대다수 (과반)</t>
        </is>
      </c>
      <c r="B61" s="162">
        <f>INT(B60/2)+1</f>
        <v/>
      </c>
      <c r="C61" s="162" t="n"/>
      <c r="D61" s="162" t="n"/>
      <c r="E61" s="162" t="n"/>
    </row>
    <row r="62" ht="15" customHeight="1" s="81">
      <c r="A62" s="161" t="inlineStr">
        <is>
          <t>찬성 (Sí)</t>
        </is>
      </c>
      <c r="B62" s="162" t="n"/>
      <c r="C62" s="162">
        <f>SUMIF(C54:C59,"Sí",$B$54:$B$59)</f>
        <v/>
      </c>
      <c r="D62" s="162">
        <f>SUMIF(D54:D59,"Sí",$B$54:$B$59)</f>
        <v/>
      </c>
      <c r="E62" s="162" t="n"/>
    </row>
    <row r="63" ht="15" customHeight="1" s="81">
      <c r="A63" s="161" t="inlineStr">
        <is>
          <t>반대 (No)</t>
        </is>
      </c>
      <c r="B63" s="162" t="n"/>
      <c r="C63" s="162">
        <f>SUMIF(C54:C59,"No",$B$54:$B$59)</f>
        <v/>
      </c>
      <c r="D63" s="162">
        <f>SUMIF(D54:D59,"No",$B$54:$B$59)</f>
        <v/>
      </c>
      <c r="E63" s="162" t="n"/>
    </row>
    <row r="64" ht="15" customHeight="1" s="81">
      <c r="A64" s="161" t="inlineStr">
        <is>
          <t>기권 (Abst)</t>
        </is>
      </c>
      <c r="B64" s="162" t="n"/>
      <c r="C64" s="162">
        <f>SUMIF(C54:C59,"Abst",$B$54:$B$59)</f>
        <v/>
      </c>
      <c r="D64" s="162">
        <f>SUMIF(D54:D59,"Abst",$B$54:$B$59)</f>
        <v/>
      </c>
      <c r="E64" s="162" t="n"/>
    </row>
    <row r="65" ht="29.25" customHeight="1" s="81">
      <c r="A65" s="161" t="inlineStr">
        <is>
          <t>결과</t>
        </is>
      </c>
      <c r="B65" s="162" t="n"/>
      <c r="C65" s="162">
        <f>IF(C62&gt;=$B$61,"통과","부결")</f>
        <v/>
      </c>
      <c r="D65" s="162">
        <f>IF(D62&gt;D63,"통과","부결")</f>
        <v/>
      </c>
      <c r="E65" s="162" t="inlineStr">
        <is>
          <t>1차: 찬성 ≥ 절대다수 / 2차: 찬성 &gt; 반대</t>
        </is>
      </c>
    </row>
    <row r="66" ht="15" customHeight="1" s="81">
      <c r="A66" s="163" t="inlineStr">
        <is>
          <t>1차 부족 표</t>
        </is>
      </c>
      <c r="B66" s="162" t="n"/>
      <c r="C66" s="162">
        <f>MAX($B$61-C62,0)</f>
        <v/>
      </c>
      <c r="D66" s="162" t="inlineStr">
        <is>
          <t>—</t>
        </is>
      </c>
      <c r="E66" s="162" t="n"/>
    </row>
    <row r="67" ht="29.25" customHeight="1" s="81">
      <c r="A67" s="147" t="inlineStr">
        <is>
          <t>해석: 1차는 찬성 175표로 절대다수 176에 딱 1표 부족해 부결. TB가 반대에서 기권으로 돌아서는 협상이 끝나면 2차는 찬성 175 &gt; 반대 142로 통과. 실제 사례(2020년 1월): 1차 166:165:18 부결 → 2차 167:165:18 통과 — 같은 구조 (검색 확인).</t>
        </is>
      </c>
    </row>
    <row r="69" ht="18" customHeight="1" s="81">
      <c r="A69" s="102" t="inlineStr">
        <is>
          <t>3-C. 야당의 건설적 불신임안 (가상, 11부 10화)</t>
        </is>
      </c>
      <c r="B69" s="85" t="n"/>
      <c r="C69" s="85" t="n"/>
      <c r="D69" s="85" t="n"/>
      <c r="E69" s="85" t="n"/>
      <c r="F69" s="85" t="n"/>
    </row>
    <row r="70" ht="31.5" customHeight="1" s="81">
      <c r="A70" s="103" t="inlineStr">
        <is>
          <t>정당</t>
        </is>
      </c>
      <c r="B70" s="103" t="inlineStr">
        <is>
          <t>의석</t>
        </is>
      </c>
      <c r="C70" s="103" t="inlineStr">
        <is>
          <t>불신임안 표결</t>
        </is>
      </c>
      <c r="D70" s="103" t="n"/>
      <c r="E70" s="103" t="inlineStr">
        <is>
          <t>비고</t>
        </is>
      </c>
    </row>
    <row r="71" ht="15" customHeight="1" s="81">
      <c r="A71" s="132" t="inlineStr">
        <is>
          <t>UCN</t>
        </is>
      </c>
      <c r="B71" s="115" t="n">
        <v>108</v>
      </c>
      <c r="C71" s="115" t="inlineStr">
        <is>
          <t>Sí</t>
        </is>
      </c>
      <c r="D71" s="160" t="n"/>
      <c r="E71" s="160" t="n"/>
    </row>
    <row r="72" ht="15" customHeight="1" s="81">
      <c r="A72" s="132" t="inlineStr">
        <is>
          <t>HU</t>
        </is>
      </c>
      <c r="B72" s="115" t="n">
        <v>34</v>
      </c>
      <c r="C72" s="115" t="inlineStr">
        <is>
          <t>Sí</t>
        </is>
      </c>
      <c r="D72" s="160" t="n"/>
      <c r="E72" s="160" t="n"/>
    </row>
    <row r="73" ht="15" customHeight="1" s="81">
      <c r="A73" s="132" t="inlineStr">
        <is>
          <t>TB</t>
        </is>
      </c>
      <c r="B73" s="115" t="n">
        <v>33</v>
      </c>
      <c r="C73" s="115" t="inlineStr">
        <is>
          <t>Abst</t>
        </is>
      </c>
      <c r="D73" s="160" t="n"/>
      <c r="E73" s="160" t="n"/>
    </row>
    <row r="74" ht="15" customHeight="1" s="81">
      <c r="A74" s="132" t="inlineStr">
        <is>
          <t>CC</t>
        </is>
      </c>
      <c r="B74" s="115" t="n">
        <v>112</v>
      </c>
      <c r="C74" s="115" t="inlineStr">
        <is>
          <t>No</t>
        </is>
      </c>
      <c r="D74" s="160" t="n"/>
      <c r="E74" s="160" t="n"/>
    </row>
    <row r="75" ht="15" customHeight="1" s="81">
      <c r="A75" s="132" t="inlineStr">
        <is>
          <t>PPS</t>
        </is>
      </c>
      <c r="B75" s="115" t="n">
        <v>45</v>
      </c>
      <c r="C75" s="115" t="inlineStr">
        <is>
          <t>No</t>
        </is>
      </c>
      <c r="D75" s="160" t="n"/>
      <c r="E75" s="160" t="n"/>
    </row>
    <row r="76" ht="15" customHeight="1" s="81">
      <c r="A76" s="132" t="inlineStr">
        <is>
          <t>TA</t>
        </is>
      </c>
      <c r="B76" s="115" t="n">
        <v>18</v>
      </c>
      <c r="C76" s="115" t="inlineStr">
        <is>
          <t>No</t>
        </is>
      </c>
      <c r="D76" s="160" t="n"/>
      <c r="E76" s="160" t="n"/>
    </row>
    <row r="77" ht="15" customHeight="1" s="81">
      <c r="A77" s="161" t="inlineStr">
        <is>
          <t>총 의석</t>
        </is>
      </c>
      <c r="B77" s="162">
        <f>SUM(B71:B76)</f>
        <v/>
      </c>
      <c r="C77" s="162" t="n"/>
      <c r="D77" s="162" t="n"/>
      <c r="E77" s="162">
        <f>IF(B77=350,"350석 OK","350석과 불일치")</f>
        <v/>
      </c>
    </row>
    <row r="78" ht="15" customHeight="1" s="81">
      <c r="A78" s="161" t="inlineStr">
        <is>
          <t>절대다수 (과반)</t>
        </is>
      </c>
      <c r="B78" s="162">
        <f>INT(B77/2)+1</f>
        <v/>
      </c>
      <c r="C78" s="162" t="n"/>
      <c r="D78" s="162" t="n"/>
      <c r="E78" s="162" t="n"/>
    </row>
    <row r="79" ht="15" customHeight="1" s="81">
      <c r="A79" s="161" t="inlineStr">
        <is>
          <t>찬성 (Sí)</t>
        </is>
      </c>
      <c r="B79" s="162" t="n"/>
      <c r="C79" s="162">
        <f>SUMIF(C71:C76,"Sí",$B$71:$B$76)</f>
        <v/>
      </c>
      <c r="D79" s="162" t="n"/>
      <c r="E79" s="162" t="n"/>
    </row>
    <row r="80" ht="15" customHeight="1" s="81">
      <c r="A80" s="161" t="inlineStr">
        <is>
          <t>반대 (No)</t>
        </is>
      </c>
      <c r="B80" s="162" t="n"/>
      <c r="C80" s="162">
        <f>SUMIF(C71:C76,"No",$B$71:$B$76)</f>
        <v/>
      </c>
      <c r="D80" s="162" t="n"/>
      <c r="E80" s="162" t="n"/>
    </row>
    <row r="81" ht="15" customHeight="1" s="81">
      <c r="A81" s="161" t="inlineStr">
        <is>
          <t>기권 (Abst)</t>
        </is>
      </c>
      <c r="B81" s="162" t="n"/>
      <c r="C81" s="162">
        <f>SUMIF(C71:C76,"Abst",$B$71:$B$76)</f>
        <v/>
      </c>
      <c r="D81" s="162" t="n"/>
      <c r="E81" s="162" t="n"/>
    </row>
    <row r="82" ht="15" customHeight="1" s="81">
      <c r="A82" s="161" t="inlineStr">
        <is>
          <t>결과</t>
        </is>
      </c>
      <c r="B82" s="162" t="n"/>
      <c r="C82" s="162">
        <f>IF(C79&gt;=$B$78,"가결","부결")</f>
        <v/>
      </c>
      <c r="D82" s="162" t="n"/>
      <c r="E82" s="162" t="n"/>
    </row>
    <row r="83" ht="15" customHeight="1" s="81">
      <c r="A83" s="161" t="inlineStr">
        <is>
          <t>부족 표</t>
        </is>
      </c>
      <c r="B83" s="162" t="n"/>
      <c r="C83" s="162">
        <f>MAX($B$78-C79,0)</f>
        <v/>
      </c>
      <c r="D83" s="162" t="n"/>
      <c r="E83" s="162" t="n"/>
    </row>
    <row r="84" ht="15" customHeight="1" s="81">
      <c r="A84" s="161" t="inlineStr">
        <is>
          <t>발의 필요 서명 (1/10)</t>
        </is>
      </c>
      <c r="B84" s="162" t="n"/>
      <c r="C84" s="162">
        <f>ROUNDUP(B77/10,0)</f>
        <v/>
      </c>
      <c r="D84" s="162" t="n"/>
      <c r="E84" s="162">
        <f>IF(B71&gt;=C84,"제안 정당 의석 충족","미달")</f>
        <v/>
      </c>
    </row>
    <row r="85" ht="29.25" customHeight="1" s="81">
      <c r="A85" s="147" t="inlineStr">
        <is>
          <t>해석: 발의 요건(35명)은 UCN 단독으로 충족하지만, 대안 후보에 필요한 절대다수 176에 크게 못 미쳐 부결. 불신임안이 부결되면 서명자는 같은 회기에 다시 발의할 수 없다. PPS가 돌아서면 가결도 가능하다는 긴장이 이 화의 서스펜스.</t>
        </is>
      </c>
    </row>
    <row r="87" ht="18" customHeight="1" s="81">
      <c r="A87" s="102" t="inlineStr">
        <is>
          <t>4. 이야기 속 엑스트라 화자 (전부 가상)</t>
        </is>
      </c>
      <c r="B87" s="85" t="n"/>
      <c r="C87" s="85" t="n"/>
      <c r="D87" s="85" t="n"/>
      <c r="E87" s="85" t="n"/>
      <c r="F87" s="85" t="n"/>
    </row>
    <row r="88" ht="29.25" customHeight="1" s="81">
      <c r="A88" s="122" t="inlineStr">
        <is>
          <t>PRESIDENTA DEL CONGRESO(투표 결과를 낭독), ALCALDE / ALCALDESA(UCN, 가상), PRESIDENTE DEL GOBIERNO SALIENTE(UCN, 가상), MODERADORA(TV 토론), NOTARIA(12부 유언장). 국왕은 직접 대사를 주지 않고, 공식 절차 문구는 하원의장 대사로 전달한다. 실존 정치인·정당명은 쓰지 않는다. 9부 추가: NEGOCIADORA(PPS 협상 대표), SECRETARIO(시의회 사무총장), 시의회 ALCALDE(UCN, 무명).</t>
        </is>
      </c>
    </row>
    <row r="90" ht="18" customHeight="1" s="81">
      <c r="A90" s="106" t="inlineStr">
        <is>
          <t>3-D. 마드리드 시의회 결과와 알칼데 표결 (가상, 8부 12화·9부 1화)</t>
        </is>
      </c>
    </row>
    <row r="91" ht="31.5" customHeight="1" s="81">
      <c r="A91" s="107" t="inlineStr">
        <is>
          <t>정당</t>
        </is>
      </c>
      <c r="B91" s="107" t="inlineStr">
        <is>
          <t>의석</t>
        </is>
      </c>
      <c r="C91" s="164" t="inlineStr">
        <is>
          <t>알칼데 표결 (9부 1화)</t>
        </is>
      </c>
      <c r="D91" s="164" t="inlineStr">
        <is>
          <t>비고</t>
        </is>
      </c>
    </row>
    <row r="92" ht="15" customHeight="1" s="81">
      <c r="A92" s="165" t="inlineStr">
        <is>
          <t>UCN</t>
        </is>
      </c>
      <c r="B92" s="166" t="n">
        <v>23</v>
      </c>
      <c r="C92" s="166" t="inlineStr">
        <is>
          <t>UCN 1번</t>
        </is>
      </c>
      <c r="D92" s="166" t="inlineStr">
        <is>
          <t>HU와 합쳐 28</t>
        </is>
      </c>
    </row>
    <row r="93" ht="15" customHeight="1" s="81">
      <c r="A93" s="165" t="inlineStr">
        <is>
          <t>PPS</t>
        </is>
      </c>
      <c r="B93" s="166" t="n">
        <v>19</v>
      </c>
      <c r="C93" s="166" t="inlineStr">
        <is>
          <t>Iriarte</t>
        </is>
      </c>
      <c r="D93" s="166" t="inlineStr"/>
    </row>
    <row r="94" ht="15" customHeight="1" s="81">
      <c r="A94" s="165" t="inlineStr">
        <is>
          <t>CC</t>
        </is>
      </c>
      <c r="B94" s="166" t="n">
        <v>9</v>
      </c>
      <c r="C94" s="166" t="inlineStr">
        <is>
          <t>Sofía</t>
        </is>
      </c>
      <c r="D94" s="166" t="inlineStr">
        <is>
          <t>PPS 제안 거절(당원 84%)</t>
        </is>
      </c>
    </row>
    <row r="95" ht="15" customHeight="1" s="81">
      <c r="A95" s="165" t="inlineStr">
        <is>
          <t>HU</t>
        </is>
      </c>
      <c r="B95" s="166" t="n">
        <v>5</v>
      </c>
      <c r="C95" s="166" t="inlineStr">
        <is>
          <t>UCN 1번</t>
        </is>
      </c>
      <c r="D95" s="166" t="inlineStr"/>
    </row>
    <row r="96" ht="15" customHeight="1" s="81">
      <c r="A96" s="165" t="inlineStr">
        <is>
          <t>PV</t>
        </is>
      </c>
      <c r="B96" s="166" t="n">
        <v>1</v>
      </c>
      <c r="C96" s="166" t="inlineStr">
        <is>
          <t>Blanco</t>
        </is>
      </c>
      <c r="D96" s="166" t="inlineStr"/>
    </row>
    <row r="97" ht="15" customHeight="1" s="81">
      <c r="A97" s="167" t="inlineStr">
        <is>
          <t>총 의석</t>
        </is>
      </c>
      <c r="B97" s="168">
        <f>SUM(B92:B96)</f>
        <v/>
      </c>
      <c r="C97" s="168">
        <f>IF(B97=57,"57석 OK","57석과 불일치")</f>
        <v/>
      </c>
    </row>
    <row r="98" ht="15" customHeight="1" s="81">
      <c r="A98" s="167" t="inlineStr">
        <is>
          <t>절대다수 (과반)</t>
        </is>
      </c>
      <c r="B98" s="168">
        <f>INT(B97/2)+1</f>
        <v/>
      </c>
    </row>
    <row r="99" ht="15" customHeight="1" s="81">
      <c r="A99" s="167" t="inlineStr">
        <is>
          <t>UCN 1번 득표</t>
        </is>
      </c>
      <c r="B99" s="168">
        <f>SUMIF(C92:C96,"UCN 1번",B92:B96)</f>
        <v/>
      </c>
      <c r="C99" s="168">
        <f>IF(B99&gt;=B98,"과반 당선","과반 미달 → 최다득표 명부 1번 자동 (LOREG 196)")</f>
        <v/>
      </c>
    </row>
    <row r="100" ht="15" customHeight="1" s="81">
      <c r="A100" s="167" t="inlineStr">
        <is>
          <t>PPS+CC+PV (제안이 성사됐다면)</t>
        </is>
      </c>
      <c r="B100" s="168">
        <f>B93+B94+B96</f>
        <v/>
      </c>
      <c r="C100" s="168">
        <f>IF(B100&gt;=B98,"Iriarte 과반","미달")</f>
        <v/>
      </c>
    </row>
    <row r="101" ht="16.5" customHeight="1" s="81">
      <c r="A101" s="169" t="inlineStr">
        <is>
          <t>해석: PPS·CC·PV가 합치면 정확히 29표였지만 CC가 대가 있는 제안을 거절했고, 어느 후보도 29표에 못 미쳐 최다득표 명부(UCN) 1번이 자동 취임. 자치의회에서는 CC 11석(다른 당 의석은 미정).</t>
        </is>
      </c>
    </row>
  </sheetData>
  <mergeCells count="5">
    <mergeCell ref="A85:F85"/>
    <mergeCell ref="A67:F67"/>
    <mergeCell ref="A88:F88"/>
    <mergeCell ref="A50:F50"/>
    <mergeCell ref="A101:F10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4.xml><?xml version="1.0" encoding="utf-8"?>
<worksheet xmlns="http://schemas.openxmlformats.org/spreadsheetml/2006/main">
  <sheetPr filterMode="0">
    <tabColor rgb="FF548235"/>
    <outlinePr summaryBelow="1" summaryRight="1"/>
    <pageSetUpPr fitToPage="1"/>
  </sheetPr>
  <dimension ref="A1:E3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80" min="1" max="1"/>
    <col width="22" customWidth="1" style="80" min="2" max="2"/>
    <col width="26" customWidth="1" style="80" min="3" max="3"/>
    <col width="34" customWidth="1" style="80" min="4" max="4"/>
    <col width="52" customWidth="1" style="80" min="5" max="5"/>
  </cols>
  <sheetData>
    <row r="1" ht="24" customHeight="1" s="81">
      <c r="A1" s="101" t="inlineStr">
        <is>
          <t>호칭 규칙 (tú / usted / vosotros / ustedes)</t>
        </is>
      </c>
    </row>
    <row r="2" ht="15" customHeight="1" s="81">
      <c r="A2" s="100" t="inlineStr">
        <is>
          <t>스페인 본토 스페인어 기준. 라틴아메리카식 ustedes는 공식 석상에서만 사용. 2~5부 '사무소 프레임 장면'은 1부와 같은 규칙을 따른다.</t>
        </is>
      </c>
    </row>
    <row r="4" ht="19.5" customHeight="1" s="81">
      <c r="A4" s="103" t="inlineStr">
        <is>
          <t>화자 → 청자</t>
        </is>
      </c>
      <c r="B4" s="110" t="inlineStr">
        <is>
          <t>1부 (현재)</t>
        </is>
      </c>
      <c r="C4" s="110" t="inlineStr">
        <is>
          <t>2~5부 (각자의 과거)</t>
        </is>
      </c>
      <c r="D4" s="110" t="inlineStr">
        <is>
          <t>6부 이후</t>
        </is>
      </c>
      <c r="E4" s="103" t="inlineStr">
        <is>
          <t>비고</t>
        </is>
      </c>
    </row>
    <row r="5" ht="29.25" customHeight="1" s="81">
      <c r="A5" s="86" t="inlineStr">
        <is>
          <t>주력 4인 상호</t>
        </is>
      </c>
      <c r="B5" s="88" t="inlineStr">
        <is>
          <t>tú</t>
        </is>
      </c>
      <c r="C5" s="88" t="inlineStr">
        <is>
          <t>usted (만나기 전이라)</t>
        </is>
      </c>
      <c r="D5" s="88" t="inlineStr">
        <is>
          <t>tú</t>
        </is>
      </c>
      <c r="E5" s="88" t="inlineStr">
        <is>
          <t>6부 만남을 기점으로 전환 — 전환 순간을 대사로 드러낼 것</t>
        </is>
      </c>
    </row>
    <row r="6" ht="16.5" customHeight="1" s="81">
      <c r="A6" s="86" t="inlineStr">
        <is>
          <t>주력 4인 → Carmen</t>
        </is>
      </c>
      <c r="B6" s="88" t="inlineStr">
        <is>
          <t>tú</t>
        </is>
      </c>
      <c r="C6" s="88" t="inlineStr">
        <is>
          <t>tú (프레임 장면)</t>
        </is>
      </c>
      <c r="D6" s="88" t="inlineStr">
        <is>
          <t>tú</t>
        </is>
      </c>
      <c r="E6" s="88" t="inlineStr">
        <is>
          <t>Diego만 예외: 5부 1화~5화 중반까지 Carmen에게 usted를 썼고(1화 대본 기준), 5부 5화에서 말실수로 tú가 나온 뒤 Carmen이 «Tutéeme, si quiere.»라고 허락해 이후 tú. Carmen은 계속 usted.</t>
        </is>
      </c>
    </row>
    <row r="7" ht="42" customHeight="1" s="81">
      <c r="A7" s="91" t="inlineStr">
        <is>
          <t>Carmen → 주력 4인</t>
        </is>
      </c>
      <c r="B7" s="88" t="inlineStr">
        <is>
          <t>usted</t>
        </is>
      </c>
      <c r="C7" s="88" t="inlineStr">
        <is>
          <t>usted (프레임 장면)</t>
        </is>
      </c>
      <c r="D7" s="88" t="inlineStr">
        <is>
          <t>tú (제안)</t>
        </is>
      </c>
      <c r="E7" s="88" t="inlineStr">
        <is>
          <t>6부에서는 이웃 사이라 tú, 인턴이 되면서(1부) usted로 바뀐다 — 1부 1화 대본에서 «En Vallecas me hablabas de tú.»로 대사 설명. 이후 tú로 돌아갈 시점은 미확정</t>
        </is>
      </c>
    </row>
    <row r="8" ht="54.75" customHeight="1" s="81">
      <c r="A8" s="91" t="inlineStr">
        <is>
          <t>Carmen → Anselmo</t>
        </is>
      </c>
      <c r="B8" s="88" t="inlineStr">
        <is>
          <t>usted</t>
        </is>
      </c>
      <c r="C8" s="88" t="inlineStr">
        <is>
          <t>usted</t>
        </is>
      </c>
      <c r="D8" s="88" t="inlineStr">
        <is>
          <t>usted 유지 → 11부 7화 조사에서 처음 tú</t>
        </is>
      </c>
      <c r="E8" s="88" t="inlineStr">
        <is>
          <t>7부에서 Anselmo가 «Puede tutearme.»라고 허락해도 Carmen은 습관 때문에 끝내 usted. 폭발 중에도 usted (예: «¡Usted, precisamente usted, no me llame mentecata!»). 폭발 중 tú 실수 금지 — 장례식 전환의 복선.</t>
        </is>
      </c>
    </row>
    <row r="9" ht="16.5" customHeight="1" s="81">
      <c r="A9" s="91" t="inlineStr">
        <is>
          <t>Carmen → Ramón, Gonzalo</t>
        </is>
      </c>
      <c r="B9" s="88" t="inlineStr">
        <is>
          <t>usted</t>
        </is>
      </c>
      <c r="C9" s="89" t="inlineStr">
        <is>
          <t>해당 없음</t>
        </is>
      </c>
      <c r="D9" s="88" t="inlineStr">
        <is>
          <t>usted (전환 시점 미정)</t>
        </is>
      </c>
      <c r="E9" s="88" t="n"/>
    </row>
    <row r="10" ht="16.5" customHeight="1" s="81">
      <c r="A10" s="91" t="inlineStr">
        <is>
          <t>Anselmo → Carmen</t>
        </is>
      </c>
      <c r="B10" s="88" t="inlineStr">
        <is>
          <t>tú («muchacha»)</t>
        </is>
      </c>
      <c r="C10" s="89" t="inlineStr">
        <is>
          <t>해당 없음</t>
        </is>
      </c>
      <c r="D10" s="88" t="inlineStr">
        <is>
          <t>tú</t>
        </is>
      </c>
      <c r="E10" s="89" t="inlineStr">
        <is>
          <t>처음부터 tú — 욕(mentecata)도 Carmen에게만</t>
        </is>
      </c>
    </row>
    <row r="11" ht="29.25" customHeight="1" s="81">
      <c r="A11" s="91" t="inlineStr">
        <is>
          <t>Anselmo → 여럿(집단)</t>
        </is>
      </c>
      <c r="B11" s="88" t="inlineStr">
        <is>
          <t>ustedes</t>
        </is>
      </c>
      <c r="C11" s="88" t="inlineStr">
        <is>
          <t>ustedes</t>
        </is>
      </c>
      <c r="D11" s="88" t="inlineStr">
        <is>
          <t>ustedes</t>
        </is>
      </c>
      <c r="E11" s="89" t="inlineStr">
        <is>
          <t>사무소 안에서도 일부러 거리를 두는 심술. 다른 인물의 vosotros와 비교 학습</t>
        </is>
      </c>
    </row>
    <row r="12" ht="16.5" customHeight="1" s="81">
      <c r="A12" s="91" t="inlineStr">
        <is>
          <t>Anselmo → 개인 (Carmen 외)</t>
        </is>
      </c>
      <c r="B12" s="88" t="inlineStr">
        <is>
          <t>usted</t>
        </is>
      </c>
      <c r="C12" s="88" t="inlineStr">
        <is>
          <t>usted</t>
        </is>
      </c>
      <c r="D12" s="89" t="inlineStr">
        <is>
          <t>소수에게만 tú</t>
        </is>
      </c>
      <c r="E12" s="88" t="n"/>
    </row>
    <row r="13" ht="16.5" customHeight="1" s="81">
      <c r="A13" s="91" t="inlineStr">
        <is>
          <t>Ramón → 후배들</t>
        </is>
      </c>
      <c r="B13" s="88" t="inlineStr">
        <is>
          <t>tú (명령조)</t>
        </is>
      </c>
      <c r="C13" s="88" t="inlineStr">
        <is>
          <t>tú / usted 혼용</t>
        </is>
      </c>
      <c r="D13" s="89" t="inlineStr">
        <is>
          <t>정치 무대에서는 usted</t>
        </is>
      </c>
      <c r="E13" s="88" t="n"/>
    </row>
    <row r="14" ht="16.5" customHeight="1" s="81">
      <c r="A14" s="91" t="inlineStr">
        <is>
          <t>Raimundo → 전원</t>
        </is>
      </c>
      <c r="B14" s="88" t="inlineStr">
        <is>
          <t>tú</t>
        </is>
      </c>
      <c r="C14" s="88" t="inlineStr">
        <is>
          <t>tú</t>
        </is>
      </c>
      <c r="D14" s="88" t="inlineStr">
        <is>
          <t>tú</t>
        </is>
      </c>
      <c r="E14" s="89" t="inlineStr">
        <is>
          <t>모두에게 tú — 그래서 더 위협적. «Búscalo tú.»</t>
        </is>
      </c>
    </row>
    <row r="15" ht="16.5" customHeight="1" s="81">
      <c r="A15" s="91" t="inlineStr">
        <is>
          <t>Pepa, Nieves → 전원</t>
        </is>
      </c>
      <c r="B15" s="88" t="inlineStr">
        <is>
          <t>tú</t>
        </is>
      </c>
      <c r="C15" s="88" t="inlineStr">
        <is>
          <t>tú</t>
        </is>
      </c>
      <c r="D15" s="88" t="inlineStr">
        <is>
          <t>tú</t>
        </is>
      </c>
      <c r="E15" s="88" t="inlineStr">
        <is>
          <t>Pepa는 'hijo/hija'</t>
        </is>
      </c>
    </row>
    <row r="16" ht="16.5" customHeight="1" s="81">
      <c r="A16" s="91" t="inlineStr">
        <is>
          <t>Inés → 취재 대상</t>
        </is>
      </c>
      <c r="B16" s="88" t="inlineStr">
        <is>
          <t>usted (취재 시)</t>
        </is>
      </c>
      <c r="C16" s="88" t="inlineStr">
        <is>
          <t>usted</t>
        </is>
      </c>
      <c r="D16" s="89" t="inlineStr">
        <is>
          <t>친해지면 tú</t>
        </is>
      </c>
      <c r="E16" s="88" t="n"/>
    </row>
    <row r="17" ht="16.5" customHeight="1" s="81">
      <c r="A17" s="91" t="inlineStr">
        <is>
          <t>Cervantes → 연장자 (Anselmo·Pepa)</t>
        </is>
      </c>
      <c r="B17" s="89" t="inlineStr">
        <is>
          <t>해당 없음 (3부부터 등장)</t>
        </is>
      </c>
      <c r="C17" s="89" t="inlineStr">
        <is>
          <t>해당 없음</t>
        </is>
      </c>
      <c r="D17" s="89" t="inlineStr">
        <is>
          <t>vuestra merced (3인칭 동사) 유지</t>
        </is>
      </c>
      <c r="E17" s="88" t="inlineStr">
        <is>
          <t>3부 1화부터 사용. Pepa에게만 «Tú también, Miguel.»로 먼저 tú를 허락받음(3부 1화) — 본인은 여전히 vuestra merced</t>
        </is>
      </c>
    </row>
    <row r="18" ht="29.25" customHeight="1" s="81">
      <c r="A18" s="91" t="inlineStr">
        <is>
          <t>Cervantes → 젊은이 (Carmen 등)</t>
        </is>
      </c>
      <c r="B18" s="89" t="inlineStr">
        <is>
          <t>해당 없음</t>
        </is>
      </c>
      <c r="C18" s="89" t="inlineStr">
        <is>
          <t>해당 없음</t>
        </is>
      </c>
      <c r="D18" s="89" t="inlineStr">
        <is>
          <t>vos (-áis/-éis), «doncella»</t>
        </is>
      </c>
      <c r="E18" s="89" t="inlineStr">
        <is>
          <t>아버지뻘 어른의 옛 화법. 나이 비슷한 인물이 늘어나면(7부 이후) 조정 검토</t>
        </is>
      </c>
    </row>
    <row r="19" ht="42" customHeight="1" s="81">
      <c r="A19" s="86" t="inlineStr">
        <is>
          <t>전원 → Cervantes</t>
        </is>
      </c>
      <c r="B19" s="89" t="inlineStr">
        <is>
          <t>해당 없음</t>
        </is>
      </c>
      <c r="C19" s="89" t="inlineStr">
        <is>
          <t>해당 없음</t>
        </is>
      </c>
      <c r="D19" s="89" t="inlineStr">
        <is>
          <t>usted로 시작 (Pepa만 3부 1화부터 tú)</t>
        </is>
      </c>
      <c r="E19" s="89" t="inlineStr">
        <is>
          <t>팀 전체가 tú로 넘어가는 시점 미정 (7부 신원 회복 즈음 제안)</t>
        </is>
      </c>
    </row>
    <row r="20" ht="29.25" customHeight="1" s="81">
      <c r="A20" s="86" t="inlineStr">
        <is>
          <t>집단 대화 (사무소 안)</t>
        </is>
      </c>
      <c r="B20" s="88" t="inlineStr">
        <is>
          <t>vosotros</t>
        </is>
      </c>
      <c r="C20" s="88" t="inlineStr">
        <is>
          <t>vosotros</t>
        </is>
      </c>
      <c r="D20" s="88" t="inlineStr">
        <is>
          <t>vosotros</t>
        </is>
      </c>
      <c r="E20" s="89" t="inlineStr">
        <is>
          <t>예: «Sentaos, que os pongo algo.»</t>
        </is>
      </c>
    </row>
    <row r="21" ht="29.25" customHeight="1" s="81">
      <c r="A21" s="86" t="inlineStr">
        <is>
          <t>공식 연설·의회</t>
        </is>
      </c>
      <c r="B21" s="88" t="inlineStr">
        <is>
          <t>—</t>
        </is>
      </c>
      <c r="C21" s="88" t="inlineStr">
        <is>
          <t>—</t>
        </is>
      </c>
      <c r="D21" s="88" t="inlineStr">
        <is>
          <t>ustedes / señorías</t>
        </is>
      </c>
      <c r="E21" s="88" t="inlineStr">
        <is>
          <t>8부 이후 대중 연설, 9부 이후 시의회·자치의회·하원 토론</t>
        </is>
      </c>
    </row>
    <row r="22" ht="29.25" customHeight="1" s="81">
      <c r="A22" s="86" t="inlineStr">
        <is>
          <t>하원 (Congreso)</t>
        </is>
      </c>
      <c r="B22" s="88" t="inlineStr">
        <is>
          <t>—</t>
        </is>
      </c>
      <c r="C22" s="88" t="inlineStr">
        <is>
          <t>—</t>
        </is>
      </c>
      <c r="D22" s="88" t="inlineStr">
        <is>
          <t>«Señorías», «señor presidente / señora presidenta» (하원의장), «señora ministra»</t>
        </is>
      </c>
      <c r="E22" s="89" t="inlineStr">
        <is>
          <t>의원들은 서로를 «señoría», 총리는 «señor presidente del Gobierno»로 부른다</t>
        </is>
      </c>
    </row>
    <row r="23" ht="23.25" customHeight="1" s="81">
      <c r="A23" s="86" t="inlineStr">
        <is>
          <t>시의회 (Pleno)</t>
        </is>
      </c>
      <c r="B23" s="88" t="inlineStr">
        <is>
          <t>—</t>
        </is>
      </c>
      <c r="C23" s="88" t="inlineStr">
        <is>
          <t>—</t>
        </is>
      </c>
      <c r="D23" s="88" t="inlineStr">
        <is>
          <t>«señor alcalde / señora alcaldesa», «señora concejala»</t>
        </is>
      </c>
      <c r="E23" s="89" t="inlineStr">
        <is>
          <t>발언은 usted, 회의 밖 동료끼리는 tú로 돌아간다</t>
        </is>
      </c>
    </row>
    <row r="24" ht="15" customHeight="1" s="81">
      <c r="A24" s="86" t="inlineStr">
        <is>
          <t>국왕</t>
        </is>
      </c>
      <c r="B24" s="88" t="inlineStr">
        <is>
          <t>—</t>
        </is>
      </c>
      <c r="C24" s="88" t="inlineStr">
        <is>
          <t>—</t>
        </is>
      </c>
      <c r="D24" s="88" t="inlineStr">
        <is>
          <t>«Majestad»</t>
        </is>
      </c>
      <c r="E24" s="89" t="inlineStr">
        <is>
          <t>국왕은 직접 대사를 주지 않는다. 의전 절차는 하원의장이 전달</t>
        </is>
      </c>
    </row>
    <row r="25" ht="43.5" customHeight="1" s="81">
      <c r="A25" s="86" t="inlineStr">
        <is>
          <t>5부 과거 화 (Cenit)</t>
        </is>
      </c>
      <c r="B25" s="88" t="inlineStr">
        <is>
          <t>—</t>
        </is>
      </c>
      <c r="C25" s="89" t="inlineStr">
        <is>
          <t>동료끼리 tú, 고객 임원에게 usted, 고객 측 현장 인물은 usted→tú 전환</t>
        </is>
      </c>
      <c r="D25" s="88" t="inlineStr">
        <is>
          <t>—</t>
        </is>
      </c>
      <c r="E25" s="89" t="inlineStr">
        <is>
          <t>Almudena↔Diego tú(한국어 대역은 해요체). Marcos↔Diego tú(반말). Fermín은 5부 4화 로비에서 «¿Te puedo tutear?»로 Diego에게 tú 전환(Diego는 tú로 응답). Lastra↔Diego usted 유지.</t>
        </is>
      </c>
    </row>
    <row r="26" ht="29.25" customHeight="1" s="81">
      <c r="A26" s="86" t="inlineStr">
        <is>
          <t>Carmen → Diego (프레임)</t>
        </is>
      </c>
      <c r="B26" s="88" t="inlineStr">
        <is>
          <t>usted</t>
        </is>
      </c>
      <c r="C26" s="88" t="inlineStr">
        <is>
          <t>usted</t>
        </is>
      </c>
      <c r="D26" s="89" t="inlineStr">
        <is>
          <t>미결 (6부 만남 이후 tú 제안)</t>
        </is>
      </c>
      <c r="E26" s="89" t="inlineStr">
        <is>
          <t>5부 5화에서 Diego에게 tú를 허락하면서도 본인은 «Yo sigo con el usted, que me cuesta menos.» — 전환 시점을 6부 이후로 남겨 둠</t>
        </is>
      </c>
    </row>
    <row r="27" ht="57.75" customHeight="1" s="81">
      <c r="A27" s="86" t="inlineStr">
        <is>
          <t>6부 주력 4인 상호 (전환 기록)</t>
        </is>
      </c>
      <c r="B27" s="88" t="inlineStr">
        <is>
          <t>usted→tú</t>
        </is>
      </c>
      <c r="C27" s="89" t="inlineStr">
        <is>
          <t>화별 전환</t>
        </is>
      </c>
      <c r="D27" s="89" t="inlineStr">
        <is>
          <t>—</t>
        </is>
      </c>
      <c r="E27" s="89" t="inlineStr">
        <is>
          <t>Mateo–Sofía: 2부 10화 tú(6부 2화 공개 전엔 숨김) · Mateo–Javier: 6부 4화 새벽 1시 45분 · Javier–Sofía: 6부 8화(«Esto sí es otra cosa») · Javier–Diego: 6부 9화 · Mateo–Diego: 6부 10화 · Sofía–Diego: 6부 12화(마지막). 이후 네 사람은 상호 tú.</t>
        </is>
      </c>
    </row>
    <row r="28" ht="29.25" customHeight="1" s="81">
      <c r="A28" s="86" t="inlineStr">
        <is>
          <t>Carmen → 주력 4인</t>
        </is>
      </c>
      <c r="B28" s="88" t="inlineStr">
        <is>
          <t>tú (6부) → usted (6부 12화~)</t>
        </is>
      </c>
      <c r="C28" s="88" t="inlineStr">
        <is>
          <t>usted</t>
        </is>
      </c>
      <c r="D28" s="89" t="inlineStr">
        <is>
          <t>미결 3번</t>
        </is>
      </c>
      <c r="E28" s="89" t="inlineStr">
        <is>
          <t>6부에선 이웃이라 전원 tú. 6부 11화 인턴이 되며 '월요일부터 usted' 선언, 6부 12화부터 usted. Tomás 등 비상사에겐 tú 유지.</t>
        </is>
      </c>
    </row>
    <row r="29" ht="43.5" customHeight="1" s="81">
      <c r="A29" s="86" t="inlineStr">
        <is>
          <t>Diego → Carmen</t>
        </is>
      </c>
      <c r="B29" s="88" t="inlineStr">
        <is>
          <t>usted(6부 11화~) → tú(5부 5화 프레임)</t>
        </is>
      </c>
      <c r="C29" s="88" t="inlineStr">
        <is>
          <t>—</t>
        </is>
      </c>
      <c r="D29" s="89" t="inlineStr">
        <is>
          <t>—</t>
        </is>
      </c>
      <c r="E29" s="89" t="inlineStr">
        <is>
          <t>6부 11화 «Entonces yo también le hablo de usted, señorita Carmen» — 5부 1화 프레임의 usted를 설명. 5부 5화에서 말실수 후 허락받아 tú.</t>
        </is>
      </c>
    </row>
    <row r="30" ht="72" customHeight="1" s="81">
      <c r="A30" s="86" t="inlineStr">
        <is>
          <t>6부 조연</t>
        </is>
      </c>
      <c r="B30" s="88" t="inlineStr">
        <is>
          <t>—</t>
        </is>
      </c>
      <c r="C30" s="88" t="inlineStr">
        <is>
          <t>—</t>
        </is>
      </c>
      <c r="D30" s="89" t="inlineStr">
        <is>
          <t>—</t>
        </is>
      </c>
      <c r="E30" s="89" t="inlineStr">
        <is>
          <t>Lucía: 처음부터 tú 제안(«el miedo no entiende de usted») · Inés: 취재 중 usted → 인터뷰 끝나면 tú · Raimundo·Nieves·Pepa: 전원 tú · Ramón: 후배에게 tú, 네 사람은 Ramón에게 usted · Gonzalo·Eusebio: usted · Fermín(5부): Diego에게 usted→tú(«¿Te puedo tutear?»)</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5.xml><?xml version="1.0" encoding="utf-8"?>
<worksheet xmlns="http://schemas.openxmlformats.org/spreadsheetml/2006/main">
  <sheetPr filterMode="0">
    <tabColor rgb="FF548235"/>
    <outlinePr summaryBelow="1" summaryRight="1"/>
    <pageSetUpPr fitToPage="1"/>
  </sheetPr>
  <dimension ref="A1:E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80" min="1" max="1"/>
    <col width="36" customWidth="1" style="80" min="2" max="2"/>
    <col width="32" customWidth="1" style="80" min="3" max="3"/>
    <col width="34" customWidth="1" style="80" min="4" max="4"/>
    <col width="48" customWidth="1" style="80" min="5" max="5"/>
  </cols>
  <sheetData>
    <row r="1" ht="24" customHeight="1" s="81">
      <c r="A1" s="82" t="inlineStr">
        <is>
          <t>Carmen의 폭발 (El Estallido) 과 욕 배정</t>
        </is>
      </c>
    </row>
    <row r="2" ht="15" customHeight="1" s="81">
      <c r="A2" s="100" t="inlineStr">
        <is>
          <t>폭발은 총 2회. 희소성이 가치다. 폭발 뒤에는 반드시 쉬운 말로 다시 설명하는 어휘 교습 장면이 이어진다.</t>
        </is>
      </c>
    </row>
    <row r="4" ht="18" customHeight="1" s="81">
      <c r="A4" s="102" t="inlineStr">
        <is>
          <t>1. 폭발 배치 (총 2회)</t>
        </is>
      </c>
      <c r="B4" s="85" t="n"/>
      <c r="C4" s="85" t="n"/>
      <c r="D4" s="85" t="n"/>
      <c r="E4" s="85" t="n"/>
    </row>
    <row r="5" ht="19.5" customHeight="1" s="81">
      <c r="A5" s="103" t="inlineStr">
        <is>
          <t>회차</t>
        </is>
      </c>
      <c r="B5" s="103" t="inlineStr">
        <is>
          <t>위치</t>
        </is>
      </c>
      <c r="C5" s="103" t="inlineStr">
        <is>
          <t>성격</t>
        </is>
      </c>
      <c r="D5" s="103" t="inlineStr">
        <is>
          <t>단계 구성</t>
        </is>
      </c>
      <c r="E5" s="103" t="inlineStr">
        <is>
          <t>특기 사항</t>
        </is>
      </c>
    </row>
    <row r="6" ht="42" customHeight="1" s="81">
      <c r="A6" s="91" t="inlineStr">
        <is>
          <t>1차 폭발</t>
        </is>
      </c>
      <c r="B6" s="88" t="inlineStr">
        <is>
          <t>1부 6화 «¡Basta!» (사건3 «Horas que nadie paga» 해결 화, Diego의 경영 용어가 협상을 막는 장면)</t>
        </is>
      </c>
      <c r="C6" s="89" t="inlineStr">
        <is>
          <t>코미디 — 「몰라서 화내는 Carmen」</t>
        </is>
      </c>
      <c r="D6" s="88" t="inlineStr">
        <is>
          <t>1단계 → 2단계 → 3단계 전부 노출</t>
        </is>
      </c>
      <c r="E6" s="89" t="inlineStr">
        <is>
          <t>인물별 고정 반응 패턴을 여기서 한 번에 보여 준다. Ramón·Pepa·Raimundo가 이 화에 함께 등장 — Nieves의 욕은 9부 2차 폭발로 이관해 과밀을 피함.</t>
        </is>
      </c>
    </row>
    <row r="7" ht="42" customHeight="1" s="81">
      <c r="A7" s="91" t="inlineStr">
        <is>
          <t>2차 폭발</t>
        </is>
      </c>
      <c r="B7" s="88" t="inlineStr">
        <is>
          <t>9부 (시의회 예산 심의)</t>
        </is>
      </c>
      <c r="C7" s="89" t="inlineStr">
        <is>
          <t>역전 — 「알아서 화내는 Carmen」. 이번엔 Carmen이 옳다.</t>
        </is>
      </c>
      <c r="D7" s="88" t="inlineStr">
        <is>
          <t>1단계에서 곧바로 3단계로 (2단계 생략: '이번엔 참지 않는다')</t>
        </is>
      </c>
      <c r="E7" s="89" t="inlineStr">
        <is>
          <t>관료 전문 용어 속에 서민 예산을 깎는 조항이 숨어 있었고 Carmen이 짚어 낸다. Anselmo가 선을 넘는 말을 하고 Ramón·Pepa이 나무란다.</t>
        </is>
      </c>
    </row>
    <row r="8" ht="29.25" customHeight="1" s="81">
      <c r="A8" s="86" t="inlineStr">
        <is>
          <t>사이 구간</t>
        </is>
      </c>
      <c r="B8" s="88" t="inlineStr">
        <is>
          <t>2~8부</t>
        </is>
      </c>
      <c r="C8" s="89" t="inlineStr">
        <is>
          <t>폭발 없음</t>
        </is>
      </c>
      <c r="D8" s="88" t="inlineStr">
        <is>
          <t>1단계 질문만 일상 장치로 반복</t>
        </is>
      </c>
      <c r="E8" s="89" t="inlineStr">
        <is>
          <t>어휘 학습의 핵심은 1단계 질문. 폭발은 정점 이벤트일 뿐.</t>
        </is>
      </c>
    </row>
    <row r="10" ht="18" customHeight="1" s="81">
      <c r="A10" s="102" t="inlineStr">
        <is>
          <t>2. 3단계 계단</t>
        </is>
      </c>
      <c r="B10" s="85" t="n"/>
      <c r="C10" s="85" t="n"/>
      <c r="D10" s="85" t="n"/>
      <c r="E10" s="85" t="n"/>
    </row>
    <row r="11" ht="19.5" customHeight="1" s="81">
      <c r="A11" s="103" t="inlineStr">
        <is>
          <t>단계</t>
        </is>
      </c>
      <c r="B11" s="103" t="inlineStr">
        <is>
          <t>대사 (ES)</t>
        </is>
      </c>
      <c r="C11" s="103" t="inlineStr">
        <is>
          <t>한국어</t>
        </is>
      </c>
      <c r="D11" s="103" t="inlineStr">
        <is>
          <t>분위기</t>
        </is>
      </c>
      <c r="E11" s="103" t="inlineStr">
        <is>
          <t>사용</t>
        </is>
      </c>
    </row>
    <row r="12" ht="16.5" customHeight="1" s="81">
      <c r="A12" s="91" t="inlineStr">
        <is>
          <t>1단계</t>
        </is>
      </c>
      <c r="B12" s="88" t="inlineStr">
        <is>
          <t>Perdone, ¿qué significa eso?</t>
        </is>
      </c>
      <c r="C12" s="89" t="inlineStr">
        <is>
          <t>실례지만, 그게 무슨 뜻이에요?</t>
        </is>
      </c>
      <c r="D12" s="89" t="inlineStr">
        <is>
          <t>정중한 질문</t>
        </is>
      </c>
      <c r="E12" s="89" t="inlineStr">
        <is>
          <t>상시 (매 화 가능)</t>
        </is>
      </c>
    </row>
    <row r="13" ht="29.25" customHeight="1" s="81">
      <c r="A13" s="91" t="inlineStr">
        <is>
          <t>2단계</t>
        </is>
      </c>
      <c r="B13" s="88" t="inlineStr">
        <is>
          <t>¿Me lo explica como si tuviera cinco años?</t>
        </is>
      </c>
      <c r="C13" s="89" t="inlineStr">
        <is>
          <t>다섯 살한테 설명하듯 해 주실래요?</t>
        </is>
      </c>
      <c r="D13" s="89" t="inlineStr">
        <is>
          <t>슬슬 짜증</t>
        </is>
      </c>
      <c r="E13" s="88" t="inlineStr">
        <is>
          <t>1차 폭발에서만</t>
        </is>
      </c>
    </row>
    <row r="14" ht="16.5" customHeight="1" s="81">
      <c r="A14" s="91" t="inlineStr">
        <is>
          <t>3단계</t>
        </is>
      </c>
      <c r="B14" s="88" t="inlineStr">
        <is>
          <t>¡BASTA! ¡No entiendo nada!</t>
        </is>
      </c>
      <c r="C14" s="89" t="inlineStr">
        <is>
          <t>그만! 하나도 모르겠다고요!</t>
        </is>
      </c>
      <c r="D14" s="89" t="inlineStr">
        <is>
          <t>폭발</t>
        </is>
      </c>
      <c r="E14" s="88" t="inlineStr">
        <is>
          <t>1차 · 2차(9부)</t>
        </is>
      </c>
    </row>
    <row r="16" ht="18" customHeight="1" s="81">
      <c r="A16" s="102" t="inlineStr">
        <is>
          <t>3. 폭발 직후 고정 반응 (전부 대사로 처리 — 지문 폐기)</t>
        </is>
      </c>
      <c r="B16" s="85" t="n"/>
      <c r="C16" s="85" t="n"/>
      <c r="D16" s="85" t="n"/>
      <c r="E16" s="85" t="n"/>
    </row>
    <row r="17" ht="19.5" customHeight="1" s="81">
      <c r="A17" s="103" t="inlineStr">
        <is>
          <t>인물</t>
        </is>
      </c>
      <c r="B17" s="103" t="inlineStr">
        <is>
          <t>반응 대사 (ES)</t>
        </is>
      </c>
      <c r="C17" s="103" t="inlineStr">
        <is>
          <t>한국어</t>
        </is>
      </c>
      <c r="D17" s="103" t="inlineStr">
        <is>
          <t>기존 지문 (폐기)</t>
        </is>
      </c>
      <c r="E17" s="103" t="inlineStr">
        <is>
          <t>비고</t>
        </is>
      </c>
    </row>
    <row r="18" ht="16.5" customHeight="1" s="81">
      <c r="A18" s="91" t="inlineStr">
        <is>
          <t>Javier</t>
        </is>
      </c>
      <c r="B18" s="88" t="inlineStr">
        <is>
          <t>Primero, respira.</t>
        </is>
      </c>
      <c r="C18" s="89" t="inlineStr">
        <is>
          <t>우선, 숨 쉬어요.</t>
        </is>
      </c>
      <c r="D18" s="88" t="inlineStr">
        <is>
          <t>—</t>
        </is>
      </c>
      <c r="E18" s="88" t="inlineStr">
        <is>
          <t>Carmen: «¡No me diga “respira”!»로 받는다</t>
        </is>
      </c>
    </row>
    <row r="19" ht="29.25" customHeight="1" s="81">
      <c r="A19" s="91" t="inlineStr">
        <is>
          <t>Pepa</t>
        </is>
      </c>
      <c r="B19" s="88" t="inlineStr">
        <is>
          <t>Uy. Voy a dejar este plato en la mesa antes de que vuele.</t>
        </is>
      </c>
      <c r="C19" s="89" t="inlineStr">
        <is>
          <t>어이쿠. 접시 날아가기 전에 식탁에 내려놔야겠네.</t>
        </is>
      </c>
      <c r="D19" s="89" t="inlineStr">
        <is>
          <t>말없이 접시를 내려놓음</t>
        </is>
      </c>
      <c r="E19" s="89" t="inlineStr">
        <is>
          <t>정적의 순간을 웃음으로 대신한다</t>
        </is>
      </c>
    </row>
    <row r="20" ht="29.25" customHeight="1" s="81">
      <c r="A20" s="91" t="inlineStr">
        <is>
          <t>Ramón</t>
        </is>
      </c>
      <c r="B20" s="88" t="inlineStr">
        <is>
          <t>Sin nov… No. Mejor me callo.</t>
        </is>
      </c>
      <c r="C20" s="89" t="inlineStr">
        <is>
          <t>이상 없… 아니. 입 다무는 게 낫겠군.</t>
        </is>
      </c>
      <c r="D20" s="88" t="inlineStr">
        <is>
          <t>«Sin novedad»을 하려다 입을 다묾</t>
        </is>
      </c>
      <c r="E20" s="88" t="n"/>
    </row>
    <row r="21" ht="29.25" customHeight="1" s="81">
      <c r="A21" s="91" t="inlineStr">
        <is>
          <t>Raimundo</t>
        </is>
      </c>
      <c r="B21" s="88" t="inlineStr">
        <is>
          <t>Yo no he dicho nada.</t>
        </is>
      </c>
      <c r="C21" s="89" t="inlineStr">
        <is>
          <t>나는 아무 말도 안 했어.</t>
        </is>
      </c>
      <c r="D21" s="89" t="inlineStr">
        <is>
          <t>아무 말도 하지 않아 오히려 가장 긴장됨</t>
        </is>
      </c>
      <c r="E21" s="89" t="inlineStr">
        <is>
          <t>침묵 설정을 폐지하고 시그니처 대사로 대체</t>
        </is>
      </c>
    </row>
    <row r="23" ht="18" customHeight="1" s="81">
      <c r="A23" s="102" t="inlineStr">
        <is>
          <t>4. 욕 배정 (폭발 장면 한정 — 교재용 순한 표현만)</t>
        </is>
      </c>
      <c r="B23" s="85" t="n"/>
      <c r="C23" s="85" t="n"/>
      <c r="D23" s="85" t="n"/>
      <c r="E23" s="85" t="n"/>
    </row>
    <row r="24" ht="19.5" customHeight="1" s="81">
      <c r="A24" s="103" t="inlineStr">
        <is>
          <t>인물</t>
        </is>
      </c>
      <c r="B24" s="103" t="inlineStr">
        <is>
          <t>표현</t>
        </is>
      </c>
      <c r="C24" s="103" t="inlineStr">
        <is>
          <t>뉘앙스</t>
        </is>
      </c>
      <c r="D24" s="103" t="inlineStr">
        <is>
          <t>사용 규칙</t>
        </is>
      </c>
      <c r="E24" s="103" t="inlineStr">
        <is>
          <t>비고</t>
        </is>
      </c>
    </row>
    <row r="25" ht="29.25" customHeight="1" s="81">
      <c r="A25" s="91" t="inlineStr">
        <is>
          <t>Anselmo</t>
        </is>
      </c>
      <c r="B25" s="88" t="inlineStr">
        <is>
          <t>Mentecata / Cabeza de chorlito</t>
        </is>
      </c>
      <c r="C25" s="89" t="inlineStr">
        <is>
          <t>고풍스럽고 격식 있는 욕 — 우아하게 기분 나쁨</t>
        </is>
      </c>
      <c r="D25" s="88" t="inlineStr">
        <is>
          <t>1차·2차 폭발에서만, Carmen에게만</t>
        </is>
      </c>
      <c r="E25" s="88" t="inlineStr">
        <is>
          <t>11부 6화 마지막에 «mentecata» 대신 «No está mal.»이 나올 때 낙차가 커진다.</t>
        </is>
      </c>
    </row>
    <row r="26" ht="29.25" customHeight="1" s="81">
      <c r="A26" s="91" t="inlineStr">
        <is>
          <t>Ramón</t>
        </is>
      </c>
      <c r="B26" s="88" t="inlineStr">
        <is>
          <t>¡Recluta! / Novata</t>
        </is>
      </c>
      <c r="C26" s="89" t="inlineStr">
        <is>
          <t>군대식 신병 취급</t>
        </is>
      </c>
      <c r="D26" s="88" t="inlineStr">
        <is>
          <t>1차에서 1회</t>
        </is>
      </c>
      <c r="E26" s="88" t="inlineStr">
        <is>
          <t>1부 6화(폭발 화)에 카메오로 함께 있으므로 여기서 1회 (확정)</t>
        </is>
      </c>
    </row>
    <row r="27" ht="16.5" customHeight="1" s="81">
      <c r="A27" s="91" t="inlineStr">
        <is>
          <t>Nieves</t>
        </is>
      </c>
      <c r="B27" s="88" t="inlineStr">
        <is>
          <t>Melona / Zoquete</t>
        </is>
      </c>
      <c r="C27" s="89" t="inlineStr">
        <is>
          <t>시장통식 직설</t>
        </is>
      </c>
      <c r="D27" s="88" t="inlineStr">
        <is>
          <t>2차(9부)에서 1회</t>
        </is>
      </c>
      <c r="E27" s="88" t="inlineStr">
        <is>
          <t>1차 폭발 화의 카메오 과밀을 피해 이관 (확정)</t>
        </is>
      </c>
    </row>
    <row r="28" ht="16.5" customHeight="1" s="81">
      <c r="A28" s="91" t="inlineStr">
        <is>
          <t>Pepa</t>
        </is>
      </c>
      <c r="B28" s="88" t="inlineStr">
        <is>
          <t>Pánfila / Cenutria + «hija»</t>
        </is>
      </c>
      <c r="C28" s="89" t="inlineStr">
        <is>
          <t>애정이 섞여 욕인 줄 모름</t>
        </is>
      </c>
      <c r="D28" s="88" t="inlineStr">
        <is>
          <t>1차에서 1회</t>
        </is>
      </c>
      <c r="E28" s="88" t="n"/>
    </row>
    <row r="29" ht="16.5" customHeight="1" s="81">
      <c r="A29" s="91" t="inlineStr">
        <is>
          <t>Raimundo</t>
        </is>
      </c>
      <c r="B29" s="89" t="inlineStr">
        <is>
          <t>욕하지 않음</t>
        </is>
      </c>
      <c r="C29" s="89" t="inlineStr">
        <is>
          <t>대신 출처를 가리킨다</t>
        </is>
      </c>
      <c r="D29" s="88" t="inlineStr">
        <is>
          <t>—</t>
        </is>
      </c>
      <c r="E29" s="88" t="inlineStr">
        <is>
          <t>«Búscalo tú.»</t>
        </is>
      </c>
    </row>
    <row r="31" ht="18" customHeight="1" s="81">
      <c r="A31" s="102" t="inlineStr">
        <is>
          <t>5. 유지 규칙</t>
        </is>
      </c>
      <c r="B31" s="85" t="n"/>
      <c r="C31" s="85" t="n"/>
      <c r="D31" s="85" t="n"/>
      <c r="E31" s="85" t="n"/>
    </row>
    <row r="32" ht="29.25" customHeight="1" s="81">
      <c r="A32" s="122" t="inlineStr">
        <is>
          <t>1. Carmen이 옳은 경우가 있어야 한다. 2차(9부)에서는 관료 용어에 숨은 삭감 조항을 짚어 낸다. 1차에서도 Diego의 용어(sinergias, escalable)가 알맹이 없었음이 드러난다. Carmen은 '어려운 말로 숨는 어른들'을 드러내는 인물이다.</t>
        </is>
      </c>
    </row>
    <row r="33" ht="16.5" customHeight="1" s="81">
      <c r="A33" s="122" t="inlineStr">
        <is>
          <t>2. 폭발 직후에는 누군가 쉬운 말로 다시 설명한다 (전문 표현 → 쉬운 표현 짝 학습). 1차 담당: Sofía — «Lo traduzco yo. Quiere decir: despedir gente para ahorrar.»</t>
        </is>
      </c>
    </row>
    <row r="34" ht="16.5" customHeight="1" s="81">
      <c r="A34" s="122" t="inlineStr">
        <is>
          <t>3. 욕과 괴롭힘의 선: 별도 에피소드를 만들지 않고 2차 폭발에 합친다. Anselmo가 정말 아픈 말을 하고 Ramón·Pepa이 나무라며, 사과는 «Retiro lo dicho… en parte.» 정도로 삐딱하게.</t>
        </is>
      </c>
    </row>
    <row r="35" ht="16.5" customHeight="1" s="81">
      <c r="A35" s="122" t="inlineStr">
        <is>
          <t>4. 욕설 수위: joder, hostia 등은 교재에서 제외. 필요하면 각주로 '실제로는 더 거칠게 말한다'고만 알려 준다.</t>
        </is>
      </c>
    </row>
  </sheetData>
  <mergeCells count="4">
    <mergeCell ref="A34:E34"/>
    <mergeCell ref="A35:E35"/>
    <mergeCell ref="A32:E32"/>
    <mergeCell ref="A33:E33"/>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6.xml><?xml version="1.0" encoding="utf-8"?>
<worksheet xmlns="http://schemas.openxmlformats.org/spreadsheetml/2006/main">
  <sheetPr filterMode="0">
    <tabColor rgb="FFC55A11"/>
    <outlinePr summaryBelow="1" summaryRight="1"/>
    <pageSetUpPr fitToPage="1"/>
  </sheetPr>
  <dimension ref="A1:E3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80" min="1" max="1"/>
    <col width="36" customWidth="1" style="80" min="2" max="2"/>
    <col width="38" customWidth="1" style="80" min="3" max="3"/>
    <col width="40" customWidth="1" style="80" min="4" max="4"/>
    <col width="34" customWidth="1" style="80" min="5" max="5"/>
  </cols>
  <sheetData>
    <row r="1" ht="24" customHeight="1" s="81">
      <c r="A1" s="82" t="inlineStr">
        <is>
          <t>Anselmo — 가장 까칠한 심술 영감이자 오늘내일하는 사람</t>
        </is>
      </c>
    </row>
    <row r="2" ht="15" customHeight="1" s="81">
      <c r="A2" s="83" t="inlineStr">
        <is>
          <t>10부 동안 매 겨울 '마지막'이라고 외치는 양치기 소년 → 11부에서 마지막으로 현역 외교관이 되어 브뤼셀에서 승리하고, 그 직후 12화에서 진짜로 죽는다.</t>
        </is>
      </c>
    </row>
    <row r="4" ht="18" customHeight="1" s="81">
      <c r="A4" s="102" t="inlineStr">
        <is>
          <t>1. 기본 설정</t>
        </is>
      </c>
      <c r="B4" s="85" t="n"/>
      <c r="C4" s="85" t="n"/>
      <c r="D4" s="85" t="n"/>
      <c r="E4" s="85" t="n"/>
    </row>
    <row r="5" ht="19.5" customHeight="1" s="81">
      <c r="A5" s="103" t="inlineStr">
        <is>
          <t>항목</t>
        </is>
      </c>
      <c r="B5" s="103" t="inlineStr">
        <is>
          <t>내용</t>
        </is>
      </c>
      <c r="C5" s="138" t="n"/>
      <c r="D5" s="138" t="n"/>
      <c r="E5" s="139" t="n"/>
    </row>
    <row r="6" ht="29.25" customHeight="1" s="81">
      <c r="A6" s="86" t="inlineStr">
        <is>
          <t>나이</t>
        </is>
      </c>
      <c r="B6" s="88">
        <f>"1부 "&amp;INDEX(캐릭터!$E$5:$E$18,MATCH("Anselmo",캐릭터!$D$5:$D$18,0))&amp;"세 → 11부 약 "&amp;INDEX(캐릭터!$F$5:$F$18,MATCH("Anselmo",캐릭터!$D$5:$D$18,0))&amp;"세 (경과 연수 가정 "&amp;개요!$C$11&amp;"년)"</f>
        <v/>
      </c>
      <c r="C6" s="138" t="n"/>
      <c r="D6" s="138" t="n"/>
      <c r="E6" s="139" t="n"/>
    </row>
    <row r="7" ht="16.5" customHeight="1" s="81">
      <c r="A7" s="86" t="inlineStr">
        <is>
          <t>성격</t>
        </is>
      </c>
      <c r="B7" s="89" t="inlineStr">
        <is>
          <t>정중하게 독을 뿌리는 심술 영감. 예의를 지키며 비꼬는 화법이라 Nieves의 큰 소리 화법과 구분된다. 낭독하면 '정중한데 기분 나쁜' 억양 연습이 된다.</t>
        </is>
      </c>
      <c r="C7" s="138" t="n"/>
      <c r="D7" s="138" t="n"/>
      <c r="E7" s="139" t="n"/>
    </row>
    <row r="8" ht="29.25" customHeight="1" s="81">
      <c r="A8" s="86" t="inlineStr">
        <is>
          <t>심술 패턴</t>
        </is>
      </c>
      <c r="B8" s="89" t="inlineStr">
        <is>
          <t>커피가 맛없다고 매일 불평(«Qué manera de estropear un buen café.»). Diego를 «el de las diapositivas», Tomás의 원고를 «los mil borradores»라고 놀림. 모든 것이 «En mis tiempos»보다 못하다.</t>
        </is>
      </c>
      <c r="C8" s="138" t="n"/>
      <c r="D8" s="138" t="n"/>
      <c r="E8" s="139" t="n"/>
    </row>
    <row r="9" ht="29.25" customHeight="1" s="81">
      <c r="A9" s="86" t="inlineStr">
        <is>
          <t>반복 개그</t>
        </is>
      </c>
      <c r="B9" s="89" t="inlineStr">
        <is>
          <t>매 겨울 «Este será mi último invierno.» 선언, 유언장을 계속 고쳐 씀 (Carmen에게 우산을 물려주겠다 등). 입버릇 «Anótenlo en mi testamento.» 모두 '또 시작이네' 하며 웃어넘긴다.</t>
        </is>
      </c>
      <c r="C9" s="138" t="n"/>
      <c r="D9" s="138" t="n"/>
      <c r="E9" s="139" t="n"/>
    </row>
    <row r="10" ht="16.5" customHeight="1" s="81">
      <c r="A10" s="86" t="inlineStr">
        <is>
          <t>가짜 병</t>
        </is>
      </c>
      <c r="B10" s="89" t="inlineStr">
        <is>
          <t>무릎, 소화, 불면 — 전부 엄살. 소란스러운 엄살이 진짜 병의 위장이 된다.</t>
        </is>
      </c>
      <c r="C10" s="138" t="n"/>
      <c r="D10" s="138" t="n"/>
      <c r="E10" s="139" t="n"/>
    </row>
    <row r="11" ht="16.5" customHeight="1" s="81">
      <c r="A11" s="86" t="inlineStr">
        <is>
          <t>진짜 병</t>
        </is>
      </c>
      <c r="B11" s="89" t="inlineStr">
        <is>
          <t>만성 심부전 (insuficiencia cardíaca crónica). 이것만 숨긴다.</t>
        </is>
      </c>
      <c r="C11" s="138" t="n"/>
      <c r="D11" s="138" t="n"/>
      <c r="E11" s="139" t="n"/>
    </row>
    <row r="12" ht="29.25" customHeight="1" s="81">
      <c r="A12" s="91" t="inlineStr">
        <is>
          <t>Javier의 딜레마</t>
        </is>
      </c>
      <c r="B12" s="89" t="inlineStr">
        <is>
          <t>진단을 알지만 의사의 비밀유지(secreto profesional)를 지킨다. Anselmo가 «Doctor, esto queda entre nosotros.»라고 못 박았기 때문. 시청자가 뒤늦게 'Javier가 왜 조용했는지' 깨닫는 구조.</t>
        </is>
      </c>
      <c r="C12" s="138" t="n"/>
      <c r="D12" s="138" t="n"/>
      <c r="E12" s="139" t="n"/>
    </row>
    <row r="13" ht="16.5" customHeight="1" s="81">
      <c r="A13" s="86" t="inlineStr">
        <is>
          <t>최고의 칭찬</t>
        </is>
      </c>
      <c r="B13" s="88" t="inlineStr">
        <is>
          <t>«No está mal.» — 극히 드물게 쓰는 표현. Carmen에게는 11부 12화(사망 직전)가 사실상 처음이어야 낙차가 산다.</t>
        </is>
      </c>
      <c r="C13" s="138" t="n"/>
      <c r="D13" s="138" t="n"/>
      <c r="E13" s="139" t="n"/>
    </row>
    <row r="14" ht="16.5" customHeight="1" s="81">
      <c r="A14" s="86" t="inlineStr">
        <is>
          <t>호칭·욕</t>
        </is>
      </c>
      <c r="B14" s="89" t="inlineStr">
        <is>
          <t>여럿에게는 ustedes, Carmen에게는 tú(«muchacha»). 욕(«mentecata»)은 Carmen에게만, 폭발 장면 2회 한정.</t>
        </is>
      </c>
      <c r="C14" s="138" t="n"/>
      <c r="D14" s="138" t="n"/>
      <c r="E14" s="139" t="n"/>
    </row>
    <row r="15" ht="16.5" customHeight="1" s="81">
      <c r="A15" s="86" t="inlineStr">
        <is>
          <t>죽음 이후</t>
        </is>
      </c>
      <c r="B15" s="88" t="inlineStr">
        <is>
          <t>La Vieja Guardia는 Ramón + Raimundo + 빈 의자. 12부 10화 'El Hueco en la Guardia'에서 정면으로 다룬다.</t>
        </is>
      </c>
      <c r="C15" s="138" t="n"/>
      <c r="D15" s="138" t="n"/>
      <c r="E15" s="139" t="n"/>
    </row>
    <row r="17" ht="18" customHeight="1" s="81">
      <c r="A17" s="102" t="inlineStr">
        <is>
          <t>2. 복선·사망 타임라인 (전부 대사로 처리)</t>
        </is>
      </c>
      <c r="B17" s="85" t="n"/>
      <c r="C17" s="85" t="n"/>
      <c r="D17" s="85" t="n"/>
      <c r="E17" s="85" t="n"/>
    </row>
    <row r="18" ht="19.5" customHeight="1" s="81">
      <c r="A18" s="103" t="inlineStr">
        <is>
          <t>부·화</t>
        </is>
      </c>
      <c r="B18" s="103" t="inlineStr">
        <is>
          <t>사건</t>
        </is>
      </c>
      <c r="C18" s="103" t="inlineStr">
        <is>
          <t>대화문 처리 방식</t>
        </is>
      </c>
      <c r="D18" s="103" t="inlineStr">
        <is>
          <t>대사 예시 (ES)</t>
        </is>
      </c>
      <c r="E18" s="103" t="inlineStr">
        <is>
          <t>학습 어휘</t>
        </is>
      </c>
    </row>
    <row r="19" ht="42" customHeight="1" s="81">
      <c r="A19" s="91" t="inlineStr">
        <is>
          <t>1~10부 (매 겨울)</t>
        </is>
      </c>
      <c r="B19" s="88" t="inlineStr">
        <is>
          <t>'마지막 겨울' 선언과 유언장 수정. 1부 1화(개소 1개월 시점)부터 이미 반복되어 온 농담으로 등장한다.</t>
        </is>
      </c>
      <c r="C19" s="89" t="inlineStr">
        <is>
          <t>본인이 선언하고 주변이 «Otra vez…»로 받는다.</t>
        </is>
      </c>
      <c r="D19" s="88" t="inlineStr">
        <is>
          <t>Este será mi último invierno. Anótenlo en mi testamento.</t>
        </is>
      </c>
      <c r="E19" s="88" t="inlineStr">
        <is>
          <t>testamento, legar, invierno</t>
        </is>
      </c>
    </row>
    <row r="20" ht="29.25" customHeight="1" s="81">
      <c r="A20" s="91" t="inlineStr">
        <is>
          <t>1~11부</t>
        </is>
      </c>
      <c r="B20" s="89" t="inlineStr">
        <is>
          <t>가짜 병 (무릎·소화·불면)</t>
        </is>
      </c>
      <c r="C20" s="88" t="inlineStr">
        <is>
          <t>Javier가 «No tiene nada.»로 넘긴다.</t>
        </is>
      </c>
      <c r="D20" s="88" t="inlineStr">
        <is>
          <t>Me duele la rodilla. Es el fin.</t>
        </is>
      </c>
      <c r="E20" s="88" t="inlineStr">
        <is>
          <t>rodilla, digestión, insomnio, dolencia</t>
        </is>
      </c>
    </row>
    <row r="21" ht="29.25" customHeight="1" s="81">
      <c r="A21" s="91" t="inlineStr">
        <is>
          <t>7부</t>
        </is>
      </c>
      <c r="B21" s="88" t="inlineStr">
        <is>
          <t>«Puede tutearme.» 허락 — Carmen은 습관 때문에 usted 유지</t>
        </is>
      </c>
      <c r="C21" s="89" t="inlineStr">
        <is>
          <t>허락과 거절이 모두 대사로 나온다.</t>
        </is>
      </c>
      <c r="D21" s="88" t="inlineStr">
        <is>
          <t>Puede tutearme, muchacha. / Perdone, es la costumbre.</t>
        </is>
      </c>
      <c r="E21" s="88" t="inlineStr">
        <is>
          <t>tutear, costumbre</t>
        </is>
      </c>
    </row>
    <row r="22" ht="29.25" customHeight="1" s="81">
      <c r="A22" s="91" t="inlineStr">
        <is>
          <t>9부</t>
        </is>
      </c>
      <c r="B22" s="88" t="inlineStr">
        <is>
          <t>Carmen 2차 폭발에서 Anselmo가 선을 넘음 → Ramón·Pepa이 나무람</t>
        </is>
      </c>
      <c r="C22" s="89" t="inlineStr">
        <is>
          <t>선을 넘는 말과 사과 모두 대사로.</t>
        </is>
      </c>
      <c r="D22" s="88" t="inlineStr">
        <is>
          <t>Retiro lo dicho… en parte.</t>
        </is>
      </c>
      <c r="E22" s="88" t="inlineStr">
        <is>
          <t>retirar lo dicho, disculparse</t>
        </is>
      </c>
    </row>
    <row r="23" ht="42" customHeight="1" s="81">
      <c r="A23" s="91" t="inlineStr">
        <is>
          <t>11부 6화</t>
        </is>
      </c>
      <c r="B23" s="89" t="inlineStr">
        <is>
          <t>청년 고용 협상에서 좋은 조언을 하지만 계단에서 숨이 가쁜 게 처음으로 드러남 (죽음은 아직 아님)</t>
        </is>
      </c>
      <c r="C23" s="88" t="inlineStr">
        <is>
          <t>«No tiene nada»가 아니라 «Estoy bien, solo las escaleras»로 처음 균열.</t>
        </is>
      </c>
      <c r="D23" s="88" t="inlineStr">
        <is>
          <t>Estoy bien. Son solo las escaleras, muchacha.</t>
        </is>
      </c>
      <c r="E23" s="88" t="inlineStr">
        <is>
          <t>escaleras, aliento, fatiga</t>
        </is>
      </c>
    </row>
    <row r="24" ht="80.25" customHeight="1" s="81">
      <c r="A24" s="91" t="inlineStr">
        <is>
          <t>11부 9화</t>
        </is>
      </c>
      <c r="B24" s="89" t="inlineStr">
        <is>
          <t>브뤼셀行 자원. Tomás에게 짐을 싸며 두 지도자를 특징으로만 묘사 — 건물에 금박 이름을 새긴 사업가 출신과, 정보기관 출신으로 이웃 나라 땅을 가져간 인물. 이름·국가는 끝내 말하지 않는다.</t>
        </is>
      </c>
      <c r="C24" s="89" t="inlineStr">
        <is>
          <t>실명 대신 행동·이력의 특징만 나열. 실존 인물 실명 미사용.</t>
        </is>
      </c>
      <c r="D24" s="88" t="inlineStr">
        <is>
          <t>Uno puso su nombre en letras doradas sobre sus edificios. Ahora vende aranceles igual, a gritos. / Sonará a quien usted quiera, joven. Yo solo describo el paisaje.</t>
        </is>
      </c>
      <c r="E24" s="88" t="inlineStr">
        <is>
          <t>aranceles, servicios secretos, régimen, discreción diplomática</t>
        </is>
      </c>
    </row>
    <row r="25" ht="29.25" customHeight="1" s="81">
      <c r="A25" s="91" t="inlineStr">
        <is>
          <t>11부 10화</t>
        </is>
      </c>
      <c r="B25" s="89" t="inlineStr">
        <is>
          <t>직접 협상. 상대의 과장·거짓 주장을 옛 합의 날짜로 정확히 반박</t>
        </is>
      </c>
      <c r="C25" s="88" t="inlineStr">
        <is>
          <t>«Permítame corregirle»로 시작하는 반박 대사.</t>
        </is>
      </c>
      <c r="D25" s="88" t="inlineStr">
        <is>
          <t>Los archivos los escribí yo, jovencito. Léalos con más cuidado.</t>
        </is>
      </c>
      <c r="E25" s="88" t="inlineStr">
        <is>
          <t>corregir, archivo, precisión diplomática</t>
        </is>
      </c>
    </row>
    <row r="26" ht="29.25" customHeight="1" s="81">
      <c r="A26" s="91" t="inlineStr">
        <is>
          <t>11부 11화</t>
        </is>
      </c>
      <c r="B26" s="89" t="inlineStr">
        <is>
          <t>타결. 귀국길에 피로를 숨기고 Sofía에게 메모를 남기라고 지시</t>
        </is>
      </c>
      <c r="C26" s="89" t="inlineStr">
        <is>
          <t>직접 증상을 말하지 않고 '메모를 남기라'는 명령으로 암시.</t>
        </is>
      </c>
      <c r="D26" s="88" t="inlineStr">
        <is>
          <t>Por si acaso, apunta esto también, Sofía.</t>
        </is>
      </c>
      <c r="E26" s="88" t="inlineStr">
        <is>
          <t>por si acaso, legado, instrucción</t>
        </is>
      </c>
    </row>
    <row r="27" ht="42" customHeight="1" s="81">
      <c r="A27" s="91" t="inlineStr">
        <is>
          <t>11부 12화 (사망)</t>
        </is>
      </c>
      <c r="B27" s="89" t="inlineStr">
        <is>
          <t>귀국 직후 자택에서 심부전으로 사망. Carmen이 서명을 받으러 왔다가 발견</t>
        </is>
      </c>
      <c r="C27" s="89" t="inlineStr">
        <is>
          <t>사망은 지문 없이 호명과 확인 대사로: Carmen이 부르고 Javier가 «Ya no.»라고 말한다.</t>
        </is>
      </c>
      <c r="D27" s="88" t="inlineStr">
        <is>
          <t>No está mal.  /  ¿Anselmo? — Ya no está, Carmen.</t>
        </is>
      </c>
      <c r="E27" s="88" t="inlineStr">
        <is>
          <t>pulso, parada cardíaca, reanimación, fallecer</t>
        </is>
      </c>
    </row>
    <row r="28" ht="42" customHeight="1" s="81">
      <c r="A28" s="91" t="inlineStr">
        <is>
          <t>12부 1화</t>
        </is>
      </c>
      <c r="B28" s="89" t="inlineStr">
        <is>
          <t>장례식이 첫 화. Casa Pepa에 빈자리, Pepa가 커피 한 잔을 계속 내놓음. Carmen이 조사에서 처음으로 tú 사용</t>
        </is>
      </c>
      <c r="C28" s="89" t="inlineStr">
        <is>
          <t>장소·상황은 Pepa·Carmen의 대사로.</t>
        </is>
      </c>
      <c r="D28" s="88" t="inlineStr">
        <is>
          <t>Un café para Anselmo. Como siempre. / Para él, ‘no está mal’ era el mayor elogio.</t>
        </is>
      </c>
      <c r="E28" s="88" t="inlineStr">
        <is>
          <t>velatorio, entierro, pésame, elogio fúnebre</t>
        </is>
      </c>
    </row>
    <row r="29" ht="29.25" customHeight="1" s="81">
      <c r="A29" s="91" t="inlineStr">
        <is>
          <t>12부 2~3화</t>
        </is>
      </c>
      <c r="B29" s="89" t="inlineStr">
        <is>
          <t>유작 메모 발견 → 2차 브뤼셀 협상에서 Tomás가 다듬은 그의 문장을 인용</t>
        </is>
      </c>
      <c r="C29" s="88" t="inlineStr">
        <is>
          <t>Tomás가 메모를 소리 내어 읽고 Sofía가 협상장에서 그 문장을 인용한다.</t>
        </is>
      </c>
      <c r="D29" s="88" t="inlineStr">
        <is>
          <t>Permítanme una última precisión: no ha estado mal.</t>
        </is>
      </c>
      <c r="E29" s="88" t="inlineStr">
        <is>
          <t>memorando, legado, precisión, ECOFIN</t>
        </is>
      </c>
    </row>
    <row r="30" ht="42" customHeight="1" s="81">
      <c r="A30" s="91" t="inlineStr">
        <is>
          <t>12부 10화</t>
        </is>
      </c>
      <c r="B30" s="88" t="inlineStr">
        <is>
          <t>'올드 가드의 빈자리' — Ramón·Raimundo가 그의 커피 불평을 그리워한다고 인정</t>
        </is>
      </c>
      <c r="C30" s="89" t="inlineStr">
        <is>
          <t>회상은 Pepa·Ramón·Raimundo의 대사로.</t>
        </is>
      </c>
      <c r="D30" s="88" t="inlineStr">
        <is>
          <t>Falta alguien en esta mesa, y falta su café frío.</t>
        </is>
      </c>
      <c r="E30" s="88" t="inlineStr">
        <is>
          <t>recordar, vacío, ausencia</t>
        </is>
      </c>
    </row>
    <row r="31" ht="42" customHeight="1" s="81">
      <c r="A31" s="91" t="inlineStr">
        <is>
          <t>13부 2화</t>
        </is>
      </c>
      <c r="B31" s="89" t="inlineStr">
        <is>
          <t>유언장: 공증인 앞에서 우산이 Carmen에게 간다 (양치기 소년 개그의 회수). Ramón이 유언집행자(albacea)</t>
        </is>
      </c>
      <c r="C31" s="89" t="inlineStr">
        <is>
          <t>공증인(NOTARIA)이 유언 내용을 낭독하고 Carmen이 되묻는다.</t>
        </is>
      </c>
      <c r="D31" s="88" t="inlineStr">
        <is>
          <t>Para Carmen, mi paraguas. Anótenlo en mi testamento.</t>
        </is>
      </c>
      <c r="E31" s="88" t="inlineStr">
        <is>
          <t>testamento, albacea, notaría, certificado de últimas voluntades</t>
        </is>
      </c>
    </row>
    <row r="32" ht="29.25" customHeight="1" s="81">
      <c r="A32" s="91" t="inlineStr">
        <is>
          <t>12부 (선택)</t>
        </is>
      </c>
      <c r="B32" s="88" t="inlineStr">
        <is>
          <t>Lucía의 애도 상담</t>
        </is>
      </c>
      <c r="C32" s="89" t="inlineStr">
        <is>
          <t>다들 질색하던 «¿Y cómo te hace sentir eso?»가 처음으로 진지하게 쓰인다.</t>
        </is>
      </c>
      <c r="D32" s="88" t="inlineStr">
        <is>
          <t>¿Y cómo te hace sentir eso?</t>
        </is>
      </c>
      <c r="E32" s="88" t="inlineStr">
        <is>
          <t>duelo, pérdida, aflicción</t>
        </is>
      </c>
    </row>
  </sheetData>
  <mergeCells count="11">
    <mergeCell ref="B9:E9"/>
    <mergeCell ref="B8:E8"/>
    <mergeCell ref="B12:E12"/>
    <mergeCell ref="B13:E13"/>
    <mergeCell ref="B6:E6"/>
    <mergeCell ref="B15:E15"/>
    <mergeCell ref="B7:E7"/>
    <mergeCell ref="B11:E11"/>
    <mergeCell ref="B5:E5"/>
    <mergeCell ref="B10:E10"/>
    <mergeCell ref="B14:E14"/>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7.xml><?xml version="1.0" encoding="utf-8"?>
<worksheet xmlns="http://schemas.openxmlformats.org/spreadsheetml/2006/main">
  <sheetPr filterMode="0">
    <tabColor rgb="FFC55A11"/>
    <outlinePr summaryBelow="1" summaryRight="1"/>
    <pageSetUpPr fitToPage="1"/>
  </sheetPr>
  <dimension ref="A1:F5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80" min="1" max="1"/>
    <col width="30" customWidth="1" style="80" min="2" max="2"/>
    <col width="42" customWidth="1" style="80" min="3" max="3"/>
    <col width="46" customWidth="1" style="80" min="4" max="4"/>
    <col width="40" customWidth="1" style="80" min="5" max="5"/>
    <col width="18" customWidth="1" style="80" min="6" max="6"/>
  </cols>
  <sheetData>
    <row r="1" ht="24" customHeight="1" s="81">
      <c r="A1" s="82" t="inlineStr">
        <is>
          <t>Raimundo — 결론 대신 출처를 가리키는 사람</t>
        </is>
      </c>
    </row>
    <row r="2" ht="15" customHeight="1" s="81">
      <c r="A2" s="100" t="inlineStr">
        <is>
          <t>직접 답하지 않고 '어디를 찾을지'만 알려 준다. 정보 요원의 논리: 정보의 대부분은 공개 출처에 있다.</t>
        </is>
      </c>
    </row>
    <row r="4" ht="18" customHeight="1" s="81">
      <c r="A4" s="102" t="inlineStr">
        <is>
          <t>1. 설정 변경</t>
        </is>
      </c>
      <c r="B4" s="85" t="n"/>
      <c r="C4" s="85" t="n"/>
      <c r="D4" s="85" t="n"/>
      <c r="E4" s="85" t="n"/>
      <c r="F4" s="85" t="n"/>
    </row>
    <row r="5" ht="19.5" customHeight="1" s="81">
      <c r="A5" s="103" t="inlineStr">
        <is>
          <t>항목</t>
        </is>
      </c>
      <c r="B5" s="103" t="inlineStr">
        <is>
          <t>내용</t>
        </is>
      </c>
      <c r="C5" s="138" t="n"/>
      <c r="D5" s="138" t="n"/>
      <c r="E5" s="138" t="n"/>
      <c r="F5" s="139" t="n"/>
    </row>
    <row r="6" ht="16.5" customHeight="1" s="81">
      <c r="A6" s="86" t="inlineStr">
        <is>
          <t>답하는 방식</t>
        </is>
      </c>
      <c r="B6" s="89" t="inlineStr">
        <is>
          <t>침묵 → 결론은 말하지 않고 출처만 가리킨다.</t>
        </is>
      </c>
      <c r="C6" s="138" t="n"/>
      <c r="D6" s="138" t="n"/>
      <c r="E6" s="138" t="n"/>
      <c r="F6" s="139" t="n"/>
    </row>
    <row r="7" ht="16.5" customHeight="1" s="81">
      <c r="A7" s="86" t="inlineStr">
        <is>
          <t>시그니처</t>
        </is>
      </c>
      <c r="B7" s="88" t="inlineStr">
        <is>
          <t>«Yo no he dicho nada. Pero mira en…» / «No te lo digo. Te digo dónde está.» / «Casi todo está en fuentes abiertas. Solo hay que saber leer.»</t>
        </is>
      </c>
      <c r="C7" s="138" t="n"/>
      <c r="D7" s="138" t="n"/>
      <c r="E7" s="138" t="n"/>
      <c r="F7" s="139" t="n"/>
    </row>
    <row r="8" ht="16.5" customHeight="1" s="81">
      <c r="A8" s="86" t="inlineStr">
        <is>
          <t>도구 (대화문 처리)</t>
        </is>
      </c>
      <c r="B8" s="89" t="inlineStr">
        <is>
          <t>책을 꺼내 건네거나 카드에 적어 주는 행동은 지문 대신 대사로 말한다: «Tercera balda, a tu izquierda.» / «Anota. Busca: …»</t>
        </is>
      </c>
      <c r="C8" s="138" t="n"/>
      <c r="D8" s="138" t="n"/>
      <c r="E8" s="138" t="n"/>
      <c r="F8" s="139" t="n"/>
    </row>
    <row r="9" ht="16.5" customHeight="1" s="81">
      <c r="A9" s="86" t="inlineStr">
        <is>
          <t>호칭</t>
        </is>
      </c>
      <c r="B9" s="89" t="inlineStr">
        <is>
          <t>전원에게 tú — «Búscalo tú.»가 명령조라 더 섬뜩하다.</t>
        </is>
      </c>
      <c r="C9" s="138" t="n"/>
      <c r="D9" s="138" t="n"/>
      <c r="E9" s="138" t="n"/>
      <c r="F9" s="139" t="n"/>
    </row>
    <row r="10" ht="16.5" customHeight="1" s="81">
      <c r="A10" s="91" t="inlineStr">
        <is>
          <t>Carmen과의 관계</t>
        </is>
      </c>
      <c r="B10" s="88" t="inlineStr">
        <is>
          <t>Carmen이 «¡Dime la respuesta!» 하면 서가 위치만 말한다. 짜증 나지만 정답을 떠먹이지 않는 이 교재의 태도와 같다.</t>
        </is>
      </c>
      <c r="C10" s="138" t="n"/>
      <c r="D10" s="138" t="n"/>
      <c r="E10" s="138" t="n"/>
      <c r="F10" s="139" t="n"/>
    </row>
    <row r="11" ht="16.5" customHeight="1" s="81">
      <c r="A11" s="86" t="inlineStr">
        <is>
          <t>현실 요소</t>
        </is>
      </c>
      <c r="B11" s="88" t="inlineStr">
        <is>
          <t>Cuesta de Moyano(레티로 공원 근처 헌책방 거리)와 국립도서관(Biblioteca Nacional, Recoletos)을 단골 출처로. 학습자가 실제 마드리드에서 따라 걸어 볼 수 있다.</t>
        </is>
      </c>
      <c r="C11" s="138" t="n"/>
      <c r="D11" s="138" t="n"/>
      <c r="E11" s="138" t="n"/>
      <c r="F11" s="139" t="n"/>
    </row>
    <row r="12" ht="16.5" customHeight="1" s="81">
      <c r="A12" s="86" t="inlineStr">
        <is>
          <t>서점 원칙</t>
        </is>
      </c>
      <c r="B12" s="89" t="inlineStr">
        <is>
          <t>손님이 찾던 답이 든 책일 때만 값을 받지 않는다.</t>
        </is>
      </c>
      <c r="C12" s="138" t="n"/>
      <c r="D12" s="138" t="n"/>
      <c r="E12" s="138" t="n"/>
      <c r="F12" s="139" t="n"/>
    </row>
    <row r="14" ht="18" customHeight="1" s="81">
      <c r="A14" s="102" t="inlineStr">
        <is>
          <t>2. 그의 서가 4칸</t>
        </is>
      </c>
      <c r="B14" s="85" t="n"/>
      <c r="C14" s="85" t="n"/>
      <c r="D14" s="85" t="n"/>
      <c r="E14" s="85" t="n"/>
      <c r="F14" s="85" t="n"/>
    </row>
    <row r="15" ht="19.5" customHeight="1" s="81">
      <c r="A15" s="103" t="inlineStr">
        <is>
          <t>칸</t>
        </is>
      </c>
      <c r="B15" s="103" t="inlineStr">
        <is>
          <t>내용</t>
        </is>
      </c>
      <c r="C15" s="103" t="inlineStr">
        <is>
          <t>대표 출처</t>
        </is>
      </c>
    </row>
    <row r="16" ht="16.5" customHeight="1" s="81">
      <c r="A16" s="86" t="inlineStr">
        <is>
          <t>법령칸</t>
        </is>
      </c>
      <c r="B16" s="89" t="inlineStr">
        <is>
          <t>법과 조문</t>
        </is>
      </c>
      <c r="C16" s="88" t="inlineStr">
        <is>
          <t>BOE(boe.es), 헌법, 각 법률</t>
        </is>
      </c>
    </row>
    <row r="17" ht="29.25" customHeight="1" s="81">
      <c r="A17" s="86" t="inlineStr">
        <is>
          <t>문서칸</t>
        </is>
      </c>
      <c r="B17" s="89" t="inlineStr">
        <is>
          <t>기록과 자료</t>
        </is>
      </c>
      <c r="C17" s="89" t="inlineStr">
        <is>
          <t>국립역사문서고(AHN), PARES 포털, 국회 회의록(Diario de Sesiones)</t>
        </is>
      </c>
    </row>
    <row r="18" ht="29.25" customHeight="1" s="81">
      <c r="A18" s="86" t="inlineStr">
        <is>
          <t>신문칸</t>
        </is>
      </c>
      <c r="B18" s="89" t="inlineStr">
        <is>
          <t>과거 기사</t>
        </is>
      </c>
      <c r="C18" s="89" t="inlineStr">
        <is>
          <t>국립도서관 디지털 신문 아카이브 (Hemeroteca Digital, BNE)</t>
        </is>
      </c>
    </row>
    <row r="19" ht="29.25" customHeight="1" s="81">
      <c r="A19" s="86" t="inlineStr">
        <is>
          <t>사전칸</t>
        </is>
      </c>
      <c r="B19" s="89" t="inlineStr">
        <is>
          <t>용어</t>
        </is>
      </c>
      <c r="C19" s="88" t="inlineStr">
        <is>
          <t>DLE(dle.rae.es), 법률용어 사전 DPEJ(dpej.rae.es)</t>
        </is>
      </c>
    </row>
    <row r="21" ht="18" customHeight="1" s="81">
      <c r="A21" s="102" t="inlineStr">
        <is>
          <t>3. 주제별 출처표 (기획한 에피소드 기준)</t>
        </is>
      </c>
      <c r="B21" s="85" t="n"/>
      <c r="C21" s="85" t="n"/>
      <c r="D21" s="85" t="n"/>
      <c r="E21" s="85" t="n"/>
      <c r="F21" s="85" t="n"/>
    </row>
    <row r="22" ht="19.5" customHeight="1" s="81">
      <c r="A22" s="103" t="inlineStr">
        <is>
          <t>상황</t>
        </is>
      </c>
      <c r="B22" s="103" t="inlineStr">
        <is>
          <t>관련 부·화</t>
        </is>
      </c>
      <c r="C22" s="110" t="inlineStr">
        <is>
          <t>Raimundo의 대사 (ES)</t>
        </is>
      </c>
      <c r="D22" s="103" t="inlineStr">
        <is>
          <t>찾을 곳</t>
        </is>
      </c>
      <c r="E22" s="103" t="inlineStr">
        <is>
          <t>검색어·키워드</t>
        </is>
      </c>
      <c r="F22" s="103" t="inlineStr">
        <is>
          <t>서가칸</t>
        </is>
      </c>
    </row>
    <row r="23" ht="29.25" customHeight="1" s="81">
      <c r="A23" s="86" t="inlineStr">
        <is>
          <t>정보기관 개혁</t>
        </is>
      </c>
      <c r="B23" s="88" t="inlineStr">
        <is>
          <t>10부 (자문 직책)</t>
        </is>
      </c>
      <c r="C23" s="88" t="inlineStr">
        <is>
          <t>Empieza por la ley que nos creó.</t>
        </is>
      </c>
      <c r="D23" s="88" t="inlineStr">
        <is>
          <t>Ley 11/2002 (CNI 규율법), Ley Orgánica 2/2002 (CNI 사법 통제) — BOE에서 검색</t>
        </is>
      </c>
      <c r="E23" s="88" t="inlineStr">
        <is>
          <t>Ley 11/2002 CNI; control judicial previo</t>
        </is>
      </c>
      <c r="F23" s="89" t="inlineStr">
        <is>
          <t>법령칸</t>
        </is>
      </c>
    </row>
    <row r="24" ht="42" customHeight="1" s="81">
      <c r="A24" s="86" t="inlineStr">
        <is>
          <t>도청의 합법성</t>
        </is>
      </c>
      <c r="B24" s="88" t="inlineStr">
        <is>
          <t>11부 7화</t>
        </is>
      </c>
      <c r="C24" s="88" t="inlineStr">
        <is>
          <t>Una prueba ilícita no vale. Búscalo.</t>
        </is>
      </c>
      <c r="D24" s="89" t="inlineStr">
        <is>
          <t>헌법 제18조 3항(통신의 비밀), 법원조직법(LOPJ) 제11조 1항(위법 수집 증거), 형사소송법(LECrim) 제588조 bis 이하</t>
        </is>
      </c>
      <c r="E24" s="88" t="inlineStr">
        <is>
          <t>intervención telefónica, autorización judicial, cadena de custodia, prueba ilícita</t>
        </is>
      </c>
      <c r="F24" s="89" t="inlineStr">
        <is>
          <t>법령칸</t>
        </is>
      </c>
    </row>
    <row r="25" ht="42" customHeight="1" s="81">
      <c r="A25" s="86" t="inlineStr">
        <is>
          <t>기밀 지정과 공개</t>
        </is>
      </c>
      <c r="B25" s="89" t="inlineStr">
        <is>
          <t>정보기관 개혁 관련</t>
        </is>
      </c>
      <c r="C25" s="88" t="inlineStr">
        <is>
          <t>Hay un secreto oficial de 1968.</t>
        </is>
      </c>
      <c r="D25" s="88" t="inlineStr">
        <is>
          <t>Ley 9/1968 (기밀법), Ley 19/2013 (투명성법), transparencia.gob.es</t>
        </is>
      </c>
      <c r="E25" s="88" t="inlineStr">
        <is>
          <t>secretos oficiales, desclasificación</t>
        </is>
      </c>
      <c r="F25" s="89" t="inlineStr">
        <is>
          <t>법령칸 (기밀법은 개정 논의 중 — 현행본 확인)</t>
        </is>
      </c>
    </row>
    <row r="26" ht="42" customHeight="1" s="81">
      <c r="A26" s="86" t="inlineStr">
        <is>
          <t>의사의 비밀유지</t>
        </is>
      </c>
      <c r="B26" s="88" t="inlineStr">
        <is>
          <t>11부 4~6화 (Anselmo 복선)</t>
        </is>
      </c>
      <c r="C26" s="88" t="inlineStr">
        <is>
          <t>Pregúntale al doctor qué dice su código.</t>
        </is>
      </c>
      <c r="D26" s="89" t="inlineStr">
        <is>
          <t>헌법 제24조 2항 후단, Ley 41/2002 (환자 자율성법), 의사협회(OMC/CGCOM)의 Código de Deontología Médica</t>
        </is>
      </c>
      <c r="E26" s="88" t="inlineStr">
        <is>
          <t>secreto profesional, historia clínica</t>
        </is>
      </c>
      <c r="F26" s="89" t="inlineStr">
        <is>
          <t>법령칸</t>
        </is>
      </c>
    </row>
    <row r="27" ht="42" customHeight="1" s="81">
      <c r="A27" s="86" t="inlineStr">
        <is>
          <t>자금 세탁</t>
        </is>
      </c>
      <c r="B27" s="88" t="inlineStr">
        <is>
          <t>4부, 11부 (주거·금융 전투)</t>
        </is>
      </c>
      <c r="C27" s="88" t="inlineStr">
        <is>
          <t>Todo dinero tiene una ley que lo vigila. Búscala.</t>
        </is>
      </c>
      <c r="D27" s="88" t="inlineStr">
        <is>
          <t>Ley 10/2010 (자금세탁방지법), SEPBLAC(스페인은행 산하 자금세탁 감시기구), Registro Mercantil</t>
        </is>
      </c>
      <c r="E27" s="88" t="inlineStr">
        <is>
          <t>blanqueo de capitales, titular real, paraíso fiscal</t>
        </is>
      </c>
      <c r="F27" s="89" t="inlineStr">
        <is>
          <t>문서칸·법령칸</t>
        </is>
      </c>
    </row>
    <row r="28" ht="42" customHeight="1" s="81">
      <c r="A28" s="86" t="inlineStr">
        <is>
          <t>주거·퇴거</t>
        </is>
      </c>
      <c r="B28" s="88" t="inlineStr">
        <is>
          <t>1·2·11부</t>
        </is>
      </c>
      <c r="C28" s="88" t="inlineStr">
        <is>
          <t>Compara lo que dicen con lo que existe.</t>
        </is>
      </c>
      <c r="D28" s="88" t="inlineStr">
        <is>
          <t>Ley 29/1994 (도시임대차법, LAU), Ley 12/2023 (주거권법), 민사소송법(LEC, Ley 1/2000)의 퇴거(desahucio) 절차</t>
        </is>
      </c>
      <c r="E28" s="88" t="inlineStr">
        <is>
          <t>desahucio, arrendamiento, gran tenedor</t>
        </is>
      </c>
      <c r="F28" s="89" t="inlineStr">
        <is>
          <t>법령칸</t>
        </is>
      </c>
    </row>
    <row r="29" ht="29.25" customHeight="1" s="81">
      <c r="A29" s="86" t="inlineStr">
        <is>
          <t>가격 담합</t>
        </is>
      </c>
      <c r="B29" s="88" t="inlineStr">
        <is>
          <t>11부 7화</t>
        </is>
      </c>
      <c r="C29" s="88" t="inlineStr">
        <is>
          <t>Mira en Competencia.</t>
        </is>
      </c>
      <c r="D29" s="88" t="inlineStr">
        <is>
          <t>Ley 15/2007 (경쟁보호법), CNMC(cnmc.es)의 제재 결정문</t>
        </is>
      </c>
      <c r="E29" s="88" t="inlineStr">
        <is>
          <t>cártel, expediente sancionador, competencia</t>
        </is>
      </c>
      <c r="F29" s="89" t="inlineStr">
        <is>
          <t>법령칸·문서칸</t>
        </is>
      </c>
    </row>
    <row r="30" ht="29.25" customHeight="1" s="81">
      <c r="A30" s="86" t="inlineStr">
        <is>
          <t>횡재세</t>
        </is>
      </c>
      <c r="B30" s="88" t="inlineStr">
        <is>
          <t>11부 8화</t>
        </is>
      </c>
      <c r="C30" s="88" t="inlineStr">
        <is>
          <t>No lo inventaste tú. Ya se hizo.</t>
        </is>
      </c>
      <c r="D30" s="88" t="inlineStr">
        <is>
          <t>Ley 38/2022 (에너지·금융권 한시 부담금)</t>
        </is>
      </c>
      <c r="E30" s="88" t="inlineStr">
        <is>
          <t>gravamen temporal energético, entidades de crédito</t>
        </is>
      </c>
      <c r="F30" s="89" t="inlineStr">
        <is>
          <t>법령칸</t>
        </is>
      </c>
    </row>
    <row r="31" ht="29.25" customHeight="1" s="81">
      <c r="A31" s="91" t="inlineStr">
        <is>
          <t>EU 긴축 압박</t>
        </is>
      </c>
      <c r="B31" s="88" t="inlineStr">
        <is>
          <t>11부 9화</t>
        </is>
      </c>
      <c r="C31" s="88" t="inlineStr">
        <is>
          <t>Ese artículo no dice lo que te dijeron.</t>
        </is>
      </c>
      <c r="D31" s="89" t="inlineStr">
        <is>
          <t>유럽연합기능조약(TFUE) 제126조(과도한 재정적자 절차), EUR-Lex(eur-lex.europa.eu)</t>
        </is>
      </c>
      <c r="E31" s="88" t="inlineStr">
        <is>
          <t>procedimiento de déficit excesivo</t>
        </is>
      </c>
      <c r="F31" s="89" t="inlineStr">
        <is>
          <t>법령칸</t>
        </is>
      </c>
    </row>
    <row r="32" ht="29.25" customHeight="1" s="81">
      <c r="A32" s="86" t="inlineStr">
        <is>
          <t>과거 스캔들 조사</t>
        </is>
      </c>
      <c r="B32" s="88" t="inlineStr">
        <is>
          <t>6~7부</t>
        </is>
      </c>
      <c r="C32" s="88" t="inlineStr">
        <is>
          <t>Los periódicos guardan lo que la gente olvida.</t>
        </is>
      </c>
      <c r="D32" s="89" t="inlineStr">
        <is>
          <t>국립도서관 Hemeroteca Digital</t>
        </is>
      </c>
      <c r="E32" s="88" t="inlineStr">
        <is>
          <t>'escuchas del CESID 1995'로 검색</t>
        </is>
      </c>
      <c r="F32" s="89" t="inlineStr">
        <is>
          <t>신문칸</t>
        </is>
      </c>
    </row>
    <row r="33" ht="29.25" customHeight="1" s="81">
      <c r="A33" s="86" t="inlineStr">
        <is>
          <t>의회 발언 확인 (제안)</t>
        </is>
      </c>
      <c r="B33" s="88" t="inlineStr">
        <is>
          <t>9부</t>
        </is>
      </c>
      <c r="C33" s="88" t="inlineStr">
        <is>
          <t>Todo lo que se dijo en la tribuna está escrito.</t>
        </is>
      </c>
      <c r="D33" s="89" t="inlineStr">
        <is>
          <t>국회 회의록 Diario de Sesiones (congreso.es)</t>
        </is>
      </c>
      <c r="E33" s="88" t="inlineStr">
        <is>
          <t>diario de sesiones, intervención</t>
        </is>
      </c>
      <c r="F33" s="89" t="inlineStr">
        <is>
          <t>문서칸</t>
        </is>
      </c>
    </row>
    <row r="34" ht="29.25" customHeight="1" s="81">
      <c r="A34" s="86" t="inlineStr">
        <is>
          <t>정당 창당</t>
        </is>
      </c>
      <c r="B34" s="88" t="inlineStr">
        <is>
          <t>8부 5~6화</t>
        </is>
      </c>
      <c r="C34" s="88" t="inlineStr">
        <is>
          <t>Un partido empieza en un papel público. Búscalo.</t>
        </is>
      </c>
      <c r="D34" s="88" t="inlineStr">
        <is>
          <t>LO 6/2002 (정당법), 내무부 Registro de Partidos Políticos</t>
        </is>
      </c>
      <c r="E34" s="88" t="inlineStr">
        <is>
          <t>acta fundacional, estatutos, inscripción</t>
        </is>
      </c>
      <c r="F34" s="89" t="inlineStr">
        <is>
          <t>법령칸·문서칸</t>
        </is>
      </c>
    </row>
    <row r="35" ht="29.25" customHeight="1" s="81">
      <c r="A35" s="86" t="inlineStr">
        <is>
          <t>정당 재정</t>
        </is>
      </c>
      <c r="B35" s="88" t="inlineStr">
        <is>
          <t>8부 7화</t>
        </is>
      </c>
      <c r="C35" s="88" t="inlineStr">
        <is>
          <t>Quien cuenta el dinero de un partido también deja huella.</t>
        </is>
      </c>
      <c r="D35" s="88" t="inlineStr">
        <is>
          <t>LO 8/2007, LO 3/2015, Tribunal de Cuentas</t>
        </is>
      </c>
      <c r="E35" s="88" t="inlineStr">
        <is>
          <t>financiación de partidos, fiscalización</t>
        </is>
      </c>
      <c r="F35" s="89" t="inlineStr">
        <is>
          <t>법령칸</t>
        </is>
      </c>
    </row>
    <row r="36" ht="29.25" customHeight="1" s="81">
      <c r="A36" s="86" t="inlineStr">
        <is>
          <t>선거 규칙</t>
        </is>
      </c>
      <c r="B36" s="88" t="inlineStr">
        <is>
          <t>8부·10부</t>
        </is>
      </c>
      <c r="C36" s="88" t="inlineStr">
        <is>
          <t>Las reglas del juego están en la Ley Electoral.</t>
        </is>
      </c>
      <c r="D36" s="88" t="inlineStr">
        <is>
          <t>LOREG(LO 5/1985): 후보 등록 서명 제169조, 선거 일정, 분쟁 제49조</t>
        </is>
      </c>
      <c r="E36" s="88" t="inlineStr">
        <is>
          <t>avales, circunscripción, Junta Electoral</t>
        </is>
      </c>
      <c r="F36" s="89" t="inlineStr">
        <is>
          <t>법령칸</t>
        </is>
      </c>
    </row>
    <row r="37" ht="29.25" customHeight="1" s="81">
      <c r="A37" s="86" t="inlineStr">
        <is>
          <t>총리 선출·해산</t>
        </is>
      </c>
      <c r="B37" s="88" t="inlineStr">
        <is>
          <t>10부</t>
        </is>
      </c>
      <c r="C37" s="88" t="inlineStr">
        <is>
          <t>Artículo 99. Léelo despacio, dos veces.</t>
        </is>
      </c>
      <c r="D37" s="89" t="inlineStr">
        <is>
          <t>헌법 제99조(investidura), 제115조(해산), 제113조(불신임안)</t>
        </is>
      </c>
      <c r="E37" s="88" t="inlineStr">
        <is>
          <t>investidura, disolución, moción de censura constructiva</t>
        </is>
      </c>
      <c r="F37" s="89" t="inlineStr">
        <is>
          <t>법령칸</t>
        </is>
      </c>
    </row>
    <row r="38" ht="29.25" customHeight="1" s="81">
      <c r="A38" s="86" t="inlineStr">
        <is>
          <t>권한 배분</t>
        </is>
      </c>
      <c r="B38" s="88" t="inlineStr">
        <is>
          <t>9부·11부</t>
        </is>
      </c>
      <c r="C38" s="88" t="inlineStr">
        <is>
          <t>¿Quién manda en esto? Mira el Título VIII.</t>
        </is>
      </c>
      <c r="D38" s="89" t="inlineStr">
        <is>
          <t>헌법 제148·149조, Estatuto de Autonomía de la Comunidad de Madrid (LO 3/1983)</t>
        </is>
      </c>
      <c r="E38" s="88" t="inlineStr">
        <is>
          <t>competencia autonómica, transferencia</t>
        </is>
      </c>
      <c r="F38" s="89" t="inlineStr">
        <is>
          <t>법령칸</t>
        </is>
      </c>
    </row>
    <row r="39" ht="29.25" customHeight="1" s="81">
      <c r="A39" s="86" t="inlineStr">
        <is>
          <t>내부고발자 보호</t>
        </is>
      </c>
      <c r="B39" s="88" t="inlineStr">
        <is>
          <t>7부·9부</t>
        </is>
      </c>
      <c r="C39" s="88" t="inlineStr">
        <is>
          <t>Hay una ley para quien avisa.</t>
        </is>
      </c>
      <c r="D39" s="88" t="inlineStr">
        <is>
          <t>Ley 2/2023 (내부고발자 보호법)</t>
        </is>
      </c>
      <c r="E39" s="88" t="inlineStr">
        <is>
          <t>informante, represalia, canal de denuncias</t>
        </is>
      </c>
      <c r="F39" s="89" t="inlineStr">
        <is>
          <t>법령칸</t>
        </is>
      </c>
    </row>
    <row r="40" ht="29.25" customHeight="1" s="81">
      <c r="A40" s="86" t="inlineStr">
        <is>
          <t>하원 표결 확인</t>
        </is>
      </c>
      <c r="B40" s="88" t="inlineStr">
        <is>
          <t>10부</t>
        </is>
      </c>
      <c r="C40" s="88" t="inlineStr">
        <is>
          <t>Todo voto queda escrito.</t>
        </is>
      </c>
      <c r="D40" s="89" t="inlineStr">
        <is>
          <t>하원 Diario de Sesiones (congreso.es), 투표 결과 게시</t>
        </is>
      </c>
      <c r="E40" s="88" t="inlineStr">
        <is>
          <t>diario de sesiones, votación, escrutinio</t>
        </is>
      </c>
      <c r="F40" s="89" t="inlineStr">
        <is>
          <t>문서칸</t>
        </is>
      </c>
    </row>
    <row r="41" ht="16.5" customHeight="1" s="81">
      <c r="A41" s="86" t="inlineStr">
        <is>
          <t>모르는 단어</t>
        </is>
      </c>
      <c r="B41" s="89" t="inlineStr">
        <is>
          <t>전 부</t>
        </is>
      </c>
      <c r="C41" s="88" t="inlineStr">
        <is>
          <t>Si no sabes la palabra, no sabes la ley.</t>
        </is>
      </c>
      <c r="D41" s="88" t="inlineStr">
        <is>
          <t>DLE, DPEJ</t>
        </is>
      </c>
      <c r="E41" s="88" t="inlineStr">
        <is>
          <t>—</t>
        </is>
      </c>
      <c r="F41" s="89" t="inlineStr">
        <is>
          <t>사전칸</t>
        </is>
      </c>
    </row>
    <row r="42" ht="16.5" customHeight="1" s="81">
      <c r="A42" s="147" t="inlineStr">
        <is>
          <t>※ 법령 번호와 조항은 기획 시점 지식으로 정리한 것입니다. 교재에 넣기 전에 BOE의 현행 텍스트(texto consolidado)로 반드시 확인하세요. 참고 도서 제목은 지어낼 위험이 있어 제외하고 검색어만 적었습니다.</t>
        </is>
      </c>
    </row>
    <row r="44" ht="18" customHeight="1" s="81">
      <c r="A44" s="102" t="inlineStr">
        <is>
          <t>4. 카드(FICHA) 구술 템플릿 — 지문 없이 대사로만</t>
        </is>
      </c>
      <c r="B44" s="85" t="n"/>
      <c r="C44" s="85" t="n"/>
      <c r="D44" s="85" t="n"/>
      <c r="E44" s="85" t="n"/>
      <c r="F44" s="85" t="n"/>
    </row>
    <row r="45" ht="19.5" customHeight="1" s="81">
      <c r="A45" s="103" t="inlineStr">
        <is>
          <t>화자</t>
        </is>
      </c>
      <c r="B45" s="103" t="inlineStr">
        <is>
          <t>기능</t>
        </is>
      </c>
      <c r="C45" s="103" t="inlineStr">
        <is>
          <t>대사 (ES)</t>
        </is>
      </c>
      <c r="D45" s="103" t="inlineStr">
        <is>
          <t>한국어</t>
        </is>
      </c>
    </row>
    <row r="46" ht="16.5" customHeight="1" s="81">
      <c r="A46" s="91" t="inlineStr">
        <is>
          <t>RAIMUNDO</t>
        </is>
      </c>
      <c r="B46" s="89" t="inlineStr">
        <is>
          <t>검색어 (Busca)</t>
        </is>
      </c>
      <c r="C46" s="88" t="inlineStr">
        <is>
          <t>Anota. Busca: «prueba ilícita».</t>
        </is>
      </c>
      <c r="D46" s="89" t="inlineStr">
        <is>
          <t>적어. 찾을 것: «위법 수집 증거».</t>
        </is>
      </c>
    </row>
    <row r="47" ht="16.5" customHeight="1" s="81">
      <c r="A47" s="91" t="inlineStr">
        <is>
          <t>CARMEN</t>
        </is>
      </c>
      <c r="B47" s="89" t="inlineStr">
        <is>
          <t>질문으로 다음 항목을 끌어냄</t>
        </is>
      </c>
      <c r="C47" s="88" t="inlineStr">
        <is>
          <t>Vale. ¿Dónde?</t>
        </is>
      </c>
      <c r="D47" s="89" t="inlineStr">
        <is>
          <t>알겠어요. 어디서요?</t>
        </is>
      </c>
    </row>
    <row r="48" ht="29.25" customHeight="1" s="81">
      <c r="A48" s="91" t="inlineStr">
        <is>
          <t>RAIMUNDO</t>
        </is>
      </c>
      <c r="B48" s="89" t="inlineStr">
        <is>
          <t>출처 (Dónde)</t>
        </is>
      </c>
      <c r="C48" s="88" t="inlineStr">
        <is>
          <t>BOE. Ley Orgánica del Poder Judicial, artículo 11.</t>
        </is>
      </c>
      <c r="D48" s="89" t="inlineStr">
        <is>
          <t>관보(BOE). 법원조직법 제11조.</t>
        </is>
      </c>
    </row>
    <row r="49" ht="16.5" customHeight="1" s="81">
      <c r="A49" s="91" t="inlineStr">
        <is>
          <t>CARMEN</t>
        </is>
      </c>
      <c r="B49" s="89" t="inlineStr">
        <is>
          <t>질문</t>
        </is>
      </c>
      <c r="C49" s="88" t="inlineStr">
        <is>
          <t>¿Y qué palabras busco?</t>
        </is>
      </c>
      <c r="D49" s="89" t="inlineStr">
        <is>
          <t>그럼 어떤 단어를 찾죠?</t>
        </is>
      </c>
    </row>
    <row r="50" ht="29.25" customHeight="1" s="81">
      <c r="A50" s="91" t="inlineStr">
        <is>
          <t>RAIMUNDO</t>
        </is>
      </c>
      <c r="B50" s="89" t="inlineStr">
        <is>
          <t>키워드 (Palabras clave)</t>
        </is>
      </c>
      <c r="C50" s="88" t="inlineStr">
        <is>
          <t>Intervención telefónica. Autorización judicial. Cadena de custodia.</t>
        </is>
      </c>
      <c r="D50" s="89" t="inlineStr">
        <is>
          <t>통신 감청. 법원 허가. 증거 보관 연속성.</t>
        </is>
      </c>
    </row>
    <row r="51" ht="16.5" customHeight="1" s="81">
      <c r="A51" s="91" t="inlineStr">
        <is>
          <t>CARMEN</t>
        </is>
      </c>
      <c r="B51" s="88" t="inlineStr">
        <is>
          <t>Carmen의 조급함</t>
        </is>
      </c>
      <c r="C51" s="88" t="inlineStr">
        <is>
          <t>¿Y la respuesta?</t>
        </is>
      </c>
      <c r="D51" s="89" t="inlineStr">
        <is>
          <t>그럼 답은요?</t>
        </is>
      </c>
    </row>
    <row r="52" ht="29.25" customHeight="1" s="81">
      <c r="A52" s="91" t="inlineStr">
        <is>
          <t>RAIMUNDO</t>
        </is>
      </c>
      <c r="B52" s="89" t="inlineStr">
        <is>
          <t>시그니처 + 서가 위치 (손짓 지문 대체)</t>
        </is>
      </c>
      <c r="C52" s="88" t="inlineStr">
        <is>
          <t>Yo no he dicho nada. Tercera balda, a tu izquierda.</t>
        </is>
      </c>
      <c r="D52" s="89" t="inlineStr">
        <is>
          <t>나는 아무 말도 안 했어. 세 번째 선반, 왼쪽이야.</t>
        </is>
      </c>
    </row>
    <row r="53" ht="16.5" customHeight="1" s="81">
      <c r="A53" s="147" t="inlineStr">
        <is>
          <t>카드는 3줄(검색어·출처·키워드)과 마지막 시그니처로 짧게 유지한다. 이 카드가 모이면 교재 전체의 스페인어 자료 색인이 된다. 카드를 넣을 화의 범위(전 화 vs Raimundo 등장 화)는 미결사항 참고.</t>
        </is>
      </c>
    </row>
  </sheetData>
  <mergeCells count="10">
    <mergeCell ref="B12:F12"/>
    <mergeCell ref="B7:F7"/>
    <mergeCell ref="A42:F42"/>
    <mergeCell ref="B6:F6"/>
    <mergeCell ref="B10:F10"/>
    <mergeCell ref="B11:F11"/>
    <mergeCell ref="B5:F5"/>
    <mergeCell ref="B8:F8"/>
    <mergeCell ref="A53:F53"/>
    <mergeCell ref="B9:F9"/>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8.xml><?xml version="1.0" encoding="utf-8"?>
<worksheet xmlns="http://schemas.openxmlformats.org/spreadsheetml/2006/main">
  <sheetPr filterMode="0">
    <tabColor rgb="FF548235"/>
    <outlinePr summaryBelow="1" summaryRight="1"/>
    <pageSetUpPr fitToPage="1"/>
  </sheetPr>
  <dimension ref="A1:E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80" min="1" max="1"/>
    <col width="26" customWidth="1" style="80" min="2" max="2"/>
    <col width="66" customWidth="1" style="80" min="3" max="3"/>
    <col width="52" customWidth="1" style="80" min="4" max="4"/>
    <col width="13" customWidth="1" style="80" min="5" max="5"/>
  </cols>
  <sheetData>
    <row r="1" ht="24" customHeight="1" s="81">
      <c r="A1" s="101" t="inlineStr">
        <is>
          <t>대화문 규칙 — 모든 것은 대화문으로 풀어간다</t>
        </is>
      </c>
    </row>
    <row r="2" ht="15" customHeight="1" s="81">
      <c r="A2" s="100" t="inlineStr">
        <is>
          <t>이전 안(상황 30% + 대화 70%)을 폐기하고, 전 화를 「화자명: 대사」만으로 구성한다.</t>
        </is>
      </c>
    </row>
    <row r="4" ht="18" customHeight="1" s="81">
      <c r="A4" s="102" t="inlineStr">
        <is>
          <t>1. 원칙</t>
        </is>
      </c>
      <c r="B4" s="85" t="n"/>
      <c r="C4" s="85" t="n"/>
      <c r="D4" s="85" t="n"/>
    </row>
    <row r="5" ht="19.5" customHeight="1" s="81">
      <c r="A5" s="110" t="inlineStr">
        <is>
          <t>No</t>
        </is>
      </c>
      <c r="B5" s="103" t="inlineStr">
        <is>
          <t>규칙</t>
        </is>
      </c>
      <c r="C5" s="103" t="inlineStr">
        <is>
          <t>내용</t>
        </is>
      </c>
      <c r="D5" s="103" t="inlineStr">
        <is>
          <t>예시</t>
        </is>
      </c>
    </row>
    <row r="6" ht="16.5" customHeight="1" s="81">
      <c r="A6" s="111" t="n">
        <v>1</v>
      </c>
      <c r="B6" s="89" t="inlineStr">
        <is>
          <t>전 화 100% 대화문</t>
        </is>
      </c>
      <c r="C6" s="89" t="inlineStr">
        <is>
          <t>지문(Narración)은 0%. 각 화는 화자명 + 대사로만 구성한다.</t>
        </is>
      </c>
      <c r="D6" s="88" t="inlineStr">
        <is>
          <t>PEPA: Son las cinco. Empieza la reunión.</t>
        </is>
      </c>
    </row>
    <row r="7" ht="29.25" customHeight="1" s="81">
      <c r="A7" s="111" t="n">
        <v>2</v>
      </c>
      <c r="B7" s="89" t="inlineStr">
        <is>
          <t>화 머리 표기</t>
        </is>
      </c>
      <c r="C7" s="89" t="inlineStr">
        <is>
          <t>부·화 번호, 제목, 장소·날짜는 낭독하지 않는 표기 전용 한 줄(메타). 낭독 본문에는 넣지 않는다.</t>
        </is>
      </c>
      <c r="D7" s="88" t="inlineStr">
        <is>
          <t>[3부 4화 · Colapso en Urgencias]</t>
        </is>
      </c>
    </row>
    <row r="8" ht="29.25" customHeight="1" s="81">
      <c r="A8" s="111" t="n">
        <v>3</v>
      </c>
      <c r="B8" s="89" t="inlineStr">
        <is>
          <t>괄호 무대지시 금지</t>
        </is>
      </c>
      <c r="C8" s="89" t="inlineStr">
        <is>
          <t>행동·표정·침묵은 괄호 지문이 아니라 대사로 표현한다.</t>
        </is>
      </c>
      <c r="D8" s="88" t="inlineStr">
        <is>
          <t>(Pepa deja el plato) → PEPA: Voy a dejar este plato antes de que vuele.</t>
        </is>
      </c>
    </row>
    <row r="9" ht="29.25" customHeight="1" s="81">
      <c r="A9" s="111" t="n">
        <v>4</v>
      </c>
      <c r="B9" s="89" t="inlineStr">
        <is>
          <t>장소·시간 소개</t>
        </is>
      </c>
      <c r="C9" s="89" t="inlineStr">
        <is>
          <t>지정 화자가 대사로 알린다: Pepa(식사·장소), Carmen(질문), Ramón(보고).</t>
        </is>
      </c>
      <c r="D9" s="88" t="inlineStr">
        <is>
          <t>PEPA: Son las cinco. Reunión en mi mesa.</t>
        </is>
      </c>
    </row>
    <row r="10" ht="29.25" customHeight="1" s="81">
      <c r="A10" s="111" t="n">
        <v>5</v>
      </c>
      <c r="B10" s="89" t="inlineStr">
        <is>
          <t>시간 경과·장면 전환</t>
        </is>
      </c>
      <c r="C10" s="89" t="inlineStr">
        <is>
          <t>인물이 말로 알린다. 전환은 화자 교체 + 장소 언급으로.</t>
        </is>
      </c>
      <c r="D10" s="88" t="inlineStr">
        <is>
          <t>INÉS: Han pasado tres meses desde el desahucio, ¿verdad?</t>
        </is>
      </c>
    </row>
    <row r="11" ht="29.25" customHeight="1" s="81">
      <c r="A11" s="111" t="n">
        <v>6</v>
      </c>
      <c r="B11" s="89" t="inlineStr">
        <is>
          <t>문서·기사·메모</t>
        </is>
      </c>
      <c r="C11" s="89" t="inlineStr">
        <is>
          <t>소리 내어 읽는다: Mateo=조항, Inés=기사, Tomás=초고·메모, Raimundo=카드.</t>
        </is>
      </c>
      <c r="D11" s="88" t="inlineStr">
        <is>
          <t>MATEO: Artículo 24: «Todas las personas tienen derecho…»</t>
        </is>
      </c>
    </row>
    <row r="12" ht="16.5" customHeight="1" s="81">
      <c r="A12" s="111" t="n">
        <v>7</v>
      </c>
      <c r="B12" s="89" t="inlineStr">
        <is>
          <t>무거운 장면 (죽음·침묵)</t>
        </is>
      </c>
      <c r="C12" s="89" t="inlineStr">
        <is>
          <t>짧은 호명·확인 대사로 처리한다.</t>
        </is>
      </c>
      <c r="D12" s="88" t="inlineStr">
        <is>
          <t>CARMEN: ¿Anselmo? / JAVIER: Ya no está, Carmen.</t>
        </is>
      </c>
    </row>
    <row r="13" ht="29.25" customHeight="1" s="81">
      <c r="A13" s="111" t="n">
        <v>8</v>
      </c>
      <c r="B13" s="89" t="inlineStr">
        <is>
          <t>내면·감정</t>
        </is>
      </c>
      <c r="C13" s="89" t="inlineStr">
        <is>
          <t>독백은 '소리 내어 하는 말'로만 허용. 감정 노출은 Lucía의 되받기 화법을 활용.</t>
        </is>
      </c>
      <c r="D13" s="88" t="inlineStr">
        <is>
          <t>LUCÍA: Entonces te sientes sola. ¿Es así?</t>
        </is>
      </c>
    </row>
    <row r="14" ht="42" customHeight="1" s="81">
      <c r="A14" s="111" t="n">
        <v>9</v>
      </c>
      <c r="B14" s="89" t="inlineStr">
        <is>
          <t>문장 길이</t>
        </is>
      </c>
      <c r="C14" s="88" t="inlineStr">
        <is>
          <t>1부(B1): 대사 한 줄 15단어 이내. Anselmo·Mateo의 격식체는 한두 줄만 '어른들 말투 맛보기'. 부가 올라갈수록 인물별 허용 길이 확대. Carmen의 질문은 끝까지 짧게.</t>
        </is>
      </c>
      <c r="D14" s="88" t="inlineStr">
        <is>
          <t>'1부_시범대사' 시트에서 단어 수 자동 점검</t>
        </is>
      </c>
    </row>
    <row r="15" ht="42" customHeight="1" s="81">
      <c r="A15" s="111" t="n">
        <v>10</v>
      </c>
      <c r="B15" s="89" t="inlineStr">
        <is>
          <t>화당 분량 = 120턴</t>
        </is>
      </c>
      <c r="C15" s="89" t="inlineStr">
        <is>
          <t>한 화는 대화 120턴(화자 교대 1회 = 1턴)으로 구성한다. 한 턴은 1부 15단어 이내, 연설·조항·기사 낭독은 긴 턴 1개로 세되 화당 3개까지. 화 유형별 도입·장면·절정·마무리 배분과 화자 점유율은 '턴_설계' 시트.</t>
        </is>
      </c>
      <c r="D15" s="88" t="inlineStr">
        <is>
          <t>120턴 중 장면 전환·시간·장소 안내 5~10턴, Carmen 질문→재설명 6~12턴</t>
        </is>
      </c>
    </row>
    <row r="16" ht="16.5" customHeight="1" s="81">
      <c r="A16" s="111" t="n">
        <v>11</v>
      </c>
      <c r="B16" s="89" t="inlineStr">
        <is>
          <t>시그니처 표현</t>
        </is>
      </c>
      <c r="C16" s="89" t="inlineStr">
        <is>
          <t>화자 식별 장치이자 반복 학습 문장. 한 화에 화자당 1~2회까지.</t>
        </is>
      </c>
      <c r="D16" s="88" t="n"/>
    </row>
    <row r="17" ht="29.25" customHeight="1" s="81">
      <c r="A17" s="111" t="n">
        <v>12</v>
      </c>
      <c r="B17" s="88" t="inlineStr">
        <is>
          <t>Carmen의 질문 장치</t>
        </is>
      </c>
      <c r="C17" s="89" t="inlineStr">
        <is>
          <t>어려운 용어 뒤에는 Carmen의 질문 → 쉬운 재설명이 온다 (전문 표현 → 쉬운 표현 짝).</t>
        </is>
      </c>
      <c r="D17" s="88" t="inlineStr">
        <is>
          <t>CARMEN: Perdone, ¿qué significa eso?</t>
        </is>
      </c>
    </row>
    <row r="18" ht="16.5" customHeight="1" s="81">
      <c r="A18" s="111" t="n">
        <v>13</v>
      </c>
      <c r="B18" s="88" t="inlineStr">
        <is>
          <t>Raimundo의 카드</t>
        </is>
      </c>
      <c r="C18" s="89" t="inlineStr">
        <is>
          <t>카드는 구술로 처리한다 (Raimundo_출처 시트 템플릿).</t>
        </is>
      </c>
      <c r="D18" s="88" t="inlineStr">
        <is>
          <t>RAIMUNDO: Anota. Busca: …</t>
        </is>
      </c>
    </row>
    <row r="19" ht="16.5" customHeight="1" s="81">
      <c r="A19" s="111" t="n">
        <v>14</v>
      </c>
      <c r="B19" s="89" t="inlineStr">
        <is>
          <t>욕설 수위</t>
        </is>
      </c>
      <c r="C19" s="88" t="inlineStr">
        <is>
          <t>joder, hostia 등은 교재 제외. 순한 표현만 (Carmen_폭발과욕 시트).</t>
        </is>
      </c>
      <c r="D19" s="88" t="n"/>
    </row>
    <row r="20" ht="16.5" customHeight="1" s="81">
      <c r="A20" s="111" t="n">
        <v>15</v>
      </c>
      <c r="B20" s="89" t="inlineStr">
        <is>
          <t>호칭 전환</t>
        </is>
      </c>
      <c r="C20" s="88" t="inlineStr">
        <is>
          <t>tú/usted 전환은 대사로 명시한다 (호칭규칙 시트).</t>
        </is>
      </c>
      <c r="D20" s="88" t="inlineStr">
        <is>
          <t>ANSELMO: Puede tutearme.</t>
        </is>
      </c>
    </row>
    <row r="21" ht="29.25" customHeight="1" s="81">
      <c r="A21" s="111" t="n">
        <v>16</v>
      </c>
      <c r="B21" s="89" t="inlineStr">
        <is>
          <t>가상 정치 세계</t>
        </is>
      </c>
      <c r="C21" s="89" t="inlineStr">
        <is>
          <t>정당·정치인은 전부 가상. 실존 정치인·정당명을 쓰지 않고, 국왕은 직접 대사를 주지 않는다 (의전 문구는 하원의장 대사로).</t>
        </is>
      </c>
      <c r="D21" s="88" t="inlineStr">
        <is>
          <t>PRESIDENTA DEL CONGRESO: Votos a favor: ciento setenta y cinco.</t>
        </is>
      </c>
    </row>
    <row r="22" ht="54.75" customHeight="1" s="81">
      <c r="A22" s="111" t="n">
        <v>17</v>
      </c>
      <c r="B22" s="89" t="inlineStr">
        <is>
          <t>현안을 다루는 법</t>
        </is>
      </c>
      <c r="C22" s="89" t="inlineStr">
        <is>
          <t>시사 현안은 가상 설정으로 각색하고 실존 인물·참사 희생자를 특정하지 않는다. 찬반 양측이 각자의 가장 강한 논거를 말하게 하고, 결론은 화 안에서 제도의 결과(표결·판결·협약)로만 닫는다. 수치는 Raimundo의 카드로 출처를 안내한다.</t>
        </is>
      </c>
      <c r="D22" s="88" t="inlineStr">
        <is>
          <t>CARMEN: Perdone, ¿qué significa «zona tensionada»? / SOFÍA: Es una zona donde el alquiler sube demasiado.</t>
        </is>
      </c>
    </row>
    <row r="23" ht="29.25" customHeight="1" s="81">
      <c r="A23" s="111" t="n">
        <v>18</v>
      </c>
      <c r="B23" s="89" t="inlineStr">
        <is>
          <t>화자 표기</t>
        </is>
      </c>
      <c r="C23" s="89" t="inlineStr">
        <is>
          <t>화자명은 대문자 + 콜론. 스페인어 본문과 한국어 번역은 열(또는 파일)을 분리해 낭독 시 번역이 섞이지 않게 한다.</t>
        </is>
      </c>
      <c r="D23" s="88" t="inlineStr">
        <is>
          <t>CARMEN: ¡BASTA!</t>
        </is>
      </c>
    </row>
    <row r="24" ht="42" customHeight="1" s="81">
      <c r="A24" s="111" t="n">
        <v>19</v>
      </c>
      <c r="B24" s="89" t="inlineStr">
        <is>
          <t>고전 인용</t>
        </is>
      </c>
      <c r="C24" s="89" t="inlineStr">
        <is>
          <t>인물마다 다른 스페인 고전 출처를 맡겨 화마다 1~2명이 짧게 인용한다. 전부 저작권 만료 공유 저작물(16~17세기 또는 사후 70년 경과)만 쓰고, 원문을 정확히 인용한다 (배정표는 아래 3번).</t>
        </is>
      </c>
      <c r="D24" s="88" t="inlineStr">
        <is>
          <t>ANSELMO: Nuestras vidas son los ríos que van a dar en la mar, que es el morir.</t>
        </is>
      </c>
    </row>
    <row r="26" ht="18" customHeight="1" s="81">
      <c r="A26" s="102" t="inlineStr">
        <is>
          <t>3. 고전 인용 배정 (화마다 1~2명)</t>
        </is>
      </c>
      <c r="B26" s="85" t="n"/>
      <c r="C26" s="85" t="n"/>
      <c r="D26" s="85" t="n"/>
    </row>
    <row r="27" ht="42" customHeight="1" s="81">
      <c r="A27" s="170" t="inlineStr">
        <is>
          <t>인물마다 다른 출처를 맡겨 반복되지 않게 하고, Pepa가 거의 전 화에 등장하므로 로테이션 캐스트인 1부에서도 대부분의 화가 커버된다. 전부 저작권 만료 공유 저작물(공고라·케베도·칼데론·세르반테스·만리케는 16~17세기, 베케르·마차도·로르카는 사후 70년 경과)만 쓰고, 원문을 정확히 인용한다. 가짜로 떠도는 명언(예: 세르반테스가 실제로 쓰지 않은 «Ladran, Sancho…»)은 쓰지 않는다.</t>
        </is>
      </c>
      <c r="B27" s="138" t="n"/>
      <c r="C27" s="138" t="n"/>
      <c r="D27" s="139" t="n"/>
    </row>
    <row r="28" ht="29.25" customHeight="1" s="81">
      <c r="A28" s="111" t="n">
        <v>1</v>
      </c>
      <c r="B28" s="88" t="inlineStr">
        <is>
          <t>(Silencio.) 폭발 직후 정적</t>
        </is>
      </c>
      <c r="C28" s="88" t="inlineStr">
        <is>
          <t>«Uy.» — 정적 대신 짧은 감탄으로 멈춤을 표현</t>
        </is>
      </c>
      <c r="D28" s="88" t="inlineStr">
        <is>
          <t>Pepa</t>
        </is>
      </c>
    </row>
    <row r="29" ht="19.5" customHeight="1" s="81">
      <c r="A29" s="103" t="inlineStr">
        <is>
          <t>인물</t>
        </is>
      </c>
      <c r="B29" s="103" t="inlineStr">
        <is>
          <t>출처</t>
        </is>
      </c>
      <c r="C29" s="103" t="inlineStr">
        <is>
          <t>쓰는 방식</t>
        </is>
      </c>
      <c r="D29" s="103" t="inlineStr">
        <is>
          <t>실제 인용 예시 (ES)</t>
        </is>
      </c>
      <c r="E29" s="103" t="inlineStr">
        <is>
          <t>등장 부</t>
        </is>
      </c>
    </row>
    <row r="30" ht="29.25" customHeight="1" s="81">
      <c r="A30" s="91" t="inlineStr">
        <is>
          <t>Pepa</t>
        </is>
      </c>
      <c r="B30" s="89" t="inlineStr">
        <is>
          <t>스페인 속담(refranes populares)</t>
        </is>
      </c>
      <c r="C30" s="89" t="inlineStr">
        <is>
          <t>인용이 아니라 그냥 말버릇처럼 자연스럽게 섞인다. 따뜻하고 실용적.</t>
        </is>
      </c>
      <c r="D30" s="88" t="inlineStr">
        <is>
          <t>No hay mal que por bien no venga. / Dime con quién andas y te diré quién eres.</t>
        </is>
      </c>
      <c r="E30" s="89" t="inlineStr">
        <is>
          <t>거의 전 화</t>
        </is>
      </c>
    </row>
    <row r="31" ht="42" customHeight="1" s="81">
      <c r="A31" s="91" t="inlineStr">
        <is>
          <t>Anselmo</t>
        </is>
      </c>
      <c r="B31" s="89" t="inlineStr">
        <is>
          <t>세르반테스·칼데론·만리케</t>
        </is>
      </c>
      <c r="C31" s="89" t="inlineStr">
        <is>
          <t>정중하게 비꼬는 코미디로(평소), 죽음 앞에서는 무겁게(11부).</t>
        </is>
      </c>
      <c r="D31" s="88" t="inlineStr">
        <is>
          <t>Toda la vida es sueño, y los sueños, sueños son. (Calderón) / Nuestras vidas son los ríos que van a dar en la mar, que es el morir. (Manrique)</t>
        </is>
      </c>
      <c r="E31" s="88" t="inlineStr">
        <is>
          <t>1부, 11부</t>
        </is>
      </c>
    </row>
    <row r="32" ht="29.25" customHeight="1" s="81">
      <c r="A32" s="91" t="inlineStr">
        <is>
          <t>Raimundo</t>
        </is>
      </c>
      <c r="B32" s="89" t="inlineStr">
        <is>
          <t>케베도·공고라 등</t>
        </is>
      </c>
      <c r="C32" s="89" t="inlineStr">
        <is>
          <t>감정으로 낭송하지 않고 서지 정보처럼 인용한다 — 「몇 번째 선반」식 습관과 같은 화법.</t>
        </is>
      </c>
      <c r="D32" s="88" t="inlineStr">
        <is>
          <t>Polvo serán, mas polvo enamorado. Quevedo, soneto «Amor constante más allá de la muerte».</t>
        </is>
      </c>
      <c r="E32" s="88" t="inlineStr">
        <is>
          <t>1·2·6·11·12부</t>
        </is>
      </c>
    </row>
    <row r="33" ht="29.25" customHeight="1" s="81">
      <c r="A33" s="91" t="inlineStr">
        <is>
          <t>Tomás</t>
        </is>
      </c>
      <c r="B33" s="89" t="inlineStr">
        <is>
          <t>로르카·마차도·베케르</t>
        </is>
      </c>
      <c r="C33" s="89" t="inlineStr">
        <is>
          <t>자기 글이 부끄러워 인용으로 도피한다. 시적이고 머뭇거리는 톤.</t>
        </is>
      </c>
      <c r="D33" s="88" t="inlineStr">
        <is>
          <t>Verde que te quiero verde. (Lorca, Romance sonámbulo) / ¿Qué es poesía? … Poesía… eres tú. (Bécquer)</t>
        </is>
      </c>
      <c r="E33" s="88" t="inlineStr">
        <is>
          <t>6부 이후</t>
        </is>
      </c>
    </row>
    <row r="34" ht="29.25" customHeight="1" s="81">
      <c r="A34" s="91" t="inlineStr">
        <is>
          <t>Mateo</t>
        </is>
      </c>
      <c r="B34" s="89" t="inlineStr">
        <is>
          <t>마차도의 정치적 잠언</t>
        </is>
      </c>
      <c r="C34" s="89" t="inlineStr">
        <is>
          <t>총리가 되어 가며 연설에 섞어 쓴다.</t>
        </is>
      </c>
      <c r="D34" s="88" t="inlineStr">
        <is>
          <t>Caminante, no hay camino, se hace camino al andar. (Machado, Proverbios y cantares)</t>
        </is>
      </c>
      <c r="E34" s="88" t="inlineStr">
        <is>
          <t>8~13부</t>
        </is>
      </c>
    </row>
    <row r="35" ht="16.5" customHeight="1" s="81">
      <c r="A35" s="91" t="inlineStr">
        <is>
          <t>Cervantes</t>
        </is>
      </c>
      <c r="B35" s="89" t="inlineStr">
        <is>
          <t>본인 저작 (Quijote·Novelas ejemplares 등)</t>
        </is>
      </c>
      <c r="C35" s="89" t="inlineStr">
        <is>
          <t>본인 작품만 정확히 인용한다. 남이 틀리게 인용하면(가짜 명언 등) 본인이 직접 정정한다 — 교재의 '가짜 명언 금지' 원칙을 극화한 장치.</t>
        </is>
      </c>
      <c r="D35" s="88" t="inlineStr">
        <is>
          <t>«Cada uno es hijo de sus obras.» (Quijote, 1부 4장) / «Jamás escribí tal cosa.» (가짜 인용 정정)</t>
        </is>
      </c>
      <c r="E35" s="88" t="inlineStr">
        <is>
          <t>3부 이후</t>
        </is>
      </c>
    </row>
    <row r="36" ht="16.5" customHeight="1" s="81">
      <c r="A36" s="111" t="n">
        <v>8</v>
      </c>
      <c r="B36" s="89" t="inlineStr">
        <is>
          <t>시간 경과</t>
        </is>
      </c>
      <c r="C36" s="88" t="inlineStr">
        <is>
          <t>«Han pasado tres meses desde el desahucio.»</t>
        </is>
      </c>
      <c r="D36" s="88" t="inlineStr">
        <is>
          <t>Inés (질문 형태)</t>
        </is>
      </c>
    </row>
    <row r="37" ht="16.5" customHeight="1" s="81">
      <c r="A37" s="111" t="n">
        <v>9</v>
      </c>
      <c r="B37" s="89" t="inlineStr">
        <is>
          <t>신문 기사 삽입</t>
        </is>
      </c>
      <c r="C37" s="88" t="inlineStr">
        <is>
          <t>Inés가 기사 첫 문단을 소리 내어 읽는다</t>
        </is>
      </c>
      <c r="D37" s="88" t="inlineStr">
        <is>
          <t>Inés</t>
        </is>
      </c>
    </row>
    <row r="38" ht="29.25" customHeight="1" s="81">
      <c r="A38" s="111" t="n">
        <v>10</v>
      </c>
      <c r="B38" s="89" t="inlineStr">
        <is>
          <t>연설문 초고 삽입</t>
        </is>
      </c>
      <c r="C38" s="88" t="inlineStr">
        <is>
          <t>Tomás가 초고를 읽고 Mateo가 고친다</t>
        </is>
      </c>
      <c r="D38" s="88" t="inlineStr">
        <is>
          <t>Tomás, Mateo</t>
        </is>
      </c>
    </row>
    <row r="39" ht="29.25" customHeight="1" s="81">
      <c r="A39" s="111" t="n">
        <v>11</v>
      </c>
      <c r="B39" s="89" t="inlineStr">
        <is>
          <t>투표 결과 전광판·자막</t>
        </is>
      </c>
      <c r="C39" s="89" t="inlineStr">
        <is>
          <t>하원의장이 표결 결과를 낭독한다: «Votos emitidos: trescientos cincuenta. A favor…»</t>
        </is>
      </c>
      <c r="D39" s="88" t="inlineStr">
        <is>
          <t>PRESIDENTA DEL CONGRESO</t>
        </is>
      </c>
    </row>
    <row r="40" ht="15" customHeight="1" s="81">
      <c r="A40" s="111" t="n">
        <v>12</v>
      </c>
      <c r="B40" s="89" t="inlineStr">
        <is>
          <t>국왕 접견</t>
        </is>
      </c>
      <c r="C40" s="89" t="inlineStr">
        <is>
          <t>국왕은 대사 없이, 절차와 결과를 하원의장이 전달하고 Mateo가 선서 문구를 말한다</t>
        </is>
      </c>
      <c r="D40" s="88" t="inlineStr">
        <is>
          <t>PRESIDENTA DEL CONGRESO, Mateo</t>
        </is>
      </c>
    </row>
  </sheetData>
  <mergeCells count="1">
    <mergeCell ref="A27:D27"/>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9.xml><?xml version="1.0" encoding="utf-8"?>
<worksheet xmlns="http://schemas.openxmlformats.org/spreadsheetml/2006/main">
  <sheetPr filterMode="0">
    <tabColor rgb="FF7030A0"/>
    <outlinePr summaryBelow="1" summaryRight="1"/>
    <pageSetUpPr fitToPage="1"/>
  </sheetPr>
  <dimension ref="A1:G29"/>
  <sheetViews>
    <sheetView showFormulas="0" showGridLines="0"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80" min="1" max="1"/>
    <col width="12" customWidth="1" style="80" min="2" max="2"/>
    <col width="60" customWidth="1" style="80" min="3" max="3"/>
    <col width="44" customWidth="1" style="80" min="4" max="4"/>
    <col width="40" customWidth="1" style="80" min="5" max="5"/>
    <col width="10" customWidth="1" style="80" min="6" max="7"/>
  </cols>
  <sheetData>
    <row r="1" ht="24" customHeight="1" s="81">
      <c r="A1" s="82" t="inlineStr">
        <is>
          <t>1부 시범 장면 — Carmen 1차 폭발 (지문 없이 대사만, B1, 일반화된 예시)</t>
        </is>
      </c>
    </row>
    <row r="2" ht="15" customHeight="1" s="81">
      <c r="A2" s="100" t="inlineStr">
        <is>
          <t>장소·시간·행동을 모두 대사로 처리한 샘플로, 한 화(120턴) 중 폭발 장면 22턴을 발췌했다. 단어 수는 수식으로 자동 계산되며 상한을 넘으면 '초과'로 표시됩니다.</t>
        </is>
      </c>
    </row>
    <row r="4" ht="15" customHeight="1" s="81">
      <c r="C4" s="171" t="inlineStr">
        <is>
          <t>1부 대사 상한 (단어)</t>
        </is>
      </c>
      <c r="D4" s="172" t="n">
        <v>15</v>
      </c>
      <c r="E4" s="100" t="inlineStr">
        <is>
          <t>← 노란 셀은 가정값 (교재 규칙 초안: 15단어 이내)</t>
        </is>
      </c>
    </row>
    <row r="5" ht="15" customHeight="1" s="81">
      <c r="C5" s="150" t="inlineStr">
        <is>
          <t>총 대사 수</t>
        </is>
      </c>
      <c r="D5" s="173">
        <f>COUNTA(B8:B29)</f>
        <v/>
      </c>
    </row>
    <row r="6" ht="15" customHeight="1" s="81">
      <c r="C6" s="150" t="inlineStr">
        <is>
          <t>상한 초과 대사 수</t>
        </is>
      </c>
      <c r="D6" s="173">
        <f>COUNTIF(G8:G29,"초과")</f>
        <v/>
      </c>
    </row>
    <row r="7" ht="21.75" customHeight="1" s="81">
      <c r="A7" s="110" t="inlineStr">
        <is>
          <t>No</t>
        </is>
      </c>
      <c r="B7" s="103" t="inlineStr">
        <is>
          <t>화자</t>
        </is>
      </c>
      <c r="C7" s="103" t="inlineStr">
        <is>
          <t>대사 (ES)</t>
        </is>
      </c>
      <c r="D7" s="103" t="inlineStr">
        <is>
          <t>한국어 (낭독 제외)</t>
        </is>
      </c>
      <c r="E7" s="103" t="inlineStr">
        <is>
          <t>기능·학습 포인트</t>
        </is>
      </c>
      <c r="F7" s="103" t="inlineStr">
        <is>
          <t>단어 수</t>
        </is>
      </c>
      <c r="G7" s="103" t="inlineStr">
        <is>
          <t>판정</t>
        </is>
      </c>
    </row>
    <row r="8" ht="29.25" customHeight="1" s="81">
      <c r="A8" s="111" t="n">
        <v>1</v>
      </c>
      <c r="B8" s="91" t="inlineStr">
        <is>
          <t>PEPA</t>
        </is>
      </c>
      <c r="C8" s="88" t="inlineStr">
        <is>
          <t>Son las cinco. Empieza la reunión del despacho, aquí abajo, en mi mesa.</t>
        </is>
      </c>
      <c r="D8" s="88" t="inlineStr">
        <is>
          <t>5시예요. 사무소 회의 시작이야, 여기 아래 내 테이블에서.</t>
        </is>
      </c>
      <c r="E8" s="89" t="inlineStr">
        <is>
          <t>지문 대체: 시간·장소를 Pepa가 알림</t>
        </is>
      </c>
      <c r="F8" s="111">
        <f>LEN(TRIM(C8))-LEN(SUBSTITUTE(TRIM(C8)," ",""))+1</f>
        <v/>
      </c>
      <c r="G8" s="111">
        <f>IF(F8&lt;=$D$4,"OK","초과")</f>
        <v/>
      </c>
    </row>
    <row r="9" ht="29.25" customHeight="1" s="81">
      <c r="A9" s="111" t="n">
        <v>2</v>
      </c>
      <c r="B9" s="91" t="inlineStr">
        <is>
          <t>DIEGO</t>
        </is>
      </c>
      <c r="C9" s="88" t="inlineStr">
        <is>
          <t>Es simple. Alineamos a los stakeholders y escalamos el impacto.</t>
        </is>
      </c>
      <c r="D9" s="89" t="inlineStr">
        <is>
          <t>간단해요. 이해관계자를 정렬하고 임팩트를 확장합니다.</t>
        </is>
      </c>
      <c r="E9" s="89" t="inlineStr">
        <is>
          <t>경영 용어 제시 (alinear, escalar, impacto)</t>
        </is>
      </c>
      <c r="F9" s="111">
        <f>LEN(TRIM(C9))-LEN(SUBSTITUTE(TRIM(C9)," ",""))+1</f>
        <v/>
      </c>
      <c r="G9" s="111">
        <f>IF(F9&lt;=$D$4,"OK","초과")</f>
        <v/>
      </c>
    </row>
    <row r="10" ht="16.5" customHeight="1" s="81">
      <c r="A10" s="111" t="n">
        <v>3</v>
      </c>
      <c r="B10" s="91" t="inlineStr">
        <is>
          <t>CARMEN</t>
        </is>
      </c>
      <c r="C10" s="88" t="inlineStr">
        <is>
          <t>Perdone, ¿qué significa eso?</t>
        </is>
      </c>
      <c r="D10" s="89" t="inlineStr">
        <is>
          <t>실례지만, 그게 무슨 뜻이에요?</t>
        </is>
      </c>
      <c r="E10" s="88" t="inlineStr">
        <is>
          <t>1단계: 정중한 질문</t>
        </is>
      </c>
      <c r="F10" s="111">
        <f>LEN(TRIM(C10))-LEN(SUBSTITUTE(TRIM(C10)," ",""))+1</f>
        <v/>
      </c>
      <c r="G10" s="111">
        <f>IF(F10&lt;=$D$4,"OK","초과")</f>
        <v/>
      </c>
    </row>
    <row r="11" ht="29.25" customHeight="1" s="81">
      <c r="A11" s="111" t="n">
        <v>4</v>
      </c>
      <c r="B11" s="91" t="inlineStr">
        <is>
          <t>DIEGO</t>
        </is>
      </c>
      <c r="C11" s="88" t="inlineStr">
        <is>
          <t>Optimizamos el flujo de valor para maximizar las sinergias.</t>
        </is>
      </c>
      <c r="D11" s="89" t="inlineStr">
        <is>
          <t>가치 흐름을 최적화해 시너지를 극대화합니다.</t>
        </is>
      </c>
      <c r="E11" s="89" t="inlineStr">
        <is>
          <t>알맹이 없는 용어의 반복</t>
        </is>
      </c>
      <c r="F11" s="111">
        <f>LEN(TRIM(C11))-LEN(SUBSTITUTE(TRIM(C11)," ",""))+1</f>
        <v/>
      </c>
      <c r="G11" s="111">
        <f>IF(F11&lt;=$D$4,"OK","초과")</f>
        <v/>
      </c>
    </row>
    <row r="12" ht="16.5" customHeight="1" s="81">
      <c r="A12" s="111" t="n">
        <v>5</v>
      </c>
      <c r="B12" s="91" t="inlineStr">
        <is>
          <t>CARMEN</t>
        </is>
      </c>
      <c r="C12" s="88" t="inlineStr">
        <is>
          <t>¿Me lo explica como si tuviera cinco años?</t>
        </is>
      </c>
      <c r="D12" s="89" t="inlineStr">
        <is>
          <t>다섯 살한테 설명하듯 해 주실래요?</t>
        </is>
      </c>
      <c r="E12" s="88" t="inlineStr">
        <is>
          <t>2단계: 슬슬 짜증</t>
        </is>
      </c>
      <c r="F12" s="111">
        <f>LEN(TRIM(C12))-LEN(SUBSTITUTE(TRIM(C12)," ",""))+1</f>
        <v/>
      </c>
      <c r="G12" s="111">
        <f>IF(F12&lt;=$D$4,"OK","초과")</f>
        <v/>
      </c>
    </row>
    <row r="13" ht="29.25" customHeight="1" s="81">
      <c r="A13" s="111" t="n">
        <v>6</v>
      </c>
      <c r="B13" s="91" t="inlineStr">
        <is>
          <t>DIEGO</t>
        </is>
      </c>
      <c r="C13" s="88" t="inlineStr">
        <is>
          <t>Claro. Generamos valor con un modelo escalable y alineado.</t>
        </is>
      </c>
      <c r="D13" s="89" t="inlineStr">
        <is>
          <t>물론이죠. 확장 가능하고 정렬된 모델로 가치를 만듭니다.</t>
        </is>
      </c>
      <c r="E13" s="89" t="inlineStr">
        <is>
          <t>동어반복 — 여전히 설명이 안 됨</t>
        </is>
      </c>
      <c r="F13" s="111">
        <f>LEN(TRIM(C13))-LEN(SUBSTITUTE(TRIM(C13)," ",""))+1</f>
        <v/>
      </c>
      <c r="G13" s="111">
        <f>IF(F13&lt;=$D$4,"OK","초과")</f>
        <v/>
      </c>
    </row>
    <row r="14" ht="29.25" customHeight="1" s="81">
      <c r="A14" s="111" t="n">
        <v>7</v>
      </c>
      <c r="B14" s="91" t="inlineStr">
        <is>
          <t>CARMEN</t>
        </is>
      </c>
      <c r="C14" s="88" t="inlineStr">
        <is>
          <t>¡BASTA! ¡No entiendo nada! Llevo una hora asintiendo como una tonta.</t>
        </is>
      </c>
      <c r="D14" s="89" t="inlineStr">
        <is>
          <t>그만! 하나도 모르겠어요! 한 시간째 바보처럼 고개만 끄덕였다고요.</t>
        </is>
      </c>
      <c r="E14" s="88" t="inlineStr">
        <is>
          <t>3단계: 폭발 (톤 급상승)</t>
        </is>
      </c>
      <c r="F14" s="111">
        <f>LEN(TRIM(C14))-LEN(SUBSTITUTE(TRIM(C14)," ",""))+1</f>
        <v/>
      </c>
      <c r="G14" s="111">
        <f>IF(F14&lt;=$D$4,"OK","초과")</f>
        <v/>
      </c>
    </row>
    <row r="15" ht="29.25" customHeight="1" s="81">
      <c r="A15" s="111" t="n">
        <v>8</v>
      </c>
      <c r="B15" s="91" t="inlineStr">
        <is>
          <t>PEPA</t>
        </is>
      </c>
      <c r="C15" s="88" t="inlineStr">
        <is>
          <t>Uy. Voy a dejar este plato en la mesa antes de que vuele.</t>
        </is>
      </c>
      <c r="D15" s="89" t="inlineStr">
        <is>
          <t>어이쿠. 접시 날아가기 전에 식탁에 내려놔야겠네.</t>
        </is>
      </c>
      <c r="E15" s="89" t="inlineStr">
        <is>
          <t>지문 대체: 접시 내려놓는 행동을 대사로</t>
        </is>
      </c>
      <c r="F15" s="111">
        <f>LEN(TRIM(C15))-LEN(SUBSTITUTE(TRIM(C15)," ",""))+1</f>
        <v/>
      </c>
      <c r="G15" s="111">
        <f>IF(F15&lt;=$D$4,"OK","초과")</f>
        <v/>
      </c>
    </row>
    <row r="16" ht="16.5" customHeight="1" s="81">
      <c r="A16" s="111" t="n">
        <v>9</v>
      </c>
      <c r="B16" s="91" t="inlineStr">
        <is>
          <t>JAVIER</t>
        </is>
      </c>
      <c r="C16" s="88" t="inlineStr">
        <is>
          <t>Primero, respira.</t>
        </is>
      </c>
      <c r="D16" s="89" t="inlineStr">
        <is>
          <t>우선, 숨 쉬어요.</t>
        </is>
      </c>
      <c r="E16" s="88" t="inlineStr">
        <is>
          <t>Javier의 고정 반응</t>
        </is>
      </c>
      <c r="F16" s="111">
        <f>LEN(TRIM(C16))-LEN(SUBSTITUTE(TRIM(C16)," ",""))+1</f>
        <v/>
      </c>
      <c r="G16" s="111">
        <f>IF(F16&lt;=$D$4,"OK","초과")</f>
        <v/>
      </c>
    </row>
    <row r="17" ht="16.5" customHeight="1" s="81">
      <c r="A17" s="111" t="n">
        <v>10</v>
      </c>
      <c r="B17" s="91" t="inlineStr">
        <is>
          <t>CARMEN</t>
        </is>
      </c>
      <c r="C17" s="88" t="inlineStr">
        <is>
          <t>¡No me diga «respira»!</t>
        </is>
      </c>
      <c r="D17" s="88" t="inlineStr">
        <is>
          <t>«숨 쉬어요»라고 하지 마세요!</t>
        </is>
      </c>
      <c r="E17" s="88" t="inlineStr">
        <is>
          <t>usted 유지</t>
        </is>
      </c>
      <c r="F17" s="111">
        <f>LEN(TRIM(C17))-LEN(SUBSTITUTE(TRIM(C17)," ",""))+1</f>
        <v/>
      </c>
      <c r="G17" s="111">
        <f>IF(F17&lt;=$D$4,"OK","초과")</f>
        <v/>
      </c>
    </row>
    <row r="18" ht="16.5" customHeight="1" s="81">
      <c r="A18" s="111" t="n">
        <v>11</v>
      </c>
      <c r="B18" s="91" t="inlineStr">
        <is>
          <t>RAMÓN</t>
        </is>
      </c>
      <c r="C18" s="88" t="inlineStr">
        <is>
          <t>Sin nov… No. Mejor me callo.</t>
        </is>
      </c>
      <c r="D18" s="89" t="inlineStr">
        <is>
          <t>이상 없… 아니. 입 다무는 게 낫겠군.</t>
        </is>
      </c>
      <c r="E18" s="88" t="inlineStr">
        <is>
          <t>Ramón의 고정 반응 (카메오)</t>
        </is>
      </c>
      <c r="F18" s="111">
        <f>LEN(TRIM(C18))-LEN(SUBSTITUTE(TRIM(C18)," ",""))+1</f>
        <v/>
      </c>
      <c r="G18" s="111">
        <f>IF(F18&lt;=$D$4,"OK","초과")</f>
        <v/>
      </c>
    </row>
    <row r="19" ht="29.25" customHeight="1" s="81">
      <c r="A19" s="111" t="n">
        <v>12</v>
      </c>
      <c r="B19" s="91" t="inlineStr">
        <is>
          <t>RAIMUNDO</t>
        </is>
      </c>
      <c r="C19" s="88" t="inlineStr">
        <is>
          <t>Yo no he dicho nada.</t>
        </is>
      </c>
      <c r="D19" s="89" t="inlineStr">
        <is>
          <t>나는 아무 말도 안 했어.</t>
        </is>
      </c>
      <c r="E19" s="88" t="inlineStr">
        <is>
          <t>Raimundo의 고정 반응 (카메오) — 침묵 대신 시그니처</t>
        </is>
      </c>
      <c r="F19" s="111">
        <f>LEN(TRIM(C19))-LEN(SUBSTITUTE(TRIM(C19)," ",""))+1</f>
        <v/>
      </c>
      <c r="G19" s="111">
        <f>IF(F19&lt;=$D$4,"OK","초과")</f>
        <v/>
      </c>
    </row>
    <row r="20" ht="29.25" customHeight="1" s="81">
      <c r="A20" s="111" t="n">
        <v>13</v>
      </c>
      <c r="B20" s="91" t="inlineStr">
        <is>
          <t>ANSELMO</t>
        </is>
      </c>
      <c r="C20" s="88" t="inlineStr">
        <is>
          <t>Mentecata. Nadie te pide que finjas. Pregunta.</t>
        </is>
      </c>
      <c r="D20" s="89" t="inlineStr">
        <is>
          <t>멍청하긴. 아무도 네게 아는 척하라고 안 했어. 물어봐.</t>
        </is>
      </c>
      <c r="E20" s="89" t="inlineStr">
        <is>
          <t>욕 안에 담긴 가장 좋은 조언</t>
        </is>
      </c>
      <c r="F20" s="111">
        <f>LEN(TRIM(C20))-LEN(SUBSTITUTE(TRIM(C20)," ",""))+1</f>
        <v/>
      </c>
      <c r="G20" s="111">
        <f>IF(F20&lt;=$D$4,"OK","초과")</f>
        <v/>
      </c>
    </row>
    <row r="21" ht="16.5" customHeight="1" s="81">
      <c r="A21" s="111" t="n">
        <v>14</v>
      </c>
      <c r="B21" s="91" t="inlineStr">
        <is>
          <t>CARMEN</t>
        </is>
      </c>
      <c r="C21" s="88" t="inlineStr">
        <is>
          <t>¡Usted no ayuda!</t>
        </is>
      </c>
      <c r="D21" s="89" t="inlineStr">
        <is>
          <t>당신은 도움이 안 돼요!</t>
        </is>
      </c>
      <c r="E21" s="89" t="inlineStr">
        <is>
          <t>폭발 중에도 Anselmo에게는 usted</t>
        </is>
      </c>
      <c r="F21" s="111">
        <f>LEN(TRIM(C21))-LEN(SUBSTITUTE(TRIM(C21)," ",""))+1</f>
        <v/>
      </c>
      <c r="G21" s="111">
        <f>IF(F21&lt;=$D$4,"OK","초과")</f>
        <v/>
      </c>
    </row>
    <row r="22" ht="16.5" customHeight="1" s="81">
      <c r="A22" s="111" t="n">
        <v>15</v>
      </c>
      <c r="B22" s="91" t="inlineStr">
        <is>
          <t>ANSELMO</t>
        </is>
      </c>
      <c r="C22" s="88" t="inlineStr">
        <is>
          <t>Te ayudo más que el de las diapositivas.</t>
        </is>
      </c>
      <c r="D22" s="89" t="inlineStr">
        <is>
          <t>슬라이드 청년보다는 내가 더 도와주지.</t>
        </is>
      </c>
      <c r="E22" s="88" t="inlineStr">
        <is>
          <t>Diego 놀리기 (심술 패턴)</t>
        </is>
      </c>
      <c r="F22" s="111">
        <f>LEN(TRIM(C22))-LEN(SUBSTITUTE(TRIM(C22)," ",""))+1</f>
        <v/>
      </c>
      <c r="G22" s="111">
        <f>IF(F22&lt;=$D$4,"OK","초과")</f>
        <v/>
      </c>
    </row>
    <row r="23" ht="29.25" customHeight="1" s="81">
      <c r="A23" s="111" t="n">
        <v>16</v>
      </c>
      <c r="B23" s="91" t="inlineStr">
        <is>
          <t>SOFÍA</t>
        </is>
      </c>
      <c r="C23" s="88" t="inlineStr">
        <is>
          <t>Lo traduzco yo. Quiere decir: despedir gente para ahorrar.</t>
        </is>
      </c>
      <c r="D23" s="89" t="inlineStr">
        <is>
          <t>내가 번역하지. 사람을 해고해서 돈을 아끼자는 뜻이야.</t>
        </is>
      </c>
      <c r="E23" s="89" t="inlineStr">
        <is>
          <t>쉬운 말로 재설명 (어휘 교습 장면)</t>
        </is>
      </c>
      <c r="F23" s="111">
        <f>LEN(TRIM(C23))-LEN(SUBSTITUTE(TRIM(C23)," ",""))+1</f>
        <v/>
      </c>
      <c r="G23" s="111">
        <f>IF(F23&lt;=$D$4,"OK","초과")</f>
        <v/>
      </c>
    </row>
    <row r="24" ht="16.5" customHeight="1" s="81">
      <c r="A24" s="111" t="n">
        <v>17</v>
      </c>
      <c r="B24" s="91" t="inlineStr">
        <is>
          <t>DIEGO</t>
        </is>
      </c>
      <c r="C24" s="88" t="inlineStr">
        <is>
          <t>Eso no es exactamente lo que dije.</t>
        </is>
      </c>
      <c r="D24" s="89" t="inlineStr">
        <is>
          <t>제가 말한 건 정확히 그게 아닌데요.</t>
        </is>
      </c>
      <c r="E24" s="88" t="n"/>
      <c r="F24" s="111">
        <f>LEN(TRIM(C24))-LEN(SUBSTITUTE(TRIM(C24)," ",""))+1</f>
        <v/>
      </c>
      <c r="G24" s="111">
        <f>IF(F24&lt;=$D$4,"OK","초과")</f>
        <v/>
      </c>
    </row>
    <row r="25" ht="16.5" customHeight="1" s="81">
      <c r="A25" s="111" t="n">
        <v>18</v>
      </c>
      <c r="B25" s="91" t="inlineStr">
        <is>
          <t>SOFÍA</t>
        </is>
      </c>
      <c r="C25" s="88" t="inlineStr">
        <is>
          <t>Es exactamente lo que dijiste.</t>
        </is>
      </c>
      <c r="D25" s="89" t="inlineStr">
        <is>
          <t>정확히 네가 한 말이야.</t>
        </is>
      </c>
      <c r="E25" s="89" t="inlineStr">
        <is>
          <t>짧은 반박 — 티키타카</t>
        </is>
      </c>
      <c r="F25" s="111">
        <f>LEN(TRIM(C25))-LEN(SUBSTITUTE(TRIM(C25)," ",""))+1</f>
        <v/>
      </c>
      <c r="G25" s="111">
        <f>IF(F25&lt;=$D$4,"OK","초과")</f>
        <v/>
      </c>
    </row>
    <row r="26" ht="29.25" customHeight="1" s="81">
      <c r="A26" s="111" t="n">
        <v>19</v>
      </c>
      <c r="B26" s="91" t="inlineStr">
        <is>
          <t>CARMEN</t>
        </is>
      </c>
      <c r="C26" s="88" t="inlineStr">
        <is>
          <t>¿De verdad? ¿Tantas palabras para decir eso?</t>
        </is>
      </c>
      <c r="D26" s="89" t="inlineStr">
        <is>
          <t>정말요? 겨우 그 말 하려고 그렇게 많은 단어를요?</t>
        </is>
      </c>
      <c r="E26" s="88" t="inlineStr">
        <is>
          <t>Carmen이 옳았음이 드러남</t>
        </is>
      </c>
      <c r="F26" s="111">
        <f>LEN(TRIM(C26))-LEN(SUBSTITUTE(TRIM(C26)," ",""))+1</f>
        <v/>
      </c>
      <c r="G26" s="111">
        <f>IF(F26&lt;=$D$4,"OK","초과")</f>
        <v/>
      </c>
    </row>
    <row r="27" ht="16.5" customHeight="1" s="81">
      <c r="A27" s="111" t="n">
        <v>20</v>
      </c>
      <c r="B27" s="91" t="inlineStr">
        <is>
          <t>DIEGO</t>
        </is>
      </c>
      <c r="C27" s="88" t="inlineStr">
        <is>
          <t>Bueno. A veces, sí.</t>
        </is>
      </c>
      <c r="D27" s="89" t="inlineStr">
        <is>
          <t>음. 가끔은, 그렇죠.</t>
        </is>
      </c>
      <c r="E27" s="88" t="inlineStr">
        <is>
          <t>Diego의 성장 씨앗</t>
        </is>
      </c>
      <c r="F27" s="111">
        <f>LEN(TRIM(C27))-LEN(SUBSTITUTE(TRIM(C27)," ",""))+1</f>
        <v/>
      </c>
      <c r="G27" s="111">
        <f>IF(F27&lt;=$D$4,"OK","초과")</f>
        <v/>
      </c>
    </row>
    <row r="28" ht="29.25" customHeight="1" s="81">
      <c r="A28" s="111" t="n">
        <v>21</v>
      </c>
      <c r="B28" s="91" t="inlineStr">
        <is>
          <t>PEPA</t>
        </is>
      </c>
      <c r="C28" s="88" t="inlineStr">
        <is>
          <t>Sentaos, que os pongo algo. Con el estómago vacío no se piensa.</t>
        </is>
      </c>
      <c r="D28" s="89" t="inlineStr">
        <is>
          <t>다들 앉아, 뭐 좀 내줄게. 배가 비면 생각이 안 돼.</t>
        </is>
      </c>
      <c r="E28" s="88" t="inlineStr">
        <is>
          <t>vosotros 명령형, Pepa의 시그니처 2개</t>
        </is>
      </c>
      <c r="F28" s="111">
        <f>LEN(TRIM(C28))-LEN(SUBSTITUTE(TRIM(C28)," ",""))+1</f>
        <v/>
      </c>
      <c r="G28" s="111">
        <f>IF(F28&lt;=$D$4,"OK","초과")</f>
        <v/>
      </c>
    </row>
    <row r="29" ht="29.25" customHeight="1" s="81">
      <c r="A29" s="111" t="n">
        <v>22</v>
      </c>
      <c r="B29" s="91" t="inlineStr">
        <is>
          <t>CARMEN</t>
        </is>
      </c>
      <c r="C29" s="88" t="inlineStr">
        <is>
          <t>Vale. Pero mañana, sin palabras raras, por favor.</t>
        </is>
      </c>
      <c r="D29" s="89" t="inlineStr">
        <is>
          <t>알았어요. 그래도 내일은 이상한 말 없이 부탁해요.</t>
        </is>
      </c>
      <c r="E29" s="88" t="n"/>
      <c r="F29" s="111">
        <f>LEN(TRIM(C29))-LEN(SUBSTITUTE(TRIM(C29)," ",""))+1</f>
        <v/>
      </c>
      <c r="G29" s="111">
        <f>IF(F29&lt;=$D$4,"OK","초과")</f>
        <v/>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0.xml><?xml version="1.0" encoding="utf-8"?>
<worksheet xmlns="http://schemas.openxmlformats.org/spreadsheetml/2006/main">
  <sheetPr filterMode="0">
    <tabColor rgb="FF7F7F7F"/>
    <outlinePr summaryBelow="1" summaryRight="1"/>
    <pageSetUpPr fitToPage="1"/>
  </sheetPr>
  <dimension ref="A1:E1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80" min="1" max="1"/>
    <col width="26" customWidth="1" style="80" min="2" max="2"/>
    <col width="46" customWidth="1" style="80" min="3" max="4"/>
    <col width="24" customWidth="1" style="80" min="5" max="5"/>
  </cols>
  <sheetData>
    <row r="1" ht="24" customHeight="1" s="81">
      <c r="A1" s="101" t="inlineStr">
        <is>
          <t>변경 이력과 미결 사항</t>
        </is>
      </c>
    </row>
    <row r="3" ht="18" customHeight="1" s="81">
      <c r="A3" s="102" t="inlineStr">
        <is>
          <t>1. 변경 이력</t>
        </is>
      </c>
      <c r="B3" s="85" t="n"/>
      <c r="C3" s="85" t="n"/>
      <c r="D3" s="85" t="n"/>
      <c r="E3" s="85" t="n"/>
    </row>
    <row r="4" ht="19.5" customHeight="1" s="81">
      <c r="A4" s="110" t="inlineStr">
        <is>
          <t>No</t>
        </is>
      </c>
      <c r="B4" s="103" t="inlineStr">
        <is>
          <t>항목</t>
        </is>
      </c>
      <c r="C4" s="103" t="inlineStr">
        <is>
          <t>이전</t>
        </is>
      </c>
      <c r="D4" s="103" t="inlineStr">
        <is>
          <t>이후</t>
        </is>
      </c>
      <c r="E4" s="103" t="inlineStr">
        <is>
          <t>반영 시트</t>
        </is>
      </c>
    </row>
    <row r="5" ht="42" customHeight="1" s="81">
      <c r="A5" s="111" t="n">
        <v>1</v>
      </c>
      <c r="B5" s="89" t="inlineStr">
        <is>
          <t>인원</t>
        </is>
      </c>
      <c r="C5" s="88" t="inlineStr">
        <is>
          <t>13인 (내각)</t>
        </is>
      </c>
      <c r="D5" s="88" t="inlineStr">
        <is>
          <t>14인 — 정보부 요원 Raimundo, 은행원 Gonzalo 추가. 14인 모두가 장관은 아니므로 '내각'보다 핵심 그룹(El Círculo de Lavapiés) 개념 사용</t>
        </is>
      </c>
      <c r="E5" s="89" t="inlineStr">
        <is>
          <t>개요, 캐릭터</t>
        </is>
      </c>
    </row>
    <row r="6" ht="16.5" customHeight="1" s="81">
      <c r="A6" s="111" t="n">
        <v>2</v>
      </c>
      <c r="B6" s="88" t="inlineStr">
        <is>
          <t>Raimundo 성</t>
        </is>
      </c>
      <c r="C6" s="88" t="inlineStr">
        <is>
          <t>Bosch (카탈루냐·독일계 느낌)</t>
        </is>
      </c>
      <c r="D6" s="88" t="inlineStr">
        <is>
          <t>Salcedo Vera</t>
        </is>
      </c>
      <c r="E6" s="89" t="inlineStr">
        <is>
          <t>캐릭터</t>
        </is>
      </c>
    </row>
    <row r="7" ht="29.25" customHeight="1" s="81">
      <c r="A7" s="111" t="n">
        <v>3</v>
      </c>
      <c r="B7" s="89" t="inlineStr">
        <is>
          <t>가상 상호명</t>
        </is>
      </c>
      <c r="C7" s="88" t="inlineStr">
        <is>
          <t>Hartmann &amp; Ruiz Auditores / Brandt Consulting (독일식)</t>
        </is>
      </c>
      <c r="D7" s="88" t="inlineStr">
        <is>
          <t>Ochoa &amp; Ruiz Auditores / Cenit Consultores</t>
        </is>
      </c>
      <c r="E7" s="89" t="inlineStr">
        <is>
          <t>캐릭터</t>
        </is>
      </c>
    </row>
    <row r="8" ht="42" customHeight="1" s="81">
      <c r="A8" s="111" t="n">
        <v>4</v>
      </c>
      <c r="B8" s="89" t="inlineStr">
        <is>
          <t>기관 실명</t>
        </is>
      </c>
      <c r="C8" s="88" t="inlineStr">
        <is>
          <t>Santander, BBVA, La Paz 병원 등</t>
        </is>
      </c>
      <c r="D8" s="88" t="inlineStr">
        <is>
          <t>Banco Ibérico, Hospital Universitario San Bartolomé 등 가상명 (이야기 속에서 부패와 얽히기 때문)</t>
        </is>
      </c>
      <c r="E8" s="89" t="inlineStr">
        <is>
          <t>캐릭터</t>
        </is>
      </c>
    </row>
    <row r="9" ht="29.25" customHeight="1" s="81">
      <c r="A9" s="111" t="n">
        <v>5</v>
      </c>
      <c r="B9" s="88" t="inlineStr">
        <is>
          <t>Anselmo</t>
        </is>
      </c>
      <c r="C9" s="89" t="inlineStr">
        <is>
          <t>우아한 은퇴 외교관</t>
        </is>
      </c>
      <c r="D9" s="89" t="inlineStr">
        <is>
          <t>가장 까칠한 심술 영감 + 시한부 (11부 6화 사망). 가짜 병은 엄살, 진짜 병은 만성 심부전</t>
        </is>
      </c>
      <c r="E9" s="88" t="inlineStr">
        <is>
          <t>Anselmo_죽음</t>
        </is>
      </c>
    </row>
    <row r="10" ht="16.5" customHeight="1" s="81">
      <c r="A10" s="111" t="n">
        <v>6</v>
      </c>
      <c r="B10" s="88" t="inlineStr">
        <is>
          <t>Carmen 폭발</t>
        </is>
      </c>
      <c r="C10" s="89" t="inlineStr">
        <is>
          <t>자주 폭발하는 인물 (안)</t>
        </is>
      </c>
      <c r="D10" s="89" t="inlineStr">
        <is>
          <t>폭발은 1부·9부 딱 2회. 욕은 폭발 장면 한정</t>
        </is>
      </c>
      <c r="E10" s="88" t="inlineStr">
        <is>
          <t>Carmen_폭발과욕</t>
        </is>
      </c>
    </row>
    <row r="11" ht="16.5" customHeight="1" s="81">
      <c r="A11" s="111" t="n">
        <v>7</v>
      </c>
      <c r="B11" s="88" t="inlineStr">
        <is>
          <t>Raimundo</t>
        </is>
      </c>
      <c r="C11" s="89" t="inlineStr">
        <is>
          <t>침묵으로 대답</t>
        </is>
      </c>
      <c r="D11" s="89" t="inlineStr">
        <is>
          <t>결론 대신 출처(서가 위치·법령·검색어)를 가리킴</t>
        </is>
      </c>
      <c r="E11" s="88" t="inlineStr">
        <is>
          <t>Raimundo_출처</t>
        </is>
      </c>
    </row>
    <row r="12" ht="42" customHeight="1" s="81">
      <c r="A12" s="111" t="n">
        <v>8</v>
      </c>
      <c r="B12" s="88" t="inlineStr">
        <is>
          <t>Raimundo 대사</t>
        </is>
      </c>
      <c r="C12" s="88" t="inlineStr">
        <is>
          <t>«Sigue el dinero. Y la ley que lo vigila.»</t>
        </is>
      </c>
      <c r="D12" s="88" t="inlineStr">
        <is>
          <t>«Todo dinero tiene una ley que lo vigila. Búscala.» — Gonzalo의 시그니처 «Sigue el dinero.»와 중복 방지</t>
        </is>
      </c>
      <c r="E12" s="88" t="inlineStr">
        <is>
          <t>Raimundo_출처</t>
        </is>
      </c>
    </row>
    <row r="13" ht="29.25" customHeight="1" s="81">
      <c r="A13" s="111" t="n">
        <v>9</v>
      </c>
      <c r="B13" s="89" t="inlineStr">
        <is>
          <t>출처표 정정</t>
        </is>
      </c>
      <c r="C13" s="89" t="inlineStr">
        <is>
          <t>주거·퇴거: 형사·민사소송법</t>
        </is>
      </c>
      <c r="D13" s="89" t="inlineStr">
        <is>
          <t>민사소송법(LEC, Ley 1/2000)의 퇴거(desahucio) 절차</t>
        </is>
      </c>
      <c r="E13" s="88" t="inlineStr">
        <is>
          <t>Raimundo_출처</t>
        </is>
      </c>
    </row>
    <row r="14" ht="16.5" customHeight="1" s="81">
      <c r="A14" s="111" t="n">
        <v>10</v>
      </c>
      <c r="B14" s="89" t="inlineStr">
        <is>
          <t>형식</t>
        </is>
      </c>
      <c r="C14" s="89" t="inlineStr">
        <is>
          <t>상황 설명 30% + 대화 70%</t>
        </is>
      </c>
      <c r="D14" s="89" t="inlineStr">
        <is>
          <t>전 화 100% 대화문 (지문 없음)</t>
        </is>
      </c>
      <c r="E14" s="89" t="inlineStr">
        <is>
          <t>대화문규칙</t>
        </is>
      </c>
    </row>
    <row r="15" ht="29.25" customHeight="1" s="81">
      <c r="A15" s="111" t="n">
        <v>11</v>
      </c>
      <c r="B15" s="88" t="inlineStr">
        <is>
          <t>1부 시범 장면</t>
        </is>
      </c>
      <c r="C15" s="88" t="inlineStr">
        <is>
          <t>(Silencio.), (Pepa deja el plato…) 등 괄호 지문 포함</t>
        </is>
      </c>
      <c r="D15" s="89" t="inlineStr">
        <is>
          <t>모든 지문을 대사로 대체</t>
        </is>
      </c>
      <c r="E15" s="88" t="inlineStr">
        <is>
          <t>1부_시범대사</t>
        </is>
      </c>
    </row>
    <row r="16" ht="29.25" customHeight="1" s="81">
      <c r="A16" s="111" t="n">
        <v>12</v>
      </c>
      <c r="B16" s="89" t="inlineStr">
        <is>
          <t>부 수</t>
        </is>
      </c>
      <c r="C16" s="88" t="inlineStr">
        <is>
          <t>11부작 (132화)</t>
        </is>
      </c>
      <c r="D16" s="88" t="inlineStr">
        <is>
          <t>12부작 (144화) — 12부는 1부 장면으로 돌아오는 원형 구조</t>
        </is>
      </c>
      <c r="E16" s="89" t="inlineStr">
        <is>
          <t>개요, 12부_구성</t>
        </is>
      </c>
    </row>
    <row r="17" ht="29.25" customHeight="1" s="81">
      <c r="A17" s="111" t="n">
        <v>13</v>
      </c>
      <c r="B17" s="89" t="inlineStr">
        <is>
          <t>정치 파트 구성</t>
        </is>
      </c>
      <c r="C17" s="88" t="inlineStr">
        <is>
          <t>8 정치 입문 · 9 의회 · 10 Moncloa · 11 사회 현안</t>
        </is>
      </c>
      <c r="D17" s="88" t="inlineStr">
        <is>
          <t>8 창당 · 9 시의회·자치의회 · 10 총선~총리 선출 · 11 국정 운영 · 12 귀환</t>
        </is>
      </c>
      <c r="E17" s="88" t="inlineStr">
        <is>
          <t>12부_구성, 화별목차_전체</t>
        </is>
      </c>
    </row>
    <row r="18" ht="42" customHeight="1" s="81">
      <c r="A18" s="111" t="n">
        <v>14</v>
      </c>
      <c r="B18" s="89" t="inlineStr">
        <is>
          <t>정치 용어 정정</t>
        </is>
      </c>
      <c r="C18" s="88" t="inlineStr">
        <is>
          <t>«여소야대», 신생 정당 단독 불신임안, 대통령제식 표현</t>
        </is>
      </c>
      <c r="D18" s="89" t="inlineStr">
        <is>
          <t>소수 정부·연립, investidura(1차 절대다수/2차 단순다수/2개월 시계), 건설적 불신임안(대안 후보+35명+176표)</t>
        </is>
      </c>
      <c r="E18" s="89" t="inlineStr">
        <is>
          <t>정치제도, 정치경로_의석</t>
        </is>
      </c>
    </row>
    <row r="19" ht="29.25" customHeight="1" s="81">
      <c r="A19" s="111" t="n">
        <v>15</v>
      </c>
      <c r="B19" s="89" t="inlineStr">
        <is>
          <t>권한 배분 반영</t>
        </is>
      </c>
      <c r="C19" s="89" t="inlineStr">
        <is>
          <t>총리가 병원 외주·임대료 상한을 직접 결정</t>
        </is>
      </c>
      <c r="D19" s="89" t="inlineStr">
        <is>
          <t>보건·주거는 자치주 권한 → 협의체, 법 개정, 재정 조건부 지원, 헌법재판소 다툼으로 재구성</t>
        </is>
      </c>
      <c r="E19" s="89" t="inlineStr">
        <is>
          <t>화별목차_전체 (11부 3~5화)</t>
        </is>
      </c>
    </row>
    <row r="20" ht="29.25" customHeight="1" s="81">
      <c r="A20" s="111" t="n">
        <v>16</v>
      </c>
      <c r="B20" s="89" t="inlineStr">
        <is>
          <t>횡재세</t>
        </is>
      </c>
      <c r="C20" s="89" t="inlineStr">
        <is>
          <t>긴급 칙령으로 부과</t>
        </is>
      </c>
      <c r="D20" s="89" t="inlineStr">
        <is>
          <t>긴급 칙령은 세금의 본질 요소를 다룰 수 없어 법률(의원 발의)로 진행</t>
        </is>
      </c>
      <c r="E20" s="89" t="inlineStr">
        <is>
          <t>화별목차_전체 (11부 8화)</t>
        </is>
      </c>
    </row>
    <row r="21" ht="29.25" customHeight="1" s="81">
      <c r="A21" s="111" t="n">
        <v>17</v>
      </c>
      <c r="B21" s="89" t="inlineStr">
        <is>
          <t>직책</t>
        </is>
      </c>
      <c r="C21" s="88" t="inlineStr">
        <is>
          <t>«청년비서관», «대변인» 등 임의 명칭</t>
        </is>
      </c>
      <c r="D21" s="89" t="inlineStr">
        <is>
          <t>현실 직제 기준으로 조정 (대통령실장, 국가안보실장, 커뮤니케이션 국무차관 등)</t>
        </is>
      </c>
      <c r="E21" s="89" t="inlineStr">
        <is>
          <t>캐릭터</t>
        </is>
      </c>
    </row>
    <row r="22" ht="29.25" customHeight="1" s="81">
      <c r="A22" s="111" t="n">
        <v>18</v>
      </c>
      <c r="B22" s="89" t="inlineStr">
        <is>
          <t>가상 정치 세계</t>
        </is>
      </c>
      <c r="C22" s="88" t="inlineStr">
        <is>
          <t>—</t>
        </is>
      </c>
      <c r="D22" s="89" t="inlineStr">
        <is>
          <t>정당·정치인 전부 가상 (Casa Común, UCN, PPS 등), 실명 금지</t>
        </is>
      </c>
      <c r="E22" s="89" t="inlineStr">
        <is>
          <t>정치경로_의석</t>
        </is>
      </c>
    </row>
    <row r="23" ht="29.25" customHeight="1" s="81">
      <c r="A23" s="111" t="n">
        <v>19</v>
      </c>
      <c r="B23" s="89" t="inlineStr">
        <is>
          <t>등급 기준</t>
        </is>
      </c>
      <c r="C23" s="89" t="inlineStr">
        <is>
          <t>핵심 조연 ≥ 39%</t>
        </is>
      </c>
      <c r="D23" s="88" t="inlineStr">
        <is>
          <t>13부 추가로 비중이 변해 재조정 (같은 등급 구성 유지, 수식이 자동 계산)</t>
        </is>
      </c>
      <c r="E23" s="89" t="inlineStr">
        <is>
          <t>등장비중</t>
        </is>
      </c>
    </row>
    <row r="24" ht="16.5" customHeight="1" s="81">
      <c r="A24" s="111" t="n">
        <v>20</v>
      </c>
      <c r="B24" s="88" t="inlineStr">
        <is>
          <t>11부 9화 담당</t>
        </is>
      </c>
      <c r="C24" s="88" t="inlineStr">
        <is>
          <t>Ramón이 협상 테이블</t>
        </is>
      </c>
      <c r="D24" s="88" t="inlineStr">
        <is>
          <t>Sofía가 협상, Ramón은 대표단 로지스틱스</t>
        </is>
      </c>
      <c r="E24" s="88" t="inlineStr">
        <is>
          <t>Anselmo_죽음</t>
        </is>
      </c>
    </row>
    <row r="25" ht="42" customHeight="1" s="81">
      <c r="A25" s="111" t="n">
        <v>21</v>
      </c>
      <c r="B25" s="89" t="inlineStr">
        <is>
          <t>현안 15개 반영</t>
        </is>
      </c>
      <c r="C25" s="88" t="inlineStr">
        <is>
          <t>5대 사회 현안 중심</t>
        </is>
      </c>
      <c r="D25" s="89" t="inlineStr">
        <is>
          <t>정치 파편화·사면·사법부·주거·영세기업·부채·청년·이민·고령화·기후·DANA·회복기금·국방비·젠더 법·녹색 갈등을 부별로 배치(전용 화 ●, 곁가지 ○)</t>
        </is>
      </c>
      <c r="E25" s="89" t="inlineStr">
        <is>
          <t>현안_배치, 현안_분포</t>
        </is>
      </c>
    </row>
    <row r="26" ht="42" customHeight="1" s="81">
      <c r="A26" s="111" t="n">
        <v>22</v>
      </c>
      <c r="B26" s="88" t="inlineStr">
        <is>
          <t>11부 재구성</t>
        </is>
      </c>
      <c r="C26" s="88" t="inlineStr">
        <is>
          <t>4화 응급실 / 5화 건강은 상품이 아니다 / 11화 거리의 변화</t>
        </is>
      </c>
      <c r="D26" s="88" t="inlineStr">
        <is>
          <t>4·5화 응급실 이야기를 4화로 통합, 5화 «El Reparto»(이민 분담) 신설, 11화 «La Gota Fría»(DANA), 성과 지표는 12화에 흡수</t>
        </is>
      </c>
      <c r="E26" s="89" t="inlineStr">
        <is>
          <t>화별목차_전체</t>
        </is>
      </c>
    </row>
    <row r="27" ht="29.25" customHeight="1" s="81">
      <c r="A27" s="111" t="n">
        <v>23</v>
      </c>
      <c r="B27" s="88" t="inlineStr">
        <is>
          <t>10부 2화</t>
        </is>
      </c>
      <c r="C27" s="88" t="inlineStr">
        <is>
          <t>15일의 유세(일반)</t>
        </is>
      </c>
      <c r="D27" s="89" t="inlineStr">
        <is>
          <t>내륙 과소 지역 방문: 텅 빈 스페인, 가뭄, 태양광 단지 찬반(녹색 대 녹색)</t>
        </is>
      </c>
      <c r="E27" s="89" t="inlineStr">
        <is>
          <t>화별목차_전체</t>
        </is>
      </c>
    </row>
    <row r="28" ht="29.25" customHeight="1" s="81">
      <c r="A28" s="111" t="n">
        <v>24</v>
      </c>
      <c r="B28" s="89" t="inlineStr">
        <is>
          <t>현실 수치</t>
        </is>
      </c>
      <c r="C28" s="89" t="inlineStr">
        <is>
          <t>붙여 주신 자료: 부채 97~99%, 청년 실업 20%대</t>
        </is>
      </c>
      <c r="D28" s="89" t="inlineStr">
        <is>
          <t>확인 결과 부채 약 100%(2026.7 99.9%), 25세 미만 실업 23.8%(2026 2분기)</t>
        </is>
      </c>
      <c r="E28" s="89" t="inlineStr">
        <is>
          <t>현안_배치</t>
        </is>
      </c>
    </row>
    <row r="29" ht="16.5" customHeight="1" s="81">
      <c r="A29" s="111" t="n">
        <v>25</v>
      </c>
      <c r="B29" s="89" t="inlineStr">
        <is>
          <t>캐릭터</t>
        </is>
      </c>
      <c r="C29" s="89" t="inlineStr">
        <is>
          <t>현안 담당 없음</t>
        </is>
      </c>
      <c r="D29" s="89" t="inlineStr">
        <is>
          <t>캐릭터 시트에 '현안 담당(ID)' 열 추가</t>
        </is>
      </c>
      <c r="E29" s="89" t="inlineStr">
        <is>
          <t>캐릭터</t>
        </is>
      </c>
    </row>
    <row r="30" ht="29.25" customHeight="1" s="81">
      <c r="A30" s="111" t="n">
        <v>26</v>
      </c>
      <c r="B30" s="89" t="inlineStr">
        <is>
          <t>아크 구성 계획</t>
        </is>
      </c>
      <c r="C30" s="88" t="inlineStr">
        <is>
          <t>—</t>
        </is>
      </c>
      <c r="D30" s="88" t="inlineStr">
        <is>
          <t>1~12부 아크별 구성 계획(서사 기능·로그라인·비트·인물 아크·복선·언어 설계) 시트 신설</t>
        </is>
      </c>
      <c r="E30" s="89" t="inlineStr">
        <is>
          <t>아크_구성계획</t>
        </is>
      </c>
    </row>
    <row r="31" ht="29.25" customHeight="1" s="81">
      <c r="A31" s="111" t="n">
        <v>27</v>
      </c>
      <c r="B31" s="89" t="inlineStr">
        <is>
          <t>화별 목차</t>
        </is>
      </c>
      <c r="C31" s="88" t="inlineStr">
        <is>
          <t>8~12부 60화</t>
        </is>
      </c>
      <c r="D31" s="88" t="inlineStr">
        <is>
          <t>1~12부 144화로 확장(1~7부 84화 신규), '서사 기능' 열 추가</t>
        </is>
      </c>
      <c r="E31" s="89" t="inlineStr">
        <is>
          <t>화별목차_전체</t>
        </is>
      </c>
    </row>
    <row r="32" ht="42" customHeight="1" s="81">
      <c r="A32" s="111" t="n">
        <v>28</v>
      </c>
      <c r="B32" s="89" t="inlineStr">
        <is>
          <t>공통 악역</t>
        </is>
      </c>
      <c r="C32" s="88" t="inlineStr">
        <is>
          <t>—</t>
        </is>
      </c>
      <c r="D32" s="88" t="inlineStr">
        <is>
          <t>Grupo Meridiano(가상)를 2~7부·9부·11~12부를 관통하는 악역으로 설정: 부동산(퇴거)·병원 외주·감사 고객·구조조정 고객</t>
        </is>
      </c>
      <c r="E32" s="89" t="inlineStr">
        <is>
          <t>아크_구성계획</t>
        </is>
      </c>
    </row>
    <row r="33" ht="42" customHeight="1" s="81">
      <c r="A33" s="111" t="n">
        <v>29</v>
      </c>
      <c r="B33" s="89" t="inlineStr">
        <is>
          <t>프레임 구조</t>
        </is>
      </c>
      <c r="C33" s="88" t="inlineStr">
        <is>
          <t>—</t>
        </is>
      </c>
      <c r="D33" s="88" t="inlineStr">
        <is>
          <t>2~5부는 금요일 밤 Pepa의 식탁(프레임)과 과거를 오가는 구조. 6부에서 '금요일 이야기' 규칙이 만들어짐</t>
        </is>
      </c>
      <c r="E33" s="89" t="inlineStr">
        <is>
          <t>아크_구성계획</t>
        </is>
      </c>
    </row>
    <row r="34" ht="16.5" customHeight="1" s="81">
      <c r="A34" s="111" t="n">
        <v>30</v>
      </c>
      <c r="B34" s="89" t="inlineStr">
        <is>
          <t>복선·회수</t>
        </is>
      </c>
      <c r="C34" s="88" t="inlineStr">
        <is>
          <t>—</t>
        </is>
      </c>
      <c r="D34" s="89" t="inlineStr">
        <is>
          <t>복선 설치→회수 28건과 간격을 수식으로 관리</t>
        </is>
      </c>
      <c r="E34" s="89" t="inlineStr">
        <is>
          <t>복선_회수</t>
        </is>
      </c>
    </row>
    <row r="35" ht="29.25" customHeight="1" s="81">
      <c r="A35" s="111" t="n">
        <v>31</v>
      </c>
      <c r="B35" s="89" t="inlineStr">
        <is>
          <t>확정 사항</t>
        </is>
      </c>
      <c r="C35" s="89" t="inlineStr">
        <is>
          <t>미결: 11부 재구성, 사면·DANA 수위, 젠더 법 범위</t>
        </is>
      </c>
      <c r="D35" s="89" t="inlineStr">
        <is>
          <t>모두 승인. 사면·DANA는 수위를 낮춰 가상 설정으로, 트랜스 관련 법은 다루지 않거나 언급 수준</t>
        </is>
      </c>
      <c r="E35" s="89" t="inlineStr">
        <is>
          <t>현안_배치</t>
        </is>
      </c>
    </row>
    <row r="36" ht="16.5" customHeight="1" s="81">
      <c r="A36" s="111" t="n">
        <v>32</v>
      </c>
      <c r="B36" s="89" t="inlineStr">
        <is>
          <t>카메오 과밀 해소</t>
        </is>
      </c>
      <c r="C36" s="88" t="inlineStr">
        <is>
          <t>1차 폭발 화에 Ramón·Raimundo·Nieves 집중</t>
        </is>
      </c>
      <c r="D36" s="88" t="inlineStr">
        <is>
          <t>Nieves의 욕은 9부 2차 폭발로 이관</t>
        </is>
      </c>
      <c r="E36" s="88" t="inlineStr">
        <is>
          <t>Carmen_폭발과욕</t>
        </is>
      </c>
    </row>
    <row r="37" ht="29.25" customHeight="1" s="81">
      <c r="A37" s="111" t="n">
        <v>33</v>
      </c>
      <c r="B37" s="89" t="inlineStr">
        <is>
          <t>화당 분량 확정</t>
        </is>
      </c>
      <c r="C37" s="89" t="inlineStr">
        <is>
          <t>화당 250~400단어(제안)</t>
        </is>
      </c>
      <c r="D37" s="89" t="inlineStr">
        <is>
          <t>화당 120턴 (부당 1,440턴, 전체 17,280턴). 낭독 시간은 부별 난이도 배율로 추정</t>
        </is>
      </c>
      <c r="E37" s="89" t="inlineStr">
        <is>
          <t>턴_설계, 대화문규칙</t>
        </is>
      </c>
    </row>
    <row r="38" ht="42" customHeight="1" s="81">
      <c r="A38" s="111" t="n">
        <v>34</v>
      </c>
      <c r="B38" s="89" t="inlineStr">
        <is>
          <t>대화량 표 신설</t>
        </is>
      </c>
      <c r="C38" s="88" t="inlineStr">
        <is>
          <t>—</t>
        </is>
      </c>
      <c r="D38" s="89" t="inlineStr">
        <is>
          <t>부별 화자 점유율(턴 기준), 평균 단어/턴, 화당 단어·낭독 시간, 화 유형별 턴 구성을 수식으로 관리</t>
        </is>
      </c>
      <c r="E38" s="89" t="inlineStr">
        <is>
          <t>턴_설계</t>
        </is>
      </c>
    </row>
    <row r="39" ht="29.25" customHeight="1" s="81">
      <c r="A39" s="111" t="n">
        <v>35</v>
      </c>
      <c r="B39" s="89" t="inlineStr">
        <is>
          <t>화별 목차</t>
        </is>
      </c>
      <c r="C39" s="89" t="inlineStr">
        <is>
          <t>턴 수 열 없음</t>
        </is>
      </c>
      <c r="D39" s="89" t="inlineStr">
        <is>
          <t>화별목차_전체에 '턴 수' 열과 합계 추가 (120 × 144화)</t>
        </is>
      </c>
      <c r="E39" s="89" t="inlineStr">
        <is>
          <t>화별목차_전체</t>
        </is>
      </c>
    </row>
    <row r="40" ht="29.25" customHeight="1" s="81">
      <c r="A40" s="111" t="n">
        <v>36</v>
      </c>
      <c r="B40" s="88" t="inlineStr">
        <is>
          <t>1부 1화 대본 (v1, 폐기)</t>
        </is>
      </c>
      <c r="C40" s="88" t="inlineStr">
        <is>
          <t>Carmen이 처음 만나는 인턴 — 자기소개 중심 (120턴 완성본 «Empieza la reunión»)</t>
        </is>
      </c>
      <c r="D40" s="88" t="inlineStr">
        <is>
          <t>1부 전체를 개소 1개월 후 시점으로 재설계하며 폐기. 대체: v2 «Otra carta más»</t>
        </is>
      </c>
      <c r="E40" s="89" t="inlineStr">
        <is>
          <t>화별목차_전체, 1부1화_v2_Otra_carta_mas.docx</t>
        </is>
      </c>
    </row>
    <row r="41" ht="67.5" customHeight="1" s="81">
      <c r="A41" s="111" t="n">
        <v>37</v>
      </c>
      <c r="B41" s="88" t="inlineStr">
        <is>
          <t>1부 전체 재설계</t>
        </is>
      </c>
      <c r="C41" s="88" t="inlineStr">
        <is>
          <t>12화 = 소개(1~2) + 산발적 사건 3건</t>
        </is>
      </c>
      <c r="D41" s="88" t="inlineStr">
        <is>
          <t>1부를 개소 1개월 후 시점으로 전환. 사건 6개, 각 2화(도입→해결) 구조로 12화 전체를 재편: ①Fátima 임대료(1~2) ②퇴거 집행(3~4) ③임금 체불·Carmen 1차 폭발(5~6) ④의료 접근(7~8) ⑤금융 사기·Gonzalo(9~10) ⑥오래된 서류·Mateo 훅(11~12)</t>
        </is>
      </c>
      <c r="E41" s="89" t="inlineStr">
        <is>
          <t>아크_구성계획, 화별목차_전체, 12부_구성</t>
        </is>
      </c>
    </row>
    <row r="42" ht="67.5" customHeight="1" s="81">
      <c r="A42" s="111" t="n">
        <v>38</v>
      </c>
      <c r="B42" s="88" t="inlineStr">
        <is>
          <t>1부 1화 대본 (v2, 신규)</t>
        </is>
      </c>
      <c r="C42" s="88" t="inlineStr">
        <is>
          <t>—</t>
        </is>
      </c>
      <c r="D42" s="88" t="inlineStr">
        <is>
          <t>«Otra carta más»(또 다른 편지) 120턴 신규 작성. 개소 1개월 후의 일상적 혼돈 속에 Fátima가 두 번째로 찾아와 사건1이 시작되고, 계약서가 없어 다음 날로 미루는 열린 결말(사건2화에서 해결 예정)</t>
        </is>
      </c>
      <c r="E42" s="88" t="inlineStr">
        <is>
          <t>1부1화_v2_Otra_carta_mas.docx</t>
        </is>
      </c>
    </row>
    <row r="43" ht="54.75" customHeight="1" s="81">
      <c r="A43" s="111" t="n">
        <v>39</v>
      </c>
      <c r="B43" s="89" t="inlineStr">
        <is>
          <t>등장비중 1부 재조정</t>
        </is>
      </c>
      <c r="C43" s="89" t="inlineStr">
        <is>
          <t>주력 4인 전원 1부 12화 등장(각 11~12)</t>
        </is>
      </c>
      <c r="D43" s="89" t="inlineStr">
        <is>
          <t>사건별로 교대 등장하도록 조정: Mateo 7·Javier 6·Sofía 7·Diego 6·Pepa 12(전 화 앵커)·Anselmo 4·Raimundo 3·Inés 2·Nieves 2·Gonzalo 2·Tomás 1·Lucía 1</t>
        </is>
      </c>
      <c r="E43" s="89" t="inlineStr">
        <is>
          <t>등장비중</t>
        </is>
      </c>
    </row>
    <row r="44" ht="29.25" customHeight="1" s="81">
      <c r="A44" s="111" t="n">
        <v>40</v>
      </c>
      <c r="B44" s="89" t="inlineStr">
        <is>
          <t>부 수 확장</t>
        </is>
      </c>
      <c r="C44" s="88" t="inlineStr">
        <is>
          <t>12부작 (144화)</t>
        </is>
      </c>
      <c r="D44" s="88" t="inlineStr">
        <is>
          <t>13부작 (156화). 11부를 '국정 I'과 '국정 II'로 분리하고 구 12부(귀환)를 13부로 renumber</t>
        </is>
      </c>
      <c r="E44" s="89" t="inlineStr">
        <is>
          <t>개요, 13부_구성, 아크_구성계획, 화별목차_전체</t>
        </is>
      </c>
    </row>
    <row r="45" ht="54.75" customHeight="1" s="81">
      <c r="A45" s="111" t="n">
        <v>41</v>
      </c>
      <c r="B45" s="88" t="inlineStr">
        <is>
          <t>Anselmo 사망 시점 이동</t>
        </is>
      </c>
      <c r="C45" s="88" t="inlineStr">
        <is>
          <t>11부 6화(청년 고용 협상 화)에서 사망, 브뤼셀 협상은 사후 메모로만 등장</t>
        </is>
      </c>
      <c r="D45" s="88" t="inlineStr">
        <is>
          <t>11부 9~11화에서 직접 브뤼셀 협상(NATO 방위비·EU 재정규칙)에 나서 승리한 뒤, 11부 12화(귀국 직후)에 사망. 12부는 장례식으로 열고 유작 메모로 2차 협상을 잇는다</t>
        </is>
      </c>
      <c r="E45" s="89" t="inlineStr">
        <is>
          <t>아크_구성계획, Anselmo_죽음, 화별목차_전체</t>
        </is>
      </c>
    </row>
    <row r="46" ht="80.25" customHeight="1" s="81">
      <c r="A46" s="111" t="n">
        <v>42</v>
      </c>
      <c r="B46" s="89" t="inlineStr">
        <is>
          <t>안셀모의 협상 장면</t>
        </is>
      </c>
      <c r="C46" s="88" t="inlineStr">
        <is>
          <t>—</t>
        </is>
      </c>
      <c r="D46" s="89" t="inlineStr">
        <is>
          <t>상대측의 과장·거짓 주장을 옛 합의 날짜로 정확히 반박하는 장면(11부 10화) 추가. 실존 정치 지도자(트럼프·푸틴 등)는 실명으로 쓰지 않고 완전히 가상의 인물로 대체 — 안셀모가 «이름은 말하지 않겠다»고 스스로 선을 긋는 대사로 처리(11부 9화)</t>
        </is>
      </c>
      <c r="E46" s="89" t="inlineStr">
        <is>
          <t>화별목차_전체, Anselmo_죽음</t>
        </is>
      </c>
    </row>
    <row r="47" ht="54.75" customHeight="1" s="81">
      <c r="A47" s="111" t="n">
        <v>43</v>
      </c>
      <c r="B47" s="88" t="inlineStr">
        <is>
          <t>NATO 방위비 실제 사실 반영</t>
        </is>
      </c>
      <c r="C47" s="89" t="inlineStr">
        <is>
          <t>목표 수치 미확인</t>
        </is>
      </c>
      <c r="D47" s="88" t="inlineStr">
        <is>
          <t>2025년 6월 헤이그 정상회의에서 실제 합의된 GDP 5%(핵심 3.5%+관련 1.5%, 2035년 시한) 목표와 스페인의 예외 인정을 검색으로 확인해 반영 (검색일 2026-09-22)</t>
        </is>
      </c>
      <c r="E47" s="89" t="inlineStr">
        <is>
          <t>정치제도</t>
        </is>
      </c>
    </row>
    <row r="48" ht="42" customHeight="1" s="81">
      <c r="A48" s="111" t="n">
        <v>44</v>
      </c>
      <c r="B48" s="89" t="inlineStr">
        <is>
          <t>신규 현안 3개 추가</t>
        </is>
      </c>
      <c r="C48" s="88" t="inlineStr">
        <is>
          <t>15개 현안</t>
        </is>
      </c>
      <c r="D48" s="88" t="inlineStr">
        <is>
          <t>N6 플랫폼 노동(라이더법) · N7 정보기관 사찰 스캔들(7부 도청 논쟁과 연결) · N8 청년 정신건강 위기, 모두 12부에 전용 화 배정</t>
        </is>
      </c>
      <c r="E48" s="89" t="inlineStr">
        <is>
          <t>현안_배치, 현안_분포</t>
        </is>
      </c>
    </row>
    <row r="49" ht="67.5" customHeight="1" s="81">
      <c r="A49" s="111" t="n">
        <v>45</v>
      </c>
      <c r="B49" s="89" t="inlineStr">
        <is>
          <t>고전 인용 장치</t>
        </is>
      </c>
      <c r="C49" s="88" t="inlineStr">
        <is>
          <t>—</t>
        </is>
      </c>
      <c r="D49" s="89" t="inlineStr">
        <is>
          <t>인물마다 다른 스페인 고전 출처를 맡겨 화마다 1~2명이 짧게 인용: Pepa=속담, Anselmo=세르반테스·칼데론·만리케, Raimundo=케베도(서지 톤), Tomás=로르카·베케르, Mateo=마차도(정치 연설). 전부 저작권 만료 공유 저작물의 정확한 원문만 사용</t>
        </is>
      </c>
      <c r="E49" s="89" t="inlineStr">
        <is>
          <t>대화문규칙, 캐릭터</t>
        </is>
      </c>
    </row>
    <row r="50" ht="29.25" customHeight="1" s="81">
      <c r="A50" s="111" t="n">
        <v>46</v>
      </c>
      <c r="B50" s="89" t="inlineStr">
        <is>
          <t>워크북 갱신 주기 변경</t>
        </is>
      </c>
      <c r="C50" s="89" t="inlineStr">
        <is>
          <t>화 완성마다 즉시 갱신</t>
        </is>
      </c>
      <c r="D50" s="89" t="inlineStr">
        <is>
          <t>부(시즌)가 끝날 때만, 또는 별도 요청 시에만 갱신하는 것으로 변경 (2026-09-22부터)</t>
        </is>
      </c>
      <c r="E50" s="89" t="inlineStr">
        <is>
          <t>운영 방침</t>
        </is>
      </c>
    </row>
    <row r="51" ht="80.25" customHeight="1" s="81">
      <c r="A51" s="111" t="n">
        <v>47</v>
      </c>
      <c r="B51" s="88" t="inlineStr">
        <is>
          <t>1부 완결 결산</t>
        </is>
      </c>
      <c r="C51" s="88" t="inlineStr">
        <is>
          <t>—</t>
        </is>
      </c>
      <c r="D51" s="88" t="inlineStr">
        <is>
          <t>1부 12화 전부 완성. 사건1 Fátima(1~2), 사건2 퇴거 저지(3~4, Ramón·Nieves 첫 카메오), 사건3 Álvaro(5~6, Carmen 1차 폭발), 사건4 Amina·Noa(7~8, Lucía·Tomás 첫 카메오), 사건5 Encarna(9~10, Gonzalo 첫 등장), 사건6 Rafael(11~12, Mateo의 옛 로펌 «Aguirre y Salvat» 훅 → 2부)</t>
        </is>
      </c>
      <c r="E51" s="89" t="inlineStr">
        <is>
          <t>화별목차_전체, 1부 대본 12편</t>
        </is>
      </c>
    </row>
    <row r="52" ht="132" customHeight="1" s="81">
      <c r="A52" s="111" t="n">
        <v>48</v>
      </c>
      <c r="B52" s="88" t="inlineStr">
        <is>
          <t>2부 완결 결산</t>
        </is>
      </c>
      <c r="C52" s="88" t="inlineStr">
        <is>
          <t>—</t>
        </is>
      </c>
      <c r="D52" s="88" t="inlineStr">
        <is>
          <t>2부 12화 전부 완성(프레임: 1·5·9·12화 / 과거: 2~4·6~8·10~11화). Mateo의 몰락과 각성 아크: 옛 로펌(2화)·Meridiano 첫 등장(3화)·Sofía «Esto no cuadra»·Raimundo «Búscalo tú» 탄생(4화)·Pepa의 옛 바 정체 폭로(5화)·«Ferrer 조항» 설계(6화)·Nieves·Remedios 첫 만남(7화)·Inés 첫 등장·«¿Está orgulloso?»(8화)·«Viernes: sigue» 프레임 장치(9화)·파트너 승진·Sofía와 tú 전환(10화)·Marina·«¿Usted ganó?»(11화)·사직과 Javier와의 재회(12화)</t>
        </is>
      </c>
      <c r="E52" s="89" t="inlineStr">
        <is>
          <t>화별목차_전체, 2부 대본 12편</t>
        </is>
      </c>
    </row>
    <row r="53" ht="67.5" customHeight="1" s="81">
      <c r="A53" s="111" t="n">
        <v>49</v>
      </c>
      <c r="B53" s="89" t="inlineStr">
        <is>
          <t>신규 가상 인물(2부)</t>
        </is>
      </c>
      <c r="C53" s="88" t="inlineStr">
        <is>
          <t>—</t>
        </is>
      </c>
      <c r="D53" s="88" t="inlineStr">
        <is>
          <t>Salvat(상사)·Quintana(Meridiano 회장)·Marina(Remedios의 손녀)·Rafael 이미 등재. 추가: Antonio(Remedios의 작고한 남편, 언급만), 로펌 동료 2인, 판사·상대측 국선변호사·행인·응급실 접수원 등 단역 다수(모두 가상, 이름 없거나 일회성)</t>
        </is>
      </c>
      <c r="E53" s="89" t="inlineStr">
        <is>
          <t>캐릭터 바이블 부록 필요 (미결 15번과 통합)</t>
        </is>
      </c>
    </row>
    <row r="54" ht="42" customHeight="1" s="81">
      <c r="A54" s="111" t="n">
        <v>50</v>
      </c>
      <c r="B54" s="89" t="inlineStr">
        <is>
          <t>복선_회수 갱신(2부)</t>
        </is>
      </c>
      <c r="C54" s="88" t="inlineStr">
        <is>
          <t>—</t>
        </is>
      </c>
      <c r="D54" s="88" t="inlineStr">
        <is>
          <t>Mateo–Sofía tú 전환(2부 10화 → 6부 회수) 신규 추가. 기존 «Sofía의 Esto no cuadra»(2부 4화 설치)는 실제 집필과 정확히 일치 확인</t>
        </is>
      </c>
      <c r="E54" s="89" t="inlineStr">
        <is>
          <t>복선_회수</t>
        </is>
      </c>
    </row>
    <row r="55" ht="29.25" customHeight="1" s="81">
      <c r="A55" s="111" t="n">
        <v>51</v>
      </c>
      <c r="B55" s="89" t="inlineStr">
        <is>
          <t>인원</t>
        </is>
      </c>
      <c r="C55" s="88" t="inlineStr">
        <is>
          <t>14인</t>
        </is>
      </c>
      <c r="D55" s="88" t="inlineStr">
        <is>
          <t>15인 — Cervantes(부활한 소설가) 추가, 그룹 '특별 인물' 신설. 남녀 비율 9:6으로 변경</t>
        </is>
      </c>
      <c r="E55" s="89" t="inlineStr">
        <is>
          <t>개요, 캐릭터, 등장비중</t>
        </is>
      </c>
    </row>
    <row r="56" ht="18" customHeight="1" s="81">
      <c r="A56" s="111" t="n">
        <v>52</v>
      </c>
      <c r="B56" s="89" t="inlineStr">
        <is>
          <t>세르반테스 합류(신규 인물)</t>
        </is>
      </c>
      <c r="C56" s="88" t="inlineStr">
        <is>
          <t>—</t>
        </is>
      </c>
      <c r="D56" s="88" t="inlineStr">
        <is>
          <t>3부 1화, 이유를 모른 채 부활해 Casa Pepa에 나타남 → 5화 정착(서류 없음, 발목 질문) → 12화 사무소 열쇠로 정식 합류(자료실 담당). 나이는 1부 시점 68세로 잡아 개요!C11(경과 연수 6)에 연동, 11부 74세. 정치 경로: 7부 신원 회복(민사등록에 동명이인으로 등록)→8부 창당 발기인→10부 하원의원→11~12부 문화부 장관, 12부 Anselmo 사후 외교 비공식 자문 겸임(대사는 최소로)</t>
        </is>
      </c>
      <c r="E56" s="89" t="inlineStr">
        <is>
          <t>캐릭터, 등장비중, 호칭규칙, 대화문규칙</t>
        </is>
      </c>
    </row>
    <row r="57" ht="19.5" customHeight="1" s="81">
      <c r="A57" s="111" t="n">
        <v>53</v>
      </c>
      <c r="B57" s="89" t="inlineStr">
        <is>
          <t>3부 완결 결산</t>
        </is>
      </c>
      <c r="C57" s="88" t="inlineStr">
        <is>
          <t>—</t>
        </is>
      </c>
      <c r="D57" s="88" t="inlineStr">
        <is>
          <t>3부 12화 전부 완성(프레임: 1·5·9·12화 / 과거: 2~4·6~8·10·11화). Javier의 죽음과 저항 아크: Mateo와의 재회(2화)·폭염(3화)·Meridiano 외주 발표·Diego 재등장(4화)·수첩 명단 공개(5화)·Nilda의 죽음과 제18조 3항(6화)·Sofía 첫 등장·«Esto no cuadra» 예고(7화)·Inés 본격 등장·징계(8화)·Lucía 첫 등장·«Primero, respira» 기원(9화)·Aurora의 죽음(10화)·사직(11화)·감사 서명의 주인 공개·Sofía의 «Mi turno.»(12화)</t>
        </is>
      </c>
      <c r="E57" s="89" t="inlineStr">
        <is>
          <t>화별목차_전체, 3부 대본 12편</t>
        </is>
      </c>
    </row>
    <row r="58" ht="29.25" customHeight="1" s="81">
      <c r="A58" s="111" t="n">
        <v>54</v>
      </c>
      <c r="B58" s="89" t="inlineStr">
        <is>
          <t>신규 가상 인물(3부)</t>
        </is>
      </c>
      <c r="C58" s="88" t="inlineStr">
        <is>
          <t>—</t>
        </is>
      </c>
      <c r="D58" s="88" t="inlineStr">
        <is>
          <t>Marisol(간호사)·Lucas(접수처 신입)·Nacho(이송 요원)·Clara(법률 자문)·Nilda·Teresa·Rubén·Sara·Aurora·그 남편·Rosa·Julián·Carmela·Pilar·Amparo 등 San Bartolomé 병원 관련 단역 다수(모두 가상, 일부 일회성)</t>
        </is>
      </c>
      <c r="E58" s="89" t="inlineStr">
        <is>
          <t>캐릭터 바이블 부록 필요 (미결 15번과 통합)</t>
        </is>
      </c>
    </row>
    <row r="59" ht="29.25" customHeight="1" s="81">
      <c r="A59" s="111" t="n">
        <v>55</v>
      </c>
      <c r="B59" s="89" t="inlineStr">
        <is>
          <t>4부 완결 결산</t>
        </is>
      </c>
      <c r="C59" s="88" t="inlineStr">
        <is>
          <t>—</t>
        </is>
      </c>
      <c r="D59" s="88" t="inlineStr">
        <is>
          <t>4부 12화 전부 완성(프레임: 1·5·9·12화 / 과거: 2~4·6~8·10~11화). Sofía의 감사·양심 아크: 회계 어휘 도입(1화)·표본추출·중요성(2화)·Meridiano 독립성 문제(3화)·«Esto no cuadra» 원점(4화)·아버지의 해고 서사(5화)·리스크 위원회 회부(6화)·위원회의 증거 불충분 결정(7화)·Quintana의 회유(8화)·«Espera.»(9화)·서명(10화)·Diego 재등장·사직(11화)·USB와 Diego의 «Yo hacía la lista.»(12화)</t>
        </is>
      </c>
      <c r="E59" s="89" t="inlineStr">
        <is>
          <t>화별목차_전체, 4부 대본 12편</t>
        </is>
      </c>
    </row>
    <row r="60" ht="29.25" customHeight="1" s="81">
      <c r="A60" s="111" t="n">
        <v>56</v>
      </c>
      <c r="B60" s="89" t="inlineStr">
        <is>
          <t>신규 가상 인물(4부)</t>
        </is>
      </c>
      <c r="C60" s="88" t="inlineStr">
        <is>
          <t>—</t>
        </is>
      </c>
      <c r="D60" s="88" t="inlineStr">
        <is>
          <t>Bruno(신입 감사인)·Ignacio Ochoa(파트너)·Casas·Rosa(리스크 위원회)·Quintana(그루포 메리디아노 회장)·Gonzalo Arévalo(은행 직원, 금융 그룹 카메오 인물의 과거 첫 등장)·Marta·Federico(파트너 2인)</t>
        </is>
      </c>
      <c r="E60" s="89" t="inlineStr">
        <is>
          <t>캐릭터 바이블 부록 필요 (미결 15번과 통합)</t>
        </is>
      </c>
    </row>
    <row r="61" ht="29.25" customHeight="1" s="81">
      <c r="A61" s="111" t="n">
        <v>57</v>
      </c>
      <c r="B61" s="89" t="inlineStr">
        <is>
          <t>5부 1~3화 완성</t>
        </is>
      </c>
      <c r="C61" s="88" t="inlineStr">
        <is>
          <t>—</t>
        </is>
      </c>
      <c r="D61" s="88" t="inlineStr">
        <is>
          <t>5부(El Consultor, Diego 시즌) 시작. 1화 프레임 «Viernes: en una matriz»(경영 어휘 도입), 2화 과거 «Cenit, planta 32»(up-or-out 문화, 매니저 승진까지), 3화 과거 «El taller de los Rueda»(첫 단독 프로젝트, 영세 공방 실패 경험)</t>
        </is>
      </c>
      <c r="E61" s="89" t="inlineStr">
        <is>
          <t>화별목차_전체, 5부 대본 3편</t>
        </is>
      </c>
    </row>
    <row r="62" ht="29.25" customHeight="1" s="81">
      <c r="A62" s="111" t="n">
        <v>58</v>
      </c>
      <c r="B62" s="89" t="inlineStr">
        <is>
          <t>⚠ 인물명 충돌 수정: Nieves → Alba</t>
        </is>
      </c>
      <c r="C62" s="88" t="inlineStr">
        <is>
          <t>Nieves(임시, 오기)</t>
        </is>
      </c>
      <c r="D62" s="88" t="inlineStr">
        <is>
          <t>5부 3화 초고에서 Rueda 가족의 딸 이름을 실수로 "Nieves"로 썼으나, Nieves Barroso(노조위원장, 5부 5·10화 및 7~11부 핵심 조연)와 충돌 확인. 즉시 "Alba"로 정정(대본·대사 전체 일괄 치환). 진짜 Nieves Barroso는 5부 4화 이후, ERE 협상 테이블(5화)에서 정식 등장 예정 — «Detrás de cada celda hay una persona.»는 그녀의 것으로 유지</t>
        </is>
      </c>
      <c r="E62" s="89" t="inlineStr">
        <is>
          <t>5부 3화 대본, 캐릭터 시트(확인용)</t>
        </is>
      </c>
    </row>
    <row r="63" ht="29.25" customHeight="1" s="81">
      <c r="A63" s="111" t="n">
        <v>59</v>
      </c>
      <c r="B63" s="89" t="inlineStr">
        <is>
          <t>5부 4화 제목 확인</t>
        </is>
      </c>
      <c r="C63" s="88" t="inlineStr">
        <is>
          <t>—</t>
        </is>
      </c>
      <c r="D63" s="89" t="inlineStr">
        <is>
          <t>화별목차_전체 기준 5부 4화는 «Proyecto Ícaro»(이카로 프로젝트, GM의 18% 절감 요청 킥오프 회의)이며, 3화 말미의 다음 화 예고 "El informe que no escribí"는 오기. 다음 화 제작 시 Proyecto Ícaro로 진행할 것</t>
        </is>
      </c>
      <c r="E63" s="89" t="inlineStr">
        <is>
          <t>5부 3화 대본 예고 문구(사소한 오기, 본문 영향 없음)</t>
        </is>
      </c>
    </row>
    <row r="64" ht="57.75" customHeight="1" s="81">
      <c r="A64" s="111" t="inlineStr">
        <is>
          <t>60</t>
        </is>
      </c>
      <c r="B64" s="89" t="inlineStr">
        <is>
          <t>5부 4~6화 완성</t>
        </is>
      </c>
      <c r="C64" s="88" t="inlineStr">
        <is>
          <t>—</t>
        </is>
      </c>
      <c r="D64" s="88" t="inlineStr">
        <is>
          <t>4화 과거 «Proyecto Ícaro»(킥오프, Fermín의 질문), 5화 프레임 «Viernes: un Excel»(엑셀 한 장, Sofía 서명 연결, 힌트 C47), 6화 과거 «La celda C47»(모델 승인, 412, 샴페인). 형식은 5부 1~3화 docx와 동일(15·30·30·30·15턴).</t>
        </is>
      </c>
      <c r="E64" s="89" t="inlineStr">
        <is>
          <t>화별목차_전체, 5부 대본 3편</t>
        </is>
      </c>
    </row>
    <row r="65" ht="57.75" customHeight="1" s="81">
      <c r="A65" s="111" t="inlineStr">
        <is>
          <t>61</t>
        </is>
      </c>
      <c r="B65" s="89" t="inlineStr">
        <is>
          <t>5부 4화 초안(v1) 폐기</t>
        </is>
      </c>
      <c r="C65" s="89" t="inlineStr">
        <is>
          <t>표 형식 docx, Marcos=Cenit 부하, Almudena 직급 가정, '약 2년 전'</t>
        </is>
      </c>
      <c r="D65" s="88" t="inlineStr">
        <is>
          <t>1~3화 대본과 대조해 재작성: Marcos는 2화에서 18개월 만에 퇴사한 동기 → 고객 측 경영관리 담당으로 재등장. Almudena는 2화의 '파트너 직전' → 4화에서 파트너 승진(Meridiano가 그녀의 '큰 고객'). 형식도 1~3화 docx로 통일</t>
        </is>
      </c>
      <c r="E65" s="89" t="inlineStr">
        <is>
          <t>5부4화_Proyecto_Icaro.docx</t>
        </is>
      </c>
    </row>
    <row r="66" ht="43.5" customHeight="1" s="81">
      <c r="A66" s="111" t="inlineStr">
        <is>
          <t>62</t>
        </is>
      </c>
      <c r="B66" s="89" t="inlineStr">
        <is>
          <t>5부 시간선 확정</t>
        </is>
      </c>
      <c r="C66" s="89" t="inlineStr">
        <is>
          <t>미정</t>
        </is>
      </c>
      <c r="D66" s="88" t="inlineStr">
        <is>
          <t>2화 9년 전(입사 25세) → 3화 8년 전(매니저 28세, 첫 단독) → 4·6화 2년 전(Diego 프린시펄 약 34세). 4화는 3화로부터 6년 뒤, 6화는 4화로부터 6주 뒤</t>
        </is>
      </c>
      <c r="E66" s="89" t="inlineStr">
        <is>
          <t>이어쓰기_가이드</t>
        </is>
      </c>
    </row>
    <row r="67" ht="43.5" customHeight="1" s="81">
      <c r="A67" s="111" t="inlineStr">
        <is>
          <t>63</t>
        </is>
      </c>
      <c r="B67" s="89" t="inlineStr">
        <is>
          <t>GM 자회사 설정</t>
        </is>
      </c>
      <c r="C67" s="88" t="inlineStr">
        <is>
          <t>'GM 임원(가상)'</t>
        </is>
      </c>
      <c r="D67" s="88" t="inlineStr">
        <is>
          <t>Meridiano Movilidad(시외버스·차고지·정비소, 직원 2,300명, 연 비용 2억 1,400만 유로). Nieves가 대중교통 노조위원장이라는 설정과 맞춤</t>
        </is>
      </c>
      <c r="E67" s="89" t="inlineStr">
        <is>
          <t>화별목차_전체, 이어쓰기_가이드</t>
        </is>
      </c>
    </row>
    <row r="68" ht="40.5" customHeight="1" s="81">
      <c r="A68" s="111" t="inlineStr">
        <is>
          <t>64</t>
        </is>
      </c>
      <c r="B68" s="89" t="inlineStr">
        <is>
          <t>C47 셀 정의</t>
        </is>
      </c>
      <c r="C68" s="88" t="inlineStr">
        <is>
          <t>'셀 하나가 412개 일자리'</t>
        </is>
      </c>
      <c r="D68" s="88" t="inlineStr">
        <is>
          <t>C열=사업장별 인원, 47행=합계 행 «Total puestos afectados, escenario seleccionado». 시나리오 B 선택 시 412(18.1%)</t>
        </is>
      </c>
      <c r="E68" s="89" t="inlineStr">
        <is>
          <t>복선_회수, 이어쓰기_가이드</t>
        </is>
      </c>
    </row>
    <row r="69" ht="29.25" customHeight="1" s="81">
      <c r="A69" s="111" t="inlineStr">
        <is>
          <t>65</t>
        </is>
      </c>
      <c r="B69" s="89" t="inlineStr">
        <is>
          <t>호칭: Diego → Carmen</t>
        </is>
      </c>
      <c r="C69" s="89" t="inlineStr">
        <is>
          <t>호칭규칙상 tú</t>
        </is>
      </c>
      <c r="D69" s="88" t="inlineStr">
        <is>
          <t>1화 대본은 usted였음. 5부 5화에서 말실수 후 Carmen의 허락으로 tú 전환. Carmen은 usted 유지</t>
        </is>
      </c>
      <c r="E69" s="89" t="inlineStr">
        <is>
          <t>호칭규칙</t>
        </is>
      </c>
    </row>
    <row r="70" ht="29.25" customHeight="1" s="81">
      <c r="A70" s="111" t="inlineStr">
        <is>
          <t>66</t>
        </is>
      </c>
      <c r="B70" s="89" t="inlineStr">
        <is>
          <t>Carmen의 과거 구체화</t>
        </is>
      </c>
      <c r="C70" s="88" t="inlineStr">
        <is>
          <t>'대기업 인턴에서 부당하게 쫓겨남'</t>
        </is>
      </c>
      <c r="D70" s="89" t="inlineStr">
        <is>
          <t>금요일에 이메일로 해고, 사유 «Reestructuración del área» (5부 5화)</t>
        </is>
      </c>
      <c r="E70" s="89" t="inlineStr">
        <is>
          <t>캐릭터(확인 필요)</t>
        </is>
      </c>
    </row>
    <row r="71" ht="57.75" customHeight="1" s="81">
      <c r="A71" s="111" t="inlineStr">
        <is>
          <t>67</t>
        </is>
      </c>
      <c r="B71" s="89" t="inlineStr">
        <is>
          <t>Sofía–Meridiano 연결의 프레임 처리</t>
        </is>
      </c>
      <c r="C71" s="88" t="inlineStr">
        <is>
          <t>—</t>
        </is>
      </c>
      <c r="D71" s="88" t="inlineStr">
        <is>
          <t>5부 5화에서 Sofía가 Lastra가 인용한 감사 의견이 자기 서명이었음을 밝힘. «Una cuenta limpia no lava una decisión.» 6부 6화 '같은 이름' 반전의 전모는 아직 말하지 않음</t>
        </is>
      </c>
      <c r="E71" s="89" t="inlineStr">
        <is>
          <t>복선_회수</t>
        </is>
      </c>
    </row>
    <row r="72" ht="43.5" customHeight="1" s="81">
      <c r="A72" s="111" t="inlineStr">
        <is>
          <t>68</t>
        </is>
      </c>
      <c r="B72" s="89" t="inlineStr">
        <is>
          <t>워크북 v23 갱신</t>
        </is>
      </c>
      <c r="C72" s="88" t="inlineStr">
        <is>
          <t>v22</t>
        </is>
      </c>
      <c r="D72" s="89" t="inlineStr">
        <is>
          <t>요청에 따라 5부 중간 갱신. '이어쓰기_가이드' 시트 신설, 화별목차 5부 4~6화 인물·사건 보강, 복선 8건 추가(34~41), 호칭규칙 보강</t>
        </is>
      </c>
      <c r="E72" s="89" t="inlineStr">
        <is>
          <t>개요, 이어쓰기_가이드</t>
        </is>
      </c>
    </row>
    <row r="73" ht="29.25" customHeight="1" s="81">
      <c r="A73" s="111" t="inlineStr">
        <is>
          <t>69</t>
        </is>
      </c>
      <c r="B73" s="89" t="inlineStr">
        <is>
          <t>5부 7~12화 완성</t>
        </is>
      </c>
      <c r="C73" s="88" t="inlineStr">
        <is>
          <t>—</t>
        </is>
      </c>
      <c r="D73" s="89" t="inlineStr">
        <is>
          <t>7 «La mesa de negociación», 8 «El correo equivocado», 9(프레임) «Viernes: cuatrocientos doce», 10 «La huelga», 11 «La última reunión», 12(프레임) «Viernes: un martes en Vallecas». 5부 12화 완결.</t>
        </is>
      </c>
      <c r="E73" s="89" t="inlineStr">
        <is>
          <t>화별목차_전체</t>
        </is>
      </c>
    </row>
    <row r="74" ht="29.25" customHeight="1" s="81">
      <c r="A74" s="111" t="inlineStr">
        <is>
          <t>70</t>
        </is>
      </c>
      <c r="B74" s="89" t="inlineStr">
        <is>
          <t>6부 1~12화 완성</t>
        </is>
      </c>
      <c r="C74" s="88" t="inlineStr">
        <is>
          <t>—</t>
        </is>
      </c>
      <c r="D74" s="89" t="inlineStr">
        <is>
          <t>6부(El Encuentro) 12화 완결. 과거 화 docx 틀, 난이도 B2, 15·30·30·30·15. 6부 12화 «Mañana, a las cinco»로 1부 1화에 원을 닫음.</t>
        </is>
      </c>
      <c r="E74" s="89" t="inlineStr">
        <is>
          <t>화별목차_전체</t>
        </is>
      </c>
    </row>
    <row r="75" ht="42" customHeight="1" s="81">
      <c r="A75" s="111" t="inlineStr">
        <is>
          <t>71</t>
        </is>
      </c>
      <c r="B75" s="89" t="inlineStr">
        <is>
          <t>ERE 결과 확정</t>
        </is>
      </c>
      <c r="C75" s="88" t="inlineStr">
        <is>
          <t>412(모델)</t>
        </is>
      </c>
      <c r="D75" s="89" t="inlineStr">
        <is>
          <t>합의 345명(초과근무 분배로 67개 자리 감소), 희망퇴직 35일치, Nieves 노조는 미서명. Yolanda는 잔류.</t>
        </is>
      </c>
      <c r="E75" s="89" t="inlineStr">
        <is>
          <t>이어쓰기_가이드</t>
        </is>
      </c>
    </row>
    <row r="76" ht="54.75" customHeight="1" s="81">
      <c r="A76" s="111" t="inlineStr">
        <is>
          <t>72</t>
        </is>
      </c>
      <c r="B76" s="89" t="inlineStr">
        <is>
          <t>집행 정지 제도 확인(검색)</t>
        </is>
      </c>
      <c r="C76" s="89" t="inlineStr">
        <is>
          <t>기획 지식</t>
        </is>
      </c>
      <c r="D76" s="89" t="inlineStr">
        <is>
          <t>취약·주거대안 없는 가구의 월세 체납 퇴거 정지가 2026-12-31까지 연장(RDL 2/2026), 임대인이 주택 2채 이하면 미적용. 대본엔 법령 번호·연도를 넣지 않음.</t>
        </is>
      </c>
      <c r="E76" s="89" t="inlineStr">
        <is>
          <t>6부 8화</t>
        </is>
      </c>
    </row>
    <row r="77" ht="29.25" customHeight="1" s="81">
      <c r="A77" s="111" t="inlineStr">
        <is>
          <t>73</t>
        </is>
      </c>
      <c r="B77" s="89" t="inlineStr">
        <is>
          <t>Picasso 7부 합류 결정</t>
        </is>
      </c>
      <c r="C77" s="88" t="inlineStr">
        <is>
          <t>—</t>
        </is>
      </c>
      <c r="D77" s="89" t="inlineStr">
        <is>
          <t>3부 Cervantes에 이어 두 번째 '설명되지 않는 부활'. 7부부터 등장. 핵심 주제: 법적으로 죽은 사람이라 서명할 수 없는 '가장 비싼 서명'(Sofía와 짝). 7부 포스터, 8부 당 상징, 11부 게르니카, 13부 귀환. 여성 관계에 대한 비판은 Carmen·Nieves·Lucía가 정면으로 다룸. Franco는 인물로 등장시키지 않음(부재로만), El Cid는 인용으로만.</t>
        </is>
      </c>
      <c r="E77" s="89" t="inlineStr">
        <is>
          <t>아크_구성계획(반영 필요), 이어쓰기_가이드</t>
        </is>
      </c>
    </row>
    <row r="78" ht="29.25" customHeight="1" s="81">
      <c r="A78" s="111" t="inlineStr">
        <is>
          <t>74</t>
        </is>
      </c>
      <c r="B78" s="89" t="inlineStr">
        <is>
          <t>색 팔레트 고정</t>
        </is>
      </c>
      <c r="C78" s="89" t="inlineStr">
        <is>
          <t>화별 임의</t>
        </is>
      </c>
      <c r="D78" s="89" t="inlineStr">
        <is>
          <t>7부부터 고정 팔레트 사용(이어쓰기_가이드 4번). 5·6부 일부 화는 화 안 중복만 피한 값(예: 6부 9화 Tomás 8E24AA, 6부 4화 Anselmo 8E24AA).</t>
        </is>
      </c>
      <c r="E78" s="89" t="inlineStr">
        <is>
          <t>이어쓰기_가이드</t>
        </is>
      </c>
    </row>
    <row r="79" ht="29.25" customHeight="1" s="81">
      <c r="A79" s="111" t="inlineStr">
        <is>
          <t>75</t>
        </is>
      </c>
      <c r="B79" s="89" t="inlineStr">
        <is>
          <t>워크북 v24 갱신</t>
        </is>
      </c>
      <c r="C79" s="88" t="inlineStr">
        <is>
          <t>v23</t>
        </is>
      </c>
      <c r="D79" s="89" t="inlineStr">
        <is>
          <t>5·6부 완결 반영: 화별목차 5부 7~12·6부 전체 사건/인물, 호칭규칙 4행, 복선 9건 추가(42~50)·5부분 회수 표시, 이어쓰기_가이드 전면 개정, 미결 정리.</t>
        </is>
      </c>
      <c r="E79" s="89" t="inlineStr">
        <is>
          <t>개요</t>
        </is>
      </c>
    </row>
    <row r="80" ht="42" customHeight="1" s="81">
      <c r="A80" s="111" t="inlineStr">
        <is>
          <t>76</t>
        </is>
      </c>
      <c r="B80" s="89" t="inlineStr">
        <is>
          <t>대화량 기준</t>
        </is>
      </c>
      <c r="C80" s="174" t="inlineStr">
        <is>
          <t>화당 120턴 고정</t>
        </is>
      </c>
      <c r="D80" s="89" t="inlineStr">
        <is>
          <t>7부 1화부터 화당 180턴으로 확대(사용자 요청, 2026-09-25). 표준 배분 22·45·45·45·23 (기존 15·30·30·30·15의 1.5배 근사). 1~6부는 120턴 그대로 유지. 8부 이후 적용 여부는 미결 31번.</t>
        </is>
      </c>
      <c r="E80" s="89" t="inlineStr">
        <is>
          <t>턴_설계, 화별목차_전체, 이어쓰기_가이드</t>
        </is>
      </c>
    </row>
    <row r="81" ht="29.25" customHeight="1" s="81">
      <c r="A81" s="111" t="inlineStr">
        <is>
          <t>77</t>
        </is>
      </c>
      <c r="B81" s="89" t="inlineStr">
        <is>
          <t>7부 1~5화 완성</t>
        </is>
      </c>
      <c r="C81" s="88" t="inlineStr">
        <is>
          <t>—</t>
        </is>
      </c>
      <c r="D81" s="89" t="inlineStr">
        <is>
          <t>7부(La Red de Resistencia) 1~5화 대본 완료: 1 Un año después(Picasso 합류, 개소 1주년) · 2 La cola en la escalera(접수 매트릭스, 색 4단계) · 3 La ley que castigó a la víctima(Elena, N4) · 4 Sin papeles(Bilal, S2, Cervantes 신원 회복) · 5 La denuncia de Gonzalo(카르디날↔메리디아노 연결).</t>
        </is>
      </c>
      <c r="E81" s="89" t="inlineStr">
        <is>
          <t>화별목차_전체, 7부 대본 5편(7부1~5화_*.docx)</t>
        </is>
      </c>
    </row>
    <row r="82" ht="29.25" customHeight="1" s="81">
      <c r="A82" s="111" t="inlineStr">
        <is>
          <t>78</t>
        </is>
      </c>
      <c r="B82" s="89" t="inlineStr">
        <is>
          <t>복선 회수(7부)</t>
        </is>
      </c>
      <c r="C82" s="88" t="inlineStr">
        <is>
          <t>—</t>
        </is>
      </c>
      <c r="D82" s="89" t="inlineStr">
        <is>
          <t>복선 31(Cervantes 신원 미확인, 7부 4화)·44(카르디날 단독관리자, 7부 5화)·45(Gonzalo 잘리기 직전, 7부 5화) 회수 완료. H열 앞에 [회수 완료 v25] 표시.</t>
        </is>
      </c>
      <c r="E82" s="89" t="inlineStr">
        <is>
          <t>복선_회수</t>
        </is>
      </c>
    </row>
    <row r="83" ht="15" customHeight="1" s="81">
      <c r="A83" s="111" t="inlineStr">
        <is>
          <t>79</t>
        </is>
      </c>
      <c r="B83" s="89" t="inlineStr">
        <is>
          <t>7부 신규 가상 인물</t>
        </is>
      </c>
      <c r="C83" s="88" t="inlineStr">
        <is>
          <t>—</t>
        </is>
      </c>
      <c r="D83" s="89" t="inlineStr">
        <is>
          <t>Bilal·Milagros·Ángeles·Iker·Elena 추가(7부 2~4화). Karim은 6부 12화에서 이미 등장했으나 7부부터 고정 색(5B9BD5) 부여. Picasso는 7부 1화에서 합류 완료(수습 열쇠 수령), 2화에서 매트릭스 채색.</t>
        </is>
      </c>
      <c r="E83" s="89" t="inlineStr">
        <is>
          <t>이어쓰기_가이드</t>
        </is>
      </c>
    </row>
    <row r="84" ht="15" customHeight="1" s="81">
      <c r="A84" s="152" t="inlineStr">
        <is>
          <t>80</t>
        </is>
      </c>
      <c r="B84" s="109" t="inlineStr">
        <is>
          <t>7부 8~12화 완성</t>
        </is>
      </c>
      <c r="C84" s="105" t="inlineStr">
        <is>
          <t>—</t>
        </is>
      </c>
      <c r="D84" s="109" t="inlineStr">
        <is>
          <t>8 El micrófono en la lámpara · 9 La guardia del barrio · 10 El auto · 11 La ley que viene · 12 Una silla en Sol. (7부 6화는 미결 34번)</t>
        </is>
      </c>
      <c r="E84" s="109" t="inlineStr">
        <is>
          <t>화별목차_전체, 7부 대본</t>
        </is>
      </c>
    </row>
    <row r="85" ht="15" customHeight="1" s="81">
      <c r="A85" s="152" t="inlineStr">
        <is>
          <t>81</t>
        </is>
      </c>
      <c r="B85" s="109" t="inlineStr">
        <is>
          <t>8부 1~12화 완성</t>
        </is>
      </c>
      <c r="C85" s="105" t="inlineStr">
        <is>
          <t>—</t>
        </is>
      </c>
      <c r="D85" s="109" t="inlineStr">
        <is>
          <t>8부(창당) 12화 완결. 180턴 유지(사용자 확정). ILP 기각 78:168:104 → Casa Común 창당 → 시의회 9석·자치의회 11석(가상).</t>
        </is>
      </c>
      <c r="E85" s="109" t="inlineStr">
        <is>
          <t>화별목차_전체, 8부 대본 12편</t>
        </is>
      </c>
    </row>
    <row r="86" ht="15" customHeight="1" s="81">
      <c r="A86" s="152" t="inlineStr">
        <is>
          <t>82</t>
        </is>
      </c>
      <c r="B86" s="109" t="inlineStr">
        <is>
          <t>9부 1화 완성</t>
        </is>
      </c>
      <c r="C86" s="105" t="inlineStr">
        <is>
          <t>—</t>
        </is>
      </c>
      <c r="D86" s="109" t="inlineStr">
        <is>
          <t>La constitución de la Corporación: PPS 제안 거절, 연령 의장단(Iker), LOREG 196으로 UCN 알칼데. 9부도 180턴으로 집필.</t>
        </is>
      </c>
      <c r="E86" s="109" t="inlineStr">
        <is>
          <t>화별목차_전체, 9부 대본</t>
        </is>
      </c>
    </row>
    <row r="87" ht="15" customHeight="1" s="81">
      <c r="A87" s="152" t="inlineStr">
        <is>
          <t>83</t>
        </is>
      </c>
      <c r="B87" s="109" t="inlineStr">
        <is>
          <t>화별목차 턴 수</t>
        </is>
      </c>
      <c r="C87" s="105">
        <f>턴_설계!$B$5 (120)</f>
        <v/>
      </c>
      <c r="D87" s="109" t="inlineStr">
        <is>
          <t>8·9부 행 턴 수를 180으로 입력(10부 이후는 수식 그대로).</t>
        </is>
      </c>
      <c r="E87" s="109" t="inlineStr">
        <is>
          <t>화별목차_전체</t>
        </is>
      </c>
    </row>
    <row r="88" ht="15" customHeight="1" s="81">
      <c r="A88" s="152" t="inlineStr">
        <is>
          <t>84</t>
        </is>
      </c>
      <c r="B88" s="109" t="inlineStr">
        <is>
          <t>가상 정당 추가</t>
        </is>
      </c>
      <c r="C88" s="105" t="inlineStr">
        <is>
          <t>CC·UCN·PPS·HU·TA·TB</t>
        </is>
      </c>
      <c r="D88" s="109" t="inlineStr">
        <is>
          <t>Plataforma Vecinal(PV) 추가, 시의회 결과·알칼데 표결 시뮬레이션(3-D) 추가.</t>
        </is>
      </c>
      <c r="E88" s="109" t="inlineStr">
        <is>
          <t>정치경로_의석</t>
        </is>
      </c>
    </row>
    <row r="89" ht="15" customHeight="1" s="81">
      <c r="A89" s="152" t="inlineStr">
        <is>
          <t>85</t>
        </is>
      </c>
      <c r="B89" s="109" t="inlineStr">
        <is>
          <t>색 고정 추가</t>
        </is>
      </c>
      <c r="C89" s="105" t="inlineStr">
        <is>
          <t>일회성 색</t>
        </is>
      </c>
      <c r="D89" s="109" t="inlineStr">
        <is>
          <t>Milagros A0522D, Iker A64D79 고정. 단역에 7F7F7F 사용 금지(Raimundo와 겹침).</t>
        </is>
      </c>
      <c r="E89" s="109" t="inlineStr">
        <is>
          <t>이어쓰기_가이드</t>
        </is>
      </c>
    </row>
    <row r="90" ht="15" customHeight="1" s="81">
      <c r="A90" s="152" t="inlineStr">
        <is>
          <t>86</t>
        </is>
      </c>
      <c r="B90" s="109" t="inlineStr">
        <is>
          <t>복선 9건 추가</t>
        </is>
      </c>
      <c r="C90" s="105" t="inlineStr">
        <is>
          <t>50건</t>
        </is>
      </c>
      <c r="D90" s="109" t="inlineStr">
        <is>
          <t>51~59 추가(59 Iker는 회수 완료).</t>
        </is>
      </c>
      <c r="E90" s="109" t="inlineStr">
        <is>
          <t>복선_회수</t>
        </is>
      </c>
    </row>
    <row r="91" ht="15" customHeight="1" s="81"/>
    <row r="92" ht="29.25" customHeight="1" s="81">
      <c r="A92" s="102" t="inlineStr">
        <is>
          <t>2. 미결 사항 (확정 필요)</t>
        </is>
      </c>
      <c r="B92" s="85" t="n"/>
      <c r="C92" s="85" t="n"/>
      <c r="D92" s="85" t="n"/>
      <c r="E92" s="85" t="n"/>
    </row>
    <row r="93" ht="29.25" customHeight="1" s="81">
      <c r="A93" s="110" t="inlineStr">
        <is>
          <t>No</t>
        </is>
      </c>
      <c r="B93" s="103" t="inlineStr">
        <is>
          <t>항목</t>
        </is>
      </c>
      <c r="C93" s="103" t="inlineStr">
        <is>
          <t>내용</t>
        </is>
      </c>
      <c r="D93" s="103" t="inlineStr">
        <is>
          <t>제안</t>
        </is>
      </c>
      <c r="E93" s="103" t="inlineStr">
        <is>
          <t>관련 시트</t>
        </is>
      </c>
    </row>
    <row r="94" ht="43.5" customHeight="1" s="81">
      <c r="A94" s="111" t="n">
        <v>1</v>
      </c>
      <c r="B94" s="88" t="inlineStr">
        <is>
          <t>Ferrer / Iturbe 성</t>
        </is>
      </c>
      <c r="C94" s="88" t="inlineStr">
        <is>
          <t>Mateo Ferrer(카탈루냐계), Ramón Iturbe(바스크계)는 스페인에 흔한 성이지만 지역색이 있다.</t>
        </is>
      </c>
      <c r="D94" s="89" t="inlineStr">
        <is>
          <t>순수 카스티야식을 원하면 Ferrer → Fuentes, Iturbe → Cebrián</t>
        </is>
      </c>
      <c r="E94" s="89" t="inlineStr">
        <is>
          <t>캐릭터</t>
        </is>
      </c>
    </row>
    <row r="95" ht="29.25" customHeight="1" s="81">
      <c r="A95" s="111" t="n">
        <v>2</v>
      </c>
      <c r="B95" s="88" t="inlineStr">
        <is>
          <t>Raimundo 카드의 범위</t>
        </is>
      </c>
      <c r="C95" s="89" t="inlineStr">
        <is>
          <t>카드를 전 화(144화)에 넣을지, Raimundo 등장 화(약 57화)에만 넣을지.</t>
        </is>
      </c>
      <c r="D95" s="89" t="inlineStr">
        <is>
          <t>등장 화에만 넣고, 미등장 화는 Carmen이 사전(DLE·DPEJ)을 찾는 짧은 대사로 대체</t>
        </is>
      </c>
      <c r="E95" s="88" t="inlineStr">
        <is>
          <t>Raimundo_출처</t>
        </is>
      </c>
    </row>
    <row r="96" ht="29.25" customHeight="1" s="81">
      <c r="A96" s="111" t="n">
        <v>3</v>
      </c>
      <c r="B96" s="88" t="inlineStr">
        <is>
          <t>Carmen → 주력 4인 호칭 전환</t>
        </is>
      </c>
      <c r="C96" s="88" t="inlineStr">
        <is>
          <t>Anselmo에게만 11부 7화에서 tú로 전환한다는 것 외에, 다른 인물에게 언제 tú로 넘어가는지 미정.</t>
        </is>
      </c>
      <c r="D96" s="88" t="inlineStr">
        <is>
          <t>6부 만남 이후 자연스럽게 tú (Anselmo·Ramón·Gonzalo는 usted 유지)</t>
        </is>
      </c>
      <c r="E96" s="89" t="inlineStr">
        <is>
          <t>호칭규칙</t>
        </is>
      </c>
    </row>
    <row r="97" ht="29.25" customHeight="1" s="81">
      <c r="A97" s="111" t="n">
        <v>4</v>
      </c>
      <c r="B97" s="89" t="inlineStr">
        <is>
          <t>경과 연수 가정</t>
        </is>
      </c>
      <c r="C97" s="88" t="inlineStr">
        <is>
          <t>1부→11부 6년 가정(Anselmo 74→80세). 12부는 그 이후 시점.</t>
        </is>
      </c>
      <c r="D97" s="89" t="inlineStr">
        <is>
          <t>확정 시 개요!C11만 수정</t>
        </is>
      </c>
      <c r="E97" s="89" t="inlineStr">
        <is>
          <t>개요</t>
        </is>
      </c>
    </row>
    <row r="98" ht="29.25" customHeight="1" s="81">
      <c r="A98" s="111" t="n">
        <v>5</v>
      </c>
      <c r="B98" s="89" t="inlineStr">
        <is>
          <t>정치 직책</t>
        </is>
      </c>
      <c r="C98" s="88" t="inlineStr">
        <is>
          <t>14인의 직책은 제안 단계.</t>
        </is>
      </c>
      <c r="D98" s="88" t="inlineStr">
        <is>
          <t>Raimundo는 CNI 국장이 아닌 '정보기관 감독 개혁 자문'으로 유지</t>
        </is>
      </c>
      <c r="E98" s="89" t="inlineStr">
        <is>
          <t>캐릭터</t>
        </is>
      </c>
    </row>
    <row r="99" ht="29.25" customHeight="1" s="81">
      <c r="A99" s="111" t="n">
        <v>6</v>
      </c>
      <c r="B99" s="89" t="inlineStr">
        <is>
          <t>법령·조항 확인</t>
        </is>
      </c>
      <c r="C99" s="89" t="inlineStr">
        <is>
          <t>출처표·제도표의 법령 번호·조항은 기획 시점 지식 기준.</t>
        </is>
      </c>
      <c r="D99" s="89" t="inlineStr">
        <is>
          <t>교재 반영 전 BOE 현행본(texto consolidado)으로 확인. 기밀법은 특히 개정 논의 중</t>
        </is>
      </c>
      <c r="E99" s="88" t="inlineStr">
        <is>
          <t>Raimundo_출처, 정치제도</t>
        </is>
      </c>
    </row>
    <row r="100" ht="29.25" customHeight="1" s="81">
      <c r="A100" s="111" t="n">
        <v>7</v>
      </c>
      <c r="B100" s="89" t="inlineStr">
        <is>
          <t>대화량 실측 교정</t>
        </is>
      </c>
      <c r="C100" s="89" t="inlineStr">
        <is>
          <t>화당 120턴은 확정. 화자 점유율·평균 단어/턴·낭독 속도(130단어/분)는 가정값이다.</t>
        </is>
      </c>
      <c r="D100" s="88" t="inlineStr">
        <is>
          <t>1부 1~3화 대본을 쓴 뒤 실제 턴·단어를 재서 '턴_설계'의 파란 값을 교정</t>
        </is>
      </c>
      <c r="E100" s="89" t="inlineStr">
        <is>
          <t>턴_설계</t>
        </is>
      </c>
    </row>
    <row r="101" ht="29.25" customHeight="1" s="81">
      <c r="A101" s="111" t="n">
        <v>8</v>
      </c>
      <c r="B101" s="88" t="inlineStr">
        <is>
          <t>Lucía 비중 보강</t>
        </is>
      </c>
      <c r="C101" s="89" t="inlineStr">
        <is>
          <t>약 36%로 가장 얇다.</t>
        </is>
      </c>
      <c r="D101" s="88" t="inlineStr">
        <is>
          <t>3·5부 상담 장면 확대, 11부 Anselmo 애도 상담 배정</t>
        </is>
      </c>
      <c r="E101" s="89" t="inlineStr">
        <is>
          <t>등장비중, Anselmo_죽음</t>
        </is>
      </c>
    </row>
    <row r="102" ht="29.25" customHeight="1" s="81">
      <c r="A102" s="111" t="n">
        <v>9</v>
      </c>
      <c r="B102" s="89" t="inlineStr">
        <is>
          <t>정부 형태</t>
        </is>
      </c>
      <c r="C102" s="88" t="inlineStr">
        <is>
          <t>CC 단독 소수 정부 + PPS·지역정당 법안별 지지 (현재 설정)</t>
        </is>
      </c>
      <c r="D102" s="88" t="inlineStr">
        <is>
          <t>PPS 장관을 포함한 연립으로 갈지 결정</t>
        </is>
      </c>
      <c r="E102" s="89" t="inlineStr">
        <is>
          <t>정치경로_의석</t>
        </is>
      </c>
    </row>
    <row r="103" ht="15" customHeight="1" s="81">
      <c r="A103" s="111" t="n">
        <v>10</v>
      </c>
      <c r="B103" s="89" t="inlineStr">
        <is>
          <t>겸직 규정 확인</t>
        </is>
      </c>
      <c r="C103" s="88" t="inlineStr">
        <is>
          <t>Sofía는 시의원, Javier는 자치의원으로 직책을 분리하고 Mateo만 하원에 출마시키는 설정.</t>
        </is>
      </c>
      <c r="D103" s="89" t="inlineStr">
        <is>
          <t>시의원·자치의원·하원의원의 겸직 가능 여부를 LOREG 등으로 확인한 뒤 확정</t>
        </is>
      </c>
      <c r="E103" s="89" t="inlineStr">
        <is>
          <t>정치제도</t>
        </is>
      </c>
    </row>
    <row r="104" ht="15" customHeight="1" s="81">
      <c r="A104" s="111" t="n">
        <v>11</v>
      </c>
      <c r="B104" s="89" t="inlineStr">
        <is>
          <t>가상 수치</t>
        </is>
      </c>
      <c r="C104" s="89" t="inlineStr">
        <is>
          <t>의석 수(62·112 등)와 1표 차 설정은 교육용 가상 수치.</t>
        </is>
      </c>
      <c r="D104" s="89" t="inlineStr">
        <is>
          <t>드라마 효과에 맞춰 조정 가능 (정치경로_의석의 파란 셀)</t>
        </is>
      </c>
      <c r="E104" s="89" t="inlineStr">
        <is>
          <t>정치경로_의석</t>
        </is>
      </c>
    </row>
    <row r="105" ht="29.25" customHeight="1" s="81">
      <c r="A105" s="111" t="n">
        <v>12</v>
      </c>
      <c r="B105" s="89" t="inlineStr">
        <is>
          <t>국왕 표현 방침</t>
        </is>
      </c>
      <c r="C105" s="89" t="inlineStr">
        <is>
          <t>국왕은 직접 대사 없이 하원의장이 절차를 전달.</t>
        </is>
      </c>
      <c r="D105" s="89" t="inlineStr">
        <is>
          <t>확정 필요</t>
        </is>
      </c>
      <c r="E105" s="89" t="inlineStr">
        <is>
          <t>대화문규칙</t>
        </is>
      </c>
    </row>
    <row r="106" ht="29.25" customHeight="1" s="81">
      <c r="A106" s="111" t="n">
        <v>13</v>
      </c>
      <c r="B106" s="89" t="inlineStr">
        <is>
          <t>법안 형태·협의체 세부</t>
        </is>
      </c>
      <c r="C106" s="88" t="inlineStr">
        <is>
          <t>11부의 법안 형태(주거법: 법률 vs 긴급 칙령), 자치주 협의체 세부.</t>
        </is>
      </c>
      <c r="D106" s="88" t="inlineStr">
        <is>
          <t>BOE·하원 자료로 확인 후 집필</t>
        </is>
      </c>
      <c r="E106" s="89" t="inlineStr">
        <is>
          <t>정치제도</t>
        </is>
      </c>
    </row>
    <row r="107" ht="29.25" customHeight="1" s="81">
      <c r="A107" s="111" t="n">
        <v>14</v>
      </c>
      <c r="B107" s="89" t="inlineStr">
        <is>
          <t>등장비중 재조정</t>
        </is>
      </c>
      <c r="C107" s="88" t="inlineStr">
        <is>
          <t>1~7부 화별 목차에서 카메오·교차 출연이 정해졌으므로 등장비중 표와의 미세한 차이가 있다.</t>
        </is>
      </c>
      <c r="D107" s="89" t="inlineStr">
        <is>
          <t>화별 대본 집필 전에 표를 화별 목차 기준으로 재집계</t>
        </is>
      </c>
      <c r="E107" s="89" t="inlineStr">
        <is>
          <t>등장비중, 화별목차_전체</t>
        </is>
      </c>
    </row>
    <row r="108" ht="29.25" customHeight="1" s="81">
      <c r="A108" s="111" t="n">
        <v>15</v>
      </c>
      <c r="B108" s="89" t="inlineStr">
        <is>
          <t>가상 인물 목록</t>
        </is>
      </c>
      <c r="C108" s="88" t="inlineStr">
        <is>
          <t>Quintana(GM 회장), Salvat·Ochoa(파트너), Remedios·Marina, Marisol(간호사), Rueda(공방), Lucas(새 인턴) 등 신규 가상 인물.</t>
        </is>
      </c>
      <c r="D108" s="89" t="inlineStr">
        <is>
          <t>이름·나이·말투를 캐릭터 바이블 부록으로 확정</t>
        </is>
      </c>
      <c r="E108" s="89" t="inlineStr">
        <is>
          <t>아크_구성계획</t>
        </is>
      </c>
    </row>
    <row r="109" ht="29.25" customHeight="1" s="81">
      <c r="A109" s="111" t="n">
        <v>16</v>
      </c>
      <c r="B109" s="88" t="inlineStr">
        <is>
          <t>Grupo Meridiano의 결말</t>
        </is>
      </c>
      <c r="C109" s="88" t="inlineStr">
        <is>
          <t>12부 7화에서 재판 시작만 언급하고 판결은 열어 두는 안.</t>
        </is>
      </c>
      <c r="D109" s="89" t="inlineStr">
        <is>
          <t>판결 여부를 정할지(열린 결말 vs 유죄/무죄)</t>
        </is>
      </c>
      <c r="E109" s="89" t="inlineStr">
        <is>
          <t>복선_회수</t>
        </is>
      </c>
    </row>
    <row r="110" ht="29.25" customHeight="1" s="81">
      <c r="A110" s="111" t="n">
        <v>17</v>
      </c>
      <c r="B110" s="88" t="inlineStr">
        <is>
          <t>7부 3화의 톤</t>
        </is>
      </c>
      <c r="C110" s="89" t="inlineStr">
        <is>
          <t>성폭력 법 부작용 화는 피해자 중심으로, 폐지·개정 양측 논거를 함께 담아야 한다.</t>
        </is>
      </c>
      <c r="D110" s="89" t="inlineStr">
        <is>
          <t>집필 전 톤 가이드 별도 확정</t>
        </is>
      </c>
      <c r="E110" s="89" t="inlineStr">
        <is>
          <t>현안_배치</t>
        </is>
      </c>
    </row>
    <row r="111" ht="29.25" customHeight="1" s="81">
      <c r="A111" s="111" t="n">
        <v>18</v>
      </c>
      <c r="B111" s="88" t="inlineStr">
        <is>
          <t>1·2부 전체 완성</t>
        </is>
      </c>
      <c r="C111" s="88" t="inlineStr">
        <is>
          <t>—</t>
        </is>
      </c>
      <c r="D111" s="88" t="inlineStr">
        <is>
          <t>1부(사건 6개)·2부(Mateo의 과거) 각 12화, 총 24화 대본 완료. 3부(Javier의 과거)부터 순서대로 집필 필요</t>
        </is>
      </c>
      <c r="E111" s="89" t="inlineStr">
        <is>
          <t>화별목차_전체</t>
        </is>
      </c>
    </row>
    <row r="112" ht="15" customHeight="1" s="81">
      <c r="A112" s="111" t="n">
        <v>19</v>
      </c>
      <c r="B112" s="89" t="inlineStr">
        <is>
          <t>가상 인물 추가분</t>
        </is>
      </c>
      <c r="C112" s="88" t="inlineStr">
        <is>
          <t>Fátima의 남편(Rafael), Álvaro, 가족(의료 사건), Encarna는 1부 신규. Salvat·Quintana·Marina·Antonio(언급만)·로펌 동료 2인·판사·국선변호사 등은 2부 신규.</t>
        </is>
      </c>
      <c r="D112" s="89" t="inlineStr">
        <is>
          <t>전부 모아 캐릭터 바이블 부록으로 정리 필요 (이름·나이·말투)</t>
        </is>
      </c>
      <c r="E112" s="89" t="inlineStr">
        <is>
          <t>아크_구성계획</t>
        </is>
      </c>
    </row>
    <row r="113" ht="57.75" customHeight="1" s="81">
      <c r="A113" s="111" t="n">
        <v>21</v>
      </c>
      <c r="B113" s="88" t="inlineStr">
        <is>
          <t>Mateo의 상자 네 개</t>
        </is>
      </c>
      <c r="C113" s="88" t="inlineStr">
        <is>
          <t>10년 경력이 담긴 상자를 사직 후에도 열지 않고 보관 중 (2부 12화).</t>
        </is>
      </c>
      <c r="D113" s="89" t="inlineStr">
        <is>
          <t>언제·왜 여는지 미정. 정치 파트 이후 회수할지, 아예 열지 않고 남겨 둘지 결정 필요</t>
        </is>
      </c>
      <c r="E113" s="88" t="inlineStr">
        <is>
          <t>2부 12화</t>
        </is>
      </c>
    </row>
    <row r="114" ht="43.5" customHeight="1" s="81">
      <c r="A114" s="111" t="n">
        <v>22</v>
      </c>
      <c r="B114" s="88" t="inlineStr">
        <is>
          <t>2부 언어 난이도 실측</t>
        </is>
      </c>
      <c r="C114" s="88" t="inlineStr">
        <is>
          <t>B2~C1로 설계했으나 1부(120턴 상한 15단어)와 달리 명확한 단어 상한 없이 집필.</t>
        </is>
      </c>
      <c r="D114" s="89" t="inlineStr">
        <is>
          <t>실제 집필 결과 대사당 최대 약 20단어 수준으로 자연 수렴 — 3~5부도 이 기준을 유지할지 확정</t>
        </is>
      </c>
      <c r="E114" s="89" t="inlineStr">
        <is>
          <t>대화문규칙</t>
        </is>
      </c>
    </row>
    <row r="115" ht="29.85" customHeight="1" s="81">
      <c r="A115" s="111" t="n">
        <v>20</v>
      </c>
      <c r="B115" s="88" t="inlineStr">
        <is>
          <t>11~12부 대본</t>
        </is>
      </c>
      <c r="C115" s="88" t="inlineStr">
        <is>
          <t>11부 후반(9~12화)·12부(1~12화) 모두 화별 목차만 있고 실제 대본은 미작성.</t>
        </is>
      </c>
      <c r="D115" s="88" t="inlineStr">
        <is>
          <t>1부 완결 후, 시간순으로는 나중이지만 극적 중요도가 높아 우선 집필을 검토</t>
        </is>
      </c>
      <c r="E115" s="89" t="inlineStr">
        <is>
          <t>화별목차_전체</t>
        </is>
      </c>
    </row>
    <row r="116" ht="15" customHeight="1" s="81">
      <c r="A116" s="111" t="n">
        <v>21</v>
      </c>
      <c r="B116" s="89" t="inlineStr">
        <is>
          <t>가상 외교 인사</t>
        </is>
      </c>
      <c r="C116" s="89" t="inlineStr">
        <is>
          <t>브뤼셀 협상의 NATO·EU 상대역(가상)의 이름·직급 미정.</t>
        </is>
      </c>
      <c r="D116" s="89" t="inlineStr">
        <is>
          <t>실명 조직(NATO, 유럽집행위원회)은 실제 기구명을 쓰되, 개인 인사는 전부 가상으로 이름을 지어야 함</t>
        </is>
      </c>
      <c r="E116" s="89" t="inlineStr">
        <is>
          <t>화별목차_전체 11부 9~10화</t>
        </is>
      </c>
    </row>
    <row r="117" ht="58.2" customHeight="1" s="81">
      <c r="A117" s="111" t="n">
        <v>22</v>
      </c>
      <c r="B117" s="88" t="inlineStr">
        <is>
          <t>12부 예산 반영 화(11화)와 N5 위치 조정</t>
        </is>
      </c>
      <c r="C117" s="88" t="inlineStr">
        <is>
          <t>N5(녹색 갈등)의 회수 위치가 12부 11화로 이동했으나 실제 내용과의 정합성 재확인 필요.</t>
        </is>
      </c>
      <c r="D117" s="88" t="inlineStr">
        <is>
          <t>12부 11화 대본 집필 시 태양광 재원 논쟁과 예산 편성을 함께 다룰지 결정</t>
        </is>
      </c>
      <c r="E117" s="89" t="inlineStr">
        <is>
          <t>현안_배치, 현안_분포</t>
        </is>
      </c>
    </row>
    <row r="118" ht="44" customHeight="1" s="81">
      <c r="A118" s="111" t="inlineStr">
        <is>
          <t>23</t>
        </is>
      </c>
      <c r="B118" s="88" t="inlineStr">
        <is>
          <t>Irene·Borja 등 5부 신규 가상 인물</t>
        </is>
      </c>
      <c r="C118" s="88" t="inlineStr">
        <is>
          <t>Almudena Roig·Marcos·Julián/Alba/Mariano/Rafa Rueda·Ernesto Lastra·Fermín Robles·Irene·Borja·경비원</t>
        </is>
      </c>
      <c r="D118" s="89" t="inlineStr">
        <is>
          <t>해결(v24): 이어쓰기_가이드 7번 5·6부 가상 인물 부록에 정리. 전체 부록 통합은 미결 15번으로 계속.</t>
        </is>
      </c>
      <c r="E118" s="89" t="inlineStr">
        <is>
          <t>이어쓰기_가이드</t>
        </is>
      </c>
    </row>
    <row r="119" ht="29.85" customHeight="1" s="81">
      <c r="A119" s="111" t="inlineStr">
        <is>
          <t>24</t>
        </is>
      </c>
      <c r="B119" s="88" t="inlineStr">
        <is>
          <t>ERE 보상금·협의 기간 수치</t>
        </is>
      </c>
      <c r="C119" s="88" t="inlineStr">
        <is>
          <t>6화: 근속 1년당 20일치(상한 12개월분). 7화에서 협의 기간 최대 30일, 30명 이상/직원 300명 이상 기준 사용 예정</t>
        </is>
      </c>
      <c r="D119" s="89" t="inlineStr">
        <is>
          <t>부분 해결: 5부 7·10화 집필. 집행 정지 제도는 검색 확인(v24 변경이력). 제51·53조 수치는 여전히 BOE 확인 필요.</t>
        </is>
      </c>
      <c r="E119" s="89" t="inlineStr">
        <is>
          <t>화별목차_전체</t>
        </is>
      </c>
    </row>
    <row r="120">
      <c r="A120" s="111" t="inlineStr">
        <is>
          <t>25</t>
        </is>
      </c>
      <c r="B120" s="88" t="inlineStr">
        <is>
          <t>Carmen → 주력 4인 tú 전환 시점</t>
        </is>
      </c>
      <c r="C120" s="88" t="inlineStr">
        <is>
          <t>5부 5화에서 Diego에게는 tú를 허락했지만 Carmen 본인은 usted 유지</t>
        </is>
      </c>
      <c r="D120" s="89" t="inlineStr">
        <is>
          <t>해결(v24): 6부 11~12화에서 인턴이 되며 usted로 전환(6부 tú → 1부 usted). 다시 tú로 돌아가는 시점만 미결 3번에 남김.</t>
        </is>
      </c>
      <c r="E120" s="89" t="inlineStr">
        <is>
          <t>호칭규칙</t>
        </is>
      </c>
    </row>
    <row r="121">
      <c r="A121" s="111" t="inlineStr">
        <is>
          <t>26</t>
        </is>
      </c>
      <c r="B121" s="88" t="inlineStr">
        <is>
          <t>Diego의 Fermín 약속 회수 위치</t>
        </is>
      </c>
      <c r="C121" s="88" t="inlineStr">
        <is>
          <t>«Se lo prometo»와 미답장 문자</t>
        </is>
      </c>
      <c r="D121" s="89" t="inlineStr">
        <is>
          <t>해결: 5부 7화(«Me enteré por el comunicado»)·11화 도입(아래에서 Yolanda를 기다림).</t>
        </is>
      </c>
      <c r="E121" s="89" t="inlineStr">
        <is>
          <t>복선_회수</t>
        </is>
      </c>
    </row>
    <row r="122">
      <c r="A122" s="111" t="inlineStr">
        <is>
          <t>27</t>
        </is>
      </c>
      <c r="B122" s="88" t="inlineStr">
        <is>
          <t>Marcos의 이후 역할</t>
        </is>
      </c>
      <c r="C122" s="88" t="inlineStr">
        <is>
          <t>5부 4·6화 고객 측으로 반대 논거 제시</t>
        </is>
      </c>
      <c r="D122" s="89" t="inlineStr">
        <is>
          <t>해결: 5부 7화 협상 테이블 회사 측 실무자, 명단을 Diego에게 보낸 사람.</t>
        </is>
      </c>
      <c r="E122" s="89" t="inlineStr">
        <is>
          <t>이어쓰기_가이드</t>
        </is>
      </c>
    </row>
    <row r="123">
      <c r="A123" s="111" t="inlineStr">
        <is>
          <t>28</t>
        </is>
      </c>
      <c r="B123" s="88" t="inlineStr">
        <is>
          <t>Pepa의 남편 마놀로</t>
        </is>
      </c>
      <c r="C123" s="88" t="inlineStr">
        <is>
          <t>6부 12화: 1994년 간판을 칠한 고인</t>
        </is>
      </c>
      <c r="D123" s="88" t="inlineStr">
        <is>
          <t>1~4부에서 Pepa 가족을 다르게 썼는지 확인</t>
        </is>
      </c>
      <c r="E123" s="89" t="inlineStr">
        <is>
          <t>캐릭터</t>
        </is>
      </c>
    </row>
    <row r="124">
      <c r="A124" s="111" t="inlineStr">
        <is>
          <t>29</t>
        </is>
      </c>
      <c r="B124" s="88" t="inlineStr">
        <is>
          <t>7부 1화 설계 — Picasso 합류 방식</t>
        </is>
      </c>
      <c r="C124" s="88" t="inlineStr">
        <is>
          <t>7부부터 합류 결정. 첫 등장 장면·계기 미정</t>
        </is>
      </c>
      <c r="D124" s="88" t="inlineStr">
        <is>
          <t>Cervantes처럼 Casa Pepa에 이유 없이 나타남 + Pepa의 규칙(어디서 왔는지 묻지 않음)으로 수용 제안. 인원·등장비중 표 재집계 필요(캐릭터 시트 행 추가 시 등장비중 수식 연동 확인)</t>
        </is>
      </c>
      <c r="E124" s="89" t="inlineStr">
        <is>
          <t>아크_구성계획, 등장비중</t>
        </is>
      </c>
    </row>
    <row r="125">
      <c r="A125" s="111" t="inlineStr">
        <is>
          <t>30</t>
        </is>
      </c>
      <c r="B125" s="88" t="inlineStr">
        <is>
          <t>5·6부 법률 확인 목록</t>
        </is>
      </c>
      <c r="C125" s="88" t="inlineStr">
        <is>
          <t>ERE(ET 51·53), 파업 공지 10일(RDL 17/1977), 노조대표 소명 절차(ET 68), GDPR 33·34, 대표 비밀유지(ET 65.2), LAU 9·14·21·36, SOCIMI·특수관계 거래, Ley 2/2023</t>
        </is>
      </c>
      <c r="D125" s="89" t="inlineStr">
        <is>
          <t>교재 반영 전 BOE 현행본 일괄 확인</t>
        </is>
      </c>
      <c r="E125" s="89" t="inlineStr">
        <is>
          <t>정치제도, Raimundo_출처</t>
        </is>
      </c>
    </row>
    <row r="126" s="81">
      <c r="A126" s="111" t="inlineStr">
        <is>
          <t>31</t>
        </is>
      </c>
      <c r="B126" s="88" t="inlineStr">
        <is>
          <t>8부 이후 화당 180턴 적용 여부</t>
        </is>
      </c>
      <c r="C126" s="88" t="inlineStr">
        <is>
          <t>7부 1화부터 화당 120→180턴으로 확대했으나, 8부 이후에도 유지할지는 아직 사용자 확정 없음.</t>
        </is>
      </c>
      <c r="D126" s="89" t="inlineStr">
        <is>
          <t>해결(v26): 8부는 사용자 확정으로 180턴 유지, 9부 1화도 180턴. 9부 이후는 미결 33번</t>
        </is>
      </c>
      <c r="E126" s="89" t="inlineStr">
        <is>
          <t>턴_설계, 화별목차_전체</t>
        </is>
      </c>
    </row>
    <row r="127">
      <c r="A127" s="152" t="inlineStr">
        <is>
          <t>32</t>
        </is>
      </c>
      <c r="B127" s="105" t="inlineStr">
        <is>
          <t>7~9부 법령 확인 목록</t>
        </is>
      </c>
      <c r="C127" s="105" t="inlineStr">
        <is>
          <t>대본에 쓴 조항: LO 9/1983(집회 사전 통지), LO 3/1984(ILP), LO 6/2002(정당), LO 8/2007·LO 3/2015(정당 재정), LOREG 53·55·56·69·195·196, LO 2/1984(정정권), LBRL 75.7(재산 신고), 성별 교대 명부 근거 법, LECrim 490, 선서 문구(RD 707/1979).</t>
        </is>
      </c>
      <c r="D127" s="109" t="inlineStr">
        <is>
          <t>교재 반영 전 BOE 현행본 일괄 확인</t>
        </is>
      </c>
      <c r="E127" s="109" t="inlineStr">
        <is>
          <t>정치제도, Raimundo_출처</t>
        </is>
      </c>
    </row>
    <row r="128">
      <c r="A128" s="152" t="inlineStr">
        <is>
          <t>33</t>
        </is>
      </c>
      <c r="B128" s="105" t="inlineStr">
        <is>
          <t>9부 이후 턴 수</t>
        </is>
      </c>
      <c r="C128" s="105" t="inlineStr">
        <is>
          <t>9부 1화는 180턴으로 집필. 설정집 9부 계획은 화당 120턴.</t>
        </is>
      </c>
      <c r="D128" s="109" t="inlineStr">
        <is>
          <t>9부 전체 180 유지 여부 사용자 확인</t>
        </is>
      </c>
      <c r="E128" s="109" t="inlineStr">
        <is>
          <t>턴_설계, 화별목차_전체</t>
        </is>
      </c>
    </row>
    <row r="129">
      <c r="A129" s="152" t="inlineStr">
        <is>
          <t>34</t>
        </is>
      </c>
      <c r="B129" s="105" t="inlineStr">
        <is>
          <t>7부 6·7화 대본 확인</t>
        </is>
      </c>
      <c r="C129" s="105" t="inlineStr">
        <is>
          <t>7부 7화 docx는 형식 틀로 받음. 6화 «El expediente»는 이 작업에서 확인하지 못함.</t>
        </is>
      </c>
      <c r="D129" s="109" t="inlineStr">
        <is>
          <t>7부 6화 파일 존재 여부 확인</t>
        </is>
      </c>
      <c r="E129" s="109" t="inlineStr">
        <is>
          <t>화별목차_전체</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2026-09-23T12:21:42Z</dcterms:created>
  <dcterms:modified xmlns:dcterms="http://purl.org/dc/terms/" xmlns:xsi="http://www.w3.org/2001/XMLSchema-instance" xsi:type="dcterms:W3CDTF">2026-09-25T02:05:10Z</dcterms:modified>
  <cp:revision>0</cp:revision>
</cp:coreProperties>
</file>