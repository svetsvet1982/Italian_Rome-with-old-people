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개요" sheetId="1" state="visible" r:id="rId3"/>
    <sheet name="캐릭터" sheetId="2" state="visible" r:id="rId4"/>
    <sheet name="등장비중" sheetId="3" state="visible" r:id="rId5"/>
    <sheet name="턴_설계" sheetId="4" state="visible" r:id="rId6"/>
    <sheet name="13부_구성" sheetId="5" state="visible" r:id="rId7"/>
    <sheet name="아크_구성계획" sheetId="6" state="visible" r:id="rId8"/>
    <sheet name="화별목차_전체" sheetId="7" state="visible" r:id="rId9"/>
    <sheet name="복선_회수" sheetId="8" state="visible" r:id="rId10"/>
    <sheet name="현안_배치" sheetId="9" state="visible" r:id="rId11"/>
    <sheet name="현안_분포" sheetId="10" state="visible" r:id="rId12"/>
    <sheet name="정치제도" sheetId="11" state="visible" r:id="rId13"/>
    <sheet name="정치경로_의석" sheetId="12" state="visible" r:id="rId14"/>
    <sheet name="호칭규칙" sheetId="13" state="visible" r:id="rId15"/>
    <sheet name="Manon_폭발과욕" sheetId="14" state="visible" r:id="rId16"/>
    <sheet name="Napoléon_죽음" sheetId="15" state="visible" r:id="rId17"/>
    <sheet name="Curie_출처" sheetId="16" state="visible" r:id="rId18"/>
    <sheet name="대화문규칙" sheetId="17" state="visible" r:id="rId19"/>
    <sheet name="1부_시범대사" sheetId="18" state="visible" r:id="rId20"/>
    <sheet name="변경이력_미결" sheetId="19" state="visible" r:id="rId21"/>
  </sheets>
  <definedNames>
    <definedName function="false" hidden="true" localSheetId="6" name="_xlnm._FilterDatabase" vbProcedure="false">화별목차_전체!$A$4:$J$160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<sst xmlns="http://schemas.openxmlformats.org/spreadsheetml/2006/main" count="4299" uniqueCount="3176">
  <si>
    <r>
      <rPr>
        <b val="true"/>
        <sz val="14"/>
        <color rgb="FF1F3864"/>
        <rFont val="Arial"/>
        <family val="0"/>
        <charset val="1"/>
      </rPr>
      <t xml:space="preserve">Paris </t>
    </r>
    <r>
      <rPr>
        <b val="true"/>
        <sz val="14"/>
        <color rgb="FF1F3864"/>
        <rFont val="WenQuanYi Zen Hei"/>
        <family val="2"/>
      </rPr>
      <t xml:space="preserve">프랑스어 낭독 교재 — 캐릭터 바이블 </t>
    </r>
    <r>
      <rPr>
        <b val="true"/>
        <sz val="14"/>
        <color rgb="FF1F3864"/>
        <rFont val="Arial"/>
        <family val="0"/>
        <charset val="1"/>
      </rPr>
      <t xml:space="preserve">(</t>
    </r>
    <r>
      <rPr>
        <b val="true"/>
        <sz val="14"/>
        <color rgb="FF1F3864"/>
        <rFont val="WenQuanYi Zen Hei"/>
        <family val="2"/>
      </rPr>
      <t xml:space="preserve">부활자 특별편</t>
    </r>
    <r>
      <rPr>
        <b val="true"/>
        <sz val="14"/>
        <color rgb="FF1F3864"/>
        <rFont val="Arial"/>
        <family val="0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</si>
  <si>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v1.0 · </t>
    </r>
    <r>
      <rPr>
        <i val="true"/>
        <sz val="9"/>
        <color rgb="FF595959"/>
        <rFont val="WenQuanYi Zen Hei"/>
        <family val="2"/>
      </rPr>
      <t xml:space="preserve">파리 배경 </t>
    </r>
    <r>
      <rPr>
        <i val="true"/>
        <sz val="9"/>
        <color rgb="FF595959"/>
        <rFont val="Arial"/>
        <family val="0"/>
        <charset val="1"/>
      </rPr>
      <t xml:space="preserve">13</t>
    </r>
    <r>
      <rPr>
        <i val="true"/>
        <sz val="9"/>
        <color rgb="FF595959"/>
        <rFont val="WenQuanYi Zen Hei"/>
        <family val="2"/>
      </rPr>
      <t xml:space="preserve">부작 옴니버스</t>
    </r>
    <r>
      <rPr>
        <i val="true"/>
        <sz val="9"/>
        <color rgb="FF595959"/>
        <rFont val="Arial"/>
        <family val="0"/>
        <charset val="1"/>
      </rPr>
      <t xml:space="preserve">(156</t>
    </r>
    <r>
      <rPr>
        <i val="true"/>
        <sz val="9"/>
        <color rgb="FF595959"/>
        <rFont val="WenQuanYi Zen Hei"/>
        <family val="2"/>
      </rPr>
      <t xml:space="preserve">화</t>
    </r>
    <r>
      <rPr>
        <i val="true"/>
        <sz val="9"/>
        <color rgb="FF595959"/>
        <rFont val="Arial"/>
        <family val="0"/>
        <charset val="1"/>
      </rPr>
      <t xml:space="preserve">) · </t>
    </r>
    <r>
      <rPr>
        <i val="true"/>
        <sz val="9"/>
        <color rgb="FF595959"/>
        <rFont val="WenQuanYi Zen Hei"/>
        <family val="2"/>
      </rPr>
      <t xml:space="preserve">부활 </t>
    </r>
    <r>
      <rPr>
        <i val="true"/>
        <sz val="9"/>
        <color rgb="FF595959"/>
        <rFont val="Arial"/>
        <family val="0"/>
        <charset val="1"/>
      </rPr>
      <t xml:space="preserve">7</t>
    </r>
    <r>
      <rPr>
        <i val="true"/>
        <sz val="9"/>
        <color rgb="FF595959"/>
        <rFont val="WenQuanYi Zen Hei"/>
        <family val="2"/>
      </rPr>
      <t xml:space="preserve">인 </t>
    </r>
    <r>
      <rPr>
        <i val="true"/>
        <sz val="9"/>
        <color rgb="FF595959"/>
        <rFont val="Arial"/>
        <family val="0"/>
        <charset val="1"/>
      </rPr>
      <t xml:space="preserve">= Napoléon·Voltaire·Olympe·Jeanne·Sartre·Curie·Hugo</t>
    </r>
  </si>
  <si>
    <t xml:space="preserve">기본 설정</t>
  </si>
  <si>
    <t xml:space="preserve">부 수</t>
  </si>
  <si>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사무소</t>
    </r>
    <r>
      <rPr>
        <sz val="10"/>
        <rFont val="Arial"/>
        <family val="0"/>
        <charset val="1"/>
      </rPr>
      <t xml:space="preserve">(Belleville, </t>
    </r>
    <r>
      <rPr>
        <sz val="10"/>
        <rFont val="WenQuanYi Zen Hei"/>
        <family val="2"/>
      </rPr>
      <t xml:space="preserve">개소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개월 후</t>
    </r>
    <r>
      <rPr>
        <sz val="10"/>
        <rFont val="Arial"/>
        <family val="0"/>
        <charset val="1"/>
      </rPr>
      <t xml:space="preserve">, 6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×2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 → 2~5 </t>
    </r>
    <r>
      <rPr>
        <sz val="10"/>
        <rFont val="WenQuanYi Zen Hei"/>
        <family val="2"/>
      </rPr>
      <t xml:space="preserve">각자의 과거 → 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만남 → </t>
    </r>
    <r>
      <rPr>
        <sz val="10"/>
        <rFont val="Arial"/>
        <family val="0"/>
        <charset val="1"/>
      </rPr>
      <t xml:space="preserve">7 </t>
    </r>
    <r>
      <rPr>
        <sz val="10"/>
        <rFont val="WenQuanYi Zen Hei"/>
        <family val="2"/>
      </rPr>
      <t xml:space="preserve">전면전 → </t>
    </r>
    <r>
      <rPr>
        <sz val="10"/>
        <rFont val="Arial"/>
        <family val="0"/>
        <charset val="1"/>
      </rPr>
      <t xml:space="preserve">8 </t>
    </r>
    <r>
      <rPr>
        <sz val="10"/>
        <rFont val="WenQuanYi Zen Hei"/>
        <family val="2"/>
      </rPr>
      <t xml:space="preserve">창당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파리 시의회 선거 → </t>
    </r>
    <r>
      <rPr>
        <sz val="10"/>
        <rFont val="Arial"/>
        <family val="0"/>
        <charset val="1"/>
      </rPr>
      <t xml:space="preserve">9 </t>
    </r>
    <r>
      <rPr>
        <sz val="10"/>
        <rFont val="WenQuanYi Zen Hei"/>
        <family val="2"/>
      </rPr>
      <t xml:space="preserve">파리 시의회</t>
    </r>
    <r>
      <rPr>
        <sz val="10"/>
        <rFont val="Arial"/>
        <family val="0"/>
        <charset val="1"/>
      </rPr>
      <t xml:space="preserve">(Hôtel de Ville) → 10 </t>
    </r>
    <r>
      <rPr>
        <sz val="10"/>
        <rFont val="WenQuanYi Zen Hei"/>
        <family val="2"/>
      </rPr>
      <t xml:space="preserve">대선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대통령 취임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총선</t>
    </r>
    <r>
      <rPr>
        <sz val="10"/>
        <rFont val="Arial"/>
        <family val="0"/>
        <charset val="1"/>
      </rPr>
      <t xml:space="preserve">(Élysée) → 11 </t>
    </r>
    <r>
      <rPr>
        <sz val="10"/>
        <rFont val="WenQuanYi Zen Hei"/>
        <family val="2"/>
      </rPr>
      <t xml:space="preserve">국정 </t>
    </r>
    <r>
      <rPr>
        <sz val="10"/>
        <rFont val="Arial"/>
        <family val="0"/>
        <charset val="1"/>
      </rPr>
      <t xml:space="preserve">I(EU </t>
    </r>
    <r>
      <rPr>
        <sz val="10"/>
        <rFont val="WenQuanYi Zen Hei"/>
        <family val="2"/>
      </rPr>
      <t xml:space="preserve">협상</t>
    </r>
    <r>
      <rPr>
        <sz val="10"/>
        <rFont val="Arial"/>
        <family val="0"/>
        <charset val="1"/>
      </rPr>
      <t xml:space="preserve">·Napoléon </t>
    </r>
    <r>
      <rPr>
        <sz val="10"/>
        <rFont val="WenQuanYi Zen Hei"/>
        <family val="2"/>
      </rPr>
      <t xml:space="preserve">사망</t>
    </r>
    <r>
      <rPr>
        <sz val="10"/>
        <rFont val="Arial"/>
        <family val="0"/>
        <charset val="1"/>
      </rPr>
      <t xml:space="preserve">) → 12 </t>
    </r>
    <r>
      <rPr>
        <sz val="10"/>
        <rFont val="WenQuanYi Zen Hei"/>
        <family val="2"/>
      </rPr>
      <t xml:space="preserve">국정 </t>
    </r>
    <r>
      <rPr>
        <sz val="10"/>
        <rFont val="Arial"/>
        <family val="0"/>
        <charset val="1"/>
      </rPr>
      <t xml:space="preserve">II(</t>
    </r>
    <r>
      <rPr>
        <sz val="10"/>
        <rFont val="WenQuanYi Zen Hei"/>
        <family val="2"/>
      </rPr>
      <t xml:space="preserve">장례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유작 메모 승계</t>
    </r>
    <r>
      <rPr>
        <sz val="10"/>
        <rFont val="Arial"/>
        <family val="0"/>
        <charset val="1"/>
      </rPr>
      <t xml:space="preserve">) → 13 </t>
    </r>
    <r>
      <rPr>
        <sz val="10"/>
        <rFont val="WenQuanYi Zen Hei"/>
        <family val="2"/>
      </rPr>
      <t xml:space="preserve">귀환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원형 구조</t>
    </r>
    <r>
      <rPr>
        <sz val="10"/>
        <rFont val="Arial"/>
        <family val="0"/>
        <charset val="1"/>
      </rPr>
      <t xml:space="preserve">)</t>
    </r>
  </si>
  <si>
    <t xml:space="preserve">부당 화 수</t>
  </si>
  <si>
    <r>
      <rPr>
        <sz val="10"/>
        <rFont val="WenQuanYi Zen Hei"/>
        <family val="2"/>
      </rPr>
      <t xml:space="preserve">각 부 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화</t>
    </r>
  </si>
  <si>
    <t xml:space="preserve">총 화 수</t>
  </si>
  <si>
    <r>
      <rPr>
        <sz val="10"/>
        <rFont val="WenQuanYi Zen Hei"/>
        <family val="2"/>
      </rPr>
      <t xml:space="preserve">부 수 </t>
    </r>
    <r>
      <rPr>
        <sz val="10"/>
        <rFont val="Noto Sans CJK SC"/>
        <family val="2"/>
        <charset val="1"/>
      </rPr>
      <t xml:space="preserve">× </t>
    </r>
    <r>
      <rPr>
        <sz val="10"/>
        <rFont val="WenQuanYi Zen Hei"/>
        <family val="2"/>
      </rPr>
      <t xml:space="preserve">부당 화 수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자동 계산</t>
    </r>
    <r>
      <rPr>
        <sz val="10"/>
        <rFont val="Noto Sans CJK SC"/>
        <family val="2"/>
        <charset val="1"/>
      </rPr>
      <t xml:space="preserve">)</t>
    </r>
  </si>
  <si>
    <t xml:space="preserve">등장인물 수</t>
  </si>
  <si>
    <t xml:space="preserve">캐릭터 시트의 약칭 개수</t>
  </si>
  <si>
    <t xml:space="preserve">남성 인물 수</t>
  </si>
  <si>
    <r>
      <rPr>
        <sz val="10"/>
        <rFont val="WenQuanYi Zen Hei"/>
        <family val="2"/>
      </rPr>
      <t xml:space="preserve">음색이 다양할수록 화자 구분이 쉬워 남 </t>
    </r>
    <r>
      <rPr>
        <sz val="10"/>
        <rFont val="Noto Sans CJK SC"/>
        <family val="2"/>
        <charset val="1"/>
      </rPr>
      <t xml:space="preserve">8 : </t>
    </r>
    <r>
      <rPr>
        <sz val="10"/>
        <rFont val="WenQuanYi Zen Hei"/>
        <family val="2"/>
      </rPr>
      <t xml:space="preserve">여 </t>
    </r>
    <r>
      <rPr>
        <sz val="10"/>
        <rFont val="Noto Sans CJK SC"/>
        <family val="2"/>
        <charset val="1"/>
      </rPr>
      <t xml:space="preserve">7</t>
    </r>
    <r>
      <rPr>
        <sz val="10"/>
        <rFont val="WenQuanYi Zen Hei"/>
        <family val="2"/>
      </rPr>
      <t xml:space="preserve">로 배분 </t>
    </r>
    <r>
      <rPr>
        <sz val="10"/>
        <rFont val="Noto Sans CJK SC"/>
        <family val="2"/>
        <charset val="1"/>
      </rPr>
      <t xml:space="preserve">(Olympe </t>
    </r>
    <r>
      <rPr>
        <sz val="10"/>
        <rFont val="WenQuanYi Zen Hei"/>
        <family val="2"/>
      </rPr>
      <t xml:space="preserve">포함</t>
    </r>
    <r>
      <rPr>
        <sz val="10"/>
        <rFont val="Noto Sans CJK SC"/>
        <family val="2"/>
        <charset val="1"/>
      </rPr>
      <t xml:space="preserve">)</t>
    </r>
  </si>
  <si>
    <t xml:space="preserve">여성 인물 수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</si>
  <si>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부→</t>
    </r>
    <r>
      <rPr>
        <b val="true"/>
        <sz val="10"/>
        <rFont val="Arial"/>
        <family val="0"/>
        <charset val="1"/>
      </rPr>
      <t xml:space="preserve">11</t>
    </r>
    <r>
      <rPr>
        <b val="true"/>
        <sz val="10"/>
        <rFont val="WenQuanYi Zen Hei"/>
        <family val="2"/>
      </rPr>
      <t xml:space="preserve">부 경과 연수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가정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</si>
  <si>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가정값</t>
    </r>
    <r>
      <rPr>
        <sz val="10"/>
        <rFont val="Noto Sans CJK SC"/>
        <family val="2"/>
        <charset val="1"/>
      </rPr>
      <t xml:space="preserve">: Napoléon</t>
    </r>
    <r>
      <rPr>
        <sz val="10"/>
        <rFont val="WenQuanYi Zen Hei"/>
        <family val="2"/>
      </rPr>
      <t xml:space="preserve">이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51</t>
    </r>
    <r>
      <rPr>
        <sz val="10"/>
        <rFont val="WenQuanYi Zen Hei"/>
        <family val="2"/>
      </rPr>
      <t xml:space="preserve">세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부활 시 외형 나이</t>
    </r>
    <r>
      <rPr>
        <sz val="10"/>
        <rFont val="Noto Sans CJK SC"/>
        <family val="2"/>
        <charset val="1"/>
      </rPr>
      <t xml:space="preserve">) → 11</t>
    </r>
    <r>
      <rPr>
        <sz val="10"/>
        <rFont val="WenQuanYi Zen Hei"/>
        <family val="2"/>
      </rPr>
      <t xml:space="preserve">부 약 </t>
    </r>
    <r>
      <rPr>
        <sz val="10"/>
        <rFont val="Noto Sans CJK SC"/>
        <family val="2"/>
        <charset val="1"/>
      </rPr>
      <t xml:space="preserve">57</t>
    </r>
    <r>
      <rPr>
        <sz val="10"/>
        <rFont val="WenQuanYi Zen Hei"/>
        <family val="2"/>
      </rPr>
      <t xml:space="preserve">세가 되도록 잡음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확정 시 이 셀만 수정하면 캐릭터 시트의 나이가 자동 갱신</t>
    </r>
    <r>
      <rPr>
        <sz val="10"/>
        <rFont val="Noto Sans CJK SC"/>
        <family val="2"/>
        <charset val="1"/>
      </rPr>
      <t xml:space="preserve">. (</t>
    </r>
    <r>
      <rPr>
        <sz val="10"/>
        <rFont val="WenQuanYi Zen Hei"/>
        <family val="2"/>
      </rPr>
      <t xml:space="preserve">캐릭터 시트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나이</t>
    </r>
    <r>
      <rPr>
        <sz val="10"/>
        <rFont val="Noto Sans CJK SC"/>
        <family val="2"/>
        <charset val="1"/>
      </rPr>
      <t xml:space="preserve">(11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)' </t>
    </r>
    <r>
      <rPr>
        <sz val="10"/>
        <rFont val="WenQuanYi Zen Hei"/>
        <family val="2"/>
      </rPr>
      <t xml:space="preserve">열</t>
    </r>
    <r>
      <rPr>
        <sz val="10"/>
        <rFont val="Noto Sans CJK SC"/>
        <family val="2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</si>
  <si>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배경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언어</t>
    </r>
  </si>
  <si>
    <r>
      <rPr>
        <sz val="10"/>
        <rFont val="WenQuanYi Zen Hei"/>
        <family val="2"/>
      </rPr>
      <t xml:space="preserve">파리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벨빌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</si>
  <si>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표준 프랑스어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친한 사이 </t>
    </r>
    <r>
      <rPr>
        <sz val="10"/>
        <rFont val="Noto Sans CJK SC"/>
        <family val="2"/>
        <charset val="1"/>
      </rPr>
      <t xml:space="preserve">tu, </t>
    </r>
    <r>
      <rPr>
        <sz val="10"/>
        <rFont val="WenQuanYi Zen Hei"/>
        <family val="2"/>
      </rPr>
      <t xml:space="preserve">공식 석상은 </t>
    </r>
    <r>
      <rPr>
        <sz val="10"/>
        <rFont val="Noto Sans CJK SC"/>
        <family val="2"/>
        <charset val="1"/>
      </rPr>
      <t xml:space="preserve">vous/</t>
    </r>
    <r>
      <rPr>
        <sz val="10"/>
        <rFont val="WenQuanYi Zen Hei"/>
        <family val="2"/>
      </rPr>
      <t xml:space="preserve">공식 호칭</t>
    </r>
    <r>
      <rPr>
        <sz val="10"/>
        <rFont val="Noto Sans CJK SC"/>
        <family val="2"/>
        <charset val="1"/>
      </rPr>
      <t xml:space="preserve">.</t>
    </r>
  </si>
  <si>
    <t xml:space="preserve">형식</t>
  </si>
  <si>
    <r>
      <rPr>
        <sz val="10"/>
        <rFont val="WenQuanYi Zen Hei"/>
        <family val="2"/>
      </rPr>
      <t xml:space="preserve">전 화 </t>
    </r>
    <r>
      <rPr>
        <sz val="10"/>
        <rFont val="Noto Sans CJK SC"/>
        <family val="2"/>
        <charset val="1"/>
      </rPr>
      <t xml:space="preserve">100% </t>
    </r>
    <r>
      <rPr>
        <sz val="10"/>
        <rFont val="WenQuanYi Zen Hei"/>
        <family val="2"/>
      </rPr>
      <t xml:space="preserve">대화문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화당 </t>
    </r>
    <r>
      <rPr>
        <sz val="10"/>
        <rFont val="Noto Sans CJK SC"/>
        <family val="2"/>
        <charset val="1"/>
      </rPr>
      <t xml:space="preserve">120</t>
    </r>
    <r>
      <rPr>
        <sz val="10"/>
        <rFont val="WenQuanYi Zen Hei"/>
        <family val="2"/>
      </rPr>
      <t xml:space="preserve">턴</t>
    </r>
  </si>
  <si>
    <t xml:space="preserve">그룹별 인원</t>
  </si>
  <si>
    <r>
      <rPr>
        <b val="true"/>
        <sz val="10"/>
        <rFont val="WenQuanYi Zen Hei"/>
        <family val="2"/>
      </rPr>
      <t xml:space="preserve">주력 </t>
    </r>
    <r>
      <rPr>
        <b val="true"/>
        <sz val="10"/>
        <rFont val="Noto Sans CJK SC"/>
        <family val="2"/>
        <charset val="1"/>
      </rPr>
      <t xml:space="preserve">4</t>
    </r>
    <r>
      <rPr>
        <b val="true"/>
        <sz val="10"/>
        <rFont val="WenQuanYi Zen Hei"/>
        <family val="2"/>
      </rPr>
      <t xml:space="preserve">인</t>
    </r>
  </si>
  <si>
    <r>
      <rPr>
        <sz val="10"/>
        <rFont val="Arial"/>
        <family val="0"/>
        <charset val="1"/>
      </rPr>
      <t xml:space="preserve">Nicolas(</t>
    </r>
    <r>
      <rPr>
        <sz val="10"/>
        <rFont val="WenQuanYi Zen Hei"/>
        <family val="2"/>
      </rPr>
      <t xml:space="preserve">변호사</t>
    </r>
    <r>
      <rPr>
        <sz val="10"/>
        <rFont val="Arial"/>
        <family val="0"/>
        <charset val="1"/>
      </rPr>
      <t xml:space="preserve">)·Camille(</t>
    </r>
    <r>
      <rPr>
        <sz val="10"/>
        <rFont val="WenQuanYi Zen Hei"/>
        <family val="2"/>
      </rPr>
      <t xml:space="preserve">의사</t>
    </r>
    <r>
      <rPr>
        <sz val="10"/>
        <rFont val="Arial"/>
        <family val="0"/>
        <charset val="1"/>
      </rPr>
      <t xml:space="preserve">)·Julien(</t>
    </r>
    <r>
      <rPr>
        <sz val="10"/>
        <rFont val="WenQuanYi Zen Hei"/>
        <family val="2"/>
      </rPr>
      <t xml:space="preserve">회계사</t>
    </r>
    <r>
      <rPr>
        <sz val="10"/>
        <rFont val="Arial"/>
        <family val="0"/>
        <charset val="1"/>
      </rPr>
      <t xml:space="preserve">)·Léa(</t>
    </r>
    <r>
      <rPr>
        <sz val="10"/>
        <rFont val="WenQuanYi Zen Hei"/>
        <family val="2"/>
      </rPr>
      <t xml:space="preserve">컨설턴트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</si>
  <si>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부활 </t>
    </r>
    <r>
      <rPr>
        <b val="true"/>
        <sz val="10"/>
        <rFont val="Noto Sans CJK SC"/>
        <family val="2"/>
        <charset val="1"/>
      </rPr>
      <t xml:space="preserve">7</t>
    </r>
    <r>
      <rPr>
        <b val="true"/>
        <sz val="10"/>
        <rFont val="WenQuanYi Zen Hei"/>
        <family val="2"/>
      </rPr>
      <t xml:space="preserve">인</t>
    </r>
  </si>
  <si>
    <r>
      <rPr>
        <sz val="10"/>
        <rFont val="Arial"/>
        <family val="0"/>
        <charset val="1"/>
      </rPr>
      <t xml:space="preserve">Napoléon(</t>
    </r>
    <r>
      <rPr>
        <sz val="10"/>
        <rFont val="WenQuanYi Zen Hei"/>
        <family val="2"/>
      </rPr>
      <t xml:space="preserve">전 황제</t>
    </r>
    <r>
      <rPr>
        <sz val="10"/>
        <rFont val="Arial"/>
        <family val="0"/>
        <charset val="1"/>
      </rPr>
      <t xml:space="preserve">)·Voltaire(</t>
    </r>
    <r>
      <rPr>
        <sz val="10"/>
        <rFont val="WenQuanYi Zen Hei"/>
        <family val="2"/>
      </rPr>
      <t xml:space="preserve">계몽사상가</t>
    </r>
    <r>
      <rPr>
        <sz val="10"/>
        <rFont val="Arial"/>
        <family val="0"/>
        <charset val="1"/>
      </rPr>
      <t xml:space="preserve">)·Olympe(</t>
    </r>
    <r>
      <rPr>
        <sz val="10"/>
        <rFont val="WenQuanYi Zen Hei"/>
        <family val="2"/>
      </rPr>
      <t xml:space="preserve">여성인권가</t>
    </r>
    <r>
      <rPr>
        <sz val="10"/>
        <rFont val="Arial"/>
        <family val="0"/>
        <charset val="1"/>
      </rPr>
      <t xml:space="preserve">)·Jeanne(</t>
    </r>
    <r>
      <rPr>
        <sz val="10"/>
        <rFont val="WenQuanYi Zen Hei"/>
        <family val="2"/>
      </rPr>
      <t xml:space="preserve">전사</t>
    </r>
    <r>
      <rPr>
        <sz val="10"/>
        <rFont val="Arial"/>
        <family val="0"/>
        <charset val="1"/>
      </rPr>
      <t xml:space="preserve">)·Sartre(</t>
    </r>
    <r>
      <rPr>
        <sz val="10"/>
        <rFont val="WenQuanYi Zen Hei"/>
        <family val="2"/>
      </rPr>
      <t xml:space="preserve">철학자</t>
    </r>
    <r>
      <rPr>
        <sz val="10"/>
        <rFont val="Arial"/>
        <family val="0"/>
        <charset val="1"/>
      </rPr>
      <t xml:space="preserve">)·Curie(</t>
    </r>
    <r>
      <rPr>
        <sz val="10"/>
        <rFont val="WenQuanYi Zen Hei"/>
        <family val="2"/>
      </rPr>
      <t xml:space="preserve">과학자</t>
    </r>
    <r>
      <rPr>
        <sz val="10"/>
        <rFont val="Arial"/>
        <family val="0"/>
        <charset val="1"/>
      </rPr>
      <t xml:space="preserve">)·Hugo(</t>
    </r>
    <r>
      <rPr>
        <sz val="10"/>
        <rFont val="WenQuanYi Zen Hei"/>
        <family val="2"/>
      </rPr>
      <t xml:space="preserve">문호</t>
    </r>
    <r>
      <rPr>
        <sz val="10"/>
        <rFont val="Arial"/>
        <family val="0"/>
        <charset val="1"/>
      </rPr>
      <t xml:space="preserve">) ※ </t>
    </r>
    <r>
      <rPr>
        <sz val="10"/>
        <rFont val="WenQuanYi Zen Hei"/>
        <family val="2"/>
      </rPr>
      <t xml:space="preserve">각자의 시대에 죽었다가 이유 없이 현재 파리에 되살아나 사무소에 합류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부활 시점은 인물마다 다름 — </t>
    </r>
    <r>
      <rPr>
        <sz val="10"/>
        <rFont val="Arial"/>
        <family val="0"/>
        <charset val="1"/>
      </rPr>
      <t xml:space="preserve">2~5</t>
    </r>
    <r>
      <rPr>
        <sz val="10"/>
        <rFont val="WenQuanYi Zen Hei"/>
        <family val="2"/>
      </rPr>
      <t xml:space="preserve">부 과거 장면에 카메오로 나오는 인물은 그때 이미 파리에 살고 있음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</si>
  <si>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서민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청년</t>
    </r>
  </si>
  <si>
    <r>
      <rPr>
        <sz val="10"/>
        <rFont val="Arial"/>
        <family val="0"/>
        <charset val="1"/>
      </rPr>
      <t xml:space="preserve">Monique(</t>
    </r>
    <r>
      <rPr>
        <sz val="10"/>
        <rFont val="WenQuanYi Zen Hei"/>
        <family val="2"/>
      </rPr>
      <t xml:space="preserve">비스트로 사장</t>
    </r>
    <r>
      <rPr>
        <sz val="10"/>
        <rFont val="Arial"/>
        <family val="0"/>
        <charset val="1"/>
      </rPr>
      <t xml:space="preserve">)·Karim(</t>
    </r>
    <r>
      <rPr>
        <sz val="10"/>
        <rFont val="WenQuanYi Zen Hei"/>
        <family val="2"/>
      </rPr>
      <t xml:space="preserve">노조위원장</t>
    </r>
    <r>
      <rPr>
        <sz val="10"/>
        <rFont val="Arial"/>
        <family val="0"/>
        <charset val="1"/>
      </rPr>
      <t xml:space="preserve">)·Manon(</t>
    </r>
    <r>
      <rPr>
        <sz val="10"/>
        <rFont val="WenQuanYi Zen Hei"/>
        <family val="2"/>
      </rPr>
      <t xml:space="preserve">인턴</t>
    </r>
    <r>
      <rPr>
        <sz val="10"/>
        <rFont val="Arial"/>
        <family val="0"/>
        <charset val="1"/>
      </rPr>
      <t xml:space="preserve">)</t>
    </r>
  </si>
  <si>
    <t xml:space="preserve">금융</t>
  </si>
  <si>
    <r>
      <rPr>
        <sz val="10"/>
        <rFont val="Arial"/>
        <family val="0"/>
        <charset val="1"/>
      </rPr>
      <t xml:space="preserve">Philippe(</t>
    </r>
    <r>
      <rPr>
        <sz val="10"/>
        <rFont val="WenQuanYi Zen Hei"/>
        <family val="2"/>
      </rPr>
      <t xml:space="preserve">전 은행 지점장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</si>
  <si>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시트 안내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클릭하면 이동</t>
    </r>
    <r>
      <rPr>
        <b val="true"/>
        <sz val="10"/>
        <rFont val="Noto Sans CJK SC"/>
        <family val="2"/>
        <charset val="1"/>
      </rPr>
      <t xml:space="preserve">)</t>
    </r>
  </si>
  <si>
    <t xml:space="preserve">캐릭터</t>
  </si>
  <si>
    <t xml:space="preserve">기준표</t>
  </si>
  <si>
    <r>
      <rPr>
        <sz val="10"/>
        <rFont val="Arial"/>
        <family val="0"/>
        <charset val="1"/>
      </rPr>
      <t xml:space="preserve">14</t>
    </r>
    <r>
      <rPr>
        <sz val="10"/>
        <rFont val="WenQuanYi Zen Hei"/>
        <family val="2"/>
      </rPr>
      <t xml:space="preserve">인의 이름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나이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결핍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말투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시그니처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낭독 포인트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대화문 장치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직책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현안 담당</t>
    </r>
  </si>
  <si>
    <t xml:space="preserve">등장비중</t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</si>
  <si>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 배분표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합계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비중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등급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수식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조연 단독 중심 화 목표</t>
    </r>
  </si>
  <si>
    <t xml:space="preserve">턴_설계</t>
  </si>
  <si>
    <r>
      <rPr>
        <sz val="10"/>
        <rFont val="WenQuanYi Zen Hei"/>
        <family val="2"/>
      </rPr>
      <t xml:space="preserve">화당 </t>
    </r>
    <r>
      <rPr>
        <sz val="10"/>
        <rFont val="Noto Sans CJK SC"/>
        <family val="2"/>
        <charset val="1"/>
      </rPr>
      <t xml:space="preserve">120</t>
    </r>
    <r>
      <rPr>
        <sz val="10"/>
        <rFont val="WenQuanYi Zen Hei"/>
        <family val="2"/>
      </rPr>
      <t xml:space="preserve">턴 설계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부별 화자 점유율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턴 기준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평균 단어</t>
    </r>
    <r>
      <rPr>
        <sz val="10"/>
        <rFont val="Noto Sans CJK SC"/>
        <family val="2"/>
        <charset val="1"/>
      </rPr>
      <t xml:space="preserve">/</t>
    </r>
    <r>
      <rPr>
        <sz val="10"/>
        <rFont val="WenQuanYi Zen Hei"/>
        <family val="2"/>
      </rPr>
      <t xml:space="preserve">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화당 단어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낭독 시간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수식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화 유형별 턴 구성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집필 규칙</t>
    </r>
  </si>
  <si>
    <t xml:space="preserve">13부_구성</t>
  </si>
  <si>
    <t xml:space="preserve">구조</t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</si>
  <si>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 한눈에 보기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배경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핵심 내용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난이도</t>
    </r>
    <r>
      <rPr>
        <sz val="10"/>
        <rFont val="Arial"/>
        <family val="0"/>
        <charset val="1"/>
      </rPr>
      <t xml:space="preserve">(CEFR)·</t>
    </r>
    <r>
      <rPr>
        <sz val="10"/>
        <rFont val="WenQuanYi Zen Hei"/>
        <family val="2"/>
      </rPr>
      <t xml:space="preserve">반영 제도</t>
    </r>
  </si>
  <si>
    <t xml:space="preserve">아크_구성계획</t>
  </si>
  <si>
    <t xml:space="preserve">구성 계획</t>
  </si>
  <si>
    <r>
      <rPr>
        <sz val="10"/>
        <rFont val="Arial"/>
        <family val="0"/>
        <charset val="1"/>
      </rPr>
      <t xml:space="preserve">1~13</t>
    </r>
    <r>
      <rPr>
        <sz val="10"/>
        <rFont val="WenQuanYi Zen Hei"/>
        <family val="2"/>
      </rPr>
      <t xml:space="preserve">부 아크별 구성 계획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서사 기능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로그라인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비트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인물 아크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복선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현안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언어 설계</t>
    </r>
  </si>
  <si>
    <t xml:space="preserve">화별목차_전체</t>
  </si>
  <si>
    <t xml:space="preserve">목차</t>
  </si>
  <si>
    <r>
      <rPr>
        <sz val="10"/>
        <rFont val="Arial"/>
        <family val="0"/>
        <charset val="1"/>
      </rPr>
      <t xml:space="preserve">1~13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156</t>
    </r>
    <r>
      <rPr>
        <sz val="10"/>
        <rFont val="WenQuanYi Zen Hei"/>
        <family val="2"/>
      </rPr>
      <t xml:space="preserve">화의 서사 기능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제목</t>
    </r>
    <r>
      <rPr>
        <sz val="10"/>
        <rFont val="Arial"/>
        <family val="0"/>
        <charset val="1"/>
      </rPr>
      <t xml:space="preserve">(FR)·</t>
    </r>
    <r>
      <rPr>
        <sz val="10"/>
        <rFont val="WenQuanYi Zen Hei"/>
        <family val="2"/>
      </rPr>
      <t xml:space="preserve">핵심 사건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반영 제도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인물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현안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필터 가능</t>
    </r>
    <r>
      <rPr>
        <sz val="10"/>
        <rFont val="Arial"/>
        <family val="0"/>
        <charset val="1"/>
      </rPr>
      <t xml:space="preserve">)</t>
    </r>
  </si>
  <si>
    <t xml:space="preserve">복선_회수</t>
  </si>
  <si>
    <r>
      <rPr>
        <sz val="10"/>
        <rFont val="WenQuanYi Zen Hei"/>
        <family val="2"/>
      </rPr>
      <t xml:space="preserve">복선 설치→회수 </t>
    </r>
    <r>
      <rPr>
        <sz val="10"/>
        <rFont val="Noto Sans CJK SC"/>
        <family val="2"/>
        <charset val="1"/>
      </rPr>
      <t xml:space="preserve">28</t>
    </r>
    <r>
      <rPr>
        <sz val="10"/>
        <rFont val="WenQuanYi Zen Hei"/>
        <family val="2"/>
      </rPr>
      <t xml:space="preserve">건과 간격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을 수식으로 계산</t>
    </r>
  </si>
  <si>
    <t xml:space="preserve">현안_배치</t>
  </si>
  <si>
    <t xml:space="preserve">현안</t>
  </si>
  <si>
    <r>
      <rPr>
        <sz val="10"/>
        <rFont val="WenQuanYi Zen Hei"/>
        <family val="2"/>
      </rPr>
      <t xml:space="preserve">프랑스 현안 </t>
    </r>
    <r>
      <rPr>
        <sz val="10"/>
        <rFont val="Noto Sans CJK SC"/>
        <family val="2"/>
        <charset val="1"/>
      </rPr>
      <t xml:space="preserve">18</t>
    </r>
    <r>
      <rPr>
        <sz val="10"/>
        <rFont val="WenQuanYi Zen Hei"/>
        <family val="2"/>
      </rPr>
      <t xml:space="preserve">개를 어느 화에 어떻게 녹일지 배치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균형 유의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현실 기준값</t>
    </r>
  </si>
  <si>
    <t xml:space="preserve">현안_분포</t>
  </si>
  <si>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× </t>
    </r>
    <r>
      <rPr>
        <sz val="10"/>
        <rFont val="WenQuanYi Zen Hei"/>
        <family val="2"/>
      </rPr>
      <t xml:space="preserve">현안 분포표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전용 화</t>
    </r>
    <r>
      <rPr>
        <sz val="10"/>
        <rFont val="Noto Sans CJK SC"/>
        <family val="2"/>
        <charset val="1"/>
      </rPr>
      <t xml:space="preserve">(●)</t>
    </r>
    <r>
      <rPr>
        <sz val="10"/>
        <rFont val="WenQuanYi Zen Hei"/>
        <family val="2"/>
      </rPr>
      <t xml:space="preserve">와 곁가지</t>
    </r>
    <r>
      <rPr>
        <sz val="10"/>
        <rFont val="Noto Sans CJK SC"/>
        <family val="2"/>
        <charset val="1"/>
      </rPr>
      <t xml:space="preserve">(○)</t>
    </r>
    <r>
      <rPr>
        <sz val="10"/>
        <rFont val="WenQuanYi Zen Hei"/>
        <family val="2"/>
      </rPr>
      <t xml:space="preserve">를 수식으로 집계</t>
    </r>
  </si>
  <si>
    <t xml:space="preserve">정치제도</t>
  </si>
  <si>
    <t xml:space="preserve">현실 제도</t>
  </si>
  <si>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공화국 제도 기준표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정당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선거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대통령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의회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정부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지방자치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사법</t>
    </r>
    <r>
      <rPr>
        <sz val="10"/>
        <rFont val="Noto Sans CJK SC"/>
        <family val="2"/>
        <charset val="1"/>
      </rPr>
      <t xml:space="preserve">·EU (</t>
    </r>
    <r>
      <rPr>
        <sz val="10"/>
        <rFont val="WenQuanYi Zen Hei"/>
        <family val="2"/>
      </rPr>
      <t xml:space="preserve">확인 상태 표시</t>
    </r>
    <r>
      <rPr>
        <sz val="10"/>
        <rFont val="Noto Sans CJK SC"/>
        <family val="2"/>
        <charset val="1"/>
      </rPr>
      <t xml:space="preserve">)</t>
    </r>
  </si>
  <si>
    <t xml:space="preserve">정치경로_의석</t>
  </si>
  <si>
    <r>
      <rPr>
        <sz val="10"/>
        <rFont val="WenQuanYi Zen Hei"/>
        <family val="2"/>
      </rPr>
      <t xml:space="preserve">창당→대통령 경로와 가상 득표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의석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표결 시뮬레이션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수식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대선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차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결선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총선 </t>
    </r>
    <r>
      <rPr>
        <sz val="10"/>
        <rFont val="Noto Sans CJK SC"/>
        <family val="2"/>
        <charset val="1"/>
      </rPr>
      <t xml:space="preserve">577</t>
    </r>
    <r>
      <rPr>
        <sz val="10"/>
        <rFont val="WenQuanYi Zen Hei"/>
        <family val="2"/>
      </rPr>
      <t xml:space="preserve">석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불신임안</t>
    </r>
    <r>
      <rPr>
        <sz val="10"/>
        <rFont val="Noto Sans CJK SC"/>
        <family val="2"/>
        <charset val="1"/>
      </rPr>
      <t xml:space="preserve">(motion de censure)</t>
    </r>
  </si>
  <si>
    <t xml:space="preserve">호칭규칙</t>
  </si>
  <si>
    <t xml:space="preserve">규칙</t>
  </si>
  <si>
    <r>
      <rPr>
        <sz val="10"/>
        <rFont val="Arial"/>
        <family val="0"/>
        <charset val="1"/>
      </rPr>
      <t xml:space="preserve">tu / vous(</t>
    </r>
    <r>
      <rPr>
        <sz val="10"/>
        <rFont val="WenQuanYi Zen Hei"/>
        <family val="2"/>
      </rPr>
      <t xml:space="preserve">단수 존칭</t>
    </r>
    <r>
      <rPr>
        <sz val="10"/>
        <rFont val="Arial"/>
        <family val="0"/>
        <charset val="1"/>
      </rPr>
      <t xml:space="preserve">) / vous(</t>
    </r>
    <r>
      <rPr>
        <sz val="10"/>
        <rFont val="WenQuanYi Zen Hei"/>
        <family val="2"/>
      </rPr>
      <t xml:space="preserve">복수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의회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대통령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시의회 공식 호칭</t>
    </r>
  </si>
  <si>
    <t xml:space="preserve">Manon_폭발과욕</t>
  </si>
  <si>
    <r>
      <rPr>
        <sz val="10"/>
        <rFont val="WenQuanYi Zen Hei"/>
        <family val="2"/>
      </rPr>
      <t xml:space="preserve">폭발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회 배치</t>
    </r>
    <r>
      <rPr>
        <sz val="10"/>
        <rFont val="Noto Sans CJK SC"/>
        <family val="2"/>
        <charset val="1"/>
      </rPr>
      <t xml:space="preserve">, 3</t>
    </r>
    <r>
      <rPr>
        <sz val="10"/>
        <rFont val="WenQuanYi Zen Hei"/>
        <family val="2"/>
      </rPr>
      <t xml:space="preserve">단계 계단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폭발 직후 반응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대사판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욕 배정</t>
    </r>
  </si>
  <si>
    <t xml:space="preserve">Napoléon_죽음</t>
  </si>
  <si>
    <t xml:space="preserve">스토리</t>
  </si>
  <si>
    <r>
      <rPr>
        <sz val="10"/>
        <rFont val="WenQuanYi Zen Hei"/>
        <family val="2"/>
      </rPr>
      <t xml:space="preserve">부활한 황제 </t>
    </r>
    <r>
      <rPr>
        <sz val="10"/>
        <rFont val="Noto Sans CJK SC"/>
        <family val="2"/>
        <charset val="1"/>
      </rPr>
      <t xml:space="preserve">+ </t>
    </r>
    <r>
      <rPr>
        <sz val="10"/>
        <rFont val="WenQuanYi Zen Hei"/>
        <family val="2"/>
      </rPr>
      <t xml:space="preserve">두 번째 시한부 설정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복선 타임라인 </t>
    </r>
    <r>
      <rPr>
        <sz val="10"/>
        <rFont val="Noto Sans CJK SC"/>
        <family val="2"/>
        <charset val="1"/>
      </rPr>
      <t xml:space="preserve">(11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화 사망</t>
    </r>
    <r>
      <rPr>
        <sz val="10"/>
        <rFont val="Noto Sans CJK SC"/>
        <family val="2"/>
        <charset val="1"/>
      </rPr>
      <t xml:space="preserve">, 12</t>
    </r>
    <r>
      <rPr>
        <sz val="10"/>
        <rFont val="WenQuanYi Zen Hei"/>
        <family val="2"/>
      </rPr>
      <t xml:space="preserve">부 장례</t>
    </r>
    <r>
      <rPr>
        <sz val="10"/>
        <rFont val="Noto Sans CJK SC"/>
        <family val="2"/>
        <charset val="1"/>
      </rPr>
      <t xml:space="preserve">, 13</t>
    </r>
    <r>
      <rPr>
        <sz val="10"/>
        <rFont val="WenQuanYi Zen Hei"/>
        <family val="2"/>
      </rPr>
      <t xml:space="preserve">부 유언장</t>
    </r>
    <r>
      <rPr>
        <sz val="10"/>
        <rFont val="Noto Sans CJK SC"/>
        <family val="2"/>
        <charset val="1"/>
      </rPr>
      <t xml:space="preserve">)</t>
    </r>
  </si>
  <si>
    <t xml:space="preserve">Curie_출처</t>
  </si>
  <si>
    <r>
      <rPr>
        <sz val="10"/>
        <rFont val="WenQuanYi Zen Hei"/>
        <family val="2"/>
      </rPr>
      <t xml:space="preserve">결론 대신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출처 안내</t>
    </r>
    <r>
      <rPr>
        <sz val="10"/>
        <rFont val="Noto Sans CJK SC"/>
        <family val="2"/>
        <charset val="1"/>
      </rPr>
      <t xml:space="preserve">' — </t>
    </r>
    <r>
      <rPr>
        <sz val="10"/>
        <rFont val="WenQuanYi Zen Hei"/>
        <family val="2"/>
      </rPr>
      <t xml:space="preserve">서가 </t>
    </r>
    <r>
      <rPr>
        <sz val="10"/>
        <rFont val="Noto Sans CJK SC"/>
        <family val="2"/>
        <charset val="1"/>
      </rPr>
      <t xml:space="preserve">4</t>
    </r>
    <r>
      <rPr>
        <sz val="10"/>
        <rFont val="WenQuanYi Zen Hei"/>
        <family val="2"/>
      </rPr>
      <t xml:space="preserve">칸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주제별 출처표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카드 구술 템플릿</t>
    </r>
  </si>
  <si>
    <t xml:space="preserve">대화문규칙</t>
  </si>
  <si>
    <r>
      <rPr>
        <sz val="10"/>
        <rFont val="WenQuanYi Zen Hei"/>
        <family val="2"/>
      </rPr>
      <t xml:space="preserve">전 화 </t>
    </r>
    <r>
      <rPr>
        <sz val="10"/>
        <rFont val="Noto Sans CJK SC"/>
        <family val="2"/>
        <charset val="1"/>
      </rPr>
      <t xml:space="preserve">100% </t>
    </r>
    <r>
      <rPr>
        <sz val="10"/>
        <rFont val="WenQuanYi Zen Hei"/>
        <family val="2"/>
      </rPr>
      <t xml:space="preserve">대화문 원칙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지문 → 대사 대체표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현안을 다루는 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문장 길이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분량 기준</t>
    </r>
  </si>
  <si>
    <t xml:space="preserve">1부_시범대사</t>
  </si>
  <si>
    <t xml:space="preserve">샘플</t>
  </si>
  <si>
    <r>
      <rPr>
        <sz val="10"/>
        <rFont val="Arial"/>
        <family val="0"/>
        <charset val="1"/>
      </rPr>
      <t xml:space="preserve">Manon 1</t>
    </r>
    <r>
      <rPr>
        <sz val="10"/>
        <rFont val="WenQuanYi Zen Hei"/>
        <family val="2"/>
      </rPr>
      <t xml:space="preserve">차 폭발 장면을 지문 없이 대사로만 쓴 </t>
    </r>
    <r>
      <rPr>
        <sz val="10"/>
        <rFont val="Arial"/>
        <family val="0"/>
        <charset val="1"/>
      </rPr>
      <t xml:space="preserve">B1 </t>
    </r>
    <r>
      <rPr>
        <sz val="10"/>
        <rFont val="WenQuanYi Zen Hei"/>
        <family val="2"/>
      </rPr>
      <t xml:space="preserve">시범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단어 수 자동 점검</t>
    </r>
    <r>
      <rPr>
        <sz val="10"/>
        <rFont val="Arial"/>
        <family val="0"/>
        <charset val="1"/>
      </rPr>
      <t xml:space="preserve">)</t>
    </r>
  </si>
  <si>
    <t xml:space="preserve">변경이력_미결</t>
  </si>
  <si>
    <t xml:space="preserve">관리</t>
  </si>
  <si>
    <t xml:space="preserve">지금까지의 변경 이력과 확정이 필요한 미결 사항</t>
  </si>
  <si>
    <t xml:space="preserve">범례</t>
  </si>
  <si>
    <t xml:space="preserve">파란 글씨</t>
  </si>
  <si>
    <r>
      <rPr>
        <sz val="10"/>
        <rFont val="WenQuanYi Zen Hei"/>
        <family val="2"/>
      </rPr>
      <t xml:space="preserve">직접 입력한 값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수정 가능</t>
    </r>
    <r>
      <rPr>
        <sz val="10"/>
        <rFont val="Noto Sans CJK SC"/>
        <family val="2"/>
        <charset val="1"/>
      </rPr>
      <t xml:space="preserve">)</t>
    </r>
  </si>
  <si>
    <t xml:space="preserve">노란 배경</t>
  </si>
  <si>
    <r>
      <rPr>
        <sz val="10"/>
        <rFont val="WenQuanYi Zen Hei"/>
        <family val="2"/>
      </rPr>
      <t xml:space="preserve">가정 </t>
    </r>
    <r>
      <rPr>
        <sz val="10"/>
        <rFont val="Noto Sans CJK SC"/>
        <family val="2"/>
        <charset val="1"/>
      </rPr>
      <t xml:space="preserve">· </t>
    </r>
    <r>
      <rPr>
        <sz val="10"/>
        <rFont val="WenQuanYi Zen Hei"/>
        <family val="2"/>
      </rPr>
      <t xml:space="preserve">확정이 필요한 값</t>
    </r>
  </si>
  <si>
    <t xml:space="preserve">검정 글씨</t>
  </si>
  <si>
    <r>
      <rPr>
        <sz val="10"/>
        <rFont val="WenQuanYi Zen Hei"/>
        <family val="2"/>
      </rPr>
      <t xml:space="preserve">수식으로 계산되는 값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직접 수정하지 말 것</t>
    </r>
    <r>
      <rPr>
        <sz val="10"/>
        <rFont val="Noto Sans CJK SC"/>
        <family val="2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</si>
  <si>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주의</t>
    </r>
    <r>
      <rPr>
        <i val="true"/>
        <sz val="9"/>
        <color rgb="FF595959"/>
        <rFont val="Noto Sans CJK SC"/>
        <family val="2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성별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나이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기관명은 기획용 가상 설정입니다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법령 번호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조항은 교재에 넣기 전에 </t>
    </r>
    <r>
      <rPr>
        <i val="true"/>
        <sz val="9"/>
        <color rgb="FF595959"/>
        <rFont val="Noto Sans CJK SC"/>
        <family val="2"/>
        <charset val="1"/>
      </rPr>
      <t xml:space="preserve">Légifrance(legifrance.gouv.fr)</t>
    </r>
    <r>
      <rPr>
        <i val="true"/>
        <sz val="9"/>
        <color rgb="FF595959"/>
        <rFont val="WenQuanYi Zen Hei"/>
        <family val="2"/>
      </rPr>
      <t xml:space="preserve">의 현행 텍스트</t>
    </r>
    <r>
      <rPr>
        <i val="true"/>
        <sz val="9"/>
        <color rgb="FF595959"/>
        <rFont val="Noto Sans CJK SC"/>
        <family val="2"/>
        <charset val="1"/>
      </rPr>
      <t xml:space="preserve">(version en vigueur)</t>
    </r>
    <r>
      <rPr>
        <i val="true"/>
        <sz val="9"/>
        <color rgb="FF595959"/>
        <rFont val="WenQuanYi Zen Hei"/>
        <family val="2"/>
      </rPr>
      <t xml:space="preserve">로 확인하세요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</si>
  <si>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4"/>
        <color rgb="FF1F3864"/>
        <rFont val="WenQuanYi Zen Hei"/>
        <family val="2"/>
      </rPr>
      <t xml:space="preserve">캐릭터 바이블 — </t>
    </r>
    <r>
      <rPr>
        <b val="true"/>
        <sz val="14"/>
        <color rgb="FF1F3864"/>
        <rFont val="Noto Sans CJK SC"/>
        <family val="2"/>
        <charset val="1"/>
      </rPr>
      <t xml:space="preserve">15</t>
    </r>
    <r>
      <rPr>
        <b val="true"/>
        <sz val="14"/>
        <color rgb="FF1F3864"/>
        <rFont val="WenQuanYi Zen Hei"/>
        <family val="2"/>
      </rPr>
      <t xml:space="preserve">인 </t>
    </r>
    <r>
      <rPr>
        <b val="true"/>
        <sz val="14"/>
        <color rgb="FF1F3864"/>
        <rFont val="Noto Sans CJK SC"/>
        <family val="2"/>
        <charset val="1"/>
      </rPr>
      <t xml:space="preserve">(Paris </t>
    </r>
    <r>
      <rPr>
        <b val="true"/>
        <sz val="14"/>
        <color rgb="FF1F3864"/>
        <rFont val="WenQuanYi Zen Hei"/>
        <family val="2"/>
      </rPr>
      <t xml:space="preserve">프랑스어 낭독 교재 — 캐릭터 바이블 </t>
    </r>
    <r>
      <rPr>
        <b val="true"/>
        <sz val="14"/>
        <color rgb="FF1F3864"/>
        <rFont val="Noto Sans CJK SC"/>
        <family val="2"/>
        <charset val="1"/>
      </rPr>
      <t xml:space="preserve">(</t>
    </r>
    <r>
      <rPr>
        <b val="true"/>
        <sz val="14"/>
        <color rgb="FF1F3864"/>
        <rFont val="WenQuanYi Zen Hei"/>
        <family val="2"/>
      </rPr>
      <t xml:space="preserve">부활자 특별편</t>
    </r>
    <r>
      <rPr>
        <b val="true"/>
        <sz val="14"/>
        <color rgb="FF1F3864"/>
        <rFont val="Noto Sans CJK SC"/>
        <family val="2"/>
        <charset val="1"/>
      </rPr>
      <t xml:space="preserve">))</t>
    </r>
  </si>
  <si>
    <t xml:space="preserve">No</t>
  </si>
  <si>
    <t xml:space="preserve">그룹</t>
  </si>
  <si>
    <t xml:space="preserve">이름</t>
  </si>
  <si>
    <t xml:space="preserve">약칭</t>
  </si>
  <si>
    <r>
      <rPr>
        <b val="true"/>
        <sz val="10"/>
        <color rgb="FFFFFFFF"/>
        <rFont val="WenQuanYi Zen Hei"/>
        <family val="2"/>
      </rPr>
      <t xml:space="preserve">나이
</t>
    </r>
    <r>
      <rPr>
        <b val="true"/>
        <sz val="10"/>
        <color rgb="FFFFFFFF"/>
        <rFont val="Noto Sans CJK SC"/>
        <family val="2"/>
        <charset val="1"/>
      </rPr>
      <t xml:space="preserve">(1</t>
    </r>
    <r>
      <rPr>
        <b val="true"/>
        <sz val="10"/>
        <color rgb="FFFFFFFF"/>
        <rFont val="WenQuanYi Zen Hei"/>
        <family val="2"/>
      </rPr>
      <t xml:space="preserve">부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</si>
  <si>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나이
</t>
    </r>
    <r>
      <rPr>
        <b val="true"/>
        <sz val="10"/>
        <color rgb="FFFFFFFF"/>
        <rFont val="Noto Sans CJK SC"/>
        <family val="2"/>
        <charset val="1"/>
      </rPr>
      <t xml:space="preserve">(11</t>
    </r>
    <r>
      <rPr>
        <b val="true"/>
        <sz val="10"/>
        <color rgb="FFFFFFFF"/>
        <rFont val="WenQuanYi Zen Hei"/>
        <family val="2"/>
      </rPr>
      <t xml:space="preserve">부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</si>
  <si>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t xml:space="preserve">성별</t>
  </si>
  <si>
    <r>
      <rPr>
        <b val="true"/>
        <sz val="10"/>
        <color rgb="FFFFFFFF"/>
        <rFont val="WenQuanYi Zen Hei"/>
        <family val="2"/>
      </rPr>
      <t xml:space="preserve">직업</t>
    </r>
    <r>
      <rPr>
        <b val="true"/>
        <sz val="10"/>
        <color rgb="FFFFFFFF"/>
        <rFont val="Noto Sans CJK SC"/>
        <family val="2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신분</t>
    </r>
  </si>
  <si>
    <r>
      <rPr>
        <b val="true"/>
        <sz val="10"/>
        <color rgb="FFFFFFFF"/>
        <rFont val="WenQuanYi Zen Hei"/>
        <family val="2"/>
      </rPr>
      <t xml:space="preserve">전 소속 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가상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</si>
  <si>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결핍 </t>
    </r>
    <r>
      <rPr>
        <b val="true"/>
        <sz val="10"/>
        <color rgb="FFFFFFFF"/>
        <rFont val="Noto Sans CJK SC"/>
        <family val="2"/>
        <charset val="1"/>
      </rPr>
      <t xml:space="preserve">(Blessure)</t>
    </r>
  </si>
  <si>
    <t xml:space="preserve">말투</t>
  </si>
  <si>
    <t xml:space="preserve">시그니처 표현</t>
  </si>
  <si>
    <t xml:space="preserve">낭독 포인트</t>
  </si>
  <si>
    <r>
      <rPr>
        <b val="true"/>
        <sz val="10"/>
        <color rgb="FFFFFFFF"/>
        <rFont val="WenQuanYi Zen Hei"/>
        <family val="2"/>
      </rPr>
      <t xml:space="preserve">대화문 장치 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지문 대체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</si>
  <si>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정치 직책 </t>
    </r>
    <r>
      <rPr>
        <b val="true"/>
        <sz val="10"/>
        <color rgb="FFFFFFFF"/>
        <rFont val="Noto Sans CJK SC"/>
        <family val="2"/>
        <charset val="1"/>
      </rPr>
      <t xml:space="preserve">(8~13</t>
    </r>
    <r>
      <rPr>
        <b val="true"/>
        <sz val="10"/>
        <color rgb="FFFFFFFF"/>
        <rFont val="WenQuanYi Zen Hei"/>
        <family val="2"/>
      </rPr>
      <t xml:space="preserve">부</t>
    </r>
    <r>
      <rPr>
        <b val="true"/>
        <sz val="10"/>
        <color rgb="FFFFFFFF"/>
        <rFont val="Noto Sans CJK SC"/>
        <family val="2"/>
        <charset val="1"/>
      </rPr>
      <t xml:space="preserve">, </t>
    </r>
    <r>
      <rPr>
        <b val="true"/>
        <sz val="10"/>
        <color rgb="FFFFFFFF"/>
        <rFont val="WenQuanYi Zen Hei"/>
        <family val="2"/>
      </rPr>
      <t xml:space="preserve">제안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</si>
  <si>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부 등장 방식</t>
    </r>
  </si>
  <si>
    <t xml:space="preserve">등장
화 수</t>
  </si>
  <si>
    <t xml:space="preserve">등급</t>
  </si>
  <si>
    <r>
      <rPr>
        <b val="true"/>
        <sz val="10"/>
        <color rgb="FFFFFFFF"/>
        <rFont val="WenQuanYi Zen Hei"/>
        <family val="2"/>
      </rPr>
      <t xml:space="preserve">현안 담당
</t>
    </r>
    <r>
      <rPr>
        <b val="true"/>
        <sz val="10"/>
        <color rgb="FFFFFFFF"/>
        <rFont val="Noto Sans CJK SC"/>
        <family val="2"/>
        <charset val="1"/>
      </rPr>
      <t xml:space="preserve">(ID)</t>
    </r>
  </si>
  <si>
    <r>
      <rPr>
        <sz val="10"/>
        <rFont val="WenQuanYi Zen Hei"/>
        <family val="2"/>
      </rPr>
      <t xml:space="preserve">주력 </t>
    </r>
    <r>
      <rPr>
        <sz val="10"/>
        <rFont val="Noto Sans CJK SC"/>
        <family val="2"/>
        <charset val="1"/>
      </rPr>
      <t xml:space="preserve">4</t>
    </r>
    <r>
      <rPr>
        <sz val="10"/>
        <rFont val="WenQuanYi Zen Hei"/>
        <family val="2"/>
      </rPr>
      <t xml:space="preserve">인</t>
    </r>
  </si>
  <si>
    <t xml:space="preserve">Nicolas Lefevre</t>
  </si>
  <si>
    <t xml:space="preserve">Nicolas</t>
  </si>
  <si>
    <t xml:space="preserve">남</t>
  </si>
  <si>
    <r>
      <rPr>
        <sz val="10"/>
        <rFont val="WenQuanYi Zen Hei"/>
        <family val="2"/>
      </rPr>
      <t xml:space="preserve">변호사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기업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규제 전문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</si>
  <si>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Vasseur &amp; Delorme Avocats (</t>
    </r>
    <r>
      <rPr>
        <sz val="10"/>
        <rFont val="WenQuanYi Zen Hei"/>
        <family val="2"/>
      </rPr>
      <t xml:space="preserve">전 파트너 후보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</si>
  <si>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승소율은 높지만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강제퇴거 소송에서 이긴 사건 하나가 계속 마음에 걸린다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</si>
  <si>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문장이 완결되고 격식체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접속법 사용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초반엔 차갑게 조항을 인용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후반엔 연설가로 성장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</si>
  <si>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Procédons dans l'ordre.\nAvec tout le respect que je vous dois, ce n'est pas ce que dit la loi.\n(</t>
    </r>
    <r>
      <rPr>
        <sz val="10"/>
        <rFont val="WenQuanYi Zen Hei"/>
        <family val="2"/>
      </rPr>
      <t xml:space="preserve">후반</t>
    </r>
    <r>
      <rPr>
        <sz val="10"/>
        <rFont val="Arial"/>
        <family val="0"/>
        <charset val="1"/>
      </rPr>
      <t xml:space="preserve">) Je ne vous demande pas de me croire. Je vous demande de lire le texte.</t>
    </r>
  </si>
  <si>
    <r>
      <rPr>
        <sz val="10"/>
        <rFont val="WenQuanYi Zen Hei"/>
        <family val="2"/>
      </rPr>
      <t xml:space="preserve">또박또박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중저음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</si>
  <si>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법조문을 소리 내어 읽어 상황을 설명한다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</si>
  <si>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당 대표</t>
    </r>
    <r>
      <rPr>
        <sz val="10"/>
        <rFont val="Noto Sans CJK SC"/>
        <family val="2"/>
        <charset val="1"/>
      </rPr>
      <t xml:space="preserve">(8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 → </t>
    </r>
    <r>
      <rPr>
        <sz val="10"/>
        <rFont val="WenQuanYi Zen Hei"/>
        <family val="2"/>
      </rPr>
      <t xml:space="preserve">대선 후보</t>
    </r>
    <r>
      <rPr>
        <sz val="10"/>
        <rFont val="Noto Sans CJK SC"/>
        <family val="2"/>
        <charset val="1"/>
      </rPr>
      <t xml:space="preserve">(9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 → </t>
    </r>
    <r>
      <rPr>
        <sz val="10"/>
        <rFont val="WenQuanYi Zen Hei"/>
        <family val="2"/>
      </rPr>
      <t xml:space="preserve">대통령</t>
    </r>
    <r>
      <rPr>
        <sz val="10"/>
        <rFont val="Noto Sans CJK SC"/>
        <family val="2"/>
        <charset val="1"/>
      </rPr>
      <t xml:space="preserve">(10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8</t>
    </r>
    <r>
      <rPr>
        <sz val="10"/>
        <rFont val="WenQuanYi Zen Hei"/>
        <family val="2"/>
      </rPr>
      <t xml:space="preserve">화 취임</t>
    </r>
    <r>
      <rPr>
        <sz val="10"/>
        <rFont val="Noto Sans CJK SC"/>
        <family val="2"/>
        <charset val="1"/>
      </rPr>
      <t xml:space="preserve">)</t>
    </r>
  </si>
  <si>
    <t xml:space="preserve">본격</t>
  </si>
  <si>
    <t xml:space="preserve">P1·P3·E1</t>
  </si>
  <si>
    <t xml:space="preserve">Camille Girard</t>
  </si>
  <si>
    <t xml:space="preserve">Camille</t>
  </si>
  <si>
    <t xml:space="preserve">여</t>
  </si>
  <si>
    <t xml:space="preserve">응급의학과 전문의</t>
  </si>
  <si>
    <r>
      <rPr>
        <sz val="10"/>
        <rFont val="Arial"/>
        <family val="0"/>
        <charset val="1"/>
      </rPr>
      <t xml:space="preserve">Hôpital Saint-Bernard </t>
    </r>
    <r>
      <rPr>
        <sz val="10"/>
        <rFont val="WenQuanYi Zen Hei"/>
        <family val="2"/>
      </rPr>
      <t xml:space="preserve">응급실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</si>
  <si>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살리지 못한 환자의 이름을 전부 외우고 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</si>
  <si>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짧고 명령형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블랙유머</t>
    </r>
    <r>
      <rPr>
        <sz val="10"/>
        <rFont val="Noto Sans CJK SC"/>
        <family val="2"/>
        <charset val="1"/>
      </rPr>
      <t xml:space="preserve">.</t>
    </r>
  </si>
  <si>
    <t xml:space="preserve">Ce n'est pas une statistique, c'est une personne.\nD'abord, respire.\nJ'ai vu pire un mardi ordinaire.</t>
  </si>
  <si>
    <r>
      <rPr>
        <sz val="10"/>
        <rFont val="WenQuanYi Zen Hei"/>
        <family val="2"/>
      </rPr>
      <t xml:space="preserve">빠른 템포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짧은 호흡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</si>
  <si>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명령형으로 행동을 말하며 진행한다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</si>
  <si>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파리 시의원</t>
    </r>
    <r>
      <rPr>
        <sz val="10"/>
        <rFont val="Noto Sans CJK SC"/>
        <family val="2"/>
        <charset val="1"/>
      </rPr>
      <t xml:space="preserve">·AP-HP </t>
    </r>
    <r>
      <rPr>
        <sz val="10"/>
        <rFont val="WenQuanYi Zen Hei"/>
        <family val="2"/>
      </rPr>
      <t xml:space="preserve">감독위원</t>
    </r>
    <r>
      <rPr>
        <sz val="10"/>
        <rFont val="Noto Sans CJK SC"/>
        <family val="2"/>
        <charset val="1"/>
      </rPr>
      <t xml:space="preserve">(9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 → </t>
    </r>
    <r>
      <rPr>
        <sz val="10"/>
        <rFont val="WenQuanYi Zen Hei"/>
        <family val="2"/>
      </rPr>
      <t xml:space="preserve">보건부 장관</t>
    </r>
    <r>
      <rPr>
        <sz val="10"/>
        <rFont val="Noto Sans CJK SC"/>
        <family val="2"/>
        <charset val="1"/>
      </rPr>
      <t xml:space="preserve">(11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~)</t>
    </r>
  </si>
  <si>
    <t xml:space="preserve">S3·S4·N8</t>
  </si>
  <si>
    <t xml:space="preserve">Julien Moreau</t>
  </si>
  <si>
    <t xml:space="preserve">Julien</t>
  </si>
  <si>
    <r>
      <rPr>
        <sz val="10"/>
        <rFont val="WenQuanYi Zen Hei"/>
        <family val="2"/>
      </rPr>
      <t xml:space="preserve">공인회계사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감사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</si>
  <si>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Bertin &amp; Roux Audit 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전 시니어 파트너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</si>
  <si>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부정을 발견하고도 서명했던 기억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</si>
  <si>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건조하고 정확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비꼬는 유머</t>
    </r>
    <r>
      <rPr>
        <sz val="10"/>
        <rFont val="Noto Sans CJK SC"/>
        <family val="2"/>
        <charset val="1"/>
      </rPr>
      <t xml:space="preserve">.</t>
    </r>
  </si>
  <si>
    <t xml:space="preserve">Montrez-moi les documents.\nÇa ne colle pas.\nMontrez-moi les chiffres, je vous dirai qui vous êtes.</t>
  </si>
  <si>
    <r>
      <rPr>
        <sz val="10"/>
        <rFont val="WenQuanYi Zen Hei"/>
        <family val="2"/>
      </rPr>
      <t xml:space="preserve">일정한 속도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결론에서 톤을 낮춘다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</si>
  <si>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숫자를 소리 내어 읽는다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</si>
  <si>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파리 시의원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예산 담당</t>
    </r>
    <r>
      <rPr>
        <sz val="10"/>
        <rFont val="Noto Sans CJK SC"/>
        <family val="2"/>
        <charset val="1"/>
      </rPr>
      <t xml:space="preserve">(9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 → </t>
    </r>
    <r>
      <rPr>
        <sz val="10"/>
        <rFont val="WenQuanYi Zen Hei"/>
        <family val="2"/>
      </rPr>
      <t xml:space="preserve">경제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재정부 장관</t>
    </r>
    <r>
      <rPr>
        <sz val="10"/>
        <rFont val="Noto Sans CJK SC"/>
        <family val="2"/>
        <charset val="1"/>
      </rPr>
      <t xml:space="preserve">(Bercy, 11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~)</t>
    </r>
  </si>
  <si>
    <t xml:space="preserve">E3·N2</t>
  </si>
  <si>
    <t xml:space="preserve">Léa Dubois</t>
  </si>
  <si>
    <t xml:space="preserve">Léa</t>
  </si>
  <si>
    <t xml:space="preserve">전략 컨설턴트</t>
  </si>
  <si>
    <r>
      <rPr>
        <sz val="10"/>
        <rFont val="Arial"/>
        <family val="0"/>
        <charset val="1"/>
      </rPr>
      <t xml:space="preserve">Zénith Consulting 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, La Défense)</t>
    </r>
  </si>
  <si>
    <r>
      <rPr>
        <sz val="10"/>
        <rFont val="WenQuanYi Zen Hei"/>
        <family val="2"/>
      </rPr>
      <t xml:space="preserve">구조조정 표 한 칸이 수백 명의 해고였음을 뒤늦게 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</si>
  <si>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영어식 경영 용어가 섞인 빠른 말투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후반 쉬운 말로 성장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</si>
  <si>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Mettons ça dans une matrice.\n(</t>
    </r>
    <r>
      <rPr>
        <sz val="10"/>
        <rFont val="WenQuanYi Zen Hei"/>
        <family val="2"/>
      </rPr>
      <t xml:space="preserve">후반</t>
    </r>
    <r>
      <rPr>
        <sz val="10"/>
        <rFont val="Arial"/>
        <family val="0"/>
        <charset val="1"/>
      </rPr>
      <t xml:space="preserve">) Bon, sans slides : de quoi tu as vraiment besoin ?</t>
    </r>
  </si>
  <si>
    <r>
      <rPr>
        <sz val="10"/>
        <rFont val="WenQuanYi Zen Hei"/>
        <family val="2"/>
      </rPr>
      <t xml:space="preserve">초반 숨 가쁜 톤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후반 솔직한 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</si>
  <si>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프레젠테이션식 브리핑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</si>
  <si>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선거캠프 총괄 참모</t>
    </r>
    <r>
      <rPr>
        <sz val="10"/>
        <rFont val="Noto Sans CJK SC"/>
        <family val="2"/>
        <charset val="1"/>
      </rPr>
      <t xml:space="preserve">(8~10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 → </t>
    </r>
    <r>
      <rPr>
        <sz val="10"/>
        <rFont val="WenQuanYi Zen Hei"/>
        <family val="2"/>
      </rPr>
      <t xml:space="preserve">엘리제궁 비서실장</t>
    </r>
    <r>
      <rPr>
        <sz val="10"/>
        <rFont val="Noto Sans CJK SC"/>
        <family val="2"/>
        <charset val="1"/>
      </rPr>
      <t xml:space="preserve">(secrétaire générale de l'Élysée)</t>
    </r>
  </si>
  <si>
    <t xml:space="preserve">E2·P1</t>
  </si>
  <si>
    <r>
      <rPr>
        <sz val="10"/>
        <rFont val="WenQuanYi Zen Hei"/>
        <family val="2"/>
      </rPr>
      <t xml:space="preserve">부활 </t>
    </r>
    <r>
      <rPr>
        <sz val="10"/>
        <rFont val="Noto Sans CJK SC"/>
        <family val="2"/>
        <charset val="1"/>
      </rPr>
      <t xml:space="preserve">7</t>
    </r>
    <r>
      <rPr>
        <sz val="10"/>
        <rFont val="WenQuanYi Zen Hei"/>
        <family val="2"/>
      </rPr>
      <t xml:space="preserve">인</t>
    </r>
  </si>
  <si>
    <t xml:space="preserve">Napoléon Bonaparte</t>
  </si>
  <si>
    <t xml:space="preserve">Napoléon</t>
  </si>
  <si>
    <r>
      <rPr>
        <sz val="10"/>
        <rFont val="WenQuanYi Zen Hei"/>
        <family val="2"/>
      </rPr>
      <t xml:space="preserve">부활한 황제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전략가 </t>
    </r>
    <r>
      <rPr>
        <sz val="10"/>
        <rFont val="Noto Sans CJK SC"/>
        <family val="2"/>
        <charset val="1"/>
      </rPr>
      <t xml:space="preserve">(1769–1821)</t>
    </r>
  </si>
  <si>
    <r>
      <rPr>
        <sz val="10"/>
        <rFont val="WenQuanYi Zen Hei"/>
        <family val="2"/>
      </rPr>
      <t xml:space="preserve">프랑스 제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제국 황제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세인트헬레나 유배지에서 사망</t>
    </r>
  </si>
  <si>
    <r>
      <rPr>
        <sz val="10"/>
        <rFont val="WenQuanYi Zen Hei"/>
        <family val="2"/>
      </rPr>
      <t xml:space="preserve">자신의 몰락까지 전략적으로 복기하는 버릇이 있다 — 패배조차 전술적으로 설명하려 든다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세인트헬레나에서 자신을 죽인 위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胃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의 병이 되살아났다는 것만은 숨긴다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</si>
  <si>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단호하고 명령조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짧고 강한 문장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자신의 전투를 예시로 모든 걸 설명한다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</si>
  <si>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Impossible n'est pas français — enfin, plus maintenant, apparemment.\n(</t>
    </r>
    <r>
      <rPr>
        <sz val="10"/>
        <rFont val="WenQuanYi Zen Hei"/>
        <family val="2"/>
      </rPr>
      <t xml:space="preserve">현대 용어 오해</t>
    </r>
    <r>
      <rPr>
        <sz val="10"/>
        <rFont val="Arial"/>
        <family val="0"/>
        <charset val="1"/>
      </rPr>
      <t xml:space="preserve">) Un « serveur » ? Un valet qui ne dort jamais. Très impérial.\n« Pare-feu » ? Nous appelions ça un siège.</t>
    </r>
  </si>
  <si>
    <r>
      <rPr>
        <sz val="10"/>
        <rFont val="WenQuanYi Zen Hei"/>
        <family val="2"/>
      </rPr>
      <t xml:space="preserve">짧고 단호한 톤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명령형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</si>
  <si>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자신의 옛 전투와 현재 상황을 비교해 설명한다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</si>
  <si>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대통령 특사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외교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안보</t>
    </r>
    <r>
      <rPr>
        <sz val="10"/>
        <rFont val="Noto Sans CJK SC"/>
        <family val="2"/>
        <charset val="1"/>
      </rPr>
      <t xml:space="preserve">) — 11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9~11</t>
    </r>
    <r>
      <rPr>
        <sz val="10"/>
        <rFont val="WenQuanYi Zen Hei"/>
        <family val="2"/>
      </rPr>
      <t xml:space="preserve">화 브뤼셀 협상</t>
    </r>
    <r>
      <rPr>
        <sz val="10"/>
        <rFont val="Noto Sans CJK SC"/>
        <family val="2"/>
        <charset val="1"/>
      </rPr>
      <t xml:space="preserve">, 11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화 두 번째 죽음</t>
    </r>
  </si>
  <si>
    <r>
      <rPr>
        <sz val="10"/>
        <rFont val="WenQuanYi Zen Hei"/>
        <family val="2"/>
      </rPr>
      <t xml:space="preserve">준본격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겨울 복선</t>
    </r>
    <r>
      <rPr>
        <sz val="10"/>
        <rFont val="Noto Sans CJK SC"/>
        <family val="2"/>
        <charset val="1"/>
      </rPr>
      <t xml:space="preserve">)</t>
    </r>
  </si>
  <si>
    <t xml:space="preserve">N3·E3</t>
  </si>
  <si>
    <t xml:space="preserve">Voltaire</t>
  </si>
  <si>
    <r>
      <rPr>
        <sz val="10"/>
        <rFont val="WenQuanYi Zen Hei"/>
        <family val="2"/>
      </rPr>
      <t xml:space="preserve">부활한 계몽사상가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풍자가 </t>
    </r>
    <r>
      <rPr>
        <sz val="10"/>
        <rFont val="Noto Sans CJK SC"/>
        <family val="2"/>
        <charset val="1"/>
      </rPr>
      <t xml:space="preserve">(1694–1778)</t>
    </r>
  </si>
  <si>
    <r>
      <rPr>
        <sz val="10"/>
        <rFont val="WenQuanYi Zen Hei"/>
        <family val="2"/>
      </rPr>
      <t xml:space="preserve">『캉디드』 저자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바스티유 투옥 경험</t>
    </r>
  </si>
  <si>
    <r>
      <rPr>
        <sz val="10"/>
        <rFont val="WenQuanYi Zen Hei"/>
        <family val="2"/>
      </rPr>
      <t xml:space="preserve">자신이 그렇게 싸운 관용과 이성이 오늘날에도 여전히 부족하다는 걸 매일 확인하며 냉소로 버틴다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</si>
  <si>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신랄하고 재치 있는 풍자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팜플렛 문체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</si>
  <si>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고전 인용</t>
    </r>
    <r>
      <rPr>
        <sz val="10"/>
        <rFont val="Arial"/>
        <family val="0"/>
        <charset val="1"/>
      </rPr>
      <t xml:space="preserve">) Il faut cultiver notre jardin.\n(</t>
    </r>
    <r>
      <rPr>
        <sz val="10"/>
        <rFont val="WenQuanYi Zen Hei"/>
        <family val="2"/>
      </rPr>
      <t xml:space="preserve">현대 용어 재해석</t>
    </r>
    <r>
      <rPr>
        <sz val="10"/>
        <rFont val="Arial"/>
        <family val="0"/>
        <charset val="1"/>
      </rPr>
      <t xml:space="preserve">) « Fake news » ? Nous appelions ça la censure royale — au moins, aujourd'hui, tout le monde peut mentir également.</t>
    </r>
  </si>
  <si>
    <r>
      <rPr>
        <sz val="10"/>
        <rFont val="WenQuanYi Zen Hei"/>
        <family val="2"/>
      </rPr>
      <t xml:space="preserve">빠르고 재치있는 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</si>
  <si>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현재 사안을 풍자적 우화로 요약해 설명한다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</si>
  <si>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엘리제궁 공보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메시지 자문</t>
    </r>
  </si>
  <si>
    <t xml:space="preserve">카메오</t>
  </si>
  <si>
    <t xml:space="preserve">P3·N7</t>
  </si>
  <si>
    <t xml:space="preserve">Olympe de Gouges</t>
  </si>
  <si>
    <t xml:space="preserve">Olympe</t>
  </si>
  <si>
    <r>
      <rPr>
        <sz val="10"/>
        <rFont val="WenQuanYi Zen Hei"/>
        <family val="2"/>
      </rPr>
      <t xml:space="preserve">부활한 여성인권 운동가 </t>
    </r>
    <r>
      <rPr>
        <sz val="10"/>
        <rFont val="Noto Sans CJK SC"/>
        <family val="2"/>
        <charset val="1"/>
      </rPr>
      <t xml:space="preserve">(1748–1793)</t>
    </r>
  </si>
  <si>
    <r>
      <rPr>
        <sz val="10"/>
        <rFont val="WenQuanYi Zen Hei"/>
        <family val="2"/>
      </rPr>
      <t xml:space="preserve">『여성과 여성시민의 권리선언』 저자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단두대에서 처형</t>
    </r>
  </si>
  <si>
    <r>
      <rPr>
        <sz val="10"/>
        <rFont val="WenQuanYi Zen Hei"/>
        <family val="2"/>
      </rPr>
      <t xml:space="preserve">자신이 요구한 권리들이 </t>
    </r>
    <r>
      <rPr>
        <sz val="10"/>
        <rFont val="Noto Sans CJK SC"/>
        <family val="2"/>
        <charset val="1"/>
      </rPr>
      <t xml:space="preserve">200</t>
    </r>
    <r>
      <rPr>
        <sz val="10"/>
        <rFont val="WenQuanYi Zen Hei"/>
        <family val="2"/>
      </rPr>
      <t xml:space="preserve">년이 지나서야 겨우 이뤄지는 걸 보며 조급해한다 —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이번엔 기다리지 않는다</t>
    </r>
    <r>
      <rPr>
        <sz val="10"/>
        <rFont val="Noto Sans CJK SC"/>
        <family val="2"/>
        <charset val="1"/>
      </rPr>
      <t xml:space="preserve">'.</t>
    </r>
  </si>
  <si>
    <r>
      <rPr>
        <sz val="10"/>
        <rFont val="WenQuanYi Zen Hei"/>
        <family val="2"/>
      </rPr>
      <t xml:space="preserve">열정적이고 논리적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선언문 낭독하듯 말한다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</si>
  <si>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La femme a le droit de monter à l'échafaud, elle doit avoir également celui de monter à la tribune.\n(</t>
    </r>
    <r>
      <rPr>
        <sz val="10"/>
        <rFont val="WenQuanYi Zen Hei"/>
        <family val="2"/>
      </rPr>
      <t xml:space="preserve">현대 용어 오해</t>
    </r>
    <r>
      <rPr>
        <sz val="10"/>
        <rFont val="Arial"/>
        <family val="0"/>
        <charset val="1"/>
      </rPr>
      <t xml:space="preserve">) « Cancel culture » ? Enfin — qui déchoit-on en premier ?</t>
    </r>
  </si>
  <si>
    <r>
      <rPr>
        <sz val="10"/>
        <rFont val="WenQuanYi Zen Hei"/>
        <family val="2"/>
      </rPr>
      <t xml:space="preserve">빠르고 격정적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선언문 낭독조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</si>
  <si>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선언문 형식으로 상황과 요구사항을 정리해 전달한다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</si>
  <si>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창당 전략가</t>
    </r>
    <r>
      <rPr>
        <sz val="10"/>
        <rFont val="Noto Sans CJK SC"/>
        <family val="2"/>
        <charset val="1"/>
      </rPr>
      <t xml:space="preserve">(8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 → </t>
    </r>
    <r>
      <rPr>
        <sz val="10"/>
        <rFont val="WenQuanYi Zen Hei"/>
        <family val="2"/>
      </rPr>
      <t xml:space="preserve">총리</t>
    </r>
    <r>
      <rPr>
        <sz val="10"/>
        <rFont val="Noto Sans CJK SC"/>
        <family val="2"/>
        <charset val="1"/>
      </rPr>
      <t xml:space="preserve">(Première ministre, 10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11</t>
    </r>
    <r>
      <rPr>
        <sz val="10"/>
        <rFont val="WenQuanYi Zen Hei"/>
        <family val="2"/>
      </rPr>
      <t xml:space="preserve">화 임명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</si>
  <si>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Noto Sans CJK SC"/>
        <family val="2"/>
        <charset val="1"/>
      </rPr>
      <t xml:space="preserve">7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화 합류 </t>
    </r>
    <r>
      <rPr>
        <sz val="10"/>
        <rFont val="Noto Sans CJK SC"/>
        <family val="2"/>
        <charset val="1"/>
      </rPr>
      <t xml:space="preserve">(1</t>
    </r>
    <r>
      <rPr>
        <sz val="10"/>
        <rFont val="WenQuanYi Zen Hei"/>
        <family val="2"/>
      </rPr>
      <t xml:space="preserve">부 미등장</t>
    </r>
    <r>
      <rPr>
        <sz val="10"/>
        <rFont val="Noto Sans CJK SC"/>
        <family val="2"/>
        <charset val="1"/>
      </rPr>
      <t xml:space="preserve">)</t>
    </r>
  </si>
  <si>
    <t xml:space="preserve">N4·P2</t>
  </si>
  <si>
    <t xml:space="preserve">Jeanne d'Arc</t>
  </si>
  <si>
    <t xml:space="preserve">Jeanne</t>
  </si>
  <si>
    <r>
      <rPr>
        <sz val="10"/>
        <rFont val="WenQuanYi Zen Hei"/>
        <family val="2"/>
      </rPr>
      <t xml:space="preserve">부활한 전사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신비주의자 </t>
    </r>
    <r>
      <rPr>
        <sz val="10"/>
        <rFont val="Noto Sans CJK SC"/>
        <family val="2"/>
        <charset val="1"/>
      </rPr>
      <t xml:space="preserve">(1412–1431)</t>
    </r>
  </si>
  <si>
    <r>
      <rPr>
        <sz val="10"/>
        <rFont val="WenQuanYi Zen Hei"/>
        <family val="2"/>
      </rPr>
      <t xml:space="preserve">백년전쟁 프랑스군 지휘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화형으로 처형</t>
    </r>
  </si>
  <si>
    <r>
      <rPr>
        <sz val="10"/>
        <rFont val="WenQuanYi Zen Hei"/>
        <family val="2"/>
      </rPr>
      <t xml:space="preserve">아무도 믿어주지 않았던 목소리를 들었던 소녀 — 지금도 자기 확신을 의심받으면 참지 못한다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</si>
  <si>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단순하고 확신에 찬 문장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나이답지 않게 단호하다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</si>
  <si>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현대 용어 오해</t>
    </r>
    <r>
      <rPr>
        <sz val="10"/>
        <rFont val="Arial"/>
        <family val="0"/>
        <charset val="1"/>
      </rPr>
      <t xml:space="preserve">) Une notification sur le téléphone ? Est-ce... une nouvelle voix ?\nJ'ai déjà mené une armée à dix-neuf ans. Une réunion, je peux gérer.</t>
    </r>
  </si>
  <si>
    <r>
      <rPr>
        <sz val="10"/>
        <rFont val="WenQuanYi Zen Hei"/>
        <family val="2"/>
      </rPr>
      <t xml:space="preserve">맑고 단호한 톤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어린 목소리지만 흔들림 없다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</si>
  <si>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확신에 찬 짧은 선언으로 상황을 정리한다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</si>
  <si>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현장 조직</t>
    </r>
    <r>
      <rPr>
        <sz val="10"/>
        <rFont val="Noto Sans CJK SC"/>
        <family val="2"/>
        <charset val="1"/>
      </rPr>
      <t xml:space="preserve">(7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 → </t>
    </r>
    <r>
      <rPr>
        <sz val="10"/>
        <rFont val="WenQuanYi Zen Hei"/>
        <family val="2"/>
      </rPr>
      <t xml:space="preserve">대선 캠프 로지스틱스 총괄</t>
    </r>
    <r>
      <rPr>
        <sz val="10"/>
        <rFont val="Noto Sans CJK SC"/>
        <family val="2"/>
        <charset val="1"/>
      </rPr>
      <t xml:space="preserve">(10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 → </t>
    </r>
    <r>
      <rPr>
        <sz val="10"/>
        <rFont val="WenQuanYi Zen Hei"/>
        <family val="2"/>
      </rPr>
      <t xml:space="preserve">대통령 특별참모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위기 대응</t>
    </r>
    <r>
      <rPr>
        <sz val="10"/>
        <rFont val="Noto Sans CJK SC"/>
        <family val="2"/>
        <charset val="1"/>
      </rPr>
      <t xml:space="preserve">)</t>
    </r>
  </si>
  <si>
    <t xml:space="preserve">S3·N1</t>
  </si>
  <si>
    <t xml:space="preserve">Jean-Paul Sartre</t>
  </si>
  <si>
    <t xml:space="preserve">Sartre</t>
  </si>
  <si>
    <r>
      <rPr>
        <sz val="10"/>
        <rFont val="WenQuanYi Zen Hei"/>
        <family val="2"/>
      </rPr>
      <t xml:space="preserve">부활한 실존주의 철학자 </t>
    </r>
    <r>
      <rPr>
        <sz val="10"/>
        <rFont val="Noto Sans CJK SC"/>
        <family val="2"/>
        <charset val="1"/>
      </rPr>
      <t xml:space="preserve">(1905–1980)</t>
    </r>
  </si>
  <si>
    <r>
      <rPr>
        <sz val="10"/>
        <rFont val="WenQuanYi Zen Hei"/>
        <family val="2"/>
      </rPr>
      <t xml:space="preserve">레지스탕스 참여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『존재와 무』 저자</t>
    </r>
  </si>
  <si>
    <r>
      <rPr>
        <sz val="10"/>
        <rFont val="WenQuanYi Zen Hei"/>
        <family val="2"/>
      </rPr>
      <t xml:space="preserve">자유가 무겁다는 걸 누구보다 잘 알아서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선택을 회피하는 사람을 보면 참지 못한다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</si>
  <si>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낮고 분석적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인간의 자유와 책임으로 모든 상황을 재해석한다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</si>
  <si>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고전 인용</t>
    </r>
    <r>
      <rPr>
        <sz val="10"/>
        <rFont val="Arial"/>
        <family val="0"/>
        <charset val="1"/>
      </rPr>
      <t xml:space="preserve">) L'homme est condamné à être libre.\n(</t>
    </r>
    <r>
      <rPr>
        <sz val="10"/>
        <rFont val="WenQuanYi Zen Hei"/>
        <family val="2"/>
      </rPr>
      <t xml:space="preserve">현대 용어 재해석</t>
    </r>
    <r>
      <rPr>
        <sz val="10"/>
        <rFont val="Arial"/>
        <family val="0"/>
        <charset val="1"/>
      </rPr>
      <t xml:space="preserve">) « Algorithme » ? Une nouvelle mauvaise foi — on choisit, mais on prétend que la machine a choisi.</t>
    </r>
  </si>
  <si>
    <r>
      <rPr>
        <sz val="10"/>
        <rFont val="WenQuanYi Zen Hei"/>
        <family val="2"/>
      </rPr>
      <t xml:space="preserve">느리고 낮은 톤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담배 연기처럼 여운이 길다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</si>
  <si>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상황을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누가 자유를 회피하고 있는가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로 짚어 설명한다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</si>
  <si>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사회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문화 정책 자문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청년 정신건강 담당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</si>
  <si>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카메오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카페 단골</t>
    </r>
    <r>
      <rPr>
        <sz val="10"/>
        <rFont val="Noto Sans CJK SC"/>
        <family val="2"/>
        <charset val="1"/>
      </rPr>
      <t xml:space="preserve">)</t>
    </r>
  </si>
  <si>
    <t xml:space="preserve">N8·S2</t>
  </si>
  <si>
    <t xml:space="preserve">Marie Curie</t>
  </si>
  <si>
    <t xml:space="preserve">Curie</t>
  </si>
  <si>
    <r>
      <rPr>
        <sz val="10"/>
        <rFont val="WenQuanYi Zen Hei"/>
        <family val="2"/>
      </rPr>
      <t xml:space="preserve">부활한 물리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화학자 </t>
    </r>
    <r>
      <rPr>
        <sz val="10"/>
        <rFont val="Noto Sans CJK SC"/>
        <family val="2"/>
        <charset val="1"/>
      </rPr>
      <t xml:space="preserve">(1867–1934)</t>
    </r>
  </si>
  <si>
    <r>
      <rPr>
        <sz val="10"/>
        <rFont val="WenQuanYi Zen Hei"/>
        <family val="2"/>
      </rPr>
      <t xml:space="preserve">노벨상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회 수상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방사선 연구 중 피폭으로 사망</t>
    </r>
  </si>
  <si>
    <r>
      <rPr>
        <sz val="10"/>
        <rFont val="WenQuanYi Zen Hei"/>
        <family val="2"/>
      </rPr>
      <t xml:space="preserve">자신을 죽인 바로 그 연구를 후회하지 않는다는 게 주변을 불편하게 한다 — 위험을 대수롭지 않게 여긴다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</si>
  <si>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차분하고 정확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겸손하지만 권위에 굴하지 않는다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</si>
  <si>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현대 용어 오해</t>
    </r>
    <r>
      <rPr>
        <sz val="10"/>
        <rFont val="Arial"/>
        <family val="0"/>
        <charset val="1"/>
      </rPr>
      <t xml:space="preserve">) « Radiation Wi-Fi » ? Non, non — laissez-moi vous expliquer la vraie radioactivité.\nOn n'a rien à craindre dans la vie, il faut seulement comprendre.</t>
    </r>
  </si>
  <si>
    <r>
      <rPr>
        <sz val="10"/>
        <rFont val="WenQuanYi Zen Hei"/>
        <family val="2"/>
      </rPr>
      <t xml:space="preserve">차분하고 신중한 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</si>
  <si>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정확한 데이터와 실험으로 상황을 설명한다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</si>
  <si>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과학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교육 정책 자문 </t>
    </r>
    <r>
      <rPr>
        <sz val="10"/>
        <rFont val="Noto Sans CJK SC"/>
        <family val="2"/>
        <charset val="1"/>
      </rPr>
      <t xml:space="preserve">(12</t>
    </r>
    <r>
      <rPr>
        <sz val="10"/>
        <rFont val="WenQuanYi Zen Hei"/>
        <family val="2"/>
      </rPr>
      <t xml:space="preserve">부 사찰 스캔들 기술 검증</t>
    </r>
    <r>
      <rPr>
        <sz val="10"/>
        <rFont val="Noto Sans CJK SC"/>
        <family val="2"/>
        <charset val="1"/>
      </rPr>
      <t xml:space="preserve">)</t>
    </r>
  </si>
  <si>
    <t xml:space="preserve">N7·N5</t>
  </si>
  <si>
    <r>
      <rPr>
        <sz val="10"/>
        <rFont val="WenQuanYi Zen Hei"/>
        <family val="2"/>
      </rPr>
      <t xml:space="preserve">서민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청년</t>
    </r>
  </si>
  <si>
    <t xml:space="preserve">Monique Rousseau</t>
  </si>
  <si>
    <t xml:space="preserve">Monique</t>
  </si>
  <si>
    <r>
      <rPr>
        <sz val="10"/>
        <rFont val="WenQuanYi Zen Hei"/>
        <family val="2"/>
      </rPr>
      <t xml:space="preserve">비스트로 사장 </t>
    </r>
    <r>
      <rPr>
        <sz val="10"/>
        <rFont val="Noto Sans CJK SC"/>
        <family val="2"/>
        <charset val="1"/>
      </rPr>
      <t xml:space="preserve">(Chez Monique, 30</t>
    </r>
    <r>
      <rPr>
        <sz val="10"/>
        <rFont val="WenQuanYi Zen Hei"/>
        <family val="2"/>
      </rPr>
      <t xml:space="preserve">년 운영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</si>
  <si>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Noto Sans CJK SC"/>
        <family val="2"/>
        <charset val="1"/>
      </rPr>
      <t xml:space="preserve">Chez Monique, Belleville → </t>
    </r>
    <r>
      <rPr>
        <sz val="10"/>
        <rFont val="WenQuanYi Zen Hei"/>
        <family val="2"/>
      </rPr>
      <t xml:space="preserve">사무소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층으로 이전</t>
    </r>
  </si>
  <si>
    <r>
      <rPr>
        <sz val="10"/>
        <rFont val="WenQuanYi Zen Hei"/>
        <family val="2"/>
      </rPr>
      <t xml:space="preserve">임대료 폭등으로 가게를 잃었다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</si>
  <si>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파리 서민 구어체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누구에게나 </t>
    </r>
    <r>
      <rPr>
        <sz val="10"/>
        <rFont val="Noto Sans CJK SC"/>
        <family val="2"/>
        <charset val="1"/>
      </rPr>
      <t xml:space="preserve">tu, 'mon/ma petit(e)'.</t>
    </r>
  </si>
  <si>
    <t xml:space="preserve">Asseyez-vous, je vous apporte quelque chose.\nLe ventre vide, on ne réfléchit pas bien.\nC'est la maison qui offre.</t>
  </si>
  <si>
    <r>
      <rPr>
        <sz val="10"/>
        <rFont val="WenQuanYi Zen Hei"/>
        <family val="2"/>
      </rPr>
      <t xml:space="preserve">따뜻하고 넉넉한 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</si>
  <si>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시간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장소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식사를 말로 알린다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</si>
  <si>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소상공인 정책 자문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비공식</t>
    </r>
    <r>
      <rPr>
        <sz val="10"/>
        <rFont val="Noto Sans CJK SC"/>
        <family val="2"/>
        <charset val="1"/>
      </rPr>
      <t xml:space="preserve">)</t>
    </r>
  </si>
  <si>
    <t xml:space="preserve">E1·S2</t>
  </si>
  <si>
    <t xml:space="preserve">Karim Belkacem</t>
  </si>
  <si>
    <t xml:space="preserve">Karim</t>
  </si>
  <si>
    <t xml:space="preserve">전 대중교통 노조위원장</t>
  </si>
  <si>
    <r>
      <rPr>
        <sz val="10"/>
        <rFont val="Noto Sans CJK SC"/>
        <family val="2"/>
        <charset val="1"/>
      </rPr>
      <t xml:space="preserve">RATP </t>
    </r>
    <r>
      <rPr>
        <sz val="10"/>
        <rFont val="WenQuanYi Zen Hei"/>
        <family val="2"/>
      </rPr>
      <t xml:space="preserve">버스 노조 → 노선 경쟁 입찰로 이관된 </t>
    </r>
    <r>
      <rPr>
        <sz val="10"/>
        <rFont val="Noto Sans CJK SC"/>
        <family val="2"/>
        <charset val="1"/>
      </rPr>
      <t xml:space="preserve">Méridien Mobilité(</t>
    </r>
    <r>
      <rPr>
        <sz val="10"/>
        <rFont val="WenQuanYi Zen Hei"/>
        <family val="2"/>
      </rPr>
      <t xml:space="preserve">가상</t>
    </r>
    <r>
      <rPr>
        <sz val="10"/>
        <rFont val="Noto Sans CJK SC"/>
        <family val="2"/>
        <charset val="1"/>
      </rPr>
      <t xml:space="preserve">) </t>
    </r>
    <r>
      <rPr>
        <sz val="10"/>
        <rFont val="WenQuanYi Zen Hei"/>
        <family val="2"/>
      </rPr>
      <t xml:space="preserve">노조 대표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파업 책임으로 해고</t>
    </r>
  </si>
  <si>
    <r>
      <rPr>
        <sz val="10"/>
        <rFont val="WenQuanYi Zen Hei"/>
        <family val="2"/>
      </rPr>
      <t xml:space="preserve">파업 책임으로 해고되어 블랙리스트에 올랐지만 후회하지 않는다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</si>
  <si>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거칠고 직설적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구호형 문장</t>
    </r>
    <r>
      <rPr>
        <sz val="10"/>
        <rFont val="Noto Sans CJK SC"/>
        <family val="2"/>
        <charset val="1"/>
      </rPr>
      <t xml:space="preserve">.</t>
    </r>
  </si>
  <si>
    <t xml:space="preserve">Ici, personne ne se rend !\nÇa se règle dans la rue.\nÇa suffit, là.</t>
  </si>
  <si>
    <r>
      <rPr>
        <sz val="10"/>
        <rFont val="WenQuanYi Zen Hei"/>
        <family val="2"/>
      </rPr>
      <t xml:space="preserve">큰 볼륨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강한 억양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</si>
  <si>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구호와 함성으로 현장 분위기를 전달한다</t>
    </r>
    <r>
      <rPr>
        <sz val="10"/>
        <rFont val="Noto Sans CJK SC"/>
        <family val="2"/>
        <charset val="1"/>
      </rPr>
      <t xml:space="preserve">.</t>
    </r>
  </si>
  <si>
    <t xml:space="preserve">사회적 대화 자문</t>
  </si>
  <si>
    <t xml:space="preserve">S1·N6</t>
  </si>
  <si>
    <t xml:space="preserve">Manon Petit</t>
  </si>
  <si>
    <t xml:space="preserve">Manon</t>
  </si>
  <si>
    <r>
      <rPr>
        <sz val="10"/>
        <rFont val="WenQuanYi Zen Hei"/>
        <family val="2"/>
      </rPr>
      <t xml:space="preserve">신입 인턴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독자의 대리인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</si>
  <si>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대기업 인턴 출신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부당 해고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</si>
  <si>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대기업 인턴에서 부당하게 쫓겨났고 월세가 밀려 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</si>
  <si>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Z</t>
    </r>
    <r>
      <rPr>
        <sz val="10"/>
        <rFont val="WenQuanYi Zen Hei"/>
        <family val="2"/>
      </rPr>
      <t xml:space="preserve">세대 구어체 </t>
    </r>
    <r>
      <rPr>
        <sz val="10"/>
        <rFont val="Arial"/>
        <family val="0"/>
        <charset val="1"/>
      </rPr>
      <t xml:space="preserve">(genre, grave, c'est chelou). </t>
    </r>
    <r>
      <rPr>
        <sz val="10"/>
        <rFont val="WenQuanYi Zen Hei"/>
        <family val="2"/>
      </rPr>
      <t xml:space="preserve">어른들에겐 </t>
    </r>
    <r>
      <rPr>
        <sz val="10"/>
        <rFont val="Arial"/>
        <family val="0"/>
        <charset val="1"/>
      </rPr>
      <t xml:space="preserve">vous, </t>
    </r>
    <r>
      <rPr>
        <sz val="10"/>
        <rFont val="WenQuanYi Zen Hei"/>
        <family val="2"/>
      </rPr>
      <t xml:space="preserve">성장하며 </t>
    </r>
    <r>
      <rPr>
        <sz val="10"/>
        <rFont val="Arial"/>
        <family val="0"/>
        <charset val="1"/>
      </rPr>
      <t xml:space="preserve">tu</t>
    </r>
    <r>
      <rPr>
        <sz val="10"/>
        <rFont val="WenQuanYi Zen Hei"/>
        <family val="2"/>
      </rPr>
      <t xml:space="preserve">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</si>
  <si>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Pardon, ça veut dire quoi ?\nVous pouvez m'expliquer comme si j'avais cinq ans ?\nÇA SUFFIT ! Je comprends rien ! (</t>
    </r>
    <r>
      <rPr>
        <sz val="10"/>
        <rFont val="WenQuanYi Zen Hei"/>
        <family val="2"/>
      </rPr>
      <t xml:space="preserve">폭발 —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·9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</si>
  <si>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빠르고 밝은 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</si>
  <si>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질문으로 용어와 배경을 끌어낸다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</si>
  <si>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파리 시의원 보좌</t>
    </r>
    <r>
      <rPr>
        <sz val="10"/>
        <rFont val="Noto Sans CJK SC"/>
        <family val="2"/>
        <charset val="1"/>
      </rPr>
      <t xml:space="preserve">(9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 → </t>
    </r>
    <r>
      <rPr>
        <sz val="10"/>
        <rFont val="WenQuanYi Zen Hei"/>
        <family val="2"/>
      </rPr>
      <t xml:space="preserve">청년정책 자문관</t>
    </r>
  </si>
  <si>
    <t xml:space="preserve">S1·N8</t>
  </si>
  <si>
    <t xml:space="preserve">Philippe Renard</t>
  </si>
  <si>
    <t xml:space="preserve">Philippe</t>
  </si>
  <si>
    <t xml:space="preserve">전 은행 지점장</t>
  </si>
  <si>
    <r>
      <rPr>
        <sz val="10"/>
        <rFont val="Arial"/>
        <family val="0"/>
        <charset val="1"/>
      </rPr>
      <t xml:space="preserve">Banque Atlantique (25</t>
    </r>
    <r>
      <rPr>
        <sz val="10"/>
        <rFont val="WenQuanYi Zen Hei"/>
        <family val="2"/>
      </rPr>
      <t xml:space="preserve">년 근속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</si>
  <si>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불법 대출 공모를 내부 고발하다 해고되었다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</si>
  <si>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정중하고 조심스러운 은행원식 완곡어법</t>
    </r>
    <r>
      <rPr>
        <sz val="10"/>
        <rFont val="Noto Sans CJK SC"/>
        <family val="2"/>
        <charset val="1"/>
      </rPr>
      <t xml:space="preserve">.</t>
    </r>
  </si>
  <si>
    <t xml:space="preserve">Suivez l'argent.\nL'argent laisse toujours une trace.\nQuand je dirigeais l'agence…</t>
  </si>
  <si>
    <r>
      <rPr>
        <sz val="10"/>
        <rFont val="WenQuanYi Zen Hei"/>
        <family val="2"/>
      </rPr>
      <t xml:space="preserve">차분하고 신중하게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</si>
  <si>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돈의 경로를 </t>
    </r>
    <r>
      <rPr>
        <sz val="10"/>
        <rFont val="Noto Sans CJK SC"/>
        <family val="2"/>
        <charset val="1"/>
      </rPr>
      <t xml:space="preserve">«De A à B…»</t>
    </r>
    <r>
      <rPr>
        <sz val="10"/>
        <rFont val="WenQuanYi Zen Hei"/>
        <family val="2"/>
      </rPr>
      <t xml:space="preserve">식으로 그려준다</t>
    </r>
    <r>
      <rPr>
        <sz val="10"/>
        <rFont val="Noto Sans CJK SC"/>
        <family val="2"/>
        <charset val="1"/>
      </rPr>
      <t xml:space="preserve">.</t>
    </r>
  </si>
  <si>
    <t xml:space="preserve">금융 개혁 자문</t>
  </si>
  <si>
    <r>
      <rPr>
        <sz val="10"/>
        <rFont val="WenQuanYi Zen Hei"/>
        <family val="2"/>
      </rPr>
      <t xml:space="preserve">카메오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의뢰인</t>
    </r>
    <r>
      <rPr>
        <sz val="10"/>
        <rFont val="Noto Sans CJK SC"/>
        <family val="2"/>
        <charset val="1"/>
      </rPr>
      <t xml:space="preserve">)</t>
    </r>
  </si>
  <si>
    <t xml:space="preserve">E1·N2</t>
  </si>
  <si>
    <r>
      <rPr>
        <sz val="11"/>
        <color theme="1"/>
        <rFont val="WenQuanYi Zen Hei"/>
        <family val="2"/>
      </rPr>
      <t xml:space="preserve">부활 </t>
    </r>
    <r>
      <rPr>
        <sz val="11"/>
        <color theme="1"/>
        <rFont val="Noto Sans CJK SC"/>
        <family val="2"/>
        <charset val="1"/>
      </rPr>
      <t xml:space="preserve">7</t>
    </r>
    <r>
      <rPr>
        <sz val="11"/>
        <color theme="1"/>
        <rFont val="WenQuanYi Zen Hei"/>
        <family val="2"/>
      </rPr>
      <t xml:space="preserve">인</t>
    </r>
  </si>
  <si>
    <t xml:space="preserve">Victor Hugo</t>
  </si>
  <si>
    <t xml:space="preserve">Hugo</t>
  </si>
  <si>
    <r>
      <rPr>
        <sz val="11"/>
        <color theme="1"/>
        <rFont val="WenQuanYi Zen Hei"/>
        <family val="2"/>
      </rPr>
      <t xml:space="preserve">부활한 문호 </t>
    </r>
    <r>
      <rPr>
        <sz val="11"/>
        <color theme="1"/>
        <rFont val="Noto Sans CJK SC"/>
        <family val="2"/>
        <charset val="1"/>
      </rPr>
      <t xml:space="preserve">(1802–1885)</t>
    </r>
  </si>
  <si>
    <r>
      <rPr>
        <sz val="11"/>
        <color theme="1"/>
        <rFont val="WenQuanYi Zen Hei"/>
        <family val="2"/>
      </rPr>
      <t xml:space="preserve">『레미제라블』 저자</t>
    </r>
    <r>
      <rPr>
        <sz val="11"/>
        <color theme="1"/>
        <rFont val="Noto Sans CJK SC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망명 경험</t>
    </r>
  </si>
  <si>
    <r>
      <rPr>
        <sz val="11"/>
        <color theme="1"/>
        <rFont val="WenQuanYi Zen Hei"/>
        <family val="2"/>
      </rPr>
      <t xml:space="preserve">자신이 그린 빈곤과 불의가 </t>
    </r>
    <r>
      <rPr>
        <sz val="11"/>
        <color theme="1"/>
        <rFont val="Noto Sans CJK SC"/>
        <family val="2"/>
        <charset val="1"/>
      </rPr>
      <t xml:space="preserve">150</t>
    </r>
    <r>
      <rPr>
        <sz val="11"/>
        <color theme="1"/>
        <rFont val="WenQuanYi Zen Hei"/>
        <family val="2"/>
      </rPr>
      <t xml:space="preserve">년 뒤에도 형태만 바뀐 채 그대로라는 걸 보며 분노를 감추지 못한다</t>
    </r>
    <r>
      <rPr>
        <sz val="11"/>
        <color theme="1"/>
        <rFont val="Noto Sans CJK SC"/>
        <family val="2"/>
        <charset val="1"/>
      </rPr>
      <t xml:space="preserve">.</t>
    </r>
  </si>
  <si>
    <r>
      <rPr>
        <sz val="11"/>
        <color theme="1"/>
        <rFont val="WenQuanYi Zen Hei"/>
        <family val="2"/>
      </rPr>
      <t xml:space="preserve">장엄하고 도덕적 열변</t>
    </r>
    <r>
      <rPr>
        <sz val="11"/>
        <color theme="1"/>
        <rFont val="Noto Sans CJK SC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사회정의 이야기만 나오면 톤이 올라간다</t>
    </r>
    <r>
      <rPr>
        <sz val="11"/>
        <color theme="1"/>
        <rFont val="Noto Sans CJK SC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</si>
  <si>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고전 인용</t>
    </r>
    <r>
      <rPr>
        <sz val="11"/>
        <color theme="1"/>
        <rFont val="Calibri"/>
        <family val="2"/>
        <charset val="1"/>
      </rPr>
      <t xml:space="preserve">) Rien n'est plus puissant qu'une idée dont le temps est venu.\n(</t>
    </r>
    <r>
      <rPr>
        <sz val="11"/>
        <color theme="1"/>
        <rFont val="WenQuanYi Zen Hei"/>
        <family val="2"/>
      </rPr>
      <t xml:space="preserve">현대 용어 오해</t>
    </r>
    <r>
      <rPr>
        <sz val="11"/>
        <color theme="1"/>
        <rFont val="Calibri"/>
        <family val="2"/>
        <charset val="1"/>
      </rPr>
      <t xml:space="preserve">) « Influenceur » ? On dirait un nouveau vendeur d'indulgences — j'en ai déjà mis un dans mes romans.</t>
    </r>
  </si>
  <si>
    <r>
      <rPr>
        <sz val="11"/>
        <color theme="1"/>
        <rFont val="WenQuanYi Zen Hei"/>
        <family val="2"/>
      </rPr>
      <t xml:space="preserve">느리고 웅장한 톤</t>
    </r>
    <r>
      <rPr>
        <sz val="11"/>
        <color theme="1"/>
        <rFont val="Noto Sans CJK SC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감정이 격해지면 목소리가 커진다</t>
    </r>
    <r>
      <rPr>
        <sz val="11"/>
        <color theme="1"/>
        <rFont val="Noto Sans CJK SC"/>
        <family val="2"/>
        <charset val="1"/>
      </rPr>
      <t xml:space="preserve">.</t>
    </r>
  </si>
  <si>
    <r>
      <rPr>
        <sz val="11"/>
        <color theme="1"/>
        <rFont val="WenQuanYi Zen Hei"/>
        <family val="2"/>
      </rPr>
      <t xml:space="preserve">사회 부조리를 목격한 이야기로 현재 상황을 은유한다</t>
    </r>
    <r>
      <rPr>
        <sz val="11"/>
        <color theme="1"/>
        <rFont val="Noto Sans CJK SC"/>
        <family val="2"/>
        <charset val="1"/>
      </rPr>
      <t xml:space="preserve">.</t>
    </r>
  </si>
  <si>
    <r>
      <rPr>
        <sz val="11"/>
        <color theme="1"/>
        <rFont val="WenQuanYi Zen Hei"/>
        <family val="2"/>
      </rPr>
      <t xml:space="preserve">연설</t>
    </r>
    <r>
      <rPr>
        <sz val="11"/>
        <color theme="1"/>
        <rFont val="Noto Sans CJK SC"/>
        <family val="2"/>
        <charset val="1"/>
      </rPr>
      <t xml:space="preserve">·</t>
    </r>
    <r>
      <rPr>
        <sz val="11"/>
        <color theme="1"/>
        <rFont val="WenQuanYi Zen Hei"/>
        <family val="2"/>
      </rPr>
      <t xml:space="preserve">메시지 자문 </t>
    </r>
    <r>
      <rPr>
        <sz val="11"/>
        <color theme="1"/>
        <rFont val="Noto Sans CJK SC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대통령 연설문 담당</t>
    </r>
    <r>
      <rPr>
        <sz val="11"/>
        <color theme="1"/>
        <rFont val="Noto Sans CJK SC"/>
        <family val="2"/>
        <charset val="1"/>
      </rPr>
      <t xml:space="preserve">)</t>
    </r>
  </si>
  <si>
    <t xml:space="preserve">N5·N1</t>
  </si>
  <si>
    <r>
      <rPr>
        <b val="true"/>
        <sz val="14"/>
        <color rgb="FF1F3864"/>
        <rFont val="WenQuanYi Zen Hei"/>
        <family val="2"/>
      </rPr>
      <t xml:space="preserve">인물별 등장 비중 </t>
    </r>
    <r>
      <rPr>
        <b val="true"/>
        <sz val="14"/>
        <color rgb="FF1F3864"/>
        <rFont val="Noto Sans CJK SC"/>
        <family val="2"/>
        <charset val="1"/>
      </rPr>
      <t xml:space="preserve">(</t>
    </r>
    <r>
      <rPr>
        <b val="true"/>
        <sz val="14"/>
        <color rgb="FF1F3864"/>
        <rFont val="WenQuanYi Zen Hei"/>
        <family val="2"/>
      </rPr>
      <t xml:space="preserve">부별 등장 화 수</t>
    </r>
    <r>
      <rPr>
        <b val="true"/>
        <sz val="14"/>
        <color rgb="FF1F3864"/>
        <rFont val="Noto Sans CJK SC"/>
        <family val="2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</si>
  <si>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등장 화 </t>
    </r>
    <r>
      <rPr>
        <i val="true"/>
        <sz val="9"/>
        <color rgb="FF595959"/>
        <rFont val="Noto Sans CJK SC"/>
        <family val="2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대사가 있는 화 수 </t>
    </r>
    <r>
      <rPr>
        <i val="true"/>
        <sz val="9"/>
        <color rgb="FF595959"/>
        <rFont val="Noto Sans CJK SC"/>
        <family val="2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기획용 초안</t>
    </r>
    <r>
      <rPr>
        <i val="true"/>
        <sz val="9"/>
        <color rgb="FF595959"/>
        <rFont val="Noto Sans CJK SC"/>
        <family val="2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파란 숫자는 직접 입력값이며 수정하면 합계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비중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등급이 자동 갱신됩니다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</si>
  <si>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인물 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약칭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</si>
  <si>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부
사무소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</si>
  <si>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부
</t>
    </r>
    <r>
      <rPr>
        <b val="true"/>
        <sz val="10"/>
        <color rgb="FFFFFFFF"/>
        <rFont val="Arial"/>
        <family val="0"/>
        <charset val="1"/>
      </rPr>
      <t xml:space="preserve">Nicolas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</si>
  <si>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부
</t>
    </r>
    <r>
      <rPr>
        <b val="true"/>
        <sz val="10"/>
        <color rgb="FFFFFFFF"/>
        <rFont val="Arial"/>
        <family val="0"/>
        <charset val="1"/>
      </rPr>
      <t xml:space="preserve">Camille</t>
    </r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</si>
  <si>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부
</t>
    </r>
    <r>
      <rPr>
        <b val="true"/>
        <sz val="10"/>
        <color rgb="FFFFFFFF"/>
        <rFont val="Arial"/>
        <family val="0"/>
        <charset val="1"/>
      </rPr>
      <t xml:space="preserve">Julien</t>
    </r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</si>
  <si>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부
</t>
    </r>
    <r>
      <rPr>
        <b val="true"/>
        <sz val="10"/>
        <color rgb="FFFFFFFF"/>
        <rFont val="Arial"/>
        <family val="0"/>
        <charset val="1"/>
      </rPr>
      <t xml:space="preserve">Léa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</si>
  <si>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부
만남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</si>
  <si>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부
전면전</t>
    </r>
  </si>
  <si>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부
창당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</si>
  <si>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부
파리 시의회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</si>
  <si>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부
대선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대통령</t>
    </r>
  </si>
  <si>
    <r>
      <rPr>
        <b val="true"/>
        <sz val="10"/>
        <color rgb="FFFFFFFF"/>
        <rFont val="Arial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부
국정 </t>
    </r>
    <r>
      <rPr>
        <b val="true"/>
        <sz val="10"/>
        <color rgb="FFFFFFFF"/>
        <rFont val="Arial"/>
        <family val="0"/>
        <charset val="1"/>
      </rPr>
      <t xml:space="preserve">I</t>
    </r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</si>
  <si>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부
국정 </t>
    </r>
    <r>
      <rPr>
        <b val="true"/>
        <sz val="10"/>
        <color rgb="FFFFFFFF"/>
        <rFont val="Arial"/>
        <family val="0"/>
        <charset val="1"/>
      </rPr>
      <t xml:space="preserve">II</t>
    </r>
  </si>
  <si>
    <r>
      <rPr>
        <b val="true"/>
        <sz val="10"/>
        <color rgb="FFFFFFFF"/>
        <rFont val="Arial"/>
        <family val="0"/>
        <charset val="1"/>
      </rPr>
      <t xml:space="preserve">13</t>
    </r>
    <r>
      <rPr>
        <b val="true"/>
        <sz val="10"/>
        <color rgb="FFFFFFFF"/>
        <rFont val="WenQuanYi Zen Hei"/>
        <family val="2"/>
      </rPr>
      <t xml:space="preserve">부
귀환</t>
    </r>
  </si>
  <si>
    <t xml:space="preserve">합계</t>
  </si>
  <si>
    <t xml:space="preserve">비중</t>
  </si>
  <si>
    <r>
      <rPr>
        <b val="true"/>
        <sz val="10"/>
        <color rgb="FFFFFFFF"/>
        <rFont val="WenQuanYi Zen Hei"/>
        <family val="2"/>
      </rPr>
      <t xml:space="preserve">검증
</t>
    </r>
    <r>
      <rPr>
        <b val="true"/>
        <sz val="10"/>
        <color rgb="FFFFFFFF"/>
        <rFont val="Noto Sans CJK SC"/>
        <family val="2"/>
        <charset val="1"/>
      </rPr>
      <t xml:space="preserve">(≤</t>
    </r>
    <r>
      <rPr>
        <b val="true"/>
        <sz val="10"/>
        <color rgb="FFFFFFFF"/>
        <rFont val="WenQuanYi Zen Hei"/>
        <family val="2"/>
      </rPr>
      <t xml:space="preserve">부당 화 수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</si>
  <si>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단독 중심 화
목표 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조연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</si>
  <si>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t xml:space="preserve">—</t>
  </si>
  <si>
    <r>
      <rPr>
        <sz val="11"/>
        <color theme="1"/>
        <rFont val="WenQuanYi Zen Hei"/>
        <family val="2"/>
      </rPr>
      <t xml:space="preserve">부별 연인원 </t>
    </r>
    <r>
      <rPr>
        <sz val="11"/>
        <color theme="1"/>
        <rFont val="Noto Sans CJK SC"/>
        <family val="2"/>
        <charset val="1"/>
      </rPr>
      <t xml:space="preserve">(</t>
    </r>
    <r>
      <rPr>
        <sz val="11"/>
        <color theme="1"/>
        <rFont val="WenQuanYi Zen Hei"/>
        <family val="2"/>
      </rPr>
      <t xml:space="preserve">합계</t>
    </r>
    <r>
      <rPr>
        <sz val="11"/>
        <color theme="1"/>
        <rFont val="Noto Sans CJK SC"/>
        <family val="2"/>
        <charset val="1"/>
      </rPr>
      <t xml:space="preserve">)</t>
    </r>
  </si>
  <si>
    <t xml:space="preserve">주연</t>
  </si>
  <si>
    <r>
      <rPr>
        <i val="true"/>
        <sz val="9"/>
        <color rgb="FF595959"/>
        <rFont val="WenQuanYi Zen Hei"/>
        <family val="2"/>
      </rPr>
      <t xml:space="preserve">← 기준값은 제안값입니다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인원 재배정</t>
    </r>
    <r>
      <rPr>
        <i val="true"/>
        <sz val="9"/>
        <color rgb="FF595959"/>
        <rFont val="Noto Sans CJK SC"/>
        <family val="2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총리 </t>
    </r>
    <r>
      <rPr>
        <i val="true"/>
        <sz val="9"/>
        <color rgb="FF595959"/>
        <rFont val="Noto Sans CJK SC"/>
        <family val="2"/>
        <charset val="1"/>
      </rPr>
      <t xml:space="preserve">Olympe </t>
    </r>
    <r>
      <rPr>
        <i val="true"/>
        <sz val="9"/>
        <color rgb="FF595959"/>
        <rFont val="WenQuanYi Zen Hei"/>
        <family val="2"/>
      </rPr>
      <t xml:space="preserve">신설</t>
    </r>
    <r>
      <rPr>
        <i val="true"/>
        <sz val="9"/>
        <color rgb="FF595959"/>
        <rFont val="Noto Sans CJK SC"/>
        <family val="2"/>
        <charset val="1"/>
      </rPr>
      <t xml:space="preserve">) </t>
    </r>
    <r>
      <rPr>
        <i val="true"/>
        <sz val="9"/>
        <color rgb="FF595959"/>
        <rFont val="WenQuanYi Zen Hei"/>
        <family val="2"/>
      </rPr>
      <t xml:space="preserve">후 등급은 수식이 자동 계산합니다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</si>
  <si>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t xml:space="preserve">준주연</t>
  </si>
  <si>
    <t xml:space="preserve">핵심 조연</t>
  </si>
  <si>
    <t xml:space="preserve">조연</t>
  </si>
  <si>
    <t xml:space="preserve">그 미만</t>
  </si>
  <si>
    <t xml:space="preserve">배분 원칙</t>
  </si>
  <si>
    <r>
      <rPr>
        <sz val="10"/>
        <rFont val="Arial"/>
        <family val="0"/>
        <charset val="1"/>
      </rPr>
      <t xml:space="preserve">1. 1</t>
    </r>
    <r>
      <rPr>
        <sz val="10"/>
        <rFont val="WenQuanYi Zen Hei"/>
        <family val="2"/>
      </rPr>
      <t xml:space="preserve">부는 개소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개월 후 시점</t>
    </r>
    <r>
      <rPr>
        <sz val="10"/>
        <rFont val="Arial"/>
        <family val="0"/>
        <charset val="1"/>
      </rPr>
      <t xml:space="preserve">: Manon·Monique</t>
    </r>
    <r>
      <rPr>
        <sz val="10"/>
        <rFont val="WenQuanYi Zen Hei"/>
        <family val="2"/>
      </rPr>
      <t xml:space="preserve">가 전 화에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주력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인은 사건별로 </t>
    </r>
    <r>
      <rPr>
        <sz val="10"/>
        <rFont val="Arial"/>
        <family val="0"/>
        <charset val="1"/>
      </rPr>
      <t xml:space="preserve">2~3</t>
    </r>
    <r>
      <rPr>
        <sz val="10"/>
        <rFont val="WenQuanYi Zen Hei"/>
        <family val="2"/>
      </rPr>
      <t xml:space="preserve">인씩 교대 등장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전원 겹치지 않음</t>
    </r>
    <r>
      <rPr>
        <sz val="10"/>
        <rFont val="Arial"/>
        <family val="0"/>
        <charset val="1"/>
      </rPr>
      <t xml:space="preserve">). Napoléon 4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Curie 3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(1·2·6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로 자주 얼굴을 비추고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이번 겨울이 마지막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복선을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화부터 깐다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나머지는 사건마다 다른 조합으로 카메오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</si>
  <si>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2. 2~5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각 주인공이 자기 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 전부에 나오고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다른 주력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인은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화씩 스쳐 지나가며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부 만남을 예고</t>
    </r>
    <r>
      <rPr>
        <sz val="10"/>
        <rFont val="Arial"/>
        <family val="0"/>
        <charset val="1"/>
      </rPr>
      <t xml:space="preserve">. Manon</t>
    </r>
    <r>
      <rPr>
        <sz val="10"/>
        <rFont val="WenQuanYi Zen Hei"/>
        <family val="2"/>
      </rPr>
      <t xml:space="preserve">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화씩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사무소에서 이야기를 듣는 프레임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으로 등장해 회상을 잇는다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</si>
  <si>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조연은 과거와 겹치는 곳에만 배치</t>
    </r>
    <r>
      <rPr>
        <sz val="10"/>
        <rFont val="Arial"/>
        <family val="0"/>
        <charset val="1"/>
      </rPr>
      <t xml:space="preserve">: Karim-5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(Léa</t>
    </r>
    <r>
      <rPr>
        <sz val="10"/>
        <rFont val="WenQuanYi Zen Hei"/>
        <family val="2"/>
      </rPr>
      <t xml:space="preserve">의 구조조정 현장</t>
    </r>
    <r>
      <rPr>
        <sz val="10"/>
        <rFont val="Arial"/>
        <family val="0"/>
        <charset val="1"/>
      </rPr>
      <t xml:space="preserve">), Philippe·Voltaire-4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(Julien</t>
    </r>
    <r>
      <rPr>
        <sz val="10"/>
        <rFont val="WenQuanYi Zen Hei"/>
        <family val="2"/>
      </rPr>
      <t xml:space="preserve">의 감사 사건</t>
    </r>
    <r>
      <rPr>
        <sz val="10"/>
        <rFont val="Arial"/>
        <family val="0"/>
        <charset val="1"/>
      </rPr>
      <t xml:space="preserve">), Sartre-3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·5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카페에서의 되묻기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</si>
  <si>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4. </t>
    </r>
    <r>
      <rPr>
        <sz val="10"/>
        <rFont val="WenQuanYi Zen Hei"/>
        <family val="2"/>
      </rPr>
      <t xml:space="preserve">조연 본격 비중은 </t>
    </r>
    <r>
      <rPr>
        <sz val="10"/>
        <rFont val="Arial"/>
        <family val="0"/>
        <charset val="1"/>
      </rPr>
      <t xml:space="preserve">7~10</t>
    </r>
    <r>
      <rPr>
        <sz val="10"/>
        <rFont val="WenQuanYi Zen Hei"/>
        <family val="2"/>
      </rPr>
      <t xml:space="preserve">부에서 최고치</t>
    </r>
    <r>
      <rPr>
        <sz val="10"/>
        <rFont val="Arial"/>
        <family val="0"/>
        <charset val="1"/>
      </rPr>
      <t xml:space="preserve">: 7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Voltaire·Karim·Olympe(</t>
    </r>
    <r>
      <rPr>
        <sz val="10"/>
        <rFont val="WenQuanYi Zen Hei"/>
        <family val="2"/>
      </rPr>
      <t xml:space="preserve">공론화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현장 조직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피해자 사건</t>
    </r>
    <r>
      <rPr>
        <sz val="10"/>
        <rFont val="Arial"/>
        <family val="0"/>
        <charset val="1"/>
      </rPr>
      <t xml:space="preserve">), 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Hugo·Sartre·Jeanne·Olympe(</t>
    </r>
    <r>
      <rPr>
        <sz val="10"/>
        <rFont val="WenQuanYi Zen Hei"/>
        <family val="2"/>
      </rPr>
      <t xml:space="preserve">선언문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메시지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캠프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창당</t>
    </r>
    <r>
      <rPr>
        <sz val="10"/>
        <rFont val="Arial"/>
        <family val="0"/>
        <charset val="1"/>
      </rPr>
      <t xml:space="preserve">), 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Hugo·Voltaire·Curie(</t>
    </r>
    <r>
      <rPr>
        <sz val="10"/>
        <rFont val="WenQuanYi Zen Hei"/>
        <family val="2"/>
      </rPr>
      <t xml:space="preserve">취임 연설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공보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출처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</si>
  <si>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5. 11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국정 </t>
    </r>
    <r>
      <rPr>
        <sz val="10"/>
        <rFont val="Arial"/>
        <family val="0"/>
        <charset val="1"/>
      </rPr>
      <t xml:space="preserve">I)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Napoléon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9~12</t>
    </r>
    <r>
      <rPr>
        <sz val="10"/>
        <rFont val="WenQuanYi Zen Hei"/>
        <family val="2"/>
      </rPr>
      <t xml:space="preserve">화에서 브뤼셀 직접 협상을 이끌며 최고치</t>
    </r>
    <r>
      <rPr>
        <sz val="10"/>
        <rFont val="Arial"/>
        <family val="0"/>
        <charset val="1"/>
      </rPr>
      <t xml:space="preserve">(9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를 찍고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화에서 사망한다</t>
    </r>
    <r>
      <rPr>
        <sz val="10"/>
        <rFont val="Arial"/>
        <family val="0"/>
        <charset val="1"/>
      </rPr>
      <t xml:space="preserve">. Philippe</t>
    </r>
    <r>
      <rPr>
        <sz val="10"/>
        <rFont val="WenQuanYi Zen Hei"/>
        <family val="2"/>
      </rPr>
      <t xml:space="preserve">는 앞선 주거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금융 국내 현안 화에서 정점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총리 </t>
    </r>
    <r>
      <rPr>
        <sz val="10"/>
        <rFont val="Arial"/>
        <family val="0"/>
        <charset val="1"/>
      </rPr>
      <t xml:space="preserve">Olympe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11~12</t>
    </r>
    <r>
      <rPr>
        <sz val="10"/>
        <rFont val="WenQuanYi Zen Hei"/>
        <family val="2"/>
      </rPr>
      <t xml:space="preserve">부 내내 의회 전선을 맡는다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</si>
  <si>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6. 12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국정 </t>
    </r>
    <r>
      <rPr>
        <sz val="10"/>
        <rFont val="Arial"/>
        <family val="0"/>
        <charset val="1"/>
      </rPr>
      <t xml:space="preserve">II)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Napoléon </t>
    </r>
    <r>
      <rPr>
        <sz val="10"/>
        <rFont val="WenQuanYi Zen Hei"/>
        <family val="2"/>
      </rPr>
      <t xml:space="preserve">사후</t>
    </r>
    <r>
      <rPr>
        <sz val="10"/>
        <rFont val="Arial"/>
        <family val="0"/>
        <charset val="1"/>
      </rPr>
      <t xml:space="preserve">: 1</t>
    </r>
    <r>
      <rPr>
        <sz val="10"/>
        <rFont val="WenQuanYi Zen Hei"/>
        <family val="2"/>
      </rPr>
      <t xml:space="preserve">화 장례식에서 </t>
    </r>
    <r>
      <rPr>
        <sz val="10"/>
        <rFont val="Arial"/>
        <family val="0"/>
        <charset val="1"/>
      </rPr>
      <t xml:space="preserve">Jeanne·Curie·Camille</t>
    </r>
    <r>
      <rPr>
        <sz val="10"/>
        <rFont val="WenQuanYi Zen Hei"/>
        <family val="2"/>
      </rPr>
      <t xml:space="preserve">가 몰리고</t>
    </r>
    <r>
      <rPr>
        <sz val="10"/>
        <rFont val="Arial"/>
        <family val="0"/>
        <charset val="1"/>
      </rPr>
      <t xml:space="preserve">, Julien·Hugo</t>
    </r>
    <r>
      <rPr>
        <sz val="10"/>
        <rFont val="WenQuanYi Zen Hei"/>
        <family val="2"/>
      </rPr>
      <t xml:space="preserve">가 유작 메모를 이어받는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화에서 비중이 오른다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</si>
  <si>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7. 13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귀환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는 원형 구조</t>
    </r>
    <r>
      <rPr>
        <sz val="10"/>
        <rFont val="Arial"/>
        <family val="0"/>
        <charset val="1"/>
      </rPr>
      <t xml:space="preserve">: Manon 12</t>
    </r>
    <r>
      <rPr>
        <sz val="10"/>
        <rFont val="WenQuanYi Zen Hei"/>
        <family val="2"/>
      </rPr>
      <t xml:space="preserve">화 전부</t>
    </r>
    <r>
      <rPr>
        <sz val="10"/>
        <rFont val="Arial"/>
        <family val="0"/>
        <charset val="1"/>
      </rPr>
      <t xml:space="preserve">, Monique 10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. Napoléon</t>
    </r>
    <r>
      <rPr>
        <sz val="10"/>
        <rFont val="WenQuanYi Zen Hei"/>
        <family val="2"/>
      </rPr>
      <t xml:space="preserve">은 유언장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회상으로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Nicolas·Camille·Julien·Léa</t>
    </r>
    <r>
      <rPr>
        <sz val="10"/>
        <rFont val="WenQuanYi Zen Hei"/>
        <family val="2"/>
      </rPr>
      <t xml:space="preserve">는 사무소의 손님으로 </t>
    </r>
    <r>
      <rPr>
        <sz val="10"/>
        <rFont val="Arial"/>
        <family val="0"/>
        <charset val="1"/>
      </rPr>
      <t xml:space="preserve">9~10</t>
    </r>
    <r>
      <rPr>
        <sz val="10"/>
        <rFont val="WenQuanYi Zen Hei"/>
        <family val="2"/>
      </rPr>
      <t xml:space="preserve">화 등장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</si>
  <si>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8. Napoléon</t>
    </r>
    <r>
      <rPr>
        <sz val="10"/>
        <rFont val="WenQuanYi Zen Hei"/>
        <family val="2"/>
      </rPr>
      <t xml:space="preserve">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브뤼셀 승리 직후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에서 사망한다</t>
    </r>
    <r>
      <rPr>
        <sz val="10"/>
        <rFont val="Arial"/>
        <family val="0"/>
        <charset val="1"/>
      </rPr>
      <t xml:space="preserve">.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 장례식</t>
    </r>
    <r>
      <rPr>
        <sz val="10"/>
        <rFont val="Arial"/>
        <family val="0"/>
        <charset val="1"/>
      </rPr>
      <t xml:space="preserve">, 2·3</t>
    </r>
    <r>
      <rPr>
        <sz val="10"/>
        <rFont val="WenQuanYi Zen Hei"/>
        <family val="2"/>
      </rPr>
      <t xml:space="preserve">화 유작 메모 승계</t>
    </r>
    <r>
      <rPr>
        <sz val="10"/>
        <rFont val="Arial"/>
        <family val="0"/>
        <charset val="1"/>
      </rPr>
      <t xml:space="preserve">, 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화 유언장까지 이어진다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</si>
  <si>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9. </t>
    </r>
    <r>
      <rPr>
        <sz val="10"/>
        <rFont val="WenQuanYi Zen Hei"/>
        <family val="2"/>
      </rPr>
      <t xml:space="preserve">등장 화 수와 대사량은 다르다</t>
    </r>
    <r>
      <rPr>
        <sz val="10"/>
        <rFont val="Arial"/>
        <family val="0"/>
        <charset val="1"/>
      </rPr>
      <t xml:space="preserve">: Manon</t>
    </r>
    <r>
      <rPr>
        <sz val="10"/>
        <rFont val="WenQuanYi Zen Hei"/>
        <family val="2"/>
      </rPr>
      <t xml:space="preserve">은 등장이 많지만 문장이 짧아 대사량은 </t>
    </r>
    <r>
      <rPr>
        <sz val="10"/>
        <rFont val="Arial"/>
        <family val="0"/>
        <charset val="1"/>
      </rPr>
      <t xml:space="preserve">Nicolas</t>
    </r>
    <r>
      <rPr>
        <sz val="10"/>
        <rFont val="WenQuanYi Zen Hei"/>
        <family val="2"/>
      </rPr>
      <t xml:space="preserve">의 절반 이하가 되게 하고</t>
    </r>
    <r>
      <rPr>
        <sz val="10"/>
        <rFont val="Arial"/>
        <family val="0"/>
        <charset val="1"/>
      </rPr>
      <t xml:space="preserve">, Napoléon·Hugo</t>
    </r>
    <r>
      <rPr>
        <sz val="10"/>
        <rFont val="WenQuanYi Zen Hei"/>
        <family val="2"/>
      </rPr>
      <t xml:space="preserve">는 화당 대사가 길어도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</si>
  <si>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10. </t>
    </r>
    <r>
      <rPr>
        <sz val="10"/>
        <rFont val="WenQuanYi Zen Hei"/>
        <family val="2"/>
      </rPr>
      <t xml:space="preserve">조연은 화 전체의 중심이 되는 에피소드를 각자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개 이상 배정</t>
    </r>
    <r>
      <rPr>
        <sz val="10"/>
        <rFont val="Arial"/>
        <family val="0"/>
        <charset val="1"/>
      </rPr>
      <t xml:space="preserve">(S</t>
    </r>
    <r>
      <rPr>
        <sz val="10"/>
        <rFont val="WenQuanYi Zen Hei"/>
        <family val="2"/>
      </rPr>
      <t xml:space="preserve">열 목표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자기 이야기가 한 번도 없으면 얇은 인물이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</si>
  <si>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11. Sartre</t>
    </r>
    <r>
      <rPr>
        <sz val="10"/>
        <rFont val="WenQuanYi Zen Hei"/>
        <family val="2"/>
      </rPr>
      <t xml:space="preserve">가 가장 얇다</t>
    </r>
    <r>
      <rPr>
        <sz val="10"/>
        <rFont val="Arial"/>
        <family val="0"/>
        <charset val="1"/>
      </rPr>
      <t xml:space="preserve">: 3·5</t>
    </r>
    <r>
      <rPr>
        <sz val="10"/>
        <rFont val="WenQuanYi Zen Hei"/>
        <family val="2"/>
      </rPr>
      <t xml:space="preserve">부 카페 장면을 늘리거나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Napoléon </t>
    </r>
    <r>
      <rPr>
        <sz val="10"/>
        <rFont val="WenQuanYi Zen Hei"/>
        <family val="2"/>
      </rPr>
      <t xml:space="preserve">애도 장면을 맡겨 서사를 넓히는 안을 검토</t>
    </r>
    <r>
      <rPr>
        <sz val="10"/>
        <rFont val="Arial"/>
        <family val="0"/>
        <charset val="1"/>
      </rPr>
      <t xml:space="preserve">.</t>
    </r>
  </si>
  <si>
    <r>
      <rPr>
        <b val="true"/>
        <sz val="14"/>
        <color rgb="FF1F3864"/>
        <rFont val="WenQuanYi Zen Hei"/>
        <family val="2"/>
      </rPr>
      <t xml:space="preserve">대화량 설계</t>
    </r>
    <r>
      <rPr>
        <b val="true"/>
        <sz val="14"/>
        <color rgb="FF1F3864"/>
        <rFont val="Noto Sans CJK SC"/>
        <family val="2"/>
        <charset val="1"/>
      </rPr>
      <t xml:space="preserve">: </t>
    </r>
    <r>
      <rPr>
        <b val="true"/>
        <sz val="14"/>
        <color rgb="FF1F3864"/>
        <rFont val="WenQuanYi Zen Hei"/>
        <family val="2"/>
      </rPr>
      <t xml:space="preserve">화당 </t>
    </r>
    <r>
      <rPr>
        <b val="true"/>
        <sz val="14"/>
        <color rgb="FF1F3864"/>
        <rFont val="Noto Sans CJK SC"/>
        <family val="2"/>
        <charset val="1"/>
      </rPr>
      <t xml:space="preserve">120</t>
    </r>
    <r>
      <rPr>
        <b val="true"/>
        <sz val="14"/>
        <color rgb="FF1F3864"/>
        <rFont val="WenQuanYi Zen Hei"/>
        <family val="2"/>
      </rPr>
      <t xml:space="preserve">턴</t>
    </r>
  </si>
  <si>
    <r>
      <rPr>
        <i val="true"/>
        <sz val="9"/>
        <color rgb="FF595959"/>
        <rFont val="WenQuanYi Zen Hei"/>
        <family val="2"/>
      </rPr>
      <t xml:space="preserve">한 화 </t>
    </r>
    <r>
      <rPr>
        <i val="true"/>
        <sz val="9"/>
        <color rgb="FF595959"/>
        <rFont val="Noto Sans CJK SC"/>
        <family val="2"/>
        <charset val="1"/>
      </rPr>
      <t xml:space="preserve">= </t>
    </r>
    <r>
      <rPr>
        <i val="true"/>
        <sz val="9"/>
        <color rgb="FF595959"/>
        <rFont val="WenQuanYi Zen Hei"/>
        <family val="2"/>
      </rPr>
      <t xml:space="preserve">대화 </t>
    </r>
    <r>
      <rPr>
        <i val="true"/>
        <sz val="9"/>
        <color rgb="FF595959"/>
        <rFont val="Noto Sans CJK SC"/>
        <family val="2"/>
        <charset val="1"/>
      </rPr>
      <t xml:space="preserve">120</t>
    </r>
    <r>
      <rPr>
        <i val="true"/>
        <sz val="9"/>
        <color rgb="FF595959"/>
        <rFont val="WenQuanYi Zen Hei"/>
        <family val="2"/>
      </rPr>
      <t xml:space="preserve">턴</t>
    </r>
    <r>
      <rPr>
        <i val="true"/>
        <sz val="9"/>
        <color rgb="FF595959"/>
        <rFont val="Noto Sans CJK SC"/>
        <family val="2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전체 </t>
    </r>
    <r>
      <rPr>
        <i val="true"/>
        <sz val="9"/>
        <color rgb="FF595959"/>
        <rFont val="Noto Sans CJK SC"/>
        <family val="2"/>
        <charset val="1"/>
      </rPr>
      <t xml:space="preserve">156</t>
    </r>
    <r>
      <rPr>
        <i val="true"/>
        <sz val="9"/>
        <color rgb="FF595959"/>
        <rFont val="WenQuanYi Zen Hei"/>
        <family val="2"/>
      </rPr>
      <t xml:space="preserve">화 </t>
    </r>
    <r>
      <rPr>
        <i val="true"/>
        <sz val="9"/>
        <color rgb="FF595959"/>
        <rFont val="Noto Sans CJK SC"/>
        <family val="2"/>
        <charset val="1"/>
      </rPr>
      <t xml:space="preserve">= 18,720</t>
    </r>
    <r>
      <rPr>
        <i val="true"/>
        <sz val="9"/>
        <color rgb="FF595959"/>
        <rFont val="WenQuanYi Zen Hei"/>
        <family val="2"/>
      </rPr>
      <t xml:space="preserve">턴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점유율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평균 단어</t>
    </r>
    <r>
      <rPr>
        <i val="true"/>
        <sz val="9"/>
        <color rgb="FF595959"/>
        <rFont val="Noto Sans CJK SC"/>
        <family val="2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턴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배율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낭독 속도는 가정값</t>
    </r>
    <r>
      <rPr>
        <i val="true"/>
        <sz val="9"/>
        <color rgb="FF595959"/>
        <rFont val="Noto Sans CJK SC"/>
        <family val="2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파란 숫자</t>
    </r>
    <r>
      <rPr>
        <i val="true"/>
        <sz val="9"/>
        <color rgb="FF595959"/>
        <rFont val="Noto Sans CJK SC"/>
        <family val="2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이며 수정하면 아래 표가 자동 갱신됩니다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</si>
  <si>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WenQuanYi Zen Hei"/>
        <family val="2"/>
      </rPr>
      <t xml:space="preserve">기본 설정</t>
    </r>
  </si>
  <si>
    <t xml:space="preserve">화당 대화 턴</t>
  </si>
  <si>
    <r>
      <rPr>
        <b val="true"/>
        <sz val="10"/>
        <rFont val="WenQuanYi Zen Hei"/>
        <family val="2"/>
      </rPr>
      <t xml:space="preserve">낭독 속도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단어</t>
    </r>
    <r>
      <rPr>
        <b val="true"/>
        <sz val="10"/>
        <rFont val="Noto Sans CJK SC"/>
        <family val="2"/>
        <charset val="1"/>
      </rPr>
      <t xml:space="preserve">/</t>
    </r>
    <r>
      <rPr>
        <b val="true"/>
        <sz val="10"/>
        <rFont val="WenQuanYi Zen Hei"/>
        <family val="2"/>
      </rPr>
      <t xml:space="preserve">분</t>
    </r>
    <r>
      <rPr>
        <b val="true"/>
        <sz val="10"/>
        <rFont val="Noto Sans CJK SC"/>
        <family val="2"/>
        <charset val="1"/>
      </rPr>
      <t xml:space="preserve">, </t>
    </r>
    <r>
      <rPr>
        <b val="true"/>
        <sz val="10"/>
        <rFont val="WenQuanYi Zen Hei"/>
        <family val="2"/>
      </rPr>
      <t xml:space="preserve">가정</t>
    </r>
    <r>
      <rPr>
        <b val="true"/>
        <sz val="10"/>
        <rFont val="Noto Sans CJK SC"/>
        <family val="2"/>
        <charset val="1"/>
      </rPr>
      <t xml:space="preserve">)</t>
    </r>
  </si>
  <si>
    <t xml:space="preserve">총 대화 턴</t>
  </si>
  <si>
    <t xml:space="preserve">턴 정의</t>
  </si>
  <si>
    <r>
      <rPr>
        <sz val="10"/>
        <rFont val="WenQuanYi Zen Hei"/>
        <family val="2"/>
      </rPr>
      <t xml:space="preserve">화자 표기 한 줄 </t>
    </r>
    <r>
      <rPr>
        <sz val="10"/>
        <rFont val="Noto Sans CJK SC"/>
        <family val="2"/>
        <charset val="1"/>
      </rPr>
      <t xml:space="preserve">= 1</t>
    </r>
    <r>
      <rPr>
        <sz val="10"/>
        <rFont val="WenQuanYi Zen Hei"/>
        <family val="2"/>
      </rPr>
      <t xml:space="preserve">턴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화자가 바뀌면 새 턴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연설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조항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기사 낭독처럼 긴 발화도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턴으로 센다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</si>
  <si>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WenQuanYi Zen Hei"/>
        <family val="2"/>
      </rPr>
      <t xml:space="preserve">부별 화자 점유율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턴 기준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각 부의 합 </t>
    </r>
    <r>
      <rPr>
        <b val="true"/>
        <sz val="10"/>
        <rFont val="Arial"/>
        <family val="0"/>
        <charset val="1"/>
      </rPr>
      <t xml:space="preserve">= 100%)</t>
    </r>
  </si>
  <si>
    <t xml:space="preserve">인물</t>
  </si>
  <si>
    <r>
      <rPr>
        <b val="true"/>
        <sz val="10"/>
        <color rgb="FFFFFFFF"/>
        <rFont val="WenQuanYi Zen Hei"/>
        <family val="2"/>
      </rPr>
      <t xml:space="preserve">평균
단어</t>
    </r>
    <r>
      <rPr>
        <b val="true"/>
        <sz val="10"/>
        <color rgb="FFFFFFFF"/>
        <rFont val="Noto Sans CJK SC"/>
        <family val="2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턴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</si>
  <si>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부</t>
    </r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</si>
  <si>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부</t>
    </r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</si>
  <si>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부</t>
    </r>
  </si>
  <si>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부</t>
    </r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</si>
  <si>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부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</si>
  <si>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부</t>
    </r>
  </si>
  <si>
    <r>
      <rPr>
        <b val="true"/>
        <sz val="10"/>
        <color rgb="FFFFFFFF"/>
        <rFont val="Arial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부</t>
    </r>
  </si>
  <si>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부</t>
    </r>
  </si>
  <si>
    <r>
      <rPr>
        <b val="true"/>
        <sz val="10"/>
        <color rgb="FFFFFFFF"/>
        <rFont val="Arial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부</t>
    </r>
  </si>
  <si>
    <r>
      <rPr>
        <b val="true"/>
        <sz val="10"/>
        <color rgb="FFFFFFFF"/>
        <rFont val="Arial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부</t>
    </r>
  </si>
  <si>
    <r>
      <rPr>
        <b val="true"/>
        <sz val="10"/>
        <color rgb="FFFFFFFF"/>
        <rFont val="Arial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부</t>
    </r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</si>
  <si>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부</t>
    </r>
  </si>
  <si>
    <r>
      <rPr>
        <b val="true"/>
        <sz val="10"/>
        <color rgb="FFFFFFFF"/>
        <rFont val="Arial"/>
        <family val="0"/>
        <charset val="1"/>
      </rPr>
      <t xml:space="preserve">13</t>
    </r>
    <r>
      <rPr>
        <b val="true"/>
        <sz val="10"/>
        <color rgb="FFFFFFFF"/>
        <rFont val="WenQuanYi Zen Hei"/>
        <family val="2"/>
      </rPr>
      <t xml:space="preserve">부</t>
    </r>
  </si>
  <si>
    <r>
      <rPr>
        <b val="true"/>
        <sz val="10"/>
        <rFont val="WenQuanYi Zen Hei"/>
        <family val="2"/>
      </rPr>
      <t xml:space="preserve">엑스트라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가상</t>
    </r>
    <r>
      <rPr>
        <b val="true"/>
        <sz val="10"/>
        <rFont val="Noto Sans CJK SC"/>
        <family val="2"/>
        <charset val="1"/>
      </rPr>
      <t xml:space="preserve">)</t>
    </r>
  </si>
  <si>
    <t xml:space="preserve">검증</t>
  </si>
  <si>
    <r>
      <rPr>
        <b val="true"/>
        <sz val="10"/>
        <rFont val="Arial"/>
        <family val="0"/>
        <charset val="1"/>
      </rPr>
      <t xml:space="preserve">3. </t>
    </r>
    <r>
      <rPr>
        <b val="true"/>
        <sz val="10"/>
        <rFont val="WenQuanYi Zen Hei"/>
        <family val="2"/>
      </rPr>
      <t xml:space="preserve">부별 턴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단어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낭독 시간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수식</t>
    </r>
    <r>
      <rPr>
        <b val="true"/>
        <sz val="10"/>
        <rFont val="Arial"/>
        <family val="0"/>
        <charset val="1"/>
      </rPr>
      <t xml:space="preserve">)</t>
    </r>
  </si>
  <si>
    <t xml:space="preserve">부</t>
  </si>
  <si>
    <t xml:space="preserve">난이도
배율</t>
  </si>
  <si>
    <t xml:space="preserve">화당 턴</t>
  </si>
  <si>
    <t xml:space="preserve">부 총 턴</t>
  </si>
  <si>
    <t xml:space="preserve">화당
단어</t>
  </si>
  <si>
    <t xml:space="preserve">부 총
단어</t>
  </si>
  <si>
    <r>
      <rPr>
        <b val="true"/>
        <sz val="10"/>
        <color rgb="FFFFFFFF"/>
        <rFont val="WenQuanYi Zen Hei"/>
        <family val="2"/>
      </rPr>
      <t xml:space="preserve">화당 낭독
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분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</si>
  <si>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부 총 낭독
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시간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</si>
  <si>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부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</si>
  <si>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부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</si>
  <si>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부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</si>
  <si>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부</t>
    </r>
  </si>
  <si>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WenQuanYi Zen Hei"/>
        <family val="2"/>
      </rPr>
      <t xml:space="preserve">부</t>
    </r>
  </si>
  <si>
    <r>
      <rPr>
        <b val="true"/>
        <sz val="10"/>
        <rFont val="Arial"/>
        <family val="0"/>
        <charset val="1"/>
      </rPr>
      <t xml:space="preserve">6</t>
    </r>
    <r>
      <rPr>
        <b val="true"/>
        <sz val="10"/>
        <rFont val="WenQuanYi Zen Hei"/>
        <family val="2"/>
      </rPr>
      <t xml:space="preserve">부</t>
    </r>
  </si>
  <si>
    <r>
      <rPr>
        <b val="true"/>
        <sz val="10"/>
        <rFont val="Arial"/>
        <family val="0"/>
        <charset val="1"/>
      </rPr>
      <t xml:space="preserve">7</t>
    </r>
    <r>
      <rPr>
        <b val="true"/>
        <sz val="10"/>
        <rFont val="WenQuanYi Zen Hei"/>
        <family val="2"/>
      </rPr>
      <t xml:space="preserve">부</t>
    </r>
  </si>
  <si>
    <r>
      <rPr>
        <b val="true"/>
        <sz val="10"/>
        <rFont val="Arial"/>
        <family val="0"/>
        <charset val="1"/>
      </rPr>
      <t xml:space="preserve">8</t>
    </r>
    <r>
      <rPr>
        <b val="true"/>
        <sz val="10"/>
        <rFont val="WenQuanYi Zen Hei"/>
        <family val="2"/>
      </rPr>
      <t xml:space="preserve">부</t>
    </r>
  </si>
  <si>
    <r>
      <rPr>
        <b val="true"/>
        <sz val="10"/>
        <rFont val="Arial"/>
        <family val="0"/>
        <charset val="1"/>
      </rPr>
      <t xml:space="preserve">9</t>
    </r>
    <r>
      <rPr>
        <b val="true"/>
        <sz val="10"/>
        <rFont val="WenQuanYi Zen Hei"/>
        <family val="2"/>
      </rPr>
      <t xml:space="preserve">부</t>
    </r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</si>
  <si>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부</t>
    </r>
  </si>
  <si>
    <r>
      <rPr>
        <b val="true"/>
        <sz val="10"/>
        <rFont val="Arial"/>
        <family val="0"/>
        <charset val="1"/>
      </rPr>
      <t xml:space="preserve">11</t>
    </r>
    <r>
      <rPr>
        <b val="true"/>
        <sz val="10"/>
        <rFont val="WenQuanYi Zen Hei"/>
        <family val="2"/>
      </rPr>
      <t xml:space="preserve">부</t>
    </r>
  </si>
  <si>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WenQuanYi Zen Hei"/>
        <family val="2"/>
      </rPr>
      <t xml:space="preserve">부</t>
    </r>
  </si>
  <si>
    <r>
      <rPr>
        <b val="true"/>
        <sz val="10"/>
        <rFont val="Arial"/>
        <family val="0"/>
        <charset val="1"/>
      </rPr>
      <t xml:space="preserve">13</t>
    </r>
    <r>
      <rPr>
        <b val="true"/>
        <sz val="10"/>
        <rFont val="WenQuanYi Zen Hei"/>
        <family val="2"/>
      </rPr>
      <t xml:space="preserve">부</t>
    </r>
  </si>
  <si>
    <t xml:space="preserve">전체</t>
  </si>
  <si>
    <r>
      <rPr>
        <i val="true"/>
        <sz val="9"/>
        <color rgb="FF595959"/>
        <rFont val="WenQuanYi Zen Hei"/>
        <family val="2"/>
      </rPr>
      <t xml:space="preserve">※ 난이도 배율</t>
    </r>
    <r>
      <rPr>
        <i val="true"/>
        <sz val="9"/>
        <color rgb="FF595959"/>
        <rFont val="Noto Sans CJK SC"/>
        <family val="2"/>
        <charset val="1"/>
      </rPr>
      <t xml:space="preserve">: 1·13</t>
    </r>
    <r>
      <rPr>
        <i val="true"/>
        <sz val="9"/>
        <color rgb="FF595959"/>
        <rFont val="WenQuanYi Zen Hei"/>
        <family val="2"/>
      </rPr>
      <t xml:space="preserve">부</t>
    </r>
    <r>
      <rPr>
        <i val="true"/>
        <sz val="9"/>
        <color rgb="FF595959"/>
        <rFont val="Noto Sans CJK SC"/>
        <family val="2"/>
        <charset val="1"/>
      </rPr>
      <t xml:space="preserve">(B1~B2)</t>
    </r>
    <r>
      <rPr>
        <i val="true"/>
        <sz val="9"/>
        <color rgb="FF595959"/>
        <rFont val="WenQuanYi Zen Hei"/>
        <family val="2"/>
      </rPr>
      <t xml:space="preserve">는 짧게 </t>
    </r>
    <r>
      <rPr>
        <i val="true"/>
        <sz val="9"/>
        <color rgb="FF595959"/>
        <rFont val="Noto Sans CJK SC"/>
        <family val="2"/>
        <charset val="1"/>
      </rPr>
      <t xml:space="preserve">0.8, 10~12</t>
    </r>
    <r>
      <rPr>
        <i val="true"/>
        <sz val="9"/>
        <color rgb="FF595959"/>
        <rFont val="WenQuanYi Zen Hei"/>
        <family val="2"/>
      </rPr>
      <t xml:space="preserve">부</t>
    </r>
    <r>
      <rPr>
        <i val="true"/>
        <sz val="9"/>
        <color rgb="FF595959"/>
        <rFont val="Noto Sans CJK SC"/>
        <family val="2"/>
        <charset val="1"/>
      </rPr>
      <t xml:space="preserve">(C1~C2)</t>
    </r>
    <r>
      <rPr>
        <i val="true"/>
        <sz val="9"/>
        <color rgb="FF595959"/>
        <rFont val="WenQuanYi Zen Hei"/>
        <family val="2"/>
      </rPr>
      <t xml:space="preserve">는 길게 </t>
    </r>
    <r>
      <rPr>
        <i val="true"/>
        <sz val="9"/>
        <color rgb="FF595959"/>
        <rFont val="Noto Sans CJK SC"/>
        <family val="2"/>
        <charset val="1"/>
      </rPr>
      <t xml:space="preserve">1.2. </t>
    </r>
    <r>
      <rPr>
        <i val="true"/>
        <sz val="9"/>
        <color rgb="FF595959"/>
        <rFont val="WenQuanYi Zen Hei"/>
        <family val="2"/>
      </rPr>
      <t xml:space="preserve">화당 단어는 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평균 단어</t>
    </r>
    <r>
      <rPr>
        <i val="true"/>
        <sz val="9"/>
        <color rgb="FF595959"/>
        <rFont val="Noto Sans CJK SC"/>
        <family val="2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턴 </t>
    </r>
    <r>
      <rPr>
        <i val="true"/>
        <sz val="9"/>
        <color rgb="FF595959"/>
        <rFont val="Noto Sans CJK SC"/>
        <family val="2"/>
        <charset val="1"/>
      </rPr>
      <t xml:space="preserve">× 120</t>
    </r>
    <r>
      <rPr>
        <i val="true"/>
        <sz val="9"/>
        <color rgb="FF595959"/>
        <rFont val="WenQuanYi Zen Hei"/>
        <family val="2"/>
      </rPr>
      <t xml:space="preserve">턴</t>
    </r>
    <r>
      <rPr>
        <i val="true"/>
        <sz val="9"/>
        <color rgb="FF595959"/>
        <rFont val="Noto Sans CJK SC"/>
        <family val="2"/>
        <charset val="1"/>
      </rPr>
      <t xml:space="preserve">', </t>
    </r>
    <r>
      <rPr>
        <i val="true"/>
        <sz val="9"/>
        <color rgb="FF595959"/>
        <rFont val="WenQuanYi Zen Hei"/>
        <family val="2"/>
      </rPr>
      <t xml:space="preserve">낭독 시간은 낭독 속도로 환산한 추정치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</si>
  <si>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4. </t>
    </r>
    <r>
      <rPr>
        <b val="true"/>
        <sz val="10"/>
        <rFont val="WenQuanYi Zen Hei"/>
        <family val="2"/>
      </rPr>
      <t xml:space="preserve">화 유형별 턴 구성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합계 </t>
    </r>
    <r>
      <rPr>
        <b val="true"/>
        <sz val="10"/>
        <rFont val="Arial"/>
        <family val="0"/>
        <charset val="1"/>
      </rPr>
      <t xml:space="preserve">= </t>
    </r>
    <r>
      <rPr>
        <b val="true"/>
        <sz val="10"/>
        <rFont val="WenQuanYi Zen Hei"/>
        <family val="2"/>
      </rPr>
      <t xml:space="preserve">화당 </t>
    </r>
    <r>
      <rPr>
        <b val="true"/>
        <sz val="10"/>
        <rFont val="Arial"/>
        <family val="0"/>
        <charset val="1"/>
      </rPr>
      <t xml:space="preserve">120</t>
    </r>
    <r>
      <rPr>
        <b val="true"/>
        <sz val="10"/>
        <rFont val="WenQuanYi Zen Hei"/>
        <family val="2"/>
      </rPr>
      <t xml:space="preserve">턴</t>
    </r>
    <r>
      <rPr>
        <b val="true"/>
        <sz val="10"/>
        <rFont val="Arial"/>
        <family val="0"/>
        <charset val="1"/>
      </rPr>
      <t xml:space="preserve">)</t>
    </r>
  </si>
  <si>
    <t xml:space="preserve">화 유형</t>
  </si>
  <si>
    <t xml:space="preserve">도입</t>
  </si>
  <si>
    <r>
      <rPr>
        <b val="true"/>
        <sz val="10"/>
        <color rgb="FFFFFFFF"/>
        <rFont val="WenQuanYi Zen Hei"/>
        <family val="2"/>
      </rPr>
      <t xml:space="preserve">장면 </t>
    </r>
    <r>
      <rPr>
        <b val="true"/>
        <sz val="10"/>
        <color rgb="FFFFFFFF"/>
        <rFont val="Noto Sans CJK SC"/>
        <family val="2"/>
        <charset val="1"/>
      </rPr>
      <t xml:space="preserve">1</t>
    </r>
  </si>
  <si>
    <r>
      <rPr>
        <b val="true"/>
        <sz val="10"/>
        <color rgb="FFFFFFFF"/>
        <rFont val="WenQuanYi Zen Hei"/>
        <family val="2"/>
      </rPr>
      <t xml:space="preserve">장면 </t>
    </r>
    <r>
      <rPr>
        <b val="true"/>
        <sz val="10"/>
        <color rgb="FFFFFFFF"/>
        <rFont val="Noto Sans CJK SC"/>
        <family val="2"/>
        <charset val="1"/>
      </rPr>
      <t xml:space="preserve">2</t>
    </r>
  </si>
  <si>
    <r>
      <rPr>
        <b val="true"/>
        <sz val="10"/>
        <color rgb="FFFFFFFF"/>
        <rFont val="WenQuanYi Zen Hei"/>
        <family val="2"/>
      </rPr>
      <t xml:space="preserve">절정</t>
    </r>
    <r>
      <rPr>
        <b val="true"/>
        <sz val="10"/>
        <color rgb="FFFFFFFF"/>
        <rFont val="Noto Sans CJK SC"/>
        <family val="2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전환</t>
    </r>
  </si>
  <si>
    <t xml:space="preserve">마무리</t>
  </si>
  <si>
    <t xml:space="preserve">적용</t>
  </si>
  <si>
    <t xml:space="preserve">일반 화</t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</si>
  <si>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위기 화 대부분</t>
    </r>
  </si>
  <si>
    <t xml:space="preserve">프레임 화</t>
  </si>
  <si>
    <r>
      <rPr>
        <sz val="10"/>
        <rFont val="Noto Sans CJK SC"/>
        <family val="2"/>
        <charset val="1"/>
      </rPr>
      <t xml:space="preserve">2~5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1·5·9·12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금요일 프레임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도입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마무리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과 과거 장면</t>
    </r>
  </si>
  <si>
    <r>
      <rPr>
        <b val="true"/>
        <sz val="10"/>
        <rFont val="WenQuanYi Zen Hei"/>
        <family val="2"/>
      </rPr>
      <t xml:space="preserve">폭발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감정 정점 화</t>
    </r>
  </si>
  <si>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, 9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6</t>
    </r>
    <r>
      <rPr>
        <sz val="10"/>
        <rFont val="WenQuanYi Zen Hei"/>
        <family val="2"/>
      </rPr>
      <t xml:space="preserve">화 등 인물의 감정이 터지는 화</t>
    </r>
  </si>
  <si>
    <r>
      <rPr>
        <b val="true"/>
        <sz val="10"/>
        <rFont val="WenQuanYi Zen Hei"/>
        <family val="2"/>
      </rPr>
      <t xml:space="preserve">표결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절차 화</t>
    </r>
  </si>
  <si>
    <r>
      <rPr>
        <sz val="10"/>
        <rFont val="Noto Sans CJK SC"/>
        <family val="2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4·7</t>
    </r>
    <r>
      <rPr>
        <sz val="10"/>
        <rFont val="WenQuanYi Zen Hei"/>
        <family val="2"/>
      </rPr>
      <t xml:space="preserve">화 개표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결과 선포</t>
    </r>
    <r>
      <rPr>
        <sz val="10"/>
        <rFont val="Noto Sans CJK SC"/>
        <family val="2"/>
        <charset val="1"/>
      </rPr>
      <t xml:space="preserve">, 10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·12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7</t>
    </r>
    <r>
      <rPr>
        <sz val="10"/>
        <rFont val="WenQuanYi Zen Hei"/>
        <family val="2"/>
      </rPr>
      <t xml:space="preserve">화 불신임안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하원의장의 결과 낭독 포함</t>
    </r>
    <r>
      <rPr>
        <sz val="10"/>
        <rFont val="Noto Sans CJK SC"/>
        <family val="2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</si>
  <si>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재난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추도 화</t>
    </r>
  </si>
  <si>
    <r>
      <rPr>
        <sz val="10"/>
        <rFont val="Noto Sans CJK SC"/>
        <family val="2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(Napoléon </t>
    </r>
    <r>
      <rPr>
        <sz val="10"/>
        <rFont val="WenQuanYi Zen Hei"/>
        <family val="2"/>
      </rPr>
      <t xml:space="preserve">죽음</t>
    </r>
    <r>
      <rPr>
        <sz val="10"/>
        <rFont val="Noto Sans CJK SC"/>
        <family val="2"/>
        <charset val="1"/>
      </rPr>
      <t xml:space="preserve">), 12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장례</t>
    </r>
    <r>
      <rPr>
        <sz val="10"/>
        <rFont val="Noto Sans CJK SC"/>
        <family val="2"/>
        <charset val="1"/>
      </rPr>
      <t xml:space="preserve">), 12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8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남부 급류 재난</t>
    </r>
    <r>
      <rPr>
        <sz val="10"/>
        <rFont val="Noto Sans CJK SC"/>
        <family val="2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</si>
  <si>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원형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회고 화</t>
    </r>
  </si>
  <si>
    <r>
      <rPr>
        <sz val="10"/>
        <rFont val="Noto Sans CJK SC"/>
        <family val="2"/>
        <charset val="1"/>
      </rPr>
      <t xml:space="preserve">13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1·11·12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: 1</t>
    </r>
    <r>
      <rPr>
        <sz val="10"/>
        <rFont val="WenQuanYi Zen Hei"/>
        <family val="2"/>
      </rPr>
      <t xml:space="preserve">부 대사를 되풀이하고 마무리를 길게</t>
    </r>
  </si>
  <si>
    <r>
      <rPr>
        <b val="true"/>
        <sz val="10"/>
        <rFont val="Arial"/>
        <family val="0"/>
        <charset val="1"/>
      </rPr>
      <t xml:space="preserve">5. </t>
    </r>
    <r>
      <rPr>
        <b val="true"/>
        <sz val="10"/>
        <rFont val="WenQuanYi Zen Hei"/>
        <family val="2"/>
      </rPr>
      <t xml:space="preserve">집필 규칙</t>
    </r>
  </si>
  <si>
    <r>
      <rPr>
        <sz val="10"/>
        <rFont val="Arial"/>
        <family val="0"/>
        <charset val="1"/>
      </rPr>
      <t xml:space="preserve">1. 1</t>
    </r>
    <r>
      <rPr>
        <sz val="10"/>
        <rFont val="WenQuanYi Zen Hei"/>
        <family val="2"/>
      </rPr>
      <t xml:space="preserve">부는 한 턴 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단어 이내를 지킨다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연설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조항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기사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카드처럼 긴 낭독은 예외로 두되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턴으로 세고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화당 최대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개까지만 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</si>
  <si>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지문이 없으므로 장소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행동을 알리는 턴이 화당 </t>
    </r>
    <r>
      <rPr>
        <sz val="10"/>
        <rFont val="Arial"/>
        <family val="0"/>
        <charset val="1"/>
      </rPr>
      <t xml:space="preserve">5~10</t>
    </r>
    <r>
      <rPr>
        <sz val="10"/>
        <rFont val="WenQuanYi Zen Hei"/>
        <family val="2"/>
      </rPr>
      <t xml:space="preserve">턴 필요하다 </t>
    </r>
    <r>
      <rPr>
        <sz val="10"/>
        <rFont val="Arial"/>
        <family val="0"/>
        <charset val="1"/>
      </rPr>
      <t xml:space="preserve">(Monique</t>
    </r>
    <r>
      <rPr>
        <sz val="10"/>
        <rFont val="WenQuanYi Zen Hei"/>
        <family val="2"/>
      </rPr>
      <t xml:space="preserve">의 시간 안내</t>
    </r>
    <r>
      <rPr>
        <sz val="10"/>
        <rFont val="Arial"/>
        <family val="0"/>
        <charset val="1"/>
      </rPr>
      <t xml:space="preserve">, Jeanne</t>
    </r>
    <r>
      <rPr>
        <sz val="10"/>
        <rFont val="WenQuanYi Zen Hei"/>
        <family val="2"/>
      </rPr>
      <t xml:space="preserve">의 보고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하원의장의 결과 낭독 등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</si>
  <si>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3. Manon</t>
    </r>
    <r>
      <rPr>
        <sz val="10"/>
        <rFont val="WenQuanYi Zen Hei"/>
        <family val="2"/>
      </rPr>
      <t xml:space="preserve">의 질문 → 쉬운 재설명 짝은 화당 </t>
    </r>
    <r>
      <rPr>
        <sz val="10"/>
        <rFont val="Arial"/>
        <family val="0"/>
        <charset val="1"/>
      </rPr>
      <t xml:space="preserve">3~6</t>
    </r>
    <r>
      <rPr>
        <sz val="10"/>
        <rFont val="WenQuanYi Zen Hei"/>
        <family val="2"/>
      </rPr>
      <t xml:space="preserve">쌍</t>
    </r>
    <r>
      <rPr>
        <sz val="10"/>
        <rFont val="Arial"/>
        <family val="0"/>
        <charset val="1"/>
      </rPr>
      <t xml:space="preserve">(6~12</t>
    </r>
    <r>
      <rPr>
        <sz val="10"/>
        <rFont val="WenQuanYi Zen Hei"/>
        <family val="2"/>
      </rPr>
      <t xml:space="preserve">턴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기본으로 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어려운 용어를 도입할 때 반드시 사용한다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</si>
  <si>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4. </t>
    </r>
    <r>
      <rPr>
        <sz val="10"/>
        <rFont val="WenQuanYi Zen Hei"/>
        <family val="2"/>
      </rPr>
      <t xml:space="preserve">시그니처 표현은 화자당 </t>
    </r>
    <r>
      <rPr>
        <sz val="10"/>
        <rFont val="Arial"/>
        <family val="0"/>
        <charset val="1"/>
      </rPr>
      <t xml:space="preserve">1~2</t>
    </r>
    <r>
      <rPr>
        <sz val="10"/>
        <rFont val="WenQuanYi Zen Hei"/>
        <family val="2"/>
      </rPr>
      <t xml:space="preserve">회</t>
    </r>
    <r>
      <rPr>
        <sz val="10"/>
        <rFont val="Arial"/>
        <family val="0"/>
        <charset val="1"/>
      </rPr>
      <t xml:space="preserve">. 120</t>
    </r>
    <r>
      <rPr>
        <sz val="10"/>
        <rFont val="WenQuanYi Zen Hei"/>
        <family val="2"/>
      </rPr>
      <t xml:space="preserve">턴 안에서 같은 시그니처가 반복되지 않게 배분한다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</si>
  <si>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5. </t>
    </r>
    <r>
      <rPr>
        <sz val="10"/>
        <rFont val="WenQuanYi Zen Hei"/>
        <family val="2"/>
      </rPr>
      <t xml:space="preserve">화자 점유율은 턴 수 기준이다</t>
    </r>
    <r>
      <rPr>
        <sz val="10"/>
        <rFont val="Arial"/>
        <family val="0"/>
        <charset val="1"/>
      </rPr>
      <t xml:space="preserve">. Manon</t>
    </r>
    <r>
      <rPr>
        <sz val="10"/>
        <rFont val="WenQuanYi Zen Hei"/>
        <family val="2"/>
      </rPr>
      <t xml:space="preserve">처럼 턴은 많지만 짧게 말하는 인물은 평균 단어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턴을 낮게 잡았다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옛 마드리드판 점유율을 인물 대응표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변경이력 참고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대로 옮기고 </t>
    </r>
    <r>
      <rPr>
        <sz val="10"/>
        <rFont val="Arial"/>
        <family val="0"/>
        <charset val="1"/>
      </rPr>
      <t xml:space="preserve">Olympe(</t>
    </r>
    <r>
      <rPr>
        <sz val="10"/>
        <rFont val="WenQuanYi Zen Hei"/>
        <family val="2"/>
      </rPr>
      <t xml:space="preserve">총리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를 신설했다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</si>
  <si>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6. </t>
    </r>
    <r>
      <rPr>
        <sz val="10"/>
        <rFont val="WenQuanYi Zen Hei"/>
        <family val="2"/>
      </rPr>
      <t xml:space="preserve">표의 파란 숫자는 가정값이다</t>
    </r>
    <r>
      <rPr>
        <sz val="10"/>
        <rFont val="Arial"/>
        <family val="0"/>
        <charset val="1"/>
      </rPr>
      <t xml:space="preserve">. 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1~3</t>
    </r>
    <r>
      <rPr>
        <sz val="10"/>
        <rFont val="WenQuanYi Zen Hei"/>
        <family val="2"/>
      </rPr>
      <t xml:space="preserve">화 대본을 쓴 뒤 실제 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단어 수를 재서 점유율과 평균 단어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턴을 교정한다</t>
    </r>
    <r>
      <rPr>
        <sz val="10"/>
        <rFont val="Arial"/>
        <family val="0"/>
        <charset val="1"/>
      </rPr>
      <t xml:space="preserve">.</t>
    </r>
  </si>
  <si>
    <r>
      <rPr>
        <b val="true"/>
        <sz val="14"/>
        <color rgb="FF1F3864"/>
        <rFont val="Arial"/>
        <family val="0"/>
        <charset val="1"/>
      </rPr>
      <t xml:space="preserve">13</t>
    </r>
    <r>
      <rPr>
        <b val="true"/>
        <sz val="14"/>
        <color rgb="FF1F3864"/>
        <rFont val="WenQuanYi Zen Hei"/>
        <family val="2"/>
      </rPr>
      <t xml:space="preserve">부 구성 </t>
    </r>
    <r>
      <rPr>
        <b val="true"/>
        <sz val="14"/>
        <color rgb="FF1F3864"/>
        <rFont val="Arial"/>
        <family val="0"/>
        <charset val="1"/>
      </rPr>
      <t xml:space="preserve">(13</t>
    </r>
    <r>
      <rPr>
        <b val="true"/>
        <sz val="14"/>
        <color rgb="FF1F3864"/>
        <rFont val="WenQuanYi Zen Hei"/>
        <family val="2"/>
      </rPr>
      <t xml:space="preserve">부 </t>
    </r>
    <r>
      <rPr>
        <b val="true"/>
        <sz val="14"/>
        <color rgb="FF1F3864"/>
        <rFont val="Arial"/>
        <family val="0"/>
        <charset val="1"/>
      </rPr>
      <t xml:space="preserve">× 12</t>
    </r>
    <r>
      <rPr>
        <b val="true"/>
        <sz val="14"/>
        <color rgb="FF1F3864"/>
        <rFont val="WenQuanYi Zen Hei"/>
        <family val="2"/>
      </rPr>
      <t xml:space="preserve">화 </t>
    </r>
    <r>
      <rPr>
        <b val="true"/>
        <sz val="14"/>
        <color rgb="FF1F3864"/>
        <rFont val="Arial"/>
        <family val="0"/>
        <charset val="1"/>
      </rPr>
      <t xml:space="preserve">= 156</t>
    </r>
    <r>
      <rPr>
        <b val="true"/>
        <sz val="14"/>
        <color rgb="FF1F3864"/>
        <rFont val="WenQuanYi Zen Hei"/>
        <family val="2"/>
      </rPr>
      <t xml:space="preserve">화</t>
    </r>
    <r>
      <rPr>
        <b val="true"/>
        <sz val="14"/>
        <color rgb="FF1F3864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</si>
  <si>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정치 파트</t>
    </r>
    <r>
      <rPr>
        <i val="true"/>
        <sz val="9"/>
        <color rgb="FF595959"/>
        <rFont val="Noto Sans CJK SC"/>
        <family val="2"/>
        <charset val="1"/>
      </rPr>
      <t xml:space="preserve">(8~12</t>
    </r>
    <r>
      <rPr>
        <i val="true"/>
        <sz val="9"/>
        <color rgb="FF595959"/>
        <rFont val="WenQuanYi Zen Hei"/>
        <family val="2"/>
      </rPr>
      <t xml:space="preserve">부</t>
    </r>
    <r>
      <rPr>
        <i val="true"/>
        <sz val="9"/>
        <color rgb="FF595959"/>
        <rFont val="Noto Sans CJK SC"/>
        <family val="2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는 프랑스 제</t>
    </r>
    <r>
      <rPr>
        <i val="true"/>
        <sz val="9"/>
        <color rgb="FF595959"/>
        <rFont val="Noto Sans CJK SC"/>
        <family val="2"/>
        <charset val="1"/>
      </rPr>
      <t xml:space="preserve">5</t>
    </r>
    <r>
      <rPr>
        <i val="true"/>
        <sz val="9"/>
        <color rgb="FF595959"/>
        <rFont val="WenQuanYi Zen Hei"/>
        <family val="2"/>
      </rPr>
      <t xml:space="preserve">공화국 제도에 맞춰 재설계했습니다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화별 목차는 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화별목차</t>
    </r>
    <r>
      <rPr>
        <i val="true"/>
        <sz val="9"/>
        <color rgb="FF595959"/>
        <rFont val="Noto Sans CJK SC"/>
        <family val="2"/>
        <charset val="1"/>
      </rPr>
      <t xml:space="preserve">_</t>
    </r>
    <r>
      <rPr>
        <i val="true"/>
        <sz val="9"/>
        <color rgb="FF595959"/>
        <rFont val="WenQuanYi Zen Hei"/>
        <family val="2"/>
      </rPr>
      <t xml:space="preserve">전체</t>
    </r>
    <r>
      <rPr>
        <i val="true"/>
        <sz val="9"/>
        <color rgb="FF595959"/>
        <rFont val="Noto Sans CJK SC"/>
        <family val="2"/>
        <charset val="1"/>
      </rPr>
      <t xml:space="preserve">', </t>
    </r>
    <r>
      <rPr>
        <i val="true"/>
        <sz val="9"/>
        <color rgb="FF595959"/>
        <rFont val="WenQuanYi Zen Hei"/>
        <family val="2"/>
      </rPr>
      <t xml:space="preserve">제도 근거는 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정치제도</t>
    </r>
    <r>
      <rPr>
        <i val="true"/>
        <sz val="9"/>
        <color rgb="FF595959"/>
        <rFont val="Noto Sans CJK SC"/>
        <family val="2"/>
        <charset val="1"/>
      </rPr>
      <t xml:space="preserve">' </t>
    </r>
    <r>
      <rPr>
        <i val="true"/>
        <sz val="9"/>
        <color rgb="FF595959"/>
        <rFont val="WenQuanYi Zen Hei"/>
        <family val="2"/>
      </rPr>
      <t xml:space="preserve">시트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</si>
  <si>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제목 </t>
    </r>
    <r>
      <rPr>
        <b val="true"/>
        <sz val="10"/>
        <color rgb="FFFFFFFF"/>
        <rFont val="Noto Sans CJK SC"/>
        <family val="2"/>
        <charset val="1"/>
      </rPr>
      <t xml:space="preserve">(FR)</t>
    </r>
  </si>
  <si>
    <t xml:space="preserve">한국어</t>
  </si>
  <si>
    <t xml:space="preserve">배경</t>
  </si>
  <si>
    <t xml:space="preserve">핵심 내용</t>
  </si>
  <si>
    <r>
      <rPr>
        <b val="true"/>
        <sz val="10"/>
        <color rgb="FFFFFFFF"/>
        <rFont val="WenQuanYi Zen Hei"/>
        <family val="2"/>
      </rPr>
      <t xml:space="preserve">난이도
</t>
    </r>
    <r>
      <rPr>
        <b val="true"/>
        <sz val="10"/>
        <color rgb="FFFFFFFF"/>
        <rFont val="Noto Sans CJK SC"/>
        <family val="2"/>
        <charset val="1"/>
      </rPr>
      <t xml:space="preserve">(CEFR)</t>
    </r>
  </si>
  <si>
    <r>
      <rPr>
        <b val="true"/>
        <sz val="10"/>
        <color rgb="FFFFFFFF"/>
        <rFont val="WenQuanYi Zen Hei"/>
        <family val="2"/>
      </rPr>
      <t xml:space="preserve">반영 제도</t>
    </r>
    <r>
      <rPr>
        <b val="true"/>
        <sz val="10"/>
        <color rgb="FFFFFFFF"/>
        <rFont val="Noto Sans CJK SC"/>
        <family val="2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전문 영역</t>
    </r>
  </si>
  <si>
    <t xml:space="preserve">시점</t>
  </si>
  <si>
    <t xml:space="preserve">Le Cabinet de Belleville</t>
  </si>
  <si>
    <t xml:space="preserve">벨빌 사무소</t>
  </si>
  <si>
    <r>
      <rPr>
        <sz val="10"/>
        <rFont val="Arial"/>
        <family val="0"/>
        <charset val="1"/>
      </rPr>
      <t xml:space="preserve">Belleville</t>
    </r>
    <r>
      <rPr>
        <sz val="10"/>
        <rFont val="WenQuanYi Zen Hei"/>
        <family val="2"/>
      </rPr>
      <t xml:space="preserve">의 작은 사무실 </t>
    </r>
    <r>
      <rPr>
        <sz val="10"/>
        <rFont val="Arial"/>
        <family val="0"/>
        <charset val="1"/>
      </rPr>
      <t xml:space="preserve">(1</t>
    </r>
    <r>
      <rPr>
        <sz val="10"/>
        <rFont val="WenQuanYi Zen Hei"/>
        <family val="2"/>
      </rPr>
      <t xml:space="preserve">층은 </t>
    </r>
    <r>
      <rPr>
        <sz val="10"/>
        <rFont val="Arial"/>
        <family val="0"/>
        <charset val="1"/>
      </rPr>
      <t xml:space="preserve">Monique</t>
    </r>
    <r>
      <rPr>
        <sz val="10"/>
        <rFont val="WenQuanYi Zen Hei"/>
        <family val="2"/>
      </rPr>
      <t xml:space="preserve">의 비스트로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개소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개월 후</t>
    </r>
  </si>
  <si>
    <r>
      <rPr>
        <sz val="10"/>
        <rFont val="WenQuanYi Zen Hei"/>
        <family val="2"/>
      </rPr>
      <t xml:space="preserve">이미 한 달째 좌충우돌 중인 팀이 이웃들의 사건 </t>
    </r>
    <r>
      <rPr>
        <sz val="10"/>
        <rFont val="Noto Sans CJK SC"/>
        <family val="2"/>
        <charset val="1"/>
      </rPr>
      <t xml:space="preserve">6</t>
    </r>
    <r>
      <rPr>
        <sz val="10"/>
        <rFont val="WenQuanYi Zen Hei"/>
        <family val="2"/>
      </rPr>
      <t xml:space="preserve">개를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화씩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도입→해결</t>
    </r>
    <r>
      <rPr>
        <sz val="10"/>
        <rFont val="Noto Sans CJK SC"/>
        <family val="2"/>
        <charset val="1"/>
      </rPr>
      <t xml:space="preserve">) </t>
    </r>
    <r>
      <rPr>
        <sz val="10"/>
        <rFont val="WenQuanYi Zen Hei"/>
        <family val="2"/>
      </rPr>
      <t xml:space="preserve">풀어 간다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자기소개 대신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이 사람들이 어쩌다 이렇게 됐지</t>
    </r>
    <r>
      <rPr>
        <sz val="10"/>
        <rFont val="Noto Sans CJK SC"/>
        <family val="2"/>
        <charset val="1"/>
      </rPr>
      <t xml:space="preserve">?' </t>
    </r>
    <r>
      <rPr>
        <sz val="10"/>
        <rFont val="WenQuanYi Zen Hei"/>
        <family val="2"/>
      </rPr>
      <t xml:space="preserve">하는 궁금증</t>
    </r>
    <r>
      <rPr>
        <sz val="10"/>
        <rFont val="Noto Sans CJK SC"/>
        <family val="2"/>
        <charset val="1"/>
      </rPr>
      <t xml:space="preserve">(in medias res)</t>
    </r>
    <r>
      <rPr>
        <sz val="10"/>
        <rFont val="WenQuanYi Zen Hei"/>
        <family val="2"/>
      </rPr>
      <t xml:space="preserve">으로 시작</t>
    </r>
    <r>
      <rPr>
        <sz val="10"/>
        <rFont val="Noto Sans CJK SC"/>
        <family val="2"/>
        <charset val="1"/>
      </rPr>
      <t xml:space="preserve">.</t>
    </r>
  </si>
  <si>
    <t xml:space="preserve">B1</t>
  </si>
  <si>
    <r>
      <rPr>
        <sz val="10"/>
        <rFont val="WenQuanYi Zen Hei"/>
        <family val="2"/>
      </rPr>
      <t xml:space="preserve">생활 법률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노동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의료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금융 기초 어휘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반복되는 말다툼</t>
    </r>
    <r>
      <rPr>
        <sz val="10"/>
        <rFont val="Noto Sans CJK SC"/>
        <family val="2"/>
        <charset val="1"/>
      </rPr>
      <t xml:space="preserve">, Manon 1</t>
    </r>
    <r>
      <rPr>
        <sz val="10"/>
        <rFont val="WenQuanYi Zen Hei"/>
        <family val="2"/>
      </rPr>
      <t xml:space="preserve">차 폭발</t>
    </r>
    <r>
      <rPr>
        <sz val="10"/>
        <rFont val="Noto Sans CJK SC"/>
        <family val="2"/>
        <charset val="1"/>
      </rPr>
      <t xml:space="preserve">(6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</si>
  <si>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현재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개소 후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개월</t>
    </r>
    <r>
      <rPr>
        <sz val="10"/>
        <rFont val="Noto Sans CJK SC"/>
        <family val="2"/>
        <charset val="1"/>
      </rPr>
      <t xml:space="preserve">)</t>
    </r>
  </si>
  <si>
    <t xml:space="preserve">L'Avocat</t>
  </si>
  <si>
    <t xml:space="preserve">변호사</t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</si>
  <si>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구 </t>
    </r>
    <r>
      <rPr>
        <sz val="10"/>
        <rFont val="Arial"/>
        <family val="0"/>
        <charset val="1"/>
      </rPr>
      <t xml:space="preserve">avenue George-V</t>
    </r>
    <r>
      <rPr>
        <sz val="10"/>
        <rFont val="WenQuanYi Zen Hei"/>
        <family val="2"/>
      </rPr>
      <t xml:space="preserve">의 대형 로펌</t>
    </r>
  </si>
  <si>
    <r>
      <rPr>
        <sz val="10"/>
        <rFont val="WenQuanYi Zen Hei"/>
        <family val="2"/>
      </rPr>
      <t xml:space="preserve">승소율 </t>
    </r>
    <r>
      <rPr>
        <sz val="10"/>
        <rFont val="Noto Sans CJK SC"/>
        <family val="2"/>
        <charset val="1"/>
      </rPr>
      <t xml:space="preserve">100%</t>
    </r>
    <r>
      <rPr>
        <sz val="10"/>
        <rFont val="WenQuanYi Zen Hei"/>
        <family val="2"/>
      </rPr>
      <t xml:space="preserve">의 이면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강제퇴거 사건이 </t>
    </r>
    <r>
      <rPr>
        <sz val="10"/>
        <rFont val="Noto Sans CJK SC"/>
        <family val="2"/>
        <charset val="1"/>
      </rPr>
      <t xml:space="preserve">Nicolas</t>
    </r>
    <r>
      <rPr>
        <sz val="10"/>
        <rFont val="WenQuanYi Zen Hei"/>
        <family val="2"/>
      </rPr>
      <t xml:space="preserve">의 결핍이 된다</t>
    </r>
    <r>
      <rPr>
        <sz val="10"/>
        <rFont val="Noto Sans CJK SC"/>
        <family val="2"/>
        <charset val="1"/>
      </rPr>
      <t xml:space="preserve">.</t>
    </r>
  </si>
  <si>
    <t xml:space="preserve">B2~C1</t>
  </si>
  <si>
    <r>
      <rPr>
        <sz val="10"/>
        <rFont val="WenQuanYi Zen Hei"/>
        <family val="2"/>
      </rPr>
      <t xml:space="preserve">임대차</t>
    </r>
    <r>
      <rPr>
        <sz val="10"/>
        <rFont val="Noto Sans CJK SC"/>
        <family val="2"/>
        <charset val="1"/>
      </rPr>
      <t xml:space="preserve">(1989</t>
    </r>
    <r>
      <rPr>
        <sz val="10"/>
        <rFont val="WenQuanYi Zen Hei"/>
        <family val="2"/>
      </rPr>
      <t xml:space="preserve">년 법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퇴거 절차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소송</t>
    </r>
    <r>
      <rPr>
        <sz val="10"/>
        <rFont val="Noto Sans CJK SC"/>
        <family val="2"/>
        <charset val="1"/>
      </rPr>
      <t xml:space="preserve">(assignation, audience, jugement)</t>
    </r>
  </si>
  <si>
    <t xml:space="preserve">과거</t>
  </si>
  <si>
    <t xml:space="preserve">La Médecin</t>
  </si>
  <si>
    <t xml:space="preserve">의사</t>
  </si>
  <si>
    <r>
      <rPr>
        <sz val="10"/>
        <rFont val="WenQuanYi Zen Hei"/>
        <family val="2"/>
      </rPr>
      <t xml:space="preserve">예산 압박과 컨설팅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외주 속에서 치료받지 못하는 환자들</t>
    </r>
    <r>
      <rPr>
        <sz val="10"/>
        <rFont val="Noto Sans CJK SC"/>
        <family val="2"/>
        <charset val="1"/>
      </rPr>
      <t xml:space="preserve">. Camille</t>
    </r>
    <r>
      <rPr>
        <sz val="10"/>
        <rFont val="WenQuanYi Zen Hei"/>
        <family val="2"/>
      </rPr>
      <t xml:space="preserve">의 이름 목록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</si>
  <si>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응급의학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병원 행정</t>
    </r>
    <r>
      <rPr>
        <sz val="10"/>
        <rFont val="Noto Sans CJK SC"/>
        <family val="2"/>
        <charset val="1"/>
      </rPr>
      <t xml:space="preserve">, ARS·AP-HP </t>
    </r>
    <r>
      <rPr>
        <sz val="10"/>
        <rFont val="WenQuanYi Zen Hei"/>
        <family val="2"/>
      </rPr>
      <t xml:space="preserve">체계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병원 외주</t>
    </r>
    <r>
      <rPr>
        <sz val="10"/>
        <rFont val="Noto Sans CJK SC"/>
        <family val="2"/>
        <charset val="1"/>
      </rPr>
      <t xml:space="preserve">(externalisation)</t>
    </r>
    <r>
      <rPr>
        <sz val="10"/>
        <rFont val="WenQuanYi Zen Hei"/>
        <family val="2"/>
      </rPr>
      <t xml:space="preserve">와 컨설팅 계약</t>
    </r>
  </si>
  <si>
    <t xml:space="preserve">L'Auditeur</t>
  </si>
  <si>
    <t xml:space="preserve">회계감사인</t>
  </si>
  <si>
    <r>
      <rPr>
        <sz val="10"/>
        <rFont val="Arial"/>
        <family val="0"/>
        <charset val="1"/>
      </rPr>
      <t xml:space="preserve">Bertin &amp; Roux Audit 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</si>
  <si>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룩셈부르크 지주회사를 통한 탈세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자금세탁 정황을 발견하지만 조직의 묵인 압박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다시는 서명하지 않겠다는 다짐의 기원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</si>
  <si>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법정감사</t>
    </r>
    <r>
      <rPr>
        <sz val="10"/>
        <rFont val="Noto Sans CJK SC"/>
        <family val="2"/>
        <charset val="1"/>
      </rPr>
      <t xml:space="preserve">(commissaire aux comptes), </t>
    </r>
    <r>
      <rPr>
        <sz val="10"/>
        <rFont val="WenQuanYi Zen Hei"/>
        <family val="2"/>
      </rPr>
      <t xml:space="preserve">자금세탁방지</t>
    </r>
    <r>
      <rPr>
        <sz val="10"/>
        <rFont val="Noto Sans CJK SC"/>
        <family val="2"/>
        <charset val="1"/>
      </rPr>
      <t xml:space="preserve">(TRACFIN), </t>
    </r>
    <r>
      <rPr>
        <sz val="10"/>
        <rFont val="WenQuanYi Zen Hei"/>
        <family val="2"/>
      </rPr>
      <t xml:space="preserve">감사인 독립성</t>
    </r>
    <r>
      <rPr>
        <sz val="10"/>
        <rFont val="Noto Sans CJK SC"/>
        <family val="2"/>
        <charset val="1"/>
      </rPr>
      <t xml:space="preserve">(H2A)</t>
    </r>
  </si>
  <si>
    <t xml:space="preserve">La Consultante</t>
  </si>
  <si>
    <t xml:space="preserve">컨설턴트</t>
  </si>
  <si>
    <r>
      <rPr>
        <sz val="10"/>
        <rFont val="Arial"/>
        <family val="0"/>
        <charset val="1"/>
      </rPr>
      <t xml:space="preserve">Zénith Consulting 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La Défense 32</t>
    </r>
    <r>
      <rPr>
        <sz val="10"/>
        <rFont val="WenQuanYi Zen Hei"/>
        <family val="2"/>
      </rPr>
      <t xml:space="preserve">층</t>
    </r>
  </si>
  <si>
    <r>
      <rPr>
        <sz val="10"/>
        <rFont val="WenQuanYi Zen Hei"/>
        <family val="2"/>
      </rPr>
      <t xml:space="preserve">구조조정 엑셀 한 칸이 수백 명의 실직이었음을 깨닫는다</t>
    </r>
    <r>
      <rPr>
        <sz val="10"/>
        <rFont val="Noto Sans CJK SC"/>
        <family val="2"/>
        <charset val="1"/>
      </rPr>
      <t xml:space="preserve">. Karim</t>
    </r>
    <r>
      <rPr>
        <sz val="10"/>
        <rFont val="WenQuanYi Zen Hei"/>
        <family val="2"/>
      </rPr>
      <t xml:space="preserve">과의 첫 접점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</si>
  <si>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경영 전략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고용보호계획</t>
    </r>
    <r>
      <rPr>
        <sz val="10"/>
        <rFont val="Noto Sans CJK SC"/>
        <family val="2"/>
        <charset val="1"/>
      </rPr>
      <t xml:space="preserve">(PSE), </t>
    </r>
    <r>
      <rPr>
        <sz val="10"/>
        <rFont val="WenQuanYi Zen Hei"/>
        <family val="2"/>
      </rPr>
      <t xml:space="preserve">노동법</t>
    </r>
    <r>
      <rPr>
        <sz val="10"/>
        <rFont val="Noto Sans CJK SC"/>
        <family val="2"/>
        <charset val="1"/>
      </rPr>
      <t xml:space="preserve">(Code du travail)</t>
    </r>
  </si>
  <si>
    <t xml:space="preserve">La Rencontre</t>
  </si>
  <si>
    <t xml:space="preserve">운명적 만남</t>
  </si>
  <si>
    <r>
      <rPr>
        <sz val="10"/>
        <rFont val="Arial"/>
        <family val="0"/>
        <charset val="1"/>
      </rPr>
      <t xml:space="preserve">Saint-Denis</t>
    </r>
    <r>
      <rPr>
        <sz val="10"/>
        <rFont val="WenQuanYi Zen Hei"/>
        <family val="2"/>
      </rPr>
      <t xml:space="preserve">의 서민 주거 단지</t>
    </r>
    <r>
      <rPr>
        <sz val="10"/>
        <rFont val="Arial"/>
        <family val="0"/>
        <charset val="1"/>
      </rPr>
      <t xml:space="preserve">(cité), </t>
    </r>
    <r>
      <rPr>
        <sz val="10"/>
        <rFont val="WenQuanYi Zen Hei"/>
        <family val="2"/>
      </rPr>
      <t xml:space="preserve">작은 카페</t>
    </r>
  </si>
  <si>
    <r>
      <rPr>
        <sz val="10"/>
        <rFont val="WenQuanYi Zen Hei"/>
        <family val="2"/>
      </rPr>
      <t xml:space="preserve">강제퇴거와 의료 방치가 한 건으로 얽힌 사건에서 네 사람이 만나 사무소를 차리기로 한다</t>
    </r>
    <r>
      <rPr>
        <sz val="10"/>
        <rFont val="Noto Sans CJK SC"/>
        <family val="2"/>
        <charset val="1"/>
      </rPr>
      <t xml:space="preserve">.</t>
    </r>
  </si>
  <si>
    <t xml:space="preserve">B2</t>
  </si>
  <si>
    <r>
      <rPr>
        <sz val="10"/>
        <rFont val="WenQuanYi Zen Hei"/>
        <family val="2"/>
      </rPr>
      <t xml:space="preserve">협상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설득 구어체</t>
    </r>
  </si>
  <si>
    <t xml:space="preserve">현재로 수렴</t>
  </si>
  <si>
    <t xml:space="preserve">Le Réseau de résistance</t>
  </si>
  <si>
    <r>
      <rPr>
        <sz val="10"/>
        <rFont val="WenQuanYi Zen Hei"/>
        <family val="2"/>
      </rPr>
      <t xml:space="preserve">사무소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탄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전면전</t>
    </r>
  </si>
  <si>
    <r>
      <rPr>
        <sz val="10"/>
        <rFont val="WenQuanYi Zen Hei"/>
        <family val="2"/>
      </rPr>
      <t xml:space="preserve">법원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시청 앞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파리 전역</t>
    </r>
  </si>
  <si>
    <r>
      <rPr>
        <sz val="10"/>
        <rFont val="WenQuanYi Zen Hei"/>
        <family val="2"/>
      </rPr>
      <t xml:space="preserve">부당 해고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의료 사고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탈세 대기업 상대 집단 대응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내부고발자를 보호하고 반부패 단체의 사소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私訴</t>
    </r>
    <r>
      <rPr>
        <sz val="10"/>
        <rFont val="Noto Sans CJK SC"/>
        <family val="2"/>
        <charset val="1"/>
      </rPr>
      <t xml:space="preserve">, partie civile)</t>
    </r>
    <r>
      <rPr>
        <sz val="10"/>
        <rFont val="WenQuanYi Zen Hei"/>
        <family val="2"/>
      </rPr>
      <t xml:space="preserve">로 고소한다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</si>
  <si>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plainte avec constitution de partie civile, </t>
    </r>
    <r>
      <rPr>
        <sz val="10"/>
        <rFont val="WenQuanYi Zen Hei"/>
        <family val="2"/>
      </rPr>
      <t xml:space="preserve">국가금융검찰</t>
    </r>
    <r>
      <rPr>
        <sz val="10"/>
        <rFont val="Arial"/>
        <family val="0"/>
        <charset val="1"/>
      </rPr>
      <t xml:space="preserve">(PNF), </t>
    </r>
    <r>
      <rPr>
        <sz val="10"/>
        <rFont val="WenQuanYi Zen Hei"/>
        <family val="2"/>
      </rPr>
      <t xml:space="preserve">내부고발자 보호</t>
    </r>
    <r>
      <rPr>
        <sz val="10"/>
        <rFont val="Arial"/>
        <family val="0"/>
        <charset val="1"/>
      </rPr>
      <t xml:space="preserve">(Sapin II·2022</t>
    </r>
    <r>
      <rPr>
        <sz val="10"/>
        <rFont val="WenQuanYi Zen Hei"/>
        <family val="2"/>
      </rPr>
      <t xml:space="preserve">년 법</t>
    </r>
    <r>
      <rPr>
        <sz val="10"/>
        <rFont val="Arial"/>
        <family val="0"/>
        <charset val="1"/>
      </rPr>
      <t xml:space="preserve">)</t>
    </r>
  </si>
  <si>
    <t xml:space="preserve">과거→현재</t>
  </si>
  <si>
    <t xml:space="preserve">L'Éveil citoyen</t>
  </si>
  <si>
    <t xml:space="preserve">정치적 각성과 창당</t>
  </si>
  <si>
    <r>
      <rPr>
        <sz val="10"/>
        <rFont val="Arial"/>
        <family val="0"/>
        <charset val="1"/>
      </rPr>
      <t xml:space="preserve">Place de la République, </t>
    </r>
    <r>
      <rPr>
        <sz val="10"/>
        <rFont val="WenQuanYi Zen Hei"/>
        <family val="2"/>
      </rPr>
      <t xml:space="preserve">시민 집회</t>
    </r>
  </si>
  <si>
    <r>
      <rPr>
        <sz val="10"/>
        <rFont val="WenQuanYi Zen Hei"/>
        <family val="2"/>
      </rPr>
      <t xml:space="preserve">하원 시민청원이 본회의 토론에서 멈추자 스스로 정당 </t>
    </r>
    <r>
      <rPr>
        <sz val="10"/>
        <rFont val="Noto Sans CJK SC"/>
        <family val="2"/>
        <charset val="1"/>
      </rPr>
      <t xml:space="preserve">«Maison Commune»</t>
    </r>
    <r>
      <rPr>
        <sz val="10"/>
        <rFont val="WenQuanYi Zen Hei"/>
        <family val="2"/>
      </rPr>
      <t xml:space="preserve">을 창당해 파리 시의회 선거</t>
    </r>
    <r>
      <rPr>
        <sz val="10"/>
        <rFont val="Noto Sans CJK SC"/>
        <family val="2"/>
        <charset val="1"/>
      </rPr>
      <t xml:space="preserve">(municipales)</t>
    </r>
    <r>
      <rPr>
        <sz val="10"/>
        <rFont val="WenQuanYi Zen Hei"/>
        <family val="2"/>
      </rPr>
      <t xml:space="preserve">에 나선다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</si>
  <si>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시위 사전 신고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하원 시민청원</t>
    </r>
    <r>
      <rPr>
        <sz val="10"/>
        <rFont val="Noto Sans CJK SC"/>
        <family val="2"/>
        <charset val="1"/>
      </rPr>
      <t xml:space="preserve">(pétition), </t>
    </r>
    <r>
      <rPr>
        <sz val="10"/>
        <rFont val="WenQuanYi Zen Hei"/>
        <family val="2"/>
      </rPr>
      <t xml:space="preserve">정당 결성</t>
    </r>
    <r>
      <rPr>
        <sz val="10"/>
        <rFont val="Noto Sans CJK SC"/>
        <family val="2"/>
        <charset val="1"/>
      </rPr>
      <t xml:space="preserve">(1901</t>
    </r>
    <r>
      <rPr>
        <sz val="10"/>
        <rFont val="WenQuanYi Zen Hei"/>
        <family val="2"/>
      </rPr>
      <t xml:space="preserve">년 결사법</t>
    </r>
    <r>
      <rPr>
        <sz val="10"/>
        <rFont val="Noto Sans CJK SC"/>
        <family val="2"/>
        <charset val="1"/>
      </rPr>
      <t xml:space="preserve">·1988</t>
    </r>
    <r>
      <rPr>
        <sz val="10"/>
        <rFont val="WenQuanYi Zen Hei"/>
        <family val="2"/>
      </rPr>
      <t xml:space="preserve">년 정치자금법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선거운동 규칙</t>
    </r>
  </si>
  <si>
    <t xml:space="preserve">정치</t>
  </si>
  <si>
    <t xml:space="preserve">À l'Hôtel de Ville</t>
  </si>
  <si>
    <t xml:space="preserve">파리 시의회</t>
  </si>
  <si>
    <r>
      <rPr>
        <sz val="10"/>
        <rFont val="Arial"/>
        <family val="0"/>
        <charset val="1"/>
      </rPr>
      <t xml:space="preserve">Hôtel de Ville(</t>
    </r>
    <r>
      <rPr>
        <sz val="10"/>
        <rFont val="WenQuanYi Zen Hei"/>
        <family val="2"/>
      </rPr>
      <t xml:space="preserve">파리 시청</t>
    </r>
    <r>
      <rPr>
        <sz val="10"/>
        <rFont val="Arial"/>
        <family val="0"/>
        <charset val="1"/>
      </rPr>
      <t xml:space="preserve">), Conseil de Paris, AP-HP </t>
    </r>
    <r>
      <rPr>
        <sz val="10"/>
        <rFont val="WenQuanYi Zen Hei"/>
        <family val="2"/>
      </rPr>
      <t xml:space="preserve">감독위원회</t>
    </r>
  </si>
  <si>
    <r>
      <rPr>
        <sz val="10"/>
        <rFont val="Arial"/>
        <family val="0"/>
        <charset val="1"/>
      </rPr>
      <t xml:space="preserve">Julien</t>
    </r>
    <r>
      <rPr>
        <sz val="10"/>
        <rFont val="WenQuanYi Zen Hei"/>
        <family val="2"/>
      </rPr>
      <t xml:space="preserve">은 예산을</t>
    </r>
    <r>
      <rPr>
        <sz val="10"/>
        <rFont val="Arial"/>
        <family val="0"/>
        <charset val="1"/>
      </rPr>
      <t xml:space="preserve">, Camille</t>
    </r>
    <r>
      <rPr>
        <sz val="10"/>
        <rFont val="WenQuanYi Zen Hei"/>
        <family val="2"/>
      </rPr>
      <t xml:space="preserve">는 보건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시립 보건센터</t>
    </r>
    <r>
      <rPr>
        <sz val="10"/>
        <rFont val="Arial"/>
        <family val="0"/>
        <charset val="1"/>
      </rPr>
      <t xml:space="preserve">·AP-HP)</t>
    </r>
    <r>
      <rPr>
        <sz val="10"/>
        <rFont val="WenQuanYi Zen Hei"/>
        <family val="2"/>
      </rPr>
      <t xml:space="preserve">을 파고든다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스캔들 폭로와 </t>
    </r>
    <r>
      <rPr>
        <sz val="10"/>
        <rFont val="Arial"/>
        <family val="0"/>
        <charset val="1"/>
      </rPr>
      <t xml:space="preserve">Manon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차 폭발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마지막 화에서 </t>
    </r>
    <r>
      <rPr>
        <sz val="10"/>
        <rFont val="Arial"/>
        <family val="0"/>
        <charset val="1"/>
      </rPr>
      <t xml:space="preserve">Nicolas</t>
    </r>
    <r>
      <rPr>
        <sz val="10"/>
        <rFont val="WenQuanYi Zen Hei"/>
        <family val="2"/>
      </rPr>
      <t xml:space="preserve">가 대선 출마를 선언한다</t>
    </r>
    <r>
      <rPr>
        <sz val="10"/>
        <rFont val="Arial"/>
        <family val="0"/>
        <charset val="1"/>
      </rPr>
      <t xml:space="preserve">.</t>
    </r>
  </si>
  <si>
    <t xml:space="preserve">C1</t>
  </si>
  <si>
    <r>
      <rPr>
        <sz val="10"/>
        <rFont val="Arial"/>
        <family val="0"/>
        <charset val="1"/>
      </rPr>
      <t xml:space="preserve">Conseil de Paris, </t>
    </r>
    <r>
      <rPr>
        <sz val="10"/>
        <rFont val="WenQuanYi Zen Hei"/>
        <family val="2"/>
      </rPr>
      <t xml:space="preserve">예산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결산</t>
    </r>
    <r>
      <rPr>
        <sz val="10"/>
        <rFont val="Arial"/>
        <family val="0"/>
        <charset val="1"/>
      </rPr>
      <t xml:space="preserve">(CFU), </t>
    </r>
    <r>
      <rPr>
        <sz val="10"/>
        <rFont val="WenQuanYi Zen Hei"/>
        <family val="2"/>
      </rPr>
      <t xml:space="preserve">공공조달</t>
    </r>
    <r>
      <rPr>
        <sz val="10"/>
        <rFont val="Arial"/>
        <family val="0"/>
        <charset val="1"/>
      </rPr>
      <t xml:space="preserve">(Code de la commande publique), </t>
    </r>
    <r>
      <rPr>
        <sz val="10"/>
        <rFont val="WenQuanYi Zen Hei"/>
        <family val="2"/>
      </rPr>
      <t xml:space="preserve">지방재정감사원</t>
    </r>
    <r>
      <rPr>
        <sz val="10"/>
        <rFont val="Arial"/>
        <family val="0"/>
        <charset val="1"/>
      </rPr>
      <t xml:space="preserve">(CRC)</t>
    </r>
  </si>
  <si>
    <t xml:space="preserve">Vers l'Élysée</t>
  </si>
  <si>
    <t xml:space="preserve">대선에서 대통령 취임까지</t>
  </si>
  <si>
    <r>
      <rPr>
        <sz val="10"/>
        <rFont val="Arial"/>
        <family val="0"/>
        <charset val="1"/>
      </rPr>
      <t xml:space="preserve">Conseil constitutionnel, TV </t>
    </r>
    <r>
      <rPr>
        <sz val="10"/>
        <rFont val="WenQuanYi Zen Hei"/>
        <family val="2"/>
      </rPr>
      <t xml:space="preserve">토론 스튜디오</t>
    </r>
    <r>
      <rPr>
        <sz val="10"/>
        <rFont val="Arial"/>
        <family val="0"/>
        <charset val="1"/>
      </rPr>
      <t xml:space="preserve">, Élysée, Assemblée nationale</t>
    </r>
  </si>
  <si>
    <r>
      <rPr>
        <sz val="10"/>
        <rFont val="WenQuanYi Zen Hei"/>
        <family val="2"/>
      </rPr>
      <t xml:space="preserve">추천서 </t>
    </r>
    <r>
      <rPr>
        <sz val="10"/>
        <rFont val="Noto Sans CJK SC"/>
        <family val="2"/>
        <charset val="1"/>
      </rPr>
      <t xml:space="preserve">500</t>
    </r>
    <r>
      <rPr>
        <sz val="10"/>
        <rFont val="WenQuanYi Zen Hei"/>
        <family val="2"/>
      </rPr>
      <t xml:space="preserve">장 →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차 투표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위 → 결선 승리 → 취임 → 국회 해산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총선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상대다수</t>
    </r>
    <r>
      <rPr>
        <sz val="10"/>
        <rFont val="Noto Sans CJK SC"/>
        <family val="2"/>
        <charset val="1"/>
      </rPr>
      <t xml:space="preserve">) → </t>
    </r>
    <r>
      <rPr>
        <sz val="10"/>
        <rFont val="WenQuanYi Zen Hei"/>
        <family val="2"/>
      </rPr>
      <t xml:space="preserve">총리 </t>
    </r>
    <r>
      <rPr>
        <sz val="10"/>
        <rFont val="Noto Sans CJK SC"/>
        <family val="2"/>
        <charset val="1"/>
      </rPr>
      <t xml:space="preserve">Olympe </t>
    </r>
    <r>
      <rPr>
        <sz val="10"/>
        <rFont val="WenQuanYi Zen Hei"/>
        <family val="2"/>
      </rPr>
      <t xml:space="preserve">임명 → 불신임안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표 차 부결</t>
    </r>
    <r>
      <rPr>
        <sz val="10"/>
        <rFont val="Noto Sans CJK SC"/>
        <family val="2"/>
        <charset val="1"/>
      </rPr>
      <t xml:space="preserve">.</t>
    </r>
  </si>
  <si>
    <t xml:space="preserve">C1~C2</t>
  </si>
  <si>
    <r>
      <rPr>
        <sz val="10"/>
        <rFont val="WenQuanYi Zen Hei"/>
        <family val="2"/>
      </rPr>
      <t xml:space="preserve">대선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회 투표제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6·7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추천서</t>
    </r>
    <r>
      <rPr>
        <sz val="10"/>
        <rFont val="Noto Sans CJK SC"/>
        <family val="2"/>
        <charset val="1"/>
      </rPr>
      <t xml:space="preserve">(parrainages), </t>
    </r>
    <r>
      <rPr>
        <sz val="10"/>
        <rFont val="WenQuanYi Zen Hei"/>
        <family val="2"/>
      </rPr>
      <t xml:space="preserve">해산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총리 임명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8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불신임안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49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</t>
    </r>
  </si>
  <si>
    <t xml:space="preserve">La Grande Bataille sociale I</t>
  </si>
  <si>
    <r>
      <rPr>
        <sz val="10"/>
        <rFont val="WenQuanYi Zen Hei"/>
        <family val="2"/>
      </rPr>
      <t xml:space="preserve">사회 현안 전투 </t>
    </r>
    <r>
      <rPr>
        <sz val="10"/>
        <rFont val="Noto Sans CJK SC"/>
        <family val="2"/>
        <charset val="1"/>
      </rPr>
      <t xml:space="preserve">I</t>
    </r>
  </si>
  <si>
    <r>
      <rPr>
        <sz val="10"/>
        <rFont val="Arial"/>
        <family val="0"/>
        <charset val="1"/>
      </rPr>
      <t xml:space="preserve">Élysée, Matignon, </t>
    </r>
    <r>
      <rPr>
        <sz val="10"/>
        <rFont val="WenQuanYi Zen Hei"/>
        <family val="2"/>
      </rPr>
      <t xml:space="preserve">국무회의</t>
    </r>
    <r>
      <rPr>
        <sz val="10"/>
        <rFont val="Arial"/>
        <family val="0"/>
        <charset val="1"/>
      </rPr>
      <t xml:space="preserve">(Conseil des ministres), </t>
    </r>
    <r>
      <rPr>
        <sz val="10"/>
        <rFont val="WenQuanYi Zen Hei"/>
        <family val="2"/>
      </rPr>
      <t xml:space="preserve">브뤼셀</t>
    </r>
  </si>
  <si>
    <r>
      <rPr>
        <sz val="10"/>
        <rFont val="WenQuanYi Zen Hei"/>
        <family val="2"/>
      </rPr>
      <t xml:space="preserve">상대다수 정부로 주거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보건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이민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청년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물가 국내 현안을 돌파한 뒤</t>
    </r>
    <r>
      <rPr>
        <sz val="10"/>
        <rFont val="Noto Sans CJK SC"/>
        <family val="2"/>
        <charset val="1"/>
      </rPr>
      <t xml:space="preserve">, Napoléon</t>
    </r>
    <r>
      <rPr>
        <sz val="10"/>
        <rFont val="WenQuanYi Zen Hei"/>
        <family val="2"/>
      </rPr>
      <t xml:space="preserve">이 대통령 특사로 브뤼셀 협상</t>
    </r>
    <r>
      <rPr>
        <sz val="10"/>
        <rFont val="Noto Sans CJK SC"/>
        <family val="2"/>
        <charset val="1"/>
      </rPr>
      <t xml:space="preserve">(NATO </t>
    </r>
    <r>
      <rPr>
        <sz val="10"/>
        <rFont val="WenQuanYi Zen Hei"/>
        <family val="2"/>
      </rPr>
      <t xml:space="preserve">방위비</t>
    </r>
    <r>
      <rPr>
        <sz val="10"/>
        <rFont val="Noto Sans CJK SC"/>
        <family val="2"/>
        <charset val="1"/>
      </rPr>
      <t xml:space="preserve">·EU </t>
    </r>
    <r>
      <rPr>
        <sz val="10"/>
        <rFont val="WenQuanYi Zen Hei"/>
        <family val="2"/>
      </rPr>
      <t xml:space="preserve">재정규칙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에 나서 승리하고 귀국 직후 사망한다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</si>
  <si>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국무회의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수요일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대통령–총리 권한 분담</t>
    </r>
    <r>
      <rPr>
        <sz val="10"/>
        <rFont val="Arial"/>
        <family val="0"/>
        <charset val="1"/>
      </rPr>
      <t xml:space="preserve">, NATO </t>
    </r>
    <r>
      <rPr>
        <sz val="10"/>
        <rFont val="WenQuanYi Zen Hei"/>
        <family val="2"/>
      </rPr>
      <t xml:space="preserve">방위비 목표</t>
    </r>
    <r>
      <rPr>
        <sz val="10"/>
        <rFont val="Arial"/>
        <family val="0"/>
        <charset val="1"/>
      </rPr>
      <t xml:space="preserve">(2025 </t>
    </r>
    <r>
      <rPr>
        <sz val="10"/>
        <rFont val="WenQuanYi Zen Hei"/>
        <family val="2"/>
      </rPr>
      <t xml:space="preserve">헤이그 합의</t>
    </r>
    <r>
      <rPr>
        <sz val="10"/>
        <rFont val="Arial"/>
        <family val="0"/>
        <charset val="1"/>
      </rPr>
      <t xml:space="preserve">), EU </t>
    </r>
    <r>
      <rPr>
        <sz val="10"/>
        <rFont val="WenQuanYi Zen Hei"/>
        <family val="2"/>
      </rPr>
      <t xml:space="preserve">과도한 적자 절차</t>
    </r>
  </si>
  <si>
    <t xml:space="preserve">La Grande Bataille sociale II</t>
  </si>
  <si>
    <r>
      <rPr>
        <sz val="10"/>
        <rFont val="WenQuanYi Zen Hei"/>
        <family val="2"/>
      </rPr>
      <t xml:space="preserve">사회 현안 전투 </t>
    </r>
    <r>
      <rPr>
        <sz val="10"/>
        <rFont val="Noto Sans CJK SC"/>
        <family val="2"/>
        <charset val="1"/>
      </rPr>
      <t xml:space="preserve">II</t>
    </r>
  </si>
  <si>
    <r>
      <rPr>
        <sz val="10"/>
        <rFont val="Arial"/>
        <family val="0"/>
        <charset val="1"/>
      </rPr>
      <t xml:space="preserve">Élysée, Matignon, </t>
    </r>
    <r>
      <rPr>
        <sz val="10"/>
        <rFont val="WenQuanYi Zen Hei"/>
        <family val="2"/>
      </rPr>
      <t xml:space="preserve">브뤼셀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재난 현장</t>
    </r>
  </si>
  <si>
    <r>
      <rPr>
        <sz val="10"/>
        <rFont val="WenQuanYi Zen Hei"/>
        <family val="2"/>
      </rPr>
      <t xml:space="preserve">장례식으로 열고 </t>
    </r>
    <r>
      <rPr>
        <sz val="10"/>
        <rFont val="Noto Sans CJK SC"/>
        <family val="2"/>
        <charset val="1"/>
      </rPr>
      <t xml:space="preserve">Napoléon</t>
    </r>
    <r>
      <rPr>
        <sz val="10"/>
        <rFont val="WenQuanYi Zen Hei"/>
        <family val="2"/>
      </rPr>
      <t xml:space="preserve">의 유작 메모로 브뤼셀 후속 협상을 마무리한다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플랫폼 노동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정보기관 사찰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청년 정신건강 등 새 현안과 불신임안 방어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남부 급류 재난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예산안까지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</si>
  <si>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메모 승계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법률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명령</t>
    </r>
    <r>
      <rPr>
        <sz val="10"/>
        <rFont val="Noto Sans CJK SC"/>
        <family val="2"/>
        <charset val="1"/>
      </rPr>
      <t xml:space="preserve">(ordonnance·décret), </t>
    </r>
    <r>
      <rPr>
        <sz val="10"/>
        <rFont val="WenQuanYi Zen Hei"/>
        <family val="2"/>
      </rPr>
      <t xml:space="preserve">헌법재판소</t>
    </r>
    <r>
      <rPr>
        <sz val="10"/>
        <rFont val="Noto Sans CJK SC"/>
        <family val="2"/>
        <charset val="1"/>
      </rPr>
      <t xml:space="preserve">(Conseil constitutionnel), </t>
    </r>
    <r>
      <rPr>
        <sz val="10"/>
        <rFont val="WenQuanYi Zen Hei"/>
        <family val="2"/>
      </rPr>
      <t xml:space="preserve">불신임안</t>
    </r>
    <r>
      <rPr>
        <sz val="10"/>
        <rFont val="Noto Sans CJK SC"/>
        <family val="2"/>
        <charset val="1"/>
      </rPr>
      <t xml:space="preserve">, ORSEC </t>
    </r>
    <r>
      <rPr>
        <sz val="10"/>
        <rFont val="WenQuanYi Zen Hei"/>
        <family val="2"/>
      </rPr>
      <t xml:space="preserve">재난 체계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예산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47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</t>
    </r>
  </si>
  <si>
    <t xml:space="preserve">Retour à Belleville</t>
  </si>
  <si>
    <t xml:space="preserve">귀환</t>
  </si>
  <si>
    <t xml:space="preserve">Belleville, Chez Monique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</si>
  <si>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화와 같은 대사로 시작해 원을 닫는다</t>
    </r>
    <r>
      <rPr>
        <sz val="10"/>
        <rFont val="Arial"/>
        <family val="0"/>
        <charset val="1"/>
      </rPr>
      <t xml:space="preserve">. Napoléon</t>
    </r>
    <r>
      <rPr>
        <sz val="10"/>
        <rFont val="WenQuanYi Zen Hei"/>
        <family val="2"/>
      </rPr>
      <t xml:space="preserve">의 유언장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이각모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새 인턴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이제 설명하는 쪽이 된 </t>
    </r>
    <r>
      <rPr>
        <sz val="10"/>
        <rFont val="Arial"/>
        <family val="0"/>
        <charset val="1"/>
      </rPr>
      <t xml:space="preserve">Manon.</t>
    </r>
  </si>
  <si>
    <t xml:space="preserve">B1~B2</t>
  </si>
  <si>
    <r>
      <rPr>
        <sz val="10"/>
        <rFont val="WenQuanYi Zen Hei"/>
        <family val="2"/>
      </rPr>
      <t xml:space="preserve">유언</t>
    </r>
    <r>
      <rPr>
        <sz val="10"/>
        <rFont val="Noto Sans CJK SC"/>
        <family val="2"/>
        <charset val="1"/>
      </rPr>
      <t xml:space="preserve">(notaire, exécuteur testamentaire), </t>
    </r>
    <r>
      <rPr>
        <sz val="10"/>
        <rFont val="WenQuanYi Zen Hei"/>
        <family val="2"/>
      </rPr>
      <t xml:space="preserve">고위공직 겸직 제한</t>
    </r>
    <r>
      <rPr>
        <sz val="10"/>
        <rFont val="Noto Sans CJK SC"/>
        <family val="2"/>
        <charset val="1"/>
      </rPr>
      <t xml:space="preserve">(HATVP), </t>
    </r>
    <r>
      <rPr>
        <sz val="10"/>
        <rFont val="WenQuanYi Zen Hei"/>
        <family val="2"/>
      </rPr>
      <t xml:space="preserve">재단 전환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원형 구조</t>
    </r>
  </si>
  <si>
    <r>
      <rPr>
        <i val="true"/>
        <sz val="9"/>
        <color rgb="FF595959"/>
        <rFont val="WenQuanYi Zen Hei"/>
        <family val="2"/>
      </rPr>
      <t xml:space="preserve">흐름</t>
    </r>
    <r>
      <rPr>
        <i val="true"/>
        <sz val="9"/>
        <color rgb="FF595959"/>
        <rFont val="Noto Sans CJK SC"/>
        <family val="2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현재</t>
    </r>
    <r>
      <rPr>
        <i val="true"/>
        <sz val="9"/>
        <color rgb="FF595959"/>
        <rFont val="Noto Sans CJK SC"/>
        <family val="2"/>
        <charset val="1"/>
      </rPr>
      <t xml:space="preserve">(1) → </t>
    </r>
    <r>
      <rPr>
        <i val="true"/>
        <sz val="9"/>
        <color rgb="FF595959"/>
        <rFont val="WenQuanYi Zen Hei"/>
        <family val="2"/>
      </rPr>
      <t xml:space="preserve">과거</t>
    </r>
    <r>
      <rPr>
        <i val="true"/>
        <sz val="9"/>
        <color rgb="FF595959"/>
        <rFont val="Noto Sans CJK SC"/>
        <family val="2"/>
        <charset val="1"/>
      </rPr>
      <t xml:space="preserve">(2~5) → </t>
    </r>
    <r>
      <rPr>
        <i val="true"/>
        <sz val="9"/>
        <color rgb="FF595959"/>
        <rFont val="WenQuanYi Zen Hei"/>
        <family val="2"/>
      </rPr>
      <t xml:space="preserve">교차</t>
    </r>
    <r>
      <rPr>
        <i val="true"/>
        <sz val="9"/>
        <color rgb="FF595959"/>
        <rFont val="Noto Sans CJK SC"/>
        <family val="2"/>
        <charset val="1"/>
      </rPr>
      <t xml:space="preserve">(6) → </t>
    </r>
    <r>
      <rPr>
        <i val="true"/>
        <sz val="9"/>
        <color rgb="FF595959"/>
        <rFont val="WenQuanYi Zen Hei"/>
        <family val="2"/>
      </rPr>
      <t xml:space="preserve">전면전</t>
    </r>
    <r>
      <rPr>
        <i val="true"/>
        <sz val="9"/>
        <color rgb="FF595959"/>
        <rFont val="Noto Sans CJK SC"/>
        <family val="2"/>
        <charset val="1"/>
      </rPr>
      <t xml:space="preserve">(7) → </t>
    </r>
    <r>
      <rPr>
        <i val="true"/>
        <sz val="9"/>
        <color rgb="FF595959"/>
        <rFont val="WenQuanYi Zen Hei"/>
        <family val="2"/>
      </rPr>
      <t xml:space="preserve">정치</t>
    </r>
    <r>
      <rPr>
        <i val="true"/>
        <sz val="9"/>
        <color rgb="FF595959"/>
        <rFont val="Noto Sans CJK SC"/>
        <family val="2"/>
        <charset val="1"/>
      </rPr>
      <t xml:space="preserve">(8 </t>
    </r>
    <r>
      <rPr>
        <i val="true"/>
        <sz val="9"/>
        <color rgb="FF595959"/>
        <rFont val="WenQuanYi Zen Hei"/>
        <family val="2"/>
      </rPr>
      <t xml:space="preserve">창당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시의회 선거 → </t>
    </r>
    <r>
      <rPr>
        <i val="true"/>
        <sz val="9"/>
        <color rgb="FF595959"/>
        <rFont val="Noto Sans CJK SC"/>
        <family val="2"/>
        <charset val="1"/>
      </rPr>
      <t xml:space="preserve">9 </t>
    </r>
    <r>
      <rPr>
        <i val="true"/>
        <sz val="9"/>
        <color rgb="FF595959"/>
        <rFont val="WenQuanYi Zen Hei"/>
        <family val="2"/>
      </rPr>
      <t xml:space="preserve">파리 시의회 → </t>
    </r>
    <r>
      <rPr>
        <i val="true"/>
        <sz val="9"/>
        <color rgb="FF595959"/>
        <rFont val="Noto Sans CJK SC"/>
        <family val="2"/>
        <charset val="1"/>
      </rPr>
      <t xml:space="preserve">10 </t>
    </r>
    <r>
      <rPr>
        <i val="true"/>
        <sz val="9"/>
        <color rgb="FF595959"/>
        <rFont val="WenQuanYi Zen Hei"/>
        <family val="2"/>
      </rPr>
      <t xml:space="preserve">대선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대통령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총선</t>
    </r>
    <r>
      <rPr>
        <i val="true"/>
        <sz val="9"/>
        <color rgb="FF595959"/>
        <rFont val="Noto Sans CJK SC"/>
        <family val="2"/>
        <charset val="1"/>
      </rPr>
      <t xml:space="preserve">) → </t>
    </r>
    <r>
      <rPr>
        <i val="true"/>
        <sz val="9"/>
        <color rgb="FF595959"/>
        <rFont val="WenQuanYi Zen Hei"/>
        <family val="2"/>
      </rPr>
      <t xml:space="preserve">정부</t>
    </r>
    <r>
      <rPr>
        <i val="true"/>
        <sz val="9"/>
        <color rgb="FF595959"/>
        <rFont val="Noto Sans CJK SC"/>
        <family val="2"/>
        <charset val="1"/>
      </rPr>
      <t xml:space="preserve">(11~12) → </t>
    </r>
    <r>
      <rPr>
        <i val="true"/>
        <sz val="9"/>
        <color rgb="FF595959"/>
        <rFont val="WenQuanYi Zen Hei"/>
        <family val="2"/>
      </rPr>
      <t xml:space="preserve">귀환</t>
    </r>
    <r>
      <rPr>
        <i val="true"/>
        <sz val="9"/>
        <color rgb="FF595959"/>
        <rFont val="Noto Sans CJK SC"/>
        <family val="2"/>
        <charset val="1"/>
      </rPr>
      <t xml:space="preserve">(13, </t>
    </r>
    <r>
      <rPr>
        <i val="true"/>
        <sz val="9"/>
        <color rgb="FF595959"/>
        <rFont val="WenQuanYi Zen Hei"/>
        <family val="2"/>
      </rPr>
      <t xml:space="preserve">원형 구조</t>
    </r>
    <r>
      <rPr>
        <i val="true"/>
        <sz val="9"/>
        <color rgb="FF595959"/>
        <rFont val="Noto Sans CJK SC"/>
        <family val="2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난이도는 </t>
    </r>
    <r>
      <rPr>
        <i val="true"/>
        <sz val="9"/>
        <color rgb="FF595959"/>
        <rFont val="Noto Sans CJK SC"/>
        <family val="2"/>
        <charset val="1"/>
      </rPr>
      <t xml:space="preserve">B1 → C1/C2 → B1~B2</t>
    </r>
    <r>
      <rPr>
        <i val="true"/>
        <sz val="9"/>
        <color rgb="FF595959"/>
        <rFont val="WenQuanYi Zen Hei"/>
        <family val="2"/>
      </rPr>
      <t xml:space="preserve">로 올라갔다 내려와 마무리가 부드럽고</t>
    </r>
    <r>
      <rPr>
        <i val="true"/>
        <sz val="9"/>
        <color rgb="FF595959"/>
        <rFont val="Noto Sans CJK SC"/>
        <family val="2"/>
        <charset val="1"/>
      </rPr>
      <t xml:space="preserve">, 13</t>
    </r>
    <r>
      <rPr>
        <i val="true"/>
        <sz val="9"/>
        <color rgb="FF595959"/>
        <rFont val="WenQuanYi Zen Hei"/>
        <family val="2"/>
      </rPr>
      <t xml:space="preserve">부에서 </t>
    </r>
    <r>
      <rPr>
        <i val="true"/>
        <sz val="9"/>
        <color rgb="FF595959"/>
        <rFont val="Noto Sans CJK SC"/>
        <family val="2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부 장면을 다시 읽으면 낭독 실력의 성장을 스스로 확인할 수 있다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</si>
  <si>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4"/>
        <color rgb="FF1F3864"/>
        <rFont val="WenQuanYi Zen Hei"/>
        <family val="2"/>
      </rPr>
      <t xml:space="preserve">아크별 구성 계획 </t>
    </r>
    <r>
      <rPr>
        <b val="true"/>
        <sz val="14"/>
        <color rgb="FF1F3864"/>
        <rFont val="Noto Sans CJK SC"/>
        <family val="2"/>
        <charset val="1"/>
      </rPr>
      <t xml:space="preserve">(1~13</t>
    </r>
    <r>
      <rPr>
        <b val="true"/>
        <sz val="14"/>
        <color rgb="FF1F3864"/>
        <rFont val="WenQuanYi Zen Hei"/>
        <family val="2"/>
      </rPr>
      <t xml:space="preserve">부</t>
    </r>
    <r>
      <rPr>
        <b val="true"/>
        <sz val="14"/>
        <color rgb="FF1F3864"/>
        <rFont val="Noto Sans CJK SC"/>
        <family val="2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</si>
  <si>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각 부</t>
    </r>
    <r>
      <rPr>
        <i val="true"/>
        <sz val="9"/>
        <color rgb="FF595959"/>
        <rFont val="Noto Sans CJK SC"/>
        <family val="2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아크</t>
    </r>
    <r>
      <rPr>
        <i val="true"/>
        <sz val="9"/>
        <color rgb="FF595959"/>
        <rFont val="Noto Sans CJK SC"/>
        <family val="2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의 서사 기능</t>
    </r>
    <r>
      <rPr>
        <i val="true"/>
        <sz val="9"/>
        <color rgb="FF595959"/>
        <rFont val="Noto Sans CJK SC"/>
        <family val="2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변화</t>
    </r>
    <r>
      <rPr>
        <i val="true"/>
        <sz val="9"/>
        <color rgb="FF595959"/>
        <rFont val="Noto Sans CJK SC"/>
        <family val="2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비트</t>
    </r>
    <r>
      <rPr>
        <i val="true"/>
        <sz val="9"/>
        <color rgb="FF595959"/>
        <rFont val="Noto Sans CJK SC"/>
        <family val="2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발단→결말</t>
    </r>
    <r>
      <rPr>
        <i val="true"/>
        <sz val="9"/>
        <color rgb="FF595959"/>
        <rFont val="Noto Sans CJK SC"/>
        <family val="2"/>
        <charset val="1"/>
      </rPr>
      <t xml:space="preserve">), </t>
    </r>
    <r>
      <rPr>
        <i val="true"/>
        <sz val="9"/>
        <color rgb="FF595959"/>
        <rFont val="WenQuanYi Zen Hei"/>
        <family val="2"/>
      </rPr>
      <t xml:space="preserve">인물 아크</t>
    </r>
    <r>
      <rPr>
        <i val="true"/>
        <sz val="9"/>
        <color rgb="FF595959"/>
        <rFont val="Noto Sans CJK SC"/>
        <family val="2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복선</t>
    </r>
    <r>
      <rPr>
        <i val="true"/>
        <sz val="9"/>
        <color rgb="FF595959"/>
        <rFont val="Noto Sans CJK SC"/>
        <family val="2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현안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제도</t>
    </r>
    <r>
      <rPr>
        <i val="true"/>
        <sz val="9"/>
        <color rgb="FF595959"/>
        <rFont val="Noto Sans CJK SC"/>
        <family val="2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언어 설계를 한 블록으로 정리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화별 세부는 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화별목차</t>
    </r>
    <r>
      <rPr>
        <i val="true"/>
        <sz val="9"/>
        <color rgb="FF595959"/>
        <rFont val="Noto Sans CJK SC"/>
        <family val="2"/>
        <charset val="1"/>
      </rPr>
      <t xml:space="preserve">_</t>
    </r>
    <r>
      <rPr>
        <i val="true"/>
        <sz val="9"/>
        <color rgb="FF595959"/>
        <rFont val="WenQuanYi Zen Hei"/>
        <family val="2"/>
      </rPr>
      <t xml:space="preserve">전체</t>
    </r>
    <r>
      <rPr>
        <i val="true"/>
        <sz val="9"/>
        <color rgb="FF595959"/>
        <rFont val="Noto Sans CJK SC"/>
        <family val="2"/>
        <charset val="1"/>
      </rPr>
      <t xml:space="preserve">', </t>
    </r>
    <r>
      <rPr>
        <i val="true"/>
        <sz val="9"/>
        <color rgb="FF595959"/>
        <rFont val="WenQuanYi Zen Hei"/>
        <family val="2"/>
      </rPr>
      <t xml:space="preserve">복선 추적은 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복선</t>
    </r>
    <r>
      <rPr>
        <i val="true"/>
        <sz val="9"/>
        <color rgb="FF595959"/>
        <rFont val="Noto Sans CJK SC"/>
        <family val="2"/>
        <charset val="1"/>
      </rPr>
      <t xml:space="preserve">_</t>
    </r>
    <r>
      <rPr>
        <i val="true"/>
        <sz val="9"/>
        <color rgb="FF595959"/>
        <rFont val="WenQuanYi Zen Hei"/>
        <family val="2"/>
      </rPr>
      <t xml:space="preserve">회수</t>
    </r>
    <r>
      <rPr>
        <i val="true"/>
        <sz val="9"/>
        <color rgb="FF595959"/>
        <rFont val="Noto Sans CJK SC"/>
        <family val="2"/>
        <charset val="1"/>
      </rPr>
      <t xml:space="preserve">'.</t>
    </r>
  </si>
  <si>
    <r>
      <rPr>
        <b val="true"/>
        <sz val="10"/>
        <color rgb="FFFFFFFF"/>
        <rFont val="Arial"/>
        <family val="0"/>
        <charset val="1"/>
      </rPr>
      <t xml:space="preserve">Le Cabinet de Belleville — </t>
    </r>
    <r>
      <rPr>
        <b val="true"/>
        <sz val="10"/>
        <color rgb="FFFFFFFF"/>
        <rFont val="WenQuanYi Zen Hei"/>
        <family val="2"/>
      </rPr>
      <t xml:space="preserve">벨빌 사무소   </t>
    </r>
    <r>
      <rPr>
        <b val="true"/>
        <sz val="10"/>
        <color rgb="FFFFFFFF"/>
        <rFont val="Arial"/>
        <family val="0"/>
        <charset val="1"/>
      </rPr>
      <t xml:space="preserve">|   </t>
    </r>
    <r>
      <rPr>
        <b val="true"/>
        <sz val="10"/>
        <color rgb="FFFFFFFF"/>
        <rFont val="WenQuanYi Zen Hei"/>
        <family val="2"/>
      </rPr>
      <t xml:space="preserve">난이도 </t>
    </r>
    <r>
      <rPr>
        <b val="true"/>
        <sz val="10"/>
        <color rgb="FFFFFFFF"/>
        <rFont val="Arial"/>
        <family val="0"/>
        <charset val="1"/>
      </rPr>
      <t xml:space="preserve">B1   |   </t>
    </r>
    <r>
      <rPr>
        <b val="true"/>
        <sz val="10"/>
        <color rgb="FFFFFFFF"/>
        <rFont val="WenQuanYi Zen Hei"/>
        <family val="2"/>
      </rPr>
      <t xml:space="preserve">사무소 개소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개월 후</t>
    </r>
    <r>
      <rPr>
        <b val="true"/>
        <sz val="10"/>
        <color rgb="FFFFFFFF"/>
        <rFont val="Arial"/>
        <family val="0"/>
        <charset val="1"/>
      </rPr>
      <t xml:space="preserve">(6</t>
    </r>
    <r>
      <rPr>
        <b val="true"/>
        <sz val="10"/>
        <color rgb="FFFFFFFF"/>
        <rFont val="WenQuanYi Zen Hei"/>
        <family val="2"/>
      </rPr>
      <t xml:space="preserve">부 </t>
    </r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화로부터 약 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주</t>
    </r>
    <r>
      <rPr>
        <b val="true"/>
        <sz val="10"/>
        <color rgb="FFFFFFFF"/>
        <rFont val="Arial"/>
        <family val="0"/>
        <charset val="1"/>
      </rPr>
      <t xml:space="preserve">). Belleville </t>
    </r>
    <r>
      <rPr>
        <b val="true"/>
        <sz val="10"/>
        <color rgb="FFFFFFFF"/>
        <rFont val="WenQuanYi Zen Hei"/>
        <family val="2"/>
      </rPr>
      <t xml:space="preserve">사무소와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층 </t>
    </r>
    <r>
      <rPr>
        <b val="true"/>
        <sz val="10"/>
        <color rgb="FFFFFFFF"/>
        <rFont val="Arial"/>
        <family val="0"/>
        <charset val="1"/>
      </rPr>
      <t xml:space="preserve">Monique</t>
    </r>
    <r>
      <rPr>
        <b val="true"/>
        <sz val="10"/>
        <color rgb="FFFFFFFF"/>
        <rFont val="WenQuanYi Zen Hei"/>
        <family val="2"/>
      </rPr>
      <t xml:space="preserve">의 비스트로</t>
    </r>
    <r>
      <rPr>
        <b val="true"/>
        <sz val="10"/>
        <color rgb="FFFFFFFF"/>
        <rFont val="Arial"/>
        <family val="0"/>
        <charset val="1"/>
      </rPr>
      <t xml:space="preserve">.</t>
    </r>
  </si>
  <si>
    <t xml:space="preserve">서사 기능</t>
  </si>
  <si>
    <r>
      <rPr>
        <sz val="10"/>
        <rFont val="WenQuanYi Zen Hei"/>
        <family val="2"/>
      </rPr>
      <t xml:space="preserve">독자 진입 장치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이미 굴러가는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그러나 여전히 좌충우돌하는</t>
    </r>
    <r>
      <rPr>
        <sz val="10"/>
        <rFont val="Noto Sans CJK SC"/>
        <family val="2"/>
        <charset val="1"/>
      </rPr>
      <t xml:space="preserve">) </t>
    </r>
    <r>
      <rPr>
        <sz val="10"/>
        <rFont val="WenQuanYi Zen Hei"/>
        <family val="2"/>
      </rPr>
      <t xml:space="preserve">사무소를 보여 주어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이 사람들이 어쩌다 이렇게 됐지</t>
    </r>
    <r>
      <rPr>
        <sz val="10"/>
        <rFont val="Noto Sans CJK SC"/>
        <family val="2"/>
        <charset val="1"/>
      </rPr>
      <t xml:space="preserve">?' </t>
    </r>
    <r>
      <rPr>
        <sz val="10"/>
        <rFont val="WenQuanYi Zen Hei"/>
        <family val="2"/>
      </rPr>
      <t xml:space="preserve">하는 궁금증을 만든다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자기소개 대신 여섯 사건을 통해 인물의 습관과 리듬을 익히게 한다</t>
    </r>
    <r>
      <rPr>
        <sz val="10"/>
        <rFont val="Noto Sans CJK SC"/>
        <family val="2"/>
        <charset val="1"/>
      </rPr>
      <t xml:space="preserve">.</t>
    </r>
  </si>
  <si>
    <t xml:space="preserve">로그라인</t>
  </si>
  <si>
    <r>
      <rPr>
        <sz val="10"/>
        <rFont val="WenQuanYi Zen Hei"/>
        <family val="2"/>
      </rPr>
      <t xml:space="preserve">개소 한 달째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여전히 순서 하나 못 정하고 매번 다투는 네 전문가와 팀이 그래도 이웃들의 사건 여섯 개를 하나씩 해결해 나가지만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마지막 사건의 서류에서 </t>
    </r>
    <r>
      <rPr>
        <sz val="10"/>
        <rFont val="Noto Sans CJK SC"/>
        <family val="2"/>
        <charset val="1"/>
      </rPr>
      <t xml:space="preserve">Nicolas</t>
    </r>
    <r>
      <rPr>
        <sz val="10"/>
        <rFont val="WenQuanYi Zen Hei"/>
        <family val="2"/>
      </rPr>
      <t xml:space="preserve">의 옛 로펌 이름이 튀어나온다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</si>
  <si>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변화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시작 → 끝</t>
    </r>
    <r>
      <rPr>
        <b val="true"/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</si>
  <si>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한 달이나 됐는데 아직도 이 모양</t>
    </r>
    <r>
      <rPr>
        <sz val="10"/>
        <rFont val="Arial"/>
        <family val="0"/>
        <charset val="1"/>
      </rPr>
      <t xml:space="preserve">' → </t>
    </r>
    <r>
      <rPr>
        <sz val="10"/>
        <rFont val="WenQuanYi Zen Hei"/>
        <family val="2"/>
      </rPr>
      <t xml:space="preserve">그래도 매번 어떻게든 해결하는 팀이라는 신뢰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그러나 각자의 과거는 여전히 미해결이고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옛 로펌 이름이 도착한다</t>
    </r>
    <r>
      <rPr>
        <sz val="10"/>
        <rFont val="Arial"/>
        <family val="0"/>
        <charset val="1"/>
      </rPr>
      <t xml:space="preserve">.</t>
    </r>
  </si>
  <si>
    <t xml:space="preserve">핵심 갈등</t>
  </si>
  <si>
    <r>
      <rPr>
        <sz val="10"/>
        <rFont val="WenQuanYi Zen Hei"/>
        <family val="2"/>
      </rPr>
      <t xml:space="preserve">전문가의 말투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이웃의 삶 </t>
    </r>
    <r>
      <rPr>
        <sz val="10"/>
        <rFont val="Noto Sans CJK SC"/>
        <family val="2"/>
        <charset val="1"/>
      </rPr>
      <t xml:space="preserve">/ </t>
    </r>
    <r>
      <rPr>
        <sz val="10"/>
        <rFont val="WenQuanYi Zen Hei"/>
        <family val="2"/>
      </rPr>
      <t xml:space="preserve">여전히 못 정한 방법 </t>
    </r>
    <r>
      <rPr>
        <sz val="10"/>
        <rFont val="Noto Sans CJK SC"/>
        <family val="2"/>
        <charset val="1"/>
      </rPr>
      <t xml:space="preserve">/ </t>
    </r>
    <r>
      <rPr>
        <sz val="10"/>
        <rFont val="WenQuanYi Zen Hei"/>
        <family val="2"/>
      </rPr>
      <t xml:space="preserve">각자 숨기는 과거</t>
    </r>
  </si>
  <si>
    <r>
      <rPr>
        <b val="true"/>
        <sz val="10"/>
        <rFont val="WenQuanYi Zen Hei"/>
        <family val="2"/>
      </rPr>
      <t xml:space="preserve">비트 </t>
    </r>
    <r>
      <rPr>
        <b val="true"/>
        <sz val="10"/>
        <rFont val="Noto Sans CJK SC"/>
        <family val="2"/>
        <charset val="1"/>
      </rPr>
      <t xml:space="preserve">1</t>
    </r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</si>
  <si>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1 </t>
    </r>
    <r>
      <rPr>
        <sz val="10"/>
        <rFont val="WenQuanYi Zen Hei"/>
        <family val="2"/>
      </rPr>
      <t xml:space="preserve">임대료 인상</t>
    </r>
    <r>
      <rPr>
        <sz val="10"/>
        <rFont val="Noto Sans CJK SC"/>
        <family val="2"/>
        <charset val="1"/>
      </rPr>
      <t xml:space="preserve">, 1~2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(Fatima): </t>
    </r>
    <r>
      <rPr>
        <sz val="10"/>
        <rFont val="WenQuanYi Zen Hei"/>
        <family val="2"/>
      </rPr>
      <t xml:space="preserve">도입에서 여전히 자리 못 잡은 한 달 차 팀의 말다툼을 보여 주고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해결에서 </t>
    </r>
    <r>
      <rPr>
        <sz val="10"/>
        <rFont val="Noto Sans CJK SC"/>
        <family val="2"/>
        <charset val="1"/>
      </rPr>
      <t xml:space="preserve">Curie</t>
    </r>
    <r>
      <rPr>
        <sz val="10"/>
        <rFont val="WenQuanYi Zen Hei"/>
        <family val="2"/>
      </rPr>
      <t xml:space="preserve">의 카드 </t>
    </r>
    <r>
      <rPr>
        <sz val="10"/>
        <rFont val="Noto Sans CJK SC"/>
        <family val="2"/>
        <charset val="1"/>
      </rPr>
      <t xml:space="preserve">#1(1989</t>
    </r>
    <r>
      <rPr>
        <sz val="10"/>
        <rFont val="WenQuanYi Zen Hei"/>
        <family val="2"/>
      </rPr>
      <t xml:space="preserve">년 임대차법</t>
    </r>
    <r>
      <rPr>
        <sz val="10"/>
        <rFont val="Noto Sans CJK SC"/>
        <family val="2"/>
        <charset val="1"/>
      </rPr>
      <t xml:space="preserve">·IRL)</t>
    </r>
    <r>
      <rPr>
        <sz val="10"/>
        <rFont val="WenQuanYi Zen Hei"/>
        <family val="2"/>
      </rPr>
      <t xml:space="preserve">로 부당 인상을 막는다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</si>
  <si>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비트 </t>
    </r>
    <r>
      <rPr>
        <b val="true"/>
        <sz val="10"/>
        <rFont val="Noto Sans CJK SC"/>
        <family val="2"/>
        <charset val="1"/>
      </rPr>
      <t xml:space="preserve">2</t>
    </r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</si>
  <si>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2 </t>
    </r>
    <r>
      <rPr>
        <sz val="10"/>
        <rFont val="WenQuanYi Zen Hei"/>
        <family val="2"/>
      </rPr>
      <t xml:space="preserve">퇴거 집행</t>
    </r>
    <r>
      <rPr>
        <sz val="10"/>
        <rFont val="Noto Sans CJK SC"/>
        <family val="2"/>
        <charset val="1"/>
      </rPr>
      <t xml:space="preserve">, 3~4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겨울 퇴거 유예가 끝나는 밤의 급보 → 아침 집행 저지</t>
    </r>
    <r>
      <rPr>
        <sz val="10"/>
        <rFont val="Noto Sans CJK SC"/>
        <family val="2"/>
        <charset val="1"/>
      </rPr>
      <t xml:space="preserve">. Jeanne·Karim </t>
    </r>
    <r>
      <rPr>
        <sz val="10"/>
        <rFont val="WenQuanYi Zen Hei"/>
        <family val="2"/>
      </rPr>
      <t xml:space="preserve">첫 카메오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넷의 역할 분담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서류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건강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숫자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동선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이 처음으로 손발이 맞는다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</si>
  <si>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비트 </t>
    </r>
    <r>
      <rPr>
        <b val="true"/>
        <sz val="10"/>
        <rFont val="Noto Sans CJK SC"/>
        <family val="2"/>
        <charset val="1"/>
      </rPr>
      <t xml:space="preserve">3</t>
    </r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</si>
  <si>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3 </t>
    </r>
    <r>
      <rPr>
        <sz val="10"/>
        <rFont val="WenQuanYi Zen Hei"/>
        <family val="2"/>
      </rPr>
      <t xml:space="preserve">임금 체불</t>
    </r>
    <r>
      <rPr>
        <sz val="10"/>
        <rFont val="Noto Sans CJK SC"/>
        <family val="2"/>
        <charset val="1"/>
      </rPr>
      <t xml:space="preserve">, 5~6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: Léa</t>
    </r>
    <r>
      <rPr>
        <sz val="10"/>
        <rFont val="WenQuanYi Zen Hei"/>
        <family val="2"/>
      </rPr>
      <t xml:space="preserve">의 컨설팅 용어가 청년 노동자를 지치게 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협상 중 </t>
    </r>
    <r>
      <rPr>
        <sz val="10"/>
        <rFont val="Noto Sans CJK SC"/>
        <family val="2"/>
        <charset val="1"/>
      </rPr>
      <t xml:space="preserve">Manon</t>
    </r>
    <r>
      <rPr>
        <sz val="10"/>
        <rFont val="WenQuanYi Zen Hei"/>
        <family val="2"/>
      </rPr>
      <t xml:space="preserve">이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차 폭발한다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폭발 후 쉬운 말로 다시 협상해 해결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</si>
  <si>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비트 </t>
    </r>
    <r>
      <rPr>
        <b val="true"/>
        <sz val="10"/>
        <rFont val="Noto Sans CJK SC"/>
        <family val="2"/>
        <charset val="1"/>
      </rPr>
      <t xml:space="preserve">4</t>
    </r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</si>
  <si>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4 </t>
    </r>
    <r>
      <rPr>
        <sz val="10"/>
        <rFont val="WenQuanYi Zen Hei"/>
        <family val="2"/>
      </rPr>
      <t xml:space="preserve">의료 접근</t>
    </r>
    <r>
      <rPr>
        <sz val="10"/>
        <rFont val="Noto Sans CJK SC"/>
        <family val="2"/>
        <charset val="1"/>
      </rPr>
      <t xml:space="preserve">, 7~8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서류 없는 가족의 아이가 진료를 못 받는다</t>
    </r>
    <r>
      <rPr>
        <sz val="10"/>
        <rFont val="Noto Sans CJK SC"/>
        <family val="2"/>
        <charset val="1"/>
      </rPr>
      <t xml:space="preserve">. Sartre·Hugo </t>
    </r>
    <r>
      <rPr>
        <sz val="10"/>
        <rFont val="WenQuanYi Zen Hei"/>
        <family val="2"/>
      </rPr>
      <t xml:space="preserve">카메오</t>
    </r>
    <r>
      <rPr>
        <sz val="10"/>
        <rFont val="Noto Sans CJK SC"/>
        <family val="2"/>
        <charset val="1"/>
      </rPr>
      <t xml:space="preserve">, Napoléon</t>
    </r>
    <r>
      <rPr>
        <sz val="10"/>
        <rFont val="WenQuanYi Zen Hei"/>
        <family val="2"/>
      </rPr>
      <t xml:space="preserve">의 가짜 무릎 통증이 진짜 아픈 아이 앞에서 조용해지는 대비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</si>
  <si>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비트 </t>
    </r>
    <r>
      <rPr>
        <b val="true"/>
        <sz val="10"/>
        <rFont val="Noto Sans CJK SC"/>
        <family val="2"/>
        <charset val="1"/>
      </rPr>
      <t xml:space="preserve">5</t>
    </r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</si>
  <si>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5 </t>
    </r>
    <r>
      <rPr>
        <sz val="10"/>
        <rFont val="WenQuanYi Zen Hei"/>
        <family val="2"/>
      </rPr>
      <t xml:space="preserve">금융 사기</t>
    </r>
    <r>
      <rPr>
        <sz val="10"/>
        <rFont val="Noto Sans CJK SC"/>
        <family val="2"/>
        <charset val="1"/>
      </rPr>
      <t xml:space="preserve">, 9~10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저축을 잃은 이웃을 두고 </t>
    </r>
    <r>
      <rPr>
        <sz val="10"/>
        <rFont val="Noto Sans CJK SC"/>
        <family val="2"/>
        <charset val="1"/>
      </rPr>
      <t xml:space="preserve">Julien</t>
    </r>
    <r>
      <rPr>
        <sz val="10"/>
        <rFont val="WenQuanYi Zen Hei"/>
        <family val="2"/>
      </rPr>
      <t xml:space="preserve">이 장부를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낯선 </t>
    </r>
    <r>
      <rPr>
        <sz val="10"/>
        <rFont val="Noto Sans CJK SC"/>
        <family val="2"/>
        <charset val="1"/>
      </rPr>
      <t xml:space="preserve">Philippe</t>
    </r>
    <r>
      <rPr>
        <sz val="10"/>
        <rFont val="WenQuanYi Zen Hei"/>
        <family val="2"/>
      </rPr>
      <t xml:space="preserve">가 계좌 흐름을 추적한다</t>
    </r>
    <r>
      <rPr>
        <sz val="10"/>
        <rFont val="Noto Sans CJK SC"/>
        <family val="2"/>
        <charset val="1"/>
      </rPr>
      <t xml:space="preserve">. Voltaire </t>
    </r>
    <r>
      <rPr>
        <sz val="10"/>
        <rFont val="WenQuanYi Zen Hei"/>
        <family val="2"/>
      </rPr>
      <t xml:space="preserve">카메오</t>
    </r>
    <r>
      <rPr>
        <sz val="10"/>
        <rFont val="Noto Sans CJK SC"/>
        <family val="2"/>
        <charset val="1"/>
      </rPr>
      <t xml:space="preserve">. Philippe</t>
    </r>
    <r>
      <rPr>
        <sz val="10"/>
        <rFont val="WenQuanYi Zen Hei"/>
        <family val="2"/>
      </rPr>
      <t xml:space="preserve">는 설명 없이 사라지고 </t>
    </r>
    <r>
      <rPr>
        <sz val="10"/>
        <rFont val="Noto Sans CJK SC"/>
        <family val="2"/>
        <charset val="1"/>
      </rPr>
      <t xml:space="preserve">Julien</t>
    </r>
    <r>
      <rPr>
        <sz val="10"/>
        <rFont val="WenQuanYi Zen Hei"/>
        <family val="2"/>
      </rPr>
      <t xml:space="preserve">은 은행 이름에 말없이 굳는다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</si>
  <si>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비트 </t>
    </r>
    <r>
      <rPr>
        <b val="true"/>
        <sz val="10"/>
        <rFont val="Noto Sans CJK SC"/>
        <family val="2"/>
        <charset val="1"/>
      </rPr>
      <t xml:space="preserve">6</t>
    </r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</si>
  <si>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6 </t>
    </r>
    <r>
      <rPr>
        <sz val="10"/>
        <rFont val="WenQuanYi Zen Hei"/>
        <family val="2"/>
      </rPr>
      <t xml:space="preserve">오래된 서류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훅</t>
    </r>
    <r>
      <rPr>
        <sz val="10"/>
        <rFont val="Noto Sans CJK SC"/>
        <family val="2"/>
        <charset val="1"/>
      </rPr>
      <t xml:space="preserve">, 11~12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수십 년 전 퇴거 서류의 절차 하자를 바로잡다가 서명란에서 </t>
    </r>
    <r>
      <rPr>
        <sz val="10"/>
        <rFont val="Noto Sans CJK SC"/>
        <family val="2"/>
        <charset val="1"/>
      </rPr>
      <t xml:space="preserve">Nicolas</t>
    </r>
    <r>
      <rPr>
        <sz val="10"/>
        <rFont val="WenQuanYi Zen Hei"/>
        <family val="2"/>
      </rPr>
      <t xml:space="preserve">의 옛 로펌 이름을 발견한다</t>
    </r>
    <r>
      <rPr>
        <sz val="10"/>
        <rFont val="Noto Sans CJK SC"/>
        <family val="2"/>
        <charset val="1"/>
      </rPr>
      <t xml:space="preserve">. Nicolas</t>
    </r>
    <r>
      <rPr>
        <sz val="10"/>
        <rFont val="WenQuanYi Zen Hei"/>
        <family val="2"/>
      </rPr>
      <t xml:space="preserve">가 얼어붙고 금요일 이야기</t>
    </r>
    <r>
      <rPr>
        <sz val="10"/>
        <rFont val="Noto Sans CJK SC"/>
        <family val="2"/>
        <charset val="1"/>
      </rPr>
      <t xml:space="preserve">(2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가 예고된다</t>
    </r>
    <r>
      <rPr>
        <sz val="10"/>
        <rFont val="Noto Sans CJK SC"/>
        <family val="2"/>
        <charset val="1"/>
      </rPr>
      <t xml:space="preserve">.</t>
    </r>
  </si>
  <si>
    <t xml:space="preserve">인물 아크</t>
  </si>
  <si>
    <r>
      <rPr>
        <sz val="10"/>
        <rFont val="Arial"/>
        <family val="0"/>
        <charset val="1"/>
      </rPr>
      <t xml:space="preserve">Manon=</t>
    </r>
    <r>
      <rPr>
        <sz val="10"/>
        <rFont val="WenQuanYi Zen Hei"/>
        <family val="2"/>
      </rPr>
      <t xml:space="preserve">독자의 대리인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질문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한 달이 지나도 </t>
    </r>
    <r>
      <rPr>
        <sz val="10"/>
        <rFont val="Arial"/>
        <family val="0"/>
        <charset val="1"/>
      </rPr>
      <t xml:space="preserve">Nicolas</t>
    </r>
    <r>
      <rPr>
        <sz val="10"/>
        <rFont val="WenQuanYi Zen Hei"/>
        <family val="2"/>
      </rPr>
      <t xml:space="preserve">에게 </t>
    </r>
    <r>
      <rPr>
        <sz val="10"/>
        <rFont val="Arial"/>
        <family val="0"/>
        <charset val="1"/>
      </rPr>
      <t xml:space="preserve">vous </t>
    </r>
    <r>
      <rPr>
        <sz val="10"/>
        <rFont val="WenQuanYi Zen Hei"/>
        <family val="2"/>
      </rPr>
      <t xml:space="preserve">유지</t>
    </r>
    <r>
      <rPr>
        <sz val="10"/>
        <rFont val="Arial"/>
        <family val="0"/>
        <charset val="1"/>
      </rPr>
      <t xml:space="preserve">. Napoléon=</t>
    </r>
    <r>
      <rPr>
        <sz val="10"/>
        <rFont val="WenQuanYi Zen Hei"/>
        <family val="2"/>
      </rPr>
      <t xml:space="preserve">심술과 복선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매년 하는 소리라는 게 드러남</t>
    </r>
    <r>
      <rPr>
        <sz val="10"/>
        <rFont val="Arial"/>
        <family val="0"/>
        <charset val="1"/>
      </rPr>
      <t xml:space="preserve">). Monique=</t>
    </r>
    <r>
      <rPr>
        <sz val="10"/>
        <rFont val="WenQuanYi Zen Hei"/>
        <family val="2"/>
      </rPr>
      <t xml:space="preserve">정서적 중심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카메오는 사건별로 분산</t>
    </r>
    <r>
      <rPr>
        <sz val="10"/>
        <rFont val="Arial"/>
        <family val="0"/>
        <charset val="1"/>
      </rPr>
      <t xml:space="preserve">: Curie(1·2·6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), Jeanne·Karim(3·4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), Sartre·Hugo(7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), Philippe·Voltaire(9·10·11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폭발 화</t>
    </r>
    <r>
      <rPr>
        <sz val="10"/>
        <rFont val="Arial"/>
        <family val="0"/>
        <charset val="1"/>
      </rPr>
      <t xml:space="preserve">(6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에는 </t>
    </r>
    <r>
      <rPr>
        <sz val="10"/>
        <rFont val="Arial"/>
        <family val="0"/>
        <charset val="1"/>
      </rPr>
      <t xml:space="preserve">Jeanne·Monique·Curie</t>
    </r>
    <r>
      <rPr>
        <sz val="10"/>
        <rFont val="WenQuanYi Zen Hei"/>
        <family val="2"/>
      </rPr>
      <t xml:space="preserve">의 고정 반응만 남기고 </t>
    </r>
    <r>
      <rPr>
        <sz val="10"/>
        <rFont val="Arial"/>
        <family val="0"/>
        <charset val="1"/>
      </rPr>
      <t xml:space="preserve">Karim</t>
    </r>
    <r>
      <rPr>
        <sz val="10"/>
        <rFont val="WenQuanYi Zen Hei"/>
        <family val="2"/>
      </rPr>
      <t xml:space="preserve">의 욕은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차 폭발로 이관해 과밀을 해소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</si>
  <si>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복선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회수</t>
    </r>
  </si>
  <si>
    <r>
      <rPr>
        <sz val="10"/>
        <rFont val="Arial"/>
        <family val="0"/>
        <charset val="1"/>
      </rPr>
      <t xml:space="preserve">Napoléon</t>
    </r>
    <r>
      <rPr>
        <sz val="10"/>
        <rFont val="WenQuanYi Zen Hei"/>
        <family val="2"/>
      </rPr>
      <t xml:space="preserve">의 마지막 겨울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이각모</t>
    </r>
    <r>
      <rPr>
        <sz val="10"/>
        <rFont val="Arial"/>
        <family val="0"/>
        <charset val="1"/>
      </rPr>
      <t xml:space="preserve">(1</t>
    </r>
    <r>
      <rPr>
        <sz val="10"/>
        <rFont val="WenQuanYi Zen Hei"/>
        <family val="2"/>
      </rPr>
      <t xml:space="preserve">화 →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 / Curie </t>
    </r>
    <r>
      <rPr>
        <sz val="10"/>
        <rFont val="WenQuanYi Zen Hei"/>
        <family val="2"/>
      </rPr>
      <t xml:space="preserve">카드 </t>
    </r>
    <r>
      <rPr>
        <sz val="10"/>
        <rFont val="Arial"/>
        <family val="0"/>
        <charset val="1"/>
      </rPr>
      <t xml:space="preserve">#1(2</t>
    </r>
    <r>
      <rPr>
        <sz val="10"/>
        <rFont val="WenQuanYi Zen Hei"/>
        <family val="2"/>
      </rPr>
      <t xml:space="preserve">화 → 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 / Manon 1</t>
    </r>
    <r>
      <rPr>
        <sz val="10"/>
        <rFont val="WenQuanYi Zen Hei"/>
        <family val="2"/>
      </rPr>
      <t xml:space="preserve">차 폭발</t>
    </r>
    <r>
      <rPr>
        <sz val="10"/>
        <rFont val="Arial"/>
        <family val="0"/>
        <charset val="1"/>
      </rPr>
      <t xml:space="preserve">(6</t>
    </r>
    <r>
      <rPr>
        <sz val="10"/>
        <rFont val="WenQuanYi Zen Hei"/>
        <family val="2"/>
      </rPr>
      <t xml:space="preserve">화 →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 / Jeanne «Rien à signaler»(4</t>
    </r>
    <r>
      <rPr>
        <sz val="10"/>
        <rFont val="WenQuanYi Zen Hei"/>
        <family val="2"/>
      </rPr>
      <t xml:space="preserve">화 →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 / Philippe </t>
    </r>
    <r>
      <rPr>
        <sz val="10"/>
        <rFont val="WenQuanYi Zen Hei"/>
        <family val="2"/>
      </rPr>
      <t xml:space="preserve">첫 등장</t>
    </r>
    <r>
      <rPr>
        <sz val="10"/>
        <rFont val="Arial"/>
        <family val="0"/>
        <charset val="1"/>
      </rPr>
      <t xml:space="preserve">(9</t>
    </r>
    <r>
      <rPr>
        <sz val="10"/>
        <rFont val="WenQuanYi Zen Hei"/>
        <family val="2"/>
      </rPr>
      <t xml:space="preserve">화 →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 / Napoléon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«Pas mal»(7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Hugo</t>
    </r>
    <r>
      <rPr>
        <sz val="10"/>
        <rFont val="WenQuanYi Zen Hei"/>
        <family val="2"/>
      </rPr>
      <t xml:space="preserve">에게 →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Manon</t>
    </r>
    <r>
      <rPr>
        <sz val="10"/>
        <rFont val="WenQuanYi Zen Hei"/>
        <family val="2"/>
      </rPr>
      <t xml:space="preserve">에게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옛 로펌 이름</t>
    </r>
    <r>
      <rPr>
        <sz val="10"/>
        <rFont val="Arial"/>
        <family val="0"/>
        <charset val="1"/>
      </rPr>
      <t xml:space="preserve">(12</t>
    </r>
    <r>
      <rPr>
        <sz val="10"/>
        <rFont val="WenQuanYi Zen Hei"/>
        <family val="2"/>
      </rPr>
      <t xml:space="preserve">화 →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부 전체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</si>
  <si>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현안 </t>
    </r>
    <r>
      <rPr>
        <b val="true"/>
        <sz val="10"/>
        <rFont val="Noto Sans CJK SC"/>
        <family val="2"/>
        <charset val="1"/>
      </rPr>
      <t xml:space="preserve">(ID)</t>
    </r>
  </si>
  <si>
    <t xml:space="preserve">E1●● S1●● S2● E3●</t>
  </si>
  <si>
    <r>
      <rPr>
        <b val="true"/>
        <sz val="10"/>
        <rFont val="WenQuanYi Zen Hei"/>
        <family val="2"/>
      </rPr>
      <t xml:space="preserve">제도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전문 영역</t>
    </r>
  </si>
  <si>
    <r>
      <rPr>
        <sz val="10"/>
        <rFont val="WenQuanYi Zen Hei"/>
        <family val="2"/>
      </rPr>
      <t xml:space="preserve">임대차</t>
    </r>
    <r>
      <rPr>
        <sz val="10"/>
        <rFont val="Noto Sans CJK SC"/>
        <family val="2"/>
        <charset val="1"/>
      </rPr>
      <t xml:space="preserve">(1989</t>
    </r>
    <r>
      <rPr>
        <sz val="10"/>
        <rFont val="WenQuanYi Zen Hei"/>
        <family val="2"/>
      </rPr>
      <t xml:space="preserve">년 법</t>
    </r>
    <r>
      <rPr>
        <sz val="10"/>
        <rFont val="Noto Sans CJK SC"/>
        <family val="2"/>
        <charset val="1"/>
      </rPr>
      <t xml:space="preserve">·IRL), </t>
    </r>
    <r>
      <rPr>
        <sz val="10"/>
        <rFont val="WenQuanYi Zen Hei"/>
        <family val="2"/>
      </rPr>
      <t xml:space="preserve">겨울 퇴거 유예와 경찰 지원 거부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기간제 노동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임금 체불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서류 없는 가족의 의료 접근</t>
    </r>
    <r>
      <rPr>
        <sz val="10"/>
        <rFont val="Noto Sans CJK SC"/>
        <family val="2"/>
        <charset val="1"/>
      </rPr>
      <t xml:space="preserve">(AME), </t>
    </r>
    <r>
      <rPr>
        <sz val="10"/>
        <rFont val="WenQuanYi Zen Hei"/>
        <family val="2"/>
      </rPr>
      <t xml:space="preserve">금융 사기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계좌 추적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오래된 절차 정정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공개 출처 찾기</t>
    </r>
    <r>
      <rPr>
        <sz val="10"/>
        <rFont val="Noto Sans CJK SC"/>
        <family val="2"/>
        <charset val="1"/>
      </rPr>
      <t xml:space="preserve">(Légifrance·</t>
    </r>
    <r>
      <rPr>
        <sz val="10"/>
        <rFont val="WenQuanYi Zen Hei"/>
        <family val="2"/>
      </rPr>
      <t xml:space="preserve">아카데미 사전</t>
    </r>
    <r>
      <rPr>
        <sz val="10"/>
        <rFont val="Noto Sans CJK SC"/>
        <family val="2"/>
        <charset val="1"/>
      </rPr>
      <t xml:space="preserve">)</t>
    </r>
  </si>
  <si>
    <t xml:space="preserve">언어 설계</t>
  </si>
  <si>
    <r>
      <rPr>
        <sz val="10"/>
        <rFont val="Arial"/>
        <family val="0"/>
        <charset val="1"/>
      </rPr>
      <t xml:space="preserve">B1. </t>
    </r>
    <r>
      <rPr>
        <sz val="10"/>
        <rFont val="WenQuanYi Zen Hei"/>
        <family val="2"/>
      </rPr>
      <t xml:space="preserve">한 줄 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단어 이내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현재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명령형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복합과거</t>
    </r>
    <r>
      <rPr>
        <sz val="10"/>
        <rFont val="Arial"/>
        <family val="0"/>
        <charset val="1"/>
      </rPr>
      <t xml:space="preserve">(passé composé). tu·vous </t>
    </r>
    <r>
      <rPr>
        <sz val="10"/>
        <rFont val="WenQuanYi Zen Hei"/>
        <family val="2"/>
      </rPr>
      <t xml:space="preserve">대비 중심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낭독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빠른 티키타카로 입 풀기</t>
    </r>
    <r>
      <rPr>
        <sz val="10"/>
        <rFont val="Arial"/>
        <family val="0"/>
        <charset val="1"/>
      </rPr>
      <t xml:space="preserve">. Nicolas·Napoléon</t>
    </r>
    <r>
      <rPr>
        <sz val="10"/>
        <rFont val="WenQuanYi Zen Hei"/>
        <family val="2"/>
      </rPr>
      <t xml:space="preserve">의 격식체는 한두 줄 맛보기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매 사건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도입→해결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리듬을 반복해 구조를 익히게 한다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</si>
  <si>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대화량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화당 </t>
    </r>
    <r>
      <rPr>
        <b val="true"/>
        <sz val="10"/>
        <rFont val="Noto Sans CJK SC"/>
        <family val="2"/>
        <charset val="1"/>
      </rPr>
      <t xml:space="preserve">120</t>
    </r>
    <r>
      <rPr>
        <b val="true"/>
        <sz val="10"/>
        <rFont val="WenQuanYi Zen Hei"/>
        <family val="2"/>
      </rPr>
      <t xml:space="preserve">턴</t>
    </r>
    <r>
      <rPr>
        <b val="true"/>
        <sz val="10"/>
        <rFont val="Noto Sans CJK SC"/>
        <family val="2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</si>
  <si>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Manon </t>
    </r>
    <r>
      <rPr>
        <b val="true"/>
        <sz val="10"/>
        <rFont val="WenQuanYi Zen Hei"/>
        <family val="2"/>
      </rPr>
      <t xml:space="preserve">질문</t>
    </r>
    <r>
      <rPr>
        <b val="true"/>
        <sz val="10"/>
        <rFont val="Arial"/>
        <family val="0"/>
        <charset val="1"/>
      </rPr>
      <t xml:space="preserve">·Curie </t>
    </r>
    <r>
      <rPr>
        <b val="true"/>
        <sz val="10"/>
        <rFont val="WenQuanYi Zen Hei"/>
        <family val="2"/>
      </rPr>
      <t xml:space="preserve">카드</t>
    </r>
  </si>
  <si>
    <r>
      <rPr>
        <sz val="10"/>
        <rFont val="Arial"/>
        <family val="0"/>
        <charset val="1"/>
      </rPr>
      <t xml:space="preserve">Manon: </t>
    </r>
    <r>
      <rPr>
        <sz val="10"/>
        <rFont val="WenQuanYi Zen Hei"/>
        <family val="2"/>
      </rPr>
      <t xml:space="preserve">임대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노동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의료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금융 기초 용어</t>
    </r>
    <r>
      <rPr>
        <sz val="10"/>
        <rFont val="Arial"/>
        <family val="0"/>
        <charset val="1"/>
      </rPr>
      <t xml:space="preserve">(dépôt de garantie, CDD, domiciliation, compte bancaire).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: 1989</t>
    </r>
    <r>
      <rPr>
        <sz val="10"/>
        <rFont val="WenQuanYi Zen Hei"/>
        <family val="2"/>
      </rPr>
      <t xml:space="preserve">년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일 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사전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아카데미 프랑세즈 사전</t>
    </r>
    <r>
      <rPr>
        <sz val="10"/>
        <rFont val="Arial"/>
        <family val="0"/>
        <charset val="1"/>
      </rPr>
      <t xml:space="preserve">·CNRTL).</t>
    </r>
  </si>
  <si>
    <t xml:space="preserve">다음 부 연결</t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</si>
  <si>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금요일마다 한 명씩 과거를 이야기하는 규칙 — 첫 번째는 </t>
    </r>
    <r>
      <rPr>
        <sz val="10"/>
        <rFont val="Arial"/>
        <family val="0"/>
        <charset val="1"/>
      </rPr>
      <t xml:space="preserve">Nicolas.</t>
    </r>
  </si>
  <si>
    <r>
      <rPr>
        <b val="true"/>
        <sz val="10"/>
        <color rgb="FFFFFFFF"/>
        <rFont val="Arial"/>
        <family val="0"/>
        <charset val="1"/>
      </rPr>
      <t xml:space="preserve">L'Avocat — </t>
    </r>
    <r>
      <rPr>
        <b val="true"/>
        <sz val="10"/>
        <color rgb="FFFFFFFF"/>
        <rFont val="WenQuanYi Zen Hei"/>
        <family val="2"/>
      </rPr>
      <t xml:space="preserve">변호사   </t>
    </r>
    <r>
      <rPr>
        <b val="true"/>
        <sz val="10"/>
        <color rgb="FFFFFFFF"/>
        <rFont val="Arial"/>
        <family val="0"/>
        <charset val="1"/>
      </rPr>
      <t xml:space="preserve">|   </t>
    </r>
    <r>
      <rPr>
        <b val="true"/>
        <sz val="10"/>
        <color rgb="FFFFFFFF"/>
        <rFont val="WenQuanYi Zen Hei"/>
        <family val="2"/>
      </rPr>
      <t xml:space="preserve">난이도 </t>
    </r>
    <r>
      <rPr>
        <b val="true"/>
        <sz val="10"/>
        <color rgb="FFFFFFFF"/>
        <rFont val="Arial"/>
        <family val="0"/>
        <charset val="1"/>
      </rPr>
      <t xml:space="preserve">B2~C1   |   </t>
    </r>
    <r>
      <rPr>
        <b val="true"/>
        <sz val="10"/>
        <color rgb="FFFFFFFF"/>
        <rFont val="WenQuanYi Zen Hei"/>
        <family val="2"/>
      </rPr>
      <t xml:space="preserve">프레임</t>
    </r>
    <r>
      <rPr>
        <b val="true"/>
        <sz val="10"/>
        <color rgb="FFFFFFFF"/>
        <rFont val="Arial"/>
        <family val="0"/>
        <charset val="1"/>
      </rPr>
      <t xml:space="preserve">: 1</t>
    </r>
    <r>
      <rPr>
        <b val="true"/>
        <sz val="10"/>
        <color rgb="FFFFFFFF"/>
        <rFont val="WenQuanYi Zen Hei"/>
        <family val="2"/>
      </rPr>
      <t xml:space="preserve">부와 같은 첫 겨울의 금요일 밤</t>
    </r>
    <r>
      <rPr>
        <b val="true"/>
        <sz val="10"/>
        <color rgb="FFFFFFFF"/>
        <rFont val="Arial"/>
        <family val="0"/>
        <charset val="1"/>
      </rPr>
      <t xml:space="preserve">. </t>
    </r>
    <r>
      <rPr>
        <b val="true"/>
        <sz val="10"/>
        <color rgb="FFFFFFFF"/>
        <rFont val="WenQuanYi Zen Hei"/>
        <family val="2"/>
      </rPr>
      <t xml:space="preserve">과거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WenQuanYi Zen Hei"/>
        <family val="2"/>
      </rPr>
      <t xml:space="preserve">약 </t>
    </r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년 전</t>
    </r>
    <r>
      <rPr>
        <b val="true"/>
        <sz val="10"/>
        <color rgb="FFFFFFFF"/>
        <rFont val="Arial"/>
        <family val="0"/>
        <charset val="1"/>
      </rPr>
      <t xml:space="preserve">, 8</t>
    </r>
    <r>
      <rPr>
        <b val="true"/>
        <sz val="10"/>
        <color rgb="FFFFFFFF"/>
        <rFont val="WenQuanYi Zen Hei"/>
        <family val="2"/>
      </rPr>
      <t xml:space="preserve">구 </t>
    </r>
    <r>
      <rPr>
        <b val="true"/>
        <sz val="10"/>
        <color rgb="FFFFFFFF"/>
        <rFont val="Arial"/>
        <family val="0"/>
        <charset val="1"/>
      </rPr>
      <t xml:space="preserve">avenue George-V</t>
    </r>
    <r>
      <rPr>
        <b val="true"/>
        <sz val="10"/>
        <color rgb="FFFFFFFF"/>
        <rFont val="WenQuanYi Zen Hei"/>
        <family val="2"/>
      </rPr>
      <t xml:space="preserve">의 대형 로펌</t>
    </r>
    <r>
      <rPr>
        <b val="true"/>
        <sz val="10"/>
        <color rgb="FFFFFFFF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</si>
  <si>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첫 과거 회상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공동 악역 </t>
    </r>
    <r>
      <rPr>
        <sz val="10"/>
        <rFont val="Noto Sans CJK SC"/>
        <family val="2"/>
        <charset val="1"/>
      </rPr>
      <t xml:space="preserve">Groupe Méridien</t>
    </r>
    <r>
      <rPr>
        <sz val="10"/>
        <rFont val="WenQuanYi Zen Hei"/>
        <family val="2"/>
      </rPr>
      <t xml:space="preserve">을 도입하고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법을 잘 쓰는 것과 옳은 것은 다르다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는 이 이야기의 첫 질문을 던진다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프레임</t>
    </r>
    <r>
      <rPr>
        <sz val="10"/>
        <rFont val="Noto Sans CJK SC"/>
        <family val="2"/>
        <charset val="1"/>
      </rPr>
      <t xml:space="preserve">(Monique</t>
    </r>
    <r>
      <rPr>
        <sz val="10"/>
        <rFont val="WenQuanYi Zen Hei"/>
        <family val="2"/>
      </rPr>
      <t xml:space="preserve">의 식탁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과 과거를 오가는 구조 실험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</si>
  <si>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승소율 </t>
    </r>
    <r>
      <rPr>
        <sz val="10"/>
        <rFont val="Noto Sans CJK SC"/>
        <family val="2"/>
        <charset val="1"/>
      </rPr>
      <t xml:space="preserve">100%</t>
    </r>
    <r>
      <rPr>
        <sz val="10"/>
        <rFont val="WenQuanYi Zen Hei"/>
        <family val="2"/>
      </rPr>
      <t xml:space="preserve">의 파트너 후보가 대형 고객의 주택 포트폴리오를 비우는 조항을 설계해 재판에서 이기고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그 승리가 한 노인의 죽음이 되었음을 알게 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</si>
  <si>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자랑스러운 승자 → 자기 승리에 사직서를 낸 사람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</si>
  <si>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잘 쓰는 법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옳은 것 </t>
    </r>
    <r>
      <rPr>
        <sz val="10"/>
        <rFont val="Noto Sans CJK SC"/>
        <family val="2"/>
        <charset val="1"/>
      </rPr>
      <t xml:space="preserve">/ </t>
    </r>
    <r>
      <rPr>
        <sz val="10"/>
        <rFont val="WenQuanYi Zen Hei"/>
        <family val="2"/>
      </rPr>
      <t xml:space="preserve">파트너 승진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양심</t>
    </r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</si>
  <si>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(1~3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금요일 프레임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조르주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세 거리의 월요일</t>
    </r>
    <r>
      <rPr>
        <sz val="10"/>
        <rFont val="Noto Sans CJK SC"/>
        <family val="2"/>
        <charset val="1"/>
      </rPr>
      <t xml:space="preserve">, VIP </t>
    </r>
    <r>
      <rPr>
        <sz val="10"/>
        <rFont val="WenQuanYi Zen Hei"/>
        <family val="2"/>
      </rPr>
      <t xml:space="preserve">고객 </t>
    </r>
    <r>
      <rPr>
        <sz val="10"/>
        <rFont val="Noto Sans CJK SC"/>
        <family val="2"/>
        <charset val="1"/>
      </rPr>
      <t xml:space="preserve">Verdier.</t>
    </r>
  </si>
  <si>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(4~5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실사에서 </t>
    </r>
    <r>
      <rPr>
        <sz val="10"/>
        <rFont val="Noto Sans CJK SC"/>
        <family val="2"/>
        <charset val="1"/>
      </rPr>
      <t xml:space="preserve">Belleville </t>
    </r>
    <r>
      <rPr>
        <sz val="10"/>
        <rFont val="WenQuanYi Zen Hei"/>
        <family val="2"/>
      </rPr>
      <t xml:space="preserve">건물 발견 </t>
    </r>
    <r>
      <rPr>
        <sz val="10"/>
        <rFont val="Noto Sans CJK SC"/>
        <family val="2"/>
        <charset val="1"/>
      </rPr>
      <t xml:space="preserve">/ </t>
    </r>
    <r>
      <rPr>
        <sz val="10"/>
        <rFont val="WenQuanYi Zen Hei"/>
        <family val="2"/>
      </rPr>
      <t xml:space="preserve">프레임에서 그곳이 </t>
    </r>
    <r>
      <rPr>
        <sz val="10"/>
        <rFont val="Noto Sans CJK SC"/>
        <family val="2"/>
        <charset val="1"/>
      </rPr>
      <t xml:space="preserve">Monique</t>
    </r>
    <r>
      <rPr>
        <sz val="10"/>
        <rFont val="WenQuanYi Zen Hei"/>
        <family val="2"/>
      </rPr>
      <t xml:space="preserve">의 거리였음이 드러남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</si>
  <si>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미드포인트</t>
    </r>
    <r>
      <rPr>
        <sz val="10"/>
        <rFont val="Noto Sans CJK SC"/>
        <family val="2"/>
        <charset val="1"/>
      </rPr>
      <t xml:space="preserve">(6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조항 설계 — </t>
    </r>
    <r>
      <rPr>
        <sz val="10"/>
        <rFont val="Noto Sans CJK SC"/>
        <family val="2"/>
        <charset val="1"/>
      </rPr>
      <t xml:space="preserve">Nicolas</t>
    </r>
    <r>
      <rPr>
        <sz val="10"/>
        <rFont val="WenQuanYi Zen Hei"/>
        <family val="2"/>
      </rPr>
      <t xml:space="preserve">가 스스로 함정을 만든다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</si>
  <si>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(7~9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세입자 총회</t>
    </r>
    <r>
      <rPr>
        <sz val="10"/>
        <rFont val="Noto Sans CJK SC"/>
        <family val="2"/>
        <charset val="1"/>
      </rPr>
      <t xml:space="preserve">(Madeleine), </t>
    </r>
    <r>
      <rPr>
        <sz val="10"/>
        <rFont val="WenQuanYi Zen Hei"/>
        <family val="2"/>
      </rPr>
      <t xml:space="preserve">재판 승소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프레임에서 </t>
    </r>
    <r>
      <rPr>
        <sz val="10"/>
        <rFont val="Noto Sans CJK SC"/>
        <family val="2"/>
        <charset val="1"/>
      </rPr>
      <t xml:space="preserve">Nicolas</t>
    </r>
    <r>
      <rPr>
        <sz val="10"/>
        <rFont val="WenQuanYi Zen Hei"/>
        <family val="2"/>
      </rPr>
      <t xml:space="preserve">의 말이 막힘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</si>
  <si>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절정</t>
    </r>
    <r>
      <rPr>
        <sz val="10"/>
        <rFont val="Noto Sans CJK SC"/>
        <family val="2"/>
        <charset val="1"/>
      </rPr>
      <t xml:space="preserve">(10~11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16</t>
    </r>
    <r>
      <rPr>
        <sz val="10"/>
        <rFont val="WenQuanYi Zen Hei"/>
        <family val="2"/>
      </rPr>
      <t xml:space="preserve">구 축하 만찬 중 부고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손녀 </t>
    </r>
    <r>
      <rPr>
        <sz val="10"/>
        <rFont val="Noto Sans CJK SC"/>
        <family val="2"/>
        <charset val="1"/>
      </rPr>
      <t xml:space="preserve">Chloé</t>
    </r>
    <r>
      <rPr>
        <sz val="10"/>
        <rFont val="WenQuanYi Zen Hei"/>
        <family val="2"/>
      </rPr>
      <t xml:space="preserve">의 방문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</si>
  <si>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훅</t>
    </r>
    <r>
      <rPr>
        <sz val="10"/>
        <rFont val="Noto Sans CJK SC"/>
        <family val="2"/>
        <charset val="1"/>
      </rPr>
      <t xml:space="preserve">(12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사직과 응급실 — </t>
    </r>
    <r>
      <rPr>
        <sz val="10"/>
        <rFont val="Noto Sans CJK SC"/>
        <family val="2"/>
        <charset val="1"/>
      </rPr>
      <t xml:space="preserve">Camille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Nicolas</t>
    </r>
    <r>
      <rPr>
        <sz val="10"/>
        <rFont val="WenQuanYi Zen Hei"/>
        <family val="2"/>
      </rPr>
      <t xml:space="preserve">를 진료한다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</si>
  <si>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Nicolas: </t>
    </r>
    <r>
      <rPr>
        <sz val="10"/>
        <rFont val="WenQuanYi Zen Hei"/>
        <family val="2"/>
      </rPr>
      <t xml:space="preserve">완결된 문장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조항 인용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초반의 차가움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교차 카메오</t>
    </r>
    <r>
      <rPr>
        <sz val="10"/>
        <rFont val="Arial"/>
        <family val="0"/>
        <charset val="1"/>
      </rPr>
      <t xml:space="preserve">: Léa(</t>
    </r>
    <r>
      <rPr>
        <sz val="10"/>
        <rFont val="WenQuanYi Zen Hei"/>
        <family val="2"/>
      </rPr>
      <t xml:space="preserve">고객 컨설턴트</t>
    </r>
    <r>
      <rPr>
        <sz val="10"/>
        <rFont val="Arial"/>
        <family val="0"/>
        <charset val="1"/>
      </rPr>
      <t xml:space="preserve">), Julien(</t>
    </r>
    <r>
      <rPr>
        <sz val="10"/>
        <rFont val="WenQuanYi Zen Hei"/>
        <family val="2"/>
      </rPr>
      <t xml:space="preserve">감사인</t>
    </r>
    <r>
      <rPr>
        <sz val="10"/>
        <rFont val="Arial"/>
        <family val="0"/>
        <charset val="1"/>
      </rPr>
      <t xml:space="preserve">), Camille(</t>
    </r>
    <r>
      <rPr>
        <sz val="10"/>
        <rFont val="WenQuanYi Zen Hei"/>
        <family val="2"/>
      </rPr>
      <t xml:space="preserve">응급의</t>
    </r>
    <r>
      <rPr>
        <sz val="10"/>
        <rFont val="Arial"/>
        <family val="0"/>
        <charset val="1"/>
      </rPr>
      <t xml:space="preserve">), Philippe·Curie·Karim·Hugo·Voltaire. </t>
    </r>
    <r>
      <rPr>
        <sz val="10"/>
        <rFont val="WenQuanYi Zen Hei"/>
        <family val="2"/>
      </rPr>
      <t xml:space="preserve">가상 인물</t>
    </r>
    <r>
      <rPr>
        <sz val="10"/>
        <rFont val="Arial"/>
        <family val="0"/>
        <charset val="1"/>
      </rPr>
      <t xml:space="preserve">: Delorme(</t>
    </r>
    <r>
      <rPr>
        <sz val="10"/>
        <rFont val="WenQuanYi Zen Hei"/>
        <family val="2"/>
      </rPr>
      <t xml:space="preserve">상사</t>
    </r>
    <r>
      <rPr>
        <sz val="10"/>
        <rFont val="Arial"/>
        <family val="0"/>
        <charset val="1"/>
      </rPr>
      <t xml:space="preserve">), Verdier(</t>
    </r>
    <r>
      <rPr>
        <sz val="10"/>
        <rFont val="WenQuanYi Zen Hei"/>
        <family val="2"/>
      </rPr>
      <t xml:space="preserve">회장</t>
    </r>
    <r>
      <rPr>
        <sz val="10"/>
        <rFont val="Arial"/>
        <family val="0"/>
        <charset val="1"/>
      </rPr>
      <t xml:space="preserve">), Madeleine(78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), Chloé(</t>
    </r>
    <r>
      <rPr>
        <sz val="10"/>
        <rFont val="WenQuanYi Zen Hei"/>
        <family val="2"/>
      </rPr>
      <t xml:space="preserve">손녀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</si>
  <si>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리노베이션을 정당한 사유로 삼는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해지 조항 →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 폭로</t>
    </r>
    <r>
      <rPr>
        <sz val="10"/>
        <rFont val="Arial"/>
        <family val="0"/>
        <charset val="1"/>
      </rPr>
      <t xml:space="preserve">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 주거법 개정으로 폐지 </t>
    </r>
    <r>
      <rPr>
        <sz val="10"/>
        <rFont val="Arial"/>
        <family val="0"/>
        <charset val="1"/>
      </rPr>
      <t xml:space="preserve">/ «Ça ne colle pas»(Julien) → 4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/ Monique</t>
    </r>
    <r>
      <rPr>
        <sz val="10"/>
        <rFont val="WenQuanYi Zen Hei"/>
        <family val="2"/>
      </rPr>
      <t xml:space="preserve">의 건물 →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창당 동기</t>
    </r>
  </si>
  <si>
    <t xml:space="preserve">E1● P3○</t>
  </si>
  <si>
    <r>
      <rPr>
        <sz val="10"/>
        <rFont val="WenQuanYi Zen Hei"/>
        <family val="2"/>
      </rPr>
      <t xml:space="preserve">임대인의 해지 통지</t>
    </r>
    <r>
      <rPr>
        <sz val="10"/>
        <rFont val="Noto Sans CJK SC"/>
        <family val="2"/>
        <charset val="1"/>
      </rPr>
      <t xml:space="preserve">(congé)</t>
    </r>
    <r>
      <rPr>
        <sz val="10"/>
        <rFont val="WenQuanYi Zen Hei"/>
        <family val="2"/>
      </rPr>
      <t xml:space="preserve">와 정당하고 중대한 사유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에너지 성능 진단</t>
    </r>
    <r>
      <rPr>
        <sz val="10"/>
        <rFont val="Noto Sans CJK SC"/>
        <family val="2"/>
        <charset val="1"/>
      </rPr>
      <t xml:space="preserve">(DPE), </t>
    </r>
    <r>
      <rPr>
        <sz val="10"/>
        <rFont val="WenQuanYi Zen Hei"/>
        <family val="2"/>
      </rPr>
      <t xml:space="preserve">실사</t>
    </r>
    <r>
      <rPr>
        <sz val="10"/>
        <rFont val="Noto Sans CJK SC"/>
        <family val="2"/>
        <charset val="1"/>
      </rPr>
      <t xml:space="preserve">(due diligence), </t>
    </r>
    <r>
      <rPr>
        <sz val="10"/>
        <rFont val="WenQuanYi Zen Hei"/>
        <family val="2"/>
      </rPr>
      <t xml:space="preserve">부동산 공시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소송</t>
    </r>
    <r>
      <rPr>
        <sz val="10"/>
        <rFont val="Noto Sans CJK SC"/>
        <family val="2"/>
        <charset val="1"/>
      </rPr>
      <t xml:space="preserve">(assignation, audience, jugement, dépens), </t>
    </r>
    <r>
      <rPr>
        <sz val="10"/>
        <rFont val="WenQuanYi Zen Hei"/>
        <family val="2"/>
      </rPr>
      <t xml:space="preserve">로펌 구조</t>
    </r>
    <r>
      <rPr>
        <sz val="10"/>
        <rFont val="Noto Sans CJK SC"/>
        <family val="2"/>
        <charset val="1"/>
      </rPr>
      <t xml:space="preserve">(associé)</t>
    </r>
  </si>
  <si>
    <r>
      <rPr>
        <sz val="10"/>
        <rFont val="Arial"/>
        <family val="0"/>
        <charset val="1"/>
      </rPr>
      <t xml:space="preserve">B2~C1. </t>
    </r>
    <r>
      <rPr>
        <sz val="10"/>
        <rFont val="WenQuanYi Zen Hei"/>
        <family val="2"/>
      </rPr>
      <t xml:space="preserve">접속법 현재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과거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수동태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법률 문어체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과거 장면은 격식 문어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프레임 장면은 </t>
    </r>
    <r>
      <rPr>
        <sz val="10"/>
        <rFont val="Arial"/>
        <family val="0"/>
        <charset val="1"/>
      </rPr>
      <t xml:space="preserve">B1</t>
    </r>
    <r>
      <rPr>
        <sz val="10"/>
        <rFont val="WenQuanYi Zen Hei"/>
        <family val="2"/>
      </rPr>
      <t xml:space="preserve">로 두어 톤을 대비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발성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또박또박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중저음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</si>
  <si>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Manon: assignation·jugement·clause </t>
    </r>
    <r>
      <rPr>
        <sz val="10"/>
        <rFont val="WenQuanYi Zen Hei"/>
        <family val="2"/>
      </rPr>
      <t xml:space="preserve">등 법률 용어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부동산 공시</t>
    </r>
    <r>
      <rPr>
        <sz val="10"/>
        <rFont val="Arial"/>
        <family val="0"/>
        <charset val="1"/>
      </rPr>
      <t xml:space="preserve">(service de la publicité foncière), 1989</t>
    </r>
    <r>
      <rPr>
        <sz val="10"/>
        <rFont val="WenQuanYi Zen Hei"/>
        <family val="2"/>
      </rPr>
      <t xml:space="preserve">년 임대차법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민사집행법전</t>
    </r>
    <r>
      <rPr>
        <sz val="10"/>
        <rFont val="Arial"/>
        <family val="0"/>
        <charset val="1"/>
      </rPr>
      <t xml:space="preserve">(CPCE)</t>
    </r>
    <r>
      <rPr>
        <sz val="10"/>
        <rFont val="WenQuanYi Zen Hei"/>
        <family val="2"/>
      </rPr>
      <t xml:space="preserve">의 퇴거 절차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</si>
  <si>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응급실에서 쓰러진 </t>
    </r>
    <r>
      <rPr>
        <sz val="10"/>
        <rFont val="Arial"/>
        <family val="0"/>
        <charset val="1"/>
      </rPr>
      <t xml:space="preserve">Nicolas — </t>
    </r>
    <r>
      <rPr>
        <sz val="10"/>
        <rFont val="WenQuanYi Zen Hei"/>
        <family val="2"/>
      </rPr>
      <t xml:space="preserve">다음 금요일은 </t>
    </r>
    <r>
      <rPr>
        <sz val="10"/>
        <rFont val="Arial"/>
        <family val="0"/>
        <charset val="1"/>
      </rPr>
      <t xml:space="preserve">Camille</t>
    </r>
    <r>
      <rPr>
        <sz val="10"/>
        <rFont val="WenQuanYi Zen Hei"/>
        <family val="2"/>
      </rPr>
      <t xml:space="preserve">의 이야기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</si>
  <si>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La Médecin — </t>
    </r>
    <r>
      <rPr>
        <b val="true"/>
        <sz val="10"/>
        <color rgb="FFFFFFFF"/>
        <rFont val="WenQuanYi Zen Hei"/>
        <family val="2"/>
      </rPr>
      <t xml:space="preserve">의사   </t>
    </r>
    <r>
      <rPr>
        <b val="true"/>
        <sz val="10"/>
        <color rgb="FFFFFFFF"/>
        <rFont val="Arial"/>
        <family val="0"/>
        <charset val="1"/>
      </rPr>
      <t xml:space="preserve">|   </t>
    </r>
    <r>
      <rPr>
        <b val="true"/>
        <sz val="10"/>
        <color rgb="FFFFFFFF"/>
        <rFont val="WenQuanYi Zen Hei"/>
        <family val="2"/>
      </rPr>
      <t xml:space="preserve">난이도 </t>
    </r>
    <r>
      <rPr>
        <b val="true"/>
        <sz val="10"/>
        <color rgb="FFFFFFFF"/>
        <rFont val="Arial"/>
        <family val="0"/>
        <charset val="1"/>
      </rPr>
      <t xml:space="preserve">B2~C1   |   </t>
    </r>
    <r>
      <rPr>
        <b val="true"/>
        <sz val="10"/>
        <color rgb="FFFFFFFF"/>
        <rFont val="WenQuanYi Zen Hei"/>
        <family val="2"/>
      </rPr>
      <t xml:space="preserve">프레임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WenQuanYi Zen Hei"/>
        <family val="2"/>
      </rPr>
      <t xml:space="preserve">금요일 밤</t>
    </r>
    <r>
      <rPr>
        <b val="true"/>
        <sz val="10"/>
        <color rgb="FFFFFFFF"/>
        <rFont val="Arial"/>
        <family val="0"/>
        <charset val="1"/>
      </rPr>
      <t xml:space="preserve">. </t>
    </r>
    <r>
      <rPr>
        <b val="true"/>
        <sz val="10"/>
        <color rgb="FFFFFFFF"/>
        <rFont val="WenQuanYi Zen Hei"/>
        <family val="2"/>
      </rPr>
      <t xml:space="preserve">과거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WenQuanYi Zen Hei"/>
        <family val="2"/>
      </rPr>
      <t xml:space="preserve">약 </t>
    </r>
    <r>
      <rPr>
        <b val="true"/>
        <sz val="10"/>
        <color rgb="FFFFFFFF"/>
        <rFont val="Arial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년 전</t>
    </r>
    <r>
      <rPr>
        <b val="true"/>
        <sz val="10"/>
        <color rgb="FFFFFFFF"/>
        <rFont val="Arial"/>
        <family val="0"/>
        <charset val="1"/>
      </rPr>
      <t xml:space="preserve">, Hôpital Saint-Bernard(</t>
    </r>
    <r>
      <rPr>
        <b val="true"/>
        <sz val="10"/>
        <color rgb="FFFFFFFF"/>
        <rFont val="WenQuanYi Zen Hei"/>
        <family val="2"/>
      </rPr>
      <t xml:space="preserve">가상</t>
    </r>
    <r>
      <rPr>
        <b val="true"/>
        <sz val="10"/>
        <color rgb="FFFFFFFF"/>
        <rFont val="Arial"/>
        <family val="0"/>
        <charset val="1"/>
      </rPr>
      <t xml:space="preserve">) </t>
    </r>
    <r>
      <rPr>
        <b val="true"/>
        <sz val="10"/>
        <color rgb="FFFFFFFF"/>
        <rFont val="WenQuanYi Zen Hei"/>
        <family val="2"/>
      </rPr>
      <t xml:space="preserve">응급실</t>
    </r>
    <r>
      <rPr>
        <b val="true"/>
        <sz val="10"/>
        <color rgb="FFFFFFFF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</si>
  <si>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인간의 생명과 공공 보건이라는 정서적 무게</t>
    </r>
    <r>
      <rPr>
        <sz val="10"/>
        <rFont val="Noto Sans CJK SC"/>
        <family val="2"/>
        <charset val="1"/>
      </rPr>
      <t xml:space="preserve">. Groupe Méridien</t>
    </r>
    <r>
      <rPr>
        <sz val="10"/>
        <rFont val="WenQuanYi Zen Hei"/>
        <family val="2"/>
      </rPr>
      <t xml:space="preserve">의 두 번째 얼굴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병원 외주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컨설팅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을 보여 주고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폭염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고령 환자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서류 없는 환자 등 현안을 응급실에서 체감하게 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</si>
  <si>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응급의가 예산 압박과 병원 외주 속에서 환자를 잃기 시작하고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이름을 적어 두다가 내부 보고를 올리지만 징계로 돌아온다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</si>
  <si>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시스템을 믿는 의사 → 이름 명단만 든 사직자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</si>
  <si>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의료 윤리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관리 효율 </t>
    </r>
    <r>
      <rPr>
        <sz val="10"/>
        <rFont val="Noto Sans CJK SC"/>
        <family val="2"/>
        <charset val="1"/>
      </rPr>
      <t xml:space="preserve">/ </t>
    </r>
    <r>
      <rPr>
        <sz val="10"/>
        <rFont val="WenQuanYi Zen Hei"/>
        <family val="2"/>
      </rPr>
      <t xml:space="preserve">침묵하는 동료들</t>
    </r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</si>
  <si>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(1~3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금요일 프레임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야간 근무</t>
    </r>
    <r>
      <rPr>
        <sz val="10"/>
        <rFont val="Noto Sans CJK SC"/>
        <family val="2"/>
        <charset val="1"/>
      </rPr>
      <t xml:space="preserve">(Nicolas </t>
    </r>
    <r>
      <rPr>
        <sz val="10"/>
        <rFont val="WenQuanYi Zen Hei"/>
        <family val="2"/>
      </rPr>
      <t xml:space="preserve">진료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폭염 환자 폭증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</si>
  <si>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(4~5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병원 외주 발표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컨설턴트 </t>
    </r>
    <r>
      <rPr>
        <sz val="10"/>
        <rFont val="Noto Sans CJK SC"/>
        <family val="2"/>
        <charset val="1"/>
      </rPr>
      <t xml:space="preserve">Léa </t>
    </r>
    <r>
      <rPr>
        <sz val="10"/>
        <rFont val="WenQuanYi Zen Hei"/>
        <family val="2"/>
      </rPr>
      <t xml:space="preserve">등장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프레임에서 수첩 명단과 </t>
    </r>
    <r>
      <rPr>
        <sz val="10"/>
        <rFont val="Noto Sans CJK SC"/>
        <family val="2"/>
        <charset val="1"/>
      </rPr>
      <t xml:space="preserve">Napoléon</t>
    </r>
    <r>
      <rPr>
        <sz val="10"/>
        <rFont val="WenQuanYi Zen Hei"/>
        <family val="2"/>
      </rPr>
      <t xml:space="preserve">이 움켜쥐는 배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</si>
  <si>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미드포인트</t>
    </r>
    <r>
      <rPr>
        <sz val="10"/>
        <rFont val="Noto Sans CJK SC"/>
        <family val="2"/>
        <charset val="1"/>
      </rPr>
      <t xml:space="preserve">(6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'</t>
    </r>
    <r>
      <rPr>
        <sz val="10"/>
        <rFont val="WenQuanYi Zen Hei"/>
        <family val="2"/>
      </rPr>
      <t xml:space="preserve">명단의 첫 번째</t>
    </r>
    <r>
      <rPr>
        <sz val="10"/>
        <rFont val="Noto Sans CJK SC"/>
        <family val="2"/>
        <charset val="1"/>
      </rPr>
      <t xml:space="preserve">' — </t>
    </r>
    <r>
      <rPr>
        <sz val="10"/>
        <rFont val="WenQuanYi Zen Hei"/>
        <family val="2"/>
      </rPr>
      <t xml:space="preserve">서류 없는 환자가 병상 지연으로 들것 위에서 숨진다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</si>
  <si>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(7~9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원장의 통계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징계 절차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프레임에서 </t>
    </r>
    <r>
      <rPr>
        <sz val="10"/>
        <rFont val="Noto Sans CJK SC"/>
        <family val="2"/>
        <charset val="1"/>
      </rPr>
      <t xml:space="preserve">Sartre</t>
    </r>
    <r>
      <rPr>
        <sz val="10"/>
        <rFont val="WenQuanYi Zen Hei"/>
        <family val="2"/>
      </rPr>
      <t xml:space="preserve">의 되묻기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</si>
  <si>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절정</t>
    </r>
    <r>
      <rPr>
        <sz val="10"/>
        <rFont val="Noto Sans CJK SC"/>
        <family val="2"/>
        <charset val="1"/>
      </rPr>
      <t xml:space="preserve">(10~11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병상 없는 밤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백색 계획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사직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</si>
  <si>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훅</t>
    </r>
    <r>
      <rPr>
        <sz val="10"/>
        <rFont val="Noto Sans CJK SC"/>
        <family val="2"/>
        <charset val="1"/>
      </rPr>
      <t xml:space="preserve">(12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계약 감사보고서에 서명한 사람이 있다 — </t>
    </r>
    <r>
      <rPr>
        <sz val="10"/>
        <rFont val="Noto Sans CJK SC"/>
        <family val="2"/>
        <charset val="1"/>
      </rPr>
      <t xml:space="preserve">Julien</t>
    </r>
    <r>
      <rPr>
        <sz val="10"/>
        <rFont val="WenQuanYi Zen Hei"/>
        <family val="2"/>
      </rPr>
      <t xml:space="preserve">의 차례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</si>
  <si>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Camille: </t>
    </r>
    <r>
      <rPr>
        <sz val="10"/>
        <rFont val="WenQuanYi Zen Hei"/>
        <family val="2"/>
      </rPr>
      <t xml:space="preserve">짧은 문장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명령형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블랙유머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가상 인물</t>
    </r>
    <r>
      <rPr>
        <sz val="10"/>
        <rFont val="Arial"/>
        <family val="0"/>
        <charset val="1"/>
      </rPr>
      <t xml:space="preserve">: Sandrine(</t>
    </r>
    <r>
      <rPr>
        <sz val="10"/>
        <rFont val="WenQuanYi Zen Hei"/>
        <family val="2"/>
      </rPr>
      <t xml:space="preserve">간호사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원장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교차 카메오</t>
    </r>
    <r>
      <rPr>
        <sz val="10"/>
        <rFont val="Arial"/>
        <family val="0"/>
        <charset val="1"/>
      </rPr>
      <t xml:space="preserve">: Nicolas(</t>
    </r>
    <r>
      <rPr>
        <sz val="10"/>
        <rFont val="WenQuanYi Zen Hei"/>
        <family val="2"/>
      </rPr>
      <t xml:space="preserve">환자</t>
    </r>
    <r>
      <rPr>
        <sz val="10"/>
        <rFont val="Arial"/>
        <family val="0"/>
        <charset val="1"/>
      </rPr>
      <t xml:space="preserve">), Léa(</t>
    </r>
    <r>
      <rPr>
        <sz val="10"/>
        <rFont val="WenQuanYi Zen Hei"/>
        <family val="2"/>
      </rPr>
      <t xml:space="preserve">효율 발표</t>
    </r>
    <r>
      <rPr>
        <sz val="10"/>
        <rFont val="Arial"/>
        <family val="0"/>
        <charset val="1"/>
      </rPr>
      <t xml:space="preserve">), Julien(</t>
    </r>
    <r>
      <rPr>
        <sz val="10"/>
        <rFont val="WenQuanYi Zen Hei"/>
        <family val="2"/>
      </rPr>
      <t xml:space="preserve">외주 업체 자문</t>
    </r>
    <r>
      <rPr>
        <sz val="10"/>
        <rFont val="Arial"/>
        <family val="0"/>
        <charset val="1"/>
      </rPr>
      <t xml:space="preserve">), Voltaire(</t>
    </r>
    <r>
      <rPr>
        <sz val="10"/>
        <rFont val="WenQuanYi Zen Hei"/>
        <family val="2"/>
      </rPr>
      <t xml:space="preserve">취재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</si>
  <si>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Napoléon</t>
    </r>
    <r>
      <rPr>
        <sz val="10"/>
        <rFont val="WenQuanYi Zen Hei"/>
        <family val="2"/>
      </rPr>
      <t xml:space="preserve">의 복통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식사 거름</t>
    </r>
    <r>
      <rPr>
        <sz val="10"/>
        <rFont val="Arial"/>
        <family val="0"/>
        <charset val="1"/>
      </rPr>
      <t xml:space="preserve">(→11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6~12</t>
    </r>
    <r>
      <rPr>
        <sz val="10"/>
        <rFont val="WenQuanYi Zen Hei"/>
        <family val="2"/>
      </rPr>
      <t xml:space="preserve">화 위의 병</t>
    </r>
    <r>
      <rPr>
        <sz val="10"/>
        <rFont val="Arial"/>
        <family val="0"/>
        <charset val="1"/>
      </rPr>
      <t xml:space="preserve">) / Camille</t>
    </r>
    <r>
      <rPr>
        <sz val="10"/>
        <rFont val="WenQuanYi Zen Hei"/>
        <family val="2"/>
      </rPr>
      <t xml:space="preserve">의 이름 명단</t>
    </r>
    <r>
      <rPr>
        <sz val="10"/>
        <rFont val="Arial"/>
        <family val="0"/>
        <charset val="1"/>
      </rPr>
      <t xml:space="preserve">(→13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외주 계약</t>
    </r>
    <r>
      <rPr>
        <sz val="10"/>
        <rFont val="Arial"/>
        <family val="0"/>
        <charset val="1"/>
      </rPr>
      <t xml:space="preserve">(→9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</t>
    </r>
  </si>
  <si>
    <t xml:space="preserve">S4● S3○ S2○ P3○</t>
  </si>
  <si>
    <r>
      <rPr>
        <sz val="10"/>
        <rFont val="WenQuanYi Zen Hei"/>
        <family val="2"/>
      </rPr>
      <t xml:space="preserve">병원 외주</t>
    </r>
    <r>
      <rPr>
        <sz val="10"/>
        <rFont val="Noto Sans CJK SC"/>
        <family val="2"/>
        <charset val="1"/>
      </rPr>
      <t xml:space="preserve">(externalisation)</t>
    </r>
    <r>
      <rPr>
        <sz val="10"/>
        <rFont val="WenQuanYi Zen Hei"/>
        <family val="2"/>
      </rPr>
      <t xml:space="preserve">와 공공부문 컨설팅 계약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지역보건청</t>
    </r>
    <r>
      <rPr>
        <sz val="10"/>
        <rFont val="Noto Sans CJK SC"/>
        <family val="2"/>
        <charset val="1"/>
      </rPr>
      <t xml:space="preserve">(ARS)·AP-HP </t>
    </r>
    <r>
      <rPr>
        <sz val="10"/>
        <rFont val="WenQuanYi Zen Hei"/>
        <family val="2"/>
      </rPr>
      <t xml:space="preserve">체계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분류</t>
    </r>
    <r>
      <rPr>
        <sz val="10"/>
        <rFont val="Noto Sans CJK SC"/>
        <family val="2"/>
        <charset val="1"/>
      </rPr>
      <t xml:space="preserve">(tri), </t>
    </r>
    <r>
      <rPr>
        <sz val="10"/>
        <rFont val="WenQuanYi Zen Hei"/>
        <family val="2"/>
      </rPr>
      <t xml:space="preserve">서류 없는 환자의 응급 진료권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공무원 징계 절차</t>
    </r>
  </si>
  <si>
    <r>
      <rPr>
        <sz val="10"/>
        <rFont val="Arial"/>
        <family val="0"/>
        <charset val="1"/>
      </rPr>
      <t xml:space="preserve">B2~C1. </t>
    </r>
    <r>
      <rPr>
        <sz val="10"/>
        <rFont val="WenQuanYi Zen Hei"/>
        <family val="2"/>
      </rPr>
      <t xml:space="preserve">의학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짧은 명령형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긴박한 호흡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발성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빠른 템포와 짧은 호흡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</si>
  <si>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Manon: tri·constantes·sepsis </t>
    </r>
    <r>
      <rPr>
        <sz val="10"/>
        <rFont val="WenQuanYi Zen Hei"/>
        <family val="2"/>
      </rPr>
      <t xml:space="preserve">등 의학 용어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공중보건법전</t>
    </r>
    <r>
      <rPr>
        <sz val="10"/>
        <rFont val="Arial"/>
        <family val="0"/>
        <charset val="1"/>
      </rPr>
      <t xml:space="preserve">(Code de la santé publique), 2002</t>
    </r>
    <r>
      <rPr>
        <sz val="10"/>
        <rFont val="WenQuanYi Zen Hei"/>
        <family val="2"/>
      </rPr>
      <t xml:space="preserve">년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일 환자권리법</t>
    </r>
    <r>
      <rPr>
        <sz val="10"/>
        <rFont val="Arial"/>
        <family val="0"/>
        <charset val="1"/>
      </rPr>
      <t xml:space="preserve">, AP-HP.</t>
    </r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</si>
  <si>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: Julien — «À moi.» </t>
    </r>
    <r>
      <rPr>
        <sz val="10"/>
        <rFont val="WenQuanYi Zen Hei"/>
        <family val="2"/>
      </rPr>
      <t xml:space="preserve">그 서명의 주인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</si>
  <si>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L'Auditeur — </t>
    </r>
    <r>
      <rPr>
        <b val="true"/>
        <sz val="10"/>
        <color rgb="FFFFFFFF"/>
        <rFont val="WenQuanYi Zen Hei"/>
        <family val="2"/>
      </rPr>
      <t xml:space="preserve">회계감사인   </t>
    </r>
    <r>
      <rPr>
        <b val="true"/>
        <sz val="10"/>
        <color rgb="FFFFFFFF"/>
        <rFont val="Arial"/>
        <family val="0"/>
        <charset val="1"/>
      </rPr>
      <t xml:space="preserve">|   </t>
    </r>
    <r>
      <rPr>
        <b val="true"/>
        <sz val="10"/>
        <color rgb="FFFFFFFF"/>
        <rFont val="WenQuanYi Zen Hei"/>
        <family val="2"/>
      </rPr>
      <t xml:space="preserve">난이도 </t>
    </r>
    <r>
      <rPr>
        <b val="true"/>
        <sz val="10"/>
        <color rgb="FFFFFFFF"/>
        <rFont val="Arial"/>
        <family val="0"/>
        <charset val="1"/>
      </rPr>
      <t xml:space="preserve">B2~C1   |   </t>
    </r>
    <r>
      <rPr>
        <b val="true"/>
        <sz val="10"/>
        <color rgb="FFFFFFFF"/>
        <rFont val="WenQuanYi Zen Hei"/>
        <family val="2"/>
      </rPr>
      <t xml:space="preserve">프레임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WenQuanYi Zen Hei"/>
        <family val="2"/>
      </rPr>
      <t xml:space="preserve">금요일 밤</t>
    </r>
    <r>
      <rPr>
        <b val="true"/>
        <sz val="10"/>
        <color rgb="FFFFFFFF"/>
        <rFont val="Arial"/>
        <family val="0"/>
        <charset val="1"/>
      </rPr>
      <t xml:space="preserve">. </t>
    </r>
    <r>
      <rPr>
        <b val="true"/>
        <sz val="10"/>
        <color rgb="FFFFFFFF"/>
        <rFont val="WenQuanYi Zen Hei"/>
        <family val="2"/>
      </rPr>
      <t xml:space="preserve">과거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WenQuanYi Zen Hei"/>
        <family val="2"/>
      </rPr>
      <t xml:space="preserve">약 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년 전</t>
    </r>
    <r>
      <rPr>
        <b val="true"/>
        <sz val="10"/>
        <color rgb="FFFFFFFF"/>
        <rFont val="Arial"/>
        <family val="0"/>
        <charset val="1"/>
      </rPr>
      <t xml:space="preserve">, Bertin &amp; Roux Audit(</t>
    </r>
    <r>
      <rPr>
        <b val="true"/>
        <sz val="10"/>
        <color rgb="FFFFFFFF"/>
        <rFont val="WenQuanYi Zen Hei"/>
        <family val="2"/>
      </rPr>
      <t xml:space="preserve">가상</t>
    </r>
    <r>
      <rPr>
        <b val="true"/>
        <sz val="10"/>
        <color rgb="FFFFFFFF"/>
        <rFont val="Arial"/>
        <family val="0"/>
        <charset val="1"/>
      </rPr>
      <t xml:space="preserve">).</t>
    </r>
  </si>
  <si>
    <r>
      <rPr>
        <sz val="10"/>
        <rFont val="WenQuanYi Zen Hei"/>
        <family val="2"/>
      </rPr>
      <t xml:space="preserve">돈의 흐름과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서명의 책임</t>
    </r>
    <r>
      <rPr>
        <sz val="10"/>
        <rFont val="Noto Sans CJK SC"/>
        <family val="2"/>
        <charset val="1"/>
      </rPr>
      <t xml:space="preserve">'. </t>
    </r>
    <r>
      <rPr>
        <sz val="10"/>
        <rFont val="WenQuanYi Zen Hei"/>
        <family val="2"/>
      </rPr>
      <t xml:space="preserve">부패의 공모가 일상 업무의 얼굴로 온다는 것을 보여 주고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이후 아크의 결정적 증거</t>
    </r>
    <r>
      <rPr>
        <sz val="10"/>
        <rFont val="Noto Sans CJK SC"/>
        <family val="2"/>
        <charset val="1"/>
      </rPr>
      <t xml:space="preserve">(USB)</t>
    </r>
    <r>
      <rPr>
        <sz val="10"/>
        <rFont val="WenQuanYi Zen Hei"/>
        <family val="2"/>
      </rPr>
      <t xml:space="preserve">를 만든다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</si>
  <si>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시니어 파트너가 최대 고객의 이상 거래를 발견하지만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압박과 승진 앞에서 결국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깨끗한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의견서에 서명하고 그 서명이 다른 사람의 죽음과 해고에 쓰인다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</si>
  <si>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정확함을 자랑하던 감사인 →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서명한 사람</t>
    </r>
    <r>
      <rPr>
        <sz val="10"/>
        <rFont val="Noto Sans CJK SC"/>
        <family val="2"/>
        <charset val="1"/>
      </rPr>
      <t xml:space="preserve">'. </t>
    </r>
    <r>
      <rPr>
        <sz val="10"/>
        <rFont val="WenQuanYi Zen Hei"/>
        <family val="2"/>
      </rPr>
      <t xml:space="preserve">다시는 서명하지 않겠다는 다짐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</si>
  <si>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감사인의 독립성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수임료 </t>
    </r>
    <r>
      <rPr>
        <sz val="10"/>
        <rFont val="Noto Sans CJK SC"/>
        <family val="2"/>
        <charset val="1"/>
      </rPr>
      <t xml:space="preserve">/ </t>
    </r>
    <r>
      <rPr>
        <sz val="10"/>
        <rFont val="WenQuanYi Zen Hei"/>
        <family val="2"/>
      </rPr>
      <t xml:space="preserve">정확함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생존</t>
    </r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</si>
  <si>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(1~3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'</t>
    </r>
    <r>
      <rPr>
        <sz val="10"/>
        <rFont val="WenQuanYi Zen Hei"/>
        <family val="2"/>
      </rPr>
      <t xml:space="preserve">내가 서명했다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프레임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결산 마감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돈 잘 주는 고객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</si>
  <si>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(4~5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'</t>
    </r>
    <r>
      <rPr>
        <sz val="10"/>
        <rFont val="WenQuanYi Zen Hei"/>
        <family val="2"/>
      </rPr>
      <t xml:space="preserve">이건 안 맞아</t>
    </r>
    <r>
      <rPr>
        <sz val="10"/>
        <rFont val="Noto Sans CJK SC"/>
        <family val="2"/>
        <charset val="1"/>
      </rPr>
      <t xml:space="preserve">' — </t>
    </r>
    <r>
      <rPr>
        <sz val="10"/>
        <rFont val="WenQuanYi Zen Hei"/>
        <family val="2"/>
      </rPr>
      <t xml:space="preserve">특수관계자 대출 발견 </t>
    </r>
    <r>
      <rPr>
        <sz val="10"/>
        <rFont val="Noto Sans CJK SC"/>
        <family val="2"/>
        <charset val="1"/>
      </rPr>
      <t xml:space="preserve">/ </t>
    </r>
    <r>
      <rPr>
        <sz val="10"/>
        <rFont val="WenQuanYi Zen Hei"/>
        <family val="2"/>
      </rPr>
      <t xml:space="preserve">프레임에서 아버지 이야기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</si>
  <si>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미드포인트</t>
    </r>
    <r>
      <rPr>
        <sz val="10"/>
        <rFont val="Noto Sans CJK SC"/>
        <family val="2"/>
        <charset val="1"/>
      </rPr>
      <t xml:space="preserve">(6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파트너 회의 — 한정 의견 주장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리스크 위원회로 에스컬레이션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</si>
  <si>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(7~9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위원회의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증거 불충분</t>
    </r>
    <r>
      <rPr>
        <sz val="10"/>
        <rFont val="Noto Sans CJK SC"/>
        <family val="2"/>
        <charset val="1"/>
      </rPr>
      <t xml:space="preserve">', 16</t>
    </r>
    <r>
      <rPr>
        <sz val="10"/>
        <rFont val="WenQuanYi Zen Hei"/>
        <family val="2"/>
      </rPr>
      <t xml:space="preserve">구의 점심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위협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프레임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서명했나요</t>
    </r>
    <r>
      <rPr>
        <sz val="10"/>
        <rFont val="Noto Sans CJK SC"/>
        <family val="2"/>
        <charset val="1"/>
      </rPr>
      <t xml:space="preserve">?'.</t>
    </r>
  </si>
  <si>
    <r>
      <rPr>
        <sz val="10"/>
        <rFont val="WenQuanYi Zen Hei"/>
        <family val="2"/>
      </rPr>
      <t xml:space="preserve">절정</t>
    </r>
    <r>
      <rPr>
        <sz val="10"/>
        <rFont val="Noto Sans CJK SC"/>
        <family val="2"/>
        <charset val="1"/>
      </rPr>
      <t xml:space="preserve">(10~11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서명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그리고 서명 이후 — 계약 확정과 구조조정 통보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사직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</si>
  <si>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훅</t>
    </r>
    <r>
      <rPr>
        <sz val="10"/>
        <rFont val="Noto Sans CJK SC"/>
        <family val="2"/>
        <charset val="1"/>
      </rPr>
      <t xml:space="preserve">(12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프레임에서 </t>
    </r>
    <r>
      <rPr>
        <sz val="10"/>
        <rFont val="Noto Sans CJK SC"/>
        <family val="2"/>
        <charset val="1"/>
      </rPr>
      <t xml:space="preserve">Léa — «C'est moi qui faisais la liste.»</t>
    </r>
  </si>
  <si>
    <r>
      <rPr>
        <sz val="10"/>
        <rFont val="Arial"/>
        <family val="0"/>
        <charset val="1"/>
      </rPr>
      <t xml:space="preserve">Julien: </t>
    </r>
    <r>
      <rPr>
        <sz val="10"/>
        <rFont val="WenQuanYi Zen Hei"/>
        <family val="2"/>
      </rPr>
      <t xml:space="preserve">건조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숫자 낭독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가상 인물</t>
    </r>
    <r>
      <rPr>
        <sz val="10"/>
        <rFont val="Arial"/>
        <family val="0"/>
        <charset val="1"/>
      </rPr>
      <t xml:space="preserve">: Bertin(</t>
    </r>
    <r>
      <rPr>
        <sz val="10"/>
        <rFont val="WenQuanYi Zen Hei"/>
        <family val="2"/>
      </rPr>
      <t xml:space="preserve">대표 파트너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교차 카메오</t>
    </r>
    <r>
      <rPr>
        <sz val="10"/>
        <rFont val="Arial"/>
        <family val="0"/>
        <charset val="1"/>
      </rPr>
      <t xml:space="preserve">: Philippe(</t>
    </r>
    <r>
      <rPr>
        <sz val="10"/>
        <rFont val="WenQuanYi Zen Hei"/>
        <family val="2"/>
      </rPr>
      <t xml:space="preserve">자료 제공</t>
    </r>
    <r>
      <rPr>
        <sz val="10"/>
        <rFont val="Arial"/>
        <family val="0"/>
        <charset val="1"/>
      </rPr>
      <t xml:space="preserve">), Verdier(</t>
    </r>
    <r>
      <rPr>
        <sz val="10"/>
        <rFont val="WenQuanYi Zen Hei"/>
        <family val="2"/>
      </rPr>
      <t xml:space="preserve">회유</t>
    </r>
    <r>
      <rPr>
        <sz val="10"/>
        <rFont val="Arial"/>
        <family val="0"/>
        <charset val="1"/>
      </rPr>
      <t xml:space="preserve">), Voltaire(</t>
    </r>
    <r>
      <rPr>
        <sz val="10"/>
        <rFont val="WenQuanYi Zen Hei"/>
        <family val="2"/>
      </rPr>
      <t xml:space="preserve">전화</t>
    </r>
    <r>
      <rPr>
        <sz val="10"/>
        <rFont val="Arial"/>
        <family val="0"/>
        <charset val="1"/>
      </rPr>
      <t xml:space="preserve">), Léa(</t>
    </r>
    <r>
      <rPr>
        <sz val="10"/>
        <rFont val="WenQuanYi Zen Hei"/>
        <family val="2"/>
      </rPr>
      <t xml:space="preserve">구조조정 통보</t>
    </r>
    <r>
      <rPr>
        <sz val="10"/>
        <rFont val="Arial"/>
        <family val="0"/>
        <charset val="1"/>
      </rPr>
      <t xml:space="preserve">).</t>
    </r>
  </si>
  <si>
    <r>
      <rPr>
        <sz val="10"/>
        <rFont val="WenQuanYi Zen Hei"/>
        <family val="2"/>
      </rPr>
      <t xml:space="preserve">복사본 </t>
    </r>
    <r>
      <rPr>
        <sz val="10"/>
        <rFont val="Noto Sans CJK SC"/>
        <family val="2"/>
        <charset val="1"/>
      </rPr>
      <t xml:space="preserve">USB(→6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, 7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5~6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 / «Je ne signe que ce que j'ai vérifié»(→11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10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 / Philippe </t>
    </r>
    <r>
      <rPr>
        <sz val="10"/>
        <rFont val="WenQuanYi Zen Hei"/>
        <family val="2"/>
      </rPr>
      <t xml:space="preserve">첫 접점</t>
    </r>
    <r>
      <rPr>
        <sz val="10"/>
        <rFont val="Noto Sans CJK SC"/>
        <family val="2"/>
        <charset val="1"/>
      </rPr>
      <t xml:space="preserve">(→7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</si>
  <si>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—(</t>
    </r>
    <r>
      <rPr>
        <sz val="10"/>
        <rFont val="WenQuanYi Zen Hei"/>
        <family val="2"/>
      </rPr>
      <t xml:space="preserve">정치 현안 없음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감사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자금세탁 중심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</si>
  <si>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법정감사</t>
    </r>
    <r>
      <rPr>
        <sz val="10"/>
        <rFont val="Noto Sans CJK SC"/>
        <family val="2"/>
        <charset val="1"/>
      </rPr>
      <t xml:space="preserve">(commissaire aux comptes: </t>
    </r>
    <r>
      <rPr>
        <sz val="10"/>
        <rFont val="WenQuanYi Zen Hei"/>
        <family val="2"/>
      </rPr>
      <t xml:space="preserve">독립성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교체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감독기구 </t>
    </r>
    <r>
      <rPr>
        <sz val="10"/>
        <rFont val="Noto Sans CJK SC"/>
        <family val="2"/>
        <charset val="1"/>
      </rPr>
      <t xml:space="preserve">H2A), </t>
    </r>
    <r>
      <rPr>
        <sz val="10"/>
        <rFont val="WenQuanYi Zen Hei"/>
        <family val="2"/>
      </rPr>
      <t xml:space="preserve">자금세탁방지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통화금융법전 </t>
    </r>
    <r>
      <rPr>
        <sz val="10"/>
        <rFont val="Noto Sans CJK SC"/>
        <family val="2"/>
        <charset val="1"/>
      </rPr>
      <t xml:space="preserve">L.561-1</t>
    </r>
    <r>
      <rPr>
        <sz val="10"/>
        <rFont val="WenQuanYi Zen Hei"/>
        <family val="2"/>
      </rPr>
      <t xml:space="preserve">조 이하</t>
    </r>
    <r>
      <rPr>
        <sz val="10"/>
        <rFont val="Noto Sans CJK SC"/>
        <family val="2"/>
        <charset val="1"/>
      </rPr>
      <t xml:space="preserve">, TRACFIN), </t>
    </r>
    <r>
      <rPr>
        <sz val="10"/>
        <rFont val="WenQuanYi Zen Hei"/>
        <family val="2"/>
      </rPr>
      <t xml:space="preserve">특수관계자 거래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의견 종류</t>
    </r>
    <r>
      <rPr>
        <sz val="10"/>
        <rFont val="Noto Sans CJK SC"/>
        <family val="2"/>
        <charset val="1"/>
      </rPr>
      <t xml:space="preserve">(sans réserve / avec réserve / refus / impossibilité de certifier)</t>
    </r>
  </si>
  <si>
    <r>
      <rPr>
        <sz val="10"/>
        <rFont val="Arial"/>
        <family val="0"/>
        <charset val="1"/>
      </rPr>
      <t xml:space="preserve">B2~C1. </t>
    </r>
    <r>
      <rPr>
        <sz val="10"/>
        <rFont val="WenQuanYi Zen Hei"/>
        <family val="2"/>
      </rPr>
      <t xml:space="preserve">숫자 낭독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수동태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조건법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감사 보고서체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발성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일정한 속도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결론 문장에서 톤 낮춤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</si>
  <si>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Manon: bilan·compte de résultat·seuil de signification </t>
    </r>
    <r>
      <rPr>
        <sz val="10"/>
        <rFont val="WenQuanYi Zen Hei"/>
        <family val="2"/>
      </rPr>
      <t xml:space="preserve">등 회계 용어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상법전 법정감사 편</t>
    </r>
    <r>
      <rPr>
        <sz val="10"/>
        <rFont val="Arial"/>
        <family val="0"/>
        <charset val="1"/>
      </rPr>
      <t xml:space="preserve">, H2A, </t>
    </r>
    <r>
      <rPr>
        <sz val="10"/>
        <rFont val="WenQuanYi Zen Hei"/>
        <family val="2"/>
      </rPr>
      <t xml:space="preserve">상업등기소</t>
    </r>
    <r>
      <rPr>
        <sz val="10"/>
        <rFont val="Arial"/>
        <family val="0"/>
        <charset val="1"/>
      </rPr>
      <t xml:space="preserve">(Infogreffe).</t>
    </r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</si>
  <si>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: Léa — </t>
    </r>
    <r>
      <rPr>
        <sz val="10"/>
        <rFont val="WenQuanYi Zen Hei"/>
        <family val="2"/>
      </rPr>
      <t xml:space="preserve">그 의견서 이후 시작된 구조조정 명단의 주인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</si>
  <si>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La Consultante — </t>
    </r>
    <r>
      <rPr>
        <b val="true"/>
        <sz val="10"/>
        <color rgb="FFFFFFFF"/>
        <rFont val="WenQuanYi Zen Hei"/>
        <family val="2"/>
      </rPr>
      <t xml:space="preserve">컨설턴트   </t>
    </r>
    <r>
      <rPr>
        <b val="true"/>
        <sz val="10"/>
        <color rgb="FFFFFFFF"/>
        <rFont val="Arial"/>
        <family val="0"/>
        <charset val="1"/>
      </rPr>
      <t xml:space="preserve">|   </t>
    </r>
    <r>
      <rPr>
        <b val="true"/>
        <sz val="10"/>
        <color rgb="FFFFFFFF"/>
        <rFont val="WenQuanYi Zen Hei"/>
        <family val="2"/>
      </rPr>
      <t xml:space="preserve">난이도 </t>
    </r>
    <r>
      <rPr>
        <b val="true"/>
        <sz val="10"/>
        <color rgb="FFFFFFFF"/>
        <rFont val="Arial"/>
        <family val="0"/>
        <charset val="1"/>
      </rPr>
      <t xml:space="preserve">B2~C1   |   </t>
    </r>
    <r>
      <rPr>
        <b val="true"/>
        <sz val="10"/>
        <color rgb="FFFFFFFF"/>
        <rFont val="WenQuanYi Zen Hei"/>
        <family val="2"/>
      </rPr>
      <t xml:space="preserve">프레임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WenQuanYi Zen Hei"/>
        <family val="2"/>
      </rPr>
      <t xml:space="preserve">금요일 밤</t>
    </r>
    <r>
      <rPr>
        <b val="true"/>
        <sz val="10"/>
        <color rgb="FFFFFFFF"/>
        <rFont val="Arial"/>
        <family val="0"/>
        <charset val="1"/>
      </rPr>
      <t xml:space="preserve">. </t>
    </r>
    <r>
      <rPr>
        <b val="true"/>
        <sz val="10"/>
        <color rgb="FFFFFFFF"/>
        <rFont val="WenQuanYi Zen Hei"/>
        <family val="2"/>
      </rPr>
      <t xml:space="preserve">과거</t>
    </r>
    <r>
      <rPr>
        <b val="true"/>
        <sz val="10"/>
        <color rgb="FFFFFFFF"/>
        <rFont val="Arial"/>
        <family val="0"/>
        <charset val="1"/>
      </rPr>
      <t xml:space="preserve">: </t>
    </r>
    <r>
      <rPr>
        <b val="true"/>
        <sz val="10"/>
        <color rgb="FFFFFFFF"/>
        <rFont val="WenQuanYi Zen Hei"/>
        <family val="2"/>
      </rPr>
      <t xml:space="preserve">약 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년 전</t>
    </r>
    <r>
      <rPr>
        <b val="true"/>
        <sz val="10"/>
        <color rgb="FFFFFFFF"/>
        <rFont val="Arial"/>
        <family val="0"/>
        <charset val="1"/>
      </rPr>
      <t xml:space="preserve">, Zénith Consulting(</t>
    </r>
    <r>
      <rPr>
        <b val="true"/>
        <sz val="10"/>
        <color rgb="FFFFFFFF"/>
        <rFont val="WenQuanYi Zen Hei"/>
        <family val="2"/>
      </rPr>
      <t xml:space="preserve">가상</t>
    </r>
    <r>
      <rPr>
        <b val="true"/>
        <sz val="10"/>
        <color rgb="FFFFFFFF"/>
        <rFont val="Arial"/>
        <family val="0"/>
        <charset val="1"/>
      </rPr>
      <t xml:space="preserve">) La Défense 32</t>
    </r>
    <r>
      <rPr>
        <b val="true"/>
        <sz val="10"/>
        <color rgb="FFFFFFFF"/>
        <rFont val="WenQuanYi Zen Hei"/>
        <family val="2"/>
      </rPr>
      <t xml:space="preserve">층</t>
    </r>
    <r>
      <rPr>
        <b val="true"/>
        <sz val="10"/>
        <color rgb="FFFFFFFF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</si>
  <si>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효율의 이름으로 사람이 숫자가 되는 순간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노동</t>
    </r>
    <r>
      <rPr>
        <sz val="10"/>
        <rFont val="Noto Sans CJK SC"/>
        <family val="2"/>
        <charset val="1"/>
      </rPr>
      <t xml:space="preserve">(Karim), </t>
    </r>
    <r>
      <rPr>
        <sz val="10"/>
        <rFont val="WenQuanYi Zen Hei"/>
        <family val="2"/>
      </rPr>
      <t xml:space="preserve">청년 고용</t>
    </r>
    <r>
      <rPr>
        <sz val="10"/>
        <rFont val="Noto Sans CJK SC"/>
        <family val="2"/>
        <charset val="1"/>
      </rPr>
      <t xml:space="preserve">(S1), </t>
    </r>
    <r>
      <rPr>
        <sz val="10"/>
        <rFont val="WenQuanYi Zen Hei"/>
        <family val="2"/>
      </rPr>
      <t xml:space="preserve">영세 기업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탈산업화</t>
    </r>
    <r>
      <rPr>
        <sz val="10"/>
        <rFont val="Noto Sans CJK SC"/>
        <family val="2"/>
        <charset val="1"/>
      </rPr>
      <t xml:space="preserve">(E2)</t>
    </r>
    <r>
      <rPr>
        <sz val="10"/>
        <rFont val="WenQuanYi Zen Hei"/>
        <family val="2"/>
      </rPr>
      <t xml:space="preserve">를 도입하고 </t>
    </r>
    <r>
      <rPr>
        <sz val="10"/>
        <rFont val="Noto Sans CJK SC"/>
        <family val="2"/>
        <charset val="1"/>
      </rPr>
      <t xml:space="preserve">Léa</t>
    </r>
    <r>
      <rPr>
        <sz val="10"/>
        <rFont val="WenQuanYi Zen Hei"/>
        <family val="2"/>
      </rPr>
      <t xml:space="preserve">의 말투 변화를 예고한다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</si>
  <si>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전략 컨설턴트가 영세 기업을 살리려던 낙관에서 출발해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대형 고객 구조조정 모델의 셀 하나가 </t>
    </r>
    <r>
      <rPr>
        <sz val="10"/>
        <rFont val="Noto Sans CJK SC"/>
        <family val="2"/>
        <charset val="1"/>
      </rPr>
      <t xml:space="preserve">412</t>
    </r>
    <r>
      <rPr>
        <sz val="10"/>
        <rFont val="WenQuanYi Zen Hei"/>
        <family val="2"/>
      </rPr>
      <t xml:space="preserve">명의 해고임을 알게 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</si>
  <si>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스케일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을 믿던 사람 → 사람을 숫자로 본 죄책감을 인정하는 사람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프레젠테이션 톤에서 솔직한 톤으로 가는 시작</t>
    </r>
    <r>
      <rPr>
        <sz val="10"/>
        <rFont val="Arial"/>
        <family val="0"/>
        <charset val="1"/>
      </rPr>
      <t xml:space="preserve">).</t>
    </r>
  </si>
  <si>
    <r>
      <rPr>
        <sz val="10"/>
        <rFont val="WenQuanYi Zen Hei"/>
        <family val="2"/>
      </rPr>
      <t xml:space="preserve">효율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사람 </t>
    </r>
    <r>
      <rPr>
        <sz val="10"/>
        <rFont val="Noto Sans CJK SC"/>
        <family val="2"/>
        <charset val="1"/>
      </rPr>
      <t xml:space="preserve">/ </t>
    </r>
    <r>
      <rPr>
        <sz val="10"/>
        <rFont val="WenQuanYi Zen Hei"/>
        <family val="2"/>
      </rPr>
      <t xml:space="preserve">조직 충성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양심</t>
    </r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</si>
  <si>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(1~3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매트릭스 프레임</t>
    </r>
    <r>
      <rPr>
        <sz val="10"/>
        <rFont val="Noto Sans CJK SC"/>
        <family val="2"/>
        <charset val="1"/>
      </rPr>
      <t xml:space="preserve">, Zénith 32</t>
    </r>
    <r>
      <rPr>
        <sz val="10"/>
        <rFont val="WenQuanYi Zen Hei"/>
        <family val="2"/>
      </rPr>
      <t xml:space="preserve">층</t>
    </r>
    <r>
      <rPr>
        <sz val="10"/>
        <rFont val="Noto Sans CJK SC"/>
        <family val="2"/>
        <charset val="1"/>
      </rPr>
      <t xml:space="preserve">, Garnier </t>
    </r>
    <r>
      <rPr>
        <sz val="10"/>
        <rFont val="WenQuanYi Zen Hei"/>
        <family val="2"/>
      </rPr>
      <t xml:space="preserve">공방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영세 기업의 실패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</si>
  <si>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(4~5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이카로스 프로젝트 킥오프 </t>
    </r>
    <r>
      <rPr>
        <sz val="10"/>
        <rFont val="Noto Sans CJK SC"/>
        <family val="2"/>
        <charset val="1"/>
      </rPr>
      <t xml:space="preserve">/ </t>
    </r>
    <r>
      <rPr>
        <sz val="10"/>
        <rFont val="WenQuanYi Zen Hei"/>
        <family val="2"/>
      </rPr>
      <t xml:space="preserve">프레임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엑셀 한 장</t>
    </r>
    <r>
      <rPr>
        <sz val="10"/>
        <rFont val="Noto Sans CJK SC"/>
        <family val="2"/>
        <charset val="1"/>
      </rPr>
      <t xml:space="preserve">'.</t>
    </r>
  </si>
  <si>
    <r>
      <rPr>
        <sz val="10"/>
        <rFont val="WenQuanYi Zen Hei"/>
        <family val="2"/>
      </rPr>
      <t xml:space="preserve">미드포인트</t>
    </r>
    <r>
      <rPr>
        <sz val="10"/>
        <rFont val="Noto Sans CJK SC"/>
        <family val="2"/>
        <charset val="1"/>
      </rPr>
      <t xml:space="preserve">(6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C47 </t>
    </r>
    <r>
      <rPr>
        <sz val="10"/>
        <rFont val="WenQuanYi Zen Hei"/>
        <family val="2"/>
      </rPr>
      <t xml:space="preserve">셀 — </t>
    </r>
    <r>
      <rPr>
        <sz val="10"/>
        <rFont val="Noto Sans CJK SC"/>
        <family val="2"/>
        <charset val="1"/>
      </rPr>
      <t xml:space="preserve">412</t>
    </r>
    <r>
      <rPr>
        <sz val="10"/>
        <rFont val="WenQuanYi Zen Hei"/>
        <family val="2"/>
      </rPr>
      <t xml:space="preserve">개 일자리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샴페인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</si>
  <si>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(7~9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협상 테이블에서 </t>
    </r>
    <r>
      <rPr>
        <sz val="10"/>
        <rFont val="Noto Sans CJK SC"/>
        <family val="2"/>
        <charset val="1"/>
      </rPr>
      <t xml:space="preserve">Karim</t>
    </r>
    <r>
      <rPr>
        <sz val="10"/>
        <rFont val="WenQuanYi Zen Hei"/>
        <family val="2"/>
      </rPr>
      <t xml:space="preserve">과 대면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잘못 보낸 메일과 카페의 </t>
    </r>
    <r>
      <rPr>
        <sz val="10"/>
        <rFont val="Noto Sans CJK SC"/>
        <family val="2"/>
        <charset val="1"/>
      </rPr>
      <t xml:space="preserve">Sartre, </t>
    </r>
    <r>
      <rPr>
        <sz val="10"/>
        <rFont val="WenQuanYi Zen Hei"/>
        <family val="2"/>
      </rPr>
      <t xml:space="preserve">프레임 </t>
    </r>
    <r>
      <rPr>
        <sz val="10"/>
        <rFont val="Noto Sans CJK SC"/>
        <family val="2"/>
        <charset val="1"/>
      </rPr>
      <t xml:space="preserve">'412'.</t>
    </r>
  </si>
  <si>
    <r>
      <rPr>
        <sz val="10"/>
        <rFont val="WenQuanYi Zen Hei"/>
        <family val="2"/>
      </rPr>
      <t xml:space="preserve">절정</t>
    </r>
    <r>
      <rPr>
        <sz val="10"/>
        <rFont val="Noto Sans CJK SC"/>
        <family val="2"/>
        <charset val="1"/>
      </rPr>
      <t xml:space="preserve">(10~11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파업과 </t>
    </r>
    <r>
      <rPr>
        <sz val="10"/>
        <rFont val="Noto Sans CJK SC"/>
        <family val="2"/>
        <charset val="1"/>
      </rPr>
      <t xml:space="preserve">Karim</t>
    </r>
    <r>
      <rPr>
        <sz val="10"/>
        <rFont val="WenQuanYi Zen Hei"/>
        <family val="2"/>
      </rPr>
      <t xml:space="preserve">의 해고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마지막 회의에서 사직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</si>
  <si>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훅</t>
    </r>
    <r>
      <rPr>
        <sz val="10"/>
        <rFont val="Noto Sans CJK SC"/>
        <family val="2"/>
        <charset val="1"/>
      </rPr>
      <t xml:space="preserve">(12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프레임 — 네 명이 같은 강당에 모인 생드니의 화요일 예고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</si>
  <si>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Léa: </t>
    </r>
    <r>
      <rPr>
        <sz val="10"/>
        <rFont val="WenQuanYi Zen Hei"/>
        <family val="2"/>
      </rPr>
      <t xml:space="preserve">영어가 섞인 경영 용어의 빠른 말투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가상 인물</t>
    </r>
    <r>
      <rPr>
        <sz val="10"/>
        <rFont val="Arial"/>
        <family val="0"/>
        <charset val="1"/>
      </rPr>
      <t xml:space="preserve">: Garnier(</t>
    </r>
    <r>
      <rPr>
        <sz val="10"/>
        <rFont val="WenQuanYi Zen Hei"/>
        <family val="2"/>
      </rPr>
      <t xml:space="preserve">공방 주인</t>
    </r>
    <r>
      <rPr>
        <sz val="10"/>
        <rFont val="Arial"/>
        <family val="0"/>
        <charset val="1"/>
      </rPr>
      <t xml:space="preserve">), Zénith </t>
    </r>
    <r>
      <rPr>
        <sz val="10"/>
        <rFont val="WenQuanYi Zen Hei"/>
        <family val="2"/>
      </rPr>
      <t xml:space="preserve">파트너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교차 카메오</t>
    </r>
    <r>
      <rPr>
        <sz val="10"/>
        <rFont val="Arial"/>
        <family val="0"/>
        <charset val="1"/>
      </rPr>
      <t xml:space="preserve">: Karim(</t>
    </r>
    <r>
      <rPr>
        <sz val="10"/>
        <rFont val="WenQuanYi Zen Hei"/>
        <family val="2"/>
      </rPr>
      <t xml:space="preserve">협상 상대</t>
    </r>
    <r>
      <rPr>
        <sz val="10"/>
        <rFont val="Arial"/>
        <family val="0"/>
        <charset val="1"/>
      </rPr>
      <t xml:space="preserve">), Sartre(</t>
    </r>
    <r>
      <rPr>
        <sz val="10"/>
        <rFont val="WenQuanYi Zen Hei"/>
        <family val="2"/>
      </rPr>
      <t xml:space="preserve">카페</t>
    </r>
    <r>
      <rPr>
        <sz val="10"/>
        <rFont val="Arial"/>
        <family val="0"/>
        <charset val="1"/>
      </rPr>
      <t xml:space="preserve">), Julien(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</si>
  <si>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C47 </t>
    </r>
    <r>
      <rPr>
        <sz val="10"/>
        <rFont val="WenQuanYi Zen Hei"/>
        <family val="2"/>
      </rPr>
      <t xml:space="preserve">셀</t>
    </r>
    <r>
      <rPr>
        <sz val="10"/>
        <rFont val="Arial"/>
        <family val="0"/>
        <charset val="1"/>
      </rPr>
      <t xml:space="preserve">(→11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해고 없는 통합</t>
    </r>
    <r>
      <rPr>
        <sz val="10"/>
        <rFont val="Arial"/>
        <family val="0"/>
        <charset val="1"/>
      </rPr>
      <t xml:space="preserve">') / Karim–Léa </t>
    </r>
    <r>
      <rPr>
        <sz val="10"/>
        <rFont val="WenQuanYi Zen Hei"/>
        <family val="2"/>
      </rPr>
      <t xml:space="preserve">갈등</t>
    </r>
    <r>
      <rPr>
        <sz val="10"/>
        <rFont val="Arial"/>
        <family val="0"/>
        <charset val="1"/>
      </rPr>
      <t xml:space="preserve">(→8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 화해</t>
    </r>
    <r>
      <rPr>
        <sz val="10"/>
        <rFont val="Arial"/>
        <family val="0"/>
        <charset val="1"/>
      </rPr>
      <t xml:space="preserve">) / «Bon, sans slides»(→6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, 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</t>
    </r>
  </si>
  <si>
    <t xml:space="preserve">E2● S1○</t>
  </si>
  <si>
    <r>
      <rPr>
        <sz val="10"/>
        <rFont val="WenQuanYi Zen Hei"/>
        <family val="2"/>
      </rPr>
      <t xml:space="preserve">고용보호계획</t>
    </r>
    <r>
      <rPr>
        <sz val="10"/>
        <rFont val="Noto Sans CJK SC"/>
        <family val="2"/>
        <charset val="1"/>
      </rPr>
      <t xml:space="preserve">(PSE, </t>
    </r>
    <r>
      <rPr>
        <sz val="10"/>
        <rFont val="WenQuanYi Zen Hei"/>
        <family val="2"/>
      </rPr>
      <t xml:space="preserve">노동법전 </t>
    </r>
    <r>
      <rPr>
        <sz val="10"/>
        <rFont val="Noto Sans CJK SC"/>
        <family val="2"/>
        <charset val="1"/>
      </rPr>
      <t xml:space="preserve">L.1233-61</t>
    </r>
    <r>
      <rPr>
        <sz val="10"/>
        <rFont val="WenQuanYi Zen Hei"/>
        <family val="2"/>
      </rPr>
      <t xml:space="preserve">조 이하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사회경제위원회</t>
    </r>
    <r>
      <rPr>
        <sz val="10"/>
        <rFont val="Noto Sans CJK SC"/>
        <family val="2"/>
        <charset val="1"/>
      </rPr>
      <t xml:space="preserve">(CSE) </t>
    </r>
    <r>
      <rPr>
        <sz val="10"/>
        <rFont val="WenQuanYi Zen Hei"/>
        <family val="2"/>
      </rPr>
      <t xml:space="preserve">정보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협의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보호 근로자 해고의 근로감독관 승인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파업권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버스 노선 경쟁 입찰</t>
    </r>
  </si>
  <si>
    <r>
      <rPr>
        <sz val="10"/>
        <rFont val="Arial"/>
        <family val="0"/>
        <charset val="1"/>
      </rPr>
      <t xml:space="preserve">B2~C1. </t>
    </r>
    <r>
      <rPr>
        <sz val="10"/>
        <rFont val="WenQuanYi Zen Hei"/>
        <family val="2"/>
      </rPr>
      <t xml:space="preserve">경영 외래어</t>
    </r>
    <r>
      <rPr>
        <sz val="10"/>
        <rFont val="Arial"/>
        <family val="0"/>
        <charset val="1"/>
      </rPr>
      <t xml:space="preserve">(aligner, scalable, livrable), </t>
    </r>
    <r>
      <rPr>
        <sz val="10"/>
        <rFont val="WenQuanYi Zen Hei"/>
        <family val="2"/>
      </rPr>
      <t xml:space="preserve">프레젠테이션 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발성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숨 가쁜 톤에서 느린 솔직한 톤으로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</si>
  <si>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Manon: parties prenantes·scaler·synergie·KPI </t>
    </r>
    <r>
      <rPr>
        <sz val="10"/>
        <rFont val="WenQuanYi Zen Hei"/>
        <family val="2"/>
      </rPr>
      <t xml:space="preserve">등 경영 용어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노동법전 경제적 해고 편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</si>
  <si>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생드니 — 네 사람이 같은 총회에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</si>
  <si>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La Rencontre — </t>
    </r>
    <r>
      <rPr>
        <b val="true"/>
        <sz val="10"/>
        <color rgb="FFFFFFFF"/>
        <rFont val="WenQuanYi Zen Hei"/>
        <family val="2"/>
      </rPr>
      <t xml:space="preserve">운명적 만남   </t>
    </r>
    <r>
      <rPr>
        <b val="true"/>
        <sz val="10"/>
        <color rgb="FFFFFFFF"/>
        <rFont val="Arial"/>
        <family val="0"/>
        <charset val="1"/>
      </rPr>
      <t xml:space="preserve">|   </t>
    </r>
    <r>
      <rPr>
        <b val="true"/>
        <sz val="10"/>
        <color rgb="FFFFFFFF"/>
        <rFont val="WenQuanYi Zen Hei"/>
        <family val="2"/>
      </rPr>
      <t xml:space="preserve">난이도 </t>
    </r>
    <r>
      <rPr>
        <b val="true"/>
        <sz val="10"/>
        <color rgb="FFFFFFFF"/>
        <rFont val="Arial"/>
        <family val="0"/>
        <charset val="1"/>
      </rPr>
      <t xml:space="preserve">B2   |   </t>
    </r>
    <r>
      <rPr>
        <b val="true"/>
        <sz val="10"/>
        <color rgb="FFFFFFFF"/>
        <rFont val="WenQuanYi Zen Hei"/>
        <family val="2"/>
      </rPr>
      <t xml:space="preserve">약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년 전</t>
    </r>
    <r>
      <rPr>
        <b val="true"/>
        <sz val="10"/>
        <color rgb="FFFFFFFF"/>
        <rFont val="Arial"/>
        <family val="0"/>
        <charset val="1"/>
      </rPr>
      <t xml:space="preserve">(1</t>
    </r>
    <r>
      <rPr>
        <b val="true"/>
        <sz val="10"/>
        <color rgb="FFFFFFFF"/>
        <rFont val="WenQuanYi Zen Hei"/>
        <family val="2"/>
      </rPr>
      <t xml:space="preserve">부보다 앞</t>
    </r>
    <r>
      <rPr>
        <b val="true"/>
        <sz val="10"/>
        <color rgb="FFFFFFFF"/>
        <rFont val="Arial"/>
        <family val="0"/>
        <charset val="1"/>
      </rPr>
      <t xml:space="preserve">). Saint-Denis '14</t>
    </r>
    <r>
      <rPr>
        <b val="true"/>
        <sz val="10"/>
        <color rgb="FFFFFFFF"/>
        <rFont val="WenQuanYi Zen Hei"/>
        <family val="2"/>
      </rPr>
      <t xml:space="preserve">동</t>
    </r>
    <r>
      <rPr>
        <b val="true"/>
        <sz val="10"/>
        <color rgb="FFFFFFFF"/>
        <rFont val="Arial"/>
        <family val="0"/>
        <charset val="1"/>
      </rPr>
      <t xml:space="preserve">' → Belleville </t>
    </r>
    <r>
      <rPr>
        <b val="true"/>
        <sz val="10"/>
        <color rgb="FFFFFFFF"/>
        <rFont val="WenQuanYi Zen Hei"/>
        <family val="2"/>
      </rPr>
      <t xml:space="preserve">사무소 개소</t>
    </r>
    <r>
      <rPr>
        <b val="true"/>
        <sz val="10"/>
        <color rgb="FFFFFFFF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</si>
  <si>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퍼즐 완성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네 개의 과거가 하나의 이름</t>
    </r>
    <r>
      <rPr>
        <sz val="10"/>
        <rFont val="Noto Sans CJK SC"/>
        <family val="2"/>
        <charset val="1"/>
      </rPr>
      <t xml:space="preserve">(Groupe Méridien)</t>
    </r>
    <r>
      <rPr>
        <sz val="10"/>
        <rFont val="WenQuanYi Zen Hei"/>
        <family val="2"/>
      </rPr>
      <t xml:space="preserve">으로 수렴하고 팀이 결성된다</t>
    </r>
    <r>
      <rPr>
        <sz val="10"/>
        <rFont val="Noto Sans CJK SC"/>
        <family val="2"/>
        <charset val="1"/>
      </rPr>
      <t xml:space="preserve">. 1</t>
    </r>
    <r>
      <rPr>
        <sz val="10"/>
        <rFont val="WenQuanYi Zen Hei"/>
        <family val="2"/>
      </rPr>
      <t xml:space="preserve">부의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왜</t>
    </r>
    <r>
      <rPr>
        <sz val="10"/>
        <rFont val="Noto Sans CJK SC"/>
        <family val="2"/>
        <charset val="1"/>
      </rPr>
      <t xml:space="preserve">?'</t>
    </r>
    <r>
      <rPr>
        <sz val="10"/>
        <rFont val="WenQuanYi Zen Hei"/>
        <family val="2"/>
      </rPr>
      <t xml:space="preserve">에 대한 대답이자 시간의 고리를 닫는 아크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</si>
  <si>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각자 무너진 네 사람이 같은 건물을 지키려고 모였다가 자기들이 서로 다른 얼굴의 같은 회사를 도왔음을 알게 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서로를 비난한 끝에 처음으로 함께 이긴다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</si>
  <si>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혼자 무너진 네 사람 → 서로의 죄를 아는 팀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</si>
  <si>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서로에 대한 책임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공모</t>
    </r>
    <r>
      <rPr>
        <sz val="10"/>
        <rFont val="Noto Sans CJK SC"/>
        <family val="2"/>
        <charset val="1"/>
      </rPr>
      <t xml:space="preserve">) vs </t>
    </r>
    <r>
      <rPr>
        <sz val="10"/>
        <rFont val="WenQuanYi Zen Hei"/>
        <family val="2"/>
      </rPr>
      <t xml:space="preserve">함께 속죄</t>
    </r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</si>
  <si>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(1~3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생드니의 화요일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낯선 넷</t>
    </r>
    <r>
      <rPr>
        <sz val="10"/>
        <rFont val="Noto Sans CJK SC"/>
        <family val="2"/>
        <charset val="1"/>
      </rPr>
      <t xml:space="preserve">, 14</t>
    </r>
    <r>
      <rPr>
        <sz val="10"/>
        <rFont val="WenQuanYi Zen Hei"/>
        <family val="2"/>
      </rPr>
      <t xml:space="preserve">동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</si>
  <si>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(4~5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계단의 밤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첫 속내</t>
    </r>
    <r>
      <rPr>
        <sz val="10"/>
        <rFont val="Noto Sans CJK SC"/>
        <family val="2"/>
        <charset val="1"/>
      </rPr>
      <t xml:space="preserve">), Julien</t>
    </r>
    <r>
      <rPr>
        <sz val="10"/>
        <rFont val="WenQuanYi Zen Hei"/>
        <family val="2"/>
      </rPr>
      <t xml:space="preserve">의 서류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</si>
  <si>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미드포인트</t>
    </r>
    <r>
      <rPr>
        <sz val="10"/>
        <rFont val="Noto Sans CJK SC"/>
        <family val="2"/>
        <charset val="1"/>
      </rPr>
      <t xml:space="preserve">(6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'</t>
    </r>
    <r>
      <rPr>
        <sz val="10"/>
        <rFont val="WenQuanYi Zen Hei"/>
        <family val="2"/>
      </rPr>
      <t xml:space="preserve">같은 이름</t>
    </r>
    <r>
      <rPr>
        <sz val="10"/>
        <rFont val="Noto Sans CJK SC"/>
        <family val="2"/>
        <charset val="1"/>
      </rPr>
      <t xml:space="preserve">' — </t>
    </r>
    <r>
      <rPr>
        <sz val="10"/>
        <rFont val="WenQuanYi Zen Hei"/>
        <family val="2"/>
      </rPr>
      <t xml:space="preserve">네 개의 과거가 </t>
    </r>
    <r>
      <rPr>
        <sz val="10"/>
        <rFont val="Noto Sans CJK SC"/>
        <family val="2"/>
        <charset val="1"/>
      </rPr>
      <t xml:space="preserve">Méridien </t>
    </r>
    <r>
      <rPr>
        <sz val="10"/>
        <rFont val="WenQuanYi Zen Hei"/>
        <family val="2"/>
      </rPr>
      <t xml:space="preserve">하나로 이어진다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</si>
  <si>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(7~9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서로에 대한 비난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퇴거 아침 영시의 협업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첫 정지 승리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</si>
  <si>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절정</t>
    </r>
    <r>
      <rPr>
        <sz val="10"/>
        <rFont val="Noto Sans CJK SC"/>
        <family val="2"/>
        <charset val="1"/>
      </rPr>
      <t xml:space="preserve">(10~11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벨빌의 가게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식탁의 규칙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금요일 이야기 전통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</si>
  <si>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훅</t>
    </r>
    <r>
      <rPr>
        <sz val="10"/>
        <rFont val="Noto Sans CJK SC"/>
        <family val="2"/>
        <charset val="1"/>
      </rPr>
      <t xml:space="preserve">(12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간판이 걸리고 </t>
    </r>
    <r>
      <rPr>
        <sz val="10"/>
        <rFont val="Noto Sans CJK SC"/>
        <family val="2"/>
        <charset val="1"/>
      </rPr>
      <t xml:space="preserve">«Demain, à cinq heures.» → 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화로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</si>
  <si>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합류 순서</t>
    </r>
    <r>
      <rPr>
        <sz val="10"/>
        <rFont val="Noto Sans CJK SC"/>
        <family val="2"/>
        <charset val="1"/>
      </rPr>
      <t xml:space="preserve">: Manon·Chloé(1) → Karim·Jeanne(3) → Monique·Napoléon(4) → Curie·Voltaire(8) → Hugo·Sartre(9) → Philippe(10). Manon</t>
    </r>
    <r>
      <rPr>
        <sz val="10"/>
        <rFont val="WenQuanYi Zen Hei"/>
        <family val="2"/>
      </rPr>
      <t xml:space="preserve">은 이 건물의 세입자로 인턴이 된다</t>
    </r>
    <r>
      <rPr>
        <sz val="10"/>
        <rFont val="Noto Sans CJK SC"/>
        <family val="2"/>
        <charset val="1"/>
      </rPr>
      <t xml:space="preserve">. (Olympe</t>
    </r>
    <r>
      <rPr>
        <sz val="10"/>
        <rFont val="WenQuanYi Zen Hei"/>
        <family val="2"/>
      </rPr>
      <t xml:space="preserve">는 </t>
    </r>
    <r>
      <rPr>
        <sz val="10"/>
        <rFont val="Noto Sans CJK SC"/>
        <family val="2"/>
        <charset val="1"/>
      </rPr>
      <t xml:space="preserve">7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화에 합류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</si>
  <si>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첫 회의 대사</t>
    </r>
    <r>
      <rPr>
        <sz val="10"/>
        <rFont val="Noto Sans CJK SC"/>
        <family val="2"/>
        <charset val="1"/>
      </rPr>
      <t xml:space="preserve">(→1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 / </t>
    </r>
    <r>
      <rPr>
        <sz val="10"/>
        <rFont val="WenQuanYi Zen Hei"/>
        <family val="2"/>
      </rPr>
      <t xml:space="preserve">금요일 이야기 규칙</t>
    </r>
    <r>
      <rPr>
        <sz val="10"/>
        <rFont val="Noto Sans CJK SC"/>
        <family val="2"/>
        <charset val="1"/>
      </rPr>
      <t xml:space="preserve">(→2~5</t>
    </r>
    <r>
      <rPr>
        <sz val="10"/>
        <rFont val="WenQuanYi Zen Hei"/>
        <family val="2"/>
      </rPr>
      <t xml:space="preserve">부 프레임</t>
    </r>
    <r>
      <rPr>
        <sz val="10"/>
        <rFont val="Noto Sans CJK SC"/>
        <family val="2"/>
        <charset val="1"/>
      </rPr>
      <t xml:space="preserve">) / Verdier</t>
    </r>
    <r>
      <rPr>
        <sz val="10"/>
        <rFont val="WenQuanYi Zen Hei"/>
        <family val="2"/>
      </rPr>
      <t xml:space="preserve">의 이름</t>
    </r>
    <r>
      <rPr>
        <sz val="10"/>
        <rFont val="Noto Sans CJK SC"/>
        <family val="2"/>
        <charset val="1"/>
      </rPr>
      <t xml:space="preserve">(→7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, 9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</t>
    </r>
  </si>
  <si>
    <t xml:space="preserve">E1● S2● S1○</t>
  </si>
  <si>
    <r>
      <rPr>
        <sz val="10"/>
        <rFont val="WenQuanYi Zen Hei"/>
        <family val="2"/>
      </rPr>
      <t xml:space="preserve">퇴거 집행과 유예 기간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긴급 가처분</t>
    </r>
    <r>
      <rPr>
        <sz val="10"/>
        <rFont val="Noto Sans CJK SC"/>
        <family val="2"/>
        <charset val="1"/>
      </rPr>
      <t xml:space="preserve">(référé), </t>
    </r>
    <r>
      <rPr>
        <sz val="10"/>
        <rFont val="WenQuanYi Zen Hei"/>
        <family val="2"/>
      </rPr>
      <t xml:space="preserve">소유 구조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투자 펀드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부동산 민간회사 </t>
    </r>
    <r>
      <rPr>
        <sz val="10"/>
        <rFont val="Noto Sans CJK SC"/>
        <family val="2"/>
        <charset val="1"/>
      </rPr>
      <t xml:space="preserve">SCI), </t>
    </r>
    <r>
      <rPr>
        <sz val="10"/>
        <rFont val="WenQuanYi Zen Hei"/>
        <family val="2"/>
      </rPr>
      <t xml:space="preserve">소규모 임대인</t>
    </r>
  </si>
  <si>
    <r>
      <rPr>
        <sz val="10"/>
        <rFont val="Arial"/>
        <family val="0"/>
        <charset val="1"/>
      </rPr>
      <t xml:space="preserve">B2. </t>
    </r>
    <r>
      <rPr>
        <sz val="10"/>
        <rFont val="WenQuanYi Zen Hei"/>
        <family val="2"/>
      </rPr>
      <t xml:space="preserve">감정 폭발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설득 구어체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다툼과 화해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발성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소리 높임과 회복의 대비</t>
    </r>
    <r>
      <rPr>
        <sz val="10"/>
        <rFont val="Arial"/>
        <family val="0"/>
        <charset val="1"/>
      </rPr>
      <t xml:space="preserve">. vous → tu </t>
    </r>
    <r>
      <rPr>
        <sz val="10"/>
        <rFont val="WenQuanYi Zen Hei"/>
        <family val="2"/>
      </rPr>
      <t xml:space="preserve">전환</t>
    </r>
    <r>
      <rPr>
        <sz val="10"/>
        <rFont val="Arial"/>
        <family val="0"/>
        <charset val="1"/>
      </rPr>
      <t xml:space="preserve">(tutoiement)</t>
    </r>
    <r>
      <rPr>
        <sz val="10"/>
        <rFont val="WenQuanYi Zen Hei"/>
        <family val="2"/>
      </rPr>
      <t xml:space="preserve">의 시작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</si>
  <si>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Manon: « C'est quoi, un fonds vautour ? » </t>
    </r>
    <r>
      <rPr>
        <sz val="10"/>
        <rFont val="WenQuanYi Zen Hei"/>
        <family val="2"/>
      </rPr>
      <t xml:space="preserve">등 소유 구조 용어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상업등기소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퇴거 유예 규정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민사집행법전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</si>
  <si>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 — 원이 닫힌다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그리고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부로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</si>
  <si>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Le Réseau de résistance — </t>
    </r>
    <r>
      <rPr>
        <b val="true"/>
        <sz val="10"/>
        <color rgb="FFFFFFFF"/>
        <rFont val="WenQuanYi Zen Hei"/>
        <family val="2"/>
      </rPr>
      <t xml:space="preserve">전면전   </t>
    </r>
    <r>
      <rPr>
        <b val="true"/>
        <sz val="10"/>
        <color rgb="FFFFFFFF"/>
        <rFont val="Arial"/>
        <family val="0"/>
        <charset val="1"/>
      </rPr>
      <t xml:space="preserve">|   </t>
    </r>
    <r>
      <rPr>
        <b val="true"/>
        <sz val="10"/>
        <color rgb="FFFFFFFF"/>
        <rFont val="WenQuanYi Zen Hei"/>
        <family val="2"/>
      </rPr>
      <t xml:space="preserve">난이도 </t>
    </r>
    <r>
      <rPr>
        <b val="true"/>
        <sz val="10"/>
        <color rgb="FFFFFFFF"/>
        <rFont val="Arial"/>
        <family val="0"/>
        <charset val="1"/>
      </rPr>
      <t xml:space="preserve">B2~C1   |   </t>
    </r>
    <r>
      <rPr>
        <b val="true"/>
        <sz val="10"/>
        <color rgb="FFFFFFFF"/>
        <rFont val="WenQuanYi Zen Hei"/>
        <family val="2"/>
      </rPr>
      <t xml:space="preserve">사무소 개소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년 후</t>
    </r>
    <r>
      <rPr>
        <b val="true"/>
        <sz val="10"/>
        <color rgb="FFFFFFFF"/>
        <rFont val="Arial"/>
        <family val="0"/>
        <charset val="1"/>
      </rPr>
      <t xml:space="preserve">. </t>
    </r>
    <r>
      <rPr>
        <b val="true"/>
        <sz val="10"/>
        <color rgb="FFFFFFFF"/>
        <rFont val="WenQuanYi Zen Hei"/>
        <family val="2"/>
      </rPr>
      <t xml:space="preserve">법원</t>
    </r>
    <r>
      <rPr>
        <b val="true"/>
        <sz val="10"/>
        <color rgb="FFFFFFFF"/>
        <rFont val="Arial"/>
        <family val="0"/>
        <charset val="1"/>
      </rPr>
      <t xml:space="preserve">, </t>
    </r>
    <r>
      <rPr>
        <b val="true"/>
        <sz val="10"/>
        <color rgb="FFFFFFFF"/>
        <rFont val="WenQuanYi Zen Hei"/>
        <family val="2"/>
      </rPr>
      <t xml:space="preserve">시청 앞</t>
    </r>
    <r>
      <rPr>
        <b val="true"/>
        <sz val="10"/>
        <color rgb="FFFFFFFF"/>
        <rFont val="Arial"/>
        <family val="0"/>
        <charset val="1"/>
      </rPr>
      <t xml:space="preserve">, </t>
    </r>
    <r>
      <rPr>
        <b val="true"/>
        <sz val="10"/>
        <color rgb="FFFFFFFF"/>
        <rFont val="WenQuanYi Zen Hei"/>
        <family val="2"/>
      </rPr>
      <t xml:space="preserve">파리 전역</t>
    </r>
    <r>
      <rPr>
        <b val="true"/>
        <sz val="10"/>
        <color rgb="FFFFFFFF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</si>
  <si>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전문 능력이 결합되어 첫 결정적 승리를 얻지만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법원 결정이 법 앞에서 무력할 수 있음을 배운다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정치의 필요성을 낳는 아크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</si>
  <si>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사무소가 사소 고소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내부고발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보도를 결합해 </t>
    </r>
    <r>
      <rPr>
        <sz val="10"/>
        <rFont val="Noto Sans CJK SC"/>
        <family val="2"/>
        <charset val="1"/>
      </rPr>
      <t xml:space="preserve">Groupe Méridien</t>
    </r>
    <r>
      <rPr>
        <sz val="10"/>
        <rFont val="WenQuanYi Zen Hei"/>
        <family val="2"/>
      </rPr>
      <t xml:space="preserve">을 상대로 전면전을 벌이고 예심판사의 입건 결정을 얻지만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그 승리를 뒤집을 법이 준비되고 있음을 알게 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</si>
  <si>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사건을 푸는 사무소 → 법을 바꿔야 한다는 결론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</si>
  <si>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합법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효율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도청기</t>
    </r>
    <r>
      <rPr>
        <sz val="10"/>
        <rFont val="Noto Sans CJK SC"/>
        <family val="2"/>
        <charset val="1"/>
      </rPr>
      <t xml:space="preserve">) / </t>
    </r>
    <r>
      <rPr>
        <sz val="10"/>
        <rFont val="WenQuanYi Zen Hei"/>
        <family val="2"/>
      </rPr>
      <t xml:space="preserve">승리의 지속 가능성</t>
    </r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</si>
  <si>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(1~3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1</t>
    </r>
    <r>
      <rPr>
        <sz val="10"/>
        <rFont val="WenQuanYi Zen Hei"/>
        <family val="2"/>
      </rPr>
      <t xml:space="preserve">년 후</t>
    </r>
    <r>
      <rPr>
        <sz val="10"/>
        <rFont val="Noto Sans CJK SC"/>
        <family val="2"/>
        <charset val="1"/>
      </rPr>
      <t xml:space="preserve">(Olympe </t>
    </r>
    <r>
      <rPr>
        <sz val="10"/>
        <rFont val="WenQuanYi Zen Hei"/>
        <family val="2"/>
      </rPr>
      <t xml:space="preserve">합류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계단 위의 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불기소된 피해자 사건</t>
    </r>
    <r>
      <rPr>
        <sz val="10"/>
        <rFont val="Noto Sans CJK SC"/>
        <family val="2"/>
        <charset val="1"/>
      </rPr>
      <t xml:space="preserve">(N4).</t>
    </r>
  </si>
  <si>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(4~5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서류 없는 사람들</t>
    </r>
    <r>
      <rPr>
        <sz val="10"/>
        <rFont val="Noto Sans CJK SC"/>
        <family val="2"/>
        <charset val="1"/>
      </rPr>
      <t xml:space="preserve">(S2), Philippe</t>
    </r>
    <r>
      <rPr>
        <sz val="10"/>
        <rFont val="WenQuanYi Zen Hei"/>
        <family val="2"/>
      </rPr>
      <t xml:space="preserve">의 제보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</si>
  <si>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미드포인트</t>
    </r>
    <r>
      <rPr>
        <sz val="10"/>
        <rFont val="Noto Sans CJK SC"/>
        <family val="2"/>
        <charset val="1"/>
      </rPr>
      <t xml:space="preserve">(6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사건 파일 — 인가 반부패 단체와 함께 사소 고소장 제출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</si>
  <si>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(7~9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보복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봉쇄 소송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전등 속 마이크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증거 적법성 논쟁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동네의 보초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</si>
  <si>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절정</t>
    </r>
    <r>
      <rPr>
        <sz val="10"/>
        <rFont val="Noto Sans CJK SC"/>
        <family val="2"/>
        <charset val="1"/>
      </rPr>
      <t xml:space="preserve">(10~11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예심판사의 입건 결정 </t>
    </r>
    <r>
      <rPr>
        <sz val="10"/>
        <rFont val="Noto Sans CJK SC"/>
        <family val="2"/>
        <charset val="1"/>
      </rPr>
      <t xml:space="preserve">/ </t>
    </r>
    <r>
      <rPr>
        <sz val="10"/>
        <rFont val="WenQuanYi Zen Hei"/>
        <family val="2"/>
      </rPr>
      <t xml:space="preserve">다가오는 법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반부패 단체 사소권 제한 법안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</si>
  <si>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훅</t>
    </r>
    <r>
      <rPr>
        <sz val="10"/>
        <rFont val="Noto Sans CJK SC"/>
        <family val="2"/>
        <charset val="1"/>
      </rPr>
      <t xml:space="preserve">(12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레퓌블리크 광장의 의자 — </t>
    </r>
    <r>
      <rPr>
        <sz val="10"/>
        <rFont val="Noto Sans CJK SC"/>
        <family val="2"/>
        <charset val="1"/>
      </rPr>
      <t xml:space="preserve">«Il faut changer la loi.»</t>
    </r>
  </si>
  <si>
    <r>
      <rPr>
        <sz val="10"/>
        <rFont val="Arial"/>
        <family val="0"/>
        <charset val="1"/>
      </rPr>
      <t xml:space="preserve">La Vieille Garde </t>
    </r>
    <r>
      <rPr>
        <sz val="10"/>
        <rFont val="WenQuanYi Zen Hei"/>
        <family val="2"/>
      </rPr>
      <t xml:space="preserve">전원 본격 합류</t>
    </r>
    <r>
      <rPr>
        <sz val="10"/>
        <rFont val="Arial"/>
        <family val="0"/>
        <charset val="1"/>
      </rPr>
      <t xml:space="preserve">. Olympe </t>
    </r>
    <r>
      <rPr>
        <sz val="10"/>
        <rFont val="WenQuanYi Zen Hei"/>
        <family val="2"/>
      </rPr>
      <t xml:space="preserve">첫 등장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피해자 사건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가상 인물</t>
    </r>
    <r>
      <rPr>
        <sz val="10"/>
        <rFont val="Arial"/>
        <family val="0"/>
        <charset val="1"/>
      </rPr>
      <t xml:space="preserve">: Verdier(</t>
    </r>
    <r>
      <rPr>
        <sz val="10"/>
        <rFont val="WenQuanYi Zen Hei"/>
        <family val="2"/>
      </rPr>
      <t xml:space="preserve">회장</t>
    </r>
    <r>
      <rPr>
        <sz val="10"/>
        <rFont val="Arial"/>
        <family val="0"/>
        <charset val="1"/>
      </rPr>
      <t xml:space="preserve">), GM </t>
    </r>
    <r>
      <rPr>
        <sz val="10"/>
        <rFont val="WenQuanYi Zen Hei"/>
        <family val="2"/>
      </rPr>
      <t xml:space="preserve">임원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예심판사</t>
    </r>
    <r>
      <rPr>
        <sz val="10"/>
        <rFont val="Arial"/>
        <family val="0"/>
        <charset val="1"/>
      </rPr>
      <t xml:space="preserve">. Curie</t>
    </r>
    <r>
      <rPr>
        <sz val="10"/>
        <rFont val="WenQuanYi Zen Hei"/>
        <family val="2"/>
      </rPr>
      <t xml:space="preserve">와 </t>
    </r>
    <r>
      <rPr>
        <sz val="10"/>
        <rFont val="Arial"/>
        <family val="0"/>
        <charset val="1"/>
      </rPr>
      <t xml:space="preserve">Nicolas</t>
    </r>
    <r>
      <rPr>
        <sz val="10"/>
        <rFont val="WenQuanYi Zen Hei"/>
        <family val="2"/>
      </rPr>
      <t xml:space="preserve">의 합법성 갈등이 핵심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</si>
  <si>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USB·Philippe </t>
    </r>
    <r>
      <rPr>
        <sz val="10"/>
        <rFont val="WenQuanYi Zen Hei"/>
        <family val="2"/>
      </rPr>
      <t xml:space="preserve">자료</t>
    </r>
    <r>
      <rPr>
        <sz val="10"/>
        <rFont val="Arial"/>
        <family val="0"/>
        <charset val="1"/>
      </rPr>
      <t xml:space="preserve">(→9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도청기 논쟁</t>
    </r>
    <r>
      <rPr>
        <sz val="10"/>
        <rFont val="Arial"/>
        <family val="0"/>
        <charset val="1"/>
      </rPr>
      <t xml:space="preserve">(→11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사소권 제한 법안</t>
    </r>
    <r>
      <rPr>
        <sz val="10"/>
        <rFont val="Arial"/>
        <family val="0"/>
        <charset val="1"/>
      </rPr>
      <t xml:space="preserve">(→8</t>
    </r>
    <r>
      <rPr>
        <sz val="10"/>
        <rFont val="WenQuanYi Zen Hei"/>
        <family val="2"/>
      </rPr>
      <t xml:space="preserve">부 동기</t>
    </r>
    <r>
      <rPr>
        <sz val="10"/>
        <rFont val="Arial"/>
        <family val="0"/>
        <charset val="1"/>
      </rPr>
      <t xml:space="preserve">)</t>
    </r>
  </si>
  <si>
    <t xml:space="preserve">N4● S2● P3●</t>
  </si>
  <si>
    <r>
      <rPr>
        <sz val="10"/>
        <rFont val="WenQuanYi Zen Hei"/>
        <family val="2"/>
      </rPr>
      <t xml:space="preserve">사소 고소</t>
    </r>
    <r>
      <rPr>
        <sz val="10"/>
        <rFont val="Arial"/>
        <family val="0"/>
        <charset val="1"/>
      </rPr>
      <t xml:space="preserve">(plainte avec constitution de partie civile), </t>
    </r>
    <r>
      <rPr>
        <sz val="10"/>
        <rFont val="WenQuanYi Zen Hei"/>
        <family val="2"/>
      </rPr>
      <t xml:space="preserve">인가 반부패 단체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국가금융검찰</t>
    </r>
    <r>
      <rPr>
        <sz val="10"/>
        <rFont val="Arial"/>
        <family val="0"/>
        <charset val="1"/>
      </rPr>
      <t xml:space="preserve">(PNF), </t>
    </r>
    <r>
      <rPr>
        <sz val="10"/>
        <rFont val="WenQuanYi Zen Hei"/>
        <family val="2"/>
      </rPr>
      <t xml:space="preserve">예심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입건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내부고발자 보호</t>
    </r>
    <r>
      <rPr>
        <sz val="10"/>
        <rFont val="Arial"/>
        <family val="0"/>
        <charset val="1"/>
      </rPr>
      <t xml:space="preserve">(Sapin II</t>
    </r>
    <r>
      <rPr>
        <sz val="10"/>
        <rFont val="WenQuanYi Zen Hei"/>
        <family val="2"/>
      </rPr>
      <t xml:space="preserve">법</t>
    </r>
    <r>
      <rPr>
        <sz val="10"/>
        <rFont val="Arial"/>
        <family val="0"/>
        <charset val="1"/>
      </rPr>
      <t xml:space="preserve">·2022</t>
    </r>
    <r>
      <rPr>
        <sz val="10"/>
        <rFont val="WenQuanYi Zen Hei"/>
        <family val="2"/>
      </rPr>
      <t xml:space="preserve">년 법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사생활 침해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형법 제</t>
    </r>
    <r>
      <rPr>
        <sz val="10"/>
        <rFont val="Arial"/>
        <family val="0"/>
        <charset val="1"/>
      </rPr>
      <t xml:space="preserve">226-1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명예훼손</t>
    </r>
    <r>
      <rPr>
        <sz val="10"/>
        <rFont val="Arial"/>
        <family val="0"/>
        <charset val="1"/>
      </rPr>
      <t xml:space="preserve">(1881</t>
    </r>
    <r>
      <rPr>
        <sz val="10"/>
        <rFont val="WenQuanYi Zen Hei"/>
        <family val="2"/>
      </rPr>
      <t xml:space="preserve">년 법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형법 불소급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경한 법 소급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형법 제</t>
    </r>
    <r>
      <rPr>
        <sz val="10"/>
        <rFont val="Arial"/>
        <family val="0"/>
        <charset val="1"/>
      </rPr>
      <t xml:space="preserve">112-1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</si>
  <si>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B2~C1. </t>
    </r>
    <r>
      <rPr>
        <sz val="10"/>
        <rFont val="WenQuanYi Zen Hei"/>
        <family val="2"/>
      </rPr>
      <t xml:space="preserve">집단 소송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성명서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인터뷰 어휘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발성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긴박한 대화와 기자회견 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</si>
  <si>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Manon: plainte·mise en examen·ordonnance </t>
    </r>
    <r>
      <rPr>
        <sz val="10"/>
        <rFont val="WenQuanYi Zen Hei"/>
        <family val="2"/>
      </rPr>
      <t xml:space="preserve">등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: Sapin II</t>
    </r>
    <r>
      <rPr>
        <sz val="10"/>
        <rFont val="WenQuanYi Zen Hei"/>
        <family val="2"/>
      </rPr>
      <t xml:space="preserve">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형사소송법 제</t>
    </r>
    <r>
      <rPr>
        <sz val="10"/>
        <rFont val="Arial"/>
        <family val="0"/>
        <charset val="1"/>
      </rPr>
      <t xml:space="preserve">2-23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형법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</si>
  <si>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레퓌블리크 광장으로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</si>
  <si>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L'Éveil citoyen — </t>
    </r>
    <r>
      <rPr>
        <b val="true"/>
        <sz val="10"/>
        <color rgb="FFFFFFFF"/>
        <rFont val="WenQuanYi Zen Hei"/>
        <family val="2"/>
      </rPr>
      <t xml:space="preserve">정치적 각성과 창당   </t>
    </r>
    <r>
      <rPr>
        <b val="true"/>
        <sz val="10"/>
        <color rgb="FFFFFFFF"/>
        <rFont val="Arial"/>
        <family val="0"/>
        <charset val="1"/>
      </rPr>
      <t xml:space="preserve">|   </t>
    </r>
    <r>
      <rPr>
        <b val="true"/>
        <sz val="10"/>
        <color rgb="FFFFFFFF"/>
        <rFont val="WenQuanYi Zen Hei"/>
        <family val="2"/>
      </rPr>
      <t xml:space="preserve">난이도 </t>
    </r>
    <r>
      <rPr>
        <b val="true"/>
        <sz val="10"/>
        <color rgb="FFFFFFFF"/>
        <rFont val="Arial"/>
        <family val="0"/>
        <charset val="1"/>
      </rPr>
      <t xml:space="preserve">B2~C1   |   </t>
    </r>
    <r>
      <rPr>
        <b val="true"/>
        <sz val="10"/>
        <color rgb="FFFFFFFF"/>
        <rFont val="WenQuanYi Zen Hei"/>
        <family val="2"/>
      </rPr>
      <t xml:space="preserve">사무소 개소 약 </t>
    </r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년 후</t>
    </r>
    <r>
      <rPr>
        <b val="true"/>
        <sz val="10"/>
        <color rgb="FFFFFFFF"/>
        <rFont val="Arial"/>
        <family val="0"/>
        <charset val="1"/>
      </rPr>
      <t xml:space="preserve">. Place de la République → </t>
    </r>
    <r>
      <rPr>
        <b val="true"/>
        <sz val="10"/>
        <color rgb="FFFFFFFF"/>
        <rFont val="WenQuanYi Zen Hei"/>
        <family val="2"/>
      </rPr>
      <t xml:space="preserve">골목길 캠페인 → 파리 시의회 선거</t>
    </r>
    <r>
      <rPr>
        <b val="true"/>
        <sz val="10"/>
        <color rgb="FFFFFFFF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</si>
  <si>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장르 전환점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사건을 푸는 사무소에서 법을 바꾸는 정당으로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시위 신고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하원 청원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정당 결성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선거 절차를 낭독 어휘로 소개한다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</si>
  <si>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법정에서 이겨도 법이 그대로면 소용없다는 걸 안 사무소가 광장으로 나가 하원 시민청원 </t>
    </r>
    <r>
      <rPr>
        <sz val="10"/>
        <rFont val="Noto Sans CJK SC"/>
        <family val="2"/>
        <charset val="1"/>
      </rPr>
      <t xml:space="preserve">50</t>
    </r>
    <r>
      <rPr>
        <sz val="10"/>
        <rFont val="WenQuanYi Zen Hei"/>
        <family val="2"/>
      </rPr>
      <t xml:space="preserve">만 서명을 모으지만 표결 없는 토론으로 끝나자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스스로 정당 </t>
    </r>
    <r>
      <rPr>
        <sz val="10"/>
        <rFont val="Noto Sans CJK SC"/>
        <family val="2"/>
        <charset val="1"/>
      </rPr>
      <t xml:space="preserve">«Maison Commune»</t>
    </r>
    <r>
      <rPr>
        <sz val="10"/>
        <rFont val="WenQuanYi Zen Hei"/>
        <family val="2"/>
      </rPr>
      <t xml:space="preserve">을 만든다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</si>
  <si>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사건 해결자 → 후보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사무소가 정당이 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</si>
  <si>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원칙</t>
    </r>
    <r>
      <rPr>
        <sz val="10"/>
        <rFont val="Noto Sans CJK SC"/>
        <family val="2"/>
        <charset val="1"/>
      </rPr>
      <t xml:space="preserve">(Karim) vs </t>
    </r>
    <r>
      <rPr>
        <sz val="10"/>
        <rFont val="WenQuanYi Zen Hei"/>
        <family val="2"/>
      </rPr>
      <t xml:space="preserve">현실</t>
    </r>
    <r>
      <rPr>
        <sz val="10"/>
        <rFont val="Noto Sans CJK SC"/>
        <family val="2"/>
        <charset val="1"/>
      </rPr>
      <t xml:space="preserve">(Léa) / </t>
    </r>
    <r>
      <rPr>
        <sz val="10"/>
        <rFont val="WenQuanYi Zen Hei"/>
        <family val="2"/>
      </rPr>
      <t xml:space="preserve">순수함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이기는 것</t>
    </r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</si>
  <si>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(1~3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레퓌블리크 집회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사건에서 법으로</t>
    </r>
    <r>
      <rPr>
        <sz val="10"/>
        <rFont val="Noto Sans CJK SC"/>
        <family val="2"/>
        <charset val="1"/>
      </rPr>
      <t xml:space="preserve">, 50</t>
    </r>
    <r>
      <rPr>
        <sz val="10"/>
        <rFont val="WenQuanYi Zen Hei"/>
        <family val="2"/>
      </rPr>
      <t xml:space="preserve">만 서명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</si>
  <si>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전환점</t>
    </r>
    <r>
      <rPr>
        <sz val="10"/>
        <rFont val="Noto Sans CJK SC"/>
        <family val="2"/>
        <charset val="1"/>
      </rPr>
      <t xml:space="preserve">(4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표결 없는 본회의 토론 — 청원은 법이 되지 못한다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</si>
  <si>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미드포인트</t>
    </r>
    <r>
      <rPr>
        <sz val="10"/>
        <rFont val="Noto Sans CJK SC"/>
        <family val="2"/>
        <charset val="1"/>
      </rPr>
      <t xml:space="preserve">(5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정당의 탄생 — 창립 정관 서명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이름 </t>
    </r>
    <r>
      <rPr>
        <sz val="10"/>
        <rFont val="Noto Sans CJK SC"/>
        <family val="2"/>
        <charset val="1"/>
      </rPr>
      <t xml:space="preserve">«Maison Commune».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</si>
  <si>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(6~9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정관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내부 민주주의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남녀 동수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깨끗한 돈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후보 명부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골목길 캠페인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</si>
  <si>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절정</t>
    </r>
    <r>
      <rPr>
        <sz val="10"/>
        <rFont val="Noto Sans CJK SC"/>
        <family val="2"/>
        <charset val="1"/>
      </rPr>
      <t xml:space="preserve">(10~11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언론의 공격과 반론권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투표 전날의 침묵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</si>
  <si>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훅</t>
    </r>
    <r>
      <rPr>
        <sz val="10"/>
        <rFont val="Noto Sans CJK SC"/>
        <family val="2"/>
        <charset val="1"/>
      </rPr>
      <t xml:space="preserve">(12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개표의 밤 — 파리 시의회 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석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</si>
  <si>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Arial"/>
        <family val="0"/>
        <charset val="1"/>
      </rPr>
      <t xml:space="preserve">Hugo: </t>
    </r>
    <r>
      <rPr>
        <sz val="10"/>
        <rFont val="WenQuanYi Zen Hei"/>
        <family val="2"/>
      </rPr>
      <t xml:space="preserve">첫 문장 → 정당 이름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연설문</t>
    </r>
    <r>
      <rPr>
        <sz val="10"/>
        <rFont val="Arial"/>
        <family val="0"/>
        <charset val="1"/>
      </rPr>
      <t xml:space="preserve">. Karim vs Léa</t>
    </r>
    <r>
      <rPr>
        <sz val="10"/>
        <rFont val="WenQuanYi Zen Hei"/>
        <family val="2"/>
      </rPr>
      <t xml:space="preserve">의 원칙 논쟁</t>
    </r>
    <r>
      <rPr>
        <sz val="10"/>
        <rFont val="Arial"/>
        <family val="0"/>
        <charset val="1"/>
      </rPr>
      <t xml:space="preserve">. Olympe: </t>
    </r>
    <r>
      <rPr>
        <sz val="10"/>
        <rFont val="WenQuanYi Zen Hei"/>
        <family val="2"/>
      </rPr>
      <t xml:space="preserve">정관과 남녀 동수</t>
    </r>
    <r>
      <rPr>
        <sz val="10"/>
        <rFont val="Arial"/>
        <family val="0"/>
        <charset val="1"/>
      </rPr>
      <t xml:space="preserve">. Julien·Camille=</t>
    </r>
    <r>
      <rPr>
        <sz val="10"/>
        <rFont val="WenQuanYi Zen Hei"/>
        <family val="2"/>
      </rPr>
      <t xml:space="preserve">시의회 후보</t>
    </r>
    <r>
      <rPr>
        <sz val="10"/>
        <rFont val="Arial"/>
        <family val="0"/>
        <charset val="1"/>
      </rPr>
      <t xml:space="preserve">. Manon: </t>
    </r>
    <r>
      <rPr>
        <sz val="10"/>
        <rFont val="WenQuanYi Zen Hei"/>
        <family val="2"/>
      </rPr>
      <t xml:space="preserve">첫 명부 실무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</si>
  <si>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Karim–Léa </t>
    </r>
    <r>
      <rPr>
        <sz val="10"/>
        <rFont val="WenQuanYi Zen Hei"/>
        <family val="2"/>
      </rPr>
      <t xml:space="preserve">화해</t>
    </r>
    <r>
      <rPr>
        <sz val="10"/>
        <rFont val="Arial"/>
        <family val="0"/>
        <charset val="1"/>
      </rPr>
      <t xml:space="preserve">(→10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정당 이름의 유래</t>
    </r>
    <r>
      <rPr>
        <sz val="10"/>
        <rFont val="Arial"/>
        <family val="0"/>
        <charset val="1"/>
      </rPr>
      <t xml:space="preserve">(Monique</t>
    </r>
    <r>
      <rPr>
        <sz val="10"/>
        <rFont val="WenQuanYi Zen Hei"/>
        <family val="2"/>
      </rPr>
      <t xml:space="preserve">의 식탁</t>
    </r>
    <r>
      <rPr>
        <sz val="10"/>
        <rFont val="Arial"/>
        <family val="0"/>
        <charset val="1"/>
      </rPr>
      <t xml:space="preserve">)(→13</t>
    </r>
    <r>
      <rPr>
        <sz val="10"/>
        <rFont val="WenQuanYi Zen Hei"/>
        <family val="2"/>
      </rPr>
      <t xml:space="preserve">부 마지막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반론권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언론 갈등</t>
    </r>
    <r>
      <rPr>
        <sz val="10"/>
        <rFont val="Arial"/>
        <family val="0"/>
        <charset val="1"/>
      </rPr>
      <t xml:space="preserve">(→9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</t>
    </r>
  </si>
  <si>
    <t xml:space="preserve">P1○ E1○ E2○ S1○ S2○ N4○</t>
  </si>
  <si>
    <r>
      <rPr>
        <sz val="10"/>
        <rFont val="WenQuanYi Zen Hei"/>
        <family val="2"/>
      </rPr>
      <t xml:space="preserve">시위 사전 신고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국내안전법전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하원 청원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의사규칙 제</t>
    </r>
    <r>
      <rPr>
        <sz val="10"/>
        <rFont val="Noto Sans CJK SC"/>
        <family val="2"/>
        <charset val="1"/>
      </rPr>
      <t xml:space="preserve">148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정당 결성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4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1901</t>
    </r>
    <r>
      <rPr>
        <sz val="10"/>
        <rFont val="WenQuanYi Zen Hei"/>
        <family val="2"/>
      </rPr>
      <t xml:space="preserve">년 결사법</t>
    </r>
    <r>
      <rPr>
        <sz val="10"/>
        <rFont val="Noto Sans CJK SC"/>
        <family val="2"/>
        <charset val="1"/>
      </rPr>
      <t xml:space="preserve">, 1988</t>
    </r>
    <r>
      <rPr>
        <sz val="10"/>
        <rFont val="WenQuanYi Zen Hei"/>
        <family val="2"/>
      </rPr>
      <t xml:space="preserve">년 정치자금투명성법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정치자금 감독</t>
    </r>
    <r>
      <rPr>
        <sz val="10"/>
        <rFont val="Noto Sans CJK SC"/>
        <family val="2"/>
        <charset val="1"/>
      </rPr>
      <t xml:space="preserve">(CNCCFP), </t>
    </r>
    <r>
      <rPr>
        <sz val="10"/>
        <rFont val="WenQuanYi Zen Hei"/>
        <family val="2"/>
      </rPr>
      <t xml:space="preserve">남녀 교대 명부</t>
    </r>
    <r>
      <rPr>
        <sz val="10"/>
        <rFont val="Noto Sans CJK SC"/>
        <family val="2"/>
        <charset val="1"/>
      </rPr>
      <t xml:space="preserve">(2000</t>
    </r>
    <r>
      <rPr>
        <sz val="10"/>
        <rFont val="WenQuanYi Zen Hei"/>
        <family val="2"/>
      </rPr>
      <t xml:space="preserve">년 법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반론권</t>
    </r>
    <r>
      <rPr>
        <sz val="10"/>
        <rFont val="Noto Sans CJK SC"/>
        <family val="2"/>
        <charset val="1"/>
      </rPr>
      <t xml:space="preserve">(1881</t>
    </r>
    <r>
      <rPr>
        <sz val="10"/>
        <rFont val="WenQuanYi Zen Hei"/>
        <family val="2"/>
      </rPr>
      <t xml:space="preserve">년 법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투표 전날 선거운동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여론조사 공표 금지</t>
    </r>
  </si>
  <si>
    <r>
      <rPr>
        <sz val="10"/>
        <rFont val="Arial"/>
        <family val="0"/>
        <charset val="1"/>
      </rPr>
      <t xml:space="preserve">B2~C1. </t>
    </r>
    <r>
      <rPr>
        <sz val="10"/>
        <rFont val="WenQuanYi Zen Hei"/>
        <family val="2"/>
      </rPr>
      <t xml:space="preserve">연설</t>
    </r>
    <r>
      <rPr>
        <sz val="10"/>
        <rFont val="Arial"/>
        <family val="0"/>
        <charset val="1"/>
      </rPr>
      <t xml:space="preserve">(discours)·</t>
    </r>
    <r>
      <rPr>
        <sz val="10"/>
        <rFont val="WenQuanYi Zen Hei"/>
        <family val="2"/>
      </rPr>
      <t xml:space="preserve">구호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선언문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접속법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발성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광장 연설의 볼륨과 호흡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</si>
  <si>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Manon: pétition·liste électorale·siège </t>
    </r>
    <r>
      <rPr>
        <sz val="10"/>
        <rFont val="WenQuanYi Zen Hei"/>
        <family val="2"/>
      </rPr>
      <t xml:space="preserve">등 선거 용어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: 1988</t>
    </r>
    <r>
      <rPr>
        <sz val="10"/>
        <rFont val="WenQuanYi Zen Hei"/>
        <family val="2"/>
      </rPr>
      <t xml:space="preserve">년 정치자금법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선거법전</t>
    </r>
    <r>
      <rPr>
        <sz val="10"/>
        <rFont val="Arial"/>
        <family val="0"/>
        <charset val="1"/>
      </rPr>
      <t xml:space="preserve">(Code électoral), CNCCFP.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</si>
  <si>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파리 시의회 — 소수 야당의 싸움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</si>
  <si>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À l'Hôtel de Ville — </t>
    </r>
    <r>
      <rPr>
        <b val="true"/>
        <sz val="10"/>
        <color rgb="FFFFFFFF"/>
        <rFont val="WenQuanYi Zen Hei"/>
        <family val="2"/>
      </rPr>
      <t xml:space="preserve">파리 시의회   </t>
    </r>
    <r>
      <rPr>
        <b val="true"/>
        <sz val="10"/>
        <color rgb="FFFFFFFF"/>
        <rFont val="Arial"/>
        <family val="0"/>
        <charset val="1"/>
      </rPr>
      <t xml:space="preserve">|   </t>
    </r>
    <r>
      <rPr>
        <b val="true"/>
        <sz val="10"/>
        <color rgb="FFFFFFFF"/>
        <rFont val="WenQuanYi Zen Hei"/>
        <family val="2"/>
      </rPr>
      <t xml:space="preserve">난이도 </t>
    </r>
    <r>
      <rPr>
        <b val="true"/>
        <sz val="10"/>
        <color rgb="FFFFFFFF"/>
        <rFont val="Arial"/>
        <family val="0"/>
        <charset val="1"/>
      </rPr>
      <t xml:space="preserve">C1   |   </t>
    </r>
    <r>
      <rPr>
        <b val="true"/>
        <sz val="10"/>
        <color rgb="FFFFFFFF"/>
        <rFont val="WenQuanYi Zen Hei"/>
        <family val="2"/>
      </rPr>
      <t xml:space="preserve">시의회 선거 직후 </t>
    </r>
    <r>
      <rPr>
        <b val="true"/>
        <sz val="10"/>
        <color rgb="FFFFFFFF"/>
        <rFont val="Arial"/>
        <family val="0"/>
        <charset val="1"/>
      </rPr>
      <t xml:space="preserve">~ </t>
    </r>
    <r>
      <rPr>
        <b val="true"/>
        <sz val="10"/>
        <color rgb="FFFFFFFF"/>
        <rFont val="WenQuanYi Zen Hei"/>
        <family val="2"/>
      </rPr>
      <t xml:space="preserve">임기 중반</t>
    </r>
    <r>
      <rPr>
        <b val="true"/>
        <sz val="10"/>
        <color rgb="FFFFFFFF"/>
        <rFont val="Arial"/>
        <family val="0"/>
        <charset val="1"/>
      </rPr>
      <t xml:space="preserve">. Hôtel de Ville, Conseil de Paris, AP-HP </t>
    </r>
    <r>
      <rPr>
        <b val="true"/>
        <sz val="10"/>
        <color rgb="FFFFFFFF"/>
        <rFont val="WenQuanYi Zen Hei"/>
        <family val="2"/>
      </rPr>
      <t xml:space="preserve">감독위원회</t>
    </r>
    <r>
      <rPr>
        <b val="true"/>
        <sz val="10"/>
        <color rgb="FFFFFFFF"/>
        <rFont val="Arial"/>
        <family val="0"/>
        <charset val="1"/>
      </rPr>
      <t xml:space="preserve">, </t>
    </r>
    <r>
      <rPr>
        <b val="true"/>
        <sz val="10"/>
        <color rgb="FFFFFFFF"/>
        <rFont val="WenQuanYi Zen Hei"/>
        <family val="2"/>
      </rPr>
      <t xml:space="preserve">당사</t>
    </r>
    <r>
      <rPr>
        <b val="true"/>
        <sz val="10"/>
        <color rgb="FFFFFFFF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</si>
  <si>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제도 안의 싸움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소수 야당으로 예산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계약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병원 외주를 파헤치며 권력의 내부를 배운다</t>
    </r>
    <r>
      <rPr>
        <sz val="10"/>
        <rFont val="Noto Sans CJK SC"/>
        <family val="2"/>
        <charset val="1"/>
      </rPr>
      <t xml:space="preserve">. Manon</t>
    </r>
    <r>
      <rPr>
        <sz val="10"/>
        <rFont val="WenQuanYi Zen Hei"/>
        <family val="2"/>
      </rPr>
      <t xml:space="preserve">의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차 폭발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이번엔 옳다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마지막에 국정으로 뛰어든다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</si>
  <si>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시의원 </t>
    </r>
    <r>
      <rPr>
        <sz val="10"/>
        <rFont val="Noto Sans CJK SC"/>
        <family val="2"/>
        <charset val="1"/>
      </rPr>
      <t xml:space="preserve">Julien</t>
    </r>
    <r>
      <rPr>
        <sz val="10"/>
        <rFont val="WenQuanYi Zen Hei"/>
        <family val="2"/>
      </rPr>
      <t xml:space="preserve">과 </t>
    </r>
    <r>
      <rPr>
        <sz val="10"/>
        <rFont val="Noto Sans CJK SC"/>
        <family val="2"/>
        <charset val="1"/>
      </rPr>
      <t xml:space="preserve">Camille</t>
    </r>
    <r>
      <rPr>
        <sz val="10"/>
        <rFont val="WenQuanYi Zen Hei"/>
        <family val="2"/>
      </rPr>
      <t xml:space="preserve">가 예산과 계약을 파헤쳐 </t>
    </r>
    <r>
      <rPr>
        <sz val="10"/>
        <rFont val="Noto Sans CJK SC"/>
        <family val="2"/>
        <charset val="1"/>
      </rPr>
      <t xml:space="preserve">Groupe Méridien</t>
    </r>
    <r>
      <rPr>
        <sz val="10"/>
        <rFont val="WenQuanYi Zen Hei"/>
        <family val="2"/>
      </rPr>
      <t xml:space="preserve">으로 이어지는 스캔들을 폭로하고 고소로 잇지만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정치는 사법을 기다려 주지 않는다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그리고 </t>
    </r>
    <r>
      <rPr>
        <sz val="10"/>
        <rFont val="Noto Sans CJK SC"/>
        <family val="2"/>
        <charset val="1"/>
      </rPr>
      <t xml:space="preserve">Nicolas</t>
    </r>
    <r>
      <rPr>
        <sz val="10"/>
        <rFont val="WenQuanYi Zen Hei"/>
        <family val="2"/>
      </rPr>
      <t xml:space="preserve">가 대선 출마를 선언한다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</si>
  <si>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구경꾼 → 견제자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순진함 → 제도의 요령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</si>
  <si>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동맹의 대가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원칙 </t>
    </r>
    <r>
      <rPr>
        <sz val="10"/>
        <rFont val="Noto Sans CJK SC"/>
        <family val="2"/>
        <charset val="1"/>
      </rPr>
      <t xml:space="preserve">/ </t>
    </r>
    <r>
      <rPr>
        <sz val="10"/>
        <rFont val="WenQuanYi Zen Hei"/>
        <family val="2"/>
      </rPr>
      <t xml:space="preserve">폭로의 합법성</t>
    </r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</si>
  <si>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(1~3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시의회 개원과 시장 선출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첫 본회의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도시 예산 감사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</si>
  <si>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(4~5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계약 돋보기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회복기금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공공 임대주택 기관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불편한 동맹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</si>
  <si>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미드포인트</t>
    </r>
    <r>
      <rPr>
        <sz val="10"/>
        <rFont val="Noto Sans CJK SC"/>
        <family val="2"/>
        <charset val="1"/>
      </rPr>
      <t xml:space="preserve">(6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예산의 덫 — 주거 보조 삭감 조항</t>
    </r>
    <r>
      <rPr>
        <sz val="10"/>
        <rFont val="Noto Sans CJK SC"/>
        <family val="2"/>
        <charset val="1"/>
      </rPr>
      <t xml:space="preserve">, Manon 2</t>
    </r>
    <r>
      <rPr>
        <sz val="10"/>
        <rFont val="WenQuanYi Zen Hei"/>
        <family val="2"/>
      </rPr>
      <t xml:space="preserve">차 폭발</t>
    </r>
    <r>
      <rPr>
        <sz val="10"/>
        <rFont val="Noto Sans CJK SC"/>
        <family val="2"/>
        <charset val="1"/>
      </rPr>
      <t xml:space="preserve">(Karim</t>
    </r>
    <r>
      <rPr>
        <sz val="10"/>
        <rFont val="WenQuanYi Zen Hei"/>
        <family val="2"/>
      </rPr>
      <t xml:space="preserve">의 욕 포함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</si>
  <si>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(7~9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시의회에서의 보건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의료 사막</t>
    </r>
    <r>
      <rPr>
        <sz val="10"/>
        <rFont val="Noto Sans CJK SC"/>
        <family val="2"/>
        <charset val="1"/>
      </rPr>
      <t xml:space="preserve">·AP-HP), </t>
    </r>
    <r>
      <rPr>
        <sz val="10"/>
        <rFont val="WenQuanYi Zen Hei"/>
        <family val="2"/>
      </rPr>
      <t xml:space="preserve">스캔들 폭로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고소장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사법 지연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</si>
  <si>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WenQuanYi Zen Hei"/>
        <family val="2"/>
      </rPr>
      <t xml:space="preserve">절정</t>
    </r>
    <r>
      <rPr>
        <sz val="10"/>
        <rFont val="Noto Sans CJK SC"/>
        <family val="2"/>
        <charset val="1"/>
      </rPr>
      <t xml:space="preserve">(10~11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권력의 반격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당내 경선 — 의리의 시험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</si>
  <si>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훅</t>
    </r>
    <r>
      <rPr>
        <sz val="10"/>
        <rFont val="Noto Sans CJK SC"/>
        <family val="2"/>
        <charset val="1"/>
      </rPr>
      <t xml:space="preserve">(12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대선 출마 선언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추천서 수집 시작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</si>
  <si>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Julien·Camille</t>
    </r>
    <r>
      <rPr>
        <sz val="10"/>
        <rFont val="WenQuanYi Zen Hei"/>
        <family val="2"/>
      </rPr>
      <t xml:space="preserve">는 각자 시의회 무대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보건</t>
    </r>
    <r>
      <rPr>
        <sz val="10"/>
        <rFont val="Arial"/>
        <family val="0"/>
        <charset val="1"/>
      </rPr>
      <t xml:space="preserve">). Manon: </t>
    </r>
    <r>
      <rPr>
        <sz val="10"/>
        <rFont val="WenQuanYi Zen Hei"/>
        <family val="2"/>
      </rPr>
      <t xml:space="preserve">시의원 보좌</t>
    </r>
    <r>
      <rPr>
        <sz val="10"/>
        <rFont val="Arial"/>
        <family val="0"/>
        <charset val="1"/>
      </rPr>
      <t xml:space="preserve">. Curie·Voltaire·Philippe: </t>
    </r>
    <r>
      <rPr>
        <sz val="10"/>
        <rFont val="WenQuanYi Zen Hei"/>
        <family val="2"/>
      </rPr>
      <t xml:space="preserve">스캔들 증거와 보도</t>
    </r>
    <r>
      <rPr>
        <sz val="10"/>
        <rFont val="Arial"/>
        <family val="0"/>
        <charset val="1"/>
      </rPr>
      <t xml:space="preserve">. Karim·Léa: </t>
    </r>
    <r>
      <rPr>
        <sz val="10"/>
        <rFont val="WenQuanYi Zen Hei"/>
        <family val="2"/>
      </rPr>
      <t xml:space="preserve">동맹 갈등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</si>
  <si>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Manon 2</t>
    </r>
    <r>
      <rPr>
        <sz val="10"/>
        <rFont val="WenQuanYi Zen Hei"/>
        <family val="2"/>
      </rPr>
      <t xml:space="preserve">차 폭발</t>
    </r>
    <r>
      <rPr>
        <sz val="10"/>
        <rFont val="Arial"/>
        <family val="0"/>
        <charset val="1"/>
      </rPr>
      <t xml:space="preserve">(1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차의 회수</t>
    </r>
    <r>
      <rPr>
        <sz val="10"/>
        <rFont val="Arial"/>
        <family val="0"/>
        <charset val="1"/>
      </rPr>
      <t xml:space="preserve">) / Méridien </t>
    </r>
    <r>
      <rPr>
        <sz val="10"/>
        <rFont val="WenQuanYi Zen Hei"/>
        <family val="2"/>
      </rPr>
      <t xml:space="preserve">스캔들</t>
    </r>
    <r>
      <rPr>
        <sz val="10"/>
        <rFont val="Arial"/>
        <family val="0"/>
        <charset val="1"/>
      </rPr>
      <t xml:space="preserve">(→11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</t>
    </r>
  </si>
  <si>
    <t xml:space="preserve">P1● P3● E1● N2● S3●</t>
  </si>
  <si>
    <r>
      <rPr>
        <sz val="10"/>
        <rFont val="Arial"/>
        <family val="0"/>
        <charset val="1"/>
      </rPr>
      <t xml:space="preserve">Conseil de Paris </t>
    </r>
    <r>
      <rPr>
        <sz val="10"/>
        <rFont val="WenQuanYi Zen Hei"/>
        <family val="2"/>
      </rPr>
      <t xml:space="preserve">운영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시장 선출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지방자치법전 </t>
    </r>
    <r>
      <rPr>
        <sz val="10"/>
        <rFont val="Arial"/>
        <family val="0"/>
        <charset val="1"/>
      </rPr>
      <t xml:space="preserve">L.2122-7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예산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단일 결산서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공공조달법전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지방재정감사원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보건은 국가</t>
    </r>
    <r>
      <rPr>
        <sz val="10"/>
        <rFont val="Arial"/>
        <family val="0"/>
        <charset val="1"/>
      </rPr>
      <t xml:space="preserve">(ARS) </t>
    </r>
    <r>
      <rPr>
        <sz val="10"/>
        <rFont val="WenQuanYi Zen Hei"/>
        <family val="2"/>
      </rPr>
      <t xml:space="preserve">권한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파리 시장의 </t>
    </r>
    <r>
      <rPr>
        <sz val="10"/>
        <rFont val="Arial"/>
        <family val="0"/>
        <charset val="1"/>
      </rPr>
      <t xml:space="preserve">AP-HP </t>
    </r>
    <r>
      <rPr>
        <sz val="10"/>
        <rFont val="WenQuanYi Zen Hei"/>
        <family val="2"/>
      </rPr>
      <t xml:space="preserve">감독위원회 의장직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조사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고소</t>
    </r>
    <r>
      <rPr>
        <sz val="10"/>
        <rFont val="Arial"/>
        <family val="0"/>
        <charset val="1"/>
      </rPr>
      <t xml:space="preserve">, Sapin II</t>
    </r>
    <r>
      <rPr>
        <sz val="10"/>
        <rFont val="WenQuanYi Zen Hei"/>
        <family val="2"/>
      </rPr>
      <t xml:space="preserve">법</t>
    </r>
  </si>
  <si>
    <r>
      <rPr>
        <sz val="10"/>
        <rFont val="Arial"/>
        <family val="0"/>
        <charset val="1"/>
      </rPr>
      <t xml:space="preserve">C1. </t>
    </r>
    <r>
      <rPr>
        <sz val="10"/>
        <rFont val="WenQuanYi Zen Hei"/>
        <family val="2"/>
      </rPr>
      <t xml:space="preserve">회의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표결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결의안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질의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답변</t>
    </r>
    <r>
      <rPr>
        <sz val="10"/>
        <rFont val="Arial"/>
        <family val="0"/>
        <charset val="1"/>
      </rPr>
      <t xml:space="preserve">, «Madame la Maire», «Monsieur le conseiller» </t>
    </r>
    <r>
      <rPr>
        <sz val="10"/>
        <rFont val="WenQuanYi Zen Hei"/>
        <family val="2"/>
      </rPr>
      <t xml:space="preserve">호칭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발성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정확하고 절제된 회의체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</si>
  <si>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Manon: marché public·appel d'offres·amendement </t>
    </r>
    <r>
      <rPr>
        <sz val="10"/>
        <rFont val="WenQuanYi Zen Hei"/>
        <family val="2"/>
      </rPr>
      <t xml:space="preserve">등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공공조달법전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지방자치법전</t>
    </r>
    <r>
      <rPr>
        <sz val="10"/>
        <rFont val="Arial"/>
        <family val="0"/>
        <charset val="1"/>
      </rPr>
      <t xml:space="preserve">(CGCT), Conseil de Paris </t>
    </r>
    <r>
      <rPr>
        <sz val="10"/>
        <rFont val="WenQuanYi Zen Hei"/>
        <family val="2"/>
      </rPr>
      <t xml:space="preserve">의사규칙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</si>
  <si>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대선 — 추천서 </t>
    </r>
    <r>
      <rPr>
        <sz val="10"/>
        <rFont val="Arial"/>
        <family val="0"/>
        <charset val="1"/>
      </rPr>
      <t xml:space="preserve">500</t>
    </r>
    <r>
      <rPr>
        <sz val="10"/>
        <rFont val="WenQuanYi Zen Hei"/>
        <family val="2"/>
      </rPr>
      <t xml:space="preserve">장에서 엘리제까지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</si>
  <si>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Vers l'Élysée — </t>
    </r>
    <r>
      <rPr>
        <b val="true"/>
        <sz val="10"/>
        <color rgb="FFFFFFFF"/>
        <rFont val="WenQuanYi Zen Hei"/>
        <family val="2"/>
      </rPr>
      <t xml:space="preserve">대선에서 대통령 취임까지   </t>
    </r>
    <r>
      <rPr>
        <b val="true"/>
        <sz val="10"/>
        <color rgb="FFFFFFFF"/>
        <rFont val="Arial"/>
        <family val="0"/>
        <charset val="1"/>
      </rPr>
      <t xml:space="preserve">|   </t>
    </r>
    <r>
      <rPr>
        <b val="true"/>
        <sz val="10"/>
        <color rgb="FFFFFFFF"/>
        <rFont val="WenQuanYi Zen Hei"/>
        <family val="2"/>
      </rPr>
      <t xml:space="preserve">난이도 </t>
    </r>
    <r>
      <rPr>
        <b val="true"/>
        <sz val="10"/>
        <color rgb="FFFFFFFF"/>
        <rFont val="Arial"/>
        <family val="0"/>
        <charset val="1"/>
      </rPr>
      <t xml:space="preserve">C1~C2   |   9</t>
    </r>
    <r>
      <rPr>
        <b val="true"/>
        <sz val="10"/>
        <color rgb="FFFFFFFF"/>
        <rFont val="WenQuanYi Zen Hei"/>
        <family val="2"/>
      </rPr>
      <t xml:space="preserve">부 이후 약 </t>
    </r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개월</t>
    </r>
    <r>
      <rPr>
        <b val="true"/>
        <sz val="10"/>
        <color rgb="FFFFFFFF"/>
        <rFont val="Arial"/>
        <family val="0"/>
        <charset val="1"/>
      </rPr>
      <t xml:space="preserve">. Conseil constitutionnel, TV </t>
    </r>
    <r>
      <rPr>
        <b val="true"/>
        <sz val="10"/>
        <color rgb="FFFFFFFF"/>
        <rFont val="WenQuanYi Zen Hei"/>
        <family val="2"/>
      </rPr>
      <t xml:space="preserve">스튜디오</t>
    </r>
    <r>
      <rPr>
        <b val="true"/>
        <sz val="10"/>
        <color rgb="FFFFFFFF"/>
        <rFont val="Arial"/>
        <family val="0"/>
        <charset val="1"/>
      </rPr>
      <t xml:space="preserve">, Élysée, Assemblée nationale.</t>
    </r>
  </si>
  <si>
    <r>
      <rPr>
        <sz val="10"/>
        <rFont val="WenQuanYi Zen Hei"/>
        <family val="2"/>
      </rPr>
      <t xml:space="preserve">긴장의 정점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현실의 대통령 선출 절차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추천서 </t>
    </r>
    <r>
      <rPr>
        <sz val="10"/>
        <rFont val="Noto Sans CJK SC"/>
        <family val="2"/>
        <charset val="1"/>
      </rPr>
      <t xml:space="preserve">500</t>
    </r>
    <r>
      <rPr>
        <sz val="10"/>
        <rFont val="WenQuanYi Zen Hei"/>
        <family val="2"/>
      </rPr>
      <t xml:space="preserve">장</t>
    </r>
    <r>
      <rPr>
        <sz val="10"/>
        <rFont val="Noto Sans CJK SC"/>
        <family val="2"/>
        <charset val="1"/>
      </rPr>
      <t xml:space="preserve">, 1</t>
    </r>
    <r>
      <rPr>
        <sz val="10"/>
        <rFont val="WenQuanYi Zen Hei"/>
        <family val="2"/>
      </rPr>
      <t xml:space="preserve">차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결선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결과 선포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취임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와 그 뒤의 해산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총선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총리 임명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불신임안을 드라마로 옮긴다</t>
    </r>
    <r>
      <rPr>
        <sz val="10"/>
        <rFont val="Noto Sans CJK SC"/>
        <family val="2"/>
        <charset val="1"/>
      </rPr>
      <t xml:space="preserve">. Nicolas</t>
    </r>
    <r>
      <rPr>
        <sz val="10"/>
        <rFont val="WenQuanYi Zen Hei"/>
        <family val="2"/>
      </rPr>
      <t xml:space="preserve">가 연설가가 되는 순간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</si>
  <si>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선출직 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명뿐인 신생 정당이 시골 시장들의 추천서로 대선에 나가 결선에서 이기고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국회를 해산해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당이 되지만 과반은 못 얻어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첫 불신임안을 단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표 차로 넘긴다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</si>
  <si>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시의회 소수당 → 대통령과 상대다수 정부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</si>
  <si>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원칙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협상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결선 지지 선언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코르시카 자치</t>
    </r>
    <r>
      <rPr>
        <sz val="10"/>
        <rFont val="Noto Sans CJK SC"/>
        <family val="2"/>
        <charset val="1"/>
      </rPr>
      <t xml:space="preserve">) / </t>
    </r>
    <r>
      <rPr>
        <sz val="10"/>
        <rFont val="WenQuanYi Zen Hei"/>
        <family val="2"/>
      </rPr>
      <t xml:space="preserve">피로</t>
    </r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</si>
  <si>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(1~3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추천서 </t>
    </r>
    <r>
      <rPr>
        <sz val="10"/>
        <rFont val="Noto Sans CJK SC"/>
        <family val="2"/>
        <charset val="1"/>
      </rPr>
      <t xml:space="preserve">500</t>
    </r>
    <r>
      <rPr>
        <sz val="10"/>
        <rFont val="WenQuanYi Zen Hei"/>
        <family val="2"/>
      </rPr>
      <t xml:space="preserve">장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시장들을 찾아 농촌 순회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농촌 공동화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가뭄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영농형 태양광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다자 </t>
    </r>
    <r>
      <rPr>
        <sz val="10"/>
        <rFont val="Noto Sans CJK SC"/>
        <family val="2"/>
        <charset val="1"/>
      </rPr>
      <t xml:space="preserve">TV </t>
    </r>
    <r>
      <rPr>
        <sz val="10"/>
        <rFont val="WenQuanYi Zen Hei"/>
        <family val="2"/>
      </rPr>
      <t xml:space="preserve">토론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</si>
  <si>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전환점</t>
    </r>
    <r>
      <rPr>
        <sz val="10"/>
        <rFont val="Noto Sans CJK SC"/>
        <family val="2"/>
        <charset val="1"/>
      </rPr>
      <t xml:space="preserve">(4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1</t>
    </r>
    <r>
      <rPr>
        <sz val="10"/>
        <rFont val="WenQuanYi Zen Hei"/>
        <family val="2"/>
      </rPr>
      <t xml:space="preserve">차 투표 —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위로 결선 진출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(5~6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결선까지의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주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결선 </t>
    </r>
    <r>
      <rPr>
        <sz val="10"/>
        <rFont val="Noto Sans CJK SC"/>
        <family val="2"/>
        <charset val="1"/>
      </rPr>
      <t xml:space="preserve">TV </t>
    </r>
    <r>
      <rPr>
        <sz val="10"/>
        <rFont val="WenQuanYi Zen Hei"/>
        <family val="2"/>
      </rPr>
      <t xml:space="preserve">토론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</si>
  <si>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미드포인트</t>
    </r>
    <r>
      <rPr>
        <sz val="10"/>
        <rFont val="Noto Sans CJK SC"/>
        <family val="2"/>
        <charset val="1"/>
      </rPr>
      <t xml:space="preserve">(7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결선 승리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</si>
  <si>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(8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헌법재판소의 결과 선포와 엘리제 취임식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선서 없음</t>
    </r>
    <r>
      <rPr>
        <sz val="10"/>
        <rFont val="Noto Sans CJK SC"/>
        <family val="2"/>
        <charset val="1"/>
      </rPr>
      <t xml:space="preserve">) — Napoléon</t>
    </r>
    <r>
      <rPr>
        <sz val="10"/>
        <rFont val="WenQuanYi Zen Hei"/>
        <family val="2"/>
      </rPr>
      <t xml:space="preserve">의 해설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</si>
  <si>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전환점</t>
    </r>
    <r>
      <rPr>
        <sz val="10"/>
        <rFont val="Noto Sans CJK SC"/>
        <family val="2"/>
        <charset val="1"/>
      </rPr>
      <t xml:space="preserve">(9~10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국회 해산과 총선 —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당이지만 과반 미달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</si>
  <si>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절정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(11~12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총리 </t>
    </r>
    <r>
      <rPr>
        <sz val="10"/>
        <rFont val="Noto Sans CJK SC"/>
        <family val="2"/>
        <charset val="1"/>
      </rPr>
      <t xml:space="preserve">Olympe </t>
    </r>
    <r>
      <rPr>
        <sz val="10"/>
        <rFont val="WenQuanYi Zen Hei"/>
        <family val="2"/>
      </rPr>
      <t xml:space="preserve">임명과 </t>
    </r>
    <r>
      <rPr>
        <sz val="10"/>
        <rFont val="Noto Sans CJK SC"/>
        <family val="2"/>
        <charset val="1"/>
      </rPr>
      <t xml:space="preserve">CT</t>
    </r>
    <r>
      <rPr>
        <sz val="10"/>
        <rFont val="WenQuanYi Zen Hei"/>
        <family val="2"/>
      </rPr>
      <t xml:space="preserve">와의 협상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첫 불신임안 </t>
    </r>
    <r>
      <rPr>
        <sz val="10"/>
        <rFont val="Noto Sans CJK SC"/>
        <family val="2"/>
        <charset val="1"/>
      </rPr>
      <t xml:space="preserve">288</t>
    </r>
    <r>
      <rPr>
        <sz val="10"/>
        <rFont val="WenQuanYi Zen Hei"/>
        <family val="2"/>
      </rPr>
      <t xml:space="preserve">표 —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표 차 부결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</si>
  <si>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Nicolas: </t>
    </r>
    <r>
      <rPr>
        <sz val="10"/>
        <rFont val="WenQuanYi Zen Hei"/>
        <family val="2"/>
      </rPr>
      <t xml:space="preserve">후반 연설가로 성장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따뜻한 문장</t>
    </r>
    <r>
      <rPr>
        <sz val="10"/>
        <rFont val="Arial"/>
        <family val="0"/>
        <charset val="1"/>
      </rPr>
      <t xml:space="preserve">). Hugo: </t>
    </r>
    <r>
      <rPr>
        <sz val="10"/>
        <rFont val="WenQuanYi Zen Hei"/>
        <family val="2"/>
      </rPr>
      <t xml:space="preserve">연설문</t>
    </r>
    <r>
      <rPr>
        <sz val="10"/>
        <rFont val="Arial"/>
        <family val="0"/>
        <charset val="1"/>
      </rPr>
      <t xml:space="preserve">. Léa: </t>
    </r>
    <r>
      <rPr>
        <sz val="10"/>
        <rFont val="WenQuanYi Zen Hei"/>
        <family val="2"/>
      </rPr>
      <t xml:space="preserve">결선 협상</t>
    </r>
    <r>
      <rPr>
        <sz val="10"/>
        <rFont val="Arial"/>
        <family val="0"/>
        <charset val="1"/>
      </rPr>
      <t xml:space="preserve">. Jeanne: </t>
    </r>
    <r>
      <rPr>
        <sz val="10"/>
        <rFont val="WenQuanYi Zen Hei"/>
        <family val="2"/>
      </rPr>
      <t xml:space="preserve">캠프 로지스틱스</t>
    </r>
    <r>
      <rPr>
        <sz val="10"/>
        <rFont val="Arial"/>
        <family val="0"/>
        <charset val="1"/>
      </rPr>
      <t xml:space="preserve">. Olympe: </t>
    </r>
    <r>
      <rPr>
        <sz val="10"/>
        <rFont val="WenQuanYi Zen Hei"/>
        <family val="2"/>
      </rPr>
      <t xml:space="preserve">총리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가상 인물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헌법재판소장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결과 선포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하원의장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표결 결과 낭독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상대 후보들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</si>
  <si>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CT</t>
    </r>
    <r>
      <rPr>
        <sz val="10"/>
        <rFont val="WenQuanYi Zen Hei"/>
        <family val="2"/>
      </rPr>
      <t xml:space="preserve">의 조건부 찬성</t>
    </r>
    <r>
      <rPr>
        <sz val="10"/>
        <rFont val="Arial"/>
        <family val="0"/>
        <charset val="1"/>
      </rPr>
      <t xml:space="preserve">(→12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 기권으로 전환</t>
    </r>
    <r>
      <rPr>
        <sz val="10"/>
        <rFont val="Arial"/>
        <family val="0"/>
        <charset val="1"/>
      </rPr>
      <t xml:space="preserve">) / Napoléon</t>
    </r>
    <r>
      <rPr>
        <sz val="10"/>
        <rFont val="WenQuanYi Zen Hei"/>
        <family val="2"/>
      </rPr>
      <t xml:space="preserve">의 해설</t>
    </r>
    <r>
      <rPr>
        <sz val="10"/>
        <rFont val="Arial"/>
        <family val="0"/>
        <charset val="1"/>
      </rPr>
      <t xml:space="preserve">(→11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 죽음</t>
    </r>
    <r>
      <rPr>
        <sz val="10"/>
        <rFont val="Arial"/>
        <family val="0"/>
        <charset val="1"/>
      </rPr>
      <t xml:space="preserve">) / 1</t>
    </r>
    <r>
      <rPr>
        <sz val="10"/>
        <rFont val="WenQuanYi Zen Hei"/>
        <family val="2"/>
      </rPr>
      <t xml:space="preserve">표</t>
    </r>
    <r>
      <rPr>
        <sz val="10"/>
        <rFont val="Arial"/>
        <family val="0"/>
        <charset val="1"/>
      </rPr>
      <t xml:space="preserve">(→13</t>
    </r>
    <r>
      <rPr>
        <sz val="10"/>
        <rFont val="WenQuanYi Zen Hei"/>
        <family val="2"/>
      </rPr>
      <t xml:space="preserve">부 원형</t>
    </r>
    <r>
      <rPr>
        <sz val="10"/>
        <rFont val="Arial"/>
        <family val="0"/>
        <charset val="1"/>
      </rPr>
      <t xml:space="preserve">)</t>
    </r>
  </si>
  <si>
    <t xml:space="preserve">P1● P2● N5● (○ S3·S4·S1·S2·N3·N4·P3)</t>
  </si>
  <si>
    <r>
      <rPr>
        <sz val="10"/>
        <rFont val="WenQuanYi Zen Hei"/>
        <family val="2"/>
      </rPr>
      <t xml:space="preserve">대통령 선거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6·7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추천서 </t>
    </r>
    <r>
      <rPr>
        <sz val="10"/>
        <rFont val="Noto Sans CJK SC"/>
        <family val="2"/>
        <charset val="1"/>
      </rPr>
      <t xml:space="preserve">500</t>
    </r>
    <r>
      <rPr>
        <sz val="10"/>
        <rFont val="WenQuanYi Zen Hei"/>
        <family val="2"/>
      </rPr>
      <t xml:space="preserve">장</t>
    </r>
    <r>
      <rPr>
        <sz val="10"/>
        <rFont val="Noto Sans CJK SC"/>
        <family val="2"/>
        <charset val="1"/>
      </rPr>
      <t xml:space="preserve">, 1</t>
    </r>
    <r>
      <rPr>
        <sz val="10"/>
        <rFont val="WenQuanYi Zen Hei"/>
        <family val="2"/>
      </rPr>
      <t xml:space="preserve">차 과반 또는 결선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헌법재판소 결과 선포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58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해산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총선 </t>
    </r>
    <r>
      <rPr>
        <sz val="10"/>
        <rFont val="Noto Sans CJK SC"/>
        <family val="2"/>
        <charset val="1"/>
      </rPr>
      <t xml:space="preserve">577</t>
    </r>
    <r>
      <rPr>
        <sz val="10"/>
        <rFont val="WenQuanYi Zen Hei"/>
        <family val="2"/>
      </rPr>
      <t xml:space="preserve">석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과반 </t>
    </r>
    <r>
      <rPr>
        <sz val="10"/>
        <rFont val="Noto Sans CJK SC"/>
        <family val="2"/>
        <charset val="1"/>
      </rPr>
      <t xml:space="preserve">289, </t>
    </r>
    <r>
      <rPr>
        <sz val="10"/>
        <rFont val="WenQuanYi Zen Hei"/>
        <family val="2"/>
      </rPr>
      <t xml:space="preserve">총리 임명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8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불신임안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49</t>
    </r>
    <r>
      <rPr>
        <sz val="10"/>
        <rFont val="WenQuanYi Zen Hei"/>
        <family val="2"/>
      </rPr>
      <t xml:space="preserve">조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항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</si>
  <si>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C1~C2. </t>
    </r>
    <r>
      <rPr>
        <sz val="10"/>
        <rFont val="WenQuanYi Zen Hei"/>
        <family val="2"/>
      </rPr>
      <t xml:space="preserve">토론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연설 수사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접속법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조건법 완곡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발성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장엄한 호흡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결과 선포와 표결 결과 낭독의 또박또박함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</si>
  <si>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Manon: parrainage·second tour·majorité absolue </t>
    </r>
    <r>
      <rPr>
        <sz val="10"/>
        <rFont val="WenQuanYi Zen Hei"/>
        <family val="2"/>
      </rPr>
      <t xml:space="preserve">등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7·12·49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하원 회의록</t>
    </r>
    <r>
      <rPr>
        <sz val="10"/>
        <rFont val="Arial"/>
        <family val="0"/>
        <charset val="1"/>
      </rPr>
      <t xml:space="preserve">(compte rendu intégral).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</si>
  <si>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상대다수 정부의 국정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</si>
  <si>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La Grande Bataille sociale I — </t>
    </r>
    <r>
      <rPr>
        <b val="true"/>
        <sz val="10"/>
        <color rgb="FFFFFFFF"/>
        <rFont val="WenQuanYi Zen Hei"/>
        <family val="2"/>
      </rPr>
      <t xml:space="preserve">사회 현안 전투 </t>
    </r>
    <r>
      <rPr>
        <b val="true"/>
        <sz val="10"/>
        <color rgb="FFFFFFFF"/>
        <rFont val="Arial"/>
        <family val="0"/>
        <charset val="1"/>
      </rPr>
      <t xml:space="preserve">I   |   </t>
    </r>
    <r>
      <rPr>
        <b val="true"/>
        <sz val="10"/>
        <color rgb="FFFFFFFF"/>
        <rFont val="WenQuanYi Zen Hei"/>
        <family val="2"/>
      </rPr>
      <t xml:space="preserve">난이도 </t>
    </r>
    <r>
      <rPr>
        <b val="true"/>
        <sz val="10"/>
        <color rgb="FFFFFFFF"/>
        <rFont val="Arial"/>
        <family val="0"/>
        <charset val="1"/>
      </rPr>
      <t xml:space="preserve">C1~C2   |   </t>
    </r>
    <r>
      <rPr>
        <b val="true"/>
        <sz val="10"/>
        <color rgb="FFFFFFFF"/>
        <rFont val="WenQuanYi Zen Hei"/>
        <family val="2"/>
      </rPr>
      <t xml:space="preserve">취임 후 첫 해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가상</t>
    </r>
    <r>
      <rPr>
        <b val="true"/>
        <sz val="10"/>
        <color rgb="FFFFFFFF"/>
        <rFont val="Arial"/>
        <family val="0"/>
        <charset val="1"/>
      </rPr>
      <t xml:space="preserve">). Élysée, Matignon, </t>
    </r>
    <r>
      <rPr>
        <b val="true"/>
        <sz val="10"/>
        <color rgb="FFFFFFFF"/>
        <rFont val="WenQuanYi Zen Hei"/>
        <family val="2"/>
      </rPr>
      <t xml:space="preserve">국무회의</t>
    </r>
    <r>
      <rPr>
        <b val="true"/>
        <sz val="10"/>
        <color rgb="FFFFFFFF"/>
        <rFont val="Arial"/>
        <family val="0"/>
        <charset val="1"/>
      </rPr>
      <t xml:space="preserve">, </t>
    </r>
    <r>
      <rPr>
        <b val="true"/>
        <sz val="10"/>
        <color rgb="FFFFFFFF"/>
        <rFont val="WenQuanYi Zen Hei"/>
        <family val="2"/>
      </rPr>
      <t xml:space="preserve">브뤼셀</t>
    </r>
    <r>
      <rPr>
        <b val="true"/>
        <sz val="10"/>
        <color rgb="FFFFFFFF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</si>
  <si>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이야기의 시험대이자 </t>
    </r>
    <r>
      <rPr>
        <sz val="10"/>
        <rFont val="Noto Sans CJK SC"/>
        <family val="2"/>
        <charset val="1"/>
      </rPr>
      <t xml:space="preserve">Napoléon</t>
    </r>
    <r>
      <rPr>
        <sz val="10"/>
        <rFont val="WenQuanYi Zen Hei"/>
        <family val="2"/>
      </rPr>
      <t xml:space="preserve">의 마지막 임무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대통령이 되어도 권한은 총리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의회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도</t>
    </r>
    <r>
      <rPr>
        <sz val="10"/>
        <rFont val="Noto Sans CJK SC"/>
        <family val="2"/>
        <charset val="1"/>
      </rPr>
      <t xml:space="preserve">·EU</t>
    </r>
    <r>
      <rPr>
        <sz val="10"/>
        <rFont val="WenQuanYi Zen Hei"/>
        <family val="2"/>
      </rPr>
      <t xml:space="preserve">와 나뉘어 있다는 현실을 국내에서 배운 뒤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부활한 황제가 대통령 특사로 브뤼셀에서 직접 협상하고 승리한 직후 숨을 거둔다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</si>
  <si>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상대다수 정부가 주거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보건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이민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청년의 벽을 넘고</t>
    </r>
    <r>
      <rPr>
        <sz val="10"/>
        <rFont val="Noto Sans CJK SC"/>
        <family val="2"/>
        <charset val="1"/>
      </rPr>
      <t xml:space="preserve">, Napoléon</t>
    </r>
    <r>
      <rPr>
        <sz val="10"/>
        <rFont val="WenQuanYi Zen Hei"/>
        <family val="2"/>
      </rPr>
      <t xml:space="preserve">이 자원해 </t>
    </r>
    <r>
      <rPr>
        <sz val="10"/>
        <rFont val="Noto Sans CJK SC"/>
        <family val="2"/>
        <charset val="1"/>
      </rPr>
      <t xml:space="preserve">NATO </t>
    </r>
    <r>
      <rPr>
        <sz val="10"/>
        <rFont val="WenQuanYi Zen Hei"/>
        <family val="2"/>
      </rPr>
      <t xml:space="preserve">방위비와 </t>
    </r>
    <r>
      <rPr>
        <sz val="10"/>
        <rFont val="Noto Sans CJK SC"/>
        <family val="2"/>
        <charset val="1"/>
      </rPr>
      <t xml:space="preserve">EU </t>
    </r>
    <r>
      <rPr>
        <sz val="10"/>
        <rFont val="WenQuanYi Zen Hei"/>
        <family val="2"/>
      </rPr>
      <t xml:space="preserve">재정규칙을 직접 협상해 이긴 뒤 귀국 직후 쓰러진다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</si>
  <si>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선거의 사람들 → 통치하는 사람들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그리고 과거의 황제 → 공화국의 특사로 마지막으로 돌아간 사람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</si>
  <si>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하고 싶은 것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할 수 있는 것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권한</t>
    </r>
    <r>
      <rPr>
        <sz val="10"/>
        <rFont val="Noto Sans CJK SC"/>
        <family val="2"/>
        <charset val="1"/>
      </rPr>
      <t xml:space="preserve">) / </t>
    </r>
    <r>
      <rPr>
        <sz val="10"/>
        <rFont val="WenQuanYi Zen Hei"/>
        <family val="2"/>
      </rPr>
      <t xml:space="preserve">병든 몸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마지막 임무를 향한 의지</t>
    </r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</si>
  <si>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(1~2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첫 국무회의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보이지 않는 집주인들 — 주거 현안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</si>
  <si>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(3~5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주거법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자기 조항 폐지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위헌 심사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응급실 마비</t>
    </r>
    <r>
      <rPr>
        <sz val="10"/>
        <rFont val="Noto Sans CJK SC"/>
        <family val="2"/>
        <charset val="1"/>
      </rPr>
      <t xml:space="preserve">(LFSS·ONDAM</t>
    </r>
    <r>
      <rPr>
        <sz val="10"/>
        <rFont val="WenQuanYi Zen Hei"/>
        <family val="2"/>
      </rPr>
      <t xml:space="preserve">의 벽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이주민 분담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도의 아동 보호 권한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</si>
  <si>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(6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청년 고용 협상 — 아직 죽지 않지만 계단에서 배를 움켜쥔다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</si>
  <si>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(7~8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가격 카르텔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도청 논쟁</t>
    </r>
    <r>
      <rPr>
        <sz val="10"/>
        <rFont val="Noto Sans CJK SC"/>
        <family val="2"/>
        <charset val="1"/>
      </rPr>
      <t xml:space="preserve">(Napoléon</t>
    </r>
    <r>
      <rPr>
        <sz val="10"/>
        <rFont val="WenQuanYi Zen Hei"/>
        <family val="2"/>
      </rPr>
      <t xml:space="preserve">이 중재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초고액 자산 최저세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</si>
  <si>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전환점</t>
    </r>
    <r>
      <rPr>
        <sz val="10"/>
        <rFont val="Noto Sans CJK SC"/>
        <family val="2"/>
        <charset val="1"/>
      </rPr>
      <t xml:space="preserve">(9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Napoléon</t>
    </r>
    <r>
      <rPr>
        <sz val="10"/>
        <rFont val="WenQuanYi Zen Hei"/>
        <family val="2"/>
      </rPr>
      <t xml:space="preserve">이 브뤼셀行을 자원한다 — 금박 이름을 새긴 사업가 출신과 정보기관 출신의 이웃국 병합자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두 지도자를 특징으로만 회상하며 이름은 끝내 말하지 않는다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</si>
  <si>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절정</t>
    </r>
    <r>
      <rPr>
        <sz val="10"/>
        <rFont val="Noto Sans CJK SC"/>
        <family val="2"/>
        <charset val="1"/>
      </rPr>
      <t xml:space="preserve">(10~11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직접 협상 — 상대의 과장을 반박하고 타결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귀국길의 피로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</si>
  <si>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비트 </t>
    </r>
    <r>
      <rPr>
        <b val="true"/>
        <sz val="10"/>
        <rFont val="Noto Sans CJK SC"/>
        <family val="2"/>
        <charset val="1"/>
      </rPr>
      <t xml:space="preserve">7</t>
    </r>
  </si>
  <si>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(12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귀국 직후 사망</t>
    </r>
    <r>
      <rPr>
        <sz val="10"/>
        <rFont val="Noto Sans CJK SC"/>
        <family val="2"/>
        <charset val="1"/>
      </rPr>
      <t xml:space="preserve">. «Pas mal.» — </t>
    </r>
    <r>
      <rPr>
        <sz val="10"/>
        <rFont val="WenQuanYi Zen Hei"/>
        <family val="2"/>
      </rPr>
      <t xml:space="preserve">승리 직후라 더 무겁다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</si>
  <si>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Nicolas=</t>
    </r>
    <r>
      <rPr>
        <sz val="10"/>
        <rFont val="WenQuanYi Zen Hei"/>
        <family val="2"/>
      </rPr>
      <t xml:space="preserve">대통령</t>
    </r>
    <r>
      <rPr>
        <sz val="10"/>
        <rFont val="Arial"/>
        <family val="0"/>
        <charset val="1"/>
      </rPr>
      <t xml:space="preserve">, Olympe=</t>
    </r>
    <r>
      <rPr>
        <sz val="10"/>
        <rFont val="WenQuanYi Zen Hei"/>
        <family val="2"/>
      </rPr>
      <t xml:space="preserve">총리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의회 전선</t>
    </r>
    <r>
      <rPr>
        <sz val="10"/>
        <rFont val="Arial"/>
        <family val="0"/>
        <charset val="1"/>
      </rPr>
      <t xml:space="preserve">), Julien=</t>
    </r>
    <r>
      <rPr>
        <sz val="10"/>
        <rFont val="WenQuanYi Zen Hei"/>
        <family val="2"/>
      </rPr>
      <t xml:space="preserve">경제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재정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브뤼셀 동행</t>
    </r>
    <r>
      <rPr>
        <sz val="10"/>
        <rFont val="Arial"/>
        <family val="0"/>
        <charset val="1"/>
      </rPr>
      <t xml:space="preserve">), Camille=</t>
    </r>
    <r>
      <rPr>
        <sz val="10"/>
        <rFont val="WenQuanYi Zen Hei"/>
        <family val="2"/>
      </rPr>
      <t xml:space="preserve">보건</t>
    </r>
    <r>
      <rPr>
        <sz val="10"/>
        <rFont val="Arial"/>
        <family val="0"/>
        <charset val="1"/>
      </rPr>
      <t xml:space="preserve">, Léa=</t>
    </r>
    <r>
      <rPr>
        <sz val="10"/>
        <rFont val="WenQuanYi Zen Hei"/>
        <family val="2"/>
      </rPr>
      <t xml:space="preserve">엘리제 비서실장</t>
    </r>
    <r>
      <rPr>
        <sz val="10"/>
        <rFont val="Arial"/>
        <family val="0"/>
        <charset val="1"/>
      </rPr>
      <t xml:space="preserve">, Jeanne=</t>
    </r>
    <r>
      <rPr>
        <sz val="10"/>
        <rFont val="WenQuanYi Zen Hei"/>
        <family val="2"/>
      </rPr>
      <t xml:space="preserve">위기 대응</t>
    </r>
    <r>
      <rPr>
        <sz val="10"/>
        <rFont val="Arial"/>
        <family val="0"/>
        <charset val="1"/>
      </rPr>
      <t xml:space="preserve">, Hugo=</t>
    </r>
    <r>
      <rPr>
        <sz val="10"/>
        <rFont val="WenQuanYi Zen Hei"/>
        <family val="2"/>
      </rPr>
      <t xml:space="preserve">연설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브리핑 문구</t>
    </r>
    <r>
      <rPr>
        <sz val="10"/>
        <rFont val="Arial"/>
        <family val="0"/>
        <charset val="1"/>
      </rPr>
      <t xml:space="preserve">, Manon: </t>
    </r>
    <r>
      <rPr>
        <sz val="10"/>
        <rFont val="WenQuanYi Zen Hei"/>
        <family val="2"/>
      </rPr>
      <t xml:space="preserve">마지막 순간을 함께한다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</si>
  <si>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Nicolas</t>
    </r>
    <r>
      <rPr>
        <sz val="10"/>
        <rFont val="WenQuanYi Zen Hei"/>
        <family val="2"/>
      </rPr>
      <t xml:space="preserve">의 옛 조항 폐지</t>
    </r>
    <r>
      <rPr>
        <sz val="10"/>
        <rFont val="Arial"/>
        <family val="0"/>
        <charset val="1"/>
      </rPr>
      <t xml:space="preserve">(2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 회수</t>
    </r>
    <r>
      <rPr>
        <sz val="10"/>
        <rFont val="Arial"/>
        <family val="0"/>
        <charset val="1"/>
      </rPr>
      <t xml:space="preserve">) / Napoléon </t>
    </r>
    <r>
      <rPr>
        <sz val="10"/>
        <rFont val="WenQuanYi Zen Hei"/>
        <family val="2"/>
      </rPr>
      <t xml:space="preserve">죽음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이각모</t>
    </r>
    <r>
      <rPr>
        <sz val="10"/>
        <rFont val="Arial"/>
        <family val="0"/>
        <charset val="1"/>
      </rPr>
      <t xml:space="preserve">(→12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 / </t>
    </r>
    <r>
      <rPr>
        <sz val="10"/>
        <rFont val="WenQuanYi Zen Hei"/>
        <family val="2"/>
      </rPr>
      <t xml:space="preserve">도청 논쟁</t>
    </r>
    <r>
      <rPr>
        <sz val="10"/>
        <rFont val="Arial"/>
        <family val="0"/>
        <charset val="1"/>
      </rPr>
      <t xml:space="preserve">(7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 회수</t>
    </r>
    <r>
      <rPr>
        <sz val="10"/>
        <rFont val="Arial"/>
        <family val="0"/>
        <charset val="1"/>
      </rPr>
      <t xml:space="preserve">) / Napoléon</t>
    </r>
    <r>
      <rPr>
        <sz val="10"/>
        <rFont val="WenQuanYi Zen Hei"/>
        <family val="2"/>
      </rPr>
      <t xml:space="preserve">이 브뤼셀로 자원</t>
    </r>
    <r>
      <rPr>
        <sz val="10"/>
        <rFont val="Arial"/>
        <family val="0"/>
        <charset val="1"/>
      </rPr>
      <t xml:space="preserve">(→12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 메모 승계</t>
    </r>
    <r>
      <rPr>
        <sz val="10"/>
        <rFont val="Arial"/>
        <family val="0"/>
        <charset val="1"/>
      </rPr>
      <t xml:space="preserve">)</t>
    </r>
  </si>
  <si>
    <t xml:space="preserve">E1● E3● S1● S2● N3●</t>
  </si>
  <si>
    <r>
      <rPr>
        <sz val="10"/>
        <rFont val="WenQuanYi Zen Hei"/>
        <family val="2"/>
      </rPr>
      <t xml:space="preserve">국무회의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대통령–총리 권한 분담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5·20·21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사전 위헌 심사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61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), LFSS·ONDAM, </t>
    </r>
    <r>
      <rPr>
        <sz val="10"/>
        <rFont val="WenQuanYi Zen Hei"/>
        <family val="2"/>
      </rPr>
      <t xml:space="preserve">도의 아동 보호 권한</t>
    </r>
    <r>
      <rPr>
        <sz val="10"/>
        <rFont val="Arial"/>
        <family val="0"/>
        <charset val="1"/>
      </rPr>
      <t xml:space="preserve">, NATO </t>
    </r>
    <r>
      <rPr>
        <sz val="10"/>
        <rFont val="WenQuanYi Zen Hei"/>
        <family val="2"/>
      </rPr>
      <t xml:space="preserve">방위비 목표</t>
    </r>
    <r>
      <rPr>
        <sz val="10"/>
        <rFont val="Arial"/>
        <family val="0"/>
        <charset val="1"/>
      </rPr>
      <t xml:space="preserve">(2025 </t>
    </r>
    <r>
      <rPr>
        <sz val="10"/>
        <rFont val="WenQuanYi Zen Hei"/>
        <family val="2"/>
      </rPr>
      <t xml:space="preserve">헤이그 합의</t>
    </r>
    <r>
      <rPr>
        <sz val="10"/>
        <rFont val="Arial"/>
        <family val="0"/>
        <charset val="1"/>
      </rPr>
      <t xml:space="preserve">·5%·2035), EU </t>
    </r>
    <r>
      <rPr>
        <sz val="10"/>
        <rFont val="WenQuanYi Zen Hei"/>
        <family val="2"/>
      </rPr>
      <t xml:space="preserve">과도한 적자 절차</t>
    </r>
    <r>
      <rPr>
        <sz val="10"/>
        <rFont val="Arial"/>
        <family val="0"/>
        <charset val="1"/>
      </rPr>
      <t xml:space="preserve">(TFUE </t>
    </r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126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</si>
  <si>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C1~C2. </t>
    </r>
    <r>
      <rPr>
        <sz val="10"/>
        <rFont val="WenQuanYi Zen Hei"/>
        <family val="2"/>
      </rPr>
      <t xml:space="preserve">국정 문서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외교 협상 어휘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조문 낭독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완곡어법</t>
    </r>
    <r>
      <rPr>
        <sz val="10"/>
        <rFont val="Arial"/>
        <family val="0"/>
        <charset val="1"/>
      </rPr>
      <t xml:space="preserve">(Napoléon). </t>
    </r>
    <r>
      <rPr>
        <sz val="10"/>
        <rFont val="WenQuanYi Zen Hei"/>
        <family val="2"/>
      </rPr>
      <t xml:space="preserve">발성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노련한 협상가의 절제된 반박과 임종 장면의 낮은 목소리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</si>
  <si>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Manon: ordonnance·décret·question prioritaire de constitutionnalité </t>
    </r>
    <r>
      <rPr>
        <sz val="10"/>
        <rFont val="WenQuanYi Zen Hei"/>
        <family val="2"/>
      </rPr>
      <t xml:space="preserve">등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34·37·61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, NATO </t>
    </r>
    <r>
      <rPr>
        <sz val="10"/>
        <rFont val="WenQuanYi Zen Hei"/>
        <family val="2"/>
      </rPr>
      <t xml:space="preserve">방위비 목표 문서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</si>
  <si>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장례식으로 시작해 그의 메모로 협상을 잇는다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</si>
  <si>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La Grande Bataille sociale II — </t>
    </r>
    <r>
      <rPr>
        <b val="true"/>
        <sz val="10"/>
        <color rgb="FFFFFFFF"/>
        <rFont val="WenQuanYi Zen Hei"/>
        <family val="2"/>
      </rPr>
      <t xml:space="preserve">사회 현안 전투 </t>
    </r>
    <r>
      <rPr>
        <b val="true"/>
        <sz val="10"/>
        <color rgb="FFFFFFFF"/>
        <rFont val="Arial"/>
        <family val="0"/>
        <charset val="1"/>
      </rPr>
      <t xml:space="preserve">II   |   </t>
    </r>
    <r>
      <rPr>
        <b val="true"/>
        <sz val="10"/>
        <color rgb="FFFFFFFF"/>
        <rFont val="WenQuanYi Zen Hei"/>
        <family val="2"/>
      </rPr>
      <t xml:space="preserve">난이도 </t>
    </r>
    <r>
      <rPr>
        <b val="true"/>
        <sz val="10"/>
        <color rgb="FFFFFFFF"/>
        <rFont val="Arial"/>
        <family val="0"/>
        <charset val="1"/>
      </rPr>
      <t xml:space="preserve">C1~C2   |   Napoléon </t>
    </r>
    <r>
      <rPr>
        <b val="true"/>
        <sz val="10"/>
        <color rgb="FFFFFFFF"/>
        <rFont val="WenQuanYi Zen Hei"/>
        <family val="2"/>
      </rPr>
      <t xml:space="preserve">사후</t>
    </r>
    <r>
      <rPr>
        <b val="true"/>
        <sz val="10"/>
        <color rgb="FFFFFFFF"/>
        <rFont val="Arial"/>
        <family val="0"/>
        <charset val="1"/>
      </rPr>
      <t xml:space="preserve">. Élysée, Matignon, </t>
    </r>
    <r>
      <rPr>
        <b val="true"/>
        <sz val="10"/>
        <color rgb="FFFFFFFF"/>
        <rFont val="WenQuanYi Zen Hei"/>
        <family val="2"/>
      </rPr>
      <t xml:space="preserve">브뤼셀</t>
    </r>
    <r>
      <rPr>
        <b val="true"/>
        <sz val="10"/>
        <color rgb="FFFFFFFF"/>
        <rFont val="Arial"/>
        <family val="0"/>
        <charset val="1"/>
      </rPr>
      <t xml:space="preserve">, </t>
    </r>
    <r>
      <rPr>
        <b val="true"/>
        <sz val="10"/>
        <color rgb="FFFFFFFF"/>
        <rFont val="WenQuanYi Zen Hei"/>
        <family val="2"/>
      </rPr>
      <t xml:space="preserve">재난 현장</t>
    </r>
    <r>
      <rPr>
        <b val="true"/>
        <sz val="10"/>
        <color rgb="FFFFFFFF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</si>
  <si>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상실 이후의 국정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죽은 사람의 메모로 산 사람들이 협상을 잇는 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그리고 새로운 현안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플랫폼 노동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정보기관 사찰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청년 정신건강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을 통과하는 팀의 성장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</si>
  <si>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장례식을 치른 팀이 </t>
    </r>
    <r>
      <rPr>
        <sz val="10"/>
        <rFont val="Noto Sans CJK SC"/>
        <family val="2"/>
        <charset val="1"/>
      </rPr>
      <t xml:space="preserve">Napoléon</t>
    </r>
    <r>
      <rPr>
        <sz val="10"/>
        <rFont val="WenQuanYi Zen Hei"/>
        <family val="2"/>
      </rPr>
      <t xml:space="preserve">의 메모로 브뤼셀 후속 협상을 마무리하고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플랫폼 노동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사찰 스캔들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청년 정신건강을 거쳐 불신임안과 재난까지 버텨낸다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</si>
  <si>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한 사람의 노련함에 기대던 팀 → 그의 방식을 자기 것으로 만든 팀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</si>
  <si>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애도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계속 가는 것 </t>
    </r>
    <r>
      <rPr>
        <sz val="10"/>
        <rFont val="Noto Sans CJK SC"/>
        <family val="2"/>
        <charset val="1"/>
      </rPr>
      <t xml:space="preserve">/ </t>
    </r>
    <r>
      <rPr>
        <sz val="10"/>
        <rFont val="WenQuanYi Zen Hei"/>
        <family val="2"/>
      </rPr>
      <t xml:space="preserve">새 현안들의 무게</t>
    </r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</si>
  <si>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(1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장례식 — </t>
    </r>
    <r>
      <rPr>
        <sz val="10"/>
        <rFont val="Noto Sans CJK SC"/>
        <family val="2"/>
        <charset val="1"/>
      </rPr>
      <t xml:space="preserve">Manon</t>
    </r>
    <r>
      <rPr>
        <sz val="10"/>
        <rFont val="WenQuanYi Zen Hei"/>
        <family val="2"/>
      </rPr>
      <t xml:space="preserve">이 처음으로 </t>
    </r>
    <r>
      <rPr>
        <sz val="10"/>
        <rFont val="Noto Sans CJK SC"/>
        <family val="2"/>
        <charset val="1"/>
      </rPr>
      <t xml:space="preserve">tu</t>
    </r>
    <r>
      <rPr>
        <sz val="10"/>
        <rFont val="WenQuanYi Zen Hei"/>
        <family val="2"/>
      </rPr>
      <t xml:space="preserve">를 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</si>
  <si>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(2~3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유작 메모 발견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그 메모로 잇는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차 브뤼셀 협상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</si>
  <si>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(4~6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플랫폼 노동</t>
    </r>
    <r>
      <rPr>
        <sz val="10"/>
        <rFont val="Noto Sans CJK SC"/>
        <family val="2"/>
        <charset val="1"/>
      </rPr>
      <t xml:space="preserve">(EU </t>
    </r>
    <r>
      <rPr>
        <sz val="10"/>
        <rFont val="WenQuanYi Zen Hei"/>
        <family val="2"/>
      </rPr>
      <t xml:space="preserve">지침 이행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정보기관 사찰 스캔들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청년 정신건강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</si>
  <si>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(7~8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49</t>
    </r>
    <r>
      <rPr>
        <sz val="10"/>
        <rFont val="WenQuanYi Zen Hei"/>
        <family val="2"/>
      </rPr>
      <t xml:space="preserve">조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항과 두 번째 불신임안 방어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남부 지중해성 폭우 재난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</si>
  <si>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절정</t>
    </r>
    <r>
      <rPr>
        <sz val="10"/>
        <rFont val="Noto Sans CJK SC"/>
        <family val="2"/>
        <charset val="1"/>
      </rPr>
      <t xml:space="preserve">(9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거리에서 나타난 성과들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</si>
  <si>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(10~12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근위대의 빈자리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국방비 예산 반영 논쟁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예산안 제출 준비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</si>
  <si>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Julien·Hugo=Napoléon</t>
    </r>
    <r>
      <rPr>
        <sz val="10"/>
        <rFont val="WenQuanYi Zen Hei"/>
        <family val="2"/>
      </rPr>
      <t xml:space="preserve">의 메모를 잇는 두 사람</t>
    </r>
    <r>
      <rPr>
        <sz val="10"/>
        <rFont val="Arial"/>
        <family val="0"/>
        <charset val="1"/>
      </rPr>
      <t xml:space="preserve">. Curie=</t>
    </r>
    <r>
      <rPr>
        <sz val="10"/>
        <rFont val="WenQuanYi Zen Hei"/>
        <family val="2"/>
      </rPr>
      <t xml:space="preserve">포렌식으로 사찰 스캔들 추적</t>
    </r>
    <r>
      <rPr>
        <sz val="10"/>
        <rFont val="Arial"/>
        <family val="0"/>
        <charset val="1"/>
      </rPr>
      <t xml:space="preserve">. Sartre·Manon=</t>
    </r>
    <r>
      <rPr>
        <sz val="10"/>
        <rFont val="WenQuanYi Zen Hei"/>
        <family val="2"/>
      </rPr>
      <t xml:space="preserve">청년 정신건강</t>
    </r>
    <r>
      <rPr>
        <sz val="10"/>
        <rFont val="Arial"/>
        <family val="0"/>
        <charset val="1"/>
      </rPr>
      <t xml:space="preserve">. Jeanne·Curie=</t>
    </r>
    <r>
      <rPr>
        <sz val="10"/>
        <rFont val="WenQuanYi Zen Hei"/>
        <family val="2"/>
      </rPr>
      <t xml:space="preserve">빈자리를 마주함</t>
    </r>
    <r>
      <rPr>
        <sz val="10"/>
        <rFont val="Arial"/>
        <family val="0"/>
        <charset val="1"/>
      </rPr>
      <t xml:space="preserve">. Olympe=</t>
    </r>
    <r>
      <rPr>
        <sz val="10"/>
        <rFont val="WenQuanYi Zen Hei"/>
        <family val="2"/>
      </rPr>
      <t xml:space="preserve">의회 전선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</si>
  <si>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Napoléon</t>
    </r>
    <r>
      <rPr>
        <sz val="10"/>
        <rFont val="WenQuanYi Zen Hei"/>
        <family val="2"/>
      </rPr>
      <t xml:space="preserve">의 유작 메모</t>
    </r>
    <r>
      <rPr>
        <sz val="10"/>
        <rFont val="Arial"/>
        <family val="0"/>
        <charset val="1"/>
      </rPr>
      <t xml:space="preserve">(11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 회수 시작</t>
    </r>
    <r>
      <rPr>
        <sz val="10"/>
        <rFont val="Arial"/>
        <family val="0"/>
        <charset val="1"/>
      </rPr>
      <t xml:space="preserve">) / Manon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vous→tu(1</t>
    </r>
    <r>
      <rPr>
        <sz val="10"/>
        <rFont val="WenQuanYi Zen Hei"/>
        <family val="2"/>
      </rPr>
      <t xml:space="preserve">화에서 전환</t>
    </r>
    <r>
      <rPr>
        <sz val="10"/>
        <rFont val="Arial"/>
        <family val="0"/>
        <charset val="1"/>
      </rPr>
      <t xml:space="preserve">) / 7</t>
    </r>
    <r>
      <rPr>
        <sz val="10"/>
        <rFont val="WenQuanYi Zen Hei"/>
        <family val="2"/>
      </rPr>
      <t xml:space="preserve">부 도청 논쟁이 국가적 스캔들로 확장</t>
    </r>
  </si>
  <si>
    <t xml:space="preserve">N3● E3● N6● N7● N8● P1● P2● P3● N1● S4●</t>
  </si>
  <si>
    <r>
      <rPr>
        <sz val="10"/>
        <rFont val="WenQuanYi Zen Hei"/>
        <family val="2"/>
      </rPr>
      <t xml:space="preserve">유작 메모 승계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정보기술 통제위원회</t>
    </r>
    <r>
      <rPr>
        <sz val="10"/>
        <rFont val="Noto Sans CJK SC"/>
        <family val="2"/>
        <charset val="1"/>
      </rPr>
      <t xml:space="preserve">(CNCTR)·2015</t>
    </r>
    <r>
      <rPr>
        <sz val="10"/>
        <rFont val="WenQuanYi Zen Hei"/>
        <family val="2"/>
      </rPr>
      <t xml:space="preserve">년 정보법</t>
    </r>
    <r>
      <rPr>
        <sz val="10"/>
        <rFont val="Noto Sans CJK SC"/>
        <family val="2"/>
        <charset val="1"/>
      </rPr>
      <t xml:space="preserve">, EU </t>
    </r>
    <r>
      <rPr>
        <sz val="10"/>
        <rFont val="WenQuanYi Zen Hei"/>
        <family val="2"/>
      </rPr>
      <t xml:space="preserve">플랫폼노동 지침</t>
    </r>
    <r>
      <rPr>
        <sz val="10"/>
        <rFont val="Noto Sans CJK SC"/>
        <family val="2"/>
        <charset val="1"/>
      </rPr>
      <t xml:space="preserve">·ARPE, 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49</t>
    </r>
    <r>
      <rPr>
        <sz val="10"/>
        <rFont val="WenQuanYi Zen Hei"/>
        <family val="2"/>
      </rPr>
      <t xml:space="preserve">조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항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불신임안</t>
    </r>
    <r>
      <rPr>
        <sz val="10"/>
        <rFont val="Noto Sans CJK SC"/>
        <family val="2"/>
        <charset val="1"/>
      </rPr>
      <t xml:space="preserve">, ORSEC·CatNat, </t>
    </r>
    <r>
      <rPr>
        <sz val="10"/>
        <rFont val="WenQuanYi Zen Hei"/>
        <family val="2"/>
      </rPr>
      <t xml:space="preserve">예산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47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·LOLF)</t>
    </r>
  </si>
  <si>
    <r>
      <rPr>
        <sz val="10"/>
        <rFont val="Arial"/>
        <family val="0"/>
        <charset val="1"/>
      </rPr>
      <t xml:space="preserve">C1~C2. </t>
    </r>
    <r>
      <rPr>
        <sz val="10"/>
        <rFont val="WenQuanYi Zen Hei"/>
        <family val="2"/>
      </rPr>
      <t xml:space="preserve">추도사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인용</t>
    </r>
    <r>
      <rPr>
        <sz val="10"/>
        <rFont val="Arial"/>
        <family val="0"/>
        <charset val="1"/>
      </rPr>
      <t xml:space="preserve">(Napoléon</t>
    </r>
    <r>
      <rPr>
        <sz val="10"/>
        <rFont val="WenQuanYi Zen Hei"/>
        <family val="2"/>
      </rPr>
      <t xml:space="preserve">의 문장을 빌려 쓰는 대사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국정 어휘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발성</t>
    </r>
    <r>
      <rPr>
        <sz val="10"/>
        <rFont val="Arial"/>
        <family val="0"/>
        <charset val="1"/>
      </rPr>
      <t xml:space="preserve">: 1</t>
    </r>
    <r>
      <rPr>
        <sz val="10"/>
        <rFont val="WenQuanYi Zen Hei"/>
        <family val="2"/>
      </rPr>
      <t xml:space="preserve">화의 낮고 절제된 애도 톤에서 점차 회복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</si>
  <si>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Manon: écoutes illégales·logiciel espion·santé mentale </t>
    </r>
    <r>
      <rPr>
        <sz val="10"/>
        <rFont val="WenQuanYi Zen Hei"/>
        <family val="2"/>
      </rPr>
      <t xml:space="preserve">등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국내안전법전 정보 편</t>
    </r>
    <r>
      <rPr>
        <sz val="10"/>
        <rFont val="Arial"/>
        <family val="0"/>
        <charset val="1"/>
      </rPr>
      <t xml:space="preserve">, EU </t>
    </r>
    <r>
      <rPr>
        <sz val="10"/>
        <rFont val="WenQuanYi Zen Hei"/>
        <family val="2"/>
      </rPr>
      <t xml:space="preserve">플랫폼노동 지침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</si>
  <si>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: 1</t>
    </r>
    <r>
      <rPr>
        <sz val="10"/>
        <rFont val="WenQuanYi Zen Hei"/>
        <family val="2"/>
      </rPr>
      <t xml:space="preserve">부의 식탁으로 돌아간다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</si>
  <si>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FFFFFF"/>
        <rFont val="Arial"/>
        <family val="0"/>
        <charset val="1"/>
      </rPr>
      <t xml:space="preserve">Retour à Belleville — </t>
    </r>
    <r>
      <rPr>
        <b val="true"/>
        <sz val="10"/>
        <color rgb="FFFFFFFF"/>
        <rFont val="WenQuanYi Zen Hei"/>
        <family val="2"/>
      </rPr>
      <t xml:space="preserve">귀환   </t>
    </r>
    <r>
      <rPr>
        <b val="true"/>
        <sz val="10"/>
        <color rgb="FFFFFFFF"/>
        <rFont val="Arial"/>
        <family val="0"/>
        <charset val="1"/>
      </rPr>
      <t xml:space="preserve">|   </t>
    </r>
    <r>
      <rPr>
        <b val="true"/>
        <sz val="10"/>
        <color rgb="FFFFFFFF"/>
        <rFont val="WenQuanYi Zen Hei"/>
        <family val="2"/>
      </rPr>
      <t xml:space="preserve">난이도 </t>
    </r>
    <r>
      <rPr>
        <b val="true"/>
        <sz val="10"/>
        <color rgb="FFFFFFFF"/>
        <rFont val="Arial"/>
        <family val="0"/>
        <charset val="1"/>
      </rPr>
      <t xml:space="preserve">B1~B2   |   </t>
    </r>
    <r>
      <rPr>
        <b val="true"/>
        <sz val="10"/>
        <color rgb="FFFFFFFF"/>
        <rFont val="WenQuanYi Zen Hei"/>
        <family val="2"/>
      </rPr>
      <t xml:space="preserve">임기 후반</t>
    </r>
    <r>
      <rPr>
        <b val="true"/>
        <sz val="10"/>
        <color rgb="FFFFFFFF"/>
        <rFont val="Arial"/>
        <family val="0"/>
        <charset val="1"/>
      </rPr>
      <t xml:space="preserve">. Belleville </t>
    </r>
    <r>
      <rPr>
        <b val="true"/>
        <sz val="10"/>
        <color rgb="FFFFFFFF"/>
        <rFont val="WenQuanYi Zen Hei"/>
        <family val="2"/>
      </rPr>
      <t xml:space="preserve">사무소와 </t>
    </r>
    <r>
      <rPr>
        <b val="true"/>
        <sz val="10"/>
        <color rgb="FFFFFFFF"/>
        <rFont val="Arial"/>
        <family val="0"/>
        <charset val="1"/>
      </rPr>
      <t xml:space="preserve">Chez Monique. </t>
    </r>
    <r>
      <rPr>
        <b val="true"/>
        <sz val="10"/>
        <color rgb="FFFFFFFF"/>
        <rFont val="WenQuanYi Zen Hei"/>
        <family val="2"/>
      </rPr>
      <t xml:space="preserve">마지막에 다시 </t>
    </r>
    <r>
      <rPr>
        <b val="true"/>
        <sz val="10"/>
        <color rgb="FFFFFFFF"/>
        <rFont val="Arial"/>
        <family val="0"/>
        <charset val="1"/>
      </rPr>
      <t xml:space="preserve">'</t>
    </r>
    <r>
      <rPr>
        <b val="true"/>
        <sz val="10"/>
        <color rgb="FFFFFFFF"/>
        <rFont val="WenQuanYi Zen Hei"/>
        <family val="2"/>
      </rPr>
      <t xml:space="preserve">다섯 시</t>
    </r>
    <r>
      <rPr>
        <b val="true"/>
        <sz val="10"/>
        <color rgb="FFFFFFFF"/>
        <rFont val="Arial"/>
        <family val="0"/>
        <charset val="1"/>
      </rPr>
      <t xml:space="preserve">'.</t>
    </r>
  </si>
  <si>
    <r>
      <rPr>
        <sz val="10"/>
        <rFont val="WenQuanYi Zen Hei"/>
        <family val="2"/>
      </rPr>
      <t xml:space="preserve">원형 닫기와 성장의 확인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낭독자가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부 장면을 다시 읽으며 실력의 성장을 체감한다</t>
    </r>
    <r>
      <rPr>
        <sz val="10"/>
        <rFont val="Noto Sans CJK SC"/>
        <family val="2"/>
        <charset val="1"/>
      </rPr>
      <t xml:space="preserve">. Manon</t>
    </r>
    <r>
      <rPr>
        <sz val="10"/>
        <rFont val="WenQuanYi Zen Hei"/>
        <family val="2"/>
      </rPr>
      <t xml:space="preserve">이 질문받는 쪽으로 이동한다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</si>
  <si>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대통령과 장관들이 손님으로 돌아온 벨빌에서 </t>
    </r>
    <r>
      <rPr>
        <sz val="10"/>
        <rFont val="Noto Sans CJK SC"/>
        <family val="2"/>
        <charset val="1"/>
      </rPr>
      <t xml:space="preserve">Napoléon</t>
    </r>
    <r>
      <rPr>
        <sz val="10"/>
        <rFont val="WenQuanYi Zen Hei"/>
        <family val="2"/>
      </rPr>
      <t xml:space="preserve">의 이각모가 </t>
    </r>
    <r>
      <rPr>
        <sz val="10"/>
        <rFont val="Noto Sans CJK SC"/>
        <family val="2"/>
        <charset val="1"/>
      </rPr>
      <t xml:space="preserve">Manon</t>
    </r>
    <r>
      <rPr>
        <sz val="10"/>
        <rFont val="WenQuanYi Zen Hei"/>
        <family val="2"/>
      </rPr>
      <t xml:space="preserve">에게 도착하고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새 인턴이 던진 질문에 </t>
    </r>
    <r>
      <rPr>
        <sz val="10"/>
        <rFont val="Noto Sans CJK SC"/>
        <family val="2"/>
        <charset val="1"/>
      </rPr>
      <t xml:space="preserve">Manon</t>
    </r>
    <r>
      <rPr>
        <sz val="10"/>
        <rFont val="WenQuanYi Zen Hei"/>
        <family val="2"/>
      </rPr>
      <t xml:space="preserve">이 답한다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</si>
  <si>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대통령과 장관들 → 다시 식탁 앞의 사람들</t>
    </r>
    <r>
      <rPr>
        <sz val="10"/>
        <rFont val="Noto Sans CJK SC"/>
        <family val="2"/>
        <charset val="1"/>
      </rPr>
      <t xml:space="preserve">. Manon: </t>
    </r>
    <r>
      <rPr>
        <sz val="10"/>
        <rFont val="WenQuanYi Zen Hei"/>
        <family val="2"/>
      </rPr>
      <t xml:space="preserve">묻는 사람 → 설명하는 사람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</si>
  <si>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애도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계속 가는 것 </t>
    </r>
    <r>
      <rPr>
        <sz val="10"/>
        <rFont val="Noto Sans CJK SC"/>
        <family val="2"/>
        <charset val="1"/>
      </rPr>
      <t xml:space="preserve">/ </t>
    </r>
    <r>
      <rPr>
        <sz val="10"/>
        <rFont val="WenQuanYi Zen Hei"/>
        <family val="2"/>
      </rPr>
      <t xml:space="preserve">겸직 금지로 사무소를 놓아야 함</t>
    </r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</si>
  <si>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(1~3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다섯 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이각모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유언장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빈 의자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</si>
  <si>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(4~5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사무소의 재단 전환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새 인턴 </t>
    </r>
    <r>
      <rPr>
        <sz val="10"/>
        <rFont val="Noto Sans CJK SC"/>
        <family val="2"/>
        <charset val="1"/>
      </rPr>
      <t xml:space="preserve">Lucas.</t>
    </r>
  </si>
  <si>
    <r>
      <rPr>
        <sz val="10"/>
        <rFont val="WenQuanYi Zen Hei"/>
        <family val="2"/>
      </rPr>
      <t xml:space="preserve">미드포인트</t>
    </r>
    <r>
      <rPr>
        <sz val="10"/>
        <rFont val="Noto Sans CJK SC"/>
        <family val="2"/>
        <charset val="1"/>
      </rPr>
      <t xml:space="preserve">(6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Manon</t>
    </r>
    <r>
      <rPr>
        <sz val="10"/>
        <rFont val="WenQuanYi Zen Hei"/>
        <family val="2"/>
      </rPr>
      <t xml:space="preserve">이 어려운 말을 쉬운 말로 설명한다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</si>
  <si>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전개</t>
    </r>
    <r>
      <rPr>
        <sz val="10"/>
        <rFont val="Noto Sans CJK SC"/>
        <family val="2"/>
        <charset val="1"/>
      </rPr>
      <t xml:space="preserve">(7~8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5</t>
    </r>
    <r>
      <rPr>
        <sz val="10"/>
        <rFont val="WenQuanYi Zen Hei"/>
        <family val="2"/>
      </rPr>
      <t xml:space="preserve">년 임기 결산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현안 결산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시민들의 편지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</si>
  <si>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위기</t>
    </r>
    <r>
      <rPr>
        <sz val="10"/>
        <rFont val="Noto Sans CJK SC"/>
        <family val="2"/>
        <charset val="1"/>
      </rPr>
      <t xml:space="preserve">(9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올드 가드와 빈 의자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</si>
  <si>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절정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(10~12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빠진 카드</t>
    </r>
    <r>
      <rPr>
        <sz val="10"/>
        <rFont val="Noto Sans CJK SC"/>
        <family val="2"/>
        <charset val="1"/>
      </rPr>
      <t xml:space="preserve">(Curie</t>
    </r>
    <r>
      <rPr>
        <sz val="10"/>
        <rFont val="WenQuanYi Zen Hei"/>
        <family val="2"/>
      </rPr>
      <t xml:space="preserve">가 처음 결론을 말함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다시 다섯 시</t>
    </r>
    <r>
      <rPr>
        <sz val="10"/>
        <rFont val="Noto Sans CJK SC"/>
        <family val="2"/>
        <charset val="1"/>
      </rPr>
      <t xml:space="preserve">, «Asseyez-vous, je vous apporte quelque chose.»</t>
    </r>
  </si>
  <si>
    <r>
      <rPr>
        <sz val="10"/>
        <rFont val="Arial"/>
        <family val="0"/>
        <charset val="1"/>
      </rPr>
      <t xml:space="preserve">Manon 12</t>
    </r>
    <r>
      <rPr>
        <sz val="10"/>
        <rFont val="WenQuanYi Zen Hei"/>
        <family val="2"/>
      </rPr>
      <t xml:space="preserve">화 전부</t>
    </r>
    <r>
      <rPr>
        <sz val="10"/>
        <rFont val="Arial"/>
        <family val="0"/>
        <charset val="1"/>
      </rPr>
      <t xml:space="preserve">, Monique 10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. Napoléon</t>
    </r>
    <r>
      <rPr>
        <sz val="10"/>
        <rFont val="WenQuanYi Zen Hei"/>
        <family val="2"/>
      </rPr>
      <t xml:space="preserve">은 유언장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회상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신규 엑스트라</t>
    </r>
    <r>
      <rPr>
        <sz val="10"/>
        <rFont val="Arial"/>
        <family val="0"/>
        <charset val="1"/>
      </rPr>
      <t xml:space="preserve">: Lucas(</t>
    </r>
    <r>
      <rPr>
        <sz val="10"/>
        <rFont val="WenQuanYi Zen Hei"/>
        <family val="2"/>
      </rPr>
      <t xml:space="preserve">새 인턴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공증인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</si>
  <si>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회수 아크</t>
    </r>
    <r>
      <rPr>
        <sz val="10"/>
        <rFont val="Arial"/>
        <family val="0"/>
        <charset val="1"/>
      </rPr>
      <t xml:space="preserve">) 1</t>
    </r>
    <r>
      <rPr>
        <sz val="10"/>
        <rFont val="WenQuanYi Zen Hei"/>
        <family val="2"/>
      </rPr>
      <t xml:space="preserve">부 첫 대사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이각모</t>
    </r>
    <r>
      <rPr>
        <sz val="10"/>
        <rFont val="Arial"/>
        <family val="0"/>
        <charset val="1"/>
      </rPr>
      <t xml:space="preserve">·Curie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·Manon</t>
    </r>
    <r>
      <rPr>
        <sz val="10"/>
        <rFont val="WenQuanYi Zen Hei"/>
        <family val="2"/>
      </rPr>
      <t xml:space="preserve">의 질문 —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복선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회수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시트 참고</t>
    </r>
  </si>
  <si>
    <r>
      <rPr>
        <sz val="10"/>
        <rFont val="Arial"/>
        <family val="0"/>
        <charset val="1"/>
      </rPr>
      <t xml:space="preserve">S1● (7</t>
    </r>
    <r>
      <rPr>
        <sz val="10"/>
        <rFont val="WenQuanYi Zen Hei"/>
        <family val="2"/>
      </rPr>
      <t xml:space="preserve">화 결산에서 </t>
    </r>
    <r>
      <rPr>
        <sz val="10"/>
        <rFont val="Arial"/>
        <family val="0"/>
        <charset val="1"/>
      </rPr>
      <t xml:space="preserve">E3·S3·N5·N3 </t>
    </r>
    <r>
      <rPr>
        <sz val="10"/>
        <rFont val="WenQuanYi Zen Hei"/>
        <family val="2"/>
      </rPr>
      <t xml:space="preserve">등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</si>
  <si>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고위공직 겸직 금지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23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와 </t>
    </r>
    <r>
      <rPr>
        <sz val="10"/>
        <rFont val="Noto Sans CJK SC"/>
        <family val="2"/>
        <charset val="1"/>
      </rPr>
      <t xml:space="preserve">HATVP </t>
    </r>
    <r>
      <rPr>
        <sz val="10"/>
        <rFont val="WenQuanYi Zen Hei"/>
        <family val="2"/>
      </rPr>
      <t xml:space="preserve">신고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유언</t>
    </r>
    <r>
      <rPr>
        <sz val="10"/>
        <rFont val="Noto Sans CJK SC"/>
        <family val="2"/>
        <charset val="1"/>
      </rPr>
      <t xml:space="preserve">(notaire, exécuteur testamentaire, </t>
    </r>
    <r>
      <rPr>
        <sz val="10"/>
        <rFont val="WenQuanYi Zen Hei"/>
        <family val="2"/>
      </rPr>
      <t xml:space="preserve">유언 중앙 등록부 </t>
    </r>
    <r>
      <rPr>
        <sz val="10"/>
        <rFont val="Noto Sans CJK SC"/>
        <family val="2"/>
        <charset val="1"/>
      </rPr>
      <t xml:space="preserve">FCDDV), </t>
    </r>
    <r>
      <rPr>
        <sz val="10"/>
        <rFont val="WenQuanYi Zen Hei"/>
        <family val="2"/>
      </rPr>
      <t xml:space="preserve">기부재단 설립</t>
    </r>
  </si>
  <si>
    <r>
      <rPr>
        <sz val="10"/>
        <rFont val="Arial"/>
        <family val="0"/>
        <charset val="1"/>
      </rPr>
      <t xml:space="preserve">B1~B2. 1</t>
    </r>
    <r>
      <rPr>
        <sz val="10"/>
        <rFont val="WenQuanYi Zen Hei"/>
        <family val="2"/>
      </rPr>
      <t xml:space="preserve">부와 같은 문장을 다시 읽어 비교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발성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따뜻하고 여유로운 톤</t>
    </r>
    <r>
      <rPr>
        <sz val="10"/>
        <rFont val="Arial"/>
        <family val="0"/>
        <charset val="1"/>
      </rPr>
      <t xml:space="preserve">. Manon</t>
    </r>
    <r>
      <rPr>
        <sz val="10"/>
        <rFont val="WenQuanYi Zen Hei"/>
        <family val="2"/>
      </rPr>
      <t xml:space="preserve">의 설명은 쉬운 말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</si>
  <si>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Manon</t>
    </r>
    <r>
      <rPr>
        <sz val="10"/>
        <rFont val="WenQuanYi Zen Hei"/>
        <family val="2"/>
      </rPr>
      <t xml:space="preserve">이 새 인턴의 질문에 답한다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카드</t>
    </r>
    <r>
      <rPr>
        <sz val="10"/>
        <rFont val="Arial"/>
        <family val="0"/>
        <charset val="1"/>
      </rPr>
      <t xml:space="preserve">: Curie</t>
    </r>
    <r>
      <rPr>
        <sz val="10"/>
        <rFont val="WenQuanYi Zen Hei"/>
        <family val="2"/>
      </rPr>
      <t xml:space="preserve">가 처음으로 결론을 직접 말한다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</si>
  <si>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끝 — 원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</si>
  <si>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4"/>
        <color rgb="FF1F3864"/>
        <rFont val="WenQuanYi Zen Hei"/>
        <family val="2"/>
      </rPr>
      <t xml:space="preserve">전체 화별 목차 </t>
    </r>
    <r>
      <rPr>
        <b val="true"/>
        <sz val="14"/>
        <color rgb="FF1F3864"/>
        <rFont val="Noto Sans CJK SC"/>
        <family val="2"/>
        <charset val="1"/>
      </rPr>
      <t xml:space="preserve">(1~13</t>
    </r>
    <r>
      <rPr>
        <b val="true"/>
        <sz val="14"/>
        <color rgb="FF1F3864"/>
        <rFont val="WenQuanYi Zen Hei"/>
        <family val="2"/>
      </rPr>
      <t xml:space="preserve">부</t>
    </r>
    <r>
      <rPr>
        <b val="true"/>
        <sz val="14"/>
        <color rgb="FF1F3864"/>
        <rFont val="Noto Sans CJK SC"/>
        <family val="2"/>
        <charset val="1"/>
      </rPr>
      <t xml:space="preserve">, 156</t>
    </r>
    <r>
      <rPr>
        <b val="true"/>
        <sz val="14"/>
        <color rgb="FF1F3864"/>
        <rFont val="WenQuanYi Zen Hei"/>
        <family val="2"/>
      </rPr>
      <t xml:space="preserve">화</t>
    </r>
    <r>
      <rPr>
        <b val="true"/>
        <sz val="14"/>
        <color rgb="FF1F3864"/>
        <rFont val="Noto Sans CJK SC"/>
        <family val="2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</si>
  <si>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프랑스 제</t>
    </r>
    <r>
      <rPr>
        <i val="true"/>
        <sz val="9"/>
        <color rgb="FF595959"/>
        <rFont val="Noto Sans CJK SC"/>
        <family val="2"/>
        <charset val="1"/>
      </rPr>
      <t xml:space="preserve">5</t>
    </r>
    <r>
      <rPr>
        <i val="true"/>
        <sz val="9"/>
        <color rgb="FF595959"/>
        <rFont val="WenQuanYi Zen Hei"/>
        <family val="2"/>
      </rPr>
      <t xml:space="preserve">공화국 제도와 현안</t>
    </r>
    <r>
      <rPr>
        <i val="true"/>
        <sz val="9"/>
        <color rgb="FF595959"/>
        <rFont val="Noto Sans CJK SC"/>
        <family val="2"/>
        <charset val="1"/>
      </rPr>
      <t xml:space="preserve">(ID</t>
    </r>
    <r>
      <rPr>
        <i val="true"/>
        <sz val="9"/>
        <color rgb="FF595959"/>
        <rFont val="WenQuanYi Zen Hei"/>
        <family val="2"/>
      </rPr>
      <t xml:space="preserve">는 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현안</t>
    </r>
    <r>
      <rPr>
        <i val="true"/>
        <sz val="9"/>
        <color rgb="FF595959"/>
        <rFont val="Noto Sans CJK SC"/>
        <family val="2"/>
        <charset val="1"/>
      </rPr>
      <t xml:space="preserve">_</t>
    </r>
    <r>
      <rPr>
        <i val="true"/>
        <sz val="9"/>
        <color rgb="FF595959"/>
        <rFont val="WenQuanYi Zen Hei"/>
        <family val="2"/>
      </rPr>
      <t xml:space="preserve">배치</t>
    </r>
    <r>
      <rPr>
        <i val="true"/>
        <sz val="9"/>
        <color rgb="FF595959"/>
        <rFont val="Noto Sans CJK SC"/>
        <family val="2"/>
        <charset val="1"/>
      </rPr>
      <t xml:space="preserve">' </t>
    </r>
    <r>
      <rPr>
        <i val="true"/>
        <sz val="9"/>
        <color rgb="FF595959"/>
        <rFont val="WenQuanYi Zen Hei"/>
        <family val="2"/>
      </rPr>
      <t xml:space="preserve">시트</t>
    </r>
    <r>
      <rPr>
        <i val="true"/>
        <sz val="9"/>
        <color rgb="FF595959"/>
        <rFont val="Noto Sans CJK SC"/>
        <family val="2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을 반영한 초안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득표율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의석 수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결과는 가상 수치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모든 화는 지문 없이 대화문으로만 진행한다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</si>
  <si>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t xml:space="preserve">화</t>
  </si>
  <si>
    <t xml:space="preserve">핵심 사건</t>
  </si>
  <si>
    <t xml:space="preserve">주요 인물</t>
  </si>
  <si>
    <r>
      <rPr>
        <b val="true"/>
        <sz val="10"/>
        <color rgb="FFFFFFFF"/>
        <rFont val="WenQuanYi Zen Hei"/>
        <family val="2"/>
      </rPr>
      <t xml:space="preserve">반영 현안
</t>
    </r>
    <r>
      <rPr>
        <b val="true"/>
        <sz val="10"/>
        <color rgb="FFFFFFFF"/>
        <rFont val="Noto Sans CJK SC"/>
        <family val="2"/>
        <charset val="1"/>
      </rPr>
      <t xml:space="preserve">(ID)</t>
    </r>
  </si>
  <si>
    <t xml:space="preserve">턴 수</t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</si>
  <si>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1 </t>
    </r>
    <r>
      <rPr>
        <sz val="10"/>
        <rFont val="WenQuanYi Zen Hei"/>
        <family val="2"/>
      </rPr>
      <t xml:space="preserve">도입</t>
    </r>
  </si>
  <si>
    <t xml:space="preserve">Encore une lettre</t>
  </si>
  <si>
    <t xml:space="preserve">또 한 통의 편지</t>
  </si>
  <si>
    <r>
      <rPr>
        <sz val="10"/>
        <rFont val="WenQuanYi Zen Hei"/>
        <family val="2"/>
      </rPr>
      <t xml:space="preserve">사무소 개소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개월 후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다섯 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여전히 방법을 못 정한 채 매일 다투는 팀</t>
    </r>
    <r>
      <rPr>
        <sz val="10"/>
        <rFont val="Noto Sans CJK SC"/>
        <family val="2"/>
        <charset val="1"/>
      </rPr>
      <t xml:space="preserve">. Fatima</t>
    </r>
    <r>
      <rPr>
        <sz val="10"/>
        <rFont val="WenQuanYi Zen Hei"/>
        <family val="2"/>
      </rPr>
      <t xml:space="preserve">가 두 번째로 찾아와 새 임대료 인상 통지서를 보인다</t>
    </r>
    <r>
      <rPr>
        <sz val="10"/>
        <rFont val="Noto Sans CJK SC"/>
        <family val="2"/>
        <charset val="1"/>
      </rPr>
      <t xml:space="preserve">. Manon</t>
    </r>
    <r>
      <rPr>
        <sz val="10"/>
        <rFont val="WenQuanYi Zen Hei"/>
        <family val="2"/>
      </rPr>
      <t xml:space="preserve">은 여전히 </t>
    </r>
    <r>
      <rPr>
        <sz val="10"/>
        <rFont val="Noto Sans CJK SC"/>
        <family val="2"/>
        <charset val="1"/>
      </rPr>
      <t xml:space="preserve">Nicolas</t>
    </r>
    <r>
      <rPr>
        <sz val="10"/>
        <rFont val="WenQuanYi Zen Hei"/>
        <family val="2"/>
      </rPr>
      <t xml:space="preserve">에게 </t>
    </r>
    <r>
      <rPr>
        <sz val="10"/>
        <rFont val="Noto Sans CJK SC"/>
        <family val="2"/>
        <charset val="1"/>
      </rPr>
      <t xml:space="preserve">vous</t>
    </r>
    <r>
      <rPr>
        <sz val="10"/>
        <rFont val="WenQuanYi Zen Hei"/>
        <family val="2"/>
      </rPr>
      <t xml:space="preserve">를 쓴다</t>
    </r>
    <r>
      <rPr>
        <sz val="10"/>
        <rFont val="Noto Sans CJK SC"/>
        <family val="2"/>
        <charset val="1"/>
      </rPr>
      <t xml:space="preserve">. Curie</t>
    </r>
    <r>
      <rPr>
        <sz val="10"/>
        <rFont val="WenQuanYi Zen Hei"/>
        <family val="2"/>
      </rPr>
      <t xml:space="preserve">가 지나가며 </t>
    </r>
    <r>
      <rPr>
        <sz val="10"/>
        <rFont val="Noto Sans CJK SC"/>
        <family val="2"/>
        <charset val="1"/>
      </rPr>
      <t xml:space="preserve">«</t>
    </r>
    <r>
      <rPr>
        <sz val="10"/>
        <rFont val="WenQuanYi Zen Hei"/>
        <family val="2"/>
      </rPr>
      <t xml:space="preserve">날짜를 세어 보라</t>
    </r>
    <r>
      <rPr>
        <sz val="10"/>
        <rFont val="Noto Sans CJK SC"/>
        <family val="2"/>
        <charset val="1"/>
      </rPr>
      <t xml:space="preserve">»</t>
    </r>
    <r>
      <rPr>
        <sz val="10"/>
        <rFont val="WenQuanYi Zen Hei"/>
        <family val="2"/>
      </rPr>
      <t xml:space="preserve">는 힌트만 던지고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임대차 계약서가 없어 다음 날로 미뤄진다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</si>
  <si>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생활 법률 구어체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반복되는 말다툼 </t>
    </r>
    <r>
      <rPr>
        <sz val="10"/>
        <rFont val="Noto Sans CJK SC"/>
        <family val="2"/>
        <charset val="1"/>
      </rPr>
      <t xml:space="preserve">(B1)</t>
    </r>
  </si>
  <si>
    <t xml:space="preserve">Monique, Nicolas, Camille, Julien, Léa, Manon, Napoléon, Fatima, Curie</t>
  </si>
  <si>
    <t xml:space="preserve">E1</t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</si>
  <si>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1 </t>
    </r>
    <r>
      <rPr>
        <sz val="10"/>
        <rFont val="WenQuanYi Zen Hei"/>
        <family val="2"/>
      </rPr>
      <t xml:space="preserve">해결</t>
    </r>
  </si>
  <si>
    <t xml:space="preserve">La clause qui n'augmente pas</t>
  </si>
  <si>
    <t xml:space="preserve">오르지 않는 조항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</si>
  <si>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해결</t>
    </r>
    <r>
      <rPr>
        <sz val="10"/>
        <rFont val="Arial"/>
        <family val="0"/>
        <charset val="1"/>
      </rPr>
      <t xml:space="preserve">] Fatima</t>
    </r>
    <r>
      <rPr>
        <sz val="10"/>
        <rFont val="WenQuanYi Zen Hei"/>
        <family val="2"/>
      </rPr>
      <t xml:space="preserve">와 </t>
    </r>
    <r>
      <rPr>
        <sz val="10"/>
        <rFont val="Arial"/>
        <family val="0"/>
        <charset val="1"/>
      </rPr>
      <t xml:space="preserve">Manon</t>
    </r>
    <r>
      <rPr>
        <sz val="10"/>
        <rFont val="WenQuanYi Zen Hei"/>
        <family val="2"/>
      </rPr>
      <t xml:space="preserve">이 계약서를 가져온다</t>
    </r>
    <r>
      <rPr>
        <sz val="10"/>
        <rFont val="Arial"/>
        <family val="0"/>
        <charset val="1"/>
      </rPr>
      <t xml:space="preserve">. Curie</t>
    </r>
    <r>
      <rPr>
        <sz val="10"/>
        <rFont val="WenQuanYi Zen Hei"/>
        <family val="2"/>
      </rPr>
      <t xml:space="preserve">의 카드 </t>
    </r>
    <r>
      <rPr>
        <sz val="10"/>
        <rFont val="Arial"/>
        <family val="0"/>
        <charset val="1"/>
      </rPr>
      <t xml:space="preserve">#1(1989</t>
    </r>
    <r>
      <rPr>
        <sz val="10"/>
        <rFont val="WenQuanYi Zen Hei"/>
        <family val="2"/>
      </rPr>
      <t xml:space="preserve">년 임대차법 제</t>
    </r>
    <r>
      <rPr>
        <sz val="10"/>
        <rFont val="Arial"/>
        <family val="0"/>
        <charset val="1"/>
      </rPr>
      <t xml:space="preserve">17-1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임대료 기준지수 </t>
    </r>
    <r>
      <rPr>
        <sz val="10"/>
        <rFont val="Arial"/>
        <family val="0"/>
        <charset val="1"/>
      </rPr>
      <t xml:space="preserve">IRL)</t>
    </r>
    <r>
      <rPr>
        <sz val="10"/>
        <rFont val="WenQuanYi Zen Hei"/>
        <family val="2"/>
      </rPr>
      <t xml:space="preserve">로 인상률이 부당함을 확인하고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기한 안에 등기우편</t>
    </r>
    <r>
      <rPr>
        <sz val="10"/>
        <rFont val="Arial"/>
        <family val="0"/>
        <charset val="1"/>
      </rPr>
      <t xml:space="preserve">(lettre recommandée)</t>
    </r>
    <r>
      <rPr>
        <sz val="10"/>
        <rFont val="WenQuanYi Zen Hei"/>
        <family val="2"/>
      </rPr>
      <t xml:space="preserve">으로 답장을 쓴다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사무소의 첫 번째 규칙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가난한 이웃에겐 돈을 받지 않는다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이 확인된다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</si>
  <si>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임대차</t>
    </r>
    <r>
      <rPr>
        <sz val="10"/>
        <rFont val="Noto Sans CJK SC"/>
        <family val="2"/>
        <charset val="1"/>
      </rPr>
      <t xml:space="preserve">(1989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7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6</t>
    </r>
    <r>
      <rPr>
        <sz val="10"/>
        <rFont val="WenQuanYi Zen Hei"/>
        <family val="2"/>
      </rPr>
      <t xml:space="preserve">일 법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임대료 기준지수</t>
    </r>
    <r>
      <rPr>
        <sz val="10"/>
        <rFont val="Noto Sans CJK SC"/>
        <family val="2"/>
        <charset val="1"/>
      </rPr>
      <t xml:space="preserve">(IRL), </t>
    </r>
    <r>
      <rPr>
        <sz val="10"/>
        <rFont val="WenQuanYi Zen Hei"/>
        <family val="2"/>
      </rPr>
      <t xml:space="preserve">파리 임대료 상한</t>
    </r>
    <r>
      <rPr>
        <sz val="10"/>
        <rFont val="Noto Sans CJK SC"/>
        <family val="2"/>
        <charset val="1"/>
      </rPr>
      <t xml:space="preserve">(encadrement des loyers)</t>
    </r>
  </si>
  <si>
    <t xml:space="preserve">Nicolas, Julien, Léa, Fatima, Curie, Manon, Monique</t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</si>
  <si>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2 </t>
    </r>
    <r>
      <rPr>
        <sz val="10"/>
        <rFont val="WenQuanYi Zen Hei"/>
        <family val="2"/>
      </rPr>
      <t xml:space="preserve">도입</t>
    </r>
  </si>
  <si>
    <t xml:space="preserve">La fin de la trêve</t>
  </si>
  <si>
    <t xml:space="preserve">겨울 휴전의 끝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</si>
  <si>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도입</t>
    </r>
    <r>
      <rPr>
        <sz val="10"/>
        <rFont val="Arial"/>
        <family val="0"/>
        <charset val="1"/>
      </rPr>
      <t xml:space="preserve">] 3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31</t>
    </r>
    <r>
      <rPr>
        <sz val="10"/>
        <rFont val="WenQuanYi Zen Hei"/>
        <family val="2"/>
      </rPr>
      <t xml:space="preserve">일 밤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겨울 퇴거 유예</t>
    </r>
    <r>
      <rPr>
        <sz val="10"/>
        <rFont val="Arial"/>
        <family val="0"/>
        <charset val="1"/>
      </rPr>
      <t xml:space="preserve">(trêve hivernale)</t>
    </r>
    <r>
      <rPr>
        <sz val="10"/>
        <rFont val="WenQuanYi Zen Hei"/>
        <family val="2"/>
      </rPr>
      <t xml:space="preserve">가 끝나는 다음 날 아침으로 퇴거 집행이 잡혔다는 급보가 온다</t>
    </r>
    <r>
      <rPr>
        <sz val="10"/>
        <rFont val="Arial"/>
        <family val="0"/>
        <charset val="1"/>
      </rPr>
      <t xml:space="preserve">. Jeanne</t>
    </r>
    <r>
      <rPr>
        <sz val="10"/>
        <rFont val="WenQuanYi Zen Hei"/>
        <family val="2"/>
      </rPr>
      <t xml:space="preserve">이 주민을 조직하고 </t>
    </r>
    <r>
      <rPr>
        <sz val="10"/>
        <rFont val="Arial"/>
        <family val="0"/>
        <charset val="1"/>
      </rPr>
      <t xml:space="preserve">Karim</t>
    </r>
    <r>
      <rPr>
        <sz val="10"/>
        <rFont val="WenQuanYi Zen Hei"/>
        <family val="2"/>
      </rPr>
      <t xml:space="preserve">이 이웃들을 모은다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네 사람이 각자 서류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건강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숫자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동선을 맡아 밤새 준비하지만 승산은 불투명하다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</si>
  <si>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겨울 퇴거 유예</t>
    </r>
    <r>
      <rPr>
        <sz val="10"/>
        <rFont val="Noto Sans CJK SC"/>
        <family val="2"/>
        <charset val="1"/>
      </rPr>
      <t xml:space="preserve">(11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일</t>
    </r>
    <r>
      <rPr>
        <sz val="10"/>
        <rFont val="Noto Sans CJK SC"/>
        <family val="2"/>
        <charset val="1"/>
      </rPr>
      <t xml:space="preserve">~3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31</t>
    </r>
    <r>
      <rPr>
        <sz val="10"/>
        <rFont val="WenQuanYi Zen Hei"/>
        <family val="2"/>
      </rPr>
      <t xml:space="preserve">일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퇴거 명령</t>
    </r>
    <r>
      <rPr>
        <sz val="10"/>
        <rFont val="Noto Sans CJK SC"/>
        <family val="2"/>
        <charset val="1"/>
      </rPr>
      <t xml:space="preserve">(commandement de quitter les lieux), </t>
    </r>
    <r>
      <rPr>
        <sz val="10"/>
        <rFont val="WenQuanYi Zen Hei"/>
        <family val="2"/>
      </rPr>
      <t xml:space="preserve">이웃 조직</t>
    </r>
  </si>
  <si>
    <t xml:space="preserve">Nicolas, Camille, Julien, Léa, Jeanne, Karim, Manon, Monique</t>
  </si>
  <si>
    <t xml:space="preserve">S1</t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</si>
  <si>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2 </t>
    </r>
    <r>
      <rPr>
        <sz val="10"/>
        <rFont val="WenQuanYi Zen Hei"/>
        <family val="2"/>
      </rPr>
      <t xml:space="preserve">해결</t>
    </r>
  </si>
  <si>
    <t xml:space="preserve">Le fourgon qui n'est pas venu</t>
  </si>
  <si>
    <t xml:space="preserve">오지 않은 경찰 승합차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</si>
  <si>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해결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집행 당일 아침</t>
    </r>
    <r>
      <rPr>
        <sz val="10"/>
        <rFont val="Arial"/>
        <family val="0"/>
        <charset val="1"/>
      </rPr>
      <t xml:space="preserve">. Nicolas</t>
    </r>
    <r>
      <rPr>
        <sz val="10"/>
        <rFont val="WenQuanYi Zen Hei"/>
        <family val="2"/>
      </rPr>
      <t xml:space="preserve">의 긴급 가처분</t>
    </r>
    <r>
      <rPr>
        <sz val="10"/>
        <rFont val="Arial"/>
        <family val="0"/>
        <charset val="1"/>
      </rPr>
      <t xml:space="preserve">(référé)</t>
    </r>
    <r>
      <rPr>
        <sz val="10"/>
        <rFont val="WenQuanYi Zen Hei"/>
        <family val="2"/>
      </rPr>
      <t xml:space="preserve">과 유예 기간 신청</t>
    </r>
    <r>
      <rPr>
        <sz val="10"/>
        <rFont val="Arial"/>
        <family val="0"/>
        <charset val="1"/>
      </rPr>
      <t xml:space="preserve">, Camille</t>
    </r>
    <r>
      <rPr>
        <sz val="10"/>
        <rFont val="WenQuanYi Zen Hei"/>
        <family val="2"/>
      </rPr>
      <t xml:space="preserve">의 취약성 진단서</t>
    </r>
    <r>
      <rPr>
        <sz val="10"/>
        <rFont val="Arial"/>
        <family val="0"/>
        <charset val="1"/>
      </rPr>
      <t xml:space="preserve">, Julien</t>
    </r>
    <r>
      <rPr>
        <sz val="10"/>
        <rFont val="WenQuanYi Zen Hei"/>
        <family val="2"/>
      </rPr>
      <t xml:space="preserve">의 채무 계산</t>
    </r>
    <r>
      <rPr>
        <sz val="10"/>
        <rFont val="Arial"/>
        <family val="0"/>
        <charset val="1"/>
      </rPr>
      <t xml:space="preserve">, Léa</t>
    </r>
    <r>
      <rPr>
        <sz val="10"/>
        <rFont val="WenQuanYi Zen Hei"/>
        <family val="2"/>
      </rPr>
      <t xml:space="preserve">의 동선 배치가 맞물리고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도청</t>
    </r>
    <r>
      <rPr>
        <sz val="10"/>
        <rFont val="Arial"/>
        <family val="0"/>
        <charset val="1"/>
      </rPr>
      <t xml:space="preserve">(préfecture)</t>
    </r>
    <r>
      <rPr>
        <sz val="10"/>
        <rFont val="WenQuanYi Zen Hei"/>
        <family val="2"/>
      </rPr>
      <t xml:space="preserve">이 경찰 지원</t>
    </r>
    <r>
      <rPr>
        <sz val="10"/>
        <rFont val="Arial"/>
        <family val="0"/>
        <charset val="1"/>
      </rPr>
      <t xml:space="preserve">(concours de la force publique)</t>
    </r>
    <r>
      <rPr>
        <sz val="10"/>
        <rFont val="WenQuanYi Zen Hei"/>
        <family val="2"/>
      </rPr>
      <t xml:space="preserve">을 미뤄 집행이 연기된다</t>
    </r>
    <r>
      <rPr>
        <sz val="10"/>
        <rFont val="Arial"/>
        <family val="0"/>
        <charset val="1"/>
      </rPr>
      <t xml:space="preserve">. Jeanne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«Rien à signaler.» </t>
    </r>
    <r>
      <rPr>
        <sz val="10"/>
        <rFont val="WenQuanYi Zen Hei"/>
        <family val="2"/>
      </rPr>
      <t xml:space="preserve">보고로 마무리된다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</si>
  <si>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보호소송 판사</t>
    </r>
    <r>
      <rPr>
        <sz val="10"/>
        <rFont val="Noto Sans CJK SC"/>
        <family val="2"/>
        <charset val="1"/>
      </rPr>
      <t xml:space="preserve">(juge des contentieux de la protection), </t>
    </r>
    <r>
      <rPr>
        <sz val="10"/>
        <rFont val="WenQuanYi Zen Hei"/>
        <family val="2"/>
      </rPr>
      <t xml:space="preserve">유예 기간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경찰 지원 거부와 국가 배상</t>
    </r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</si>
  <si>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3 </t>
    </r>
    <r>
      <rPr>
        <sz val="10"/>
        <rFont val="WenQuanYi Zen Hei"/>
        <family val="2"/>
      </rPr>
      <t xml:space="preserve">도입</t>
    </r>
  </si>
  <si>
    <t xml:space="preserve">Le stagiaire de l'usine</t>
  </si>
  <si>
    <t xml:space="preserve">공장의 인턴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</si>
  <si>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도입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임금 체불과 부당한 초과근무에 지친 청년 노동자 </t>
    </r>
    <r>
      <rPr>
        <sz val="10"/>
        <rFont val="Arial"/>
        <family val="0"/>
        <charset val="1"/>
      </rPr>
      <t xml:space="preserve">Théo(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가 찾아온다</t>
    </r>
    <r>
      <rPr>
        <sz val="10"/>
        <rFont val="Arial"/>
        <family val="0"/>
        <charset val="1"/>
      </rPr>
      <t xml:space="preserve">. Léa</t>
    </r>
    <r>
      <rPr>
        <sz val="10"/>
        <rFont val="WenQuanYi Zen Hei"/>
        <family val="2"/>
      </rPr>
      <t xml:space="preserve">가 컨설팅 용어로 상황을 분석하려 하고 </t>
    </r>
    <r>
      <rPr>
        <sz val="10"/>
        <rFont val="Arial"/>
        <family val="0"/>
        <charset val="1"/>
      </rPr>
      <t xml:space="preserve">Manon</t>
    </r>
    <r>
      <rPr>
        <sz val="10"/>
        <rFont val="WenQuanYi Zen Hei"/>
        <family val="2"/>
      </rPr>
      <t xml:space="preserve">이 통역하듯 애쓰지만 </t>
    </r>
    <r>
      <rPr>
        <sz val="10"/>
        <rFont val="Arial"/>
        <family val="0"/>
        <charset val="1"/>
      </rPr>
      <t xml:space="preserve">Théo</t>
    </r>
    <r>
      <rPr>
        <sz val="10"/>
        <rFont val="WenQuanYi Zen Hei"/>
        <family val="2"/>
      </rPr>
      <t xml:space="preserve">는 점점 지쳐 간다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</si>
  <si>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기간제 계약</t>
    </r>
    <r>
      <rPr>
        <sz val="10"/>
        <rFont val="Noto Sans CJK SC"/>
        <family val="2"/>
        <charset val="1"/>
      </rPr>
      <t xml:space="preserve">(CDD), </t>
    </r>
    <r>
      <rPr>
        <sz val="10"/>
        <rFont val="WenQuanYi Zen Hei"/>
        <family val="2"/>
      </rPr>
      <t xml:space="preserve">초과근무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경영 용어의 벽</t>
    </r>
  </si>
  <si>
    <r>
      <rPr>
        <sz val="10"/>
        <rFont val="Arial"/>
        <family val="0"/>
        <charset val="1"/>
      </rPr>
      <t xml:space="preserve">Léa, Manon, Julien, Monique, Théo(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</si>
  <si>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3 </t>
    </r>
    <r>
      <rPr>
        <sz val="10"/>
        <rFont val="WenQuanYi Zen Hei"/>
        <family val="2"/>
      </rPr>
      <t xml:space="preserve">해결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폭발</t>
    </r>
    <r>
      <rPr>
        <sz val="10"/>
        <rFont val="Noto Sans CJK SC"/>
        <family val="2"/>
        <charset val="1"/>
      </rPr>
      <t xml:space="preserve">)</t>
    </r>
  </si>
  <si>
    <t xml:space="preserve">Ça suffit !</t>
  </si>
  <si>
    <r>
      <rPr>
        <sz val="10"/>
        <rFont val="WenQuanYi Zen Hei"/>
        <family val="2"/>
      </rPr>
      <t xml:space="preserve">그만</t>
    </r>
    <r>
      <rPr>
        <sz val="10"/>
        <rFont val="Noto Sans CJK SC"/>
        <family val="2"/>
        <charset val="1"/>
      </rPr>
      <t xml:space="preserve">!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</si>
  <si>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해결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협상 자리에서 </t>
    </r>
    <r>
      <rPr>
        <sz val="10"/>
        <rFont val="Arial"/>
        <family val="0"/>
        <charset val="1"/>
      </rPr>
      <t xml:space="preserve">Léa</t>
    </r>
    <r>
      <rPr>
        <sz val="10"/>
        <rFont val="WenQuanYi Zen Hei"/>
        <family val="2"/>
      </rPr>
      <t xml:space="preserve">의 용어가 한 시간째 이어지자 </t>
    </r>
    <r>
      <rPr>
        <sz val="10"/>
        <rFont val="Arial"/>
        <family val="0"/>
        <charset val="1"/>
      </rPr>
      <t xml:space="preserve">Manon</t>
    </r>
    <r>
      <rPr>
        <sz val="10"/>
        <rFont val="WenQuanYi Zen Hei"/>
        <family val="2"/>
      </rPr>
      <t xml:space="preserve">이 폭발한다</t>
    </r>
    <r>
      <rPr>
        <sz val="10"/>
        <rFont val="Arial"/>
        <family val="0"/>
        <charset val="1"/>
      </rPr>
      <t xml:space="preserve">(1</t>
    </r>
    <r>
      <rPr>
        <sz val="10"/>
        <rFont val="WenQuanYi Zen Hei"/>
        <family val="2"/>
      </rPr>
      <t xml:space="preserve">차 폭발</t>
    </r>
    <r>
      <rPr>
        <sz val="10"/>
        <rFont val="Arial"/>
        <family val="0"/>
        <charset val="1"/>
      </rPr>
      <t xml:space="preserve">). Camille·Jeanne·Monique·Curie</t>
    </r>
    <r>
      <rPr>
        <sz val="10"/>
        <rFont val="WenQuanYi Zen Hei"/>
        <family val="2"/>
      </rPr>
      <t xml:space="preserve">의 고정 반응</t>
    </r>
    <r>
      <rPr>
        <sz val="10"/>
        <rFont val="Arial"/>
        <family val="0"/>
        <charset val="1"/>
      </rPr>
      <t xml:space="preserve">, Napoléon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«Bécasse… Demande.», Julien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«Je traduis.» </t>
    </r>
    <r>
      <rPr>
        <sz val="10"/>
        <rFont val="WenQuanYi Zen Hei"/>
        <family val="2"/>
      </rPr>
      <t xml:space="preserve">이후 쉬운 말로 다시 협상해 노동법원</t>
    </r>
    <r>
      <rPr>
        <sz val="10"/>
        <rFont val="Arial"/>
        <family val="0"/>
        <charset val="1"/>
      </rPr>
      <t xml:space="preserve">(prud'hommes)</t>
    </r>
    <r>
      <rPr>
        <sz val="10"/>
        <rFont val="WenQuanYi Zen Hei"/>
        <family val="2"/>
      </rPr>
      <t xml:space="preserve">에 가기 전에 밀린 임금 지급에 합의한다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</si>
  <si>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감정 표현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전문 용어 → 쉬운 말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임금 체불 합의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노동법원 전 화해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</si>
  <si>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Manon, Léa, Julien, Camille, Napoléon, Jeanne, Monique, Curie, Théo(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</si>
  <si>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4 </t>
    </r>
    <r>
      <rPr>
        <sz val="10"/>
        <rFont val="WenQuanYi Zen Hei"/>
        <family val="2"/>
      </rPr>
      <t xml:space="preserve">도입</t>
    </r>
  </si>
  <si>
    <t xml:space="preserve">La petite qui a de la fièvre</t>
  </si>
  <si>
    <t xml:space="preserve">열이 나는 아이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</si>
  <si>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도입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체류 서류가 없어 소아과 예약을 못 잡는 가족이 찾아온다</t>
    </r>
    <r>
      <rPr>
        <sz val="10"/>
        <rFont val="Arial"/>
        <family val="0"/>
        <charset val="1"/>
      </rPr>
      <t xml:space="preserve">. Camille</t>
    </r>
    <r>
      <rPr>
        <sz val="10"/>
        <rFont val="WenQuanYi Zen Hei"/>
        <family val="2"/>
      </rPr>
      <t xml:space="preserve">가 나서고 </t>
    </r>
    <r>
      <rPr>
        <sz val="10"/>
        <rFont val="Arial"/>
        <family val="0"/>
        <charset val="1"/>
      </rPr>
      <t xml:space="preserve">Sartre</t>
    </r>
    <r>
      <rPr>
        <sz val="10"/>
        <rFont val="WenQuanYi Zen Hei"/>
        <family val="2"/>
      </rPr>
      <t xml:space="preserve">가 카페에서 건너와 </t>
    </r>
    <r>
      <rPr>
        <sz val="10"/>
        <rFont val="Arial"/>
        <family val="0"/>
        <charset val="1"/>
      </rPr>
      <t xml:space="preserve">«Et toi, qu'est-ce que tu choisis ?»</t>
    </r>
    <r>
      <rPr>
        <sz val="10"/>
        <rFont val="WenQuanYi Zen Hei"/>
        <family val="2"/>
      </rPr>
      <t xml:space="preserve">를 처음 선보인다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마침 들른 </t>
    </r>
    <r>
      <rPr>
        <sz val="10"/>
        <rFont val="Arial"/>
        <family val="0"/>
        <charset val="1"/>
      </rPr>
      <t xml:space="preserve">Hugo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Napoléon</t>
    </r>
    <r>
      <rPr>
        <sz val="10"/>
        <rFont val="WenQuanYi Zen Hei"/>
        <family val="2"/>
      </rPr>
      <t xml:space="preserve">에게 원고를 놀림받다 </t>
    </r>
    <r>
      <rPr>
        <sz val="10"/>
        <rFont val="Arial"/>
        <family val="0"/>
        <charset val="1"/>
      </rPr>
      <t xml:space="preserve">«Pas mal.»</t>
    </r>
    <r>
      <rPr>
        <sz val="10"/>
        <rFont val="WenQuanYi Zen Hei"/>
        <family val="2"/>
      </rPr>
      <t xml:space="preserve">이라는 최고의 칭찬을 듣는다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정작 진짜 아픈 아이 앞에서 </t>
    </r>
    <r>
      <rPr>
        <sz val="10"/>
        <rFont val="Arial"/>
        <family val="0"/>
        <charset val="1"/>
      </rPr>
      <t xml:space="preserve">Napoléon</t>
    </r>
    <r>
      <rPr>
        <sz val="10"/>
        <rFont val="WenQuanYi Zen Hei"/>
        <family val="2"/>
      </rPr>
      <t xml:space="preserve">은 자기 무릎 타령을 멈춘다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</si>
  <si>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서류 없는 가족의 의료 접근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국가의료지원 </t>
    </r>
    <r>
      <rPr>
        <sz val="10"/>
        <rFont val="Noto Sans CJK SC"/>
        <family val="2"/>
        <charset val="1"/>
      </rPr>
      <t xml:space="preserve">AME, </t>
    </r>
    <r>
      <rPr>
        <sz val="10"/>
        <rFont val="WenQuanYi Zen Hei"/>
        <family val="2"/>
      </rPr>
      <t xml:space="preserve">모자보건센터 </t>
    </r>
    <r>
      <rPr>
        <sz val="10"/>
        <rFont val="Noto Sans CJK SC"/>
        <family val="2"/>
        <charset val="1"/>
      </rPr>
      <t xml:space="preserve">PMI), </t>
    </r>
    <r>
      <rPr>
        <sz val="10"/>
        <rFont val="WenQuanYi Zen Hei"/>
        <family val="2"/>
      </rPr>
      <t xml:space="preserve">증상 표현</t>
    </r>
  </si>
  <si>
    <r>
      <rPr>
        <sz val="10"/>
        <rFont val="Arial"/>
        <family val="0"/>
        <charset val="1"/>
      </rPr>
      <t xml:space="preserve">Camille, Sartre, Napoléon, Hugo, Manon, Monique, </t>
    </r>
    <r>
      <rPr>
        <sz val="10"/>
        <rFont val="WenQuanYi Zen Hei"/>
        <family val="2"/>
      </rPr>
      <t xml:space="preserve">가족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</si>
  <si>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S2</t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</si>
  <si>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4 </t>
    </r>
    <r>
      <rPr>
        <sz val="10"/>
        <rFont val="WenQuanYi Zen Hei"/>
        <family val="2"/>
      </rPr>
      <t xml:space="preserve">해결</t>
    </r>
  </si>
  <si>
    <t xml:space="preserve">L'AME pour Amina</t>
  </si>
  <si>
    <r>
      <rPr>
        <sz val="10"/>
        <rFont val="Noto Sans CJK SC"/>
        <family val="2"/>
        <charset val="1"/>
      </rPr>
      <t xml:space="preserve">Amina</t>
    </r>
    <r>
      <rPr>
        <sz val="10"/>
        <rFont val="WenQuanYi Zen Hei"/>
        <family val="2"/>
      </rPr>
      <t xml:space="preserve">를 위한 </t>
    </r>
    <r>
      <rPr>
        <sz val="10"/>
        <rFont val="Noto Sans CJK SC"/>
        <family val="2"/>
        <charset val="1"/>
      </rPr>
      <t xml:space="preserve">AME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</si>
  <si>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해결</t>
    </r>
    <r>
      <rPr>
        <sz val="10"/>
        <rFont val="Arial"/>
        <family val="0"/>
        <charset val="1"/>
      </rPr>
      <t xml:space="preserve">] Nicolas</t>
    </r>
    <r>
      <rPr>
        <sz val="10"/>
        <rFont val="WenQuanYi Zen Hei"/>
        <family val="2"/>
      </rPr>
      <t xml:space="preserve">와 </t>
    </r>
    <r>
      <rPr>
        <sz val="10"/>
        <rFont val="Arial"/>
        <family val="0"/>
        <charset val="1"/>
      </rPr>
      <t xml:space="preserve">Camille</t>
    </r>
    <r>
      <rPr>
        <sz val="10"/>
        <rFont val="WenQuanYi Zen Hei"/>
        <family val="2"/>
      </rPr>
      <t xml:space="preserve">가 행정 거주지 등록</t>
    </r>
    <r>
      <rPr>
        <sz val="10"/>
        <rFont val="Arial"/>
        <family val="0"/>
        <charset val="1"/>
      </rPr>
      <t xml:space="preserve">(domiciliation, CCAS) </t>
    </r>
    <r>
      <rPr>
        <sz val="10"/>
        <rFont val="WenQuanYi Zen Hei"/>
        <family val="2"/>
      </rPr>
      <t xml:space="preserve">경로를 찾아내고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미성년자는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개월 거주 요건 없이 </t>
    </r>
    <r>
      <rPr>
        <sz val="10"/>
        <rFont val="Arial"/>
        <family val="0"/>
        <charset val="1"/>
      </rPr>
      <t xml:space="preserve">AME</t>
    </r>
    <r>
      <rPr>
        <sz val="10"/>
        <rFont val="WenQuanYi Zen Hei"/>
        <family val="2"/>
      </rPr>
      <t xml:space="preserve">를 받을 수 있음을 확인해 아이가 진료를 받는다</t>
    </r>
    <r>
      <rPr>
        <sz val="10"/>
        <rFont val="Arial"/>
        <family val="0"/>
        <charset val="1"/>
      </rPr>
      <t xml:space="preserve">. Napoléon</t>
    </r>
    <r>
      <rPr>
        <sz val="10"/>
        <rFont val="WenQuanYi Zen Hei"/>
        <family val="2"/>
      </rPr>
      <t xml:space="preserve">이 평소와 달리 조용히 커피를 마신다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</si>
  <si>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행정 거주지 등록</t>
    </r>
    <r>
      <rPr>
        <sz val="10"/>
        <rFont val="Noto Sans CJK SC"/>
        <family val="2"/>
        <charset val="1"/>
      </rPr>
      <t xml:space="preserve">(domiciliation), AME</t>
    </r>
    <r>
      <rPr>
        <sz val="10"/>
        <rFont val="WenQuanYi Zen Hei"/>
        <family val="2"/>
      </rPr>
      <t xml:space="preserve">의 미성년자 특례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진료 의뢰</t>
    </r>
  </si>
  <si>
    <r>
      <rPr>
        <sz val="10"/>
        <rFont val="Arial"/>
        <family val="0"/>
        <charset val="1"/>
      </rPr>
      <t xml:space="preserve">Camille, Nicolas, Manon, Monique, </t>
    </r>
    <r>
      <rPr>
        <sz val="10"/>
        <rFont val="WenQuanYi Zen Hei"/>
        <family val="2"/>
      </rPr>
      <t xml:space="preserve">가족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</si>
  <si>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5 </t>
    </r>
    <r>
      <rPr>
        <sz val="10"/>
        <rFont val="WenQuanYi Zen Hei"/>
        <family val="2"/>
      </rPr>
      <t xml:space="preserve">도입</t>
    </r>
  </si>
  <si>
    <t xml:space="preserve">La veuve du cinquième</t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</si>
  <si>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층의 미망인</t>
    </r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</si>
  <si>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도입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가짜 적금 상품</t>
    </r>
    <r>
      <rPr>
        <sz val="10"/>
        <rFont val="Arial"/>
        <family val="0"/>
        <charset val="1"/>
      </rPr>
      <t xml:space="preserve">(faux livret)</t>
    </r>
    <r>
      <rPr>
        <sz val="10"/>
        <rFont val="WenQuanYi Zen Hei"/>
        <family val="2"/>
      </rPr>
      <t xml:space="preserve">에 저축을 잃은 노년의 이웃 </t>
    </r>
    <r>
      <rPr>
        <sz val="10"/>
        <rFont val="Arial"/>
        <family val="0"/>
        <charset val="1"/>
      </rPr>
      <t xml:space="preserve">Josette(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가 찾아온다</t>
    </r>
    <r>
      <rPr>
        <sz val="10"/>
        <rFont val="Arial"/>
        <family val="0"/>
        <charset val="1"/>
      </rPr>
      <t xml:space="preserve">. Julien</t>
    </r>
    <r>
      <rPr>
        <sz val="10"/>
        <rFont val="WenQuanYi Zen Hei"/>
        <family val="2"/>
      </rPr>
      <t xml:space="preserve">이 장부를 살피는 동안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양복 입은 낯선 남자 </t>
    </r>
    <r>
      <rPr>
        <sz val="10"/>
        <rFont val="Arial"/>
        <family val="0"/>
        <charset val="1"/>
      </rPr>
      <t xml:space="preserve">Philippe</t>
    </r>
    <r>
      <rPr>
        <sz val="10"/>
        <rFont val="WenQuanYi Zen Hei"/>
        <family val="2"/>
      </rPr>
      <t xml:space="preserve">가 나타나 은행 쪽 흐름을 봐 주겠다고 하면서도 자기 이야기는 하지 않는다</t>
    </r>
    <r>
      <rPr>
        <sz val="10"/>
        <rFont val="Arial"/>
        <family val="0"/>
        <charset val="1"/>
      </rPr>
      <t xml:space="preserve">. Voltaire</t>
    </r>
    <r>
      <rPr>
        <sz val="10"/>
        <rFont val="WenQuanYi Zen Hei"/>
        <family val="2"/>
      </rPr>
      <t xml:space="preserve">가 냄새를 맡고 기웃거린다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</si>
  <si>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투자 사기</t>
    </r>
    <r>
      <rPr>
        <sz val="10"/>
        <rFont val="Noto Sans CJK SC"/>
        <family val="2"/>
        <charset val="1"/>
      </rPr>
      <t xml:space="preserve">(arnaque aux faux placements), </t>
    </r>
    <r>
      <rPr>
        <sz val="10"/>
        <rFont val="WenQuanYi Zen Hei"/>
        <family val="2"/>
      </rPr>
      <t xml:space="preserve">은행 계좌 기초 어휘</t>
    </r>
  </si>
  <si>
    <r>
      <rPr>
        <sz val="10"/>
        <rFont val="Arial"/>
        <family val="0"/>
        <charset val="1"/>
      </rPr>
      <t xml:space="preserve">Julien, Philippe, Voltaire, Manon, Monique, Josette(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</si>
  <si>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E3</t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</si>
  <si>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5 </t>
    </r>
    <r>
      <rPr>
        <sz val="10"/>
        <rFont val="WenQuanYi Zen Hei"/>
        <family val="2"/>
      </rPr>
      <t xml:space="preserve">해결</t>
    </r>
  </si>
  <si>
    <t xml:space="preserve">Suivez l'argent</t>
  </si>
  <si>
    <t xml:space="preserve">돈을 따라가라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</si>
  <si>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해결</t>
    </r>
    <r>
      <rPr>
        <sz val="10"/>
        <rFont val="Arial"/>
        <family val="0"/>
        <charset val="1"/>
      </rPr>
      <t xml:space="preserve">] Philippe</t>
    </r>
    <r>
      <rPr>
        <sz val="10"/>
        <rFont val="WenQuanYi Zen Hei"/>
        <family val="2"/>
      </rPr>
      <t xml:space="preserve">의 계좌 흐름 추적과 </t>
    </r>
    <r>
      <rPr>
        <sz val="10"/>
        <rFont val="Arial"/>
        <family val="0"/>
        <charset val="1"/>
      </rPr>
      <t xml:space="preserve">Julien</t>
    </r>
    <r>
      <rPr>
        <sz val="10"/>
        <rFont val="WenQuanYi Zen Hei"/>
        <family val="2"/>
      </rPr>
      <t xml:space="preserve">의 장부 대조로 사기 계좌를 찾아 은행에 이의 제기를 하고 돈 일부를 되찾는다</t>
    </r>
    <r>
      <rPr>
        <sz val="10"/>
        <rFont val="Arial"/>
        <family val="0"/>
        <charset val="1"/>
      </rPr>
      <t xml:space="preserve">. Philippe</t>
    </r>
    <r>
      <rPr>
        <sz val="10"/>
        <rFont val="WenQuanYi Zen Hei"/>
        <family val="2"/>
      </rPr>
      <t xml:space="preserve">는 설명 없이 떠나고</t>
    </r>
    <r>
      <rPr>
        <sz val="10"/>
        <rFont val="Arial"/>
        <family val="0"/>
        <charset val="1"/>
      </rPr>
      <t xml:space="preserve">, Julien</t>
    </r>
    <r>
      <rPr>
        <sz val="10"/>
        <rFont val="WenQuanYi Zen Hei"/>
        <family val="2"/>
      </rPr>
      <t xml:space="preserve">은 </t>
    </r>
    <r>
      <rPr>
        <sz val="10"/>
        <rFont val="Arial"/>
        <family val="0"/>
        <charset val="1"/>
      </rPr>
      <t xml:space="preserve">«Banque Atlantique»</t>
    </r>
    <r>
      <rPr>
        <sz val="10"/>
        <rFont val="WenQuanYi Zen Hei"/>
        <family val="2"/>
      </rPr>
      <t xml:space="preserve">라는 이름에 말없이 굳는다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</si>
  <si>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자금 흐름 추적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무권한 송금 이의 제기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계좌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송금 어휘</t>
    </r>
  </si>
  <si>
    <r>
      <rPr>
        <sz val="10"/>
        <rFont val="Arial"/>
        <family val="0"/>
        <charset val="1"/>
      </rPr>
      <t xml:space="preserve">Julien, Philippe, Manon, Monique, Josette(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</si>
  <si>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6 </t>
    </r>
    <r>
      <rPr>
        <sz val="10"/>
        <rFont val="WenQuanYi Zen Hei"/>
        <family val="2"/>
      </rPr>
      <t xml:space="preserve">도입</t>
    </r>
  </si>
  <si>
    <t xml:space="preserve">Un papier d'il y a des années</t>
  </si>
  <si>
    <t xml:space="preserve">수년 전 서류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</si>
  <si>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도입</t>
    </r>
    <r>
      <rPr>
        <sz val="10"/>
        <rFont val="Arial"/>
        <family val="0"/>
        <charset val="1"/>
      </rPr>
      <t xml:space="preserve">] Fatima</t>
    </r>
    <r>
      <rPr>
        <sz val="10"/>
        <rFont val="WenQuanYi Zen Hei"/>
        <family val="2"/>
      </rPr>
      <t xml:space="preserve">의 남편 </t>
    </r>
    <r>
      <rPr>
        <sz val="10"/>
        <rFont val="Arial"/>
        <family val="0"/>
        <charset val="1"/>
      </rPr>
      <t xml:space="preserve">Rachid</t>
    </r>
    <r>
      <rPr>
        <sz val="10"/>
        <rFont val="WenQuanYi Zen Hei"/>
        <family val="2"/>
      </rPr>
      <t xml:space="preserve">가 수십 년 전 다른 건물에서 받은 낡은 퇴거 서류를 들고 온다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당장 급한 사안은 아니지만 오래된 절차 하자가 보인다</t>
    </r>
    <r>
      <rPr>
        <sz val="10"/>
        <rFont val="Arial"/>
        <family val="0"/>
        <charset val="1"/>
      </rPr>
      <t xml:space="preserve">. Voltaire</t>
    </r>
    <r>
      <rPr>
        <sz val="10"/>
        <rFont val="WenQuanYi Zen Hei"/>
        <family val="2"/>
      </rPr>
      <t xml:space="preserve">가 풍자 기사 각도로 흥미를 보인다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</si>
  <si>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오래된 서류 판독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절차 하자</t>
    </r>
  </si>
  <si>
    <r>
      <rPr>
        <sz val="10"/>
        <rFont val="Arial"/>
        <family val="0"/>
        <charset val="1"/>
      </rPr>
      <t xml:space="preserve">Nicolas, Voltaire, Manon, Monique, Rachid(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</si>
  <si>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사건</t>
    </r>
    <r>
      <rPr>
        <sz val="10"/>
        <rFont val="Noto Sans CJK SC"/>
        <family val="2"/>
        <charset val="1"/>
      </rPr>
      <t xml:space="preserve">6 </t>
    </r>
    <r>
      <rPr>
        <sz val="10"/>
        <rFont val="WenQuanYi Zen Hei"/>
        <family val="2"/>
      </rPr>
      <t xml:space="preserve">해결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훅</t>
    </r>
    <r>
      <rPr>
        <sz val="10"/>
        <rFont val="Noto Sans CJK SC"/>
        <family val="2"/>
        <charset val="1"/>
      </rPr>
      <t xml:space="preserve">)</t>
    </r>
  </si>
  <si>
    <t xml:space="preserve">La Signature</t>
  </si>
  <si>
    <t xml:space="preserve">서명</t>
  </si>
  <si>
    <r>
      <rPr>
        <sz val="10"/>
        <rFont val="Arial"/>
        <family val="0"/>
        <charset val="1"/>
      </rPr>
      <t xml:space="preserve">[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해결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훅</t>
    </r>
    <r>
      <rPr>
        <sz val="10"/>
        <rFont val="Arial"/>
        <family val="0"/>
        <charset val="1"/>
      </rPr>
      <t xml:space="preserve">] </t>
    </r>
    <r>
      <rPr>
        <sz val="10"/>
        <rFont val="WenQuanYi Zen Hei"/>
        <family val="2"/>
      </rPr>
      <t xml:space="preserve">절차 하자를 바로잡아 오래된 기록을 정정하지만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진짜 충격은 서류 맨 아래</t>
    </r>
    <r>
      <rPr>
        <sz val="10"/>
        <rFont val="Arial"/>
        <family val="0"/>
        <charset val="1"/>
      </rPr>
      <t xml:space="preserve">: Nicolas</t>
    </r>
    <r>
      <rPr>
        <sz val="10"/>
        <rFont val="WenQuanYi Zen Hei"/>
        <family val="2"/>
      </rPr>
      <t xml:space="preserve">의 옛 로펌 </t>
    </r>
    <r>
      <rPr>
        <sz val="10"/>
        <rFont val="Arial"/>
        <family val="0"/>
        <charset val="1"/>
      </rPr>
      <t xml:space="preserve">«Vasseur &amp; Delorme»</t>
    </r>
    <r>
      <rPr>
        <sz val="10"/>
        <rFont val="WenQuanYi Zen Hei"/>
        <family val="2"/>
      </rPr>
      <t xml:space="preserve">의 서명이다</t>
    </r>
    <r>
      <rPr>
        <sz val="10"/>
        <rFont val="Arial"/>
        <family val="0"/>
        <charset val="1"/>
      </rPr>
      <t xml:space="preserve">. Nicolas</t>
    </r>
    <r>
      <rPr>
        <sz val="10"/>
        <rFont val="WenQuanYi Zen Hei"/>
        <family val="2"/>
      </rPr>
      <t xml:space="preserve">가 얼어붙고 </t>
    </r>
    <r>
      <rPr>
        <sz val="10"/>
        <rFont val="Arial"/>
        <family val="0"/>
        <charset val="1"/>
      </rPr>
      <t xml:space="preserve">Monique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«Asseyez-vous, je vous apporte quelque chose.»</t>
    </r>
    <r>
      <rPr>
        <sz val="10"/>
        <rFont val="WenQuanYi Zen Hei"/>
        <family val="2"/>
      </rPr>
      <t xml:space="preserve">로 분위기를 잇는다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금요일에는 </t>
    </r>
    <r>
      <rPr>
        <sz val="10"/>
        <rFont val="Arial"/>
        <family val="0"/>
        <charset val="1"/>
      </rPr>
      <t xml:space="preserve">Nicolas</t>
    </r>
    <r>
      <rPr>
        <sz val="10"/>
        <rFont val="WenQuanYi Zen Hei"/>
        <family val="2"/>
      </rPr>
      <t xml:space="preserve">의 이야기가 시작된다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</si>
  <si>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서명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기록 정정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이름 확인</t>
    </r>
  </si>
  <si>
    <r>
      <rPr>
        <sz val="10"/>
        <rFont val="Arial"/>
        <family val="0"/>
        <charset val="1"/>
      </rPr>
      <t xml:space="preserve">Nicolas, Monique, Manon, Napoléon, Rachid(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</si>
  <si>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발단</t>
  </si>
  <si>
    <t xml:space="preserve">Les histoires du vendredi</t>
  </si>
  <si>
    <t xml:space="preserve">금요일의 이야기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</si>
  <si>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Monique</t>
    </r>
    <r>
      <rPr>
        <sz val="10"/>
        <rFont val="WenQuanYi Zen Hei"/>
        <family val="2"/>
      </rPr>
      <t xml:space="preserve">의 식탁에서 금요일마다 한 사람이 과거를 이야기하는 규칙이 시작된다</t>
    </r>
    <r>
      <rPr>
        <sz val="10"/>
        <rFont val="Arial"/>
        <family val="0"/>
        <charset val="1"/>
      </rPr>
      <t xml:space="preserve">. Manon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Nicolas</t>
    </r>
    <r>
      <rPr>
        <sz val="10"/>
        <rFont val="WenQuanYi Zen Hei"/>
        <family val="2"/>
      </rPr>
      <t xml:space="preserve">에게 왜 로펌을 그만뒀느냐고 묻고 </t>
    </r>
    <r>
      <rPr>
        <sz val="10"/>
        <rFont val="Arial"/>
        <family val="0"/>
        <charset val="1"/>
      </rPr>
      <t xml:space="preserve">Nicolas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«Procédons dans l'ordre.»</t>
    </r>
    <r>
      <rPr>
        <sz val="10"/>
        <rFont val="WenQuanYi Zen Hei"/>
        <family val="2"/>
      </rPr>
      <t xml:space="preserve">로 시작한다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</si>
  <si>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존칭 </t>
    </r>
    <r>
      <rPr>
        <sz val="10"/>
        <rFont val="Noto Sans CJK SC"/>
        <family val="2"/>
        <charset val="1"/>
      </rPr>
      <t xml:space="preserve">vous</t>
    </r>
    <r>
      <rPr>
        <sz val="10"/>
        <rFont val="WenQuanYi Zen Hei"/>
        <family val="2"/>
      </rPr>
      <t xml:space="preserve">와 </t>
    </r>
    <r>
      <rPr>
        <sz val="10"/>
        <rFont val="Noto Sans CJK SC"/>
        <family val="2"/>
        <charset val="1"/>
      </rPr>
      <t xml:space="preserve">tu</t>
    </r>
    <r>
      <rPr>
        <sz val="10"/>
        <rFont val="WenQuanYi Zen Hei"/>
        <family val="2"/>
      </rPr>
      <t xml:space="preserve">의 대비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과거 이야기 도입</t>
    </r>
    <r>
      <rPr>
        <sz val="10"/>
        <rFont val="Noto Sans CJK SC"/>
        <family val="2"/>
        <charset val="1"/>
      </rPr>
      <t xml:space="preserve">(passé composé·imparfait)</t>
    </r>
  </si>
  <si>
    <t xml:space="preserve">Manon, Nicolas, Monique, Napoléon</t>
  </si>
  <si>
    <t xml:space="preserve">Un lundi avenue George-V</t>
  </si>
  <si>
    <r>
      <rPr>
        <sz val="10"/>
        <rFont val="WenQuanYi Zen Hei"/>
        <family val="2"/>
      </rPr>
      <t xml:space="preserve">조르주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세 거리의 월요일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</si>
  <si>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과거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승소율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의 파트너 후보 </t>
    </r>
    <r>
      <rPr>
        <sz val="10"/>
        <rFont val="Arial"/>
        <family val="0"/>
        <charset val="1"/>
      </rPr>
      <t xml:space="preserve">Nicolas</t>
    </r>
    <r>
      <rPr>
        <sz val="10"/>
        <rFont val="WenQuanYi Zen Hei"/>
        <family val="2"/>
      </rPr>
      <t xml:space="preserve">의 하루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새벽 편의점에서 영수증 뒷면에 시를 쓰는 야간 점원 </t>
    </r>
    <r>
      <rPr>
        <sz val="10"/>
        <rFont val="Arial"/>
        <family val="0"/>
        <charset val="1"/>
      </rPr>
      <t xml:space="preserve">Hugo</t>
    </r>
    <r>
      <rPr>
        <sz val="10"/>
        <rFont val="WenQuanYi Zen Hei"/>
        <family val="2"/>
      </rPr>
      <t xml:space="preserve">와 마주친다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상사 </t>
    </r>
    <r>
      <rPr>
        <sz val="10"/>
        <rFont val="Arial"/>
        <family val="0"/>
        <charset val="1"/>
      </rPr>
      <t xml:space="preserve">Delorme(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이 파트너 승진을 암시한다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</si>
  <si>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로펌 어휘</t>
    </r>
    <r>
      <rPr>
        <sz val="10"/>
        <rFont val="Noto Sans CJK SC"/>
        <family val="2"/>
        <charset val="1"/>
      </rPr>
      <t xml:space="preserve">: associé, honoraires, portefeuille de clients</t>
    </r>
  </si>
  <si>
    <r>
      <rPr>
        <sz val="10"/>
        <rFont val="Arial"/>
        <family val="0"/>
        <charset val="1"/>
      </rPr>
      <t xml:space="preserve">Nicolas, Hugo, Delorme(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</si>
  <si>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Le client vedette</t>
  </si>
  <si>
    <r>
      <rPr>
        <sz val="10"/>
        <rFont val="Arial"/>
        <family val="0"/>
        <charset val="1"/>
      </rPr>
      <t xml:space="preserve">VIP </t>
    </r>
    <r>
      <rPr>
        <sz val="10"/>
        <rFont val="WenQuanYi Zen Hei"/>
        <family val="2"/>
      </rPr>
      <t xml:space="preserve">고객</t>
    </r>
  </si>
  <si>
    <r>
      <rPr>
        <sz val="10"/>
        <rFont val="WenQuanYi Zen Hei"/>
        <family val="2"/>
      </rPr>
      <t xml:space="preserve">대형 고객 </t>
    </r>
    <r>
      <rPr>
        <sz val="10"/>
        <rFont val="Noto Sans CJK SC"/>
        <family val="2"/>
        <charset val="1"/>
      </rPr>
      <t xml:space="preserve">Groupe Méridien</t>
    </r>
    <r>
      <rPr>
        <sz val="10"/>
        <rFont val="WenQuanYi Zen Hei"/>
        <family val="2"/>
      </rPr>
      <t xml:space="preserve">의 회장 </t>
    </r>
    <r>
      <rPr>
        <sz val="10"/>
        <rFont val="Noto Sans CJK SC"/>
        <family val="2"/>
        <charset val="1"/>
      </rPr>
      <t xml:space="preserve">Verdier(</t>
    </r>
    <r>
      <rPr>
        <sz val="10"/>
        <rFont val="WenQuanYi Zen Hei"/>
        <family val="2"/>
      </rPr>
      <t xml:space="preserve">가상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를 소개받는다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회의석에는 고객 측 컨설턴트 </t>
    </r>
    <r>
      <rPr>
        <sz val="10"/>
        <rFont val="Noto Sans CJK SC"/>
        <family val="2"/>
        <charset val="1"/>
      </rPr>
      <t xml:space="preserve">Léa</t>
    </r>
    <r>
      <rPr>
        <sz val="10"/>
        <rFont val="WenQuanYi Zen Hei"/>
        <family val="2"/>
      </rPr>
      <t xml:space="preserve">와 매각 은행 지점장 </t>
    </r>
    <r>
      <rPr>
        <sz val="10"/>
        <rFont val="Noto Sans CJK SC"/>
        <family val="2"/>
        <charset val="1"/>
      </rPr>
      <t xml:space="preserve">Philippe</t>
    </r>
    <r>
      <rPr>
        <sz val="10"/>
        <rFont val="WenQuanYi Zen Hei"/>
        <family val="2"/>
      </rPr>
      <t xml:space="preserve">가 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</si>
  <si>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인수합병 어휘</t>
    </r>
    <r>
      <rPr>
        <sz val="10"/>
        <rFont val="Noto Sans CJK SC"/>
        <family val="2"/>
        <charset val="1"/>
      </rPr>
      <t xml:space="preserve">: acquisition, portefeuille, clause</t>
    </r>
  </si>
  <si>
    <r>
      <rPr>
        <sz val="10"/>
        <rFont val="Arial"/>
        <family val="0"/>
        <charset val="1"/>
      </rPr>
      <t xml:space="preserve">Nicolas, Léa, Philippe, Verdier(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</si>
  <si>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전개</t>
  </si>
  <si>
    <t xml:space="preserve">Le portefeuille de Belleville</t>
  </si>
  <si>
    <t xml:space="preserve">벨빌 자산 포트폴리오</t>
  </si>
  <si>
    <r>
      <rPr>
        <sz val="10"/>
        <rFont val="WenQuanYi Zen Hei"/>
        <family val="2"/>
      </rPr>
      <t xml:space="preserve">실사</t>
    </r>
    <r>
      <rPr>
        <sz val="10"/>
        <rFont val="Noto Sans CJK SC"/>
        <family val="2"/>
        <charset val="1"/>
      </rPr>
      <t xml:space="preserve">(due diligence). </t>
    </r>
    <r>
      <rPr>
        <sz val="10"/>
        <rFont val="WenQuanYi Zen Hei"/>
        <family val="2"/>
      </rPr>
      <t xml:space="preserve">포트폴리오에 </t>
    </r>
    <r>
      <rPr>
        <sz val="10"/>
        <rFont val="Noto Sans CJK SC"/>
        <family val="2"/>
        <charset val="1"/>
      </rPr>
      <t xml:space="preserve">Belleville </t>
    </r>
    <r>
      <rPr>
        <sz val="10"/>
        <rFont val="WenQuanYi Zen Hei"/>
        <family val="2"/>
      </rPr>
      <t xml:space="preserve">건물 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채가 들어 있다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감사인 </t>
    </r>
    <r>
      <rPr>
        <sz val="10"/>
        <rFont val="Noto Sans CJK SC"/>
        <family val="2"/>
        <charset val="1"/>
      </rPr>
      <t xml:space="preserve">Julien</t>
    </r>
    <r>
      <rPr>
        <sz val="10"/>
        <rFont val="WenQuanYi Zen Hei"/>
        <family val="2"/>
      </rPr>
      <t xml:space="preserve">이 </t>
    </r>
    <r>
      <rPr>
        <sz val="10"/>
        <rFont val="Noto Sans CJK SC"/>
        <family val="2"/>
        <charset val="1"/>
      </rPr>
      <t xml:space="preserve">«Ça ne colle pas.»</t>
    </r>
    <r>
      <rPr>
        <sz val="10"/>
        <rFont val="WenQuanYi Zen Hei"/>
        <family val="2"/>
      </rPr>
      <t xml:space="preserve">를 흘리고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센 강변 헌책방</t>
    </r>
    <r>
      <rPr>
        <sz val="10"/>
        <rFont val="Noto Sans CJK SC"/>
        <family val="2"/>
        <charset val="1"/>
      </rPr>
      <t xml:space="preserve">(bouquinistes)</t>
    </r>
    <r>
      <rPr>
        <sz val="10"/>
        <rFont val="WenQuanYi Zen Hei"/>
        <family val="2"/>
      </rPr>
      <t xml:space="preserve">에서 부동산 등기 자료를 찾던 </t>
    </r>
    <r>
      <rPr>
        <sz val="10"/>
        <rFont val="Noto Sans CJK SC"/>
        <family val="2"/>
        <charset val="1"/>
      </rPr>
      <t xml:space="preserve">Nicolas</t>
    </r>
    <r>
      <rPr>
        <sz val="10"/>
        <rFont val="WenQuanYi Zen Hei"/>
        <family val="2"/>
      </rPr>
      <t xml:space="preserve">에게 </t>
    </r>
    <r>
      <rPr>
        <sz val="10"/>
        <rFont val="Noto Sans CJK SC"/>
        <family val="2"/>
        <charset val="1"/>
      </rPr>
      <t xml:space="preserve">Curie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«Cherche toi-même.»</t>
    </r>
  </si>
  <si>
    <r>
      <rPr>
        <sz val="10"/>
        <rFont val="WenQuanYi Zen Hei"/>
        <family val="2"/>
      </rPr>
      <t xml:space="preserve">실사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부동산 공시</t>
    </r>
    <r>
      <rPr>
        <sz val="10"/>
        <rFont val="Noto Sans CJK SC"/>
        <family val="2"/>
        <charset val="1"/>
      </rPr>
      <t xml:space="preserve">(service de la publicité foncière), </t>
    </r>
    <r>
      <rPr>
        <sz val="10"/>
        <rFont val="WenQuanYi Zen Hei"/>
        <family val="2"/>
      </rPr>
      <t xml:space="preserve">임차인 명부</t>
    </r>
  </si>
  <si>
    <t xml:space="preserve">Nicolas, Julien, Curie</t>
  </si>
  <si>
    <t xml:space="preserve">Vendredi : la rue de Monique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</si>
  <si>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Monique</t>
    </r>
    <r>
      <rPr>
        <sz val="10"/>
        <rFont val="WenQuanYi Zen Hei"/>
        <family val="2"/>
      </rPr>
      <t xml:space="preserve">의 거리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</si>
  <si>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그 포트폴리오에 </t>
    </r>
    <r>
      <rPr>
        <sz val="10"/>
        <rFont val="Arial"/>
        <family val="0"/>
        <charset val="1"/>
      </rPr>
      <t xml:space="preserve">Monique</t>
    </r>
    <r>
      <rPr>
        <sz val="10"/>
        <rFont val="WenQuanYi Zen Hei"/>
        <family val="2"/>
      </rPr>
      <t xml:space="preserve">의 가게가 있던 건물이 들어 있었음이 밝혀진다</t>
    </r>
    <r>
      <rPr>
        <sz val="10"/>
        <rFont val="Arial"/>
        <family val="0"/>
        <charset val="1"/>
      </rPr>
      <t xml:space="preserve">. Manon</t>
    </r>
    <r>
      <rPr>
        <sz val="10"/>
        <rFont val="WenQuanYi Zen Hei"/>
        <family val="2"/>
      </rPr>
      <t xml:space="preserve">은 놀라 </t>
    </r>
    <r>
      <rPr>
        <sz val="10"/>
        <rFont val="Arial"/>
        <family val="0"/>
        <charset val="1"/>
      </rPr>
      <t xml:space="preserve">vous</t>
    </r>
    <r>
      <rPr>
        <sz val="10"/>
        <rFont val="WenQuanYi Zen Hei"/>
        <family val="2"/>
      </rPr>
      <t xml:space="preserve">를 놓치고 </t>
    </r>
    <r>
      <rPr>
        <sz val="10"/>
        <rFont val="Arial"/>
        <family val="0"/>
        <charset val="1"/>
      </rPr>
      <t xml:space="preserve">Nicolas</t>
    </r>
    <r>
      <rPr>
        <sz val="10"/>
        <rFont val="WenQuanYi Zen Hei"/>
        <family val="2"/>
      </rPr>
      <t xml:space="preserve">는 잠시 침묵한다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</si>
  <si>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감정 표현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놀람</t>
    </r>
  </si>
  <si>
    <t xml:space="preserve">Monique, Nicolas, Manon</t>
  </si>
  <si>
    <t xml:space="preserve">미드포인트</t>
  </si>
  <si>
    <t xml:space="preserve">La Clause</t>
  </si>
  <si>
    <t xml:space="preserve">조항</t>
  </si>
  <si>
    <r>
      <rPr>
        <sz val="10"/>
        <rFont val="WenQuanYi Zen Hei"/>
        <family val="2"/>
      </rPr>
      <t xml:space="preserve">임차인을 비우는 가장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깨끗한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방법으로 </t>
    </r>
    <r>
      <rPr>
        <sz val="10"/>
        <rFont val="Noto Sans CJK SC"/>
        <family val="2"/>
        <charset val="1"/>
      </rPr>
      <t xml:space="preserve">Nicolas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대규모 에너지 리노베이션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을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정당하고 중대한 사유</t>
    </r>
    <r>
      <rPr>
        <sz val="10"/>
        <rFont val="Noto Sans CJK SC"/>
        <family val="2"/>
        <charset val="1"/>
      </rPr>
      <t xml:space="preserve">(motif légitime et sérieux)'</t>
    </r>
    <r>
      <rPr>
        <sz val="10"/>
        <rFont val="WenQuanYi Zen Hei"/>
        <family val="2"/>
      </rPr>
      <t xml:space="preserve">로 삼는 해지 조항을 설계한다</t>
    </r>
    <r>
      <rPr>
        <sz val="10"/>
        <rFont val="Noto Sans CJK SC"/>
        <family val="2"/>
        <charset val="1"/>
      </rPr>
      <t xml:space="preserve">. Léa</t>
    </r>
    <r>
      <rPr>
        <sz val="10"/>
        <rFont val="WenQuanYi Zen Hei"/>
        <family val="2"/>
      </rPr>
      <t xml:space="preserve">의 재무 모델이 이를 뒷받침한다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</si>
  <si>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임대인의 해지 통지</t>
    </r>
    <r>
      <rPr>
        <sz val="10"/>
        <rFont val="Noto Sans CJK SC"/>
        <family val="2"/>
        <charset val="1"/>
      </rPr>
      <t xml:space="preserve">(congé), </t>
    </r>
    <r>
      <rPr>
        <sz val="10"/>
        <rFont val="WenQuanYi Zen Hei"/>
        <family val="2"/>
      </rPr>
      <t xml:space="preserve">정당하고 중대한 사유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에너지 성능 진단</t>
    </r>
    <r>
      <rPr>
        <sz val="10"/>
        <rFont val="Noto Sans CJK SC"/>
        <family val="2"/>
        <charset val="1"/>
      </rPr>
      <t xml:space="preserve">(DPE)</t>
    </r>
  </si>
  <si>
    <r>
      <rPr>
        <sz val="10"/>
        <rFont val="Arial"/>
        <family val="0"/>
        <charset val="1"/>
      </rPr>
      <t xml:space="preserve">Nicolas, Léa, Delorme(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</si>
  <si>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위기</t>
  </si>
  <si>
    <t xml:space="preserve">L'assemblée des locataires</t>
  </si>
  <si>
    <t xml:space="preserve">세입자 총회</t>
  </si>
  <si>
    <r>
      <rPr>
        <sz val="10"/>
        <rFont val="WenQuanYi Zen Hei"/>
        <family val="2"/>
      </rPr>
      <t xml:space="preserve">세입자들이 총회를 연다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버스 노조 출신 </t>
    </r>
    <r>
      <rPr>
        <sz val="10"/>
        <rFont val="Noto Sans CJK SC"/>
        <family val="2"/>
        <charset val="1"/>
      </rPr>
      <t xml:space="preserve">Karim</t>
    </r>
    <r>
      <rPr>
        <sz val="10"/>
        <rFont val="WenQuanYi Zen Hei"/>
        <family val="2"/>
      </rPr>
      <t xml:space="preserve">이 이끌고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응급실 의사 </t>
    </r>
    <r>
      <rPr>
        <sz val="10"/>
        <rFont val="Noto Sans CJK SC"/>
        <family val="2"/>
        <charset val="1"/>
      </rPr>
      <t xml:space="preserve">Camille</t>
    </r>
    <r>
      <rPr>
        <sz val="10"/>
        <rFont val="WenQuanYi Zen Hei"/>
        <family val="2"/>
      </rPr>
      <t xml:space="preserve">가 공황을 일으킨 노인을 돌본다</t>
    </r>
    <r>
      <rPr>
        <sz val="10"/>
        <rFont val="Noto Sans CJK SC"/>
        <family val="2"/>
        <charset val="1"/>
      </rPr>
      <t xml:space="preserve">. Nicolas</t>
    </r>
    <r>
      <rPr>
        <sz val="10"/>
        <rFont val="WenQuanYi Zen Hei"/>
        <family val="2"/>
      </rPr>
      <t xml:space="preserve">는 </t>
    </r>
    <r>
      <rPr>
        <sz val="10"/>
        <rFont val="Noto Sans CJK SC"/>
        <family val="2"/>
        <charset val="1"/>
      </rPr>
      <t xml:space="preserve">78</t>
    </r>
    <r>
      <rPr>
        <sz val="10"/>
        <rFont val="WenQuanYi Zen Hei"/>
        <family val="2"/>
      </rPr>
      <t xml:space="preserve">세 </t>
    </r>
    <r>
      <rPr>
        <sz val="10"/>
        <rFont val="Noto Sans CJK SC"/>
        <family val="2"/>
        <charset val="1"/>
      </rPr>
      <t xml:space="preserve">Madeleine(</t>
    </r>
    <r>
      <rPr>
        <sz val="10"/>
        <rFont val="WenQuanYi Zen Hei"/>
        <family val="2"/>
      </rPr>
      <t xml:space="preserve">가상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을 만난다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</si>
  <si>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총회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발언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동의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항의 표현</t>
    </r>
  </si>
  <si>
    <r>
      <rPr>
        <sz val="10"/>
        <rFont val="Arial"/>
        <family val="0"/>
        <charset val="1"/>
      </rPr>
      <t xml:space="preserve">Nicolas, Karim, Camille, Madeleine(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</si>
  <si>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Le Procès</t>
  </si>
  <si>
    <t xml:space="preserve">재판</t>
  </si>
  <si>
    <r>
      <rPr>
        <sz val="10"/>
        <rFont val="WenQuanYi Zen Hei"/>
        <family val="2"/>
      </rPr>
      <t xml:space="preserve">심리</t>
    </r>
    <r>
      <rPr>
        <sz val="10"/>
        <rFont val="Noto Sans CJK SC"/>
        <family val="2"/>
        <charset val="1"/>
      </rPr>
      <t xml:space="preserve">(audience)</t>
    </r>
    <r>
      <rPr>
        <sz val="10"/>
        <rFont val="WenQuanYi Zen Hei"/>
        <family val="2"/>
      </rPr>
      <t xml:space="preserve">와 판결</t>
    </r>
    <r>
      <rPr>
        <sz val="10"/>
        <rFont val="Noto Sans CJK SC"/>
        <family val="2"/>
        <charset val="1"/>
      </rPr>
      <t xml:space="preserve">. Nicolas</t>
    </r>
    <r>
      <rPr>
        <sz val="10"/>
        <rFont val="WenQuanYi Zen Hei"/>
        <family val="2"/>
      </rPr>
      <t xml:space="preserve">가 승소한다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풍자 칼럼을 쓰던 </t>
    </r>
    <r>
      <rPr>
        <sz val="10"/>
        <rFont val="Noto Sans CJK SC"/>
        <family val="2"/>
        <charset val="1"/>
      </rPr>
      <t xml:space="preserve">Voltaire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«Vous êtes fier ?»</t>
    </r>
    <r>
      <rPr>
        <sz val="10"/>
        <rFont val="WenQuanYi Zen Hei"/>
        <family val="2"/>
      </rPr>
      <t xml:space="preserve">라고 묻는다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감사인 </t>
    </r>
    <r>
      <rPr>
        <sz val="10"/>
        <rFont val="Noto Sans CJK SC"/>
        <family val="2"/>
        <charset val="1"/>
      </rPr>
      <t xml:space="preserve">Julien</t>
    </r>
    <r>
      <rPr>
        <sz val="10"/>
        <rFont val="WenQuanYi Zen Hei"/>
        <family val="2"/>
      </rPr>
      <t xml:space="preserve">은 고객의 장부를 보고 고개를 젓는다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</si>
  <si>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소송</t>
    </r>
    <r>
      <rPr>
        <sz val="10"/>
        <rFont val="Noto Sans CJK SC"/>
        <family val="2"/>
        <charset val="1"/>
      </rPr>
      <t xml:space="preserve">: assignation, audience, jugement, dépens</t>
    </r>
  </si>
  <si>
    <r>
      <rPr>
        <sz val="10"/>
        <rFont val="Arial"/>
        <family val="0"/>
        <charset val="1"/>
      </rPr>
      <t xml:space="preserve">Nicolas, Voltaire, Julien, </t>
    </r>
    <r>
      <rPr>
        <sz val="10"/>
        <rFont val="WenQuanYi Zen Hei"/>
        <family val="2"/>
      </rPr>
      <t xml:space="preserve">판사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</si>
  <si>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E1·P3</t>
  </si>
  <si>
    <t xml:space="preserve">Vendredi : continue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</si>
  <si>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계속해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</si>
  <si>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Nicolas</t>
    </r>
    <r>
      <rPr>
        <sz val="10"/>
        <rFont val="WenQuanYi Zen Hei"/>
        <family val="2"/>
      </rPr>
      <t xml:space="preserve">가 말을 잇지 못하자 </t>
    </r>
    <r>
      <rPr>
        <sz val="10"/>
        <rFont val="Arial"/>
        <family val="0"/>
        <charset val="1"/>
      </rPr>
      <t xml:space="preserve">Napoléon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«Quand j'étais empereur…»</t>
    </r>
    <r>
      <rPr>
        <sz val="10"/>
        <rFont val="WenQuanYi Zen Hei"/>
        <family val="2"/>
      </rPr>
      <t xml:space="preserve">로 시간을 벌어 주고 </t>
    </r>
    <r>
      <rPr>
        <sz val="10"/>
        <rFont val="Arial"/>
        <family val="0"/>
        <charset val="1"/>
      </rPr>
      <t xml:space="preserve">Monique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«Continue.»</t>
    </r>
    <r>
      <rPr>
        <sz val="10"/>
        <rFont val="WenQuanYi Zen Hei"/>
        <family val="2"/>
      </rPr>
      <t xml:space="preserve">라고 한다</t>
    </r>
    <r>
      <rPr>
        <sz val="10"/>
        <rFont val="Arial"/>
        <family val="0"/>
        <charset val="1"/>
      </rPr>
      <t xml:space="preserve">. Manon</t>
    </r>
    <r>
      <rPr>
        <sz val="10"/>
        <rFont val="WenQuanYi Zen Hei"/>
        <family val="2"/>
      </rPr>
      <t xml:space="preserve">은 </t>
    </r>
    <r>
      <rPr>
        <sz val="10"/>
        <rFont val="Arial"/>
        <family val="0"/>
        <charset val="1"/>
      </rPr>
      <t xml:space="preserve">«Et elle ?»</t>
    </r>
    <r>
      <rPr>
        <sz val="10"/>
        <rFont val="WenQuanYi Zen Hei"/>
        <family val="2"/>
      </rPr>
      <t xml:space="preserve">라고 묻는다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</si>
  <si>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위로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재촉 표현</t>
    </r>
  </si>
  <si>
    <t xml:space="preserve">Nicolas, Napoléon, Monique, Manon</t>
  </si>
  <si>
    <t xml:space="preserve">절정</t>
  </si>
  <si>
    <t xml:space="preserve">Un dîner dans le 16e</t>
  </si>
  <si>
    <r>
      <rPr>
        <sz val="10"/>
        <rFont val="Noto Sans CJK SC"/>
        <family val="2"/>
        <charset val="1"/>
      </rPr>
      <t xml:space="preserve">16</t>
    </r>
    <r>
      <rPr>
        <sz val="10"/>
        <rFont val="WenQuanYi Zen Hei"/>
        <family val="2"/>
      </rPr>
      <t xml:space="preserve">구의 저녁</t>
    </r>
  </si>
  <si>
    <r>
      <rPr>
        <sz val="10"/>
        <rFont val="WenQuanYi Zen Hei"/>
        <family val="2"/>
      </rPr>
      <t xml:space="preserve">승소 축하 만찬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파트너들이 건배하는 동안 </t>
    </r>
    <r>
      <rPr>
        <sz val="10"/>
        <rFont val="Noto Sans CJK SC"/>
        <family val="2"/>
        <charset val="1"/>
      </rPr>
      <t xml:space="preserve">Verdier</t>
    </r>
    <r>
      <rPr>
        <sz val="10"/>
        <rFont val="WenQuanYi Zen Hei"/>
        <family val="2"/>
      </rPr>
      <t xml:space="preserve">가 다음 포트폴리오를 건넨다</t>
    </r>
    <r>
      <rPr>
        <sz val="10"/>
        <rFont val="Noto Sans CJK SC"/>
        <family val="2"/>
        <charset val="1"/>
      </rPr>
      <t xml:space="preserve">. Nicolas</t>
    </r>
    <r>
      <rPr>
        <sz val="10"/>
        <rFont val="WenQuanYi Zen Hei"/>
        <family val="2"/>
      </rPr>
      <t xml:space="preserve">의 휴대전화가 울린다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</si>
  <si>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고급 식당 표현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건배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축하</t>
    </r>
  </si>
  <si>
    <r>
      <rPr>
        <sz val="10"/>
        <rFont val="Arial"/>
        <family val="0"/>
        <charset val="1"/>
      </rPr>
      <t xml:space="preserve">Nicolas, Delorme(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Verdier(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Julien</t>
    </r>
  </si>
  <si>
    <t xml:space="preserve">La petite-fille de Madeleine</t>
  </si>
  <si>
    <r>
      <rPr>
        <sz val="10"/>
        <rFont val="Arial"/>
        <family val="0"/>
        <charset val="1"/>
      </rPr>
      <t xml:space="preserve">Madeleine</t>
    </r>
    <r>
      <rPr>
        <sz val="10"/>
        <rFont val="WenQuanYi Zen Hei"/>
        <family val="2"/>
      </rPr>
      <t xml:space="preserve">의 손녀</t>
    </r>
  </si>
  <si>
    <r>
      <rPr>
        <sz val="10"/>
        <rFont val="Arial"/>
        <family val="0"/>
        <charset val="1"/>
      </rPr>
      <t xml:space="preserve">Madeleine</t>
    </r>
    <r>
      <rPr>
        <sz val="10"/>
        <rFont val="WenQuanYi Zen Hei"/>
        <family val="2"/>
      </rPr>
      <t xml:space="preserve">이 퇴거 석 달 뒤 세상을 떠났다는 소식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손녀 </t>
    </r>
    <r>
      <rPr>
        <sz val="10"/>
        <rFont val="Arial"/>
        <family val="0"/>
        <charset val="1"/>
      </rPr>
      <t xml:space="preserve">Chloé(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가 사무실로 찾아와 조용히 묻는다</t>
    </r>
    <r>
      <rPr>
        <sz val="10"/>
        <rFont val="Arial"/>
        <family val="0"/>
        <charset val="1"/>
      </rPr>
      <t xml:space="preserve">: «Vous avez gagné ?»</t>
    </r>
  </si>
  <si>
    <r>
      <rPr>
        <sz val="10"/>
        <rFont val="WenQuanYi Zen Hei"/>
        <family val="2"/>
      </rPr>
      <t xml:space="preserve">조의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항의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문서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사람</t>
    </r>
  </si>
  <si>
    <r>
      <rPr>
        <sz val="10"/>
        <rFont val="Arial"/>
        <family val="0"/>
        <charset val="1"/>
      </rPr>
      <t xml:space="preserve">Nicolas, Chloé(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</si>
  <si>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훅</t>
    </r>
  </si>
  <si>
    <t xml:space="preserve">Vendredi : la démission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</si>
  <si>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사직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</si>
  <si>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과거</t>
    </r>
    <r>
      <rPr>
        <sz val="10"/>
        <rFont val="Arial"/>
        <family val="0"/>
        <charset val="1"/>
      </rPr>
      <t xml:space="preserve">) Nicolas</t>
    </r>
    <r>
      <rPr>
        <sz val="10"/>
        <rFont val="WenQuanYi Zen Hei"/>
        <family val="2"/>
      </rPr>
      <t xml:space="preserve">가 다음 포트폴리오 서명을 거부하고 사직서를 낸다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짐 상자를 든 채 응급실 대기실에서 쓰러지고 </t>
    </r>
    <r>
      <rPr>
        <sz val="10"/>
        <rFont val="Arial"/>
        <family val="0"/>
        <charset val="1"/>
      </rPr>
      <t xml:space="preserve">Camille</t>
    </r>
    <r>
      <rPr>
        <sz val="10"/>
        <rFont val="WenQuanYi Zen Hei"/>
        <family val="2"/>
      </rPr>
      <t xml:space="preserve">가 그를 진료한다</t>
    </r>
    <r>
      <rPr>
        <sz val="10"/>
        <rFont val="Arial"/>
        <family val="0"/>
        <charset val="1"/>
      </rPr>
      <t xml:space="preserve">. Manon</t>
    </r>
    <r>
      <rPr>
        <sz val="10"/>
        <rFont val="WenQuanYi Zen Hei"/>
        <family val="2"/>
      </rPr>
      <t xml:space="preserve">은 여전히 </t>
    </r>
    <r>
      <rPr>
        <sz val="10"/>
        <rFont val="Arial"/>
        <family val="0"/>
        <charset val="1"/>
      </rPr>
      <t xml:space="preserve">vous</t>
    </r>
    <r>
      <rPr>
        <sz val="10"/>
        <rFont val="WenQuanYi Zen Hei"/>
        <family val="2"/>
      </rPr>
      <t xml:space="preserve">를 쓴다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</si>
  <si>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사직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거절 표현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접속법</t>
    </r>
    <r>
      <rPr>
        <sz val="10"/>
        <rFont val="Noto Sans CJK SC"/>
        <family val="2"/>
        <charset val="1"/>
      </rPr>
      <t xml:space="preserve">(subjonctif)</t>
    </r>
  </si>
  <si>
    <t xml:space="preserve">Nicolas, Camille, Manon, Monique</t>
  </si>
  <si>
    <t xml:space="preserve">Vendredi : les noms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</si>
  <si>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이름들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</si>
  <si>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Camille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«Ce n'est pas une statistique, c'est une personne.»</t>
    </r>
    <r>
      <rPr>
        <sz val="10"/>
        <rFont val="WenQuanYi Zen Hei"/>
        <family val="2"/>
      </rPr>
      <t xml:space="preserve">라며 이야기를 시작한다</t>
    </r>
    <r>
      <rPr>
        <sz val="10"/>
        <rFont val="Arial"/>
        <family val="0"/>
        <charset val="1"/>
      </rPr>
      <t xml:space="preserve">. Napoléon</t>
    </r>
    <r>
      <rPr>
        <sz val="10"/>
        <rFont val="WenQuanYi Zen Hei"/>
        <family val="2"/>
      </rPr>
      <t xml:space="preserve">이 식사를 거르고 배를 움켜쥐는 것을 </t>
    </r>
    <r>
      <rPr>
        <sz val="10"/>
        <rFont val="Arial"/>
        <family val="0"/>
        <charset val="1"/>
      </rPr>
      <t xml:space="preserve">Camille</t>
    </r>
    <r>
      <rPr>
        <sz val="10"/>
        <rFont val="WenQuanYi Zen Hei"/>
        <family val="2"/>
      </rPr>
      <t xml:space="preserve">가 흘끗 본다</t>
    </r>
    <r>
      <rPr>
        <sz val="10"/>
        <rFont val="Arial"/>
        <family val="0"/>
        <charset val="1"/>
      </rPr>
      <t xml:space="preserve">.</t>
    </r>
  </si>
  <si>
    <t xml:space="preserve">의학 어휘 도입</t>
  </si>
  <si>
    <t xml:space="preserve">Camille, Manon, Napoléon, Monique</t>
  </si>
  <si>
    <t xml:space="preserve">Garde de nuit</t>
  </si>
  <si>
    <t xml:space="preserve">야간 근무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</si>
  <si>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과거</t>
    </r>
    <r>
      <rPr>
        <sz val="10"/>
        <rFont val="Arial"/>
        <family val="0"/>
        <charset val="1"/>
      </rPr>
      <t xml:space="preserve">) Saint-Bernard </t>
    </r>
    <r>
      <rPr>
        <sz val="10"/>
        <rFont val="WenQuanYi Zen Hei"/>
        <family val="2"/>
      </rPr>
      <t xml:space="preserve">응급실의 야간 근무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분류 간호사</t>
    </r>
    <r>
      <rPr>
        <sz val="10"/>
        <rFont val="Arial"/>
        <family val="0"/>
        <charset val="1"/>
      </rPr>
      <t xml:space="preserve">(IOA)</t>
    </r>
    <r>
      <rPr>
        <sz val="10"/>
        <rFont val="WenQuanYi Zen Hei"/>
        <family val="2"/>
      </rPr>
      <t xml:space="preserve">의 트리아주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들것</t>
    </r>
    <r>
      <rPr>
        <sz val="10"/>
        <rFont val="Arial"/>
        <family val="0"/>
        <charset val="1"/>
      </rPr>
      <t xml:space="preserve">(brancard), </t>
    </r>
    <r>
      <rPr>
        <sz val="10"/>
        <rFont val="WenQuanYi Zen Hei"/>
        <family val="2"/>
      </rPr>
      <t xml:space="preserve">간호사 </t>
    </r>
    <r>
      <rPr>
        <sz val="10"/>
        <rFont val="Arial"/>
        <family val="0"/>
        <charset val="1"/>
      </rPr>
      <t xml:space="preserve">Sandrine(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과의 호흡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가슴 통증으로 실려 온 </t>
    </r>
    <r>
      <rPr>
        <sz val="10"/>
        <rFont val="Arial"/>
        <family val="0"/>
        <charset val="1"/>
      </rPr>
      <t xml:space="preserve">Nicolas</t>
    </r>
    <r>
      <rPr>
        <sz val="10"/>
        <rFont val="WenQuanYi Zen Hei"/>
        <family val="2"/>
      </rPr>
      <t xml:space="preserve">를 진료한다</t>
    </r>
    <r>
      <rPr>
        <sz val="10"/>
        <rFont val="Arial"/>
        <family val="0"/>
        <charset val="1"/>
      </rPr>
      <t xml:space="preserve">.</t>
    </r>
  </si>
  <si>
    <t xml:space="preserve">tri, constantes, brancard, box</t>
  </si>
  <si>
    <r>
      <rPr>
        <sz val="10"/>
        <rFont val="Arial"/>
        <family val="0"/>
        <charset val="1"/>
      </rPr>
      <t xml:space="preserve">Camille, Sandrine(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Nicolas</t>
    </r>
  </si>
  <si>
    <t xml:space="preserve">La Canicule</t>
  </si>
  <si>
    <t xml:space="preserve">폭염</t>
  </si>
  <si>
    <r>
      <rPr>
        <sz val="10"/>
        <rFont val="WenQuanYi Zen Hei"/>
        <family val="2"/>
      </rPr>
      <t xml:space="preserve">폭염에 고령 환자가 몰려 응급실이 넘친다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산소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수액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얼음</t>
    </r>
    <r>
      <rPr>
        <sz val="10"/>
        <rFont val="Noto Sans CJK SC"/>
        <family val="2"/>
        <charset val="1"/>
      </rPr>
      <t xml:space="preserve">. Camille</t>
    </r>
    <r>
      <rPr>
        <sz val="10"/>
        <rFont val="WenQuanYi Zen Hei"/>
        <family val="2"/>
      </rPr>
      <t xml:space="preserve">는 밤새 환자 이름을 외운다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</si>
  <si>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열사병</t>
    </r>
    <r>
      <rPr>
        <sz val="10"/>
        <rFont val="Noto Sans CJK SC"/>
        <family val="2"/>
        <charset val="1"/>
      </rPr>
      <t xml:space="preserve">(coup de chaleur), </t>
    </r>
    <r>
      <rPr>
        <sz val="10"/>
        <rFont val="WenQuanYi Zen Hei"/>
        <family val="2"/>
      </rPr>
      <t xml:space="preserve">탈수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고령 환자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폭염 경보 계획</t>
    </r>
    <r>
      <rPr>
        <sz val="10"/>
        <rFont val="Noto Sans CJK SC"/>
        <family val="2"/>
        <charset val="1"/>
      </rPr>
      <t xml:space="preserve">(plan canicule)</t>
    </r>
  </si>
  <si>
    <r>
      <rPr>
        <sz val="10"/>
        <rFont val="Arial"/>
        <family val="0"/>
        <charset val="1"/>
      </rPr>
      <t xml:space="preserve">Camille, Sandrine(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</si>
  <si>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S4·S3</t>
  </si>
  <si>
    <t xml:space="preserve">Un contrat que personne ne lit</t>
  </si>
  <si>
    <t xml:space="preserve">아무도 읽지 않는 계약</t>
  </si>
  <si>
    <r>
      <rPr>
        <sz val="10"/>
        <rFont val="WenQuanYi Zen Hei"/>
        <family val="2"/>
      </rPr>
      <t xml:space="preserve">병원이 병상 관리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검사 물류를 </t>
    </r>
    <r>
      <rPr>
        <sz val="10"/>
        <rFont val="Noto Sans CJK SC"/>
        <family val="2"/>
        <charset val="1"/>
      </rPr>
      <t xml:space="preserve">Méridien Santé</t>
    </r>
    <r>
      <rPr>
        <sz val="10"/>
        <rFont val="WenQuanYi Zen Hei"/>
        <family val="2"/>
      </rPr>
      <t xml:space="preserve">에 외주하고 컨설팅 회사에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효율화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를 맡긴다고 발표한다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원장 회의에서 컨설턴트 </t>
    </r>
    <r>
      <rPr>
        <sz val="10"/>
        <rFont val="Noto Sans CJK SC"/>
        <family val="2"/>
        <charset val="1"/>
      </rPr>
      <t xml:space="preserve">Léa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효율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발표를 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</si>
  <si>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외주</t>
    </r>
    <r>
      <rPr>
        <sz val="10"/>
        <rFont val="Noto Sans CJK SC"/>
        <family val="2"/>
        <charset val="1"/>
      </rPr>
      <t xml:space="preserve">(externalisation), </t>
    </r>
    <r>
      <rPr>
        <sz val="10"/>
        <rFont val="WenQuanYi Zen Hei"/>
        <family val="2"/>
      </rPr>
      <t xml:space="preserve">공공조달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공공부문 컨설팅 계약 논란</t>
    </r>
  </si>
  <si>
    <r>
      <rPr>
        <sz val="10"/>
        <rFont val="Arial"/>
        <family val="0"/>
        <charset val="1"/>
      </rPr>
      <t xml:space="preserve">Camille, </t>
    </r>
    <r>
      <rPr>
        <sz val="10"/>
        <rFont val="WenQuanYi Zen Hei"/>
        <family val="2"/>
      </rPr>
      <t xml:space="preserve">원장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Léa</t>
    </r>
  </si>
  <si>
    <t xml:space="preserve">S3</t>
  </si>
  <si>
    <t xml:space="preserve">Vendredi : la liste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</si>
  <si>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명단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</si>
  <si>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Manon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Camille</t>
    </r>
    <r>
      <rPr>
        <sz val="10"/>
        <rFont val="WenQuanYi Zen Hei"/>
        <family val="2"/>
      </rPr>
      <t xml:space="preserve">의 수첩 명단을 본다</t>
    </r>
    <r>
      <rPr>
        <sz val="10"/>
        <rFont val="Arial"/>
        <family val="0"/>
        <charset val="1"/>
      </rPr>
      <t xml:space="preserve">. Camille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«J'ai vu pire un mardi ordinaire.»</t>
    </r>
    <r>
      <rPr>
        <sz val="10"/>
        <rFont val="WenQuanYi Zen Hei"/>
        <family val="2"/>
      </rPr>
      <t xml:space="preserve">로 넘긴다</t>
    </r>
    <r>
      <rPr>
        <sz val="10"/>
        <rFont val="Arial"/>
        <family val="0"/>
        <charset val="1"/>
      </rPr>
      <t xml:space="preserve">. Napoléon</t>
    </r>
    <r>
      <rPr>
        <sz val="10"/>
        <rFont val="WenQuanYi Zen Hei"/>
        <family val="2"/>
      </rPr>
      <t xml:space="preserve">은 배가 아프냐는 물음에 </t>
    </r>
    <r>
      <rPr>
        <sz val="10"/>
        <rFont val="Arial"/>
        <family val="0"/>
        <charset val="1"/>
      </rPr>
      <t xml:space="preserve">«C'est la cuisine anglaise. Sainte-Hélène m'a laissé des souvenirs.»</t>
    </r>
  </si>
  <si>
    <r>
      <rPr>
        <sz val="10"/>
        <rFont val="WenQuanYi Zen Hei"/>
        <family val="2"/>
      </rPr>
      <t xml:space="preserve">명단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숫자 읽기</t>
    </r>
  </si>
  <si>
    <t xml:space="preserve">Camille, Manon, Napoléon</t>
  </si>
  <si>
    <t xml:space="preserve">La première de la liste</t>
  </si>
  <si>
    <t xml:space="preserve">명단의 첫 번째</t>
  </si>
  <si>
    <r>
      <rPr>
        <sz val="10"/>
        <rFont val="WenQuanYi Zen Hei"/>
        <family val="2"/>
      </rPr>
      <t xml:space="preserve">서류 없는 </t>
    </r>
    <r>
      <rPr>
        <sz val="10"/>
        <rFont val="Noto Sans CJK SC"/>
        <family val="2"/>
        <charset val="1"/>
      </rPr>
      <t xml:space="preserve">20</t>
    </r>
    <r>
      <rPr>
        <sz val="10"/>
        <rFont val="WenQuanYi Zen Hei"/>
        <family val="2"/>
      </rPr>
      <t xml:space="preserve">대 여성이 패혈증으로 실려 오지만 병상 배정이 아홉 시간 지연되어 들것 위에서 숨진다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외주 병상관리가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비용 검토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중이었다</t>
    </r>
    <r>
      <rPr>
        <sz val="10"/>
        <rFont val="Noto Sans CJK SC"/>
        <family val="2"/>
        <charset val="1"/>
      </rPr>
      <t xml:space="preserve">. Camille</t>
    </r>
    <r>
      <rPr>
        <sz val="10"/>
        <rFont val="WenQuanYi Zen Hei"/>
        <family val="2"/>
      </rPr>
      <t xml:space="preserve">가 수첩에 첫 이름을 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</si>
  <si>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패혈증</t>
    </r>
    <r>
      <rPr>
        <sz val="10"/>
        <rFont val="Noto Sans CJK SC"/>
        <family val="2"/>
        <charset val="1"/>
      </rPr>
      <t xml:space="preserve">(sepsis), </t>
    </r>
    <r>
      <rPr>
        <sz val="10"/>
        <rFont val="WenQuanYi Zen Hei"/>
        <family val="2"/>
      </rPr>
      <t xml:space="preserve">병상 관리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들것 위의 사망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서류 없는 환자의 응급 진료권</t>
    </r>
  </si>
  <si>
    <r>
      <rPr>
        <sz val="10"/>
        <rFont val="Arial"/>
        <family val="0"/>
        <charset val="1"/>
      </rPr>
      <t xml:space="preserve">Camille, Sandrine(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원장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</si>
  <si>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S2·S3</t>
  </si>
  <si>
    <t xml:space="preserve">Les chiffres du directeur</t>
  </si>
  <si>
    <t xml:space="preserve">원장의 숫자</t>
  </si>
  <si>
    <r>
      <rPr>
        <sz val="10"/>
        <rFont val="WenQuanYi Zen Hei"/>
        <family val="2"/>
      </rPr>
      <t xml:space="preserve">원장이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대기 시간 개선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통계를 발표한다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외주 업체의 재무를 자문하는 </t>
    </r>
    <r>
      <rPr>
        <sz val="10"/>
        <rFont val="Noto Sans CJK SC"/>
        <family val="2"/>
        <charset val="1"/>
      </rPr>
      <t xml:space="preserve">Julien</t>
    </r>
    <r>
      <rPr>
        <sz val="10"/>
        <rFont val="WenQuanYi Zen Hei"/>
        <family val="2"/>
      </rPr>
      <t xml:space="preserve">이 배석한다</t>
    </r>
    <r>
      <rPr>
        <sz val="10"/>
        <rFont val="Noto Sans CJK SC"/>
        <family val="2"/>
        <charset val="1"/>
      </rPr>
      <t xml:space="preserve">. Camille</t>
    </r>
    <r>
      <rPr>
        <sz val="10"/>
        <rFont val="WenQuanYi Zen Hei"/>
        <family val="2"/>
      </rPr>
      <t xml:space="preserve">가 내부 사망 사례 보고서</t>
    </r>
    <r>
      <rPr>
        <sz val="10"/>
        <rFont val="Noto Sans CJK SC"/>
        <family val="2"/>
        <charset val="1"/>
      </rPr>
      <t xml:space="preserve">(déclaration d'événement indésirable grave)</t>
    </r>
    <r>
      <rPr>
        <sz val="10"/>
        <rFont val="WenQuanYi Zen Hei"/>
        <family val="2"/>
      </rPr>
      <t xml:space="preserve">를 제출한다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</si>
  <si>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통계 읽기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중대 부작용 사례 보고</t>
    </r>
  </si>
  <si>
    <r>
      <rPr>
        <sz val="10"/>
        <rFont val="Arial"/>
        <family val="0"/>
        <charset val="1"/>
      </rPr>
      <t xml:space="preserve">Camille, </t>
    </r>
    <r>
      <rPr>
        <sz val="10"/>
        <rFont val="WenQuanYi Zen Hei"/>
        <family val="2"/>
      </rPr>
      <t xml:space="preserve">원장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Julien</t>
    </r>
  </si>
  <si>
    <t xml:space="preserve">P3</t>
  </si>
  <si>
    <t xml:space="preserve">La Procédure disciplinaire</t>
  </si>
  <si>
    <t xml:space="preserve">징계 절차</t>
  </si>
  <si>
    <r>
      <rPr>
        <sz val="10"/>
        <rFont val="WenQuanYi Zen Hei"/>
        <family val="2"/>
      </rPr>
      <t xml:space="preserve">보고서 유출 의혹으로 징계 절차가 시작된다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취재하러 온 </t>
    </r>
    <r>
      <rPr>
        <sz val="10"/>
        <rFont val="Noto Sans CJK SC"/>
        <family val="2"/>
        <charset val="1"/>
      </rPr>
      <t xml:space="preserve">Voltaire</t>
    </r>
    <r>
      <rPr>
        <sz val="10"/>
        <rFont val="WenQuanYi Zen Hei"/>
        <family val="2"/>
      </rPr>
      <t xml:space="preserve">에게 </t>
    </r>
    <r>
      <rPr>
        <sz val="10"/>
        <rFont val="Noto Sans CJK SC"/>
        <family val="2"/>
        <charset val="1"/>
      </rPr>
      <t xml:space="preserve">Camille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«Ça ne sort pas d'ici.»</t>
    </r>
    <r>
      <rPr>
        <sz val="10"/>
        <rFont val="WenQuanYi Zen Hei"/>
        <family val="2"/>
      </rPr>
      <t xml:space="preserve">라고 못 박는다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</si>
  <si>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공무원 징계</t>
    </r>
    <r>
      <rPr>
        <sz val="10"/>
        <rFont val="Noto Sans CJK SC"/>
        <family val="2"/>
        <charset val="1"/>
      </rPr>
      <t xml:space="preserve">(procédure disciplinaire), </t>
    </r>
    <r>
      <rPr>
        <sz val="10"/>
        <rFont val="WenQuanYi Zen Hei"/>
        <family val="2"/>
      </rPr>
      <t xml:space="preserve">직업상 비밀 유지</t>
    </r>
  </si>
  <si>
    <r>
      <rPr>
        <sz val="10"/>
        <rFont val="Arial"/>
        <family val="0"/>
        <charset val="1"/>
      </rPr>
      <t xml:space="preserve">Camille, Voltaire, </t>
    </r>
    <r>
      <rPr>
        <sz val="10"/>
        <rFont val="WenQuanYi Zen Hei"/>
        <family val="2"/>
      </rPr>
      <t xml:space="preserve">원장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</si>
  <si>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Vendredi : et qu'est-ce que tu choisis ?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</si>
  <si>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그래서 넌 뭘 선택하지</t>
    </r>
    <r>
      <rPr>
        <sz val="10"/>
        <rFont val="Noto Sans CJK SC"/>
        <family val="2"/>
        <charset val="1"/>
      </rPr>
      <t xml:space="preserve">?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</si>
  <si>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Sartre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Camille</t>
    </r>
    <r>
      <rPr>
        <sz val="10"/>
        <rFont val="WenQuanYi Zen Hei"/>
        <family val="2"/>
      </rPr>
      <t xml:space="preserve">에게 </t>
    </r>
    <r>
      <rPr>
        <sz val="10"/>
        <rFont val="Arial"/>
        <family val="0"/>
        <charset val="1"/>
      </rPr>
      <t xml:space="preserve">«Et toi, qu'est-ce que tu choisis ?»</t>
    </r>
    <r>
      <rPr>
        <sz val="10"/>
        <rFont val="WenQuanYi Zen Hei"/>
        <family val="2"/>
      </rPr>
      <t xml:space="preserve">라고 되묻는다</t>
    </r>
    <r>
      <rPr>
        <sz val="10"/>
        <rFont val="Arial"/>
        <family val="0"/>
        <charset val="1"/>
      </rPr>
      <t xml:space="preserve">. Camille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«D'abord, respire.»</t>
    </r>
    <r>
      <rPr>
        <sz val="10"/>
        <rFont val="WenQuanYi Zen Hei"/>
        <family val="2"/>
      </rPr>
      <t xml:space="preserve">로 받아친다</t>
    </r>
    <r>
      <rPr>
        <sz val="10"/>
        <rFont val="Arial"/>
        <family val="0"/>
        <charset val="1"/>
      </rPr>
      <t xml:space="preserve">. Manon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Sartre</t>
    </r>
    <r>
      <rPr>
        <sz val="10"/>
        <rFont val="WenQuanYi Zen Hei"/>
        <family val="2"/>
      </rPr>
      <t xml:space="preserve">의 화법을 흉내 낸다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</si>
  <si>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선택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책임 표현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되받기 화법</t>
    </r>
  </si>
  <si>
    <t xml:space="preserve">Camille, Sartre, Manon</t>
  </si>
  <si>
    <t xml:space="preserve">Une nuit sans lits</t>
  </si>
  <si>
    <t xml:space="preserve">병상 없는 밤</t>
  </si>
  <si>
    <r>
      <rPr>
        <sz val="10"/>
        <rFont val="WenQuanYi Zen Hei"/>
        <family val="2"/>
      </rPr>
      <t xml:space="preserve">버스 사고와 폭염이 겹친 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백색 계획</t>
    </r>
    <r>
      <rPr>
        <sz val="10"/>
        <rFont val="Noto Sans CJK SC"/>
        <family val="2"/>
        <charset val="1"/>
      </rPr>
      <t xml:space="preserve">(plan blanc)</t>
    </r>
    <r>
      <rPr>
        <sz val="10"/>
        <rFont val="WenQuanYi Zen Hei"/>
        <family val="2"/>
      </rPr>
      <t xml:space="preserve">이 발동되지만 병상이 없어 복도까지 환자가 찬다</t>
    </r>
    <r>
      <rPr>
        <sz val="10"/>
        <rFont val="Noto Sans CJK SC"/>
        <family val="2"/>
        <charset val="1"/>
      </rPr>
      <t xml:space="preserve">. Camille</t>
    </r>
    <r>
      <rPr>
        <sz val="10"/>
        <rFont val="WenQuanYi Zen Hei"/>
        <family val="2"/>
      </rPr>
      <t xml:space="preserve">가 즉흥으로 일곱 명을 살리고 한 명을 잃는다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</si>
  <si>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대량 환자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백색 계획</t>
    </r>
    <r>
      <rPr>
        <sz val="10"/>
        <rFont val="Noto Sans CJK SC"/>
        <family val="2"/>
        <charset val="1"/>
      </rPr>
      <t xml:space="preserve">(plan blanc), </t>
    </r>
    <r>
      <rPr>
        <sz val="10"/>
        <rFont val="WenQuanYi Zen Hei"/>
        <family val="2"/>
      </rPr>
      <t xml:space="preserve">우선순위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명령형</t>
    </r>
  </si>
  <si>
    <t xml:space="preserve">S4</t>
  </si>
  <si>
    <t xml:space="preserve">La démission de la docteure</t>
  </si>
  <si>
    <t xml:space="preserve">의사의 사직</t>
  </si>
  <si>
    <r>
      <rPr>
        <sz val="10"/>
        <rFont val="WenQuanYi Zen Hei"/>
        <family val="2"/>
      </rPr>
      <t xml:space="preserve">징계 통보와 마지막 근무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수첩을 덮고 사직서를 낸다</t>
    </r>
    <r>
      <rPr>
        <sz val="10"/>
        <rFont val="Noto Sans CJK SC"/>
        <family val="2"/>
        <charset val="1"/>
      </rPr>
      <t xml:space="preserve">. Sandrine</t>
    </r>
    <r>
      <rPr>
        <sz val="10"/>
        <rFont val="WenQuanYi Zen Hei"/>
        <family val="2"/>
      </rPr>
      <t xml:space="preserve">이 </t>
    </r>
    <r>
      <rPr>
        <sz val="10"/>
        <rFont val="Noto Sans CJK SC"/>
        <family val="2"/>
        <charset val="1"/>
      </rPr>
      <t xml:space="preserve">«Docteure, ne partez pas.»</t>
    </r>
  </si>
  <si>
    <r>
      <rPr>
        <sz val="10"/>
        <rFont val="WenQuanYi Zen Hei"/>
        <family val="2"/>
      </rPr>
      <t xml:space="preserve">사직서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작별</t>
    </r>
  </si>
  <si>
    <t xml:space="preserve">Vendredi : une signature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</si>
  <si>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한 사람의 서명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</si>
  <si>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Camille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«Le rapport d'audit du contrat portait une signature.»</t>
    </r>
    <r>
      <rPr>
        <sz val="10"/>
        <rFont val="WenQuanYi Zen Hei"/>
        <family val="2"/>
      </rPr>
      <t xml:space="preserve">라고 말한다</t>
    </r>
    <r>
      <rPr>
        <sz val="10"/>
        <rFont val="Arial"/>
        <family val="0"/>
        <charset val="1"/>
      </rPr>
      <t xml:space="preserve">. Julien</t>
    </r>
    <r>
      <rPr>
        <sz val="10"/>
        <rFont val="WenQuanYi Zen Hei"/>
        <family val="2"/>
      </rPr>
      <t xml:space="preserve">이 조용히 </t>
    </r>
    <r>
      <rPr>
        <sz val="10"/>
        <rFont val="Arial"/>
        <family val="0"/>
        <charset val="1"/>
      </rPr>
      <t xml:space="preserve">«À moi.»</t>
    </r>
  </si>
  <si>
    <r>
      <rPr>
        <sz val="10"/>
        <rFont val="WenQuanYi Zen Hei"/>
        <family val="2"/>
      </rPr>
      <t xml:space="preserve">서명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책임 표현</t>
    </r>
  </si>
  <si>
    <t xml:space="preserve">Camille, Julien, Manon, Napoléon</t>
  </si>
  <si>
    <t xml:space="preserve">Vendredi : j'ai signé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</si>
  <si>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내가 서명했다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</si>
  <si>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Julien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«Montrez-moi les documents.»</t>
    </r>
    <r>
      <rPr>
        <sz val="10"/>
        <rFont val="WenQuanYi Zen Hei"/>
        <family val="2"/>
      </rPr>
      <t xml:space="preserve">를 습관처럼 하다가 </t>
    </r>
    <r>
      <rPr>
        <sz val="10"/>
        <rFont val="Arial"/>
        <family val="0"/>
        <charset val="1"/>
      </rPr>
      <t xml:space="preserve">«J'ai signé.»</t>
    </r>
    <r>
      <rPr>
        <sz val="10"/>
        <rFont val="WenQuanYi Zen Hei"/>
        <family val="2"/>
      </rPr>
      <t xml:space="preserve">라고 시작한다</t>
    </r>
    <r>
      <rPr>
        <sz val="10"/>
        <rFont val="Arial"/>
        <family val="0"/>
        <charset val="1"/>
      </rPr>
      <t xml:space="preserve">. Manon</t>
    </r>
    <r>
      <rPr>
        <sz val="10"/>
        <rFont val="WenQuanYi Zen Hei"/>
        <family val="2"/>
      </rPr>
      <t xml:space="preserve">이 숫자를 못 읽어 질문한다</t>
    </r>
    <r>
      <rPr>
        <sz val="10"/>
        <rFont val="Arial"/>
        <family val="0"/>
        <charset val="1"/>
      </rPr>
      <t xml:space="preserve">.</t>
    </r>
  </si>
  <si>
    <t xml:space="preserve">회계 어휘 도입</t>
  </si>
  <si>
    <t xml:space="preserve">Julien, Manon, Camille, Napoléon</t>
  </si>
  <si>
    <t xml:space="preserve">Clôture de l'exercice</t>
  </si>
  <si>
    <t xml:space="preserve">결산 마감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</si>
  <si>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과거</t>
    </r>
    <r>
      <rPr>
        <sz val="10"/>
        <rFont val="Arial"/>
        <family val="0"/>
        <charset val="1"/>
      </rPr>
      <t xml:space="preserve">) Bertin &amp; Roux</t>
    </r>
    <r>
      <rPr>
        <sz val="10"/>
        <rFont val="WenQuanYi Zen Hei"/>
        <family val="2"/>
      </rPr>
      <t xml:space="preserve">의 결산 감사 마감 주간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표본추출</t>
    </r>
    <r>
      <rPr>
        <sz val="10"/>
        <rFont val="Arial"/>
        <family val="0"/>
        <charset val="1"/>
      </rPr>
      <t xml:space="preserve">(échantillonnage)</t>
    </r>
    <r>
      <rPr>
        <sz val="10"/>
        <rFont val="WenQuanYi Zen Hei"/>
        <family val="2"/>
      </rPr>
      <t xml:space="preserve">과 중요성 기준</t>
    </r>
    <r>
      <rPr>
        <sz val="10"/>
        <rFont val="Arial"/>
        <family val="0"/>
        <charset val="1"/>
      </rPr>
      <t xml:space="preserve">(seuil de signification). Julien</t>
    </r>
    <r>
      <rPr>
        <sz val="10"/>
        <rFont val="WenQuanYi Zen Hei"/>
        <family val="2"/>
      </rPr>
      <t xml:space="preserve">의 정확성과 냉소</t>
    </r>
    <r>
      <rPr>
        <sz val="10"/>
        <rFont val="Arial"/>
        <family val="0"/>
        <charset val="1"/>
      </rPr>
      <t xml:space="preserve">.</t>
    </r>
  </si>
  <si>
    <t xml:space="preserve">감사 절차 어휘</t>
  </si>
  <si>
    <r>
      <rPr>
        <sz val="10"/>
        <rFont val="Arial"/>
        <family val="0"/>
        <charset val="1"/>
      </rPr>
      <t xml:space="preserve">Julien, Bertin(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후배 감사인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</si>
  <si>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Le client qui paie bien</t>
  </si>
  <si>
    <t xml:space="preserve">돈 잘 주는 고객</t>
  </si>
  <si>
    <r>
      <rPr>
        <sz val="10"/>
        <rFont val="Arial"/>
        <family val="0"/>
        <charset val="1"/>
      </rPr>
      <t xml:space="preserve">Groupe Méridien</t>
    </r>
    <r>
      <rPr>
        <sz val="10"/>
        <rFont val="WenQuanYi Zen Hei"/>
        <family val="2"/>
      </rPr>
      <t xml:space="preserve">이 회사 수임료의 </t>
    </r>
    <r>
      <rPr>
        <sz val="10"/>
        <rFont val="Arial"/>
        <family val="0"/>
        <charset val="1"/>
      </rPr>
      <t xml:space="preserve">15%</t>
    </r>
    <r>
      <rPr>
        <sz val="10"/>
        <rFont val="WenQuanYi Zen Hei"/>
        <family val="2"/>
      </rPr>
      <t xml:space="preserve">를 차지한다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감사인 독립성과 교체</t>
    </r>
    <r>
      <rPr>
        <sz val="10"/>
        <rFont val="Arial"/>
        <family val="0"/>
        <charset val="1"/>
      </rPr>
      <t xml:space="preserve">(rotation) </t>
    </r>
    <r>
      <rPr>
        <sz val="10"/>
        <rFont val="WenQuanYi Zen Hei"/>
        <family val="2"/>
      </rPr>
      <t xml:space="preserve">규정이 문제가 된다</t>
    </r>
    <r>
      <rPr>
        <sz val="10"/>
        <rFont val="Arial"/>
        <family val="0"/>
        <charset val="1"/>
      </rPr>
      <t xml:space="preserve">. Bertin</t>
    </r>
    <r>
      <rPr>
        <sz val="10"/>
        <rFont val="WenQuanYi Zen Hei"/>
        <family val="2"/>
      </rPr>
      <t xml:space="preserve">은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관계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를 강조한다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</si>
  <si>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독립성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수임료 집중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법정감사인 교체</t>
    </r>
  </si>
  <si>
    <r>
      <rPr>
        <sz val="10"/>
        <rFont val="Arial"/>
        <family val="0"/>
        <charset val="1"/>
      </rPr>
      <t xml:space="preserve">Julien, Bertin(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</si>
  <si>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Ça ne colle pas</t>
  </si>
  <si>
    <t xml:space="preserve">이건 안 맞아</t>
  </si>
  <si>
    <r>
      <rPr>
        <sz val="10"/>
        <rFont val="WenQuanYi Zen Hei"/>
        <family val="2"/>
      </rPr>
      <t xml:space="preserve">특수관계자 대출이 룩셈부르크 지주회사로 흘러간 흔적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은행 자료를 보내 준 </t>
    </r>
    <r>
      <rPr>
        <sz val="10"/>
        <rFont val="Noto Sans CJK SC"/>
        <family val="2"/>
        <charset val="1"/>
      </rPr>
      <t xml:space="preserve">Philippe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«Suivez l'argent.»</t>
    </r>
  </si>
  <si>
    <r>
      <rPr>
        <sz val="10"/>
        <rFont val="WenQuanYi Zen Hei"/>
        <family val="2"/>
      </rPr>
      <t xml:space="preserve">특수관계자 거래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조세 회피처</t>
    </r>
  </si>
  <si>
    <t xml:space="preserve">Julien, Philippe</t>
  </si>
  <si>
    <t xml:space="preserve">Vendredi : le père de Julien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</si>
  <si>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Julien</t>
    </r>
    <r>
      <rPr>
        <sz val="10"/>
        <rFont val="WenQuanYi Zen Hei"/>
        <family val="2"/>
      </rPr>
      <t xml:space="preserve">의 아버지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</si>
  <si>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정직한 장부를 지키다 해고된 아버지 이야기</t>
    </r>
    <r>
      <rPr>
        <sz val="10"/>
        <rFont val="Arial"/>
        <family val="0"/>
        <charset val="1"/>
      </rPr>
      <t xml:space="preserve">. «Montrez-moi les chiffres, je vous dirai qui vous êtes.»</t>
    </r>
    <r>
      <rPr>
        <sz val="10"/>
        <rFont val="WenQuanYi Zen Hei"/>
        <family val="2"/>
      </rPr>
      <t xml:space="preserve">의 기원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</si>
  <si>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가족 이야기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과거</t>
    </r>
  </si>
  <si>
    <t xml:space="preserve">Julien, Manon, Monique</t>
  </si>
  <si>
    <t xml:space="preserve">La réunion des associés</t>
  </si>
  <si>
    <t xml:space="preserve">파트너 회의</t>
  </si>
  <si>
    <r>
      <rPr>
        <sz val="10"/>
        <rFont val="Arial"/>
        <family val="0"/>
        <charset val="1"/>
      </rPr>
      <t xml:space="preserve">Julien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한정 의견</t>
    </r>
    <r>
      <rPr>
        <sz val="10"/>
        <rFont val="Arial"/>
        <family val="0"/>
        <charset val="1"/>
      </rPr>
      <t xml:space="preserve">(certification avec réserve)'</t>
    </r>
    <r>
      <rPr>
        <sz val="10"/>
        <rFont val="WenQuanYi Zen Hei"/>
        <family val="2"/>
      </rPr>
      <t xml:space="preserve">을 주장하자 파트너들이 승진과 고객 유지를 들어 설득한다</t>
    </r>
    <r>
      <rPr>
        <sz val="10"/>
        <rFont val="Arial"/>
        <family val="0"/>
        <charset val="1"/>
      </rPr>
      <t xml:space="preserve">. Julien</t>
    </r>
    <r>
      <rPr>
        <sz val="10"/>
        <rFont val="WenQuanYi Zen Hei"/>
        <family val="2"/>
      </rPr>
      <t xml:space="preserve">은 리스크 위원회로 사안을 올린다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</si>
  <si>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감사 의견</t>
    </r>
    <r>
      <rPr>
        <sz val="10"/>
        <rFont val="Noto Sans CJK SC"/>
        <family val="2"/>
        <charset val="1"/>
      </rPr>
      <t xml:space="preserve">: sans réserve, avec réserve, refus de certifier, impossibilité de certifier</t>
    </r>
  </si>
  <si>
    <r>
      <rPr>
        <sz val="10"/>
        <rFont val="Arial"/>
        <family val="0"/>
        <charset val="1"/>
      </rPr>
      <t xml:space="preserve">Julien, Bertin(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파트너들</t>
    </r>
  </si>
  <si>
    <t xml:space="preserve">Le comité des risques</t>
  </si>
  <si>
    <t xml:space="preserve">리스크 위원회</t>
  </si>
  <si>
    <r>
      <rPr>
        <sz val="10"/>
        <rFont val="Arial"/>
        <family val="0"/>
        <charset val="1"/>
      </rPr>
      <t xml:space="preserve">GM</t>
    </r>
    <r>
      <rPr>
        <sz val="10"/>
        <rFont val="WenQuanYi Zen Hei"/>
        <family val="2"/>
      </rPr>
      <t xml:space="preserve">의 변호사 서한이 도착한다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고객 측 변호사는 </t>
    </r>
    <r>
      <rPr>
        <sz val="10"/>
        <rFont val="Arial"/>
        <family val="0"/>
        <charset val="1"/>
      </rPr>
      <t xml:space="preserve">Nicolas</t>
    </r>
    <r>
      <rPr>
        <sz val="10"/>
        <rFont val="WenQuanYi Zen Hei"/>
        <family val="2"/>
      </rPr>
      <t xml:space="preserve">의 옛 동료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위원회는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증거 불충분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으로 결정한다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</si>
  <si>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변호사 서한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충분한 감사 증거</t>
    </r>
  </si>
  <si>
    <r>
      <rPr>
        <sz val="10"/>
        <rFont val="Arial"/>
        <family val="0"/>
        <charset val="1"/>
      </rPr>
      <t xml:space="preserve">Julien, </t>
    </r>
    <r>
      <rPr>
        <sz val="10"/>
        <rFont val="WenQuanYi Zen Hei"/>
        <family val="2"/>
      </rPr>
      <t xml:space="preserve">위원회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</si>
  <si>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Un déjeuner dans le 16e</t>
  </si>
  <si>
    <r>
      <rPr>
        <sz val="10"/>
        <rFont val="Noto Sans CJK SC"/>
        <family val="2"/>
        <charset val="1"/>
      </rPr>
      <t xml:space="preserve">16</t>
    </r>
    <r>
      <rPr>
        <sz val="10"/>
        <rFont val="WenQuanYi Zen Hei"/>
        <family val="2"/>
      </rPr>
      <t xml:space="preserve">구의 점심</t>
    </r>
  </si>
  <si>
    <r>
      <rPr>
        <sz val="10"/>
        <rFont val="Arial"/>
        <family val="0"/>
        <charset val="1"/>
      </rPr>
      <t xml:space="preserve">Verdier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Julien</t>
    </r>
    <r>
      <rPr>
        <sz val="10"/>
        <rFont val="WenQuanYi Zen Hei"/>
        <family val="2"/>
      </rPr>
      <t xml:space="preserve">에게 점심을 산다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정중한 위협과 제안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파트너 승진과 개인 자문 계약</t>
    </r>
    <r>
      <rPr>
        <sz val="10"/>
        <rFont val="Arial"/>
        <family val="0"/>
        <charset val="1"/>
      </rPr>
      <t xml:space="preserve">. Voltaire</t>
    </r>
    <r>
      <rPr>
        <sz val="10"/>
        <rFont val="WenQuanYi Zen Hei"/>
        <family val="2"/>
      </rPr>
      <t xml:space="preserve">의 전화가 온다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</si>
  <si>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완곡한 압박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조건법</t>
    </r>
    <r>
      <rPr>
        <sz val="10"/>
        <rFont val="Noto Sans CJK SC"/>
        <family val="2"/>
        <charset val="1"/>
      </rPr>
      <t xml:space="preserve">(conditionnel)</t>
    </r>
  </si>
  <si>
    <r>
      <rPr>
        <sz val="10"/>
        <rFont val="Arial"/>
        <family val="0"/>
        <charset val="1"/>
      </rPr>
      <t xml:space="preserve">Julien, Verdier(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Voltaire</t>
    </r>
  </si>
  <si>
    <t xml:space="preserve">Vendredi : et vous avez signé ?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</si>
  <si>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서명했나요</t>
    </r>
    <r>
      <rPr>
        <sz val="10"/>
        <rFont val="Noto Sans CJK SC"/>
        <family val="2"/>
        <charset val="1"/>
      </rPr>
      <t xml:space="preserve">?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</si>
  <si>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Manon</t>
    </r>
    <r>
      <rPr>
        <sz val="10"/>
        <rFont val="WenQuanYi Zen Hei"/>
        <family val="2"/>
      </rPr>
      <t xml:space="preserve">이 묻고 </t>
    </r>
    <r>
      <rPr>
        <sz val="10"/>
        <rFont val="Arial"/>
        <family val="0"/>
        <charset val="1"/>
      </rPr>
      <t xml:space="preserve">Julien</t>
    </r>
    <r>
      <rPr>
        <sz val="10"/>
        <rFont val="WenQuanYi Zen Hei"/>
        <family val="2"/>
      </rPr>
      <t xml:space="preserve">은 </t>
    </r>
    <r>
      <rPr>
        <sz val="10"/>
        <rFont val="Arial"/>
        <family val="0"/>
        <charset val="1"/>
      </rPr>
      <t xml:space="preserve">«Attends.»</t>
    </r>
    <r>
      <rPr>
        <sz val="10"/>
        <rFont val="WenQuanYi Zen Hei"/>
        <family val="2"/>
      </rPr>
      <t xml:space="preserve">라고 한다</t>
    </r>
    <r>
      <rPr>
        <sz val="10"/>
        <rFont val="Arial"/>
        <family val="0"/>
        <charset val="1"/>
      </rPr>
      <t xml:space="preserve">. Napoléon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«Nous avons tous signé quelque chose un jour. Moi, une abdication. Deux fois.»</t>
    </r>
    <r>
      <rPr>
        <sz val="10"/>
        <rFont val="WenQuanYi Zen Hei"/>
        <family val="2"/>
      </rPr>
      <t xml:space="preserve">라고 말하고 </t>
    </r>
    <r>
      <rPr>
        <sz val="10"/>
        <rFont val="Arial"/>
        <family val="0"/>
        <charset val="1"/>
      </rPr>
      <t xml:space="preserve">Camille</t>
    </r>
    <r>
      <rPr>
        <sz val="10"/>
        <rFont val="WenQuanYi Zen Hei"/>
        <family val="2"/>
      </rPr>
      <t xml:space="preserve">가 눈을 감는다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</si>
  <si>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재촉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회피</t>
    </r>
  </si>
  <si>
    <t xml:space="preserve">Julien, Manon, Napoléon, Camille</t>
  </si>
  <si>
    <t xml:space="preserve">Certifié sans réserve</t>
  </si>
  <si>
    <t xml:space="preserve">무한정 적정 의견</t>
  </si>
  <si>
    <r>
      <rPr>
        <sz val="10"/>
        <rFont val="Arial"/>
        <family val="0"/>
        <charset val="1"/>
      </rPr>
      <t xml:space="preserve">Julien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적정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의견서에 서명한다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서명 후 그는 복사본 </t>
    </r>
    <r>
      <rPr>
        <sz val="10"/>
        <rFont val="Arial"/>
        <family val="0"/>
        <charset val="1"/>
      </rPr>
      <t xml:space="preserve">USB</t>
    </r>
    <r>
      <rPr>
        <sz val="10"/>
        <rFont val="WenQuanYi Zen Hei"/>
        <family val="2"/>
      </rPr>
      <t xml:space="preserve">를 챙긴다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</si>
  <si>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서명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감사 보고서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책임</t>
    </r>
  </si>
  <si>
    <t xml:space="preserve">Après la signature</t>
  </si>
  <si>
    <t xml:space="preserve">서명 이후</t>
  </si>
  <si>
    <r>
      <rPr>
        <sz val="10"/>
        <rFont val="WenQuanYi Zen Hei"/>
        <family val="2"/>
      </rPr>
      <t xml:space="preserve">그 의견서로 병원 외주 계약이 확정되고</t>
    </r>
    <r>
      <rPr>
        <sz val="10"/>
        <rFont val="Noto Sans CJK SC"/>
        <family val="2"/>
        <charset val="1"/>
      </rPr>
      <t xml:space="preserve">(3</t>
    </r>
    <r>
      <rPr>
        <sz val="10"/>
        <rFont val="WenQuanYi Zen Hei"/>
        <family val="2"/>
      </rPr>
      <t xml:space="preserve">부의 계약</t>
    </r>
    <r>
      <rPr>
        <sz val="10"/>
        <rFont val="Noto Sans CJK SC"/>
        <family val="2"/>
        <charset val="1"/>
      </rPr>
      <t xml:space="preserve">) </t>
    </r>
    <r>
      <rPr>
        <sz val="10"/>
        <rFont val="WenQuanYi Zen Hei"/>
        <family val="2"/>
      </rPr>
      <t xml:space="preserve">구조조정 컨설팅이 시작된다는 통보를 받는다</t>
    </r>
    <r>
      <rPr>
        <sz val="10"/>
        <rFont val="Noto Sans CJK SC"/>
        <family val="2"/>
        <charset val="1"/>
      </rPr>
      <t xml:space="preserve">. Julien</t>
    </r>
    <r>
      <rPr>
        <sz val="10"/>
        <rFont val="WenQuanYi Zen Hei"/>
        <family val="2"/>
      </rPr>
      <t xml:space="preserve">은 사직하고 다시는 서명하지 않겠다고 다짐한다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</si>
  <si>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결과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책임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사직</t>
    </r>
  </si>
  <si>
    <r>
      <rPr>
        <sz val="10"/>
        <rFont val="Arial"/>
        <family val="0"/>
        <charset val="1"/>
      </rPr>
      <t xml:space="preserve">Julien, Bertin(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Léa</t>
    </r>
  </si>
  <si>
    <t xml:space="preserve">Vendredi : la liste de Léa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</si>
  <si>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Léa</t>
    </r>
    <r>
      <rPr>
        <sz val="10"/>
        <rFont val="WenQuanYi Zen Hei"/>
        <family val="2"/>
      </rPr>
      <t xml:space="preserve">의 명단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</si>
  <si>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Julien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USB</t>
    </r>
    <r>
      <rPr>
        <sz val="10"/>
        <rFont val="WenQuanYi Zen Hei"/>
        <family val="2"/>
      </rPr>
      <t xml:space="preserve">를 꺼내지 않은 채 식탁에 놓고</t>
    </r>
    <r>
      <rPr>
        <sz val="10"/>
        <rFont val="Arial"/>
        <family val="0"/>
        <charset val="1"/>
      </rPr>
      <t xml:space="preserve">, Léa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«C'est moi qui faisais la liste.»</t>
    </r>
    <r>
      <rPr>
        <sz val="10"/>
        <rFont val="WenQuanYi Zen Hei"/>
        <family val="2"/>
      </rPr>
      <t xml:space="preserve">라고 말한다</t>
    </r>
    <r>
      <rPr>
        <sz val="10"/>
        <rFont val="Arial"/>
        <family val="0"/>
        <charset val="1"/>
      </rPr>
      <t xml:space="preserve">.</t>
    </r>
  </si>
  <si>
    <t xml:space="preserve">고백</t>
  </si>
  <si>
    <t xml:space="preserve">Julien, Léa, Manon, Monique</t>
  </si>
  <si>
    <t xml:space="preserve">Vendredi : dans une matrice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</si>
  <si>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매트릭스로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</si>
  <si>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Léa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«Mettons ça dans une matrice.»</t>
    </r>
    <r>
      <rPr>
        <sz val="10"/>
        <rFont val="WenQuanYi Zen Hei"/>
        <family val="2"/>
      </rPr>
      <t xml:space="preserve">로 시작하다 </t>
    </r>
    <r>
      <rPr>
        <sz val="10"/>
        <rFont val="Arial"/>
        <family val="0"/>
        <charset val="1"/>
      </rPr>
      <t xml:space="preserve">Manon</t>
    </r>
    <r>
      <rPr>
        <sz val="10"/>
        <rFont val="WenQuanYi Zen Hei"/>
        <family val="2"/>
      </rPr>
      <t xml:space="preserve">에게 제지당한다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</si>
  <si>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경영 어휘 도입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쉬운 말로 바꾸기</t>
    </r>
  </si>
  <si>
    <t xml:space="preserve">Léa, Manon, Napoléon</t>
  </si>
  <si>
    <t xml:space="preserve">Zénith, 32e étage</t>
  </si>
  <si>
    <r>
      <rPr>
        <sz val="10"/>
        <rFont val="Arial"/>
        <family val="0"/>
        <charset val="1"/>
      </rPr>
      <t xml:space="preserve">Zénith, 32</t>
    </r>
    <r>
      <rPr>
        <sz val="10"/>
        <rFont val="WenQuanYi Zen Hei"/>
        <family val="2"/>
      </rPr>
      <t xml:space="preserve">층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</si>
  <si>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과거</t>
    </r>
    <r>
      <rPr>
        <sz val="10"/>
        <rFont val="Arial"/>
        <family val="0"/>
        <charset val="1"/>
      </rPr>
      <t xml:space="preserve">) La Défense </t>
    </r>
    <r>
      <rPr>
        <sz val="10"/>
        <rFont val="WenQuanYi Zen Hei"/>
        <family val="2"/>
      </rPr>
      <t xml:space="preserve">컨설팅 회사의 문화</t>
    </r>
    <r>
      <rPr>
        <sz val="10"/>
        <rFont val="Arial"/>
        <family val="0"/>
        <charset val="1"/>
      </rPr>
      <t xml:space="preserve">: up-or-out, </t>
    </r>
    <r>
      <rPr>
        <sz val="10"/>
        <rFont val="WenQuanYi Zen Hei"/>
        <family val="2"/>
      </rPr>
      <t xml:space="preserve">야근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영어가 섞인 프랑스어</t>
    </r>
    <r>
      <rPr>
        <sz val="10"/>
        <rFont val="Arial"/>
        <family val="0"/>
        <charset val="1"/>
      </rPr>
      <t xml:space="preserve">(franglais). Léa</t>
    </r>
    <r>
      <rPr>
        <sz val="10"/>
        <rFont val="WenQuanYi Zen Hei"/>
        <family val="2"/>
      </rPr>
      <t xml:space="preserve">의 초고속 승진</t>
    </r>
    <r>
      <rPr>
        <sz val="10"/>
        <rFont val="Arial"/>
        <family val="0"/>
        <charset val="1"/>
      </rPr>
      <t xml:space="preserve">.</t>
    </r>
  </si>
  <si>
    <t xml:space="preserve">aligner, scalable, impact, parties prenantes</t>
  </si>
  <si>
    <r>
      <rPr>
        <sz val="10"/>
        <rFont val="Arial"/>
        <family val="0"/>
        <charset val="1"/>
      </rPr>
      <t xml:space="preserve">Léa, </t>
    </r>
    <r>
      <rPr>
        <sz val="10"/>
        <rFont val="WenQuanYi Zen Hei"/>
        <family val="2"/>
      </rPr>
      <t xml:space="preserve">파트너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</si>
  <si>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L'atelier des Garnier</t>
  </si>
  <si>
    <r>
      <rPr>
        <sz val="10"/>
        <rFont val="Arial"/>
        <family val="0"/>
        <charset val="1"/>
      </rPr>
      <t xml:space="preserve">Garnier </t>
    </r>
    <r>
      <rPr>
        <sz val="10"/>
        <rFont val="WenQuanYi Zen Hei"/>
        <family val="2"/>
      </rPr>
      <t xml:space="preserve">가족의 공방</t>
    </r>
  </si>
  <si>
    <r>
      <rPr>
        <sz val="10"/>
        <rFont val="WenQuanYi Zen Hei"/>
        <family val="2"/>
      </rPr>
      <t xml:space="preserve">영세 제조업체</t>
    </r>
    <r>
      <rPr>
        <sz val="10"/>
        <rFont val="Noto Sans CJK SC"/>
        <family val="2"/>
        <charset val="1"/>
      </rPr>
      <t xml:space="preserve">(TPE) </t>
    </r>
    <r>
      <rPr>
        <sz val="10"/>
        <rFont val="WenQuanYi Zen Hei"/>
        <family val="2"/>
      </rPr>
      <t xml:space="preserve">컨설팅</t>
    </r>
    <r>
      <rPr>
        <sz val="10"/>
        <rFont val="Noto Sans CJK SC"/>
        <family val="2"/>
        <charset val="1"/>
      </rPr>
      <t xml:space="preserve">. Léa</t>
    </r>
    <r>
      <rPr>
        <sz val="10"/>
        <rFont val="WenQuanYi Zen Hei"/>
        <family val="2"/>
      </rPr>
      <t xml:space="preserve">의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규모 키우기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권고가 현실과 맞지 않아 실패한다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생산성은 조언이 아니라 구조의 문제임을 처음 본다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</si>
  <si>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영세 기업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생산성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탈산업화</t>
    </r>
  </si>
  <si>
    <r>
      <rPr>
        <sz val="10"/>
        <rFont val="Arial"/>
        <family val="0"/>
        <charset val="1"/>
      </rPr>
      <t xml:space="preserve">Léa, Garnier(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</si>
  <si>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E2</t>
  </si>
  <si>
    <t xml:space="preserve">Projet Icare</t>
  </si>
  <si>
    <t xml:space="preserve">이카로스 프로젝트</t>
  </si>
  <si>
    <r>
      <rPr>
        <sz val="10"/>
        <rFont val="Arial"/>
        <family val="0"/>
        <charset val="1"/>
      </rPr>
      <t xml:space="preserve">GM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RATP</t>
    </r>
    <r>
      <rPr>
        <sz val="10"/>
        <rFont val="WenQuanYi Zen Hei"/>
        <family val="2"/>
      </rPr>
      <t xml:space="preserve">에서 넘겨받은 버스 노선 운영사 </t>
    </r>
    <r>
      <rPr>
        <sz val="10"/>
        <rFont val="Arial"/>
        <family val="0"/>
        <charset val="1"/>
      </rPr>
      <t xml:space="preserve">Méridien Mobilité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비용 </t>
    </r>
    <r>
      <rPr>
        <sz val="10"/>
        <rFont val="Arial"/>
        <family val="0"/>
        <charset val="1"/>
      </rPr>
      <t xml:space="preserve">18% </t>
    </r>
    <r>
      <rPr>
        <sz val="10"/>
        <rFont val="WenQuanYi Zen Hei"/>
        <family val="2"/>
      </rPr>
      <t xml:space="preserve">절감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을 </t>
    </r>
    <r>
      <rPr>
        <sz val="10"/>
        <rFont val="Arial"/>
        <family val="0"/>
        <charset val="1"/>
      </rPr>
      <t xml:space="preserve">Zénith</t>
    </r>
    <r>
      <rPr>
        <sz val="10"/>
        <rFont val="WenQuanYi Zen Hei"/>
        <family val="2"/>
      </rPr>
      <t xml:space="preserve">에 의뢰한다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킥오프 회의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</si>
  <si>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프로젝트 관리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목표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절감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버스 노선 경쟁 입찰</t>
    </r>
  </si>
  <si>
    <r>
      <rPr>
        <sz val="10"/>
        <rFont val="Arial"/>
        <family val="0"/>
        <charset val="1"/>
      </rPr>
      <t xml:space="preserve">Léa, </t>
    </r>
    <r>
      <rPr>
        <sz val="10"/>
        <rFont val="WenQuanYi Zen Hei"/>
        <family val="2"/>
      </rPr>
      <t xml:space="preserve">파트너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GM </t>
    </r>
    <r>
      <rPr>
        <sz val="10"/>
        <rFont val="WenQuanYi Zen Hei"/>
        <family val="2"/>
      </rPr>
      <t xml:space="preserve">임원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</si>
  <si>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Vendredi : un Excel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</si>
  <si>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엑셀 한 장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</si>
  <si>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Léa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«Je ne licenciais personne ; je déplaçais des cellules.»</t>
    </r>
    <r>
      <rPr>
        <sz val="10"/>
        <rFont val="WenQuanYi Zen Hei"/>
        <family val="2"/>
      </rPr>
      <t xml:space="preserve">라고 말한다</t>
    </r>
    <r>
      <rPr>
        <sz val="10"/>
        <rFont val="Arial"/>
        <family val="0"/>
        <charset val="1"/>
      </rPr>
      <t xml:space="preserve">. Manon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«Et combien de cellules ?»</t>
    </r>
  </si>
  <si>
    <r>
      <rPr>
        <sz val="10"/>
        <rFont val="WenQuanYi Zen Hei"/>
        <family val="2"/>
      </rPr>
      <t xml:space="preserve">질문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죄책 표현</t>
    </r>
  </si>
  <si>
    <t xml:space="preserve">Léa, Manon, Julien</t>
  </si>
  <si>
    <t xml:space="preserve">La cellule C47</t>
  </si>
  <si>
    <r>
      <rPr>
        <sz val="10"/>
        <rFont val="Arial"/>
        <family val="0"/>
        <charset val="1"/>
      </rPr>
      <t xml:space="preserve">C47 </t>
    </r>
    <r>
      <rPr>
        <sz val="10"/>
        <rFont val="WenQuanYi Zen Hei"/>
        <family val="2"/>
      </rPr>
      <t xml:space="preserve">셀</t>
    </r>
  </si>
  <si>
    <r>
      <rPr>
        <sz val="10"/>
        <rFont val="WenQuanYi Zen Hei"/>
        <family val="2"/>
      </rPr>
      <t xml:space="preserve">모델이 완성되고 승인이 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셀 하나가 </t>
    </r>
    <r>
      <rPr>
        <sz val="10"/>
        <rFont val="Noto Sans CJK SC"/>
        <family val="2"/>
        <charset val="1"/>
      </rPr>
      <t xml:space="preserve">412</t>
    </r>
    <r>
      <rPr>
        <sz val="10"/>
        <rFont val="WenQuanYi Zen Hei"/>
        <family val="2"/>
      </rPr>
      <t xml:space="preserve">개 일자리다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팀은 샴페인을 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</si>
  <si>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모델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시나리오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인원 감축</t>
    </r>
  </si>
  <si>
    <r>
      <rPr>
        <sz val="10"/>
        <rFont val="Arial"/>
        <family val="0"/>
        <charset val="1"/>
      </rPr>
      <t xml:space="preserve">Léa, </t>
    </r>
    <r>
      <rPr>
        <sz val="10"/>
        <rFont val="WenQuanYi Zen Hei"/>
        <family val="2"/>
      </rPr>
      <t xml:space="preserve">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</si>
  <si>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La table de négociation</t>
  </si>
  <si>
    <t xml:space="preserve">협상 테이블</t>
  </si>
  <si>
    <r>
      <rPr>
        <sz val="10"/>
        <rFont val="WenQuanYi Zen Hei"/>
        <family val="2"/>
      </rPr>
      <t xml:space="preserve">고용보호계획</t>
    </r>
    <r>
      <rPr>
        <sz val="10"/>
        <rFont val="Noto Sans CJK SC"/>
        <family val="2"/>
        <charset val="1"/>
      </rPr>
      <t xml:space="preserve">(PSE) </t>
    </r>
    <r>
      <rPr>
        <sz val="10"/>
        <rFont val="WenQuanYi Zen Hei"/>
        <family val="2"/>
      </rPr>
      <t xml:space="preserve">정보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협의 절차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노조 대표 </t>
    </r>
    <r>
      <rPr>
        <sz val="10"/>
        <rFont val="Noto Sans CJK SC"/>
        <family val="2"/>
        <charset val="1"/>
      </rPr>
      <t xml:space="preserve">Karim</t>
    </r>
    <r>
      <rPr>
        <sz val="10"/>
        <rFont val="WenQuanYi Zen Hei"/>
        <family val="2"/>
      </rPr>
      <t xml:space="preserve">이 </t>
    </r>
    <r>
      <rPr>
        <sz val="10"/>
        <rFont val="Noto Sans CJK SC"/>
        <family val="2"/>
        <charset val="1"/>
      </rPr>
      <t xml:space="preserve">«Derrière chaque cellule, il y a une personne.»</t>
    </r>
  </si>
  <si>
    <r>
      <rPr>
        <sz val="10"/>
        <rFont val="Arial"/>
        <family val="0"/>
        <charset val="1"/>
      </rPr>
      <t xml:space="preserve">PSE, </t>
    </r>
    <r>
      <rPr>
        <sz val="10"/>
        <rFont val="WenQuanYi Zen Hei"/>
        <family val="2"/>
      </rPr>
      <t xml:space="preserve">사회경제위원회</t>
    </r>
    <r>
      <rPr>
        <sz val="10"/>
        <rFont val="Arial"/>
        <family val="0"/>
        <charset val="1"/>
      </rPr>
      <t xml:space="preserve">(CSE) </t>
    </r>
    <r>
      <rPr>
        <sz val="10"/>
        <rFont val="WenQuanYi Zen Hei"/>
        <family val="2"/>
      </rPr>
      <t xml:space="preserve">협의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노조 대표</t>
    </r>
  </si>
  <si>
    <r>
      <rPr>
        <sz val="10"/>
        <rFont val="Arial"/>
        <family val="0"/>
        <charset val="1"/>
      </rPr>
      <t xml:space="preserve">Léa, Karim, </t>
    </r>
    <r>
      <rPr>
        <sz val="10"/>
        <rFont val="WenQuanYi Zen Hei"/>
        <family val="2"/>
      </rPr>
      <t xml:space="preserve">인사 담당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</si>
  <si>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Le mauvais mail</t>
  </si>
  <si>
    <t xml:space="preserve">잘못 보낸 메일</t>
  </si>
  <si>
    <r>
      <rPr>
        <sz val="10"/>
        <rFont val="Arial"/>
        <family val="0"/>
        <charset val="1"/>
      </rPr>
      <t xml:space="preserve">Léa</t>
    </r>
    <r>
      <rPr>
        <sz val="10"/>
        <rFont val="WenQuanYi Zen Hei"/>
        <family val="2"/>
      </rPr>
      <t xml:space="preserve">가 이름이 든 파일을 잘못 보낸다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기간제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파견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청년이 먼저 잘려 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번아웃으로 쉬던 날 </t>
    </r>
    <r>
      <rPr>
        <sz val="10"/>
        <rFont val="Arial"/>
        <family val="0"/>
        <charset val="1"/>
      </rPr>
      <t xml:space="preserve">Café de Flore</t>
    </r>
    <r>
      <rPr>
        <sz val="10"/>
        <rFont val="WenQuanYi Zen Hei"/>
        <family val="2"/>
      </rPr>
      <t xml:space="preserve">에서 </t>
    </r>
    <r>
      <rPr>
        <sz val="10"/>
        <rFont val="Arial"/>
        <family val="0"/>
        <charset val="1"/>
      </rPr>
      <t xml:space="preserve">Sartre</t>
    </r>
    <r>
      <rPr>
        <sz val="10"/>
        <rFont val="WenQuanYi Zen Hei"/>
        <family val="2"/>
      </rPr>
      <t xml:space="preserve">를 만난다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</si>
  <si>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기간제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파견 계약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청년 우선 감축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죄책감</t>
    </r>
  </si>
  <si>
    <t xml:space="preserve">Léa, Sartre</t>
  </si>
  <si>
    <t xml:space="preserve">Vendredi : quatre cent douze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</si>
  <si>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412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</si>
  <si>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«Quatre cent douze.» Manon</t>
    </r>
    <r>
      <rPr>
        <sz val="10"/>
        <rFont val="WenQuanYi Zen Hei"/>
        <family val="2"/>
      </rPr>
      <t xml:space="preserve">이 말을 잃고 </t>
    </r>
    <r>
      <rPr>
        <sz val="10"/>
        <rFont val="Arial"/>
        <family val="0"/>
        <charset val="1"/>
      </rPr>
      <t xml:space="preserve">Napoléon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«Au moins, elle le dit sans slides.»</t>
    </r>
  </si>
  <si>
    <t xml:space="preserve">숫자 낭독</t>
  </si>
  <si>
    <t xml:space="preserve">La Grève</t>
  </si>
  <si>
    <t xml:space="preserve">파업</t>
  </si>
  <si>
    <r>
      <rPr>
        <sz val="10"/>
        <rFont val="WenQuanYi Zen Hei"/>
        <family val="2"/>
      </rPr>
      <t xml:space="preserve">파업이 벌어지고 보호 근로자인 </t>
    </r>
    <r>
      <rPr>
        <sz val="10"/>
        <rFont val="Noto Sans CJK SC"/>
        <family val="2"/>
        <charset val="1"/>
      </rPr>
      <t xml:space="preserve">Karim</t>
    </r>
    <r>
      <rPr>
        <sz val="10"/>
        <rFont val="WenQuanYi Zen Hei"/>
        <family val="2"/>
      </rPr>
      <t xml:space="preserve">이 근로감독관의 해고 승인을 거쳐 해고되고 블랙리스트에 오른다</t>
    </r>
    <r>
      <rPr>
        <sz val="10"/>
        <rFont val="Noto Sans CJK SC"/>
        <family val="2"/>
        <charset val="1"/>
      </rPr>
      <t xml:space="preserve">. Léa</t>
    </r>
    <r>
      <rPr>
        <sz val="10"/>
        <rFont val="WenQuanYi Zen Hei"/>
        <family val="2"/>
      </rPr>
      <t xml:space="preserve">는 유리창 너머로 그것을 본다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</si>
  <si>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파업권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보호 근로자</t>
    </r>
    <r>
      <rPr>
        <sz val="10"/>
        <rFont val="Noto Sans CJK SC"/>
        <family val="2"/>
        <charset val="1"/>
      </rPr>
      <t xml:space="preserve">(salarié protégé) </t>
    </r>
    <r>
      <rPr>
        <sz val="10"/>
        <rFont val="WenQuanYi Zen Hei"/>
        <family val="2"/>
      </rPr>
      <t xml:space="preserve">해고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블랙리스트</t>
    </r>
  </si>
  <si>
    <t xml:space="preserve">Léa, Karim</t>
  </si>
  <si>
    <t xml:space="preserve">La dernière réunion</t>
  </si>
  <si>
    <t xml:space="preserve">마지막 회의</t>
  </si>
  <si>
    <r>
      <rPr>
        <sz val="10"/>
        <rFont val="WenQuanYi Zen Hei"/>
        <family val="2"/>
      </rPr>
      <t xml:space="preserve">보너스 지급 회의</t>
    </r>
    <r>
      <rPr>
        <sz val="10"/>
        <rFont val="Noto Sans CJK SC"/>
        <family val="2"/>
        <charset val="1"/>
      </rPr>
      <t xml:space="preserve">. Léa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이카로스 </t>
    </r>
    <r>
      <rPr>
        <sz val="10"/>
        <rFont val="Noto Sans CJK SC"/>
        <family val="2"/>
        <charset val="1"/>
      </rPr>
      <t xml:space="preserve">2'</t>
    </r>
    <r>
      <rPr>
        <sz val="10"/>
        <rFont val="WenQuanYi Zen Hei"/>
        <family val="2"/>
      </rPr>
      <t xml:space="preserve">를 거절하고 사직한다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</si>
  <si>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보너스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거절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사직</t>
    </r>
  </si>
  <si>
    <t xml:space="preserve">Vendredi : un mardi à Saint-Denis</t>
  </si>
  <si>
    <r>
      <rPr>
        <sz val="10"/>
        <rFont val="WenQuanYi Zen Hei"/>
        <family val="2"/>
      </rPr>
      <t xml:space="preserve">금요일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생드니의 화요일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</si>
  <si>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네 명이 같은 강당에 모이게 된 화요일을 </t>
    </r>
    <r>
      <rPr>
        <sz val="10"/>
        <rFont val="Arial"/>
        <family val="0"/>
        <charset val="1"/>
      </rPr>
      <t xml:space="preserve">Monique</t>
    </r>
    <r>
      <rPr>
        <sz val="10"/>
        <rFont val="WenQuanYi Zen Hei"/>
        <family val="2"/>
      </rPr>
      <t xml:space="preserve">가 설명하며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부를 예고한다</t>
    </r>
    <r>
      <rPr>
        <sz val="10"/>
        <rFont val="Arial"/>
        <family val="0"/>
        <charset val="1"/>
      </rPr>
      <t xml:space="preserve">.</t>
    </r>
  </si>
  <si>
    <t xml:space="preserve">다음 이야기 예고</t>
  </si>
  <si>
    <t xml:space="preserve">Léa, Monique, Nicolas, Camille, Julien</t>
  </si>
  <si>
    <t xml:space="preserve">Un mardi à Saint-Denis</t>
  </si>
  <si>
    <t xml:space="preserve">생드니의 화요일</t>
  </si>
  <si>
    <r>
      <rPr>
        <sz val="10"/>
        <rFont val="WenQuanYi Zen Hei"/>
        <family val="2"/>
      </rPr>
      <t xml:space="preserve">네 사람이 각자 다른 이유로 같은 세입자 총회에 도착한다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손녀 </t>
    </r>
    <r>
      <rPr>
        <sz val="10"/>
        <rFont val="Noto Sans CJK SC"/>
        <family val="2"/>
        <charset val="1"/>
      </rPr>
      <t xml:space="preserve">Chloé(</t>
    </r>
    <r>
      <rPr>
        <sz val="10"/>
        <rFont val="WenQuanYi Zen Hei"/>
        <family val="2"/>
      </rPr>
      <t xml:space="preserve">가상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와 </t>
    </r>
    <r>
      <rPr>
        <sz val="10"/>
        <rFont val="Noto Sans CJK SC"/>
        <family val="2"/>
        <charset val="1"/>
      </rPr>
      <t xml:space="preserve">23</t>
    </r>
    <r>
      <rPr>
        <sz val="10"/>
        <rFont val="WenQuanYi Zen Hei"/>
        <family val="2"/>
      </rPr>
      <t xml:space="preserve">세 세입자 </t>
    </r>
    <r>
      <rPr>
        <sz val="10"/>
        <rFont val="Noto Sans CJK SC"/>
        <family val="2"/>
        <charset val="1"/>
      </rPr>
      <t xml:space="preserve">Manon</t>
    </r>
    <r>
      <rPr>
        <sz val="10"/>
        <rFont val="WenQuanYi Zen Hei"/>
        <family val="2"/>
      </rPr>
      <t xml:space="preserve">이 맞이한다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</si>
  <si>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총회 공고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자기소개</t>
    </r>
  </si>
  <si>
    <r>
      <rPr>
        <sz val="10"/>
        <rFont val="Arial"/>
        <family val="0"/>
        <charset val="1"/>
      </rPr>
      <t xml:space="preserve">Nicolas, Camille, Julien, Léa, Chloé(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Manon</t>
    </r>
  </si>
  <si>
    <t xml:space="preserve">Quatre inconnus</t>
  </si>
  <si>
    <t xml:space="preserve">네 명의 낯선 사람</t>
  </si>
  <si>
    <r>
      <rPr>
        <sz val="10"/>
        <rFont val="WenQuanYi Zen Hei"/>
        <family val="2"/>
      </rPr>
      <t xml:space="preserve">서로 아는 척하지 않는다</t>
    </r>
    <r>
      <rPr>
        <sz val="10"/>
        <rFont val="Noto Sans CJK SC"/>
        <family val="2"/>
        <charset val="1"/>
      </rPr>
      <t xml:space="preserve">. Nicolas</t>
    </r>
    <r>
      <rPr>
        <sz val="10"/>
        <rFont val="WenQuanYi Zen Hei"/>
        <family val="2"/>
      </rPr>
      <t xml:space="preserve">와 </t>
    </r>
    <r>
      <rPr>
        <sz val="10"/>
        <rFont val="Noto Sans CJK SC"/>
        <family val="2"/>
        <charset val="1"/>
      </rPr>
      <t xml:space="preserve">Julien</t>
    </r>
    <r>
      <rPr>
        <sz val="10"/>
        <rFont val="WenQuanYi Zen Hei"/>
        <family val="2"/>
      </rPr>
      <t xml:space="preserve">은 서로의 이름 </t>
    </r>
    <r>
      <rPr>
        <sz val="10"/>
        <rFont val="Noto Sans CJK SC"/>
        <family val="2"/>
        <charset val="1"/>
      </rPr>
      <t xml:space="preserve">«Vasseur &amp; Delorme», «Bertin &amp; Roux»</t>
    </r>
    <r>
      <rPr>
        <sz val="10"/>
        <rFont val="WenQuanYi Zen Hei"/>
        <family val="2"/>
      </rPr>
      <t xml:space="preserve">에서 흠칫한다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</si>
  <si>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긴장 대화</t>
    </r>
    <r>
      <rPr>
        <sz val="10"/>
        <rFont val="Noto Sans CJK SC"/>
        <family val="2"/>
        <charset val="1"/>
      </rPr>
      <t xml:space="preserve">, vous</t>
    </r>
  </si>
  <si>
    <t xml:space="preserve">Nicolas, Camille, Julien, Léa, Manon</t>
  </si>
  <si>
    <t xml:space="preserve">Le bâtiment 14</t>
  </si>
  <si>
    <r>
      <rPr>
        <sz val="10"/>
        <rFont val="Arial"/>
        <family val="0"/>
        <charset val="1"/>
      </rPr>
      <t xml:space="preserve">14</t>
    </r>
    <r>
      <rPr>
        <sz val="10"/>
        <rFont val="WenQuanYi Zen Hei"/>
        <family val="2"/>
      </rPr>
      <t xml:space="preserve">동</t>
    </r>
  </si>
  <si>
    <r>
      <rPr>
        <sz val="10"/>
        <rFont val="WenQuanYi Zen Hei"/>
        <family val="2"/>
      </rPr>
      <t xml:space="preserve">건물을 돌아본다</t>
    </r>
    <r>
      <rPr>
        <sz val="10"/>
        <rFont val="Noto Sans CJK SC"/>
        <family val="2"/>
        <charset val="1"/>
      </rPr>
      <t xml:space="preserve">. 22</t>
    </r>
    <r>
      <rPr>
        <sz val="10"/>
        <rFont val="WenQuanYi Zen Hei"/>
        <family val="2"/>
      </rPr>
      <t xml:space="preserve">가구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물이 새는 벽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동네 보건센터 폐쇄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이웃 </t>
    </r>
    <r>
      <rPr>
        <sz val="10"/>
        <rFont val="Noto Sans CJK SC"/>
        <family val="2"/>
        <charset val="1"/>
      </rPr>
      <t xml:space="preserve">Karim</t>
    </r>
    <r>
      <rPr>
        <sz val="10"/>
        <rFont val="WenQuanYi Zen Hei"/>
        <family val="2"/>
      </rPr>
      <t xml:space="preserve">과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계단 반장</t>
    </r>
    <r>
      <rPr>
        <sz val="10"/>
        <rFont val="Noto Sans CJK SC"/>
        <family val="2"/>
        <charset val="1"/>
      </rPr>
      <t xml:space="preserve">' Jeanne</t>
    </r>
    <r>
      <rPr>
        <sz val="10"/>
        <rFont val="WenQuanYi Zen Hei"/>
        <family val="2"/>
      </rPr>
      <t xml:space="preserve">이 안내한다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</si>
  <si>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건물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거주 표현</t>
    </r>
  </si>
  <si>
    <t xml:space="preserve">Nicolas, Camille, Julien, Léa, Karim, Jeanne, Manon</t>
  </si>
  <si>
    <t xml:space="preserve">La nuit de l'escalier</t>
  </si>
  <si>
    <t xml:space="preserve">계단의 밤</t>
  </si>
  <si>
    <r>
      <rPr>
        <sz val="10"/>
        <rFont val="WenQuanYi Zen Hei"/>
        <family val="2"/>
      </rPr>
      <t xml:space="preserve">야간 퇴거 소문에 함께 밤샘한다</t>
    </r>
    <r>
      <rPr>
        <sz val="10"/>
        <rFont val="Noto Sans CJK SC"/>
        <family val="2"/>
        <charset val="1"/>
      </rPr>
      <t xml:space="preserve">. Monique</t>
    </r>
    <r>
      <rPr>
        <sz val="10"/>
        <rFont val="WenQuanYi Zen Hei"/>
        <family val="2"/>
      </rPr>
      <t xml:space="preserve">의 음식과 </t>
    </r>
    <r>
      <rPr>
        <sz val="10"/>
        <rFont val="Noto Sans CJK SC"/>
        <family val="2"/>
        <charset val="1"/>
      </rPr>
      <t xml:space="preserve">Napoléon</t>
    </r>
    <r>
      <rPr>
        <sz val="10"/>
        <rFont val="WenQuanYi Zen Hei"/>
        <family val="2"/>
      </rPr>
      <t xml:space="preserve">의 커피 불평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처음으로 조금씩 속내를 꺼낸다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</si>
  <si>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밤샘 대화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위로</t>
    </r>
  </si>
  <si>
    <t xml:space="preserve">Nicolas, Camille, Julien, Léa, Monique, Napoléon, Jeanne</t>
  </si>
  <si>
    <t xml:space="preserve">Les papiers de Julien</t>
  </si>
  <si>
    <r>
      <rPr>
        <sz val="10"/>
        <rFont val="Arial"/>
        <family val="0"/>
        <charset val="1"/>
      </rPr>
      <t xml:space="preserve">Julien</t>
    </r>
    <r>
      <rPr>
        <sz val="10"/>
        <rFont val="WenQuanYi Zen Hei"/>
        <family val="2"/>
      </rPr>
      <t xml:space="preserve">의 서류</t>
    </r>
  </si>
  <si>
    <r>
      <rPr>
        <sz val="10"/>
        <rFont val="Arial"/>
        <family val="0"/>
        <charset val="1"/>
      </rPr>
      <t xml:space="preserve">Julien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USB</t>
    </r>
    <r>
      <rPr>
        <sz val="10"/>
        <rFont val="WenQuanYi Zen Hei"/>
        <family val="2"/>
      </rPr>
      <t xml:space="preserve">를 꺼내 </t>
    </r>
    <r>
      <rPr>
        <sz val="10"/>
        <rFont val="Arial"/>
        <family val="0"/>
        <charset val="1"/>
      </rPr>
      <t xml:space="preserve">Fonds Cardinal – Groupe Méridien – Méridien Santé</t>
    </r>
    <r>
      <rPr>
        <sz val="10"/>
        <rFont val="WenQuanYi Zen Hei"/>
        <family val="2"/>
      </rPr>
      <t xml:space="preserve">의 연결을 보여 준다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변호사가 필요하다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</si>
  <si>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서류 브리핑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지분 구조</t>
    </r>
  </si>
  <si>
    <t xml:space="preserve">Julien, Nicolas, Manon</t>
  </si>
  <si>
    <t xml:space="preserve">Un même nom</t>
  </si>
  <si>
    <t xml:space="preserve">같은 이름</t>
  </si>
  <si>
    <r>
      <rPr>
        <sz val="10"/>
        <rFont val="Arial"/>
        <family val="0"/>
        <charset val="1"/>
      </rPr>
      <t xml:space="preserve">Nicolas</t>
    </r>
    <r>
      <rPr>
        <sz val="10"/>
        <rFont val="WenQuanYi Zen Hei"/>
        <family val="2"/>
      </rPr>
      <t xml:space="preserve">의 퇴거</t>
    </r>
    <r>
      <rPr>
        <sz val="10"/>
        <rFont val="Arial"/>
        <family val="0"/>
        <charset val="1"/>
      </rPr>
      <t xml:space="preserve">, Camille</t>
    </r>
    <r>
      <rPr>
        <sz val="10"/>
        <rFont val="WenQuanYi Zen Hei"/>
        <family val="2"/>
      </rPr>
      <t xml:space="preserve">의 외주</t>
    </r>
    <r>
      <rPr>
        <sz val="10"/>
        <rFont val="Arial"/>
        <family val="0"/>
        <charset val="1"/>
      </rPr>
      <t xml:space="preserve">, Julien</t>
    </r>
    <r>
      <rPr>
        <sz val="10"/>
        <rFont val="WenQuanYi Zen Hei"/>
        <family val="2"/>
      </rPr>
      <t xml:space="preserve">의 감사</t>
    </r>
    <r>
      <rPr>
        <sz val="10"/>
        <rFont val="Arial"/>
        <family val="0"/>
        <charset val="1"/>
      </rPr>
      <t xml:space="preserve">, Léa</t>
    </r>
    <r>
      <rPr>
        <sz val="10"/>
        <rFont val="WenQuanYi Zen Hei"/>
        <family val="2"/>
      </rPr>
      <t xml:space="preserve">의 구조조정이 모두 </t>
    </r>
    <r>
      <rPr>
        <sz val="10"/>
        <rFont val="Arial"/>
        <family val="0"/>
        <charset val="1"/>
      </rPr>
      <t xml:space="preserve">Groupe Méridien</t>
    </r>
    <r>
      <rPr>
        <sz val="10"/>
        <rFont val="WenQuanYi Zen Hei"/>
        <family val="2"/>
      </rPr>
      <t xml:space="preserve">이었다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각자 </t>
    </r>
    <r>
      <rPr>
        <sz val="10"/>
        <rFont val="Arial"/>
        <family val="0"/>
        <charset val="1"/>
      </rPr>
      <t xml:space="preserve">«mon client / mon contrat / mon rapport / mon plan.»</t>
    </r>
  </si>
  <si>
    <r>
      <rPr>
        <sz val="10"/>
        <rFont val="WenQuanYi Zen Hei"/>
        <family val="2"/>
      </rPr>
      <t xml:space="preserve">책임 표현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접속법</t>
    </r>
  </si>
  <si>
    <t xml:space="preserve">Nicolas, Camille, Julien, Léa</t>
  </si>
  <si>
    <t xml:space="preserve">Reproches</t>
  </si>
  <si>
    <t xml:space="preserve">서로에 대한 비난</t>
  </si>
  <si>
    <r>
      <rPr>
        <sz val="10"/>
        <rFont val="WenQuanYi Zen Hei"/>
        <family val="2"/>
      </rPr>
      <t xml:space="preserve">공모라고 서로를 몰아세운다</t>
    </r>
    <r>
      <rPr>
        <sz val="10"/>
        <rFont val="Noto Sans CJK SC"/>
        <family val="2"/>
        <charset val="1"/>
      </rPr>
      <t xml:space="preserve">. Nicolas</t>
    </r>
    <r>
      <rPr>
        <sz val="10"/>
        <rFont val="WenQuanYi Zen Hei"/>
        <family val="2"/>
      </rPr>
      <t xml:space="preserve">가 나가 버리고 </t>
    </r>
    <r>
      <rPr>
        <sz val="10"/>
        <rFont val="Noto Sans CJK SC"/>
        <family val="2"/>
        <charset val="1"/>
      </rPr>
      <t xml:space="preserve">Camille</t>
    </r>
    <r>
      <rPr>
        <sz val="10"/>
        <rFont val="WenQuanYi Zen Hei"/>
        <family val="2"/>
      </rPr>
      <t xml:space="preserve">가 막아선다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</si>
  <si>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다툼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비난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사과</t>
    </r>
  </si>
  <si>
    <t xml:space="preserve">Heure zéro</t>
  </si>
  <si>
    <t xml:space="preserve">영시</t>
  </si>
  <si>
    <r>
      <rPr>
        <sz val="10"/>
        <rFont val="WenQuanYi Zen Hei"/>
        <family val="2"/>
      </rPr>
      <t xml:space="preserve">퇴거 집행 날 새벽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서로의 전문성을 처음 합친다</t>
    </r>
    <r>
      <rPr>
        <sz val="10"/>
        <rFont val="Noto Sans CJK SC"/>
        <family val="2"/>
        <charset val="1"/>
      </rPr>
      <t xml:space="preserve">: Nicolas</t>
    </r>
    <r>
      <rPr>
        <sz val="10"/>
        <rFont val="WenQuanYi Zen Hei"/>
        <family val="2"/>
      </rPr>
      <t xml:space="preserve">는 긴급 가처분</t>
    </r>
    <r>
      <rPr>
        <sz val="10"/>
        <rFont val="Noto Sans CJK SC"/>
        <family val="2"/>
        <charset val="1"/>
      </rPr>
      <t xml:space="preserve">(référé), Julien</t>
    </r>
    <r>
      <rPr>
        <sz val="10"/>
        <rFont val="WenQuanYi Zen Hei"/>
        <family val="2"/>
      </rPr>
      <t xml:space="preserve">은 서류</t>
    </r>
    <r>
      <rPr>
        <sz val="10"/>
        <rFont val="Noto Sans CJK SC"/>
        <family val="2"/>
        <charset val="1"/>
      </rPr>
      <t xml:space="preserve">, Léa</t>
    </r>
    <r>
      <rPr>
        <sz val="10"/>
        <rFont val="WenQuanYi Zen Hei"/>
        <family val="2"/>
      </rPr>
      <t xml:space="preserve">는 동선</t>
    </r>
    <r>
      <rPr>
        <sz val="10"/>
        <rFont val="Noto Sans CJK SC"/>
        <family val="2"/>
        <charset val="1"/>
      </rPr>
      <t xml:space="preserve">, Camille</t>
    </r>
    <r>
      <rPr>
        <sz val="10"/>
        <rFont val="WenQuanYi Zen Hei"/>
        <family val="2"/>
      </rPr>
      <t xml:space="preserve">는 취약성 진단서</t>
    </r>
    <r>
      <rPr>
        <sz val="10"/>
        <rFont val="Noto Sans CJK SC"/>
        <family val="2"/>
        <charset val="1"/>
      </rPr>
      <t xml:space="preserve">. Voltaire</t>
    </r>
    <r>
      <rPr>
        <sz val="10"/>
        <rFont val="WenQuanYi Zen Hei"/>
        <family val="2"/>
      </rPr>
      <t xml:space="preserve">가 기사를 쓰고 </t>
    </r>
    <r>
      <rPr>
        <sz val="10"/>
        <rFont val="Noto Sans CJK SC"/>
        <family val="2"/>
        <charset val="1"/>
      </rPr>
      <t xml:space="preserve">Curie</t>
    </r>
    <r>
      <rPr>
        <sz val="10"/>
        <rFont val="WenQuanYi Zen Hei"/>
        <family val="2"/>
      </rPr>
      <t xml:space="preserve">가 서류가 있는 곳을 알려 준다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</si>
  <si>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긴급 가처분</t>
    </r>
    <r>
      <rPr>
        <sz val="10"/>
        <rFont val="Noto Sans CJK SC"/>
        <family val="2"/>
        <charset val="1"/>
      </rPr>
      <t xml:space="preserve">(référé), </t>
    </r>
    <r>
      <rPr>
        <sz val="10"/>
        <rFont val="WenQuanYi Zen Hei"/>
        <family val="2"/>
      </rPr>
      <t xml:space="preserve">유예 기간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진단서</t>
    </r>
  </si>
  <si>
    <t xml:space="preserve">Nicolas, Camille, Julien, Léa, Voltaire, Curie, Jeanne</t>
  </si>
  <si>
    <t xml:space="preserve">La première suspension</t>
  </si>
  <si>
    <t xml:space="preserve">첫 정지</t>
  </si>
  <si>
    <r>
      <rPr>
        <sz val="10"/>
        <rFont val="WenQuanYi Zen Hei"/>
        <family val="2"/>
      </rPr>
      <t xml:space="preserve">판사가 집행을 정지한다</t>
    </r>
    <r>
      <rPr>
        <sz val="10"/>
        <rFont val="Noto Sans CJK SC"/>
        <family val="2"/>
        <charset val="1"/>
      </rPr>
      <t xml:space="preserve">. Hugo</t>
    </r>
    <r>
      <rPr>
        <sz val="10"/>
        <rFont val="WenQuanYi Zen Hei"/>
        <family val="2"/>
      </rPr>
      <t xml:space="preserve">의 서툰 첫 연설이 군중을 울리고 </t>
    </r>
    <r>
      <rPr>
        <sz val="10"/>
        <rFont val="Noto Sans CJK SC"/>
        <family val="2"/>
        <charset val="1"/>
      </rPr>
      <t xml:space="preserve">Sartre</t>
    </r>
    <r>
      <rPr>
        <sz val="10"/>
        <rFont val="WenQuanYi Zen Hei"/>
        <family val="2"/>
      </rPr>
      <t xml:space="preserve">가 아이들에게 말을 건다</t>
    </r>
    <r>
      <rPr>
        <sz val="10"/>
        <rFont val="Noto Sans CJK SC"/>
        <family val="2"/>
        <charset val="1"/>
      </rPr>
      <t xml:space="preserve">. Fatima </t>
    </r>
    <r>
      <rPr>
        <sz val="10"/>
        <rFont val="WenQuanYi Zen Hei"/>
        <family val="2"/>
      </rPr>
      <t xml:space="preserve">가족이 인사한다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</si>
  <si>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안도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감사 표현</t>
    </r>
  </si>
  <si>
    <r>
      <rPr>
        <sz val="10"/>
        <rFont val="Arial"/>
        <family val="0"/>
        <charset val="1"/>
      </rPr>
      <t xml:space="preserve">Nicolas, Camille, Julien, Léa, Hugo, Sartre, Manon, Fatima(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</si>
  <si>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S2·E1</t>
  </si>
  <si>
    <t xml:space="preserve">Un local à Belleville</t>
  </si>
  <si>
    <t xml:space="preserve">벨빌의 가게</t>
  </si>
  <si>
    <r>
      <rPr>
        <sz val="10"/>
        <rFont val="WenQuanYi Zen Hei"/>
        <family val="2"/>
      </rPr>
      <t xml:space="preserve">사무실 자리를 찾는다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소규모 집주인이 월세를 낮춰 주고 </t>
    </r>
    <r>
      <rPr>
        <sz val="10"/>
        <rFont val="Noto Sans CJK SC"/>
        <family val="2"/>
        <charset val="1"/>
      </rPr>
      <t xml:space="preserve">Monique</t>
    </r>
    <r>
      <rPr>
        <sz val="10"/>
        <rFont val="WenQuanYi Zen Hei"/>
        <family val="2"/>
      </rPr>
      <t xml:space="preserve">의 새 비스트로가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층에 들어선다</t>
    </r>
    <r>
      <rPr>
        <sz val="10"/>
        <rFont val="Noto Sans CJK SC"/>
        <family val="2"/>
        <charset val="1"/>
      </rPr>
      <t xml:space="preserve">. Philippe</t>
    </r>
    <r>
      <rPr>
        <sz val="10"/>
        <rFont val="WenQuanYi Zen Hei"/>
        <family val="2"/>
      </rPr>
      <t xml:space="preserve">가 계좌 도움을 자청한다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</si>
  <si>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상가 임대 협상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소규모 임대인</t>
    </r>
  </si>
  <si>
    <t xml:space="preserve">Nicolas, Camille, Julien, Léa, Monique, Philippe</t>
  </si>
  <si>
    <t xml:space="preserve">Les règles de la table</t>
  </si>
  <si>
    <t xml:space="preserve">식탁의 규칙</t>
  </si>
  <si>
    <r>
      <rPr>
        <sz val="10"/>
        <rFont val="WenQuanYi Zen Hei"/>
        <family val="2"/>
      </rPr>
      <t xml:space="preserve">규칙을 정한다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가난한 사람에게는 수임료 없음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금요일마다 한 명씩 과거를 이야기함</t>
    </r>
    <r>
      <rPr>
        <sz val="10"/>
        <rFont val="Noto Sans CJK SC"/>
        <family val="2"/>
        <charset val="1"/>
      </rPr>
      <t xml:space="preserve">. Manon</t>
    </r>
    <r>
      <rPr>
        <sz val="10"/>
        <rFont val="WenQuanYi Zen Hei"/>
        <family val="2"/>
      </rPr>
      <t xml:space="preserve">이 </t>
    </r>
    <r>
      <rPr>
        <sz val="10"/>
        <rFont val="Noto Sans CJK SC"/>
        <family val="2"/>
        <charset val="1"/>
      </rPr>
      <t xml:space="preserve">«Je peux rester ?» Napoléon</t>
    </r>
    <r>
      <rPr>
        <sz val="10"/>
        <rFont val="WenQuanYi Zen Hei"/>
        <family val="2"/>
      </rPr>
      <t xml:space="preserve">은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아무도 청하지 않은 참모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를 자처한다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</si>
  <si>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규칙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약속 표현</t>
    </r>
  </si>
  <si>
    <t xml:space="preserve">전원</t>
  </si>
  <si>
    <t xml:space="preserve">L'Enseigne</t>
  </si>
  <si>
    <t xml:space="preserve">간판</t>
  </si>
  <si>
    <r>
      <rPr>
        <sz val="10"/>
        <rFont val="WenQuanYi Zen Hei"/>
        <family val="2"/>
      </rPr>
      <t xml:space="preserve">간판이 걸린다</t>
    </r>
    <r>
      <rPr>
        <sz val="10"/>
        <rFont val="Noto Sans CJK SC"/>
        <family val="2"/>
        <charset val="1"/>
      </rPr>
      <t xml:space="preserve">. Monique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«Demain, à cinq heures.» </t>
    </r>
    <r>
      <rPr>
        <sz val="10"/>
        <rFont val="WenQuanYi Zen Hei"/>
        <family val="2"/>
      </rPr>
      <t xml:space="preserve">원이 닫히며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화로 이어진다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</si>
  <si>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시간 표현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마무리</t>
    </r>
  </si>
  <si>
    <t xml:space="preserve">Un an après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</si>
  <si>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년 후</t>
    </r>
  </si>
  <si>
    <r>
      <rPr>
        <sz val="10"/>
        <rFont val="WenQuanYi Zen Hei"/>
        <family val="2"/>
      </rPr>
      <t xml:space="preserve">사무소가 커졌다</t>
    </r>
    <r>
      <rPr>
        <sz val="10"/>
        <rFont val="Noto Sans CJK SC"/>
        <family val="2"/>
        <charset val="1"/>
      </rPr>
      <t xml:space="preserve">. Monique</t>
    </r>
    <r>
      <rPr>
        <sz val="10"/>
        <rFont val="WenQuanYi Zen Hei"/>
        <family val="2"/>
      </rPr>
      <t xml:space="preserve">가 팀 이름을 호명하며 역할을 소개한다</t>
    </r>
    <r>
      <rPr>
        <sz val="10"/>
        <rFont val="Noto Sans CJK SC"/>
        <family val="2"/>
        <charset val="1"/>
      </rPr>
      <t xml:space="preserve">: Jeanne </t>
    </r>
    <r>
      <rPr>
        <sz val="10"/>
        <rFont val="WenQuanYi Zen Hei"/>
        <family val="2"/>
      </rPr>
      <t xml:space="preserve">로지스틱스</t>
    </r>
    <r>
      <rPr>
        <sz val="10"/>
        <rFont val="Noto Sans CJK SC"/>
        <family val="2"/>
        <charset val="1"/>
      </rPr>
      <t xml:space="preserve">, Curie </t>
    </r>
    <r>
      <rPr>
        <sz val="10"/>
        <rFont val="WenQuanYi Zen Hei"/>
        <family val="2"/>
      </rPr>
      <t xml:space="preserve">출처</t>
    </r>
    <r>
      <rPr>
        <sz val="10"/>
        <rFont val="Noto Sans CJK SC"/>
        <family val="2"/>
        <charset val="1"/>
      </rPr>
      <t xml:space="preserve">, Voltaire </t>
    </r>
    <r>
      <rPr>
        <sz val="10"/>
        <rFont val="WenQuanYi Zen Hei"/>
        <family val="2"/>
      </rPr>
      <t xml:space="preserve">공론화</t>
    </r>
    <r>
      <rPr>
        <sz val="10"/>
        <rFont val="Noto Sans CJK SC"/>
        <family val="2"/>
        <charset val="1"/>
      </rPr>
      <t xml:space="preserve">, Sartre </t>
    </r>
    <r>
      <rPr>
        <sz val="10"/>
        <rFont val="WenQuanYi Zen Hei"/>
        <family val="2"/>
      </rPr>
      <t xml:space="preserve">되묻기</t>
    </r>
    <r>
      <rPr>
        <sz val="10"/>
        <rFont val="Noto Sans CJK SC"/>
        <family val="2"/>
        <charset val="1"/>
      </rPr>
      <t xml:space="preserve">, Karim </t>
    </r>
    <r>
      <rPr>
        <sz val="10"/>
        <rFont val="WenQuanYi Zen Hei"/>
        <family val="2"/>
      </rPr>
      <t xml:space="preserve">현장</t>
    </r>
    <r>
      <rPr>
        <sz val="10"/>
        <rFont val="Noto Sans CJK SC"/>
        <family val="2"/>
        <charset val="1"/>
      </rPr>
      <t xml:space="preserve">, Hugo </t>
    </r>
    <r>
      <rPr>
        <sz val="10"/>
        <rFont val="WenQuanYi Zen Hei"/>
        <family val="2"/>
      </rPr>
      <t xml:space="preserve">글</t>
    </r>
    <r>
      <rPr>
        <sz val="10"/>
        <rFont val="Noto Sans CJK SC"/>
        <family val="2"/>
        <charset val="1"/>
      </rPr>
      <t xml:space="preserve">, Philippe </t>
    </r>
    <r>
      <rPr>
        <sz val="10"/>
        <rFont val="WenQuanYi Zen Hei"/>
        <family val="2"/>
      </rPr>
      <t xml:space="preserve">자금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그리고 새로 합류한 </t>
    </r>
    <r>
      <rPr>
        <sz val="10"/>
        <rFont val="Noto Sans CJK SC"/>
        <family val="2"/>
        <charset val="1"/>
      </rPr>
      <t xml:space="preserve">Olympe </t>
    </r>
    <r>
      <rPr>
        <sz val="10"/>
        <rFont val="WenQuanYi Zen Hei"/>
        <family val="2"/>
      </rPr>
      <t xml:space="preserve">권리 전략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</si>
  <si>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역할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업무 분담</t>
    </r>
  </si>
  <si>
    <t xml:space="preserve">La queue dans l'escalier</t>
  </si>
  <si>
    <t xml:space="preserve">계단 위의 줄</t>
  </si>
  <si>
    <r>
      <rPr>
        <sz val="10"/>
        <rFont val="WenQuanYi Zen Hei"/>
        <family val="2"/>
      </rPr>
      <t xml:space="preserve">의뢰인 줄이 계단까지 이어진다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접수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분류 체계를 세우고 </t>
    </r>
    <r>
      <rPr>
        <sz val="10"/>
        <rFont val="Noto Sans CJK SC"/>
        <family val="2"/>
        <charset val="1"/>
      </rPr>
      <t xml:space="preserve">Léa</t>
    </r>
    <r>
      <rPr>
        <sz val="10"/>
        <rFont val="WenQuanYi Zen Hei"/>
        <family val="2"/>
      </rPr>
      <t xml:space="preserve">의 매트릭스가 처음으로 쓸모 있어진다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</si>
  <si>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접수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분류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순서</t>
    </r>
  </si>
  <si>
    <t xml:space="preserve">Léa, Manon, Jeanne, Monique</t>
  </si>
  <si>
    <t xml:space="preserve">S1·E1</t>
  </si>
  <si>
    <t xml:space="preserve">Classée sans suite</t>
  </si>
  <si>
    <t xml:space="preserve">불기소 처분</t>
  </si>
  <si>
    <r>
      <rPr>
        <sz val="10"/>
        <rFont val="WenQuanYi Zen Hei"/>
        <family val="2"/>
      </rPr>
      <t xml:space="preserve">성폭력 피해자 사건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고소가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증거 불충분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으로 불기소</t>
    </r>
    <r>
      <rPr>
        <sz val="10"/>
        <rFont val="Noto Sans CJK SC"/>
        <family val="2"/>
        <charset val="1"/>
      </rPr>
      <t xml:space="preserve">(classement sans suite)</t>
    </r>
    <r>
      <rPr>
        <sz val="10"/>
        <rFont val="WenQuanYi Zen Hei"/>
        <family val="2"/>
      </rPr>
      <t xml:space="preserve">되자 </t>
    </r>
    <r>
      <rPr>
        <sz val="10"/>
        <rFont val="Noto Sans CJK SC"/>
        <family val="2"/>
        <charset val="1"/>
      </rPr>
      <t xml:space="preserve">Olympe</t>
    </r>
    <r>
      <rPr>
        <sz val="10"/>
        <rFont val="WenQuanYi Zen Hei"/>
        <family val="2"/>
      </rPr>
      <t xml:space="preserve">와 </t>
    </r>
    <r>
      <rPr>
        <sz val="10"/>
        <rFont val="Noto Sans CJK SC"/>
        <family val="2"/>
        <charset val="1"/>
      </rPr>
      <t xml:space="preserve">Nicolas</t>
    </r>
    <r>
      <rPr>
        <sz val="10"/>
        <rFont val="WenQuanYi Zen Hei"/>
        <family val="2"/>
      </rPr>
      <t xml:space="preserve">가 검찰총장 이의와 사소 고소</t>
    </r>
    <r>
      <rPr>
        <sz val="10"/>
        <rFont val="Noto Sans CJK SC"/>
        <family val="2"/>
        <charset val="1"/>
      </rPr>
      <t xml:space="preserve">(plainte avec constitution de partie civile)</t>
    </r>
    <r>
      <rPr>
        <sz val="10"/>
        <rFont val="WenQuanYi Zen Hei"/>
        <family val="2"/>
      </rPr>
      <t xml:space="preserve">로 피해자를 돕는다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형법상 강간 정의에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비동의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를 넣은 개정의 적용을 두고 사무실 안에서도 의견이 갈린다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</si>
  <si>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불기소와 이의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형사소송법 제</t>
    </r>
    <r>
      <rPr>
        <sz val="10"/>
        <rFont val="Noto Sans CJK SC"/>
        <family val="2"/>
        <charset val="1"/>
      </rPr>
      <t xml:space="preserve">40-1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사소 고소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동의</t>
    </r>
    <r>
      <rPr>
        <sz val="10"/>
        <rFont val="Noto Sans CJK SC"/>
        <family val="2"/>
        <charset val="1"/>
      </rPr>
      <t xml:space="preserve">(consentement) </t>
    </r>
    <r>
      <rPr>
        <sz val="10"/>
        <rFont val="WenQuanYi Zen Hei"/>
        <family val="2"/>
      </rPr>
      <t xml:space="preserve">개념</t>
    </r>
  </si>
  <si>
    <t xml:space="preserve">Olympe, Nicolas, Sartre, Julien, Voltaire</t>
  </si>
  <si>
    <t xml:space="preserve">N4</t>
  </si>
  <si>
    <t xml:space="preserve">Sans papiers</t>
  </si>
  <si>
    <t xml:space="preserve">서류 없는 사람들</t>
  </si>
  <si>
    <r>
      <rPr>
        <sz val="10"/>
        <rFont val="Arial"/>
        <family val="0"/>
        <charset val="1"/>
      </rPr>
      <t xml:space="preserve">Rachid</t>
    </r>
    <r>
      <rPr>
        <sz val="10"/>
        <rFont val="WenQuanYi Zen Hei"/>
        <family val="2"/>
      </rPr>
      <t xml:space="preserve">가 예외적 체류 허가</t>
    </r>
    <r>
      <rPr>
        <sz val="10"/>
        <rFont val="Arial"/>
        <family val="0"/>
        <charset val="1"/>
      </rPr>
      <t xml:space="preserve">(admission exceptionnelle au séjour)</t>
    </r>
    <r>
      <rPr>
        <sz val="10"/>
        <rFont val="WenQuanYi Zen Hei"/>
        <family val="2"/>
      </rPr>
      <t xml:space="preserve">와 노동 서류 문제를 들고 온다</t>
    </r>
    <r>
      <rPr>
        <sz val="10"/>
        <rFont val="Arial"/>
        <family val="0"/>
        <charset val="1"/>
      </rPr>
      <t xml:space="preserve">. Karim</t>
    </r>
    <r>
      <rPr>
        <sz val="10"/>
        <rFont val="WenQuanYi Zen Hei"/>
        <family val="2"/>
      </rPr>
      <t xml:space="preserve">은 노동</t>
    </r>
    <r>
      <rPr>
        <sz val="10"/>
        <rFont val="Arial"/>
        <family val="0"/>
        <charset val="1"/>
      </rPr>
      <t xml:space="preserve">, Camille</t>
    </r>
    <r>
      <rPr>
        <sz val="10"/>
        <rFont val="WenQuanYi Zen Hei"/>
        <family val="2"/>
      </rPr>
      <t xml:space="preserve">는 의료 접근을 이야기하고 수용의 한계를 두고 의견이 갈린다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</si>
  <si>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체류증</t>
    </r>
    <r>
      <rPr>
        <sz val="10"/>
        <rFont val="Arial"/>
        <family val="0"/>
        <charset val="1"/>
      </rPr>
      <t xml:space="preserve">(titre de séjour), </t>
    </r>
    <r>
      <rPr>
        <sz val="10"/>
        <rFont val="WenQuanYi Zen Hei"/>
        <family val="2"/>
      </rPr>
      <t xml:space="preserve">인력난 직종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예외적 체류 허가</t>
    </r>
  </si>
  <si>
    <r>
      <rPr>
        <sz val="10"/>
        <rFont val="Arial"/>
        <family val="0"/>
        <charset val="1"/>
      </rPr>
      <t xml:space="preserve">Nicolas, Karim, Camille, Rachid(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</si>
  <si>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Le signalement de Philippe</t>
  </si>
  <si>
    <r>
      <rPr>
        <sz val="10"/>
        <rFont val="Arial"/>
        <family val="0"/>
        <charset val="1"/>
      </rPr>
      <t xml:space="preserve">Philippe</t>
    </r>
    <r>
      <rPr>
        <sz val="10"/>
        <rFont val="WenQuanYi Zen Hei"/>
        <family val="2"/>
      </rPr>
      <t xml:space="preserve">의 제보</t>
    </r>
  </si>
  <si>
    <r>
      <rPr>
        <sz val="10"/>
        <rFont val="WenQuanYi Zen Hei"/>
        <family val="2"/>
      </rPr>
      <t xml:space="preserve">전 은행 지점장이 내부 자료를 들고 나온다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내부고발자 보호법과 신고 채널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권리보호관</t>
    </r>
    <r>
      <rPr>
        <sz val="10"/>
        <rFont val="Noto Sans CJK SC"/>
        <family val="2"/>
        <charset val="1"/>
      </rPr>
      <t xml:space="preserve">(Défenseur des droits)</t>
    </r>
    <r>
      <rPr>
        <sz val="10"/>
        <rFont val="WenQuanYi Zen Hei"/>
        <family val="2"/>
      </rPr>
      <t xml:space="preserve">의 역할을 검토한다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</si>
  <si>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내부고발자 보호</t>
    </r>
    <r>
      <rPr>
        <sz val="10"/>
        <rFont val="Noto Sans CJK SC"/>
        <family val="2"/>
        <charset val="1"/>
      </rPr>
      <t xml:space="preserve">(Sapin II</t>
    </r>
    <r>
      <rPr>
        <sz val="10"/>
        <rFont val="WenQuanYi Zen Hei"/>
        <family val="2"/>
      </rPr>
      <t xml:space="preserve">법</t>
    </r>
    <r>
      <rPr>
        <sz val="10"/>
        <rFont val="Noto Sans CJK SC"/>
        <family val="2"/>
        <charset val="1"/>
      </rPr>
      <t xml:space="preserve">·2022</t>
    </r>
    <r>
      <rPr>
        <sz val="10"/>
        <rFont val="WenQuanYi Zen Hei"/>
        <family val="2"/>
      </rPr>
      <t xml:space="preserve">년 개정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신고 채널</t>
    </r>
  </si>
  <si>
    <t xml:space="preserve">Philippe, Nicolas, Julien, Voltaire</t>
  </si>
  <si>
    <t xml:space="preserve">Le Dossier</t>
  </si>
  <si>
    <t xml:space="preserve">사건 파일</t>
  </si>
  <si>
    <r>
      <rPr>
        <sz val="10"/>
        <rFont val="Arial"/>
        <family val="0"/>
        <charset val="1"/>
      </rPr>
      <t xml:space="preserve">Julien·Philippe</t>
    </r>
    <r>
      <rPr>
        <sz val="10"/>
        <rFont val="WenQuanYi Zen Hei"/>
        <family val="2"/>
      </rPr>
      <t xml:space="preserve">의 자금 경로 </t>
    </r>
    <r>
      <rPr>
        <sz val="10"/>
        <rFont val="Arial"/>
        <family val="0"/>
        <charset val="1"/>
      </rPr>
      <t xml:space="preserve">+ Curie</t>
    </r>
    <r>
      <rPr>
        <sz val="10"/>
        <rFont val="WenQuanYi Zen Hei"/>
        <family val="2"/>
      </rPr>
      <t xml:space="preserve">의 공개 출처 </t>
    </r>
    <r>
      <rPr>
        <sz val="10"/>
        <rFont val="Arial"/>
        <family val="0"/>
        <charset val="1"/>
      </rPr>
      <t xml:space="preserve">+ Camille</t>
    </r>
    <r>
      <rPr>
        <sz val="10"/>
        <rFont val="WenQuanYi Zen Hei"/>
        <family val="2"/>
      </rPr>
      <t xml:space="preserve">의 사망 사례</t>
    </r>
    <r>
      <rPr>
        <sz val="10"/>
        <rFont val="Arial"/>
        <family val="0"/>
        <charset val="1"/>
      </rPr>
      <t xml:space="preserve">. Nicolas</t>
    </r>
    <r>
      <rPr>
        <sz val="10"/>
        <rFont val="WenQuanYi Zen Hei"/>
        <family val="2"/>
      </rPr>
      <t xml:space="preserve">가 인가받은 반부패 단체를 통해 사소 고소장을 쓴다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</si>
  <si>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사소 고소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인가 반부패 단체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형사소송법 제</t>
    </r>
    <r>
      <rPr>
        <sz val="10"/>
        <rFont val="Arial"/>
        <family val="0"/>
        <charset val="1"/>
      </rPr>
      <t xml:space="preserve">2-23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국가금융검찰</t>
    </r>
    <r>
      <rPr>
        <sz val="10"/>
        <rFont val="Arial"/>
        <family val="0"/>
        <charset val="1"/>
      </rPr>
      <t xml:space="preserve">(PNF)</t>
    </r>
  </si>
  <si>
    <t xml:space="preserve">Nicolas, Julien, Philippe, Curie, Camille</t>
  </si>
  <si>
    <t xml:space="preserve">Représailles</t>
  </si>
  <si>
    <t xml:space="preserve">보복</t>
  </si>
  <si>
    <r>
      <rPr>
        <sz val="10"/>
        <rFont val="WenQuanYi Zen Hei"/>
        <family val="2"/>
      </rPr>
      <t xml:space="preserve">명예훼손 소송</t>
    </r>
    <r>
      <rPr>
        <sz val="10"/>
        <rFont val="Noto Sans CJK SC"/>
        <family val="2"/>
        <charset val="1"/>
      </rPr>
      <t xml:space="preserve">(procédure-bâillon)</t>
    </r>
    <r>
      <rPr>
        <sz val="10"/>
        <rFont val="WenQuanYi Zen Hei"/>
        <family val="2"/>
      </rPr>
      <t xml:space="preserve">이 </t>
    </r>
    <r>
      <rPr>
        <sz val="10"/>
        <rFont val="Noto Sans CJK SC"/>
        <family val="2"/>
        <charset val="1"/>
      </rPr>
      <t xml:space="preserve">Voltaire</t>
    </r>
    <r>
      <rPr>
        <sz val="10"/>
        <rFont val="WenQuanYi Zen Hei"/>
        <family val="2"/>
      </rPr>
      <t xml:space="preserve">에게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위생 점검이 </t>
    </r>
    <r>
      <rPr>
        <sz val="10"/>
        <rFont val="Noto Sans CJK SC"/>
        <family val="2"/>
        <charset val="1"/>
      </rPr>
      <t xml:space="preserve">Monique</t>
    </r>
    <r>
      <rPr>
        <sz val="10"/>
        <rFont val="WenQuanYi Zen Hei"/>
        <family val="2"/>
      </rPr>
      <t xml:space="preserve">의 비스트로에 날아온다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익명의 협박이 이어진다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</si>
  <si>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명예훼손</t>
    </r>
    <r>
      <rPr>
        <sz val="10"/>
        <rFont val="Noto Sans CJK SC"/>
        <family val="2"/>
        <charset val="1"/>
      </rPr>
      <t xml:space="preserve">(1881</t>
    </r>
    <r>
      <rPr>
        <sz val="10"/>
        <rFont val="WenQuanYi Zen Hei"/>
        <family val="2"/>
      </rPr>
      <t xml:space="preserve">년 언론자유법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전략적 봉쇄 소송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보복</t>
    </r>
  </si>
  <si>
    <t xml:space="preserve">Voltaire, Monique, Nicolas, Jeanne</t>
  </si>
  <si>
    <t xml:space="preserve">Le micro dans la lampe</t>
  </si>
  <si>
    <t xml:space="preserve">전등 속 마이크</t>
  </si>
  <si>
    <r>
      <rPr>
        <sz val="10"/>
        <rFont val="Arial"/>
        <family val="0"/>
        <charset val="1"/>
      </rPr>
      <t xml:space="preserve">Curie</t>
    </r>
    <r>
      <rPr>
        <sz val="10"/>
        <rFont val="WenQuanYi Zen Hei"/>
        <family val="2"/>
      </rPr>
      <t xml:space="preserve">가 전파 측정기로 도청기를 찾아낸다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도청기로 되갚자는 </t>
    </r>
    <r>
      <rPr>
        <sz val="10"/>
        <rFont val="Arial"/>
        <family val="0"/>
        <charset val="1"/>
      </rPr>
      <t xml:space="preserve">Curie</t>
    </r>
    <r>
      <rPr>
        <sz val="10"/>
        <rFont val="WenQuanYi Zen Hei"/>
        <family val="2"/>
      </rPr>
      <t xml:space="preserve">와 합법 경로만 쓰자는 </t>
    </r>
    <r>
      <rPr>
        <sz val="10"/>
        <rFont val="Arial"/>
        <family val="0"/>
        <charset val="1"/>
      </rPr>
      <t xml:space="preserve">Nicolas</t>
    </r>
    <r>
      <rPr>
        <sz val="10"/>
        <rFont val="WenQuanYi Zen Hei"/>
        <family val="2"/>
      </rPr>
      <t xml:space="preserve">가 충돌한다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</si>
  <si>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사생활 침해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형법 제</t>
    </r>
    <r>
      <rPr>
        <sz val="10"/>
        <rFont val="Noto Sans CJK SC"/>
        <family val="2"/>
        <charset val="1"/>
      </rPr>
      <t xml:space="preserve">226-1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증거의 적법성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통신 비밀</t>
    </r>
  </si>
  <si>
    <t xml:space="preserve">Curie, Nicolas, Jeanne, Sartre</t>
  </si>
  <si>
    <t xml:space="preserve">La garde du quartier</t>
  </si>
  <si>
    <t xml:space="preserve">동네의 보초</t>
  </si>
  <si>
    <r>
      <rPr>
        <sz val="10"/>
        <rFont val="WenQuanYi Zen Hei"/>
        <family val="2"/>
      </rPr>
      <t xml:space="preserve">사무소 앞에 이웃들이 교대로 서서 지킨다</t>
    </r>
    <r>
      <rPr>
        <sz val="10"/>
        <rFont val="Noto Sans CJK SC"/>
        <family val="2"/>
        <charset val="1"/>
      </rPr>
      <t xml:space="preserve">. Karim</t>
    </r>
    <r>
      <rPr>
        <sz val="10"/>
        <rFont val="WenQuanYi Zen Hei"/>
        <family val="2"/>
      </rPr>
      <t xml:space="preserve">이 조직하고 </t>
    </r>
    <r>
      <rPr>
        <sz val="10"/>
        <rFont val="Noto Sans CJK SC"/>
        <family val="2"/>
        <charset val="1"/>
      </rPr>
      <t xml:space="preserve">Hugo</t>
    </r>
    <r>
      <rPr>
        <sz val="10"/>
        <rFont val="WenQuanYi Zen Hei"/>
        <family val="2"/>
      </rPr>
      <t xml:space="preserve">가 벽에 문구를 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</si>
  <si>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연대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조직 표현</t>
    </r>
  </si>
  <si>
    <t xml:space="preserve">Karim, Hugo, Monique, Jeanne</t>
  </si>
  <si>
    <t xml:space="preserve">L'Ordonnance</t>
  </si>
  <si>
    <t xml:space="preserve">예심판사의 결정</t>
  </si>
  <si>
    <r>
      <rPr>
        <sz val="10"/>
        <rFont val="WenQuanYi Zen Hei"/>
        <family val="2"/>
      </rPr>
      <t xml:space="preserve">파리 금융 전담 예심판사가 수사를 개시하고 </t>
    </r>
    <r>
      <rPr>
        <sz val="10"/>
        <rFont val="Arial"/>
        <family val="0"/>
        <charset val="1"/>
      </rPr>
      <t xml:space="preserve">GM </t>
    </r>
    <r>
      <rPr>
        <sz val="10"/>
        <rFont val="WenQuanYi Zen Hei"/>
        <family val="2"/>
      </rPr>
      <t xml:space="preserve">임원 세 명을 피의자로 입건</t>
    </r>
    <r>
      <rPr>
        <sz val="10"/>
        <rFont val="Arial"/>
        <family val="0"/>
        <charset val="1"/>
      </rPr>
      <t xml:space="preserve">(mise en examen)</t>
    </r>
    <r>
      <rPr>
        <sz val="10"/>
        <rFont val="WenQuanYi Zen Hei"/>
        <family val="2"/>
      </rPr>
      <t xml:space="preserve">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사무실이 환호한다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</si>
  <si>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예심</t>
    </r>
    <r>
      <rPr>
        <sz val="10"/>
        <rFont val="Noto Sans CJK SC"/>
        <family val="2"/>
        <charset val="1"/>
      </rPr>
      <t xml:space="preserve">(instruction), </t>
    </r>
    <r>
      <rPr>
        <sz val="10"/>
        <rFont val="WenQuanYi Zen Hei"/>
        <family val="2"/>
      </rPr>
      <t xml:space="preserve">입건</t>
    </r>
    <r>
      <rPr>
        <sz val="10"/>
        <rFont val="Noto Sans CJK SC"/>
        <family val="2"/>
        <charset val="1"/>
      </rPr>
      <t xml:space="preserve">(mise en examen), </t>
    </r>
    <r>
      <rPr>
        <sz val="10"/>
        <rFont val="WenQuanYi Zen Hei"/>
        <family val="2"/>
      </rPr>
      <t xml:space="preserve">출석</t>
    </r>
  </si>
  <si>
    <t xml:space="preserve">Nicolas, Julien, Voltaire, Philippe</t>
  </si>
  <si>
    <t xml:space="preserve">La loi qui vient</t>
  </si>
  <si>
    <t xml:space="preserve">다가오는 법</t>
  </si>
  <si>
    <r>
      <rPr>
        <sz val="10"/>
        <rFont val="Arial"/>
        <family val="0"/>
        <charset val="1"/>
      </rPr>
      <t xml:space="preserve">GM</t>
    </r>
    <r>
      <rPr>
        <sz val="10"/>
        <rFont val="WenQuanYi Zen Hei"/>
        <family val="2"/>
      </rPr>
      <t xml:space="preserve">과 가까운 의원들이 반부패 단체의 인가와 사소 고소권을 제한하는 법안을 낸다</t>
    </r>
    <r>
      <rPr>
        <sz val="10"/>
        <rFont val="Arial"/>
        <family val="0"/>
        <charset val="1"/>
      </rPr>
      <t xml:space="preserve">. Napoléon: «Les jugements se gagnent ; les lois s'écrivent. Moi, j'ai écrit un Code.»</t>
    </r>
  </si>
  <si>
    <r>
      <rPr>
        <sz val="10"/>
        <rFont val="WenQuanYi Zen Hei"/>
        <family val="2"/>
      </rPr>
      <t xml:space="preserve">의원 발의 법안</t>
    </r>
    <r>
      <rPr>
        <sz val="10"/>
        <rFont val="Noto Sans CJK SC"/>
        <family val="2"/>
        <charset val="1"/>
      </rPr>
      <t xml:space="preserve">(proposition de loi), </t>
    </r>
    <r>
      <rPr>
        <sz val="10"/>
        <rFont val="WenQuanYi Zen Hei"/>
        <family val="2"/>
      </rPr>
      <t xml:space="preserve">단체 인가 제한</t>
    </r>
  </si>
  <si>
    <t xml:space="preserve">Napoléon, Nicolas, Léa, Karim</t>
  </si>
  <si>
    <t xml:space="preserve">P1·P3</t>
  </si>
  <si>
    <t xml:space="preserve">Une chaise à République</t>
  </si>
  <si>
    <t xml:space="preserve">레퓌블리크 광장의 의자</t>
  </si>
  <si>
    <r>
      <rPr>
        <sz val="10"/>
        <rFont val="Arial"/>
        <family val="0"/>
        <charset val="1"/>
      </rPr>
      <t xml:space="preserve">Karim</t>
    </r>
    <r>
      <rPr>
        <sz val="10"/>
        <rFont val="WenQuanYi Zen Hei"/>
        <family val="2"/>
      </rPr>
      <t xml:space="preserve">이 레퓌블리크 광장에서 모이자고 제안한다</t>
    </r>
    <r>
      <rPr>
        <sz val="10"/>
        <rFont val="Arial"/>
        <family val="0"/>
        <charset val="1"/>
      </rPr>
      <t xml:space="preserve">. Monique</t>
    </r>
    <r>
      <rPr>
        <sz val="10"/>
        <rFont val="WenQuanYi Zen Hei"/>
        <family val="2"/>
      </rPr>
      <t xml:space="preserve">가 식탁의 의자를 든다</t>
    </r>
    <r>
      <rPr>
        <sz val="10"/>
        <rFont val="Arial"/>
        <family val="0"/>
        <charset val="1"/>
      </rPr>
      <t xml:space="preserve">. Nicolas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«Il faut changer la loi.»</t>
    </r>
  </si>
  <si>
    <r>
      <rPr>
        <sz val="10"/>
        <rFont val="WenQuanYi Zen Hei"/>
        <family val="2"/>
      </rPr>
      <t xml:space="preserve">결단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제안</t>
    </r>
  </si>
  <si>
    <t xml:space="preserve">P1</t>
  </si>
  <si>
    <t xml:space="preserve">L'assemblée à République</t>
  </si>
  <si>
    <t xml:space="preserve">레퓌블리크 광장의 집회</t>
  </si>
  <si>
    <r>
      <rPr>
        <sz val="10"/>
        <rFont val="WenQuanYi Zen Hei"/>
        <family val="2"/>
      </rPr>
      <t xml:space="preserve">사무소를 거쳐 간 의뢰인 수백 명이 레퓌블리크 광장에 모인다</t>
    </r>
    <r>
      <rPr>
        <sz val="10"/>
        <rFont val="Noto Sans CJK SC"/>
        <family val="2"/>
        <charset val="1"/>
      </rPr>
      <t xml:space="preserve">. Karim</t>
    </r>
    <r>
      <rPr>
        <sz val="10"/>
        <rFont val="WenQuanYi Zen Hei"/>
        <family val="2"/>
      </rPr>
      <t xml:space="preserve">과 </t>
    </r>
    <r>
      <rPr>
        <sz val="10"/>
        <rFont val="Noto Sans CJK SC"/>
        <family val="2"/>
        <charset val="1"/>
      </rPr>
      <t xml:space="preserve">Jeanne</t>
    </r>
    <r>
      <rPr>
        <sz val="10"/>
        <rFont val="WenQuanYi Zen Hei"/>
        <family val="2"/>
      </rPr>
      <t xml:space="preserve">이 조직하고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시위 사전 신고를 두고 </t>
    </r>
    <r>
      <rPr>
        <sz val="10"/>
        <rFont val="Noto Sans CJK SC"/>
        <family val="2"/>
        <charset val="1"/>
      </rPr>
      <t xml:space="preserve">Nicolas</t>
    </r>
    <r>
      <rPr>
        <sz val="10"/>
        <rFont val="WenQuanYi Zen Hei"/>
        <family val="2"/>
      </rPr>
      <t xml:space="preserve">와 </t>
    </r>
    <r>
      <rPr>
        <sz val="10"/>
        <rFont val="Noto Sans CJK SC"/>
        <family val="2"/>
        <charset val="1"/>
      </rPr>
      <t xml:space="preserve">Jeanne</t>
    </r>
    <r>
      <rPr>
        <sz val="10"/>
        <rFont val="WenQuanYi Zen Hei"/>
        <family val="2"/>
      </rPr>
      <t xml:space="preserve">이 실랑이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</si>
  <si>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시위는 파리 경찰청</t>
    </r>
    <r>
      <rPr>
        <sz val="10"/>
        <rFont val="Noto Sans CJK SC"/>
        <family val="2"/>
        <charset val="1"/>
      </rPr>
      <t xml:space="preserve">(Préfecture de police)</t>
    </r>
    <r>
      <rPr>
        <sz val="10"/>
        <rFont val="WenQuanYi Zen Hei"/>
        <family val="2"/>
      </rPr>
      <t xml:space="preserve">에 사전 신고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국내안전법전 </t>
    </r>
    <r>
      <rPr>
        <sz val="10"/>
        <rFont val="Noto Sans CJK SC"/>
        <family val="2"/>
        <charset val="1"/>
      </rPr>
      <t xml:space="preserve">L.211-1</t>
    </r>
    <r>
      <rPr>
        <sz val="10"/>
        <rFont val="WenQuanYi Zen Hei"/>
        <family val="2"/>
      </rPr>
      <t xml:space="preserve">조 이하</t>
    </r>
    <r>
      <rPr>
        <sz val="10"/>
        <rFont val="Noto Sans CJK SC"/>
        <family val="2"/>
        <charset val="1"/>
      </rPr>
      <t xml:space="preserve">)</t>
    </r>
  </si>
  <si>
    <t xml:space="preserve">Karim, Jeanne, Nicolas</t>
  </si>
  <si>
    <t xml:space="preserve">De l'affaire à la loi</t>
  </si>
  <si>
    <t xml:space="preserve">사건에서 법으로</t>
  </si>
  <si>
    <r>
      <rPr>
        <sz val="10"/>
        <rFont val="Arial"/>
        <family val="0"/>
        <charset val="1"/>
      </rPr>
      <t xml:space="preserve">Nicolas</t>
    </r>
    <r>
      <rPr>
        <sz val="10"/>
        <rFont val="WenQuanYi Zen Hei"/>
        <family val="2"/>
      </rPr>
      <t xml:space="preserve">가 수십 건의 사건에서 같은 조항이 반복되는 것을 짚는다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법을 바꿔야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</si>
  <si>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법을 바꾸는 길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정부 법안</t>
    </r>
    <r>
      <rPr>
        <sz val="10"/>
        <rFont val="Noto Sans CJK SC"/>
        <family val="2"/>
        <charset val="1"/>
      </rPr>
      <t xml:space="preserve">(projet de loi), </t>
    </r>
    <r>
      <rPr>
        <sz val="10"/>
        <rFont val="WenQuanYi Zen Hei"/>
        <family val="2"/>
      </rPr>
      <t xml:space="preserve">의원 법안</t>
    </r>
    <r>
      <rPr>
        <sz val="10"/>
        <rFont val="Noto Sans CJK SC"/>
        <family val="2"/>
        <charset val="1"/>
      </rPr>
      <t xml:space="preserve">(proposition de loi), </t>
    </r>
    <r>
      <rPr>
        <sz val="10"/>
        <rFont val="WenQuanYi Zen Hei"/>
        <family val="2"/>
      </rPr>
      <t xml:space="preserve">시민청원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공동발의 국민투표</t>
    </r>
    <r>
      <rPr>
        <sz val="10"/>
        <rFont val="Noto Sans CJK SC"/>
        <family val="2"/>
        <charset val="1"/>
      </rPr>
      <t xml:space="preserve">(RIP)</t>
    </r>
  </si>
  <si>
    <t xml:space="preserve">Nicolas, Manon</t>
  </si>
  <si>
    <t xml:space="preserve">Cinq cent mille signatures</t>
  </si>
  <si>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만 서명</t>
    </r>
  </si>
  <si>
    <r>
      <rPr>
        <sz val="10"/>
        <rFont val="WenQuanYi Zen Hei"/>
        <family val="2"/>
      </rPr>
      <t xml:space="preserve">하원 전자 청원 서명 운동</t>
    </r>
    <r>
      <rPr>
        <sz val="10"/>
        <rFont val="Arial"/>
        <family val="0"/>
        <charset val="1"/>
      </rPr>
      <t xml:space="preserve">. Monique</t>
    </r>
    <r>
      <rPr>
        <sz val="10"/>
        <rFont val="WenQuanYi Zen Hei"/>
        <family val="2"/>
      </rPr>
      <t xml:space="preserve">의 비스트로가 노인들의 온라인 서명</t>
    </r>
    <r>
      <rPr>
        <sz val="10"/>
        <rFont val="Arial"/>
        <family val="0"/>
        <charset val="1"/>
      </rPr>
      <t xml:space="preserve">(FranceConnect </t>
    </r>
    <r>
      <rPr>
        <sz val="10"/>
        <rFont val="WenQuanYi Zen Hei"/>
        <family val="2"/>
      </rPr>
      <t xml:space="preserve">로그인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돕는 접수처가 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</si>
  <si>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하원 청원</t>
    </r>
    <r>
      <rPr>
        <sz val="10"/>
        <rFont val="Arial"/>
        <family val="0"/>
        <charset val="1"/>
      </rPr>
      <t xml:space="preserve">: 50</t>
    </r>
    <r>
      <rPr>
        <sz val="10"/>
        <rFont val="WenQuanYi Zen Hei"/>
        <family val="2"/>
      </rPr>
      <t xml:space="preserve">만 명 이상이면 본회의 토론 가능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하원 의사규칙 제</t>
    </r>
    <r>
      <rPr>
        <sz val="10"/>
        <rFont val="Arial"/>
        <family val="0"/>
        <charset val="1"/>
      </rPr>
      <t xml:space="preserve">148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확인</t>
    </r>
    <r>
      <rPr>
        <sz val="10"/>
        <rFont val="Arial"/>
        <family val="0"/>
        <charset val="1"/>
      </rPr>
      <t xml:space="preserve">)</t>
    </r>
  </si>
  <si>
    <t xml:space="preserve">Monique, Karim, Manon</t>
  </si>
  <si>
    <t xml:space="preserve">S1·S2</t>
  </si>
  <si>
    <t xml:space="preserve">전환점</t>
  </si>
  <si>
    <t xml:space="preserve">Un débat sans vote</t>
  </si>
  <si>
    <t xml:space="preserve">표결 없는 토론</t>
  </si>
  <si>
    <r>
      <rPr>
        <sz val="10"/>
        <rFont val="WenQuanYi Zen Hei"/>
        <family val="2"/>
      </rPr>
      <t xml:space="preserve">청원이 </t>
    </r>
    <r>
      <rPr>
        <sz val="10"/>
        <rFont val="Noto Sans CJK SC"/>
        <family val="2"/>
        <charset val="1"/>
      </rPr>
      <t xml:space="preserve">50</t>
    </r>
    <r>
      <rPr>
        <sz val="10"/>
        <rFont val="WenQuanYi Zen Hei"/>
        <family val="2"/>
      </rPr>
      <t xml:space="preserve">만을 넘어 본회의 토론이 열리지만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표결도 법 개정도 없이 끝난다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방청석의 시민들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</si>
  <si>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의장단 회의</t>
    </r>
    <r>
      <rPr>
        <sz val="10"/>
        <rFont val="Noto Sans CJK SC"/>
        <family val="2"/>
        <charset val="1"/>
      </rPr>
      <t xml:space="preserve">(Conférence des présidents), </t>
    </r>
    <r>
      <rPr>
        <sz val="10"/>
        <rFont val="WenQuanYi Zen Hei"/>
        <family val="2"/>
      </rPr>
      <t xml:space="preserve">청원은 입법권이 아니다</t>
    </r>
  </si>
  <si>
    <t xml:space="preserve">Nicolas, Voltaire</t>
  </si>
  <si>
    <t xml:space="preserve">Naissance d'un parti</t>
  </si>
  <si>
    <t xml:space="preserve">정당의 탄생</t>
  </si>
  <si>
    <r>
      <rPr>
        <sz val="10"/>
        <rFont val="WenQuanYi Zen Hei"/>
        <family val="2"/>
      </rPr>
      <t xml:space="preserve">이름을 정한다</t>
    </r>
    <r>
      <rPr>
        <sz val="10"/>
        <rFont val="Noto Sans CJK SC"/>
        <family val="2"/>
        <charset val="1"/>
      </rPr>
      <t xml:space="preserve">: «Maison Commune» — Monique</t>
    </r>
    <r>
      <rPr>
        <sz val="10"/>
        <rFont val="WenQuanYi Zen Hei"/>
        <family val="2"/>
      </rPr>
      <t xml:space="preserve">의 식탁에서 나온 이름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창립 정관에 서명하고 정치자금 수탁 단체를 세운다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</si>
  <si>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정당은 </t>
    </r>
    <r>
      <rPr>
        <sz val="10"/>
        <rFont val="Arial"/>
        <family val="0"/>
        <charset val="1"/>
      </rPr>
      <t xml:space="preserve">1901</t>
    </r>
    <r>
      <rPr>
        <sz val="10"/>
        <rFont val="WenQuanYi Zen Hei"/>
        <family val="2"/>
      </rPr>
      <t xml:space="preserve">년 결사법상 단체로 설립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정치자금 수탁자</t>
    </r>
    <r>
      <rPr>
        <sz val="10"/>
        <rFont val="Arial"/>
        <family val="0"/>
        <charset val="1"/>
      </rPr>
      <t xml:space="preserve">(mandataire financier)·CNCCFP </t>
    </r>
    <r>
      <rPr>
        <sz val="10"/>
        <rFont val="WenQuanYi Zen Hei"/>
        <family val="2"/>
      </rPr>
      <t xml:space="preserve">승인 </t>
    </r>
    <r>
      <rPr>
        <sz val="10"/>
        <rFont val="Arial"/>
        <family val="0"/>
        <charset val="1"/>
      </rPr>
      <t xml:space="preserve">(1988</t>
    </r>
    <r>
      <rPr>
        <sz val="10"/>
        <rFont val="WenQuanYi Zen Hei"/>
        <family val="2"/>
      </rPr>
      <t xml:space="preserve">년 정치자금투명성법</t>
    </r>
    <r>
      <rPr>
        <sz val="10"/>
        <rFont val="Arial"/>
        <family val="0"/>
        <charset val="1"/>
      </rPr>
      <t xml:space="preserve">)</t>
    </r>
  </si>
  <si>
    <t xml:space="preserve">Monique, Hugo, Nicolas, Olympe</t>
  </si>
  <si>
    <t xml:space="preserve">Les Statuts</t>
  </si>
  <si>
    <t xml:space="preserve">정관</t>
  </si>
  <si>
    <r>
      <rPr>
        <sz val="10"/>
        <rFont val="WenQuanYi Zen Hei"/>
        <family val="2"/>
      </rPr>
      <t xml:space="preserve">당원 자격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윤리 강령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후보 선출 방식을 둘러싼 토론</t>
    </r>
    <r>
      <rPr>
        <sz val="10"/>
        <rFont val="Noto Sans CJK SC"/>
        <family val="2"/>
        <charset val="1"/>
      </rPr>
      <t xml:space="preserve">. Léa</t>
    </r>
    <r>
      <rPr>
        <sz val="10"/>
        <rFont val="WenQuanYi Zen Hei"/>
        <family val="2"/>
      </rPr>
      <t xml:space="preserve">의 조직도 </t>
    </r>
    <r>
      <rPr>
        <sz val="10"/>
        <rFont val="Noto Sans CJK SC"/>
        <family val="2"/>
        <charset val="1"/>
      </rPr>
      <t xml:space="preserve">vs Karim</t>
    </r>
    <r>
      <rPr>
        <sz val="10"/>
        <rFont val="WenQuanYi Zen Hei"/>
        <family val="2"/>
      </rPr>
      <t xml:space="preserve">의 총회</t>
    </r>
    <r>
      <rPr>
        <sz val="10"/>
        <rFont val="Noto Sans CJK SC"/>
        <family val="2"/>
        <charset val="1"/>
      </rPr>
      <t xml:space="preserve">. Olympe</t>
    </r>
    <r>
      <rPr>
        <sz val="10"/>
        <rFont val="WenQuanYi Zen Hei"/>
        <family val="2"/>
      </rPr>
      <t xml:space="preserve">가 남녀 동수 원칙을 정관에 넣는다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</si>
  <si>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4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정당 활동의 자유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다원주의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내부 민주주의는 법적 의무가 아닌 선택</t>
    </r>
  </si>
  <si>
    <t xml:space="preserve">Léa, Karim, Olympe</t>
  </si>
  <si>
    <t xml:space="preserve">L'argent propre</t>
  </si>
  <si>
    <t xml:space="preserve">깨끗한 돈</t>
  </si>
  <si>
    <r>
      <rPr>
        <sz val="10"/>
        <rFont val="WenQuanYi Zen Hei"/>
        <family val="2"/>
      </rPr>
      <t xml:space="preserve">소액 후원 원칙과 회계 공개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은행이 계좌 개설을 미루자 </t>
    </r>
    <r>
      <rPr>
        <sz val="10"/>
        <rFont val="Noto Sans CJK SC"/>
        <family val="2"/>
        <charset val="1"/>
      </rPr>
      <t xml:space="preserve">Philippe</t>
    </r>
    <r>
      <rPr>
        <sz val="10"/>
        <rFont val="WenQuanYi Zen Hei"/>
        <family val="2"/>
      </rPr>
      <t xml:space="preserve">가 프랑스은행의 계좌 개설권</t>
    </r>
    <r>
      <rPr>
        <sz val="10"/>
        <rFont val="Noto Sans CJK SC"/>
        <family val="2"/>
        <charset val="1"/>
      </rPr>
      <t xml:space="preserve">(droit au compte) </t>
    </r>
    <r>
      <rPr>
        <sz val="10"/>
        <rFont val="WenQuanYi Zen Hei"/>
        <family val="2"/>
      </rPr>
      <t xml:space="preserve">절차를 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</si>
  <si>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개인 후원 연 </t>
    </r>
    <r>
      <rPr>
        <sz val="10"/>
        <rFont val="Noto Sans CJK SC"/>
        <family val="2"/>
        <charset val="1"/>
      </rPr>
      <t xml:space="preserve">7,500</t>
    </r>
    <r>
      <rPr>
        <sz val="10"/>
        <rFont val="WenQuanYi Zen Hei"/>
        <family val="2"/>
      </rPr>
      <t xml:space="preserve">유로 상한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법인 후원 금지</t>
    </r>
    <r>
      <rPr>
        <sz val="10"/>
        <rFont val="Noto Sans CJK SC"/>
        <family val="2"/>
        <charset val="1"/>
      </rPr>
      <t xml:space="preserve">, CNCCFP </t>
    </r>
    <r>
      <rPr>
        <sz val="10"/>
        <rFont val="WenQuanYi Zen Hei"/>
        <family val="2"/>
      </rPr>
      <t xml:space="preserve">감독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계좌 개설권</t>
    </r>
  </si>
  <si>
    <t xml:space="preserve">Les Listes</t>
  </si>
  <si>
    <t xml:space="preserve">후보 명부</t>
  </si>
  <si>
    <r>
      <rPr>
        <sz val="10"/>
        <rFont val="Arial"/>
        <family val="0"/>
        <charset val="1"/>
      </rPr>
      <t xml:space="preserve">Julien·Camille</t>
    </r>
    <r>
      <rPr>
        <sz val="10"/>
        <rFont val="WenQuanYi Zen Hei"/>
        <family val="2"/>
      </rPr>
      <t xml:space="preserve">를 파리 시의회 명부 상위에 올린다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남녀 교대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파리테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명부 순서를 둘러싼 갈등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</si>
  <si>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남녀 교대 명부</t>
    </r>
    <r>
      <rPr>
        <sz val="10"/>
        <rFont val="Noto Sans CJK SC"/>
        <family val="2"/>
        <charset val="1"/>
      </rPr>
      <t xml:space="preserve">(2000</t>
    </r>
    <r>
      <rPr>
        <sz val="10"/>
        <rFont val="WenQuanYi Zen Hei"/>
        <family val="2"/>
      </rPr>
      <t xml:space="preserve">년 파리테법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파리 시의회 선거 방식</t>
    </r>
    <r>
      <rPr>
        <sz val="10"/>
        <rFont val="Noto Sans CJK SC"/>
        <family val="2"/>
        <charset val="1"/>
      </rPr>
      <t xml:space="preserve">(2025</t>
    </r>
    <r>
      <rPr>
        <sz val="10"/>
        <rFont val="WenQuanYi Zen Hei"/>
        <family val="2"/>
      </rPr>
      <t xml:space="preserve">년 개정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확인</t>
    </r>
    <r>
      <rPr>
        <sz val="10"/>
        <rFont val="Noto Sans CJK SC"/>
        <family val="2"/>
        <charset val="1"/>
      </rPr>
      <t xml:space="preserve">)</t>
    </r>
  </si>
  <si>
    <t xml:space="preserve">Julien, Camille, Manon, Olympe</t>
  </si>
  <si>
    <t xml:space="preserve">N4·S1</t>
  </si>
  <si>
    <t xml:space="preserve">La campagne dans les quartiers</t>
  </si>
  <si>
    <t xml:space="preserve">골목길 캠페인</t>
  </si>
  <si>
    <r>
      <rPr>
        <sz val="10"/>
        <rFont val="Arial"/>
        <family val="0"/>
        <charset val="1"/>
      </rPr>
      <t xml:space="preserve">Monique</t>
    </r>
    <r>
      <rPr>
        <sz val="10"/>
        <rFont val="WenQuanYi Zen Hei"/>
        <family val="2"/>
      </rPr>
      <t xml:space="preserve">의 비스트로에서 시작해 </t>
    </r>
    <r>
      <rPr>
        <sz val="10"/>
        <rFont val="Arial"/>
        <family val="0"/>
        <charset val="1"/>
      </rPr>
      <t xml:space="preserve">Belleville·Ménilmontant </t>
    </r>
    <r>
      <rPr>
        <sz val="10"/>
        <rFont val="WenQuanYi Zen Hei"/>
        <family val="2"/>
      </rPr>
      <t xml:space="preserve">골목을 도는 유세</t>
    </r>
    <r>
      <rPr>
        <sz val="10"/>
        <rFont val="Arial"/>
        <family val="0"/>
        <charset val="1"/>
      </rPr>
      <t xml:space="preserve">. Hugo</t>
    </r>
    <r>
      <rPr>
        <sz val="10"/>
        <rFont val="WenQuanYi Zen Hei"/>
        <family val="2"/>
      </rPr>
      <t xml:space="preserve">의 첫 연설 문구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</si>
  <si>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공식 선거운동 기간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선거비용 계정</t>
    </r>
    <r>
      <rPr>
        <sz val="10"/>
        <rFont val="Noto Sans CJK SC"/>
        <family val="2"/>
        <charset val="1"/>
      </rPr>
      <t xml:space="preserve">(compte de campagne)</t>
    </r>
  </si>
  <si>
    <t xml:space="preserve">Hugo, Monique, Jeanne</t>
  </si>
  <si>
    <t xml:space="preserve">E1·E2·S2</t>
  </si>
  <si>
    <t xml:space="preserve">L'attaque de la presse</t>
  </si>
  <si>
    <t xml:space="preserve">언론의 공격</t>
  </si>
  <si>
    <r>
      <rPr>
        <sz val="10"/>
        <rFont val="WenQuanYi Zen Hei"/>
        <family val="2"/>
      </rPr>
      <t xml:space="preserve">왜곡 기사가 나온다</t>
    </r>
    <r>
      <rPr>
        <sz val="10"/>
        <rFont val="Noto Sans CJK SC"/>
        <family val="2"/>
        <charset val="1"/>
      </rPr>
      <t xml:space="preserve">. Voltaire</t>
    </r>
    <r>
      <rPr>
        <sz val="10"/>
        <rFont val="WenQuanYi Zen Hei"/>
        <family val="2"/>
      </rPr>
      <t xml:space="preserve">가 반박하고 반론권을 행사한다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</si>
  <si>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반론권</t>
    </r>
    <r>
      <rPr>
        <sz val="10"/>
        <rFont val="Noto Sans CJK SC"/>
        <family val="2"/>
        <charset val="1"/>
      </rPr>
      <t xml:space="preserve">(droit de réponse, 1881</t>
    </r>
    <r>
      <rPr>
        <sz val="10"/>
        <rFont val="WenQuanYi Zen Hei"/>
        <family val="2"/>
      </rPr>
      <t xml:space="preserve">년 법 제</t>
    </r>
    <r>
      <rPr>
        <sz val="10"/>
        <rFont val="Noto Sans CJK SC"/>
        <family val="2"/>
        <charset val="1"/>
      </rPr>
      <t xml:space="preserve">13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선거 중 허위정보 금지 가처분</t>
    </r>
    <r>
      <rPr>
        <sz val="10"/>
        <rFont val="Noto Sans CJK SC"/>
        <family val="2"/>
        <charset val="1"/>
      </rPr>
      <t xml:space="preserve">(2018</t>
    </r>
    <r>
      <rPr>
        <sz val="10"/>
        <rFont val="WenQuanYi Zen Hei"/>
        <family val="2"/>
      </rPr>
      <t xml:space="preserve">년 법</t>
    </r>
    <r>
      <rPr>
        <sz val="10"/>
        <rFont val="Noto Sans CJK SC"/>
        <family val="2"/>
        <charset val="1"/>
      </rPr>
      <t xml:space="preserve">)</t>
    </r>
  </si>
  <si>
    <t xml:space="preserve">Voltaire, Nicolas</t>
  </si>
  <si>
    <t xml:space="preserve">La veille du scrutin</t>
  </si>
  <si>
    <t xml:space="preserve">투표 전날</t>
  </si>
  <si>
    <r>
      <rPr>
        <sz val="10"/>
        <rFont val="WenQuanYi Zen Hei"/>
        <family val="2"/>
      </rPr>
      <t xml:space="preserve">선거 전날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마지막 유세의 유혹을 접고 침묵</t>
    </r>
    <r>
      <rPr>
        <sz val="10"/>
        <rFont val="Noto Sans CJK SC"/>
        <family val="2"/>
        <charset val="1"/>
      </rPr>
      <t xml:space="preserve">. Sartre</t>
    </r>
    <r>
      <rPr>
        <sz val="10"/>
        <rFont val="WenQuanYi Zen Hei"/>
        <family val="2"/>
      </rPr>
      <t xml:space="preserve">의 되묻기가 처음으로 위로가 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</si>
  <si>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선거 전날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당일 선거운동 금지</t>
    </r>
    <r>
      <rPr>
        <sz val="10"/>
        <rFont val="Noto Sans CJK SC"/>
        <family val="2"/>
        <charset val="1"/>
      </rPr>
      <t xml:space="preserve">(réserve électorale), </t>
    </r>
    <r>
      <rPr>
        <sz val="10"/>
        <rFont val="WenQuanYi Zen Hei"/>
        <family val="2"/>
      </rPr>
      <t xml:space="preserve">여론조사 공표 금지</t>
    </r>
  </si>
  <si>
    <t xml:space="preserve">Sartre, Léa</t>
  </si>
  <si>
    <t xml:space="preserve">La nuit des urnes</t>
  </si>
  <si>
    <t xml:space="preserve">개표의 밤</t>
  </si>
  <si>
    <r>
      <rPr>
        <sz val="10"/>
        <rFont val="WenQuanYi Zen Hei"/>
        <family val="2"/>
      </rPr>
      <t xml:space="preserve">파리 시의회 </t>
    </r>
    <r>
      <rPr>
        <sz val="10"/>
        <rFont val="Noto Sans CJK SC"/>
        <family val="2"/>
        <charset val="1"/>
      </rPr>
      <t xml:space="preserve">163</t>
    </r>
    <r>
      <rPr>
        <sz val="10"/>
        <rFont val="WenQuanYi Zen Hei"/>
        <family val="2"/>
      </rPr>
      <t xml:space="preserve">석 중 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석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가상 수치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시장 선출은 다른 당의 몫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</si>
  <si>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회 투표 명부제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결선 진출 </t>
    </r>
    <r>
      <rPr>
        <sz val="10"/>
        <rFont val="Noto Sans CJK SC"/>
        <family val="2"/>
        <charset val="1"/>
      </rPr>
      <t xml:space="preserve">10%·</t>
    </r>
    <r>
      <rPr>
        <sz val="10"/>
        <rFont val="WenQuanYi Zen Hei"/>
        <family val="2"/>
      </rPr>
      <t xml:space="preserve">연합 </t>
    </r>
    <r>
      <rPr>
        <sz val="10"/>
        <rFont val="Noto Sans CJK SC"/>
        <family val="2"/>
        <charset val="1"/>
      </rPr>
      <t xml:space="preserve">5% </t>
    </r>
    <r>
      <rPr>
        <sz val="10"/>
        <rFont val="WenQuanYi Zen Hei"/>
        <family val="2"/>
      </rPr>
      <t xml:space="preserve">문턱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다수파 보너스</t>
    </r>
  </si>
  <si>
    <t xml:space="preserve">L'installation du Conseil</t>
  </si>
  <si>
    <t xml:space="preserve">시의회 개원</t>
  </si>
  <si>
    <r>
      <rPr>
        <sz val="10"/>
        <rFont val="WenQuanYi Zen Hei"/>
        <family val="2"/>
      </rPr>
      <t xml:space="preserve">선거 후 첫 회의에서 파리 시장을 뽑는다</t>
    </r>
    <r>
      <rPr>
        <sz val="10"/>
        <rFont val="Arial"/>
        <family val="0"/>
        <charset val="1"/>
      </rPr>
      <t xml:space="preserve">. Maison Commune</t>
    </r>
    <r>
      <rPr>
        <sz val="10"/>
        <rFont val="WenQuanYi Zen Hei"/>
        <family val="2"/>
      </rPr>
      <t xml:space="preserve">은 </t>
    </r>
    <r>
      <rPr>
        <sz val="10"/>
        <rFont val="Arial"/>
        <family val="0"/>
        <charset val="1"/>
      </rPr>
      <t xml:space="preserve">Julien</t>
    </r>
    <r>
      <rPr>
        <sz val="10"/>
        <rFont val="WenQuanYi Zen Hei"/>
        <family val="2"/>
      </rPr>
      <t xml:space="preserve">에게 투표하지만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차 투표에서 상대다수로 다른 당 후보가 선출된다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</si>
  <si>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시장 선출</t>
    </r>
    <r>
      <rPr>
        <sz val="10"/>
        <rFont val="Noto Sans CJK SC"/>
        <family val="2"/>
        <charset val="1"/>
      </rPr>
      <t xml:space="preserve">: 1·2</t>
    </r>
    <r>
      <rPr>
        <sz val="10"/>
        <rFont val="WenQuanYi Zen Hei"/>
        <family val="2"/>
      </rPr>
      <t xml:space="preserve">차 절대다수</t>
    </r>
    <r>
      <rPr>
        <sz val="10"/>
        <rFont val="Noto Sans CJK SC"/>
        <family val="2"/>
        <charset val="1"/>
      </rPr>
      <t xml:space="preserve">, 3</t>
    </r>
    <r>
      <rPr>
        <sz val="10"/>
        <rFont val="WenQuanYi Zen Hei"/>
        <family val="2"/>
      </rPr>
      <t xml:space="preserve">차 상대다수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지방자치법전 </t>
    </r>
    <r>
      <rPr>
        <sz val="10"/>
        <rFont val="Noto Sans CJK SC"/>
        <family val="2"/>
        <charset val="1"/>
      </rPr>
      <t xml:space="preserve">L.2122-7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</t>
    </r>
  </si>
  <si>
    <t xml:space="preserve">Julien, Nicolas</t>
  </si>
  <si>
    <t xml:space="preserve">La première séance</t>
  </si>
  <si>
    <t xml:space="preserve">첫 본회의</t>
  </si>
  <si>
    <r>
      <rPr>
        <sz val="10"/>
        <rFont val="WenQuanYi Zen Hei"/>
        <family val="2"/>
      </rPr>
      <t xml:space="preserve">발언 시간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시정 질의</t>
    </r>
    <r>
      <rPr>
        <sz val="10"/>
        <rFont val="Noto Sans CJK SC"/>
        <family val="2"/>
        <charset val="1"/>
      </rPr>
      <t xml:space="preserve">(questions d'actualité)·</t>
    </r>
    <r>
      <rPr>
        <sz val="10"/>
        <rFont val="WenQuanYi Zen Hei"/>
        <family val="2"/>
      </rPr>
      <t xml:space="preserve">결의안</t>
    </r>
    <r>
      <rPr>
        <sz val="10"/>
        <rFont val="Noto Sans CJK SC"/>
        <family val="2"/>
        <charset val="1"/>
      </rPr>
      <t xml:space="preserve">(vœux) </t>
    </r>
    <r>
      <rPr>
        <sz val="10"/>
        <rFont val="WenQuanYi Zen Hei"/>
        <family val="2"/>
      </rPr>
      <t xml:space="preserve">절차를 배우는 신참 의원들</t>
    </r>
    <r>
      <rPr>
        <sz val="10"/>
        <rFont val="Noto Sans CJK SC"/>
        <family val="2"/>
        <charset val="1"/>
      </rPr>
      <t xml:space="preserve">. Manon</t>
    </r>
    <r>
      <rPr>
        <sz val="10"/>
        <rFont val="WenQuanYi Zen Hei"/>
        <family val="2"/>
      </rPr>
      <t xml:space="preserve">의 질문 연발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</si>
  <si>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Conseil de Paris </t>
    </r>
    <r>
      <rPr>
        <sz val="10"/>
        <rFont val="WenQuanYi Zen Hei"/>
        <family val="2"/>
      </rPr>
      <t xml:space="preserve">운영</t>
    </r>
    <r>
      <rPr>
        <sz val="10"/>
        <rFont val="Arial"/>
        <family val="0"/>
        <charset val="1"/>
      </rPr>
      <t xml:space="preserve">: délibérations, vœux, questions</t>
    </r>
  </si>
  <si>
    <t xml:space="preserve">Julien, Manon</t>
  </si>
  <si>
    <t xml:space="preserve">L'audit de la ville</t>
  </si>
  <si>
    <t xml:space="preserve">도시 예산 감사</t>
  </si>
  <si>
    <r>
      <rPr>
        <sz val="10"/>
        <rFont val="Arial"/>
        <family val="0"/>
        <charset val="1"/>
      </rPr>
      <t xml:space="preserve">Julien</t>
    </r>
    <r>
      <rPr>
        <sz val="10"/>
        <rFont val="WenQuanYi Zen Hei"/>
        <family val="2"/>
      </rPr>
      <t xml:space="preserve">이 시 예산과 단일 결산서</t>
    </r>
    <r>
      <rPr>
        <sz val="10"/>
        <rFont val="Arial"/>
        <family val="0"/>
        <charset val="1"/>
      </rPr>
      <t xml:space="preserve">(compte financier unique)</t>
    </r>
    <r>
      <rPr>
        <sz val="10"/>
        <rFont val="WenQuanYi Zen Hei"/>
        <family val="2"/>
      </rPr>
      <t xml:space="preserve">를 파고들고 </t>
    </r>
    <r>
      <rPr>
        <sz val="10"/>
        <rFont val="Arial"/>
        <family val="0"/>
        <charset val="1"/>
      </rPr>
      <t xml:space="preserve">Philippe</t>
    </r>
    <r>
      <rPr>
        <sz val="10"/>
        <rFont val="WenQuanYi Zen Hei"/>
        <family val="2"/>
      </rPr>
      <t xml:space="preserve">가 계좌 흐름을 그린다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</si>
  <si>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예산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결산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지방재정감사원</t>
    </r>
    <r>
      <rPr>
        <sz val="10"/>
        <rFont val="Arial"/>
        <family val="0"/>
        <charset val="1"/>
      </rPr>
      <t xml:space="preserve">(Chambre régionale des comptes)</t>
    </r>
  </si>
  <si>
    <t xml:space="preserve">Les contrats à la loupe</t>
  </si>
  <si>
    <t xml:space="preserve">돋보기 아래의 계약들</t>
  </si>
  <si>
    <r>
      <rPr>
        <sz val="10"/>
        <rFont val="WenQuanYi Zen Hei"/>
        <family val="2"/>
      </rPr>
      <t xml:space="preserve">공공 임대주택 기관</t>
    </r>
    <r>
      <rPr>
        <sz val="10"/>
        <rFont val="Noto Sans CJK SC"/>
        <family val="2"/>
        <charset val="1"/>
      </rPr>
      <t xml:space="preserve">(Paris Habitat, </t>
    </r>
    <r>
      <rPr>
        <sz val="10"/>
        <rFont val="WenQuanYi Zen Hei"/>
        <family val="2"/>
      </rPr>
      <t xml:space="preserve">가상 사례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의 계약 쪼개기와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유럽 회복기금 사업이 소수 업체로 흘러간 정황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행정 병목 때문에 일부는 집행조차 못 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</si>
  <si>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공공조달법전</t>
    </r>
    <r>
      <rPr>
        <sz val="10"/>
        <rFont val="Noto Sans CJK SC"/>
        <family val="2"/>
        <charset val="1"/>
      </rPr>
      <t xml:space="preserve">(Code de la commande publique), </t>
    </r>
    <r>
      <rPr>
        <sz val="10"/>
        <rFont val="WenQuanYi Zen Hei"/>
        <family val="2"/>
      </rPr>
      <t xml:space="preserve">분할 발주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회복계획</t>
    </r>
    <r>
      <rPr>
        <sz val="10"/>
        <rFont val="Noto Sans CJK SC"/>
        <family val="2"/>
        <charset val="1"/>
      </rPr>
      <t xml:space="preserve">(France Relance·PNRR)</t>
    </r>
  </si>
  <si>
    <t xml:space="preserve">Julien, Curie, Philippe</t>
  </si>
  <si>
    <t xml:space="preserve">N2</t>
  </si>
  <si>
    <t xml:space="preserve">L'alliance inconfortable</t>
  </si>
  <si>
    <t xml:space="preserve">불편한 동맹</t>
  </si>
  <si>
    <r>
      <rPr>
        <sz val="10"/>
        <rFont val="WenQuanYi Zen Hei"/>
        <family val="2"/>
      </rPr>
      <t xml:space="preserve">예산 통과를 위해 다수파와 표를 맞바꿔야 하는 딜레마</t>
    </r>
    <r>
      <rPr>
        <sz val="10"/>
        <rFont val="Noto Sans CJK SC"/>
        <family val="2"/>
        <charset val="1"/>
      </rPr>
      <t xml:space="preserve">. Karim </t>
    </r>
    <r>
      <rPr>
        <sz val="10"/>
        <rFont val="WenQuanYi Zen Hei"/>
        <family val="2"/>
      </rPr>
      <t xml:space="preserve">반대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</si>
  <si>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소수 의원단의 캐스팅보트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예산안 표결</t>
    </r>
  </si>
  <si>
    <t xml:space="preserve">Le piège du budget</t>
  </si>
  <si>
    <t xml:space="preserve">예산의 덫</t>
  </si>
  <si>
    <r>
      <rPr>
        <sz val="10"/>
        <rFont val="WenQuanYi Zen Hei"/>
        <family val="2"/>
      </rPr>
      <t xml:space="preserve">예산 부속 문서에 숨은 임대 보조</t>
    </r>
    <r>
      <rPr>
        <sz val="10"/>
        <rFont val="Noto Sans CJK SC"/>
        <family val="2"/>
        <charset val="1"/>
      </rPr>
      <t xml:space="preserve">(aide au logement de la Ville) 20% </t>
    </r>
    <r>
      <rPr>
        <sz val="10"/>
        <rFont val="WenQuanYi Zen Hei"/>
        <family val="2"/>
      </rPr>
      <t xml:space="preserve">삭감과 관광 단기임대 용도변경 규제 완화 조항</t>
    </r>
    <r>
      <rPr>
        <sz val="10"/>
        <rFont val="Noto Sans CJK SC"/>
        <family val="2"/>
        <charset val="1"/>
      </rPr>
      <t xml:space="preserve">. Manon</t>
    </r>
    <r>
      <rPr>
        <sz val="10"/>
        <rFont val="WenQuanYi Zen Hei"/>
        <family val="2"/>
      </rPr>
      <t xml:space="preserve">의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차 폭발</t>
    </r>
    <r>
      <rPr>
        <sz val="10"/>
        <rFont val="Noto Sans CJK SC"/>
        <family val="2"/>
        <charset val="1"/>
      </rPr>
      <t xml:space="preserve">. Napoléon</t>
    </r>
    <r>
      <rPr>
        <sz val="10"/>
        <rFont val="WenQuanYi Zen Hei"/>
        <family val="2"/>
      </rPr>
      <t xml:space="preserve">이 선을 넘고 </t>
    </r>
    <r>
      <rPr>
        <sz val="10"/>
        <rFont val="Noto Sans CJK SC"/>
        <family val="2"/>
        <charset val="1"/>
      </rPr>
      <t xml:space="preserve">Jeanne·Monique</t>
    </r>
    <r>
      <rPr>
        <sz val="10"/>
        <rFont val="WenQuanYi Zen Hei"/>
        <family val="2"/>
      </rPr>
      <t xml:space="preserve">가 나무란다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</si>
  <si>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예산 심의 위원회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주거 용도변경</t>
    </r>
    <r>
      <rPr>
        <sz val="10"/>
        <rFont val="Arial"/>
        <family val="0"/>
        <charset val="1"/>
      </rPr>
      <t xml:space="preserve">(changement d'usage)·</t>
    </r>
    <r>
      <rPr>
        <sz val="10"/>
        <rFont val="WenQuanYi Zen Hei"/>
        <family val="2"/>
      </rPr>
      <t xml:space="preserve">단기임대 규제</t>
    </r>
  </si>
  <si>
    <t xml:space="preserve">Manon, Julien, Napoléon, Jeanne, Monique</t>
  </si>
  <si>
    <t xml:space="preserve">La santé au Conseil</t>
  </si>
  <si>
    <t xml:space="preserve">시의회에서의 보건</t>
  </si>
  <si>
    <r>
      <rPr>
        <sz val="10"/>
        <rFont val="WenQuanYi Zen Hei"/>
        <family val="2"/>
      </rPr>
      <t xml:space="preserve">시립 보건센터가 문을 닫고 파리 북동부와 인접 센생드니가 의료 사막이 된다</t>
    </r>
    <r>
      <rPr>
        <sz val="10"/>
        <rFont val="Noto Sans CJK SC"/>
        <family val="2"/>
        <charset val="1"/>
      </rPr>
      <t xml:space="preserve">. Camille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AP-HP </t>
    </r>
    <r>
      <rPr>
        <sz val="10"/>
        <rFont val="WenQuanYi Zen Hei"/>
        <family val="2"/>
      </rPr>
      <t xml:space="preserve">감독위원회에서 병원 외주 계약 자료를 요구한다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</si>
  <si>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보건은 국가</t>
    </r>
    <r>
      <rPr>
        <sz val="10"/>
        <rFont val="Noto Sans CJK SC"/>
        <family val="2"/>
        <charset val="1"/>
      </rPr>
      <t xml:space="preserve">(ARS) </t>
    </r>
    <r>
      <rPr>
        <sz val="10"/>
        <rFont val="WenQuanYi Zen Hei"/>
        <family val="2"/>
      </rPr>
      <t xml:space="preserve">권한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파리 시장이 </t>
    </r>
    <r>
      <rPr>
        <sz val="10"/>
        <rFont val="Noto Sans CJK SC"/>
        <family val="2"/>
        <charset val="1"/>
      </rPr>
      <t xml:space="preserve">AP-HP </t>
    </r>
    <r>
      <rPr>
        <sz val="10"/>
        <rFont val="WenQuanYi Zen Hei"/>
        <family val="2"/>
      </rPr>
      <t xml:space="preserve">감독위원회 의장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시립 보건센터</t>
    </r>
  </si>
  <si>
    <t xml:space="preserve">Camille, Voltaire</t>
  </si>
  <si>
    <t xml:space="preserve">Le scandale révélé</t>
  </si>
  <si>
    <t xml:space="preserve">파헤쳐진 스캔들</t>
  </si>
  <si>
    <r>
      <rPr>
        <sz val="10"/>
        <rFont val="WenQuanYi Zen Hei"/>
        <family val="2"/>
      </rPr>
      <t xml:space="preserve">외주 계약과 시 계약이 한 회사로 이어진다</t>
    </r>
    <r>
      <rPr>
        <sz val="10"/>
        <rFont val="Noto Sans CJK SC"/>
        <family val="2"/>
        <charset val="1"/>
      </rPr>
      <t xml:space="preserve">. Curie</t>
    </r>
    <r>
      <rPr>
        <sz val="10"/>
        <rFont val="WenQuanYi Zen Hei"/>
        <family val="2"/>
      </rPr>
      <t xml:space="preserve">가 출처를 가리키고 </t>
    </r>
    <r>
      <rPr>
        <sz val="10"/>
        <rFont val="Noto Sans CJK SC"/>
        <family val="2"/>
        <charset val="1"/>
      </rPr>
      <t xml:space="preserve">Nicolas</t>
    </r>
    <r>
      <rPr>
        <sz val="10"/>
        <rFont val="WenQuanYi Zen Hei"/>
        <family val="2"/>
      </rPr>
      <t xml:space="preserve">는 합법 증거만 쓰자고 고집한다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</si>
  <si>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증거의 적법성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내부고발자 보호</t>
    </r>
    <r>
      <rPr>
        <sz val="10"/>
        <rFont val="Noto Sans CJK SC"/>
        <family val="2"/>
        <charset val="1"/>
      </rPr>
      <t xml:space="preserve">(Sapin II</t>
    </r>
    <r>
      <rPr>
        <sz val="10"/>
        <rFont val="WenQuanYi Zen Hei"/>
        <family val="2"/>
      </rPr>
      <t xml:space="preserve">법</t>
    </r>
    <r>
      <rPr>
        <sz val="10"/>
        <rFont val="Noto Sans CJK SC"/>
        <family val="2"/>
        <charset val="1"/>
      </rPr>
      <t xml:space="preserve">)</t>
    </r>
  </si>
  <si>
    <t xml:space="preserve">Curie, Nicolas, Philippe</t>
  </si>
  <si>
    <t xml:space="preserve">La Plainte</t>
  </si>
  <si>
    <t xml:space="preserve">고소장</t>
  </si>
  <si>
    <r>
      <rPr>
        <sz val="10"/>
        <rFont val="WenQuanYi Zen Hei"/>
        <family val="2"/>
      </rPr>
      <t xml:space="preserve">사무소가 인가 반부패 단체와 함께 사소 고소를 제기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국가금융검찰</t>
    </r>
    <r>
      <rPr>
        <sz val="10"/>
        <rFont val="Noto Sans CJK SC"/>
        <family val="2"/>
        <charset val="1"/>
      </rPr>
      <t xml:space="preserve">(PNF).</t>
    </r>
  </si>
  <si>
    <r>
      <rPr>
        <sz val="10"/>
        <rFont val="WenQuanYi Zen Hei"/>
        <family val="2"/>
      </rPr>
      <t xml:space="preserve">사소 고소</t>
    </r>
    <r>
      <rPr>
        <sz val="10"/>
        <rFont val="Noto Sans CJK SC"/>
        <family val="2"/>
        <charset val="1"/>
      </rPr>
      <t xml:space="preserve">, PNF, </t>
    </r>
    <r>
      <rPr>
        <sz val="10"/>
        <rFont val="WenQuanYi Zen Hei"/>
        <family val="2"/>
      </rPr>
      <t xml:space="preserve">예심 개시</t>
    </r>
  </si>
  <si>
    <t xml:space="preserve">La riposte du pouvoir</t>
  </si>
  <si>
    <t xml:space="preserve">권력의 반격</t>
  </si>
  <si>
    <r>
      <rPr>
        <sz val="10"/>
        <rFont val="WenQuanYi Zen Hei"/>
        <family val="2"/>
      </rPr>
      <t xml:space="preserve">명예훼손 소송과 여론전</t>
    </r>
    <r>
      <rPr>
        <sz val="10"/>
        <rFont val="Noto Sans CJK SC"/>
        <family val="2"/>
        <charset val="1"/>
      </rPr>
      <t xml:space="preserve">. Sartre</t>
    </r>
    <r>
      <rPr>
        <sz val="10"/>
        <rFont val="WenQuanYi Zen Hei"/>
        <family val="2"/>
      </rPr>
      <t xml:space="preserve">와 </t>
    </r>
    <r>
      <rPr>
        <sz val="10"/>
        <rFont val="Noto Sans CJK SC"/>
        <family val="2"/>
        <charset val="1"/>
      </rPr>
      <t xml:space="preserve">Hugo</t>
    </r>
    <r>
      <rPr>
        <sz val="10"/>
        <rFont val="WenQuanYi Zen Hei"/>
        <family val="2"/>
      </rPr>
      <t xml:space="preserve">가 대응 메시지를 설계한다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</si>
  <si>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명예훼손 소송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반론권</t>
    </r>
  </si>
  <si>
    <t xml:space="preserve">Hugo, Sartre</t>
  </si>
  <si>
    <t xml:space="preserve">La loyauté à l'épreuve</t>
  </si>
  <si>
    <t xml:space="preserve">시험대에 오른 의리</t>
  </si>
  <si>
    <r>
      <rPr>
        <sz val="10"/>
        <rFont val="WenQuanYi Zen Hei"/>
        <family val="2"/>
      </rPr>
      <t xml:space="preserve">대선에 누가 나설지 당내 경선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서운함과 화해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</si>
  <si>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당내 경선</t>
    </r>
    <r>
      <rPr>
        <sz val="10"/>
        <rFont val="Noto Sans CJK SC"/>
        <family val="2"/>
        <charset val="1"/>
      </rPr>
      <t xml:space="preserve">(primaire), </t>
    </r>
    <r>
      <rPr>
        <sz val="10"/>
        <rFont val="WenQuanYi Zen Hei"/>
        <family val="2"/>
      </rPr>
      <t xml:space="preserve">정관</t>
    </r>
  </si>
  <si>
    <t xml:space="preserve">Léa, Karim, Julien</t>
  </si>
  <si>
    <t xml:space="preserve">Cap sur l'Élysée</t>
  </si>
  <si>
    <t xml:space="preserve">엘리제를 향해</t>
  </si>
  <si>
    <r>
      <rPr>
        <sz val="10"/>
        <rFont val="WenQuanYi Zen Hei"/>
        <family val="2"/>
      </rPr>
      <t xml:space="preserve">현직 대통령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이 연임 제한으로 불출마하는 대선이 </t>
    </r>
    <r>
      <rPr>
        <sz val="10"/>
        <rFont val="Noto Sans CJK SC"/>
        <family val="2"/>
        <charset val="1"/>
      </rPr>
      <t xml:space="preserve">8</t>
    </r>
    <r>
      <rPr>
        <sz val="10"/>
        <rFont val="WenQuanYi Zen Hei"/>
        <family val="2"/>
      </rPr>
      <t xml:space="preserve">개월 앞으로 다가온다</t>
    </r>
    <r>
      <rPr>
        <sz val="10"/>
        <rFont val="Noto Sans CJK SC"/>
        <family val="2"/>
        <charset val="1"/>
      </rPr>
      <t xml:space="preserve">. Nicolas</t>
    </r>
    <r>
      <rPr>
        <sz val="10"/>
        <rFont val="WenQuanYi Zen Hei"/>
        <family val="2"/>
      </rPr>
      <t xml:space="preserve">가 출마를 선언하고 </t>
    </r>
    <r>
      <rPr>
        <sz val="10"/>
        <rFont val="Noto Sans CJK SC"/>
        <family val="2"/>
        <charset val="1"/>
      </rPr>
      <t xml:space="preserve">Maison Commune</t>
    </r>
    <r>
      <rPr>
        <sz val="10"/>
        <rFont val="WenQuanYi Zen Hei"/>
        <family val="2"/>
      </rPr>
      <t xml:space="preserve">은 선출직 </t>
    </r>
    <r>
      <rPr>
        <sz val="10"/>
        <rFont val="Noto Sans CJK SC"/>
        <family val="2"/>
        <charset val="1"/>
      </rPr>
      <t xml:space="preserve">500</t>
    </r>
    <r>
      <rPr>
        <sz val="10"/>
        <rFont val="WenQuanYi Zen Hei"/>
        <family val="2"/>
      </rPr>
      <t xml:space="preserve">명의 추천서</t>
    </r>
    <r>
      <rPr>
        <sz val="10"/>
        <rFont val="Noto Sans CJK SC"/>
        <family val="2"/>
        <charset val="1"/>
      </rPr>
      <t xml:space="preserve">(parrainages) </t>
    </r>
    <r>
      <rPr>
        <sz val="10"/>
        <rFont val="WenQuanYi Zen Hei"/>
        <family val="2"/>
      </rPr>
      <t xml:space="preserve">모으기부터 시작한다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</si>
  <si>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대통령 연임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회 제한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6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추천서 </t>
    </r>
    <r>
      <rPr>
        <sz val="10"/>
        <rFont val="Noto Sans CJK SC"/>
        <family val="2"/>
        <charset val="1"/>
      </rPr>
      <t xml:space="preserve">500</t>
    </r>
    <r>
      <rPr>
        <sz val="10"/>
        <rFont val="WenQuanYi Zen Hei"/>
        <family val="2"/>
      </rPr>
      <t xml:space="preserve">장</t>
    </r>
    <r>
      <rPr>
        <sz val="10"/>
        <rFont val="Noto Sans CJK SC"/>
        <family val="2"/>
        <charset val="1"/>
      </rPr>
      <t xml:space="preserve">·30</t>
    </r>
    <r>
      <rPr>
        <sz val="10"/>
        <rFont val="WenQuanYi Zen Hei"/>
        <family val="2"/>
      </rPr>
      <t xml:space="preserve">개 도 이상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한 도 </t>
    </r>
    <r>
      <rPr>
        <sz val="10"/>
        <rFont val="Noto Sans CJK SC"/>
        <family val="2"/>
        <charset val="1"/>
      </rPr>
      <t xml:space="preserve">10% </t>
    </r>
    <r>
      <rPr>
        <sz val="10"/>
        <rFont val="WenQuanYi Zen Hei"/>
        <family val="2"/>
      </rPr>
      <t xml:space="preserve">이하</t>
    </r>
  </si>
  <si>
    <t xml:space="preserve">Nicolas, Léa, Jeanne</t>
  </si>
  <si>
    <t xml:space="preserve">Cinq cents parrainages</t>
  </si>
  <si>
    <r>
      <rPr>
        <sz val="10"/>
        <rFont val="WenQuanYi Zen Hei"/>
        <family val="2"/>
      </rPr>
      <t xml:space="preserve">추천서 </t>
    </r>
    <r>
      <rPr>
        <sz val="10"/>
        <rFont val="Noto Sans CJK SC"/>
        <family val="2"/>
        <charset val="1"/>
      </rPr>
      <t xml:space="preserve">500</t>
    </r>
    <r>
      <rPr>
        <sz val="10"/>
        <rFont val="WenQuanYi Zen Hei"/>
        <family val="2"/>
      </rPr>
      <t xml:space="preserve">장</t>
    </r>
  </si>
  <si>
    <r>
      <rPr>
        <sz val="10"/>
        <rFont val="WenQuanYi Zen Hei"/>
        <family val="2"/>
      </rPr>
      <t xml:space="preserve">대선 소집 명령이 관보에 실리고 헌법재판소</t>
    </r>
    <r>
      <rPr>
        <sz val="10"/>
        <rFont val="Noto Sans CJK SC"/>
        <family val="2"/>
        <charset val="1"/>
      </rPr>
      <t xml:space="preserve">(Conseil constitutionnel)</t>
    </r>
    <r>
      <rPr>
        <sz val="10"/>
        <rFont val="WenQuanYi Zen Hei"/>
        <family val="2"/>
      </rPr>
      <t xml:space="preserve">가 추천서를 받기 시작한다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파리 시의원 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명으로는 턱없이 부족하다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</si>
  <si>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추천서</t>
    </r>
    <r>
      <rPr>
        <sz val="10"/>
        <rFont val="Noto Sans CJK SC"/>
        <family val="2"/>
        <charset val="1"/>
      </rPr>
      <t xml:space="preserve">(parrainages) </t>
    </r>
    <r>
      <rPr>
        <sz val="10"/>
        <rFont val="WenQuanYi Zen Hei"/>
        <family val="2"/>
      </rPr>
      <t xml:space="preserve">공개 제도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헌법재판소 접수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후보 명단 공고</t>
    </r>
  </si>
  <si>
    <t xml:space="preserve">Léa, Jeanne, Monique</t>
  </si>
  <si>
    <t xml:space="preserve">La tournée des maires</t>
  </si>
  <si>
    <t xml:space="preserve">시장들을 찾아서</t>
  </si>
  <si>
    <r>
      <rPr>
        <sz val="10"/>
        <rFont val="WenQuanYi Zen Hei"/>
        <family val="2"/>
      </rPr>
      <t xml:space="preserve">전국 농촌 순회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학교도 병원도 문을 닫은 </t>
    </r>
    <r>
      <rPr>
        <sz val="10"/>
        <rFont val="Noto Sans CJK SC"/>
        <family val="2"/>
        <charset val="1"/>
      </rPr>
      <t xml:space="preserve">Jeanne</t>
    </r>
    <r>
      <rPr>
        <sz val="10"/>
        <rFont val="WenQuanYi Zen Hei"/>
        <family val="2"/>
      </rPr>
      <t xml:space="preserve">의 고향 </t>
    </r>
    <r>
      <rPr>
        <sz val="10"/>
        <rFont val="Noto Sans CJK SC"/>
        <family val="2"/>
        <charset val="1"/>
      </rPr>
      <t xml:space="preserve">Domrémy </t>
    </r>
    <r>
      <rPr>
        <sz val="10"/>
        <rFont val="WenQuanYi Zen Hei"/>
        <family val="2"/>
      </rPr>
      <t xml:space="preserve">근처 마을들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가뭄으로 마른 저수지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영농형 태양광 단지를 둘러싼 찬반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시골 시장들이 한 장씩 서명한다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</si>
  <si>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농촌 공동화</t>
    </r>
    <r>
      <rPr>
        <sz val="10"/>
        <rFont val="Noto Sans CJK SC"/>
        <family val="2"/>
        <charset val="1"/>
      </rPr>
      <t xml:space="preserve">(diagonale du vide), </t>
    </r>
    <r>
      <rPr>
        <sz val="10"/>
        <rFont val="WenQuanYi Zen Hei"/>
        <family val="2"/>
      </rPr>
      <t xml:space="preserve">시장의 추천권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재생에너지 입지</t>
    </r>
  </si>
  <si>
    <t xml:space="preserve">Jeanne, Hugo, Nicolas</t>
  </si>
  <si>
    <t xml:space="preserve">N5·S3·S4</t>
  </si>
  <si>
    <t xml:space="preserve">Le débat à douze</t>
  </si>
  <si>
    <t xml:space="preserve">다자 토론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</si>
  <si>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 투표 전 다자 </t>
    </r>
    <r>
      <rPr>
        <sz val="10"/>
        <rFont val="Arial"/>
        <family val="0"/>
        <charset val="1"/>
      </rPr>
      <t xml:space="preserve">TV </t>
    </r>
    <r>
      <rPr>
        <sz val="10"/>
        <rFont val="WenQuanYi Zen Hei"/>
        <family val="2"/>
      </rPr>
      <t xml:space="preserve">토론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발언 시간 균등 원칙 속에서 </t>
    </r>
    <r>
      <rPr>
        <sz val="10"/>
        <rFont val="Arial"/>
        <family val="0"/>
        <charset val="1"/>
      </rPr>
      <t xml:space="preserve">Nicolas</t>
    </r>
    <r>
      <rPr>
        <sz val="10"/>
        <rFont val="WenQuanYi Zen Hei"/>
        <family val="2"/>
      </rPr>
      <t xml:space="preserve">의 첫 </t>
    </r>
    <r>
      <rPr>
        <sz val="10"/>
        <rFont val="Arial"/>
        <family val="0"/>
        <charset val="1"/>
      </rPr>
      <t xml:space="preserve">TV </t>
    </r>
    <r>
      <rPr>
        <sz val="10"/>
        <rFont val="WenQuanYi Zen Hei"/>
        <family val="2"/>
      </rPr>
      <t xml:space="preserve">토론</t>
    </r>
    <r>
      <rPr>
        <sz val="10"/>
        <rFont val="Arial"/>
        <family val="0"/>
        <charset val="1"/>
      </rPr>
      <t xml:space="preserve">. Manon</t>
    </r>
    <r>
      <rPr>
        <sz val="10"/>
        <rFont val="WenQuanYi Zen Hei"/>
        <family val="2"/>
      </rPr>
      <t xml:space="preserve">이 준비한 질문 목록이 승부를 가른다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</si>
  <si>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공식 선거운동 기간 발언 시간 균등</t>
    </r>
    <r>
      <rPr>
        <sz val="10"/>
        <rFont val="Noto Sans CJK SC"/>
        <family val="2"/>
        <charset val="1"/>
      </rPr>
      <t xml:space="preserve">(Arcom), </t>
    </r>
    <r>
      <rPr>
        <sz val="10"/>
        <rFont val="WenQuanYi Zen Hei"/>
        <family val="2"/>
      </rPr>
      <t xml:space="preserve">토론 규칙은 방송사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캠프 협상</t>
    </r>
  </si>
  <si>
    <t xml:space="preserve">Nicolas, Manon, Sartre</t>
  </si>
  <si>
    <t xml:space="preserve">N4·S2·N3·P2·S1</t>
  </si>
  <si>
    <t xml:space="preserve">Le premier tour</t>
  </si>
  <si>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차 투표의 밤</t>
    </r>
  </si>
  <si>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시 출구 추정치</t>
    </r>
    <r>
      <rPr>
        <sz val="10"/>
        <rFont val="Arial"/>
        <family val="0"/>
        <charset val="1"/>
      </rPr>
      <t xml:space="preserve">. FS </t>
    </r>
    <r>
      <rPr>
        <sz val="10"/>
        <rFont val="WenQuanYi Zen Hei"/>
        <family val="2"/>
      </rPr>
      <t xml:space="preserve">후보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Arial"/>
        <family val="0"/>
        <charset val="1"/>
      </rPr>
      <t xml:space="preserve">, Nicolas 2</t>
    </r>
    <r>
      <rPr>
        <sz val="10"/>
        <rFont val="WenQuanYi Zen Hei"/>
        <family val="2"/>
      </rPr>
      <t xml:space="preserve">위로 결선 진출</t>
    </r>
    <r>
      <rPr>
        <sz val="10"/>
        <rFont val="Arial"/>
        <family val="0"/>
        <charset val="1"/>
      </rPr>
      <t xml:space="preserve">, UCN</t>
    </r>
    <r>
      <rPr>
        <sz val="10"/>
        <rFont val="WenQuanYi Zen Hei"/>
        <family val="2"/>
      </rPr>
      <t xml:space="preserve">은 근소한 차이로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 수치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</si>
  <si>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회 투표제</t>
    </r>
    <r>
      <rPr>
        <sz val="10"/>
        <rFont val="Arial"/>
        <family val="0"/>
        <charset val="1"/>
      </rPr>
      <t xml:space="preserve">: 1</t>
    </r>
    <r>
      <rPr>
        <sz val="10"/>
        <rFont val="WenQuanYi Zen Hei"/>
        <family val="2"/>
      </rPr>
      <t xml:space="preserve">차에서 과반 없으면 상위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인 결선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)</t>
    </r>
  </si>
  <si>
    <t xml:space="preserve">L'entre-deux-tours</t>
  </si>
  <si>
    <r>
      <rPr>
        <sz val="10"/>
        <rFont val="WenQuanYi Zen Hei"/>
        <family val="2"/>
      </rPr>
      <t xml:space="preserve">결선까지의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주</t>
    </r>
  </si>
  <si>
    <r>
      <rPr>
        <sz val="10"/>
        <rFont val="WenQuanYi Zen Hei"/>
        <family val="2"/>
      </rPr>
      <t xml:space="preserve">탈락한 후보들의 지지 선언을 둘러싼 협상</t>
    </r>
    <r>
      <rPr>
        <sz val="10"/>
        <rFont val="Arial"/>
        <family val="0"/>
        <charset val="1"/>
      </rPr>
      <t xml:space="preserve">. Léa</t>
    </r>
    <r>
      <rPr>
        <sz val="10"/>
        <rFont val="WenQuanYi Zen Hei"/>
        <family val="2"/>
      </rPr>
      <t xml:space="preserve">의 계산과 </t>
    </r>
    <r>
      <rPr>
        <sz val="10"/>
        <rFont val="Arial"/>
        <family val="0"/>
        <charset val="1"/>
      </rPr>
      <t xml:space="preserve">Karim</t>
    </r>
    <r>
      <rPr>
        <sz val="10"/>
        <rFont val="WenQuanYi Zen Hei"/>
        <family val="2"/>
      </rPr>
      <t xml:space="preserve">의 원칙 논쟁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</si>
  <si>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결선 전 지지 선언</t>
    </r>
    <r>
      <rPr>
        <sz val="10"/>
        <rFont val="Noto Sans CJK SC"/>
        <family val="2"/>
        <charset val="1"/>
      </rPr>
      <t xml:space="preserve">(appel à voter), </t>
    </r>
    <r>
      <rPr>
        <sz val="10"/>
        <rFont val="WenQuanYi Zen Hei"/>
        <family val="2"/>
      </rPr>
      <t xml:space="preserve">표의 이동</t>
    </r>
    <r>
      <rPr>
        <sz val="10"/>
        <rFont val="Noto Sans CJK SC"/>
        <family val="2"/>
        <charset val="1"/>
      </rPr>
      <t xml:space="preserve">(report de voix)</t>
    </r>
  </si>
  <si>
    <t xml:space="preserve">Léa, Karim, Nicolas</t>
  </si>
  <si>
    <t xml:space="preserve">Le débat d'entre-deux-tours</t>
  </si>
  <si>
    <r>
      <rPr>
        <sz val="10"/>
        <rFont val="WenQuanYi Zen Hei"/>
        <family val="2"/>
      </rPr>
      <t xml:space="preserve">결선 </t>
    </r>
    <r>
      <rPr>
        <sz val="10"/>
        <rFont val="Noto Sans CJK SC"/>
        <family val="2"/>
        <charset val="1"/>
      </rPr>
      <t xml:space="preserve">TV </t>
    </r>
    <r>
      <rPr>
        <sz val="10"/>
        <rFont val="WenQuanYi Zen Hei"/>
        <family val="2"/>
      </rPr>
      <t xml:space="preserve">토론</t>
    </r>
  </si>
  <si>
    <r>
      <rPr>
        <sz val="10"/>
        <rFont val="WenQuanYi Zen Hei"/>
        <family val="2"/>
      </rPr>
      <t xml:space="preserve">두 후보의 단 한 번의 결선 토론</t>
    </r>
    <r>
      <rPr>
        <sz val="10"/>
        <rFont val="Arial"/>
        <family val="0"/>
        <charset val="1"/>
      </rPr>
      <t xml:space="preserve">. Nicolas</t>
    </r>
    <r>
      <rPr>
        <sz val="10"/>
        <rFont val="WenQuanYi Zen Hei"/>
        <family val="2"/>
      </rPr>
      <t xml:space="preserve">가 처음으로 조항이 아니라 사람 이야기로 말한다</t>
    </r>
    <r>
      <rPr>
        <sz val="10"/>
        <rFont val="Arial"/>
        <family val="0"/>
        <charset val="1"/>
      </rPr>
      <t xml:space="preserve">. Napoléon</t>
    </r>
    <r>
      <rPr>
        <sz val="10"/>
        <rFont val="WenQuanYi Zen Hei"/>
        <family val="2"/>
      </rPr>
      <t xml:space="preserve">의 해설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</si>
  <si>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결선 토론 관행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토론 수사</t>
    </r>
  </si>
  <si>
    <t xml:space="preserve">Nicolas, Napoléon, Manon</t>
  </si>
  <si>
    <t xml:space="preserve">E1·E3</t>
  </si>
  <si>
    <t xml:space="preserve">Le second tour</t>
  </si>
  <si>
    <t xml:space="preserve">결선 투표</t>
  </si>
  <si>
    <r>
      <rPr>
        <sz val="10"/>
        <rFont val="Arial"/>
        <family val="0"/>
        <charset val="1"/>
      </rPr>
      <t xml:space="preserve">Nicolas </t>
    </r>
    <r>
      <rPr>
        <sz val="10"/>
        <rFont val="WenQuanYi Zen Hei"/>
        <family val="2"/>
      </rPr>
      <t xml:space="preserve">당선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 수치</t>
    </r>
    <r>
      <rPr>
        <sz val="10"/>
        <rFont val="Arial"/>
        <family val="0"/>
        <charset val="1"/>
      </rPr>
      <t xml:space="preserve">). 20</t>
    </r>
    <r>
      <rPr>
        <sz val="10"/>
        <rFont val="WenQuanYi Zen Hei"/>
        <family val="2"/>
      </rPr>
      <t xml:space="preserve">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화면에 얼굴이 뜨는 순간 </t>
    </r>
    <r>
      <rPr>
        <sz val="10"/>
        <rFont val="Arial"/>
        <family val="0"/>
        <charset val="1"/>
      </rPr>
      <t xml:space="preserve">Monique</t>
    </r>
    <r>
      <rPr>
        <sz val="10"/>
        <rFont val="WenQuanYi Zen Hei"/>
        <family val="2"/>
      </rPr>
      <t xml:space="preserve">의 비스트로가 조용해진다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</si>
  <si>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결선 결과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출구 추정치</t>
    </r>
    <r>
      <rPr>
        <sz val="10"/>
        <rFont val="Arial"/>
        <family val="0"/>
        <charset val="1"/>
      </rPr>
      <t xml:space="preserve">(estimation)</t>
    </r>
  </si>
  <si>
    <t xml:space="preserve">La Proclamation</t>
  </si>
  <si>
    <t xml:space="preserve">결과 선포와 취임</t>
  </si>
  <si>
    <r>
      <rPr>
        <sz val="10"/>
        <rFont val="WenQuanYi Zen Hei"/>
        <family val="2"/>
      </rPr>
      <t xml:space="preserve">헌법재판소장이 공식 결과를 선포하고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엘리제궁에서 권한 이양식이 열린다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레지옹 도뇌르 대훈장 목걸이를 받는 </t>
    </r>
    <r>
      <rPr>
        <sz val="10"/>
        <rFont val="Noto Sans CJK SC"/>
        <family val="2"/>
        <charset val="1"/>
      </rPr>
      <t xml:space="preserve">Nicolas</t>
    </r>
    <r>
      <rPr>
        <sz val="10"/>
        <rFont val="WenQuanYi Zen Hei"/>
        <family val="2"/>
      </rPr>
      <t xml:space="preserve">에게 </t>
    </r>
    <r>
      <rPr>
        <sz val="10"/>
        <rFont val="Noto Sans CJK SC"/>
        <family val="2"/>
        <charset val="1"/>
      </rPr>
      <t xml:space="preserve">Napoléon</t>
    </r>
    <r>
      <rPr>
        <sz val="10"/>
        <rFont val="WenQuanYi Zen Hei"/>
        <family val="2"/>
      </rPr>
      <t xml:space="preserve">이 </t>
    </r>
    <r>
      <rPr>
        <sz val="10"/>
        <rFont val="Noto Sans CJK SC"/>
        <family val="2"/>
        <charset val="1"/>
      </rPr>
      <t xml:space="preserve">«C'est moi qui l'ai créée, cette Légion.»</t>
    </r>
  </si>
  <si>
    <r>
      <rPr>
        <sz val="10"/>
        <rFont val="WenQuanYi Zen Hei"/>
        <family val="2"/>
      </rPr>
      <t xml:space="preserve">결과 선포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58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취임식</t>
    </r>
    <r>
      <rPr>
        <sz val="10"/>
        <rFont val="Noto Sans CJK SC"/>
        <family val="2"/>
        <charset val="1"/>
      </rPr>
      <t xml:space="preserve">(passation de pouvoirs) — </t>
    </r>
    <r>
      <rPr>
        <sz val="10"/>
        <rFont val="WenQuanYi Zen Hei"/>
        <family val="2"/>
      </rPr>
      <t xml:space="preserve">선서는 없다</t>
    </r>
  </si>
  <si>
    <r>
      <rPr>
        <sz val="10"/>
        <rFont val="Arial"/>
        <family val="0"/>
        <charset val="1"/>
      </rPr>
      <t xml:space="preserve">Nicolas, Napoléon, </t>
    </r>
    <r>
      <rPr>
        <sz val="10"/>
        <rFont val="WenQuanYi Zen Hei"/>
        <family val="2"/>
      </rPr>
      <t xml:space="preserve">헌법재판소장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</si>
  <si>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t xml:space="preserve">La Dissolution</t>
  </si>
  <si>
    <t xml:space="preserve">국회 해산</t>
  </si>
  <si>
    <r>
      <rPr>
        <sz val="10"/>
        <rFont val="WenQuanYi Zen Hei"/>
        <family val="2"/>
      </rPr>
      <t xml:space="preserve">하원에 </t>
    </r>
    <r>
      <rPr>
        <sz val="10"/>
        <rFont val="Noto Sans CJK SC"/>
        <family val="2"/>
        <charset val="1"/>
      </rPr>
      <t xml:space="preserve">Maison Commune </t>
    </r>
    <r>
      <rPr>
        <sz val="10"/>
        <rFont val="WenQuanYi Zen Hei"/>
        <family val="2"/>
      </rPr>
      <t xml:space="preserve">의석이 없다</t>
    </r>
    <r>
      <rPr>
        <sz val="10"/>
        <rFont val="Noto Sans CJK SC"/>
        <family val="2"/>
        <charset val="1"/>
      </rPr>
      <t xml:space="preserve">. Nicolas</t>
    </r>
    <r>
      <rPr>
        <sz val="10"/>
        <rFont val="WenQuanYi Zen Hei"/>
        <family val="2"/>
      </rPr>
      <t xml:space="preserve">가 국회를 해산하고 총선을 소집한다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당 내부의 원칙 논쟁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</si>
  <si>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대통령의 해산권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): 20~40</t>
    </r>
    <r>
      <rPr>
        <sz val="10"/>
        <rFont val="WenQuanYi Zen Hei"/>
        <family val="2"/>
      </rPr>
      <t xml:space="preserve">일 내 총선</t>
    </r>
    <r>
      <rPr>
        <sz val="10"/>
        <rFont val="Noto Sans CJK SC"/>
        <family val="2"/>
        <charset val="1"/>
      </rPr>
      <t xml:space="preserve">, 1</t>
    </r>
    <r>
      <rPr>
        <sz val="10"/>
        <rFont val="WenQuanYi Zen Hei"/>
        <family val="2"/>
      </rPr>
      <t xml:space="preserve">년 내 재해산 불가</t>
    </r>
  </si>
  <si>
    <t xml:space="preserve">Nicolas, Karim, Léa</t>
  </si>
  <si>
    <t xml:space="preserve">Les Législatives</t>
  </si>
  <si>
    <t xml:space="preserve">총선</t>
  </si>
  <si>
    <r>
      <rPr>
        <sz val="10"/>
        <rFont val="Arial"/>
        <family val="0"/>
        <charset val="1"/>
      </rPr>
      <t xml:space="preserve">577</t>
    </r>
    <r>
      <rPr>
        <sz val="10"/>
        <rFont val="WenQuanYi Zen Hei"/>
        <family val="2"/>
      </rPr>
      <t xml:space="preserve">개 선거구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회 투표</t>
    </r>
    <r>
      <rPr>
        <sz val="10"/>
        <rFont val="Arial"/>
        <family val="0"/>
        <charset val="1"/>
      </rPr>
      <t xml:space="preserve">. Maison Commune 198</t>
    </r>
    <r>
      <rPr>
        <sz val="10"/>
        <rFont val="WenQuanYi Zen Hei"/>
        <family val="2"/>
      </rPr>
      <t xml:space="preserve">석으로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당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그러나 과반 </t>
    </r>
    <r>
      <rPr>
        <sz val="10"/>
        <rFont val="Arial"/>
        <family val="0"/>
        <charset val="1"/>
      </rPr>
      <t xml:space="preserve">289</t>
    </r>
    <r>
      <rPr>
        <sz val="10"/>
        <rFont val="WenQuanYi Zen Hei"/>
        <family val="2"/>
      </rPr>
      <t xml:space="preserve">석에는 </t>
    </r>
    <r>
      <rPr>
        <sz val="10"/>
        <rFont val="Arial"/>
        <family val="0"/>
        <charset val="1"/>
      </rPr>
      <t xml:space="preserve">91</t>
    </r>
    <r>
      <rPr>
        <sz val="10"/>
        <rFont val="WenQuanYi Zen Hei"/>
        <family val="2"/>
      </rPr>
      <t xml:space="preserve">석 모자란다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 수치</t>
    </r>
    <r>
      <rPr>
        <sz val="10"/>
        <rFont val="Arial"/>
        <family val="0"/>
        <charset val="1"/>
      </rPr>
      <t xml:space="preserve">).</t>
    </r>
  </si>
  <si>
    <r>
      <rPr>
        <sz val="10"/>
        <rFont val="WenQuanYi Zen Hei"/>
        <family val="2"/>
      </rPr>
      <t xml:space="preserve">소선거구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회 투표제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결선 진출 </t>
    </r>
    <r>
      <rPr>
        <sz val="10"/>
        <rFont val="Arial"/>
        <family val="0"/>
        <charset val="1"/>
      </rPr>
      <t xml:space="preserve">12.5%(</t>
    </r>
    <r>
      <rPr>
        <sz val="10"/>
        <rFont val="WenQuanYi Zen Hei"/>
        <family val="2"/>
      </rPr>
      <t xml:space="preserve">등록 유권자 대비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과반 </t>
    </r>
    <r>
      <rPr>
        <sz val="10"/>
        <rFont val="Arial"/>
        <family val="0"/>
        <charset val="1"/>
      </rPr>
      <t xml:space="preserve">289</t>
    </r>
    <r>
      <rPr>
        <sz val="10"/>
        <rFont val="WenQuanYi Zen Hei"/>
        <family val="2"/>
      </rPr>
      <t xml:space="preserve">석</t>
    </r>
  </si>
  <si>
    <t xml:space="preserve">Matignon</t>
  </si>
  <si>
    <t xml:space="preserve">마티뇽</t>
  </si>
  <si>
    <r>
      <rPr>
        <sz val="10"/>
        <rFont val="WenQuanYi Zen Hei"/>
        <family val="2"/>
      </rPr>
      <t xml:space="preserve">총리 인선과 지지 협상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대통령은 총리를 자유롭게 임명하지만 하원이 불신임할 수 있다</t>
    </r>
    <r>
      <rPr>
        <sz val="10"/>
        <rFont val="Arial"/>
        <family val="0"/>
        <charset val="1"/>
      </rPr>
      <t xml:space="preserve">. Nicolas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Olympe</t>
    </r>
    <r>
      <rPr>
        <sz val="10"/>
        <rFont val="WenQuanYi Zen Hei"/>
        <family val="2"/>
      </rPr>
      <t xml:space="preserve">를 총리로 임명하고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지역 정당 연합 </t>
    </r>
    <r>
      <rPr>
        <sz val="10"/>
        <rFont val="Arial"/>
        <family val="0"/>
        <charset val="1"/>
      </rPr>
      <t xml:space="preserve">CT</t>
    </r>
    <r>
      <rPr>
        <sz val="10"/>
        <rFont val="WenQuanYi Zen Hei"/>
        <family val="2"/>
      </rPr>
      <t xml:space="preserve">와 코르시카 자치 협상 조건을 두고 밤샘한다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</si>
  <si>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총리 임명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8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정당 간 협약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상대다수 정부</t>
    </r>
  </si>
  <si>
    <t xml:space="preserve">Nicolas, Olympe, Léa, Julien, Philippe</t>
  </si>
  <si>
    <t xml:space="preserve">P2·P3·P1</t>
  </si>
  <si>
    <t xml:space="preserve">La voix qui manque</t>
  </si>
  <si>
    <t xml:space="preserve">모자란 한 표</t>
  </si>
  <si>
    <r>
      <rPr>
        <sz val="10"/>
        <rFont val="Arial"/>
        <family val="0"/>
        <charset val="1"/>
      </rPr>
      <t xml:space="preserve">Olympe</t>
    </r>
    <r>
      <rPr>
        <sz val="10"/>
        <rFont val="WenQuanYi Zen Hei"/>
        <family val="2"/>
      </rPr>
      <t xml:space="preserve">의 일반정책연설 직후 야당이 불신임안을 낸다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찬성 </t>
    </r>
    <r>
      <rPr>
        <sz val="10"/>
        <rFont val="Arial"/>
        <family val="0"/>
        <charset val="1"/>
      </rPr>
      <t xml:space="preserve">288</t>
    </r>
    <r>
      <rPr>
        <sz val="10"/>
        <rFont val="WenQuanYi Zen Hei"/>
        <family val="2"/>
      </rPr>
      <t xml:space="preserve">표 — 과반 </t>
    </r>
    <r>
      <rPr>
        <sz val="10"/>
        <rFont val="Arial"/>
        <family val="0"/>
        <charset val="1"/>
      </rPr>
      <t xml:space="preserve">289</t>
    </r>
    <r>
      <rPr>
        <sz val="10"/>
        <rFont val="WenQuanYi Zen Hei"/>
        <family val="2"/>
      </rPr>
      <t xml:space="preserve">에 딱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표 부족해 부결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하원의장이 결과를 낭독한다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</si>
  <si>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불신임안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49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항</t>
    </r>
    <r>
      <rPr>
        <sz val="10"/>
        <rFont val="Arial"/>
        <family val="0"/>
        <charset val="1"/>
      </rPr>
      <t xml:space="preserve">): </t>
    </r>
    <r>
      <rPr>
        <sz val="10"/>
        <rFont val="WenQuanYi Zen Hei"/>
        <family val="2"/>
      </rPr>
      <t xml:space="preserve">찬성표만 집계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재적 과반 </t>
    </r>
    <r>
      <rPr>
        <sz val="10"/>
        <rFont val="Arial"/>
        <family val="0"/>
        <charset val="1"/>
      </rPr>
      <t xml:space="preserve">289</t>
    </r>
    <r>
      <rPr>
        <sz val="10"/>
        <rFont val="WenQuanYi Zen Hei"/>
        <family val="2"/>
      </rPr>
      <t xml:space="preserve">표</t>
    </r>
  </si>
  <si>
    <r>
      <rPr>
        <sz val="10"/>
        <rFont val="Arial"/>
        <family val="0"/>
        <charset val="1"/>
      </rPr>
      <t xml:space="preserve">Olympe, Nicolas, </t>
    </r>
    <r>
      <rPr>
        <sz val="10"/>
        <rFont val="WenQuanYi Zen Hei"/>
        <family val="2"/>
      </rPr>
      <t xml:space="preserve">하원의장</t>
    </r>
  </si>
  <si>
    <t xml:space="preserve">Le premier Conseil des ministres</t>
  </si>
  <si>
    <t xml:space="preserve">첫 국무회의</t>
  </si>
  <si>
    <r>
      <rPr>
        <sz val="10"/>
        <rFont val="WenQuanYi Zen Hei"/>
        <family val="2"/>
      </rPr>
      <t xml:space="preserve">첫 수요일 국무회의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대통령이 주재하는 엘리제의 어색한 첫날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임대료 시위가 마티뇽 앞까지 온다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</si>
  <si>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국무회의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수요일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대통령 주재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장관 임명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총리 제청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대통령 임명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)</t>
    </r>
  </si>
  <si>
    <t xml:space="preserve">Nicolas, Olympe, Léa</t>
  </si>
  <si>
    <t xml:space="preserve">P1·E1</t>
  </si>
  <si>
    <t xml:space="preserve">Les propriétaires invisibles</t>
  </si>
  <si>
    <t xml:space="preserve">보이지 않는 집주인들</t>
  </si>
  <si>
    <r>
      <rPr>
        <sz val="10"/>
        <rFont val="Arial"/>
        <family val="0"/>
        <charset val="1"/>
      </rPr>
      <t xml:space="preserve">Julien·Philippe</t>
    </r>
    <r>
      <rPr>
        <sz val="10"/>
        <rFont val="WenQuanYi Zen Hei"/>
        <family val="2"/>
      </rPr>
      <t xml:space="preserve">가 투자 펀드의 주택 매입을 부동산 민간회사</t>
    </r>
    <r>
      <rPr>
        <sz val="10"/>
        <rFont val="Arial"/>
        <family val="0"/>
        <charset val="1"/>
      </rPr>
      <t xml:space="preserve">(SCI)·</t>
    </r>
    <r>
      <rPr>
        <sz val="10"/>
        <rFont val="WenQuanYi Zen Hei"/>
        <family val="2"/>
      </rPr>
      <t xml:space="preserve">자회사 구조로 추적한다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</si>
  <si>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실소유자 등록부</t>
    </r>
    <r>
      <rPr>
        <sz val="10"/>
        <rFont val="Noto Sans CJK SC"/>
        <family val="2"/>
        <charset val="1"/>
      </rPr>
      <t xml:space="preserve">(registre des bénéficiaires effectifs), TRACFIN</t>
    </r>
  </si>
  <si>
    <t xml:space="preserve">La loi Logement</t>
  </si>
  <si>
    <t xml:space="preserve">주거법</t>
  </si>
  <si>
    <r>
      <rPr>
        <sz val="10"/>
        <rFont val="WenQuanYi Zen Hei"/>
        <family val="2"/>
      </rPr>
      <t xml:space="preserve">주거법 개정안</t>
    </r>
    <r>
      <rPr>
        <sz val="10"/>
        <rFont val="Noto Sans CJK SC"/>
        <family val="2"/>
        <charset val="1"/>
      </rPr>
      <t xml:space="preserve">: Nicolas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부에서 설계했던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리노베이션 해지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허점을 막고 임대료 상한을 넓힌다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야당 의원 </t>
    </r>
    <r>
      <rPr>
        <sz val="10"/>
        <rFont val="Noto Sans CJK SC"/>
        <family val="2"/>
        <charset val="1"/>
      </rPr>
      <t xml:space="preserve">60</t>
    </r>
    <r>
      <rPr>
        <sz val="10"/>
        <rFont val="WenQuanYi Zen Hei"/>
        <family val="2"/>
      </rPr>
      <t xml:space="preserve">명이 헌법재판소에 위헌 심사를 청구한다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</si>
  <si>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법률의 사전 위헌 심사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61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재산권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주거권</t>
    </r>
  </si>
  <si>
    <t xml:space="preserve">Nicolas, Curie, Olympe</t>
  </si>
  <si>
    <t xml:space="preserve">Urgences saturées</t>
  </si>
  <si>
    <t xml:space="preserve">응급실 마비</t>
  </si>
  <si>
    <r>
      <rPr>
        <sz val="10"/>
        <rFont val="WenQuanYi Zen Hei"/>
        <family val="2"/>
      </rPr>
      <t xml:space="preserve">폭염이 겹쳐 응급실이 마비된다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보건부 장관 </t>
    </r>
    <r>
      <rPr>
        <sz val="10"/>
        <rFont val="Noto Sans CJK SC"/>
        <family val="2"/>
        <charset val="1"/>
      </rPr>
      <t xml:space="preserve">Camille</t>
    </r>
    <r>
      <rPr>
        <sz val="10"/>
        <rFont val="WenQuanYi Zen Hei"/>
        <family val="2"/>
      </rPr>
      <t xml:space="preserve">가 현장으로 달려가지만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병원 예산은 의회가 표결하는 사회보장재정법</t>
    </r>
    <r>
      <rPr>
        <sz val="10"/>
        <rFont val="Noto Sans CJK SC"/>
        <family val="2"/>
        <charset val="1"/>
      </rPr>
      <t xml:space="preserve">(LFSS)</t>
    </r>
    <r>
      <rPr>
        <sz val="10"/>
        <rFont val="WenQuanYi Zen Hei"/>
        <family val="2"/>
      </rPr>
      <t xml:space="preserve">의 지출 목표</t>
    </r>
    <r>
      <rPr>
        <sz val="10"/>
        <rFont val="Noto Sans CJK SC"/>
        <family val="2"/>
        <charset val="1"/>
      </rPr>
      <t xml:space="preserve">(ONDAM)</t>
    </r>
    <r>
      <rPr>
        <sz val="10"/>
        <rFont val="WenQuanYi Zen Hei"/>
        <family val="2"/>
      </rPr>
      <t xml:space="preserve">에 묶여 있음을 배운다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</si>
  <si>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지역보건청</t>
    </r>
    <r>
      <rPr>
        <sz val="10"/>
        <rFont val="Noto Sans CJK SC"/>
        <family val="2"/>
        <charset val="1"/>
      </rPr>
      <t xml:space="preserve">(ARS), </t>
    </r>
    <r>
      <rPr>
        <sz val="10"/>
        <rFont val="WenQuanYi Zen Hei"/>
        <family val="2"/>
      </rPr>
      <t xml:space="preserve">사회보장재정법</t>
    </r>
    <r>
      <rPr>
        <sz val="10"/>
        <rFont val="Noto Sans CJK SC"/>
        <family val="2"/>
        <charset val="1"/>
      </rPr>
      <t xml:space="preserve">(LFSS)·ONDAM, </t>
    </r>
    <r>
      <rPr>
        <sz val="10"/>
        <rFont val="WenQuanYi Zen Hei"/>
        <family val="2"/>
      </rPr>
      <t xml:space="preserve">병원 인력</t>
    </r>
  </si>
  <si>
    <t xml:space="preserve">Camille, Manon, Sartre, Nicolas</t>
  </si>
  <si>
    <t xml:space="preserve">S3·S4</t>
  </si>
  <si>
    <t xml:space="preserve">La Répartition</t>
  </si>
  <si>
    <t xml:space="preserve">분담</t>
  </si>
  <si>
    <r>
      <rPr>
        <sz val="10"/>
        <rFont val="WenQuanYi Zen Hei"/>
        <family val="2"/>
      </rPr>
      <t xml:space="preserve">파리 북부의 이주민 텐트촌과 보호자 없는 미성년 이주민</t>
    </r>
    <r>
      <rPr>
        <sz val="10"/>
        <rFont val="Noto Sans CJK SC"/>
        <family val="2"/>
        <charset val="1"/>
      </rPr>
      <t xml:space="preserve">(MNA)</t>
    </r>
    <r>
      <rPr>
        <sz val="10"/>
        <rFont val="WenQuanYi Zen Hei"/>
        <family val="2"/>
      </rPr>
      <t xml:space="preserve">의 수용이 한계에 달하고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아동 보호를 맡은 도</t>
    </r>
    <r>
      <rPr>
        <sz val="10"/>
        <rFont val="Noto Sans CJK SC"/>
        <family val="2"/>
        <charset val="1"/>
      </rPr>
      <t xml:space="preserve">(département)</t>
    </r>
    <r>
      <rPr>
        <sz val="10"/>
        <rFont val="WenQuanYi Zen Hei"/>
        <family val="2"/>
      </rPr>
      <t xml:space="preserve">들이 서로 떠넘긴다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국무회의가 전국 분산 수용을 추진하자 </t>
    </r>
    <r>
      <rPr>
        <sz val="10"/>
        <rFont val="Noto Sans CJK SC"/>
        <family val="2"/>
        <charset val="1"/>
      </rPr>
      <t xml:space="preserve">Monique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Belleville </t>
    </r>
    <r>
      <rPr>
        <sz val="10"/>
        <rFont val="WenQuanYi Zen Hei"/>
        <family val="2"/>
      </rPr>
      <t xml:space="preserve">이웃들의 이야기를 꺼낸다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</si>
  <si>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외국인체류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망명법전</t>
    </r>
    <r>
      <rPr>
        <sz val="10"/>
        <rFont val="Noto Sans CJK SC"/>
        <family val="2"/>
        <charset val="1"/>
      </rPr>
      <t xml:space="preserve">(CESEDA), 2024</t>
    </r>
    <r>
      <rPr>
        <sz val="10"/>
        <rFont val="WenQuanYi Zen Hei"/>
        <family val="2"/>
      </rPr>
      <t xml:space="preserve">년 이민법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아동보호</t>
    </r>
    <r>
      <rPr>
        <sz val="10"/>
        <rFont val="Noto Sans CJK SC"/>
        <family val="2"/>
        <charset val="1"/>
      </rPr>
      <t xml:space="preserve">(ASE)</t>
    </r>
    <r>
      <rPr>
        <sz val="10"/>
        <rFont val="WenQuanYi Zen Hei"/>
        <family val="2"/>
      </rPr>
      <t xml:space="preserve">는 도 권한</t>
    </r>
    <r>
      <rPr>
        <sz val="10"/>
        <rFont val="Noto Sans CJK SC"/>
        <family val="2"/>
        <charset val="1"/>
      </rPr>
      <t xml:space="preserve">, EU </t>
    </r>
    <r>
      <rPr>
        <sz val="10"/>
        <rFont val="WenQuanYi Zen Hei"/>
        <family val="2"/>
      </rPr>
      <t xml:space="preserve">이민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망명 협약</t>
    </r>
    <r>
      <rPr>
        <sz val="10"/>
        <rFont val="Noto Sans CJK SC"/>
        <family val="2"/>
        <charset val="1"/>
      </rPr>
      <t xml:space="preserve">(2026 </t>
    </r>
    <r>
      <rPr>
        <sz val="10"/>
        <rFont val="WenQuanYi Zen Hei"/>
        <family val="2"/>
      </rPr>
      <t xml:space="preserve">시행</t>
    </r>
    <r>
      <rPr>
        <sz val="10"/>
        <rFont val="Noto Sans CJK SC"/>
        <family val="2"/>
        <charset val="1"/>
      </rPr>
      <t xml:space="preserve">)</t>
    </r>
  </si>
  <si>
    <t xml:space="preserve">Nicolas, Monique, Camille, Karim</t>
  </si>
  <si>
    <t xml:space="preserve">La voix de la jeunesse</t>
  </si>
  <si>
    <t xml:space="preserve">청년들의 목소리</t>
  </si>
  <si>
    <r>
      <rPr>
        <sz val="10"/>
        <rFont val="WenQuanYi Zen Hei"/>
        <family val="2"/>
      </rPr>
      <t xml:space="preserve">청년 고용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인턴 처우 협상</t>
    </r>
    <r>
      <rPr>
        <sz val="10"/>
        <rFont val="Noto Sans CJK SC"/>
        <family val="2"/>
        <charset val="1"/>
      </rPr>
      <t xml:space="preserve">. Napoléon</t>
    </r>
    <r>
      <rPr>
        <sz val="10"/>
        <rFont val="WenQuanYi Zen Hei"/>
        <family val="2"/>
      </rPr>
      <t xml:space="preserve">이 </t>
    </r>
    <r>
      <rPr>
        <sz val="10"/>
        <rFont val="Noto Sans CJK SC"/>
        <family val="2"/>
        <charset val="1"/>
      </rPr>
      <t xml:space="preserve">Manon</t>
    </r>
    <r>
      <rPr>
        <sz val="10"/>
        <rFont val="WenQuanYi Zen Hei"/>
        <family val="2"/>
      </rPr>
      <t xml:space="preserve">의 청년 정책안을 놓고 평소처럼 투덜대며 조언한다 — 아직은 죽지 않는다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그러나 계단에서 배를 움켜쥐는 게 보인다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</si>
  <si>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사회적 대화</t>
    </r>
    <r>
      <rPr>
        <sz val="10"/>
        <rFont val="Noto Sans CJK SC"/>
        <family val="2"/>
        <charset val="1"/>
      </rPr>
      <t xml:space="preserve">(dialogue social): </t>
    </r>
    <r>
      <rPr>
        <sz val="10"/>
        <rFont val="WenQuanYi Zen Hei"/>
        <family val="2"/>
      </rPr>
      <t xml:space="preserve">정부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노조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경영계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인턴 수당</t>
    </r>
    <r>
      <rPr>
        <sz val="10"/>
        <rFont val="Noto Sans CJK SC"/>
        <family val="2"/>
        <charset val="1"/>
      </rPr>
      <t xml:space="preserve">(gratification)</t>
    </r>
  </si>
  <si>
    <t xml:space="preserve">Manon, Napoléon, Karim</t>
  </si>
  <si>
    <t xml:space="preserve">Le cartel des prix</t>
  </si>
  <si>
    <t xml:space="preserve">가격 카르텔</t>
  </si>
  <si>
    <r>
      <rPr>
        <sz val="10"/>
        <rFont val="WenQuanYi Zen Hei"/>
        <family val="2"/>
      </rPr>
      <t xml:space="preserve">도청 자료를 쓰자는 </t>
    </r>
    <r>
      <rPr>
        <sz val="10"/>
        <rFont val="Noto Sans CJK SC"/>
        <family val="2"/>
        <charset val="1"/>
      </rPr>
      <t xml:space="preserve">Curie vs </t>
    </r>
    <r>
      <rPr>
        <sz val="10"/>
        <rFont val="WenQuanYi Zen Hei"/>
        <family val="2"/>
      </rPr>
      <t xml:space="preserve">합법 경로만 쓰겠다는 </t>
    </r>
    <r>
      <rPr>
        <sz val="10"/>
        <rFont val="Noto Sans CJK SC"/>
        <family val="2"/>
        <charset val="1"/>
      </rPr>
      <t xml:space="preserve">Nicolas. </t>
    </r>
    <r>
      <rPr>
        <sz val="10"/>
        <rFont val="WenQuanYi Zen Hei"/>
        <family val="2"/>
      </rPr>
      <t xml:space="preserve">아직 살아 있는 </t>
    </r>
    <r>
      <rPr>
        <sz val="10"/>
        <rFont val="Noto Sans CJK SC"/>
        <family val="2"/>
        <charset val="1"/>
      </rPr>
      <t xml:space="preserve">Napoléon</t>
    </r>
    <r>
      <rPr>
        <sz val="10"/>
        <rFont val="WenQuanYi Zen Hei"/>
        <family val="2"/>
      </rPr>
      <t xml:space="preserve">이 둘의 다툼을 지켜보며 </t>
    </r>
    <r>
      <rPr>
        <sz val="10"/>
        <rFont val="Noto Sans CJK SC"/>
        <family val="2"/>
        <charset val="1"/>
      </rPr>
      <t xml:space="preserve">«</t>
    </r>
    <r>
      <rPr>
        <sz val="10"/>
        <rFont val="WenQuanYi Zen Hei"/>
        <family val="2"/>
      </rPr>
      <t xml:space="preserve">합법으로 이기면 느리지만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이기고 나면 아무도 뒤집지 못한다</t>
    </r>
    <r>
      <rPr>
        <sz val="10"/>
        <rFont val="Noto Sans CJK SC"/>
        <family val="2"/>
        <charset val="1"/>
      </rPr>
      <t xml:space="preserve">»</t>
    </r>
    <r>
      <rPr>
        <sz val="10"/>
        <rFont val="WenQuanYi Zen Hei"/>
        <family val="2"/>
      </rPr>
      <t xml:space="preserve">라고 거든다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</si>
  <si>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경쟁당국</t>
    </r>
    <r>
      <rPr>
        <sz val="10"/>
        <rFont val="Arial"/>
        <family val="0"/>
        <charset val="1"/>
      </rPr>
      <t xml:space="preserve">(Autorité de la concurrence, </t>
    </r>
    <r>
      <rPr>
        <sz val="10"/>
        <rFont val="WenQuanYi Zen Hei"/>
        <family val="2"/>
      </rPr>
      <t xml:space="preserve">상법전 </t>
    </r>
    <r>
      <rPr>
        <sz val="10"/>
        <rFont val="Arial"/>
        <family val="0"/>
        <charset val="1"/>
      </rPr>
      <t xml:space="preserve">L.420-1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증거의 적법성</t>
    </r>
  </si>
  <si>
    <t xml:space="preserve">Curie, Nicolas, Voltaire, Napoléon</t>
  </si>
  <si>
    <t xml:space="preserve">L'impôt sur les géants</t>
  </si>
  <si>
    <t xml:space="preserve">거인들에게 매기는 세금</t>
  </si>
  <si>
    <r>
      <rPr>
        <sz val="10"/>
        <rFont val="WenQuanYi Zen Hei"/>
        <family val="2"/>
      </rPr>
      <t xml:space="preserve">초고액 자산 최저세 논쟁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세금은 명령</t>
    </r>
    <r>
      <rPr>
        <sz val="10"/>
        <rFont val="Noto Sans CJK SC"/>
        <family val="2"/>
        <charset val="1"/>
      </rPr>
      <t xml:space="preserve">(décret)</t>
    </r>
    <r>
      <rPr>
        <sz val="10"/>
        <rFont val="WenQuanYi Zen Hei"/>
        <family val="2"/>
      </rPr>
      <t xml:space="preserve">이 아니라 법률로만 정할 수 있고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걷힌 돈을 전기요금과 에너지 전환에 어떻게 나눌지도 얽힌다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재계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은행의 반발을 </t>
    </r>
    <r>
      <rPr>
        <sz val="10"/>
        <rFont val="Noto Sans CJK SC"/>
        <family val="2"/>
        <charset val="1"/>
      </rPr>
      <t xml:space="preserve">Philippe</t>
    </r>
    <r>
      <rPr>
        <sz val="10"/>
        <rFont val="WenQuanYi Zen Hei"/>
        <family val="2"/>
      </rPr>
      <t xml:space="preserve">가 막는다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</si>
  <si>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조세는 법률 사항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34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재정법</t>
    </r>
    <r>
      <rPr>
        <sz val="10"/>
        <rFont val="Noto Sans CJK SC"/>
        <family val="2"/>
        <charset val="1"/>
      </rPr>
      <t xml:space="preserve">(loi de finances), </t>
    </r>
    <r>
      <rPr>
        <sz val="10"/>
        <rFont val="WenQuanYi Zen Hei"/>
        <family val="2"/>
      </rPr>
      <t xml:space="preserve">초과이윤 부담금 선례</t>
    </r>
    <r>
      <rPr>
        <sz val="10"/>
        <rFont val="Noto Sans CJK SC"/>
        <family val="2"/>
        <charset val="1"/>
      </rPr>
      <t xml:space="preserve">(2022)</t>
    </r>
  </si>
  <si>
    <t xml:space="preserve">Julien, Philippe, Olympe</t>
  </si>
  <si>
    <t xml:space="preserve">N5·S4</t>
  </si>
  <si>
    <t xml:space="preserve">En route pour Bruxelles</t>
  </si>
  <si>
    <t xml:space="preserve">브뤼셀로 가는 길</t>
  </si>
  <si>
    <r>
      <rPr>
        <sz val="10"/>
        <rFont val="Arial"/>
        <family val="0"/>
        <charset val="1"/>
      </rPr>
      <t xml:space="preserve">NATO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GDP 5% </t>
    </r>
    <r>
      <rPr>
        <sz val="10"/>
        <rFont val="WenQuanYi Zen Hei"/>
        <family val="2"/>
      </rPr>
      <t xml:space="preserve">목표</t>
    </r>
    <r>
      <rPr>
        <sz val="10"/>
        <rFont val="Arial"/>
        <family val="0"/>
        <charset val="1"/>
      </rPr>
      <t xml:space="preserve">(2035</t>
    </r>
    <r>
      <rPr>
        <sz val="10"/>
        <rFont val="WenQuanYi Zen Hei"/>
        <family val="2"/>
      </rPr>
      <t xml:space="preserve">년 시한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이행과 </t>
    </r>
    <r>
      <rPr>
        <sz val="10"/>
        <rFont val="Arial"/>
        <family val="0"/>
        <charset val="1"/>
      </rPr>
      <t xml:space="preserve">EU </t>
    </r>
    <r>
      <rPr>
        <sz val="10"/>
        <rFont val="WenQuanYi Zen Hei"/>
        <family val="2"/>
      </rPr>
      <t xml:space="preserve">과도한 적자 절차 협상이 겹친 대표단이 꾸려진다</t>
    </r>
    <r>
      <rPr>
        <sz val="10"/>
        <rFont val="Arial"/>
        <family val="0"/>
        <charset val="1"/>
      </rPr>
      <t xml:space="preserve">. Napoléon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«J'y vais.»</t>
    </r>
    <r>
      <rPr>
        <sz val="10"/>
        <rFont val="WenQuanYi Zen Hei"/>
        <family val="2"/>
      </rPr>
      <t xml:space="preserve">라고 자원한다 — 워털루 이후 처음 유럽 협상장에 서는 순간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짐을 싸며 </t>
    </r>
    <r>
      <rPr>
        <sz val="10"/>
        <rFont val="Arial"/>
        <family val="0"/>
        <charset val="1"/>
      </rPr>
      <t xml:space="preserve">Hugo</t>
    </r>
    <r>
      <rPr>
        <sz val="10"/>
        <rFont val="WenQuanYi Zen Hei"/>
        <family val="2"/>
      </rPr>
      <t xml:space="preserve">에게 두 종류의 지도자를 회상한다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건물에 금박 이름을 새기던 사업가 출신으로 이제 관세를 무기 삼아 카메라 앞에서 소리치는 인물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그리고 정보기관에서 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년을 보낸 뒤 이웃 나라 땅을 가져간 인물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이름도 국가도 끝내 말하지 않는다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실존 인물 실명 미사용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특징 묘사로만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</si>
  <si>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NATO </t>
    </r>
    <r>
      <rPr>
        <sz val="10"/>
        <rFont val="WenQuanYi Zen Hei"/>
        <family val="2"/>
      </rPr>
      <t xml:space="preserve">방위비 목표</t>
    </r>
    <r>
      <rPr>
        <sz val="10"/>
        <rFont val="Arial"/>
        <family val="0"/>
        <charset val="1"/>
      </rPr>
      <t xml:space="preserve">(2025 </t>
    </r>
    <r>
      <rPr>
        <sz val="10"/>
        <rFont val="WenQuanYi Zen Hei"/>
        <family val="2"/>
      </rPr>
      <t xml:space="preserve">헤이그 합의</t>
    </r>
    <r>
      <rPr>
        <sz val="10"/>
        <rFont val="Arial"/>
        <family val="0"/>
        <charset val="1"/>
      </rPr>
      <t xml:space="preserve">, 5%·2035</t>
    </r>
    <r>
      <rPr>
        <sz val="10"/>
        <rFont val="WenQuanYi Zen Hei"/>
        <family val="2"/>
      </rPr>
      <t xml:space="preserve">년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대통령의 외교권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52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특사 위임</t>
    </r>
  </si>
  <si>
    <t xml:space="preserve">Napoléon, Hugo, Julien</t>
  </si>
  <si>
    <t xml:space="preserve">N3</t>
  </si>
  <si>
    <t xml:space="preserve">La table de Bruxelles</t>
  </si>
  <si>
    <t xml:space="preserve">브뤼셀의 테이블</t>
  </si>
  <si>
    <r>
      <rPr>
        <sz val="10"/>
        <rFont val="WenQuanYi Zen Hei"/>
        <family val="2"/>
      </rPr>
      <t xml:space="preserve">직접 협상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상대측 인사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«La France promet toujours et ne tient jamais.»</t>
    </r>
    <r>
      <rPr>
        <sz val="10"/>
        <rFont val="WenQuanYi Zen Hei"/>
        <family val="2"/>
      </rPr>
      <t xml:space="preserve">라고 과장하자 </t>
    </r>
    <r>
      <rPr>
        <sz val="10"/>
        <rFont val="Noto Sans CJK SC"/>
        <family val="2"/>
        <charset val="1"/>
      </rPr>
      <t xml:space="preserve">Napoléon</t>
    </r>
    <r>
      <rPr>
        <sz val="10"/>
        <rFont val="WenQuanYi Zen Hei"/>
        <family val="2"/>
      </rPr>
      <t xml:space="preserve">이 밤새 읽은 기록으로 과거 약속과 이행 날짜를 정확히 짚어 반박한다</t>
    </r>
    <r>
      <rPr>
        <sz val="10"/>
        <rFont val="Noto Sans CJK SC"/>
        <family val="2"/>
        <charset val="1"/>
      </rPr>
      <t xml:space="preserve">. «Permettez-moi une précision.»</t>
    </r>
    <r>
      <rPr>
        <sz val="10"/>
        <rFont val="WenQuanYi Zen Hei"/>
        <family val="2"/>
      </rPr>
      <t xml:space="preserve">으로 적자 감축 경로를 지키면서도 검증 가능한 방위비 증액 경로를 제안해 절충을 이끈다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</si>
  <si>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과도한 적자 절차</t>
    </r>
    <r>
      <rPr>
        <sz val="10"/>
        <rFont val="Noto Sans CJK SC"/>
        <family val="2"/>
        <charset val="1"/>
      </rPr>
      <t xml:space="preserve">(TFUE 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126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NATO </t>
    </r>
    <r>
      <rPr>
        <sz val="10"/>
        <rFont val="WenQuanYi Zen Hei"/>
        <family val="2"/>
      </rPr>
      <t xml:space="preserve">이행 점검</t>
    </r>
    <r>
      <rPr>
        <sz val="10"/>
        <rFont val="Noto Sans CJK SC"/>
        <family val="2"/>
        <charset val="1"/>
      </rPr>
      <t xml:space="preserve">(2029 </t>
    </r>
    <r>
      <rPr>
        <sz val="10"/>
        <rFont val="WenQuanYi Zen Hei"/>
        <family val="2"/>
      </rPr>
      <t xml:space="preserve">중간점검</t>
    </r>
    <r>
      <rPr>
        <sz val="10"/>
        <rFont val="Noto Sans CJK SC"/>
        <family val="2"/>
        <charset val="1"/>
      </rPr>
      <t xml:space="preserve">), ECOFIN</t>
    </r>
  </si>
  <si>
    <t xml:space="preserve">Napoléon, Julien, Hugo</t>
  </si>
  <si>
    <t xml:space="preserve">Le triomphe et la fatigue</t>
  </si>
  <si>
    <t xml:space="preserve">승리와 피로</t>
  </si>
  <si>
    <r>
      <rPr>
        <sz val="10"/>
        <rFont val="WenQuanYi Zen Hei"/>
        <family val="2"/>
      </rPr>
      <t xml:space="preserve">협상 타결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재정 유연성 확보 </t>
    </r>
    <r>
      <rPr>
        <sz val="10"/>
        <rFont val="Noto Sans CJK SC"/>
        <family val="2"/>
        <charset val="1"/>
      </rPr>
      <t xml:space="preserve">+ </t>
    </r>
    <r>
      <rPr>
        <sz val="10"/>
        <rFont val="WenQuanYi Zen Hei"/>
        <family val="2"/>
      </rPr>
      <t xml:space="preserve">국방비의 단계적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검증 가능한 증액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귀국 열차에서 </t>
    </r>
    <r>
      <rPr>
        <sz val="10"/>
        <rFont val="Noto Sans CJK SC"/>
        <family val="2"/>
        <charset val="1"/>
      </rPr>
      <t xml:space="preserve">Napoléon</t>
    </r>
    <r>
      <rPr>
        <sz val="10"/>
        <rFont val="WenQuanYi Zen Hei"/>
        <family val="2"/>
      </rPr>
      <t xml:space="preserve">이 지친 기색을 숨기며 </t>
    </r>
    <r>
      <rPr>
        <sz val="10"/>
        <rFont val="Noto Sans CJK SC"/>
        <family val="2"/>
        <charset val="1"/>
      </rPr>
      <t xml:space="preserve">Julien</t>
    </r>
    <r>
      <rPr>
        <sz val="10"/>
        <rFont val="WenQuanYi Zen Hei"/>
        <family val="2"/>
      </rPr>
      <t xml:space="preserve">에게 메모를 남기라고 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</si>
  <si>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협상 결과의 국내 절차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예산 반영 일정</t>
    </r>
  </si>
  <si>
    <t xml:space="preserve">Napoléon, Julien, Jeanne</t>
  </si>
  <si>
    <r>
      <rPr>
        <sz val="10"/>
        <rFont val="WenQuanYi Zen Hei"/>
        <family val="2"/>
      </rPr>
      <t xml:space="preserve">결말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사망</t>
    </r>
    <r>
      <rPr>
        <sz val="10"/>
        <rFont val="Noto Sans CJK SC"/>
        <family val="2"/>
        <charset val="1"/>
      </rPr>
      <t xml:space="preserve">)</t>
    </r>
  </si>
  <si>
    <t xml:space="preserve">Une dernière précision</t>
  </si>
  <si>
    <t xml:space="preserve">마지막 각주 하나</t>
  </si>
  <si>
    <r>
      <rPr>
        <sz val="10"/>
        <rFont val="WenQuanYi Zen Hei"/>
        <family val="2"/>
      </rPr>
      <t xml:space="preserve">귀국 직후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자택에서 위의 병으로 숨을 거둔다 — 세인트헬레나에서 그를 죽인 바로 그 병</t>
    </r>
    <r>
      <rPr>
        <sz val="10"/>
        <rFont val="Noto Sans CJK SC"/>
        <family val="2"/>
        <charset val="1"/>
      </rPr>
      <t xml:space="preserve">. Manon</t>
    </r>
    <r>
      <rPr>
        <sz val="10"/>
        <rFont val="WenQuanYi Zen Hei"/>
        <family val="2"/>
      </rPr>
      <t xml:space="preserve">이 청년 정책안 마지막 서명을 받으러 왔다가 그를 발견한다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마지막 말은 </t>
    </r>
    <r>
      <rPr>
        <sz val="10"/>
        <rFont val="Noto Sans CJK SC"/>
        <family val="2"/>
        <charset val="1"/>
      </rPr>
      <t xml:space="preserve">«Pas mal.» — </t>
    </r>
    <r>
      <rPr>
        <sz val="10"/>
        <rFont val="WenQuanYi Zen Hei"/>
        <family val="2"/>
      </rPr>
      <t xml:space="preserve">브뤼셀 승리 직후라 더 무겁다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</si>
  <si>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사망 확인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장례 절차 시작</t>
    </r>
  </si>
  <si>
    <t xml:space="preserve">Manon, Camille, Napoléon</t>
  </si>
  <si>
    <r>
      <rPr>
        <sz val="10"/>
        <rFont val="WenQuanYi Zen Hei"/>
        <family val="2"/>
      </rPr>
      <t xml:space="preserve">발단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장례</t>
    </r>
    <r>
      <rPr>
        <sz val="10"/>
        <rFont val="Noto Sans CJK SC"/>
        <family val="2"/>
        <charset val="1"/>
      </rPr>
      <t xml:space="preserve">)</t>
    </r>
  </si>
  <si>
    <t xml:space="preserve">Les Obsèques</t>
  </si>
  <si>
    <t xml:space="preserve">장례식</t>
  </si>
  <si>
    <r>
      <rPr>
        <sz val="10"/>
        <rFont val="Arial"/>
        <family val="0"/>
        <charset val="1"/>
      </rPr>
      <t xml:space="preserve">Chez Monique</t>
    </r>
    <r>
      <rPr>
        <sz val="10"/>
        <rFont val="WenQuanYi Zen Hei"/>
        <family val="2"/>
      </rPr>
      <t xml:space="preserve">가 첫 장면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빈자리에 커피 한 잔이 놓인다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앵발리드에는 이미 그의 무덤이 있다는 농담이 울음으로 바뀐다</t>
    </r>
    <r>
      <rPr>
        <sz val="10"/>
        <rFont val="Arial"/>
        <family val="0"/>
        <charset val="1"/>
      </rPr>
      <t xml:space="preserve">. Manon</t>
    </r>
    <r>
      <rPr>
        <sz val="10"/>
        <rFont val="WenQuanYi Zen Hei"/>
        <family val="2"/>
      </rPr>
      <t xml:space="preserve">이 추도사에서 처음으로 </t>
    </r>
    <r>
      <rPr>
        <sz val="10"/>
        <rFont val="Arial"/>
        <family val="0"/>
        <charset val="1"/>
      </rPr>
      <t xml:space="preserve">Napoléon</t>
    </r>
    <r>
      <rPr>
        <sz val="10"/>
        <rFont val="WenQuanYi Zen Hei"/>
        <family val="2"/>
      </rPr>
      <t xml:space="preserve">에게 </t>
    </r>
    <r>
      <rPr>
        <sz val="10"/>
        <rFont val="Arial"/>
        <family val="0"/>
        <charset val="1"/>
      </rPr>
      <t xml:space="preserve">tu</t>
    </r>
    <r>
      <rPr>
        <sz val="10"/>
        <rFont val="WenQuanYi Zen Hei"/>
        <family val="2"/>
      </rPr>
      <t xml:space="preserve">를 쓴다</t>
    </r>
    <r>
      <rPr>
        <sz val="10"/>
        <rFont val="Arial"/>
        <family val="0"/>
        <charset val="1"/>
      </rPr>
      <t xml:space="preserve">. «Pour toi, “pas mal”, c'était le plus beau compliment.»</t>
    </r>
  </si>
  <si>
    <t xml:space="preserve">obsèques, enterrement, condoléances, éloge funèbre</t>
  </si>
  <si>
    <t xml:space="preserve">Manon, Monique, Jeanne, Curie, Camille</t>
  </si>
  <si>
    <t xml:space="preserve">La fiche qu'il a laissée</t>
  </si>
  <si>
    <t xml:space="preserve">그가 남긴 카드</t>
  </si>
  <si>
    <r>
      <rPr>
        <sz val="10"/>
        <rFont val="Arial"/>
        <family val="0"/>
        <charset val="1"/>
      </rPr>
      <t xml:space="preserve">Napoléon</t>
    </r>
    <r>
      <rPr>
        <sz val="10"/>
        <rFont val="WenQuanYi Zen Hei"/>
        <family val="2"/>
      </rPr>
      <t xml:space="preserve">이 죽기 전 남긴 브뤼셀 후속 협상 메모가 발견된다</t>
    </r>
    <r>
      <rPr>
        <sz val="10"/>
        <rFont val="Arial"/>
        <family val="0"/>
        <charset val="1"/>
      </rPr>
      <t xml:space="preserve">. Curie</t>
    </r>
    <r>
      <rPr>
        <sz val="10"/>
        <rFont val="WenQuanYi Zen Hei"/>
        <family val="2"/>
      </rPr>
      <t xml:space="preserve">가 정리하고 </t>
    </r>
    <r>
      <rPr>
        <sz val="10"/>
        <rFont val="Arial"/>
        <family val="0"/>
        <charset val="1"/>
      </rPr>
      <t xml:space="preserve">Hugo</t>
    </r>
    <r>
      <rPr>
        <sz val="10"/>
        <rFont val="WenQuanYi Zen Hei"/>
        <family val="2"/>
      </rPr>
      <t xml:space="preserve">가 문장을 다듬는다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</si>
  <si>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유작 메모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외교 기록 인계</t>
    </r>
  </si>
  <si>
    <t xml:space="preserve">Curie, Hugo, Julien</t>
  </si>
  <si>
    <t xml:space="preserve">Deuxième round à Bruxelles</t>
  </si>
  <si>
    <r>
      <rPr>
        <sz val="10"/>
        <rFont val="WenQuanYi Zen Hei"/>
        <family val="2"/>
      </rPr>
      <t xml:space="preserve">브뤼셀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차 협상</t>
    </r>
  </si>
  <si>
    <r>
      <rPr>
        <sz val="10"/>
        <rFont val="Arial"/>
        <family val="0"/>
        <charset val="1"/>
      </rPr>
      <t xml:space="preserve">Napoléon </t>
    </r>
    <r>
      <rPr>
        <sz val="10"/>
        <rFont val="WenQuanYi Zen Hei"/>
        <family val="2"/>
      </rPr>
      <t xml:space="preserve">없이 떠나는 팀</t>
    </r>
    <r>
      <rPr>
        <sz val="10"/>
        <rFont val="Arial"/>
        <family val="0"/>
        <charset val="1"/>
      </rPr>
      <t xml:space="preserve">. Julien</t>
    </r>
    <r>
      <rPr>
        <sz val="10"/>
        <rFont val="WenQuanYi Zen Hei"/>
        <family val="2"/>
      </rPr>
      <t xml:space="preserve">이 협상석에 앉고 </t>
    </r>
    <r>
      <rPr>
        <sz val="10"/>
        <rFont val="Arial"/>
        <family val="0"/>
        <charset val="1"/>
      </rPr>
      <t xml:space="preserve">Hugo</t>
    </r>
    <r>
      <rPr>
        <sz val="10"/>
        <rFont val="WenQuanYi Zen Hei"/>
        <family val="2"/>
      </rPr>
      <t xml:space="preserve">가 다듬은 그의 문장</t>
    </r>
    <r>
      <rPr>
        <sz val="10"/>
        <rFont val="Arial"/>
        <family val="0"/>
        <charset val="1"/>
      </rPr>
      <t xml:space="preserve">(«ce n'était pas mal» </t>
    </r>
    <r>
      <rPr>
        <sz val="10"/>
        <rFont val="WenQuanYi Zen Hei"/>
        <family val="2"/>
      </rPr>
      <t xml:space="preserve">포함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인용해 방위비 이행 경로의 세부 일정을 확정짓는다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</si>
  <si>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협상 세부 일정 확정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중기 재정구조계획 승인</t>
    </r>
  </si>
  <si>
    <t xml:space="preserve">Julien, Hugo, Jeanne</t>
  </si>
  <si>
    <t xml:space="preserve">L'application qui décide</t>
  </si>
  <si>
    <t xml:space="preserve">결정하는 앱</t>
  </si>
  <si>
    <r>
      <rPr>
        <sz val="10"/>
        <rFont val="WenQuanYi Zen Hei"/>
        <family val="2"/>
      </rPr>
      <t xml:space="preserve">배달 라이더들이 알고리즘 배차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일방적 계정 정지에 항의한다</t>
    </r>
    <r>
      <rPr>
        <sz val="10"/>
        <rFont val="Noto Sans CJK SC"/>
        <family val="2"/>
        <charset val="1"/>
      </rPr>
      <t xml:space="preserve">. EU </t>
    </r>
    <r>
      <rPr>
        <sz val="10"/>
        <rFont val="WenQuanYi Zen Hei"/>
        <family val="2"/>
      </rPr>
      <t xml:space="preserve">플랫폼노동 지침 국내 이행을 앞두고 고용 지위 분쟁이 계속됨을 </t>
    </r>
    <r>
      <rPr>
        <sz val="10"/>
        <rFont val="Noto Sans CJK SC"/>
        <family val="2"/>
        <charset val="1"/>
      </rPr>
      <t xml:space="preserve">Karim</t>
    </r>
    <r>
      <rPr>
        <sz val="10"/>
        <rFont val="WenQuanYi Zen Hei"/>
        <family val="2"/>
      </rPr>
      <t xml:space="preserve">이 현장에서</t>
    </r>
    <r>
      <rPr>
        <sz val="10"/>
        <rFont val="Noto Sans CJK SC"/>
        <family val="2"/>
        <charset val="1"/>
      </rPr>
      <t xml:space="preserve">, Hugo</t>
    </r>
    <r>
      <rPr>
        <sz val="10"/>
        <rFont val="WenQuanYi Zen Hei"/>
        <family val="2"/>
      </rPr>
      <t xml:space="preserve">가 문구로 돕는다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</si>
  <si>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EU </t>
    </r>
    <r>
      <rPr>
        <sz val="10"/>
        <rFont val="WenQuanYi Zen Hei"/>
        <family val="2"/>
      </rPr>
      <t xml:space="preserve">플랫폼노동 지침</t>
    </r>
    <r>
      <rPr>
        <sz val="10"/>
        <rFont val="Noto Sans CJK SC"/>
        <family val="2"/>
        <charset val="1"/>
      </rPr>
      <t xml:space="preserve">(2024/2831) </t>
    </r>
    <r>
      <rPr>
        <sz val="10"/>
        <rFont val="WenQuanYi Zen Hei"/>
        <family val="2"/>
      </rPr>
      <t xml:space="preserve">국내 이행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플랫폼노동관계청</t>
    </r>
    <r>
      <rPr>
        <sz val="10"/>
        <rFont val="Noto Sans CJK SC"/>
        <family val="2"/>
        <charset val="1"/>
      </rPr>
      <t xml:space="preserve">(ARPE), </t>
    </r>
    <r>
      <rPr>
        <sz val="10"/>
        <rFont val="WenQuanYi Zen Hei"/>
        <family val="2"/>
      </rPr>
      <t xml:space="preserve">알고리즘 투명성</t>
    </r>
  </si>
  <si>
    <t xml:space="preserve">Karim, Hugo, Nicolas</t>
  </si>
  <si>
    <t xml:space="preserve">N6</t>
  </si>
  <si>
    <t xml:space="preserve">Le logiciel que personne n'a autorisé</t>
  </si>
  <si>
    <t xml:space="preserve">누구도 승인하지 않은 소프트웨어</t>
  </si>
  <si>
    <r>
      <rPr>
        <sz val="10"/>
        <rFont val="WenQuanYi Zen Hei"/>
        <family val="2"/>
      </rPr>
      <t xml:space="preserve">야당 정치인과 기자 휴대전화에 스파이웨어가 심어졌다는 의혹이 터진다</t>
    </r>
    <r>
      <rPr>
        <sz val="10"/>
        <rFont val="Noto Sans CJK SC"/>
        <family val="2"/>
        <charset val="1"/>
      </rPr>
      <t xml:space="preserve">. Curie</t>
    </r>
    <r>
      <rPr>
        <sz val="10"/>
        <rFont val="WenQuanYi Zen Hei"/>
        <family val="2"/>
      </rPr>
      <t xml:space="preserve">가 포렌식으로 흔적을 찾아내고 </t>
    </r>
    <r>
      <rPr>
        <sz val="10"/>
        <rFont val="Noto Sans CJK SC"/>
        <family val="2"/>
        <charset val="1"/>
      </rPr>
      <t xml:space="preserve">Voltaire</t>
    </r>
    <r>
      <rPr>
        <sz val="10"/>
        <rFont val="WenQuanYi Zen Hei"/>
        <family val="2"/>
      </rPr>
      <t xml:space="preserve">가 보도하며 </t>
    </r>
    <r>
      <rPr>
        <sz val="10"/>
        <rFont val="Noto Sans CJK SC"/>
        <family val="2"/>
        <charset val="1"/>
      </rPr>
      <t xml:space="preserve">Nicolas</t>
    </r>
    <r>
      <rPr>
        <sz val="10"/>
        <rFont val="WenQuanYi Zen Hei"/>
        <family val="2"/>
      </rPr>
      <t xml:space="preserve">는 합법적 감독 경로를 고집한다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</si>
  <si>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정보기술 통제위원회</t>
    </r>
    <r>
      <rPr>
        <sz val="10"/>
        <rFont val="Noto Sans CJK SC"/>
        <family val="2"/>
        <charset val="1"/>
      </rPr>
      <t xml:space="preserve">(CNCTR), 2015</t>
    </r>
    <r>
      <rPr>
        <sz val="10"/>
        <rFont val="WenQuanYi Zen Hei"/>
        <family val="2"/>
      </rPr>
      <t xml:space="preserve">년 정보법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국내안전법전 </t>
    </r>
    <r>
      <rPr>
        <sz val="10"/>
        <rFont val="Noto Sans CJK SC"/>
        <family val="2"/>
        <charset val="1"/>
      </rPr>
      <t xml:space="preserve">L.801-1</t>
    </r>
    <r>
      <rPr>
        <sz val="10"/>
        <rFont val="WenQuanYi Zen Hei"/>
        <family val="2"/>
      </rPr>
      <t xml:space="preserve">조 이하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하원 조사위원회</t>
    </r>
  </si>
  <si>
    <t xml:space="preserve">Curie, Voltaire, Nicolas</t>
  </si>
  <si>
    <t xml:space="preserve">N7</t>
  </si>
  <si>
    <t xml:space="preserve">Les listes d'attente</t>
  </si>
  <si>
    <t xml:space="preserve">대기 명단</t>
  </si>
  <si>
    <r>
      <rPr>
        <sz val="10"/>
        <rFont val="WenQuanYi Zen Hei"/>
        <family val="2"/>
      </rPr>
      <t xml:space="preserve">청년 정신건강 상담 대기가 몇 달씩 밀린 현실</t>
    </r>
    <r>
      <rPr>
        <sz val="10"/>
        <rFont val="Noto Sans CJK SC"/>
        <family val="2"/>
        <charset val="1"/>
      </rPr>
      <t xml:space="preserve">. Sartre</t>
    </r>
    <r>
      <rPr>
        <sz val="10"/>
        <rFont val="WenQuanYi Zen Hei"/>
        <family val="2"/>
      </rPr>
      <t xml:space="preserve">가 카페의 청년들과</t>
    </r>
    <r>
      <rPr>
        <sz val="10"/>
        <rFont val="Noto Sans CJK SC"/>
        <family val="2"/>
        <charset val="1"/>
      </rPr>
      <t xml:space="preserve">, Manon</t>
    </r>
    <r>
      <rPr>
        <sz val="10"/>
        <rFont val="WenQuanYi Zen Hei"/>
        <family val="2"/>
      </rPr>
      <t xml:space="preserve">이 자신의 불안을 처음 인정하며</t>
    </r>
    <r>
      <rPr>
        <sz val="10"/>
        <rFont val="Noto Sans CJK SC"/>
        <family val="2"/>
        <charset val="1"/>
      </rPr>
      <t xml:space="preserve">, Camille</t>
    </r>
    <r>
      <rPr>
        <sz val="10"/>
        <rFont val="WenQuanYi Zen Hei"/>
        <family val="2"/>
      </rPr>
      <t xml:space="preserve">가 제도로 함께 부딪힌다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</si>
  <si>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공공 심리상담 지원</t>
    </r>
    <r>
      <rPr>
        <sz val="10"/>
        <rFont val="Noto Sans CJK SC"/>
        <family val="2"/>
        <charset val="1"/>
      </rPr>
      <t xml:space="preserve">(Mon soutien psy), </t>
    </r>
    <r>
      <rPr>
        <sz val="10"/>
        <rFont val="WenQuanYi Zen Hei"/>
        <family val="2"/>
      </rPr>
      <t xml:space="preserve">의료심리센터</t>
    </r>
    <r>
      <rPr>
        <sz val="10"/>
        <rFont val="Noto Sans CJK SC"/>
        <family val="2"/>
        <charset val="1"/>
      </rPr>
      <t xml:space="preserve">(CMP) </t>
    </r>
    <r>
      <rPr>
        <sz val="10"/>
        <rFont val="WenQuanYi Zen Hei"/>
        <family val="2"/>
      </rPr>
      <t xml:space="preserve">대기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정신건강 예산</t>
    </r>
  </si>
  <si>
    <t xml:space="preserve">Sartre, Manon, Camille</t>
  </si>
  <si>
    <t xml:space="preserve">N8</t>
  </si>
  <si>
    <t xml:space="preserve">La motion qui ne passe pas</t>
  </si>
  <si>
    <t xml:space="preserve">통과되지 않는 불신임안</t>
  </si>
  <si>
    <r>
      <rPr>
        <sz val="10"/>
        <rFont val="WenQuanYi Zen Hei"/>
        <family val="2"/>
      </rPr>
      <t xml:space="preserve">예산 조항에 헌법 제</t>
    </r>
    <r>
      <rPr>
        <sz val="10"/>
        <rFont val="Noto Sans CJK SC"/>
        <family val="2"/>
        <charset val="1"/>
      </rPr>
      <t xml:space="preserve">49</t>
    </r>
    <r>
      <rPr>
        <sz val="10"/>
        <rFont val="WenQuanYi Zen Hei"/>
        <family val="2"/>
      </rPr>
      <t xml:space="preserve">조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항을 쓰자 야당이 두 번째 불신임안을 낸다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코르시카 자치 협상을 이어 가기로 한 </t>
    </r>
    <r>
      <rPr>
        <sz val="10"/>
        <rFont val="Noto Sans CJK SC"/>
        <family val="2"/>
        <charset val="1"/>
      </rPr>
      <t xml:space="preserve">CT</t>
    </r>
    <r>
      <rPr>
        <sz val="10"/>
        <rFont val="WenQuanYi Zen Hei"/>
        <family val="2"/>
      </rPr>
      <t xml:space="preserve">가 기권하면서 찬성은 </t>
    </r>
    <r>
      <rPr>
        <sz val="10"/>
        <rFont val="Noto Sans CJK SC"/>
        <family val="2"/>
        <charset val="1"/>
      </rPr>
      <t xml:space="preserve">254</t>
    </r>
    <r>
      <rPr>
        <sz val="10"/>
        <rFont val="WenQuanYi Zen Hei"/>
        <family val="2"/>
      </rPr>
      <t xml:space="preserve">표에 그친다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검찰 독립 개헌안이 교착되며 정국은 더 얼어붙는다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</si>
  <si>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49</t>
    </r>
    <r>
      <rPr>
        <sz val="10"/>
        <rFont val="WenQuanYi Zen Hei"/>
        <family val="2"/>
      </rPr>
      <t xml:space="preserve">조 </t>
    </r>
    <r>
      <rPr>
        <sz val="10"/>
        <rFont val="Noto Sans CJK SC"/>
        <family val="2"/>
        <charset val="1"/>
      </rPr>
      <t xml:space="preserve">2·3</t>
    </r>
    <r>
      <rPr>
        <sz val="10"/>
        <rFont val="WenQuanYi Zen Hei"/>
        <family val="2"/>
      </rPr>
      <t xml:space="preserve">항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정치경로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의석 </t>
    </r>
    <r>
      <rPr>
        <sz val="10"/>
        <rFont val="Noto Sans CJK SC"/>
        <family val="2"/>
        <charset val="1"/>
      </rPr>
      <t xml:space="preserve">C</t>
    </r>
    <r>
      <rPr>
        <sz val="10"/>
        <rFont val="WenQuanYi Zen Hei"/>
        <family val="2"/>
      </rPr>
      <t xml:space="preserve">블록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최고사법관회의</t>
    </r>
    <r>
      <rPr>
        <sz val="10"/>
        <rFont val="Noto Sans CJK SC"/>
        <family val="2"/>
        <charset val="1"/>
      </rPr>
      <t xml:space="preserve">(CSM) </t>
    </r>
    <r>
      <rPr>
        <sz val="10"/>
        <rFont val="WenQuanYi Zen Hei"/>
        <family val="2"/>
      </rPr>
      <t xml:space="preserve">개혁</t>
    </r>
  </si>
  <si>
    <t xml:space="preserve">Olympe, Nicolas, Léa, Jeanne</t>
  </si>
  <si>
    <t xml:space="preserve">P1·P2·P3</t>
  </si>
  <si>
    <t xml:space="preserve">L'Épisode méditerranéen</t>
  </si>
  <si>
    <t xml:space="preserve">지중해성 폭우</t>
  </si>
  <si>
    <r>
      <rPr>
        <sz val="10"/>
        <rFont val="WenQuanYi Zen Hei"/>
        <family val="2"/>
      </rPr>
      <t xml:space="preserve">남부 해안 지방을 폭우와 급류가 덮친다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가상의 재난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기상 경보와 대피 명령을 둘러싼 도지사–시장 책임 공방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자연재해 지정 여부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민방위 군부대 투입</t>
    </r>
    <r>
      <rPr>
        <sz val="10"/>
        <rFont val="Noto Sans CJK SC"/>
        <family val="2"/>
        <charset val="1"/>
      </rPr>
      <t xml:space="preserve">. Jeanne</t>
    </r>
    <r>
      <rPr>
        <sz val="10"/>
        <rFont val="WenQuanYi Zen Hei"/>
        <family val="2"/>
      </rPr>
      <t xml:space="preserve">이 지휘하고 </t>
    </r>
    <r>
      <rPr>
        <sz val="10"/>
        <rFont val="Noto Sans CJK SC"/>
        <family val="2"/>
        <charset val="1"/>
      </rPr>
      <t xml:space="preserve">Hugo</t>
    </r>
    <r>
      <rPr>
        <sz val="10"/>
        <rFont val="WenQuanYi Zen Hei"/>
        <family val="2"/>
      </rPr>
      <t xml:space="preserve">가 추모 문구를 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</si>
  <si>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ORSEC </t>
    </r>
    <r>
      <rPr>
        <sz val="10"/>
        <rFont val="WenQuanYi Zen Hei"/>
        <family val="2"/>
      </rPr>
      <t xml:space="preserve">재난 계획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도지사 지휘</t>
    </r>
    <r>
      <rPr>
        <sz val="10"/>
        <rFont val="Noto Sans CJK SC"/>
        <family val="2"/>
        <charset val="1"/>
      </rPr>
      <t xml:space="preserve">), FR-Alert, </t>
    </r>
    <r>
      <rPr>
        <sz val="10"/>
        <rFont val="WenQuanYi Zen Hei"/>
        <family val="2"/>
      </rPr>
      <t xml:space="preserve">적색 경보</t>
    </r>
    <r>
      <rPr>
        <sz val="10"/>
        <rFont val="Noto Sans CJK SC"/>
        <family val="2"/>
        <charset val="1"/>
      </rPr>
      <t xml:space="preserve">(vigilance rouge), </t>
    </r>
    <r>
      <rPr>
        <sz val="10"/>
        <rFont val="WenQuanYi Zen Hei"/>
        <family val="2"/>
      </rPr>
      <t xml:space="preserve">자연재해 보상제도</t>
    </r>
    <r>
      <rPr>
        <sz val="10"/>
        <rFont val="Noto Sans CJK SC"/>
        <family val="2"/>
        <charset val="1"/>
      </rPr>
      <t xml:space="preserve">(CatNat), EU </t>
    </r>
    <r>
      <rPr>
        <sz val="10"/>
        <rFont val="WenQuanYi Zen Hei"/>
        <family val="2"/>
      </rPr>
      <t xml:space="preserve">연대기금</t>
    </r>
  </si>
  <si>
    <t xml:space="preserve">Jeanne, Camille, Nicolas, Voltaire, Hugo</t>
  </si>
  <si>
    <t xml:space="preserve">N1·N3·S4</t>
  </si>
  <si>
    <t xml:space="preserve">Des résultats dans la rue</t>
  </si>
  <si>
    <t xml:space="preserve">거리에서 나타난 변화</t>
  </si>
  <si>
    <r>
      <rPr>
        <sz val="10"/>
        <rFont val="WenQuanYi Zen Hei"/>
        <family val="2"/>
      </rPr>
      <t xml:space="preserve">임대료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응급실 대기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청년 고용 지표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노사정 사회적 대화 협약 서명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</si>
  <si>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성과 지표 공표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사회적 대화 협약</t>
    </r>
  </si>
  <si>
    <t xml:space="preserve">Julien, Camille, Manon</t>
  </si>
  <si>
    <t xml:space="preserve">N3·E3·P1</t>
  </si>
  <si>
    <t xml:space="preserve">Le vide dans la garde</t>
  </si>
  <si>
    <t xml:space="preserve">근위대의 빈자리</t>
  </si>
  <si>
    <r>
      <rPr>
        <sz val="10"/>
        <rFont val="Arial"/>
        <family val="0"/>
        <charset val="1"/>
      </rPr>
      <t xml:space="preserve">Jeanne</t>
    </r>
    <r>
      <rPr>
        <sz val="10"/>
        <rFont val="WenQuanYi Zen Hei"/>
        <family val="2"/>
      </rPr>
      <t xml:space="preserve">과 </t>
    </r>
    <r>
      <rPr>
        <sz val="10"/>
        <rFont val="Arial"/>
        <family val="0"/>
        <charset val="1"/>
      </rPr>
      <t xml:space="preserve">Curie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Napoléon </t>
    </r>
    <r>
      <rPr>
        <sz val="10"/>
        <rFont val="WenQuanYi Zen Hei"/>
        <family val="2"/>
      </rPr>
      <t xml:space="preserve">없는 </t>
    </r>
    <r>
      <rPr>
        <sz val="10"/>
        <rFont val="Arial"/>
        <family val="0"/>
        <charset val="1"/>
      </rPr>
      <t xml:space="preserve">La Vieille Garde</t>
    </r>
    <r>
      <rPr>
        <sz val="10"/>
        <rFont val="WenQuanYi Zen Hei"/>
        <family val="2"/>
      </rPr>
      <t xml:space="preserve">를 마주한다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둘 다 말을 아끼다가 결국 그의 커피 불평을 그리워한다고 인정한다</t>
    </r>
    <r>
      <rPr>
        <sz val="10"/>
        <rFont val="Arial"/>
        <family val="0"/>
        <charset val="1"/>
      </rPr>
      <t xml:space="preserve">.</t>
    </r>
  </si>
  <si>
    <t xml:space="preserve">Jeanne, Curie, Monique</t>
  </si>
  <si>
    <t xml:space="preserve">Avant le budget</t>
  </si>
  <si>
    <t xml:space="preserve">예산안 앞에서</t>
  </si>
  <si>
    <r>
      <rPr>
        <sz val="10"/>
        <rFont val="WenQuanYi Zen Hei"/>
        <family val="2"/>
      </rPr>
      <t xml:space="preserve">국방비 증액분을 예산과 군사계획법</t>
    </r>
    <r>
      <rPr>
        <sz val="10"/>
        <rFont val="Noto Sans CJK SC"/>
        <family val="2"/>
        <charset val="1"/>
      </rPr>
      <t xml:space="preserve">(LPM)</t>
    </r>
    <r>
      <rPr>
        <sz val="10"/>
        <rFont val="WenQuanYi Zen Hei"/>
        <family val="2"/>
      </rPr>
      <t xml:space="preserve">에 어떻게 반영할지 논쟁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연금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복지와의 줄다리기</t>
    </r>
    <r>
      <rPr>
        <sz val="10"/>
        <rFont val="Noto Sans CJK SC"/>
        <family val="2"/>
        <charset val="1"/>
      </rPr>
      <t xml:space="preserve">. Julien</t>
    </r>
    <r>
      <rPr>
        <sz val="10"/>
        <rFont val="WenQuanYi Zen Hei"/>
        <family val="2"/>
      </rPr>
      <t xml:space="preserve">이 브뤼셀 합의의 검증 가능한 경로를 방패로 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</si>
  <si>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예산 편성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군사계획법</t>
    </r>
    <r>
      <rPr>
        <sz val="10"/>
        <rFont val="Noto Sans CJK SC"/>
        <family val="2"/>
        <charset val="1"/>
      </rPr>
      <t xml:space="preserve">(LPM), NATO </t>
    </r>
    <r>
      <rPr>
        <sz val="10"/>
        <rFont val="WenQuanYi Zen Hei"/>
        <family val="2"/>
      </rPr>
      <t xml:space="preserve">이행 경로 국내 반영</t>
    </r>
  </si>
  <si>
    <t xml:space="preserve">Julien, Nicolas, Olympe</t>
  </si>
  <si>
    <t xml:space="preserve">La bataille continue</t>
  </si>
  <si>
    <t xml:space="preserve">싸움은 계속된다</t>
  </si>
  <si>
    <r>
      <rPr>
        <sz val="10"/>
        <rFont val="WenQuanYi Zen Hei"/>
        <family val="2"/>
      </rPr>
      <t xml:space="preserve">예산안 제출 준비</t>
    </r>
    <r>
      <rPr>
        <sz val="10"/>
        <rFont val="Noto Sans CJK SC"/>
        <family val="2"/>
        <charset val="1"/>
      </rPr>
      <t xml:space="preserve">(10</t>
    </r>
    <r>
      <rPr>
        <sz val="10"/>
        <rFont val="WenQuanYi Zen Hei"/>
        <family val="2"/>
      </rPr>
      <t xml:space="preserve">월 첫 화요일 시한</t>
    </r>
    <r>
      <rPr>
        <sz val="10"/>
        <rFont val="Noto Sans CJK SC"/>
        <family val="2"/>
        <charset val="1"/>
      </rPr>
      <t xml:space="preserve">): </t>
    </r>
    <r>
      <rPr>
        <sz val="10"/>
        <rFont val="WenQuanYi Zen Hei"/>
        <family val="2"/>
      </rPr>
      <t xml:space="preserve">그동안의 성과 지표도 정리한다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야당의 </t>
    </r>
    <r>
      <rPr>
        <sz val="10"/>
        <rFont val="Noto Sans CJK SC"/>
        <family val="2"/>
        <charset val="1"/>
      </rPr>
      <t xml:space="preserve">49</t>
    </r>
    <r>
      <rPr>
        <sz val="10"/>
        <rFont val="WenQuanYi Zen Hei"/>
        <family val="2"/>
      </rPr>
      <t xml:space="preserve">조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항 불신임 위협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</si>
  <si>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예산안은 </t>
    </r>
    <r>
      <rPr>
        <sz val="10"/>
        <rFont val="Noto Sans CJK SC"/>
        <family val="2"/>
        <charset val="1"/>
      </rPr>
      <t xml:space="preserve">10</t>
    </r>
    <r>
      <rPr>
        <sz val="10"/>
        <rFont val="WenQuanYi Zen Hei"/>
        <family val="2"/>
      </rPr>
      <t xml:space="preserve">월 첫 화요일까지 제출</t>
    </r>
    <r>
      <rPr>
        <sz val="10"/>
        <rFont val="Noto Sans CJK SC"/>
        <family val="2"/>
        <charset val="1"/>
      </rPr>
      <t xml:space="preserve">(LOLF 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39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70</t>
    </r>
    <r>
      <rPr>
        <sz val="10"/>
        <rFont val="WenQuanYi Zen Hei"/>
        <family val="2"/>
      </rPr>
      <t xml:space="preserve">일 내 미의결 시 정부 명령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47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특별법</t>
    </r>
    <r>
      <rPr>
        <sz val="10"/>
        <rFont val="Noto Sans CJK SC"/>
        <family val="2"/>
        <charset val="1"/>
      </rPr>
      <t xml:space="preserve">(loi spéciale), </t>
    </r>
    <r>
      <rPr>
        <sz val="10"/>
        <rFont val="WenQuanYi Zen Hei"/>
        <family val="2"/>
      </rPr>
      <t xml:space="preserve">연금 개혁 논쟁</t>
    </r>
  </si>
  <si>
    <t xml:space="preserve">Julien, Nicolas, Olympe, Jeanne</t>
  </si>
  <si>
    <t xml:space="preserve">Il est cinq heures</t>
  </si>
  <si>
    <t xml:space="preserve">다섯 시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</si>
  <si>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화와 같은 대사로 시작하지만 자리가 달라졌다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대통령과 장관들은 이제 손님으로 온다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</si>
  <si>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고위공직 겸직 금지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23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HATVP </t>
    </r>
    <r>
      <rPr>
        <sz val="10"/>
        <rFont val="WenQuanYi Zen Hei"/>
        <family val="2"/>
      </rPr>
      <t xml:space="preserve">재산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이해관계 신고</t>
    </r>
  </si>
  <si>
    <t xml:space="preserve">Monique, Nicolas</t>
  </si>
  <si>
    <t xml:space="preserve">Le Bicorne</t>
  </si>
  <si>
    <t xml:space="preserve">이각모</t>
  </si>
  <si>
    <r>
      <rPr>
        <sz val="10"/>
        <rFont val="Arial"/>
        <family val="0"/>
        <charset val="1"/>
      </rPr>
      <t xml:space="preserve">Napoléon</t>
    </r>
    <r>
      <rPr>
        <sz val="10"/>
        <rFont val="WenQuanYi Zen Hei"/>
        <family val="2"/>
      </rPr>
      <t xml:space="preserve">의 유언장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공증인 앞에서 그의 이각모</t>
    </r>
    <r>
      <rPr>
        <sz val="10"/>
        <rFont val="Arial"/>
        <family val="0"/>
        <charset val="1"/>
      </rPr>
      <t xml:space="preserve">(bicorne)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Manon</t>
    </r>
    <r>
      <rPr>
        <sz val="10"/>
        <rFont val="WenQuanYi Zen Hei"/>
        <family val="2"/>
      </rPr>
      <t xml:space="preserve">에게 간다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</si>
  <si>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유언</t>
    </r>
    <r>
      <rPr>
        <sz val="10"/>
        <rFont val="Noto Sans CJK SC"/>
        <family val="2"/>
        <charset val="1"/>
      </rPr>
      <t xml:space="preserve">: notaire, exécuteur testamentaire, </t>
    </r>
    <r>
      <rPr>
        <sz val="10"/>
        <rFont val="WenQuanYi Zen Hei"/>
        <family val="2"/>
      </rPr>
      <t xml:space="preserve">유언 중앙 등록부</t>
    </r>
    <r>
      <rPr>
        <sz val="10"/>
        <rFont val="Noto Sans CJK SC"/>
        <family val="2"/>
        <charset val="1"/>
      </rPr>
      <t xml:space="preserve">(FCDDV) </t>
    </r>
    <r>
      <rPr>
        <sz val="10"/>
        <rFont val="WenQuanYi Zen Hei"/>
        <family val="2"/>
      </rPr>
      <t xml:space="preserve">조회</t>
    </r>
  </si>
  <si>
    <t xml:space="preserve">Manon, Jeanne, Monique</t>
  </si>
  <si>
    <t xml:space="preserve">La chaise vide</t>
  </si>
  <si>
    <t xml:space="preserve">빈 의자</t>
  </si>
  <si>
    <r>
      <rPr>
        <sz val="10"/>
        <rFont val="WenQuanYi Zen Hei"/>
        <family val="2"/>
      </rPr>
      <t xml:space="preserve">커피 한 잔이 놓인 빈 자리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새 손님이 그 자리에 앉으려 한다</t>
    </r>
    <r>
      <rPr>
        <sz val="10"/>
        <rFont val="Noto Sans CJK SC"/>
        <family val="2"/>
        <charset val="1"/>
      </rPr>
      <t xml:space="preserve">.</t>
    </r>
  </si>
  <si>
    <t xml:space="preserve">Monique, Jeanne</t>
  </si>
  <si>
    <t xml:space="preserve">Une fondation pour le cabinet</t>
  </si>
  <si>
    <t xml:space="preserve">사무소를 재단으로</t>
  </si>
  <si>
    <r>
      <rPr>
        <sz val="10"/>
        <rFont val="WenQuanYi Zen Hei"/>
        <family val="2"/>
      </rPr>
      <t xml:space="preserve">대통령과 장관들이 사무소를 떠나며 재단</t>
    </r>
    <r>
      <rPr>
        <sz val="10"/>
        <rFont val="Noto Sans CJK SC"/>
        <family val="2"/>
        <charset val="1"/>
      </rPr>
      <t xml:space="preserve">(fonds de dotation)</t>
    </r>
    <r>
      <rPr>
        <sz val="10"/>
        <rFont val="WenQuanYi Zen Hei"/>
        <family val="2"/>
      </rPr>
      <t xml:space="preserve">으로 전환</t>
    </r>
    <r>
      <rPr>
        <sz val="10"/>
        <rFont val="Noto Sans CJK SC"/>
        <family val="2"/>
        <charset val="1"/>
      </rPr>
      <t xml:space="preserve">. Karim</t>
    </r>
    <r>
      <rPr>
        <sz val="10"/>
        <rFont val="WenQuanYi Zen Hei"/>
        <family val="2"/>
      </rPr>
      <t xml:space="preserve">과 </t>
    </r>
    <r>
      <rPr>
        <sz val="10"/>
        <rFont val="Noto Sans CJK SC"/>
        <family val="2"/>
        <charset val="1"/>
      </rPr>
      <t xml:space="preserve">Monique</t>
    </r>
    <r>
      <rPr>
        <sz val="10"/>
        <rFont val="WenQuanYi Zen Hei"/>
        <family val="2"/>
      </rPr>
      <t xml:space="preserve">가 운영을 맡는다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</si>
  <si>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기부재단</t>
    </r>
    <r>
      <rPr>
        <sz val="10"/>
        <rFont val="Noto Sans CJK SC"/>
        <family val="2"/>
        <charset val="1"/>
      </rPr>
      <t xml:space="preserve">(fonds de dotation, 2008</t>
    </r>
    <r>
      <rPr>
        <sz val="10"/>
        <rFont val="WenQuanYi Zen Hei"/>
        <family val="2"/>
      </rPr>
      <t xml:space="preserve">년 법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고위공직 이해충돌</t>
    </r>
  </si>
  <si>
    <t xml:space="preserve">Karim, Monique, Philippe</t>
  </si>
  <si>
    <t xml:space="preserve">Le nouveau stagiaire</t>
  </si>
  <si>
    <t xml:space="preserve">새 인턴</t>
  </si>
  <si>
    <r>
      <rPr>
        <sz val="10"/>
        <rFont val="WenQuanYi Zen Hei"/>
        <family val="2"/>
      </rPr>
      <t xml:space="preserve">새 인턴 </t>
    </r>
    <r>
      <rPr>
        <sz val="10"/>
        <rFont val="Noto Sans CJK SC"/>
        <family val="2"/>
        <charset val="1"/>
      </rPr>
      <t xml:space="preserve">Lucas</t>
    </r>
    <r>
      <rPr>
        <sz val="10"/>
        <rFont val="WenQuanYi Zen Hei"/>
        <family val="2"/>
      </rPr>
      <t xml:space="preserve">가 도착해 </t>
    </r>
    <r>
      <rPr>
        <sz val="10"/>
        <rFont val="Noto Sans CJK SC"/>
        <family val="2"/>
        <charset val="1"/>
      </rPr>
      <t xml:space="preserve">«Pardon, ça veut dire quoi ?»</t>
    </r>
    <r>
      <rPr>
        <sz val="10"/>
        <rFont val="WenQuanYi Zen Hei"/>
        <family val="2"/>
      </rPr>
      <t xml:space="preserve">라고 묻는다</t>
    </r>
    <r>
      <rPr>
        <sz val="10"/>
        <rFont val="Noto Sans CJK SC"/>
        <family val="2"/>
        <charset val="1"/>
      </rPr>
      <t xml:space="preserve">. Manon</t>
    </r>
    <r>
      <rPr>
        <sz val="10"/>
        <rFont val="WenQuanYi Zen Hei"/>
        <family val="2"/>
      </rPr>
      <t xml:space="preserve">이 답하는 쪽에 선다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</si>
  <si>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Manon, Lucas(</t>
    </r>
    <r>
      <rPr>
        <sz val="10"/>
        <rFont val="WenQuanYi Zen Hei"/>
        <family val="2"/>
      </rPr>
      <t xml:space="preserve">신규 엑스트라</t>
    </r>
    <r>
      <rPr>
        <sz val="10"/>
        <rFont val="Arial"/>
        <family val="0"/>
        <charset val="1"/>
      </rPr>
      <t xml:space="preserve">)</t>
    </r>
  </si>
  <si>
    <t xml:space="preserve">Manon explique</t>
  </si>
  <si>
    <r>
      <rPr>
        <sz val="10"/>
        <rFont val="Arial"/>
        <family val="0"/>
        <charset val="1"/>
      </rPr>
      <t xml:space="preserve">Manon</t>
    </r>
    <r>
      <rPr>
        <sz val="10"/>
        <rFont val="WenQuanYi Zen Hei"/>
        <family val="2"/>
      </rPr>
      <t xml:space="preserve">의 설명</t>
    </r>
  </si>
  <si>
    <r>
      <rPr>
        <sz val="10"/>
        <rFont val="Arial"/>
        <family val="0"/>
        <charset val="1"/>
      </rPr>
      <t xml:space="preserve">Lucas</t>
    </r>
    <r>
      <rPr>
        <sz val="10"/>
        <rFont val="WenQuanYi Zen Hei"/>
        <family val="2"/>
      </rPr>
      <t xml:space="preserve">의 질문에 </t>
    </r>
    <r>
      <rPr>
        <sz val="10"/>
        <rFont val="Arial"/>
        <family val="0"/>
        <charset val="1"/>
      </rPr>
      <t xml:space="preserve">Manon</t>
    </r>
    <r>
      <rPr>
        <sz val="10"/>
        <rFont val="WenQuanYi Zen Hei"/>
        <family val="2"/>
      </rPr>
      <t xml:space="preserve">이 어려운 말을 쉬운 말로 풀어 준다</t>
    </r>
    <r>
      <rPr>
        <sz val="10"/>
        <rFont val="Arial"/>
        <family val="0"/>
        <charset val="1"/>
      </rPr>
      <t xml:space="preserve">. Jeanne</t>
    </r>
    <r>
      <rPr>
        <sz val="10"/>
        <rFont val="WenQuanYi Zen Hei"/>
        <family val="2"/>
      </rPr>
      <t xml:space="preserve">도 함께 배운다</t>
    </r>
    <r>
      <rPr>
        <sz val="10"/>
        <rFont val="Arial"/>
        <family val="0"/>
        <charset val="1"/>
      </rPr>
      <t xml:space="preserve">.</t>
    </r>
  </si>
  <si>
    <t xml:space="preserve">Manon, Jeanne</t>
  </si>
  <si>
    <t xml:space="preserve">Le bilan du quinquennat</t>
  </si>
  <si>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년 임기 결산</t>
    </r>
  </si>
  <si>
    <r>
      <rPr>
        <sz val="10"/>
        <rFont val="Arial"/>
        <family val="0"/>
        <charset val="1"/>
      </rPr>
      <t xml:space="preserve">Julien</t>
    </r>
    <r>
      <rPr>
        <sz val="10"/>
        <rFont val="WenQuanYi Zen Hei"/>
        <family val="2"/>
      </rPr>
      <t xml:space="preserve">이 숫자로 성과를 발표하고 </t>
    </r>
    <r>
      <rPr>
        <sz val="10"/>
        <rFont val="Arial"/>
        <family val="0"/>
        <charset val="1"/>
      </rPr>
      <t xml:space="preserve">Camille</t>
    </r>
    <r>
      <rPr>
        <sz val="10"/>
        <rFont val="WenQuanYi Zen Hei"/>
        <family val="2"/>
      </rPr>
      <t xml:space="preserve">가 사람 이야기로 보완한다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</si>
  <si>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성과 공시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하원 회의록</t>
    </r>
    <r>
      <rPr>
        <sz val="10"/>
        <rFont val="Noto Sans CJK SC"/>
        <family val="2"/>
        <charset val="1"/>
      </rPr>
      <t xml:space="preserve">(compte rendu intégral)</t>
    </r>
  </si>
  <si>
    <t xml:space="preserve">Julien, Camille</t>
  </si>
  <si>
    <t xml:space="preserve">E3·S3·N5·N3</t>
  </si>
  <si>
    <t xml:space="preserve">Les lettres des gens</t>
  </si>
  <si>
    <t xml:space="preserve">시민들이 보낸 편지</t>
  </si>
  <si>
    <r>
      <rPr>
        <sz val="10"/>
        <rFont val="Arial"/>
        <family val="0"/>
        <charset val="1"/>
      </rPr>
      <t xml:space="preserve">Voltaire</t>
    </r>
    <r>
      <rPr>
        <sz val="10"/>
        <rFont val="WenQuanYi Zen Hei"/>
        <family val="2"/>
      </rPr>
      <t xml:space="preserve">가 편지를 낭독하고 </t>
    </r>
    <r>
      <rPr>
        <sz val="10"/>
        <rFont val="Arial"/>
        <family val="0"/>
        <charset val="1"/>
      </rPr>
      <t xml:space="preserve">Hugo</t>
    </r>
    <r>
      <rPr>
        <sz val="10"/>
        <rFont val="WenQuanYi Zen Hei"/>
        <family val="2"/>
      </rPr>
      <t xml:space="preserve">가 답장을 쓴다</t>
    </r>
    <r>
      <rPr>
        <sz val="10"/>
        <rFont val="Arial"/>
        <family val="0"/>
        <charset val="1"/>
      </rPr>
      <t xml:space="preserve">.</t>
    </r>
  </si>
  <si>
    <t xml:space="preserve">Voltaire, Hugo</t>
  </si>
  <si>
    <t xml:space="preserve">La Vieille Garde</t>
  </si>
  <si>
    <t xml:space="preserve">올드 가드</t>
  </si>
  <si>
    <r>
      <rPr>
        <sz val="10"/>
        <rFont val="Arial"/>
        <family val="0"/>
        <charset val="1"/>
      </rPr>
      <t xml:space="preserve">Jeanne</t>
    </r>
    <r>
      <rPr>
        <sz val="10"/>
        <rFont val="WenQuanYi Zen Hei"/>
        <family val="2"/>
      </rPr>
      <t xml:space="preserve">과 </t>
    </r>
    <r>
      <rPr>
        <sz val="10"/>
        <rFont val="Arial"/>
        <family val="0"/>
        <charset val="1"/>
      </rPr>
      <t xml:space="preserve">Curie</t>
    </r>
    <r>
      <rPr>
        <sz val="10"/>
        <rFont val="WenQuanYi Zen Hei"/>
        <family val="2"/>
      </rPr>
      <t xml:space="preserve">와 빈 의자</t>
    </r>
    <r>
      <rPr>
        <sz val="10"/>
        <rFont val="Arial"/>
        <family val="0"/>
        <charset val="1"/>
      </rPr>
      <t xml:space="preserve">. Curie</t>
    </r>
    <r>
      <rPr>
        <sz val="10"/>
        <rFont val="WenQuanYi Zen Hei"/>
        <family val="2"/>
      </rPr>
      <t xml:space="preserve">가 마지막 카드를 꺼낸다</t>
    </r>
    <r>
      <rPr>
        <sz val="10"/>
        <rFont val="Arial"/>
        <family val="0"/>
        <charset val="1"/>
      </rPr>
      <t xml:space="preserve">.</t>
    </r>
  </si>
  <si>
    <t xml:space="preserve">Jeanne, Curie</t>
  </si>
  <si>
    <t xml:space="preserve">La fiche qui manquait</t>
  </si>
  <si>
    <t xml:space="preserve">빠진 카드</t>
  </si>
  <si>
    <r>
      <rPr>
        <sz val="10"/>
        <rFont val="WenQuanYi Zen Hei"/>
        <family val="2"/>
      </rPr>
      <t xml:space="preserve">카드 뒷면에 끝내 적지 않던 것</t>
    </r>
    <r>
      <rPr>
        <sz val="10"/>
        <rFont val="Noto Sans CJK SC"/>
        <family val="2"/>
        <charset val="1"/>
      </rPr>
      <t xml:space="preserve">. Curie</t>
    </r>
    <r>
      <rPr>
        <sz val="10"/>
        <rFont val="WenQuanYi Zen Hei"/>
        <family val="2"/>
      </rPr>
      <t xml:space="preserve">가 처음으로 결론을 직접 말한다</t>
    </r>
    <r>
      <rPr>
        <sz val="10"/>
        <rFont val="Noto Sans CJK SC"/>
        <family val="2"/>
        <charset val="1"/>
      </rPr>
      <t xml:space="preserve">.</t>
    </r>
  </si>
  <si>
    <t xml:space="preserve">Curie, Manon</t>
  </si>
  <si>
    <t xml:space="preserve">De nouveau cinq heures</t>
  </si>
  <si>
    <t xml:space="preserve">다시 다섯 시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</si>
  <si>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 장면을 새 인턴이 읽고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낭독 학습자도 다시 읽는다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원형 구조</t>
    </r>
    <r>
      <rPr>
        <sz val="10"/>
        <rFont val="Arial"/>
        <family val="0"/>
        <charset val="1"/>
      </rPr>
      <t xml:space="preserve">.</t>
    </r>
  </si>
  <si>
    <t xml:space="preserve">결말</t>
  </si>
  <si>
    <t xml:space="preserve">Asseyez-vous, je vous apporte quelque chose</t>
  </si>
  <si>
    <r>
      <rPr>
        <sz val="10"/>
        <rFont val="WenQuanYi Zen Hei"/>
        <family val="2"/>
      </rPr>
      <t xml:space="preserve">앉아요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뭐 좀 내올게요</t>
    </r>
  </si>
  <si>
    <r>
      <rPr>
        <sz val="10"/>
        <rFont val="WenQuanYi Zen Hei"/>
        <family val="2"/>
      </rPr>
      <t xml:space="preserve">최종화</t>
    </r>
    <r>
      <rPr>
        <sz val="10"/>
        <rFont val="Noto Sans CJK SC"/>
        <family val="2"/>
        <charset val="1"/>
      </rPr>
      <t xml:space="preserve">. Monique</t>
    </r>
    <r>
      <rPr>
        <sz val="10"/>
        <rFont val="WenQuanYi Zen Hei"/>
        <family val="2"/>
      </rPr>
      <t xml:space="preserve">의 시그니처로 끝난다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</si>
  <si>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Monique, </t>
    </r>
    <r>
      <rPr>
        <sz val="10"/>
        <rFont val="WenQuanYi Zen Hei"/>
        <family val="2"/>
      </rPr>
      <t xml:space="preserve">전원</t>
    </r>
  </si>
  <si>
    <r>
      <rPr>
        <b val="true"/>
        <sz val="14"/>
        <color rgb="FF1F3864"/>
        <rFont val="WenQuanYi Zen Hei"/>
        <family val="2"/>
      </rPr>
      <t xml:space="preserve">복선 설치와 회수 </t>
    </r>
    <r>
      <rPr>
        <b val="true"/>
        <sz val="14"/>
        <color rgb="FF1F3864"/>
        <rFont val="Noto Sans CJK SC"/>
        <family val="2"/>
        <charset val="1"/>
      </rPr>
      <t xml:space="preserve">(Setup → Payoff)</t>
    </r>
  </si>
  <si>
    <r>
      <rPr>
        <i val="true"/>
        <sz val="9"/>
        <color rgb="FF595959"/>
        <rFont val="WenQuanYi Zen Hei"/>
        <family val="2"/>
      </rPr>
      <t xml:space="preserve">설치 부와 회수 부의 간격</t>
    </r>
    <r>
      <rPr>
        <i val="true"/>
        <sz val="9"/>
        <color rgb="FF595959"/>
        <rFont val="Noto Sans CJK SC"/>
        <family val="2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부 수</t>
    </r>
    <r>
      <rPr>
        <i val="true"/>
        <sz val="9"/>
        <color rgb="FF595959"/>
        <rFont val="Noto Sans CJK SC"/>
        <family val="2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은 수식으로 계산됩니다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간격이 클수록 오래 기다린 복선이라 낭독 시 기억에 남습니다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</si>
  <si>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복선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설치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</si>
  <si>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t xml:space="preserve">유형</t>
  </si>
  <si>
    <t xml:space="preserve">설치 부</t>
  </si>
  <si>
    <t xml:space="preserve">설치 위치</t>
  </si>
  <si>
    <t xml:space="preserve">회수 부</t>
  </si>
  <si>
    <r>
      <rPr>
        <b val="true"/>
        <sz val="10"/>
        <color rgb="FFFFFFFF"/>
        <rFont val="WenQuanYi Zen Hei"/>
        <family val="2"/>
      </rPr>
      <t xml:space="preserve">간격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부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</si>
  <si>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t xml:space="preserve">회수 위치와 효과</t>
  </si>
  <si>
    <t xml:space="preserve">관련 인물</t>
  </si>
  <si>
    <r>
      <rPr>
        <sz val="10"/>
        <rFont val="Arial"/>
        <family val="0"/>
        <charset val="1"/>
      </rPr>
      <t xml:space="preserve">Napoléon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«Cet hiver sera mon dernier» </t>
    </r>
    <r>
      <rPr>
        <sz val="10"/>
        <rFont val="WenQuanYi Zen Hei"/>
        <family val="2"/>
      </rPr>
      <t xml:space="preserve">반복</t>
    </r>
  </si>
  <si>
    <t xml:space="preserve">대사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</si>
  <si>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</si>
  <si>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 — 양치기 소년 개그가 진짜 죽음이 되는 낙차</t>
    </r>
  </si>
  <si>
    <r>
      <rPr>
        <sz val="10"/>
        <rFont val="Arial"/>
        <family val="0"/>
        <charset val="1"/>
      </rPr>
      <t xml:space="preserve">Napoléon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Manon</t>
    </r>
    <r>
      <rPr>
        <sz val="10"/>
        <rFont val="WenQuanYi Zen Hei"/>
        <family val="2"/>
      </rPr>
      <t xml:space="preserve">에게 이각모</t>
    </r>
    <r>
      <rPr>
        <sz val="10"/>
        <rFont val="Arial"/>
        <family val="0"/>
        <charset val="1"/>
      </rPr>
      <t xml:space="preserve">(bicorne)</t>
    </r>
    <r>
      <rPr>
        <sz val="10"/>
        <rFont val="WenQuanYi Zen Hei"/>
        <family val="2"/>
      </rPr>
      <t xml:space="preserve">를 물려준다고 말한다</t>
    </r>
  </si>
  <si>
    <t xml:space="preserve">소품</t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</si>
  <si>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화 — 유언장에서 이각모가 진짜 유산으로 돌아옴</t>
    </r>
  </si>
  <si>
    <t xml:space="preserve">Napoléon, Manon</t>
  </si>
  <si>
    <r>
      <rPr>
        <sz val="10"/>
        <rFont val="Arial"/>
        <family val="0"/>
        <charset val="1"/>
      </rPr>
      <t xml:space="preserve">Napoléon</t>
    </r>
    <r>
      <rPr>
        <sz val="10"/>
        <rFont val="WenQuanYi Zen Hei"/>
        <family val="2"/>
      </rPr>
      <t xml:space="preserve">의 복통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식사 거름</t>
    </r>
  </si>
  <si>
    <t xml:space="preserve">설정</t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</si>
  <si>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1·5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</si>
  <si>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6~12</t>
    </r>
    <r>
      <rPr>
        <sz val="10"/>
        <rFont val="WenQuanYi Zen Hei"/>
        <family val="2"/>
      </rPr>
      <t xml:space="preserve">화 — </t>
    </r>
    <r>
      <rPr>
        <sz val="10"/>
        <rFont val="Arial"/>
        <family val="0"/>
        <charset val="1"/>
      </rPr>
      <t xml:space="preserve">Camille</t>
    </r>
    <r>
      <rPr>
        <sz val="10"/>
        <rFont val="WenQuanYi Zen Hei"/>
        <family val="2"/>
      </rPr>
      <t xml:space="preserve">가 진단을 알고도 침묵한 이유가 드러남</t>
    </r>
  </si>
  <si>
    <t xml:space="preserve">Camille, Napoléon</t>
  </si>
  <si>
    <r>
      <rPr>
        <sz val="10"/>
        <rFont val="Arial"/>
        <family val="0"/>
        <charset val="1"/>
      </rPr>
      <t xml:space="preserve">Napoléon</t>
    </r>
    <r>
      <rPr>
        <sz val="10"/>
        <rFont val="WenQuanYi Zen Hei"/>
        <family val="2"/>
      </rPr>
      <t xml:space="preserve">의 최고 칭찬 </t>
    </r>
    <r>
      <rPr>
        <sz val="10"/>
        <rFont val="Arial"/>
        <family val="0"/>
        <charset val="1"/>
      </rPr>
      <t xml:space="preserve">«Pas mal.»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</si>
  <si>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(Hugo</t>
    </r>
    <r>
      <rPr>
        <sz val="10"/>
        <rFont val="WenQuanYi Zen Hei"/>
        <family val="2"/>
      </rPr>
      <t xml:space="preserve">에게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</si>
  <si>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 — </t>
    </r>
    <r>
      <rPr>
        <sz val="10"/>
        <rFont val="Arial"/>
        <family val="0"/>
        <charset val="1"/>
      </rPr>
      <t xml:space="preserve">Manon</t>
    </r>
    <r>
      <rPr>
        <sz val="10"/>
        <rFont val="WenQuanYi Zen Hei"/>
        <family val="2"/>
      </rPr>
      <t xml:space="preserve">에게 처음이자 마지막 칭찬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브뤼셀 승리 직후라 더 무겁다</t>
    </r>
  </si>
  <si>
    <r>
      <rPr>
        <sz val="10"/>
        <rFont val="Arial"/>
        <family val="0"/>
        <charset val="1"/>
      </rPr>
      <t xml:space="preserve">Manon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 폭발</t>
    </r>
  </si>
  <si>
    <t xml:space="preserve">사건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</si>
  <si>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</si>
  <si>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 — 몰라서 화내던 </t>
    </r>
    <r>
      <rPr>
        <sz val="10"/>
        <rFont val="Arial"/>
        <family val="0"/>
        <charset val="1"/>
      </rPr>
      <t xml:space="preserve">Manon → </t>
    </r>
    <r>
      <rPr>
        <sz val="10"/>
        <rFont val="WenQuanYi Zen Hei"/>
        <family val="2"/>
      </rPr>
      <t xml:space="preserve">알아서 화내는 </t>
    </r>
    <r>
      <rPr>
        <sz val="10"/>
        <rFont val="Arial"/>
        <family val="0"/>
        <charset val="1"/>
      </rPr>
      <t xml:space="preserve">Manon</t>
    </r>
  </si>
  <si>
    <r>
      <rPr>
        <sz val="10"/>
        <rFont val="Arial"/>
        <family val="0"/>
        <charset val="1"/>
      </rPr>
      <t xml:space="preserve">Manon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vous (Napoléon</t>
    </r>
    <r>
      <rPr>
        <sz val="10"/>
        <rFont val="WenQuanYi Zen Hei"/>
        <family val="2"/>
      </rPr>
      <t xml:space="preserve">에게</t>
    </r>
    <r>
      <rPr>
        <sz val="10"/>
        <rFont val="Arial"/>
        <family val="0"/>
        <charset val="1"/>
      </rPr>
      <t xml:space="preserve">)</t>
    </r>
  </si>
  <si>
    <t xml:space="preserve">호칭</t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</si>
  <si>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 — 추도사에서 처음 </t>
    </r>
    <r>
      <rPr>
        <sz val="10"/>
        <rFont val="Arial"/>
        <family val="0"/>
        <charset val="1"/>
      </rPr>
      <t xml:space="preserve">tu — </t>
    </r>
    <r>
      <rPr>
        <sz val="10"/>
        <rFont val="WenQuanYi Zen Hei"/>
        <family val="2"/>
      </rPr>
      <t xml:space="preserve">호칭 전환이 곧 애도</t>
    </r>
  </si>
  <si>
    <t xml:space="preserve">Manon, Napoléon</t>
  </si>
  <si>
    <r>
      <rPr>
        <sz val="10"/>
        <rFont val="Arial"/>
        <family val="0"/>
        <charset val="1"/>
      </rPr>
      <t xml:space="preserve">Curie</t>
    </r>
    <r>
      <rPr>
        <sz val="10"/>
        <rFont val="WenQuanYi Zen Hei"/>
        <family val="2"/>
      </rPr>
      <t xml:space="preserve">의 카드 </t>
    </r>
    <r>
      <rPr>
        <sz val="10"/>
        <rFont val="Arial"/>
        <family val="0"/>
        <charset val="1"/>
      </rPr>
      <t xml:space="preserve">#1</t>
    </r>
    <r>
      <rPr>
        <sz val="10"/>
        <rFont val="WenQuanYi Zen Hei"/>
        <family val="2"/>
      </rPr>
      <t xml:space="preserve">과 </t>
    </r>
    <r>
      <rPr>
        <sz val="10"/>
        <rFont val="Arial"/>
        <family val="0"/>
        <charset val="1"/>
      </rPr>
      <t xml:space="preserve">«Cherche toi-même.»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</si>
  <si>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</si>
  <si>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화 — 끝까지 결론을 말하지 않던 그녀가 처음 답을 말함</t>
    </r>
  </si>
  <si>
    <r>
      <rPr>
        <sz val="10"/>
        <rFont val="Arial"/>
        <family val="0"/>
        <charset val="1"/>
      </rPr>
      <t xml:space="preserve">Nicolas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리노베이션 해지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조항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</si>
  <si>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</si>
  <si>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 — 자기가 만든 조항을 국정에서 폐지</t>
    </r>
  </si>
  <si>
    <r>
      <rPr>
        <sz val="10"/>
        <rFont val="Arial"/>
        <family val="0"/>
        <charset val="1"/>
      </rPr>
      <t xml:space="preserve">Julien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«Ça ne colle pas»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</si>
  <si>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</si>
  <si>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 — 감사인의 눈이 처음 이상을 발견한 순간의 원점</t>
    </r>
  </si>
  <si>
    <r>
      <rPr>
        <sz val="10"/>
        <rFont val="Arial"/>
        <family val="0"/>
        <charset val="1"/>
      </rPr>
      <t xml:space="preserve">Julien</t>
    </r>
    <r>
      <rPr>
        <sz val="10"/>
        <rFont val="WenQuanYi Zen Hei"/>
        <family val="2"/>
      </rPr>
      <t xml:space="preserve">의 복사본 </t>
    </r>
    <r>
      <rPr>
        <sz val="10"/>
        <rFont val="Arial"/>
        <family val="0"/>
        <charset val="1"/>
      </rPr>
      <t xml:space="preserve">USB</t>
    </r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</si>
  <si>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</si>
  <si>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5~6</t>
    </r>
    <r>
      <rPr>
        <sz val="10"/>
        <rFont val="WenQuanYi Zen Hei"/>
        <family val="2"/>
      </rPr>
      <t xml:space="preserve">화 — 서명의 죄가 고소의 증거로 바뀜</t>
    </r>
  </si>
  <si>
    <r>
      <rPr>
        <sz val="10"/>
        <rFont val="Arial"/>
        <family val="0"/>
        <charset val="1"/>
      </rPr>
      <t xml:space="preserve">Julien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«</t>
    </r>
    <r>
      <rPr>
        <sz val="10"/>
        <rFont val="WenQuanYi Zen Hei"/>
        <family val="2"/>
      </rPr>
      <t xml:space="preserve">다시는 서명하지 않는다</t>
    </r>
    <r>
      <rPr>
        <sz val="10"/>
        <rFont val="Arial"/>
        <family val="0"/>
        <charset val="1"/>
      </rPr>
      <t xml:space="preserve">»</t>
    </r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</si>
  <si>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</si>
  <si>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화 — 브뤼셀에서 </t>
    </r>
    <r>
      <rPr>
        <sz val="10"/>
        <rFont val="Arial"/>
        <family val="0"/>
        <charset val="1"/>
      </rPr>
      <t xml:space="preserve">«Je ne signe que ce que j'ai vérifié» — </t>
    </r>
    <r>
      <rPr>
        <sz val="10"/>
        <rFont val="WenQuanYi Zen Hei"/>
        <family val="2"/>
      </rPr>
      <t xml:space="preserve">숫자 서명의 회수</t>
    </r>
  </si>
  <si>
    <r>
      <rPr>
        <sz val="10"/>
        <rFont val="Arial"/>
        <family val="0"/>
        <charset val="1"/>
      </rPr>
      <t xml:space="preserve">Léa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C47 </t>
    </r>
    <r>
      <rPr>
        <sz val="10"/>
        <rFont val="WenQuanYi Zen Hei"/>
        <family val="2"/>
      </rPr>
      <t xml:space="preserve">셀</t>
    </r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</si>
  <si>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</si>
  <si>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 — 사람을 지우던 셀이 해고 없는 통합 모델로</t>
    </r>
  </si>
  <si>
    <r>
      <rPr>
        <sz val="10"/>
        <rFont val="Arial"/>
        <family val="0"/>
        <charset val="1"/>
      </rPr>
      <t xml:space="preserve">Léa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«Mettons ça dans une matrice»</t>
    </r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</si>
  <si>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 — </t>
    </r>
    <r>
      <rPr>
        <sz val="10"/>
        <rFont val="Arial"/>
        <family val="0"/>
        <charset val="1"/>
      </rPr>
      <t xml:space="preserve">«Bon, sans slides» — </t>
    </r>
    <r>
      <rPr>
        <sz val="10"/>
        <rFont val="WenQuanYi Zen Hei"/>
        <family val="2"/>
      </rPr>
      <t xml:space="preserve">쉬운 말로의 변화</t>
    </r>
  </si>
  <si>
    <r>
      <rPr>
        <sz val="10"/>
        <rFont val="Arial"/>
        <family val="0"/>
        <charset val="1"/>
      </rPr>
      <t xml:space="preserve">Camille</t>
    </r>
    <r>
      <rPr>
        <sz val="10"/>
        <rFont val="WenQuanYi Zen Hei"/>
        <family val="2"/>
      </rPr>
      <t xml:space="preserve">의 이름 명단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</si>
  <si>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</si>
  <si>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 — 수첩의 이름들이 임기 결산의 사람 이야기가 됨</t>
    </r>
  </si>
  <si>
    <r>
      <rPr>
        <sz val="10"/>
        <rFont val="Arial"/>
        <family val="0"/>
        <charset val="1"/>
      </rPr>
      <t xml:space="preserve">Karim–Léa </t>
    </r>
    <r>
      <rPr>
        <sz val="10"/>
        <rFont val="WenQuanYi Zen Hei"/>
        <family val="2"/>
      </rPr>
      <t xml:space="preserve">갈등</t>
    </r>
  </si>
  <si>
    <t xml:space="preserve">관계</t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</si>
  <si>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7·10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</si>
  <si>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 — 해고한 쪽과 해고당한 쪽이 결선 협상에서 화해</t>
    </r>
  </si>
  <si>
    <t xml:space="preserve">Karim, Léa</t>
  </si>
  <si>
    <r>
      <rPr>
        <sz val="10"/>
        <rFont val="Arial"/>
        <family val="0"/>
        <charset val="1"/>
      </rPr>
      <t xml:space="preserve">Philippe</t>
    </r>
    <r>
      <rPr>
        <sz val="10"/>
        <rFont val="WenQuanYi Zen Hei"/>
        <family val="2"/>
      </rPr>
      <t xml:space="preserve">의 첫 등장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의뢰인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</si>
  <si>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</si>
  <si>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 — 내부고발자가 시 계약 스캔들의 열쇠가 됨</t>
    </r>
  </si>
  <si>
    <r>
      <rPr>
        <sz val="10"/>
        <rFont val="Arial"/>
        <family val="0"/>
        <charset val="1"/>
      </rPr>
      <t xml:space="preserve">Groupe Méridien</t>
    </r>
    <r>
      <rPr>
        <sz val="10"/>
        <rFont val="WenQuanYi Zen Hei"/>
        <family val="2"/>
      </rPr>
      <t xml:space="preserve">의 이름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</si>
  <si>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</si>
  <si>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 — 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개 부를 관통하는 악역이 재판에 이르는 흐름</t>
    </r>
  </si>
  <si>
    <r>
      <rPr>
        <sz val="10"/>
        <rFont val="Arial"/>
        <family val="0"/>
        <charset val="1"/>
      </rPr>
      <t xml:space="preserve">Sartre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«Et toi, qu'est-ce que tu choisis ?»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</si>
  <si>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</si>
  <si>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애도 장면</t>
    </r>
    <r>
      <rPr>
        <sz val="10"/>
        <rFont val="Arial"/>
        <family val="0"/>
        <charset val="1"/>
      </rPr>
      <t xml:space="preserve">) — </t>
    </r>
    <r>
      <rPr>
        <sz val="10"/>
        <rFont val="WenQuanYi Zen Hei"/>
        <family val="2"/>
      </rPr>
      <t xml:space="preserve">다들 질색하던 질문이 처음 진지하게 쓰임</t>
    </r>
  </si>
  <si>
    <r>
      <rPr>
        <sz val="10"/>
        <rFont val="Arial"/>
        <family val="0"/>
        <charset val="1"/>
      </rPr>
      <t xml:space="preserve">Hugo</t>
    </r>
    <r>
      <rPr>
        <sz val="10"/>
        <rFont val="WenQuanYi Zen Hei"/>
        <family val="2"/>
      </rPr>
      <t xml:space="preserve">의 첫 연설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너무 길고 장황해 실패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</si>
  <si>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</si>
  <si>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 — 취임 연설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유작 메모까지 이어지는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짧게 쓰는 법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의 성장</t>
    </r>
  </si>
  <si>
    <r>
      <rPr>
        <sz val="10"/>
        <rFont val="Arial"/>
        <family val="0"/>
        <charset val="1"/>
      </rPr>
      <t xml:space="preserve">Jeanne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«Rien à signaler»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</si>
  <si>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</si>
  <si>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 — 재난 앞에서 처음으로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보고할 것이 있다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고 말함</t>
    </r>
  </si>
  <si>
    <r>
      <rPr>
        <sz val="10"/>
        <rFont val="Arial"/>
        <family val="0"/>
        <charset val="1"/>
      </rPr>
      <t xml:space="preserve">Monique</t>
    </r>
    <r>
      <rPr>
        <sz val="10"/>
        <rFont val="WenQuanYi Zen Hei"/>
        <family val="2"/>
      </rPr>
      <t xml:space="preserve">의 식탁과 </t>
    </r>
    <r>
      <rPr>
        <sz val="10"/>
        <rFont val="Arial"/>
        <family val="0"/>
        <charset val="1"/>
      </rPr>
      <t xml:space="preserve">«Asseyez-vous, je vous apporte quelque chose.»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</si>
  <si>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1·12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</si>
  <si>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 — 같은 대사로 시작해 같은 대사로 끝나는 원형</t>
    </r>
  </si>
  <si>
    <t xml:space="preserve">«Il est cinq heures. La réunion commence…»</t>
  </si>
  <si>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</si>
  <si>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1·11</t>
    </r>
    <r>
      <rPr>
        <sz val="10"/>
        <rFont val="WenQuanYi Zen Hei"/>
        <family val="2"/>
      </rPr>
      <t xml:space="preserve">화 — 시간의 고리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낭독자가 같은 문장을 다시 읽음</t>
    </r>
  </si>
  <si>
    <r>
      <rPr>
        <sz val="10"/>
        <rFont val="Arial"/>
        <family val="0"/>
        <charset val="1"/>
      </rPr>
      <t xml:space="preserve">CT</t>
    </r>
    <r>
      <rPr>
        <sz val="10"/>
        <rFont val="WenQuanYi Zen Hei"/>
        <family val="2"/>
      </rPr>
      <t xml:space="preserve">의 조건부 찬성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</si>
  <si>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11~12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</si>
  <si>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 — 코르시카 자치 협상의 대가로 두 번째 불신임안에서 기권</t>
    </r>
  </si>
  <si>
    <t xml:space="preserve">Olympe, Léa</t>
  </si>
  <si>
    <t xml:space="preserve">반부패 단체 사소권 제한 법안</t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</si>
  <si>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</si>
  <si>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1~5</t>
    </r>
    <r>
      <rPr>
        <sz val="10"/>
        <rFont val="WenQuanYi Zen Hei"/>
        <family val="2"/>
      </rPr>
      <t xml:space="preserve">화 — 법정 승리가 법 앞에서 무력해지는 경험이 창당의 동기</t>
    </r>
  </si>
  <si>
    <t xml:space="preserve">Nicolas, Karim</t>
  </si>
  <si>
    <r>
      <rPr>
        <sz val="10"/>
        <rFont val="Arial"/>
        <family val="0"/>
        <charset val="1"/>
      </rPr>
      <t xml:space="preserve">Napoléon</t>
    </r>
    <r>
      <rPr>
        <sz val="10"/>
        <rFont val="WenQuanYi Zen Hei"/>
        <family val="2"/>
      </rPr>
      <t xml:space="preserve">이 브뤼셀行을 자원한다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</si>
  <si>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</si>
  <si>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 — 그의 메모로 팀이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차 협상을 잇는 복선</t>
    </r>
  </si>
  <si>
    <r>
      <rPr>
        <sz val="10"/>
        <rFont val="Arial"/>
        <family val="0"/>
        <charset val="1"/>
      </rPr>
      <t xml:space="preserve">Napoléon</t>
    </r>
    <r>
      <rPr>
        <sz val="10"/>
        <rFont val="WenQuanYi Zen Hei"/>
        <family val="2"/>
      </rPr>
      <t xml:space="preserve">이 상대의 과장을 반박한다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</si>
  <si>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</si>
  <si>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 — </t>
    </r>
    <r>
      <rPr>
        <sz val="10"/>
        <rFont val="Arial"/>
        <family val="0"/>
        <charset val="1"/>
      </rPr>
      <t xml:space="preserve">Hugo·Julien</t>
    </r>
    <r>
      <rPr>
        <sz val="10"/>
        <rFont val="WenQuanYi Zen Hei"/>
        <family val="2"/>
      </rPr>
      <t xml:space="preserve">이 같은 화법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정확한 반박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물려받음</t>
    </r>
  </si>
  <si>
    <t xml:space="preserve">Napoléon, Julien</t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</si>
  <si>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부의 도청 논쟁</t>
    </r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</si>
  <si>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</si>
  <si>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 — 개인 간 도청 논쟁이 국가적 스캔들로 확장</t>
    </r>
  </si>
  <si>
    <t xml:space="preserve">Curie, Nicolas, Voltaire</t>
  </si>
  <si>
    <r>
      <rPr>
        <sz val="10"/>
        <rFont val="Arial"/>
        <family val="0"/>
        <charset val="1"/>
      </rPr>
      <t xml:space="preserve">Voltaire</t>
    </r>
    <r>
      <rPr>
        <sz val="10"/>
        <rFont val="WenQuanYi Zen Hei"/>
        <family val="2"/>
      </rPr>
      <t xml:space="preserve">의 </t>
    </r>
    <r>
      <rPr>
        <sz val="10"/>
        <rFont val="Arial"/>
        <family val="0"/>
        <charset val="1"/>
      </rPr>
      <t xml:space="preserve">«Il me faut deux sources.»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</si>
  <si>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</si>
  <si>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 — 폭로 기사에서 두 개의 출처를 갖추는 장면</t>
    </r>
  </si>
  <si>
    <t xml:space="preserve">Voltaire, Curie</t>
  </si>
  <si>
    <r>
      <rPr>
        <b val="true"/>
        <sz val="10"/>
        <rFont val="WenQuanYi Zen Hei"/>
        <family val="2"/>
      </rPr>
      <t xml:space="preserve">평균 간격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부</t>
    </r>
    <r>
      <rPr>
        <b val="true"/>
        <sz val="10"/>
        <rFont val="Noto Sans CJK SC"/>
        <family val="2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</si>
  <si>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가장 긴 복선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부</t>
    </r>
    <r>
      <rPr>
        <b val="true"/>
        <sz val="10"/>
        <rFont val="Noto Sans CJK SC"/>
        <family val="2"/>
        <charset val="1"/>
      </rPr>
      <t xml:space="preserve">)</t>
    </r>
  </si>
  <si>
    <t xml:space="preserve">복선 개수</t>
  </si>
  <si>
    <r>
      <rPr>
        <b val="true"/>
        <sz val="14"/>
        <color rgb="FF1F3864"/>
        <rFont val="WenQuanYi Zen Hei"/>
        <family val="2"/>
      </rPr>
      <t xml:space="preserve">프랑스 현안 </t>
    </r>
    <r>
      <rPr>
        <b val="true"/>
        <sz val="14"/>
        <color rgb="FF1F3864"/>
        <rFont val="Noto Sans CJK SC"/>
        <family val="2"/>
        <charset val="1"/>
      </rPr>
      <t xml:space="preserve">18</t>
    </r>
    <r>
      <rPr>
        <b val="true"/>
        <sz val="14"/>
        <color rgb="FF1F3864"/>
        <rFont val="WenQuanYi Zen Hei"/>
        <family val="2"/>
      </rPr>
      <t xml:space="preserve">개 배치표</t>
    </r>
  </si>
  <si>
    <r>
      <rPr>
        <i val="true"/>
        <sz val="9"/>
        <color rgb="FF595959"/>
        <rFont val="WenQuanYi Zen Hei"/>
        <family val="2"/>
      </rPr>
      <t xml:space="preserve">현재 프랑스의 쟁점을 이야기 곳곳에 녹이는 계획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현실의 정당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정치인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참사 희생자는 특정하지 않고 가상 설정으로 각색하며</t>
    </r>
    <r>
      <rPr>
        <i val="true"/>
        <sz val="9"/>
        <color rgb="FF595959"/>
        <rFont val="Noto Sans CJK SC"/>
        <family val="2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제도와 통계만 현실 기준으로 쓴다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</si>
  <si>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t xml:space="preserve">ID</t>
  </si>
  <si>
    <t xml:space="preserve">분야</t>
  </si>
  <si>
    <t xml:space="preserve">프랑스어 키워드</t>
  </si>
  <si>
    <t xml:space="preserve">이야기 속 가상 설정</t>
  </si>
  <si>
    <r>
      <rPr>
        <b val="true"/>
        <sz val="10"/>
        <color rgb="FFFFFFFF"/>
        <rFont val="WenQuanYi Zen Hei"/>
        <family val="2"/>
      </rPr>
      <t xml:space="preserve">주요 배치 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전용 화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</si>
  <si>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t xml:space="preserve">곁가지 배치</t>
  </si>
  <si>
    <t xml:space="preserve">권한 소재</t>
  </si>
  <si>
    <r>
      <rPr>
        <b val="true"/>
        <sz val="10"/>
        <color rgb="FFFFFFFF"/>
        <rFont val="WenQuanYi Zen Hei"/>
        <family val="2"/>
      </rPr>
      <t xml:space="preserve">관련 제도</t>
    </r>
    <r>
      <rPr>
        <b val="true"/>
        <sz val="10"/>
        <color rgb="FFFFFFFF"/>
        <rFont val="Noto Sans CJK SC"/>
        <family val="2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법</t>
    </r>
  </si>
  <si>
    <t xml:space="preserve">낭독 어휘</t>
  </si>
  <si>
    <r>
      <rPr>
        <b val="true"/>
        <sz val="10"/>
        <color rgb="FFFFFFFF"/>
        <rFont val="WenQuanYi Zen Hei"/>
        <family val="2"/>
      </rPr>
      <t xml:space="preserve">균형</t>
    </r>
    <r>
      <rPr>
        <b val="true"/>
        <sz val="10"/>
        <color rgb="FFFFFFFF"/>
        <rFont val="Noto Sans CJK SC"/>
        <family val="2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민감도 유의</t>
    </r>
  </si>
  <si>
    <r>
      <rPr>
        <b val="true"/>
        <sz val="10"/>
        <color rgb="FFFFFFFF"/>
        <rFont val="WenQuanYi Zen Hei"/>
        <family val="2"/>
      </rPr>
      <t xml:space="preserve">현실 기준값</t>
    </r>
    <r>
      <rPr>
        <b val="true"/>
        <sz val="10"/>
        <color rgb="FFFFFFFF"/>
        <rFont val="Noto Sans CJK SC"/>
        <family val="2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확인</t>
    </r>
  </si>
  <si>
    <t xml:space="preserve">상대다수 의회와 정부 불안정</t>
  </si>
  <si>
    <t xml:space="preserve">Assemblée fracturée, majorité relative, 49.3, motion de censure, coalition</t>
  </si>
  <si>
    <r>
      <rPr>
        <sz val="10"/>
        <rFont val="Noto Sans CJK SC"/>
        <family val="2"/>
        <charset val="1"/>
      </rPr>
      <t xml:space="preserve">2024</t>
    </r>
    <r>
      <rPr>
        <sz val="10"/>
        <rFont val="WenQuanYi Zen Hei"/>
        <family val="2"/>
      </rPr>
      <t xml:space="preserve">년 조기 총선 이후처럼 어떤 진영도 과반이 없는 하원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법안마다 협상 비용이 들고 불신임안이 상시 위협이다</t>
    </r>
    <r>
      <rPr>
        <sz val="10"/>
        <rFont val="Noto Sans CJK SC"/>
        <family val="2"/>
        <charset val="1"/>
      </rPr>
      <t xml:space="preserve">. Maison Commune </t>
    </r>
    <r>
      <rPr>
        <sz val="10"/>
        <rFont val="WenQuanYi Zen Hei"/>
        <family val="2"/>
      </rPr>
      <t xml:space="preserve">정부도 표결마다 다른 파트너를 찾아야 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</si>
  <si>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 불편한 동맹</t>
    </r>
    <r>
      <rPr>
        <sz val="10"/>
        <rFont val="Arial"/>
        <family val="0"/>
        <charset val="1"/>
      </rPr>
      <t xml:space="preserve">, 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9~12</t>
    </r>
    <r>
      <rPr>
        <sz val="10"/>
        <rFont val="WenQuanYi Zen Hei"/>
        <family val="2"/>
      </rPr>
      <t xml:space="preserve">화 해산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총선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불신임안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 두 번째 불신임안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</si>
  <si>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왜 새 정당인가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정치 피로</t>
    </r>
    <r>
      <rPr>
        <sz val="10"/>
        <rFont val="Arial"/>
        <family val="0"/>
        <charset val="1"/>
      </rPr>
      <t xml:space="preserve">), 7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</t>
    </r>
  </si>
  <si>
    <t xml:space="preserve">Léa, Nicolas, Karim, Olympe</t>
  </si>
  <si>
    <r>
      <rPr>
        <sz val="10"/>
        <rFont val="WenQuanYi Zen Hei"/>
        <family val="2"/>
      </rPr>
      <t xml:space="preserve">하원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파리 시의회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</si>
  <si>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8·12·49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정당 간 협약</t>
    </r>
  </si>
  <si>
    <t xml:space="preserve">majorité relative, censure, compromis, blocage, 49.3</t>
  </si>
  <si>
    <r>
      <rPr>
        <sz val="10"/>
        <rFont val="WenQuanYi Zen Hei"/>
        <family val="2"/>
      </rPr>
      <t xml:space="preserve">특정 실존 정당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인물을 비난하는 대사 금지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가상 정당</t>
    </r>
    <r>
      <rPr>
        <sz val="10"/>
        <rFont val="Noto Sans CJK SC"/>
        <family val="2"/>
        <charset val="1"/>
      </rPr>
      <t xml:space="preserve">(UCN·PPS·FS·AE·CT)</t>
    </r>
    <r>
      <rPr>
        <sz val="10"/>
        <rFont val="WenQuanYi Zen Hei"/>
        <family val="2"/>
      </rPr>
      <t xml:space="preserve">으로만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</si>
  <si>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현실</t>
    </r>
    <r>
      <rPr>
        <sz val="10"/>
        <rFont val="Noto Sans CJK SC"/>
        <family val="2"/>
        <charset val="1"/>
      </rPr>
      <t xml:space="preserve">: 2024</t>
    </r>
    <r>
      <rPr>
        <sz val="10"/>
        <rFont val="WenQuanYi Zen Hei"/>
        <family val="2"/>
      </rPr>
      <t xml:space="preserve">년 이후 하원은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개 진영으로 분열</t>
    </r>
    <r>
      <rPr>
        <sz val="10"/>
        <rFont val="Noto Sans CJK SC"/>
        <family val="2"/>
        <charset val="1"/>
      </rPr>
      <t xml:space="preserve">, 2025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9</t>
    </r>
    <r>
      <rPr>
        <sz val="10"/>
        <rFont val="WenQuanYi Zen Hei"/>
        <family val="2"/>
      </rPr>
      <t xml:space="preserve">월 정부 신임 부결 뒤 </t>
    </r>
    <r>
      <rPr>
        <sz val="10"/>
        <rFont val="Noto Sans CJK SC"/>
        <family val="2"/>
        <charset val="1"/>
      </rPr>
      <t xml:space="preserve">Lecornu </t>
    </r>
    <r>
      <rPr>
        <sz val="10"/>
        <rFont val="WenQuanYi Zen Hei"/>
        <family val="2"/>
      </rPr>
      <t xml:space="preserve">정부</t>
    </r>
    <r>
      <rPr>
        <sz val="10"/>
        <rFont val="Noto Sans CJK SC"/>
        <family val="2"/>
        <charset val="1"/>
      </rPr>
      <t xml:space="preserve">(2026-09 </t>
    </r>
    <r>
      <rPr>
        <sz val="10"/>
        <rFont val="WenQuanYi Zen Hei"/>
        <family val="2"/>
      </rPr>
      <t xml:space="preserve">확인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이야기에는 쓰지 않음</t>
    </r>
  </si>
  <si>
    <t xml:space="preserve">P2</t>
  </si>
  <si>
    <r>
      <rPr>
        <sz val="10"/>
        <rFont val="WenQuanYi Zen Hei"/>
        <family val="2"/>
      </rPr>
      <t xml:space="preserve">지역 자치 갈등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코르시카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누벨칼레도니</t>
    </r>
    <r>
      <rPr>
        <sz val="10"/>
        <rFont val="Noto Sans CJK SC"/>
        <family val="2"/>
        <charset val="1"/>
      </rPr>
      <t xml:space="preserve">)</t>
    </r>
  </si>
  <si>
    <t xml:space="preserve">autonomie, Corse, Nouvelle-Calédonie, révision constitutionnelle</t>
  </si>
  <si>
    <r>
      <rPr>
        <sz val="10"/>
        <rFont val="WenQuanYi Zen Hei"/>
        <family val="2"/>
      </rPr>
      <t xml:space="preserve">지역 정당 연합 </t>
    </r>
    <r>
      <rPr>
        <sz val="10"/>
        <rFont val="Noto Sans CJK SC"/>
        <family val="2"/>
        <charset val="1"/>
      </rPr>
      <t xml:space="preserve">CT</t>
    </r>
    <r>
      <rPr>
        <sz val="10"/>
        <rFont val="WenQuanYi Zen Hei"/>
        <family val="2"/>
      </rPr>
      <t xml:space="preserve">가 지지의 대가로 코르시카 자치 개헌 협상 재개와 해외영토 협정 이행을 요구한다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총리 인선과 첫 불신임안이 여기에 걸린다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</si>
  <si>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 마티뇽 협상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</si>
  <si>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(TV </t>
    </r>
    <r>
      <rPr>
        <sz val="10"/>
        <rFont val="WenQuanYi Zen Hei"/>
        <family val="2"/>
      </rPr>
      <t xml:space="preserve">토론 공격</t>
    </r>
    <r>
      <rPr>
        <sz val="10"/>
        <rFont val="Arial"/>
        <family val="0"/>
        <charset val="1"/>
      </rPr>
      <t xml:space="preserve">),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두 번째 불신임안에서 </t>
    </r>
    <r>
      <rPr>
        <sz val="10"/>
        <rFont val="Arial"/>
        <family val="0"/>
        <charset val="1"/>
      </rPr>
      <t xml:space="preserve">CT</t>
    </r>
    <r>
      <rPr>
        <sz val="10"/>
        <rFont val="WenQuanYi Zen Hei"/>
        <family val="2"/>
      </rPr>
      <t xml:space="preserve">의 기권</t>
    </r>
    <r>
      <rPr>
        <sz val="10"/>
        <rFont val="Arial"/>
        <family val="0"/>
        <charset val="1"/>
      </rPr>
      <t xml:space="preserve">)</t>
    </r>
  </si>
  <si>
    <t xml:space="preserve">Nicolas, Olympe, Karim, Léa</t>
  </si>
  <si>
    <r>
      <rPr>
        <sz val="10"/>
        <rFont val="WenQuanYi Zen Hei"/>
        <family val="2"/>
      </rPr>
      <t xml:space="preserve">의회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개헌은 양원 동일 문안 </t>
    </r>
    <r>
      <rPr>
        <sz val="10"/>
        <rFont val="Noto Sans CJK SC"/>
        <family val="2"/>
        <charset val="1"/>
      </rPr>
      <t xml:space="preserve">+ </t>
    </r>
    <r>
      <rPr>
        <sz val="10"/>
        <rFont val="WenQuanYi Zen Hei"/>
        <family val="2"/>
      </rPr>
      <t xml:space="preserve">양원합동회의 </t>
    </r>
    <r>
      <rPr>
        <sz val="10"/>
        <rFont val="Noto Sans CJK SC"/>
        <family val="2"/>
        <charset val="1"/>
      </rPr>
      <t xml:space="preserve">3/5 </t>
    </r>
    <r>
      <rPr>
        <sz val="10"/>
        <rFont val="WenQuanYi Zen Hei"/>
        <family val="2"/>
      </rPr>
      <t xml:space="preserve">또는 국민투표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헌법재판소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</si>
  <si>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72·74·89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누벨칼레도니 관련 헌법 제</t>
    </r>
    <r>
      <rPr>
        <sz val="10"/>
        <rFont val="Noto Sans CJK SC"/>
        <family val="2"/>
        <charset val="1"/>
      </rPr>
      <t xml:space="preserve">13</t>
    </r>
    <r>
      <rPr>
        <sz val="10"/>
        <rFont val="WenQuanYi Zen Hei"/>
        <family val="2"/>
      </rPr>
      <t xml:space="preserve">장</t>
    </r>
  </si>
  <si>
    <t xml:space="preserve">autonomie, unité de la République, statut, référendum</t>
  </si>
  <si>
    <r>
      <rPr>
        <sz val="10"/>
        <rFont val="WenQuanYi Zen Hei"/>
        <family val="2"/>
      </rPr>
      <t xml:space="preserve">가장 민감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찬성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반대 논거를 각 인물이 나눠 말하게 하고 결론은 열어 둔다</t>
    </r>
    <r>
      <rPr>
        <sz val="10"/>
        <rFont val="Noto Sans CJK SC"/>
        <family val="2"/>
        <charset val="1"/>
      </rPr>
      <t xml:space="preserve">(Nicolas</t>
    </r>
    <r>
      <rPr>
        <sz val="10"/>
        <rFont val="WenQuanYi Zen Hei"/>
        <family val="2"/>
      </rPr>
      <t xml:space="preserve">는 공화국 불가분성 우려</t>
    </r>
    <r>
      <rPr>
        <sz val="10"/>
        <rFont val="Noto Sans CJK SC"/>
        <family val="2"/>
        <charset val="1"/>
      </rPr>
      <t xml:space="preserve">, Karim</t>
    </r>
    <r>
      <rPr>
        <sz val="10"/>
        <rFont val="WenQuanYi Zen Hei"/>
        <family val="2"/>
      </rPr>
      <t xml:space="preserve">은 지역 형평</t>
    </r>
    <r>
      <rPr>
        <sz val="10"/>
        <rFont val="Noto Sans CJK SC"/>
        <family val="2"/>
        <charset val="1"/>
      </rPr>
      <t xml:space="preserve">, Léa</t>
    </r>
    <r>
      <rPr>
        <sz val="10"/>
        <rFont val="WenQuanYi Zen Hei"/>
        <family val="2"/>
      </rPr>
      <t xml:space="preserve">는 현실 협상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</si>
  <si>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WenQuanYi Zen Hei"/>
        <family val="2"/>
      </rPr>
      <t xml:space="preserve">코르시카 자치 개헌안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누벨칼레도니 합의</t>
    </r>
    <r>
      <rPr>
        <sz val="10"/>
        <rFont val="Noto Sans CJK SC"/>
        <family val="2"/>
        <charset val="1"/>
      </rPr>
      <t xml:space="preserve">(2025) </t>
    </r>
    <r>
      <rPr>
        <sz val="10"/>
        <rFont val="WenQuanYi Zen Hei"/>
        <family val="2"/>
      </rPr>
      <t xml:space="preserve">진행 상황은 반영 전 확인</t>
    </r>
  </si>
  <si>
    <t xml:space="preserve">사법부 독립과 정치적 대립</t>
  </si>
  <si>
    <t xml:space="preserve">indépendance du parquet, CSM, PNF, attaques contre les juges, agrément anticorruption</t>
  </si>
  <si>
    <r>
      <rPr>
        <sz val="10"/>
        <rFont val="WenQuanYi Zen Hei"/>
        <family val="2"/>
      </rPr>
      <t xml:space="preserve">검찰 인사 개혁은 개헌 교착으로 멈추고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정치인 판결 뒤 판사를 향한 공격이 이어진다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반부패 단체의 인가가 흔들리며 사무소의 고소가 표류한다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</si>
  <si>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고소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예심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보복</t>
    </r>
    <r>
      <rPr>
        <sz val="10"/>
        <rFont val="Arial"/>
        <family val="0"/>
        <charset val="1"/>
      </rPr>
      <t xml:space="preserve">), 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화 고소장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</si>
  <si>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재판</t>
    </r>
    <r>
      <rPr>
        <sz val="10"/>
        <rFont val="Arial"/>
        <family val="0"/>
        <charset val="1"/>
      </rPr>
      <t xml:space="preserve">), 3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징계</t>
    </r>
    <r>
      <rPr>
        <sz val="10"/>
        <rFont val="Arial"/>
        <family val="0"/>
        <charset val="1"/>
      </rPr>
      <t xml:space="preserve">), 4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협상 조건</t>
    </r>
    <r>
      <rPr>
        <sz val="10"/>
        <rFont val="Arial"/>
        <family val="0"/>
        <charset val="1"/>
      </rPr>
      <t xml:space="preserve">),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교착</t>
    </r>
    <r>
      <rPr>
        <sz val="10"/>
        <rFont val="Arial"/>
        <family val="0"/>
        <charset val="1"/>
      </rPr>
      <t xml:space="preserve">)</t>
    </r>
  </si>
  <si>
    <t xml:space="preserve">Nicolas, Voltaire, Curie</t>
  </si>
  <si>
    <r>
      <rPr>
        <sz val="10"/>
        <rFont val="WenQuanYi Zen Hei"/>
        <family val="2"/>
      </rPr>
      <t xml:space="preserve">사법부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최고사법관회의</t>
    </r>
    <r>
      <rPr>
        <sz val="10"/>
        <rFont val="Noto Sans CJK SC"/>
        <family val="2"/>
        <charset val="1"/>
      </rPr>
      <t xml:space="preserve">(CSM)·</t>
    </r>
    <r>
      <rPr>
        <sz val="10"/>
        <rFont val="WenQuanYi Zen Hei"/>
        <family val="2"/>
      </rPr>
      <t xml:space="preserve">의회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</si>
  <si>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64·65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형사소송법 제</t>
    </r>
    <r>
      <rPr>
        <sz val="10"/>
        <rFont val="Noto Sans CJK SC"/>
        <family val="2"/>
        <charset val="1"/>
      </rPr>
      <t xml:space="preserve">2-23</t>
    </r>
    <r>
      <rPr>
        <sz val="10"/>
        <rFont val="WenQuanYi Zen Hei"/>
        <family val="2"/>
      </rPr>
      <t xml:space="preserve">조</t>
    </r>
  </si>
  <si>
    <t xml:space="preserve">indépendance, parquet, agrément, instruction, délais</t>
  </si>
  <si>
    <r>
      <rPr>
        <sz val="10"/>
        <rFont val="WenQuanYi Zen Hei"/>
        <family val="2"/>
      </rPr>
      <t xml:space="preserve">여야 모두가 사법부를 압박한다는 비판을 각각 담는다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실제 재판 결과를 단정하지 않는다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</si>
  <si>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검찰 독립 개헌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반부패 단체 인가 소송 최신 상황 확인</t>
    </r>
  </si>
  <si>
    <t xml:space="preserve">경제</t>
  </si>
  <si>
    <r>
      <rPr>
        <sz val="10"/>
        <rFont val="WenQuanYi Zen Hei"/>
        <family val="2"/>
      </rPr>
      <t xml:space="preserve">주거난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임대료 상한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단기 관광 임대</t>
    </r>
  </si>
  <si>
    <t xml:space="preserve">logement, encadrement des loyers, meublé de tourisme, zone tendue, expulsion</t>
  </si>
  <si>
    <r>
      <rPr>
        <sz val="10"/>
        <rFont val="WenQuanYi Zen Hei"/>
        <family val="2"/>
      </rPr>
      <t xml:space="preserve">월세가 임금보다 빨리 오르고 관광 단기임대가 동네를 비운다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소규모 임대인의 입장</t>
    </r>
    <r>
      <rPr>
        <sz val="10"/>
        <rFont val="Noto Sans CJK SC"/>
        <family val="2"/>
        <charset val="1"/>
      </rPr>
      <t xml:space="preserve">(Monique</t>
    </r>
    <r>
      <rPr>
        <sz val="10"/>
        <rFont val="WenQuanYi Zen Hei"/>
        <family val="2"/>
      </rPr>
      <t xml:space="preserve">의 친구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도 대사에 넣는다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</si>
  <si>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조항 설계</t>
    </r>
    <r>
      <rPr>
        <sz val="10"/>
        <rFont val="Arial"/>
        <family val="0"/>
        <charset val="1"/>
      </rPr>
      <t xml:space="preserve">), 6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1·3·8·10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(Saint-Denis), 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주거 보조 삭감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단기임대 조항</t>
    </r>
    <r>
      <rPr>
        <sz val="10"/>
        <rFont val="Arial"/>
        <family val="0"/>
        <charset val="1"/>
      </rPr>
      <t xml:space="preserve">),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2·3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</si>
  <si>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1·2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(Fatima), 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1·9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13</t>
    </r>
    <r>
      <rPr>
        <sz val="10"/>
        <rFont val="WenQuanYi Zen Hei"/>
        <family val="2"/>
      </rPr>
      <t xml:space="preserve">부</t>
    </r>
  </si>
  <si>
    <t xml:space="preserve">Monique, Manon, Julien, Nicolas</t>
  </si>
  <si>
    <r>
      <rPr>
        <sz val="10"/>
        <rFont val="WenQuanYi Zen Hei"/>
        <family val="2"/>
      </rPr>
      <t xml:space="preserve">국가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임대차법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세제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파리시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임대료 상한 신청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용도변경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메트로폴</t>
    </r>
  </si>
  <si>
    <r>
      <rPr>
        <sz val="10"/>
        <rFont val="Arial"/>
        <family val="0"/>
        <charset val="1"/>
      </rPr>
      <t xml:space="preserve">1989</t>
    </r>
    <r>
      <rPr>
        <sz val="10"/>
        <rFont val="WenQuanYi Zen Hei"/>
        <family val="2"/>
      </rPr>
      <t xml:space="preserve">년 임대차법</t>
    </r>
    <r>
      <rPr>
        <sz val="10"/>
        <rFont val="Arial"/>
        <family val="0"/>
        <charset val="1"/>
      </rPr>
      <t xml:space="preserve">, ELAN</t>
    </r>
    <r>
      <rPr>
        <sz val="10"/>
        <rFont val="WenQuanYi Zen Hei"/>
        <family val="2"/>
      </rPr>
      <t xml:space="preserve">법</t>
    </r>
    <r>
      <rPr>
        <sz val="10"/>
        <rFont val="Arial"/>
        <family val="0"/>
        <charset val="1"/>
      </rPr>
      <t xml:space="preserve">(2018) </t>
    </r>
    <r>
      <rPr>
        <sz val="10"/>
        <rFont val="WenQuanYi Zen Hei"/>
        <family val="2"/>
      </rPr>
      <t xml:space="preserve">임대료 상한</t>
    </r>
    <r>
      <rPr>
        <sz val="10"/>
        <rFont val="Arial"/>
        <family val="0"/>
        <charset val="1"/>
      </rPr>
      <t xml:space="preserve">, 2024</t>
    </r>
    <r>
      <rPr>
        <sz val="10"/>
        <rFont val="WenQuanYi Zen Hei"/>
        <family val="2"/>
      </rPr>
      <t xml:space="preserve">년 단기임대법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르뫼르법</t>
    </r>
    <r>
      <rPr>
        <sz val="10"/>
        <rFont val="Arial"/>
        <family val="0"/>
        <charset val="1"/>
      </rPr>
      <t xml:space="preserve">)</t>
    </r>
  </si>
  <si>
    <t xml:space="preserve">meublé de tourisme, encadrement, petit propriétaire, trêve hivernale</t>
  </si>
  <si>
    <r>
      <rPr>
        <sz val="10"/>
        <rFont val="WenQuanYi Zen Hei"/>
        <family val="2"/>
      </rPr>
      <t xml:space="preserve">임차인만 피해자로 그리지 않는다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소규모 임대인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대형 보유자를 구분해서 말한다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</si>
  <si>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단기임대 규제 세부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연간 일수 상한 등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는 확인</t>
    </r>
  </si>
  <si>
    <t xml:space="preserve">탈산업화와 영세 기업 구조</t>
  </si>
  <si>
    <t xml:space="preserve">désindustrialisation, TPE, PME, productivité, réindustrialisation</t>
  </si>
  <si>
    <r>
      <rPr>
        <sz val="10"/>
        <rFont val="Arial"/>
        <family val="0"/>
        <charset val="1"/>
      </rPr>
      <t xml:space="preserve">Léa</t>
    </r>
    <r>
      <rPr>
        <sz val="10"/>
        <rFont val="WenQuanYi Zen Hei"/>
        <family val="2"/>
      </rPr>
      <t xml:space="preserve">가 컨설팅한 규모의 경제 없는 영세 제조업체들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해고 없이 살릴 길을 못 찾았던 과거</t>
    </r>
    <r>
      <rPr>
        <sz val="10"/>
        <rFont val="Arial"/>
        <family val="0"/>
        <charset val="1"/>
      </rPr>
      <t xml:space="preserve">. 11</t>
    </r>
    <r>
      <rPr>
        <sz val="10"/>
        <rFont val="WenQuanYi Zen Hei"/>
        <family val="2"/>
      </rPr>
      <t xml:space="preserve">부에서 영세 기업 통합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연구개발 전환 사업을 설계한다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</si>
  <si>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Garnier </t>
    </r>
    <r>
      <rPr>
        <sz val="10"/>
        <rFont val="WenQuanYi Zen Hei"/>
        <family val="2"/>
      </rPr>
      <t xml:space="preserve">공방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</si>
  <si>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골목 상권</t>
    </r>
    <r>
      <rPr>
        <sz val="10"/>
        <rFont val="Arial"/>
        <family val="0"/>
        <charset val="1"/>
      </rPr>
      <t xml:space="preserve">),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</si>
  <si>
    <t xml:space="preserve">Léa, Monique, Karim</t>
  </si>
  <si>
    <r>
      <rPr>
        <sz val="10"/>
        <rFont val="WenQuanYi Zen Hei"/>
        <family val="2"/>
      </rPr>
      <t xml:space="preserve">국가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레지옹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경제 개발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</si>
  <si>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연구세액공제</t>
    </r>
    <r>
      <rPr>
        <sz val="10"/>
        <rFont val="Arial"/>
        <family val="0"/>
        <charset val="1"/>
      </rPr>
      <t xml:space="preserve">(CIR), </t>
    </r>
    <r>
      <rPr>
        <sz val="10"/>
        <rFont val="WenQuanYi Zen Hei"/>
        <family val="2"/>
      </rPr>
      <t xml:space="preserve">경제적 해고</t>
    </r>
    <r>
      <rPr>
        <sz val="10"/>
        <rFont val="Arial"/>
        <family val="0"/>
        <charset val="1"/>
      </rPr>
      <t xml:space="preserve">(PSE)</t>
    </r>
  </si>
  <si>
    <t xml:space="preserve">productivité, scaler, consolidation, R&amp;D</t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</si>
  <si>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영세 기업이 문제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라는 식의 낙인 대신 구조 문제로 설명한다</t>
    </r>
    <r>
      <rPr>
        <sz val="10"/>
        <rFont val="Arial"/>
        <family val="0"/>
        <charset val="1"/>
      </rPr>
      <t xml:space="preserve">.</t>
    </r>
  </si>
  <si>
    <t xml:space="preserve">통계 수치는 반영 전 확인</t>
  </si>
  <si>
    <r>
      <rPr>
        <sz val="10"/>
        <rFont val="WenQuanYi Zen Hei"/>
        <family val="2"/>
      </rPr>
      <t xml:space="preserve">국가 부채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재정적자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연금</t>
    </r>
  </si>
  <si>
    <t xml:space="preserve">dette publique, déficit, procédure de déficit excessif, retraites</t>
  </si>
  <si>
    <r>
      <rPr>
        <sz val="10"/>
        <rFont val="WenQuanYi Zen Hei"/>
        <family val="2"/>
      </rPr>
      <t xml:space="preserve">적자를 줄이라는 </t>
    </r>
    <r>
      <rPr>
        <sz val="10"/>
        <rFont val="Noto Sans CJK SC"/>
        <family val="2"/>
        <charset val="1"/>
      </rPr>
      <t xml:space="preserve">EU </t>
    </r>
    <r>
      <rPr>
        <sz val="10"/>
        <rFont val="WenQuanYi Zen Hei"/>
        <family val="2"/>
      </rPr>
      <t xml:space="preserve">절차와 연금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보건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국방 지출 증가 사이의 줄타기</t>
    </r>
    <r>
      <rPr>
        <sz val="10"/>
        <rFont val="Noto Sans CJK SC"/>
        <family val="2"/>
        <charset val="1"/>
      </rPr>
      <t xml:space="preserve">. Julien</t>
    </r>
    <r>
      <rPr>
        <sz val="10"/>
        <rFont val="WenQuanYi Zen Hei"/>
        <family val="2"/>
      </rPr>
      <t xml:space="preserve">이 숫자로 설명하고 </t>
    </r>
    <r>
      <rPr>
        <sz val="10"/>
        <rFont val="Noto Sans CJK SC"/>
        <family val="2"/>
        <charset val="1"/>
      </rPr>
      <t xml:space="preserve">Manon</t>
    </r>
    <r>
      <rPr>
        <sz val="10"/>
        <rFont val="WenQuanYi Zen Hei"/>
        <family val="2"/>
      </rPr>
      <t xml:space="preserve">이 되묻는다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</si>
  <si>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(EU </t>
    </r>
    <r>
      <rPr>
        <sz val="10"/>
        <rFont val="WenQuanYi Zen Hei"/>
        <family val="2"/>
      </rPr>
      <t xml:space="preserve">재정규칙</t>
    </r>
    <r>
      <rPr>
        <sz val="10"/>
        <rFont val="Arial"/>
        <family val="0"/>
        <charset val="1"/>
      </rPr>
      <t xml:space="preserve">),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11~12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예산안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</si>
  <si>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결선 토론</t>
    </r>
    <r>
      <rPr>
        <sz val="10"/>
        <rFont val="Arial"/>
        <family val="0"/>
        <charset val="1"/>
      </rPr>
      <t xml:space="preserve">),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3·9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</si>
  <si>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Julien, Napoléon(</t>
    </r>
    <r>
      <rPr>
        <sz val="10"/>
        <rFont val="WenQuanYi Zen Hei"/>
        <family val="2"/>
      </rPr>
      <t xml:space="preserve">메모</t>
    </r>
    <r>
      <rPr>
        <sz val="10"/>
        <rFont val="Arial"/>
        <family val="0"/>
        <charset val="1"/>
      </rPr>
      <t xml:space="preserve">), Philippe</t>
    </r>
  </si>
  <si>
    <r>
      <rPr>
        <sz val="10"/>
        <rFont val="WenQuanYi Zen Hei"/>
        <family val="2"/>
      </rPr>
      <t xml:space="preserve">국가</t>
    </r>
    <r>
      <rPr>
        <sz val="10"/>
        <rFont val="Noto Sans CJK SC"/>
        <family val="2"/>
        <charset val="1"/>
      </rPr>
      <t xml:space="preserve">·EU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</si>
  <si>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47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·LOLF, TFUE 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126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2023</t>
    </r>
    <r>
      <rPr>
        <sz val="10"/>
        <rFont val="WenQuanYi Zen Hei"/>
        <family val="2"/>
      </rPr>
      <t xml:space="preserve">년 연금 개혁</t>
    </r>
  </si>
  <si>
    <t xml:space="preserve">dette, déficit, trajectoire, soutenabilité</t>
  </si>
  <si>
    <r>
      <rPr>
        <sz val="10"/>
        <rFont val="WenQuanYi Zen Hei"/>
        <family val="2"/>
      </rPr>
      <t xml:space="preserve">긴축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확대 양쪽 논거를 모두 숫자로 제시한다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</si>
  <si>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부채 </t>
    </r>
    <r>
      <rPr>
        <sz val="10"/>
        <rFont val="Noto Sans CJK SC"/>
        <family val="2"/>
        <charset val="1"/>
      </rPr>
      <t xml:space="preserve">GDP </t>
    </r>
    <r>
      <rPr>
        <sz val="10"/>
        <rFont val="WenQuanYi Zen Hei"/>
        <family val="2"/>
      </rPr>
      <t xml:space="preserve">대비 </t>
    </r>
    <r>
      <rPr>
        <sz val="10"/>
        <rFont val="Noto Sans CJK SC"/>
        <family val="2"/>
        <charset val="1"/>
      </rPr>
      <t xml:space="preserve">117.5% (2026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분기 말</t>
    </r>
    <r>
      <rPr>
        <sz val="10"/>
        <rFont val="Noto Sans CJK SC"/>
        <family val="2"/>
        <charset val="1"/>
      </rPr>
      <t xml:space="preserve">, INSEE). 2</t>
    </r>
    <r>
      <rPr>
        <sz val="10"/>
        <rFont val="WenQuanYi Zen Hei"/>
        <family val="2"/>
      </rPr>
      <t xml:space="preserve">분기 수치는 </t>
    </r>
    <r>
      <rPr>
        <sz val="10"/>
        <rFont val="Noto Sans CJK SC"/>
        <family val="2"/>
        <charset val="1"/>
      </rPr>
      <t xml:space="preserve">2026-09-29 </t>
    </r>
    <r>
      <rPr>
        <sz val="10"/>
        <rFont val="WenQuanYi Zen Hei"/>
        <family val="2"/>
      </rPr>
      <t xml:space="preserve">발표 예정</t>
    </r>
  </si>
  <si>
    <t xml:space="preserve">사회</t>
  </si>
  <si>
    <t xml:space="preserve">청년 고용 불안</t>
  </si>
  <si>
    <t xml:space="preserve">stage, CDD, intérim, apprentissage, précarité</t>
  </si>
  <si>
    <r>
      <rPr>
        <sz val="10"/>
        <rFont val="WenQuanYi Zen Hei"/>
        <family val="2"/>
      </rPr>
      <t xml:space="preserve">기간제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인턴과 저임금으로 청년의 자립이 늦어진다</t>
    </r>
    <r>
      <rPr>
        <sz val="10"/>
        <rFont val="Noto Sans CJK SC"/>
        <family val="2"/>
        <charset val="1"/>
      </rPr>
      <t xml:space="preserve">. Manon</t>
    </r>
    <r>
      <rPr>
        <sz val="10"/>
        <rFont val="WenQuanYi Zen Hei"/>
        <family val="2"/>
      </rPr>
      <t xml:space="preserve">이 그 당사자이자 질문자다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</si>
  <si>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3~6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5·6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</si>
  <si>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(Léa</t>
    </r>
    <r>
      <rPr>
        <sz val="10"/>
        <rFont val="WenQuanYi Zen Hei"/>
        <family val="2"/>
      </rPr>
      <t xml:space="preserve">의 인력 감축</t>
    </r>
    <r>
      <rPr>
        <sz val="10"/>
        <rFont val="Arial"/>
        <family val="0"/>
        <charset val="1"/>
      </rPr>
      <t xml:space="preserve">), 6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, 7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, 8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, 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</si>
  <si>
    <t xml:space="preserve">Manon, Karim, Léa</t>
  </si>
  <si>
    <r>
      <rPr>
        <sz val="10"/>
        <rFont val="WenQuanYi Zen Hei"/>
        <family val="2"/>
      </rPr>
      <t xml:space="preserve">국가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노동법</t>
    </r>
    <r>
      <rPr>
        <sz val="10"/>
        <rFont val="Noto Sans CJK SC"/>
        <family val="2"/>
        <charset val="1"/>
      </rPr>
      <t xml:space="preserve">)·</t>
    </r>
    <r>
      <rPr>
        <sz val="10"/>
        <rFont val="WenQuanYi Zen Hei"/>
        <family val="2"/>
      </rPr>
      <t xml:space="preserve">사회적 대화</t>
    </r>
  </si>
  <si>
    <r>
      <rPr>
        <sz val="10"/>
        <rFont val="WenQuanYi Zen Hei"/>
        <family val="2"/>
      </rPr>
      <t xml:space="preserve">노동법전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인턴 수당</t>
    </r>
    <r>
      <rPr>
        <sz val="10"/>
        <rFont val="Noto Sans CJK SC"/>
        <family val="2"/>
        <charset val="1"/>
      </rPr>
      <t xml:space="preserve">(gratification), </t>
    </r>
    <r>
      <rPr>
        <sz val="10"/>
        <rFont val="WenQuanYi Zen Hei"/>
        <family val="2"/>
      </rPr>
      <t xml:space="preserve">견습 지원</t>
    </r>
  </si>
  <si>
    <t xml:space="preserve">stagiaire, contrat, SMIC, précarité</t>
  </si>
  <si>
    <r>
      <rPr>
        <sz val="10"/>
        <rFont val="WenQuanYi Zen Hei"/>
        <family val="2"/>
      </rPr>
      <t xml:space="preserve">청년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기성세대 구도로 몰지 않는다</t>
    </r>
    <r>
      <rPr>
        <sz val="10"/>
        <rFont val="Noto Sans CJK SC"/>
        <family val="2"/>
        <charset val="1"/>
      </rPr>
      <t xml:space="preserve">(Karim</t>
    </r>
    <r>
      <rPr>
        <sz val="10"/>
        <rFont val="WenQuanYi Zen Hei"/>
        <family val="2"/>
      </rPr>
      <t xml:space="preserve">도 </t>
    </r>
    <r>
      <rPr>
        <sz val="10"/>
        <rFont val="Noto Sans CJK SC"/>
        <family val="2"/>
        <charset val="1"/>
      </rPr>
      <t xml:space="preserve">Napoléon</t>
    </r>
    <r>
      <rPr>
        <sz val="10"/>
        <rFont val="WenQuanYi Zen Hei"/>
        <family val="2"/>
      </rPr>
      <t xml:space="preserve">도 청년의 편에서 돕는다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</si>
  <si>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Arial"/>
        <family val="0"/>
        <charset val="1"/>
      </rPr>
      <t xml:space="preserve">15~24</t>
    </r>
    <r>
      <rPr>
        <sz val="10"/>
        <rFont val="WenQuanYi Zen Hei"/>
        <family val="2"/>
      </rPr>
      <t xml:space="preserve">세 실업률 </t>
    </r>
    <r>
      <rPr>
        <sz val="10"/>
        <rFont val="Arial"/>
        <family val="0"/>
        <charset val="1"/>
      </rPr>
      <t xml:space="preserve">21.6%(2026 2</t>
    </r>
    <r>
      <rPr>
        <sz val="10"/>
        <rFont val="WenQuanYi Zen Hei"/>
        <family val="2"/>
      </rPr>
      <t xml:space="preserve">분기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전체 </t>
    </r>
    <r>
      <rPr>
        <sz val="10"/>
        <rFont val="Arial"/>
        <family val="0"/>
        <charset val="1"/>
      </rPr>
      <t xml:space="preserve">8.3%, </t>
    </r>
    <r>
      <rPr>
        <sz val="10"/>
        <rFont val="WenQuanYi Zen Hei"/>
        <family val="2"/>
      </rPr>
      <t xml:space="preserve">약 </t>
    </r>
    <r>
      <rPr>
        <sz val="10"/>
        <rFont val="Arial"/>
        <family val="0"/>
        <charset val="1"/>
      </rPr>
      <t xml:space="preserve">2.6</t>
    </r>
    <r>
      <rPr>
        <sz val="10"/>
        <rFont val="WenQuanYi Zen Hei"/>
        <family val="2"/>
      </rPr>
      <t xml:space="preserve">배 </t>
    </r>
    <r>
      <rPr>
        <sz val="10"/>
        <rFont val="Arial"/>
        <family val="0"/>
        <charset val="1"/>
      </rPr>
      <t xml:space="preserve">(INSEE, 2026-09 </t>
    </r>
    <r>
      <rPr>
        <sz val="10"/>
        <rFont val="WenQuanYi Zen Hei"/>
        <family val="2"/>
      </rPr>
      <t xml:space="preserve">확인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</si>
  <si>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이민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난민과 수용 분담</t>
    </r>
  </si>
  <si>
    <t xml:space="preserve">titre de séjour, MNA, AME, asile, campement</t>
  </si>
  <si>
    <r>
      <rPr>
        <sz val="10"/>
        <rFont val="Arial"/>
        <family val="0"/>
        <charset val="1"/>
      </rPr>
      <t xml:space="preserve">Belleville</t>
    </r>
    <r>
      <rPr>
        <sz val="10"/>
        <rFont val="WenQuanYi Zen Hei"/>
        <family val="2"/>
      </rPr>
      <t xml:space="preserve">는 다국적 동네다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서류 없는 이웃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체류 자격 사건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파리 북부 텐트촌과 보호자 없는 미성년 이주민을 둘러싼 도</t>
    </r>
    <r>
      <rPr>
        <sz val="10"/>
        <rFont val="Arial"/>
        <family val="0"/>
        <charset val="1"/>
      </rPr>
      <t xml:space="preserve">(département) </t>
    </r>
    <r>
      <rPr>
        <sz val="10"/>
        <rFont val="WenQuanYi Zen Hei"/>
        <family val="2"/>
      </rPr>
      <t xml:space="preserve">간 떠넘기기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</si>
  <si>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7~8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(AME), 6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8·9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7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체류 자격</t>
    </r>
    <r>
      <rPr>
        <sz val="10"/>
        <rFont val="Arial"/>
        <family val="0"/>
        <charset val="1"/>
      </rPr>
      <t xml:space="preserve">),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 분담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</si>
  <si>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서류 없는 환자</t>
    </r>
    <r>
      <rPr>
        <sz val="10"/>
        <rFont val="Arial"/>
        <family val="0"/>
        <charset val="1"/>
      </rPr>
      <t xml:space="preserve">), 8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투표권 없는 이웃</t>
    </r>
    <r>
      <rPr>
        <sz val="10"/>
        <rFont val="Arial"/>
        <family val="0"/>
        <charset val="1"/>
      </rPr>
      <t xml:space="preserve">), 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</si>
  <si>
    <t xml:space="preserve">Monique, Camille, Nicolas, Karim, Sartre</t>
  </si>
  <si>
    <r>
      <rPr>
        <sz val="10"/>
        <rFont val="WenQuanYi Zen Hei"/>
        <family val="2"/>
      </rPr>
      <t xml:space="preserve">국가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체류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망명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도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아동 보호 </t>
    </r>
    <r>
      <rPr>
        <sz val="10"/>
        <rFont val="Noto Sans CJK SC"/>
        <family val="2"/>
        <charset val="1"/>
      </rPr>
      <t xml:space="preserve">ASE)</t>
    </r>
  </si>
  <si>
    <r>
      <rPr>
        <sz val="10"/>
        <rFont val="Arial"/>
        <family val="0"/>
        <charset val="1"/>
      </rPr>
      <t xml:space="preserve">CESEDA, 2024</t>
    </r>
    <r>
      <rPr>
        <sz val="10"/>
        <rFont val="WenQuanYi Zen Hei"/>
        <family val="2"/>
      </rPr>
      <t xml:space="preserve">년 이민법</t>
    </r>
    <r>
      <rPr>
        <sz val="10"/>
        <rFont val="Arial"/>
        <family val="0"/>
        <charset val="1"/>
      </rPr>
      <t xml:space="preserve">, EU </t>
    </r>
    <r>
      <rPr>
        <sz val="10"/>
        <rFont val="WenQuanYi Zen Hei"/>
        <family val="2"/>
      </rPr>
      <t xml:space="preserve">이민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망명 협약</t>
    </r>
    <r>
      <rPr>
        <sz val="10"/>
        <rFont val="Arial"/>
        <family val="0"/>
        <charset val="1"/>
      </rPr>
      <t xml:space="preserve">(2026 </t>
    </r>
    <r>
      <rPr>
        <sz val="10"/>
        <rFont val="WenQuanYi Zen Hei"/>
        <family val="2"/>
      </rPr>
      <t xml:space="preserve">시행</t>
    </r>
    <r>
      <rPr>
        <sz val="10"/>
        <rFont val="Arial"/>
        <family val="0"/>
        <charset val="1"/>
      </rPr>
      <t xml:space="preserve">)</t>
    </r>
  </si>
  <si>
    <t xml:space="preserve">titre de séjour, régularisation, mineur non accompagné, demande d'asile</t>
  </si>
  <si>
    <r>
      <rPr>
        <sz val="10"/>
        <rFont val="WenQuanYi Zen Hei"/>
        <family val="2"/>
      </rPr>
      <t xml:space="preserve">반이민 여론</t>
    </r>
    <r>
      <rPr>
        <sz val="10"/>
        <rFont val="Noto Sans CJK SC"/>
        <family val="2"/>
        <charset val="1"/>
      </rPr>
      <t xml:space="preserve">(FS)</t>
    </r>
    <r>
      <rPr>
        <sz val="10"/>
        <rFont val="WenQuanYi Zen Hei"/>
        <family val="2"/>
      </rPr>
      <t xml:space="preserve">과 수용 부담 지역의 실제 어려움을 함께 담고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이주민을 배경이 아닌 화자로 세운다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</si>
  <si>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예외적 체류 허가 지침</t>
    </r>
    <r>
      <rPr>
        <sz val="10"/>
        <rFont val="Arial"/>
        <family val="0"/>
        <charset val="1"/>
      </rPr>
      <t xml:space="preserve">·EU </t>
    </r>
    <r>
      <rPr>
        <sz val="10"/>
        <rFont val="WenQuanYi Zen Hei"/>
        <family val="2"/>
      </rPr>
      <t xml:space="preserve">협약 시행 상태 확인</t>
    </r>
  </si>
  <si>
    <r>
      <rPr>
        <sz val="10"/>
        <rFont val="WenQuanYi Zen Hei"/>
        <family val="2"/>
      </rPr>
      <t xml:space="preserve">고령화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농촌 공동화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의료 사막</t>
    </r>
  </si>
  <si>
    <t xml:space="preserve">désert médical, diagonale du vide, vieillissement, fermeture de services</t>
  </si>
  <si>
    <r>
      <rPr>
        <sz val="10"/>
        <rFont val="WenQuanYi Zen Hei"/>
        <family val="2"/>
      </rPr>
      <t xml:space="preserve">시립 보건센터가 문을 닫고 파리 북동부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센생드니가 의료 사막이 된다</t>
    </r>
    <r>
      <rPr>
        <sz val="10"/>
        <rFont val="Noto Sans CJK SC"/>
        <family val="2"/>
        <charset val="1"/>
      </rPr>
      <t xml:space="preserve">(9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). Jeanne</t>
    </r>
    <r>
      <rPr>
        <sz val="10"/>
        <rFont val="WenQuanYi Zen Hei"/>
        <family val="2"/>
      </rPr>
      <t xml:space="preserve">의 고향 근처 마을은 학교도 병원도 문을 닫았고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추천서 순회가 그곳을 지나며 의료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일자리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연금 문제가 되풀이된다</t>
    </r>
    <r>
      <rPr>
        <sz val="10"/>
        <rFont val="Noto Sans CJK SC"/>
        <family val="2"/>
        <charset val="1"/>
      </rPr>
      <t xml:space="preserve">(10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</si>
  <si>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 시의회에서의 보건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</si>
  <si>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응급실 고령 환자</t>
    </r>
    <r>
      <rPr>
        <sz val="10"/>
        <rFont val="Arial"/>
        <family val="0"/>
        <charset val="1"/>
      </rPr>
      <t xml:space="preserve">), 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농촌 순회</t>
    </r>
    <r>
      <rPr>
        <sz val="10"/>
        <rFont val="Arial"/>
        <family val="0"/>
        <charset val="1"/>
      </rPr>
      <t xml:space="preserve">),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13</t>
    </r>
    <r>
      <rPr>
        <sz val="10"/>
        <rFont val="WenQuanYi Zen Hei"/>
        <family val="2"/>
      </rPr>
      <t xml:space="preserve">부</t>
    </r>
  </si>
  <si>
    <t xml:space="preserve">Jeanne, Camille, Manon</t>
  </si>
  <si>
    <r>
      <rPr>
        <sz val="10"/>
        <rFont val="WenQuanYi Zen Hei"/>
        <family val="2"/>
      </rPr>
      <t xml:space="preserve">국가</t>
    </r>
    <r>
      <rPr>
        <sz val="10"/>
        <rFont val="Noto Sans CJK SC"/>
        <family val="2"/>
        <charset val="1"/>
      </rPr>
      <t xml:space="preserve">(ARS)·</t>
    </r>
    <r>
      <rPr>
        <sz val="10"/>
        <rFont val="WenQuanYi Zen Hei"/>
        <family val="2"/>
      </rPr>
      <t xml:space="preserve">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코뮌</t>
    </r>
  </si>
  <si>
    <r>
      <rPr>
        <sz val="10"/>
        <rFont val="WenQuanYi Zen Hei"/>
        <family val="2"/>
      </rPr>
      <t xml:space="preserve">공중보건법전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의사 배치 규제 논쟁</t>
    </r>
  </si>
  <si>
    <t xml:space="preserve">désert médical, vieillissement, maison de santé</t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</si>
  <si>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시골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을 동정하지 않고 마을 사람들이 직접 말하게 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</si>
  <si>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인구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의사 밀도 통계는 반영 전 확인</t>
    </r>
  </si>
  <si>
    <r>
      <rPr>
        <sz val="10"/>
        <rFont val="WenQuanYi Zen Hei"/>
        <family val="2"/>
      </rPr>
      <t xml:space="preserve">폭염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가뭄과 에너지 전환 부담</t>
    </r>
  </si>
  <si>
    <t xml:space="preserve">canicule, sécheresse, restrictions d'eau, transition énergétique</t>
  </si>
  <si>
    <r>
      <rPr>
        <sz val="10"/>
        <rFont val="WenQuanYi Zen Hei"/>
        <family val="2"/>
      </rPr>
      <t xml:space="preserve">폭염에 응급실이 넘치고</t>
    </r>
    <r>
      <rPr>
        <sz val="10"/>
        <rFont val="Noto Sans CJK SC"/>
        <family val="2"/>
        <charset val="1"/>
      </rPr>
      <t xml:space="preserve">(3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저수지가 마른 마을을 지나며</t>
    </r>
    <r>
      <rPr>
        <sz val="10"/>
        <rFont val="Noto Sans CJK SC"/>
        <family val="2"/>
        <charset val="1"/>
      </rPr>
      <t xml:space="preserve">(10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초고액 자산 최저세 재원을 전환 비용에 쓸지 논쟁한다</t>
    </r>
    <r>
      <rPr>
        <sz val="10"/>
        <rFont val="Noto Sans CJK SC"/>
        <family val="2"/>
        <charset val="1"/>
      </rPr>
      <t xml:space="preserve">(11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</si>
  <si>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3·10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폭염 응급실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</si>
  <si>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4·8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</si>
  <si>
    <t xml:space="preserve">Camille, Jeanne, Julien</t>
  </si>
  <si>
    <r>
      <rPr>
        <sz val="10"/>
        <rFont val="WenQuanYi Zen Hei"/>
        <family val="2"/>
      </rPr>
      <t xml:space="preserve">국가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유역기관</t>
    </r>
  </si>
  <si>
    <r>
      <rPr>
        <sz val="10"/>
        <rFont val="WenQuanYi Zen Hei"/>
        <family val="2"/>
      </rPr>
      <t xml:space="preserve">폭염 경보 계획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물 사용 제한 도지사 명령</t>
    </r>
  </si>
  <si>
    <t xml:space="preserve">canicule, sécheresse, Météo-France, transition énergétique</t>
  </si>
  <si>
    <r>
      <rPr>
        <sz val="10"/>
        <rFont val="WenQuanYi Zen Hei"/>
        <family val="2"/>
      </rPr>
      <t xml:space="preserve">기후를 정치적 구호로 쓰지 않고 현장 사건으로 보여 준다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</si>
  <si>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최신 폭염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가뭄 통계 확인</t>
    </r>
  </si>
  <si>
    <t xml:space="preserve">N1</t>
  </si>
  <si>
    <t xml:space="preserve">재난</t>
  </si>
  <si>
    <r>
      <rPr>
        <sz val="10"/>
        <rFont val="WenQuanYi Zen Hei"/>
        <family val="2"/>
      </rPr>
      <t xml:space="preserve">지중해성 폭우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급류와 방재 체계</t>
    </r>
  </si>
  <si>
    <t xml:space="preserve">épisode méditerranéen, crue éclair, vigilance rouge, FR-Alert, catastrophe naturelle</t>
  </si>
  <si>
    <r>
      <rPr>
        <sz val="10"/>
        <rFont val="WenQuanYi Zen Hei"/>
        <family val="2"/>
      </rPr>
      <t xml:space="preserve">남부 해안 지방을 가상의 폭우와 급류가 덮친다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경보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대피 명령을 둘러싼 도지사–시장 책임 공방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자연재해 지정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민방위 군부대 투입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복구와 보험 보상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</si>
  <si>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L'Épisode méditerranéen</t>
    </r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</si>
  <si>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복구 결산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</si>
  <si>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국가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도지사 </t>
    </r>
    <r>
      <rPr>
        <sz val="10"/>
        <rFont val="Noto Sans CJK SC"/>
        <family val="2"/>
        <charset val="1"/>
      </rPr>
      <t xml:space="preserve">ORSEC), </t>
    </r>
    <r>
      <rPr>
        <sz val="10"/>
        <rFont val="WenQuanYi Zen Hei"/>
        <family val="2"/>
      </rPr>
      <t xml:space="preserve">코뮌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시 보호계획</t>
    </r>
    <r>
      <rPr>
        <sz val="10"/>
        <rFont val="Noto Sans CJK SC"/>
        <family val="2"/>
        <charset val="1"/>
      </rPr>
      <t xml:space="preserve">), EU</t>
    </r>
  </si>
  <si>
    <r>
      <rPr>
        <sz val="10"/>
        <rFont val="WenQuanYi Zen Hei"/>
        <family val="2"/>
      </rPr>
      <t xml:space="preserve">국내안전법전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자연재해 보상제도</t>
    </r>
    <r>
      <rPr>
        <sz val="10"/>
        <rFont val="Arial"/>
        <family val="0"/>
        <charset val="1"/>
      </rPr>
      <t xml:space="preserve">(CatNat), EU </t>
    </r>
    <r>
      <rPr>
        <sz val="10"/>
        <rFont val="WenQuanYi Zen Hei"/>
        <family val="2"/>
      </rPr>
      <t xml:space="preserve">연대기금</t>
    </r>
  </si>
  <si>
    <t xml:space="preserve">vigilance rouge, évacuation, sinistrés, catastrophe naturelle</t>
  </si>
  <si>
    <r>
      <rPr>
        <sz val="10"/>
        <rFont val="WenQuanYi Zen Hei"/>
        <family val="2"/>
      </rPr>
      <t xml:space="preserve">실제 참사와 희생자를 연상시키므로 추모의 톤을 지키고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특정 정치인 비난 없이 제도의 공백을 보여 준다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</si>
  <si>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실제 재난의 후속 조치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소송은 반영 전 확인</t>
    </r>
  </si>
  <si>
    <t xml:space="preserve">EU</t>
  </si>
  <si>
    <r>
      <rPr>
        <sz val="10"/>
        <rFont val="Noto Sans CJK SC"/>
        <family val="2"/>
        <charset val="1"/>
      </rPr>
      <t xml:space="preserve">EU </t>
    </r>
    <r>
      <rPr>
        <sz val="10"/>
        <rFont val="WenQuanYi Zen Hei"/>
        <family val="2"/>
      </rPr>
      <t xml:space="preserve">회복기금 집행</t>
    </r>
  </si>
  <si>
    <t xml:space="preserve">plan de relance, PNRR, jalons, fonds européens</t>
  </si>
  <si>
    <r>
      <rPr>
        <sz val="10"/>
        <rFont val="WenQuanYi Zen Hei"/>
        <family val="2"/>
      </rPr>
      <t xml:space="preserve">회복기금 사업이 시 계약으로 흘러가 소수 업체가 독점하고 행정 병목으로 지연된다</t>
    </r>
    <r>
      <rPr>
        <sz val="10"/>
        <rFont val="Noto Sans CJK SC"/>
        <family val="2"/>
        <charset val="1"/>
      </rPr>
      <t xml:space="preserve">. Julien·Philippe</t>
    </r>
    <r>
      <rPr>
        <sz val="10"/>
        <rFont val="WenQuanYi Zen Hei"/>
        <family val="2"/>
      </rPr>
      <t xml:space="preserve">가 자금 흐름을 추적한다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</si>
  <si>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 돋보기 아래의 계약들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</si>
  <si>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</si>
  <si>
    <t xml:space="preserve">Julien, Philippe, Léa</t>
  </si>
  <si>
    <r>
      <rPr>
        <sz val="10"/>
        <rFont val="WenQuanYi Zen Hei"/>
        <family val="2"/>
      </rPr>
      <t xml:space="preserve">국가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지자체</t>
    </r>
    <r>
      <rPr>
        <sz val="10"/>
        <rFont val="Noto Sans CJK SC"/>
        <family val="2"/>
        <charset val="1"/>
      </rPr>
      <t xml:space="preserve">·EU</t>
    </r>
  </si>
  <si>
    <r>
      <rPr>
        <sz val="10"/>
        <rFont val="Arial"/>
        <family val="0"/>
        <charset val="1"/>
      </rPr>
      <t xml:space="preserve">EU </t>
    </r>
    <r>
      <rPr>
        <sz val="10"/>
        <rFont val="WenQuanYi Zen Hei"/>
        <family val="2"/>
      </rPr>
      <t xml:space="preserve">규칙 </t>
    </r>
    <r>
      <rPr>
        <sz val="10"/>
        <rFont val="Arial"/>
        <family val="0"/>
        <charset val="1"/>
      </rPr>
      <t xml:space="preserve">2021/241, </t>
    </r>
    <r>
      <rPr>
        <sz val="10"/>
        <rFont val="WenQuanYi Zen Hei"/>
        <family val="2"/>
      </rPr>
      <t xml:space="preserve">공공조달법전</t>
    </r>
  </si>
  <si>
    <t xml:space="preserve">fonds européens, appel d'offres, jalon, exécution</t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</si>
  <si>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기금이 낭비된다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는 단정 대신 병목의 원인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절차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인력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배분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나눠서 보여 준다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</si>
  <si>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회복기금은 </t>
    </r>
    <r>
      <rPr>
        <sz val="10"/>
        <rFont val="Noto Sans CJK SC"/>
        <family val="2"/>
        <charset val="1"/>
      </rPr>
      <t xml:space="preserve">2026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8</t>
    </r>
    <r>
      <rPr>
        <sz val="10"/>
        <rFont val="WenQuanYi Zen Hei"/>
        <family val="2"/>
      </rPr>
      <t xml:space="preserve">월 시한 — 이야기 시점에는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사후 감사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로 다룰지 확인</t>
    </r>
  </si>
  <si>
    <t xml:space="preserve">EU·NATO</t>
  </si>
  <si>
    <r>
      <rPr>
        <sz val="10"/>
        <rFont val="WenQuanYi Zen Hei"/>
        <family val="2"/>
      </rPr>
      <t xml:space="preserve">국방비 증액과 </t>
    </r>
    <r>
      <rPr>
        <sz val="10"/>
        <rFont val="Noto Sans CJK SC"/>
        <family val="2"/>
        <charset val="1"/>
      </rPr>
      <t xml:space="preserve">NATO</t>
    </r>
  </si>
  <si>
    <t xml:space="preserve">dépenses de défense, OTAN, LPM, dissuasion</t>
  </si>
  <si>
    <r>
      <rPr>
        <sz val="10"/>
        <rFont val="Arial"/>
        <family val="0"/>
        <charset val="1"/>
      </rPr>
      <t xml:space="preserve">2025</t>
    </r>
    <r>
      <rPr>
        <sz val="10"/>
        <rFont val="WenQuanYi Zen Hei"/>
        <family val="2"/>
      </rPr>
      <t xml:space="preserve">년 헤이그 합의로 </t>
    </r>
    <r>
      <rPr>
        <sz val="10"/>
        <rFont val="Arial"/>
        <family val="0"/>
        <charset val="1"/>
      </rPr>
      <t xml:space="preserve">NATO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5%(3.5%+1.5%) </t>
    </r>
    <r>
      <rPr>
        <sz val="10"/>
        <rFont val="WenQuanYi Zen Hei"/>
        <family val="2"/>
      </rPr>
      <t xml:space="preserve">목표를 </t>
    </r>
    <r>
      <rPr>
        <sz val="10"/>
        <rFont val="Arial"/>
        <family val="0"/>
        <charset val="1"/>
      </rPr>
      <t xml:space="preserve">2035</t>
    </r>
    <r>
      <rPr>
        <sz val="10"/>
        <rFont val="WenQuanYi Zen Hei"/>
        <family val="2"/>
      </rPr>
      <t xml:space="preserve">년까지 세웠다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과도한 적자 절차 속의 프랑스에서 </t>
    </r>
    <r>
      <rPr>
        <sz val="10"/>
        <rFont val="Arial"/>
        <family val="0"/>
        <charset val="1"/>
      </rPr>
      <t xml:space="preserve">Napoléon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부에 대통령 특사로 나서 검증 가능한 증액 경로와 재정 유연성을 얻어내고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부에서 그 경로를 예산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군사계획법에 반영하는 논쟁이 이어진다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</si>
  <si>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9~11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(Napoléon</t>
    </r>
    <r>
      <rPr>
        <sz val="10"/>
        <rFont val="WenQuanYi Zen Hei"/>
        <family val="2"/>
      </rPr>
      <t xml:space="preserve">의 직접 협상</t>
    </r>
    <r>
      <rPr>
        <sz val="10"/>
        <rFont val="Arial"/>
        <family val="0"/>
        <charset val="1"/>
      </rPr>
      <t xml:space="preserve">),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사망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</si>
  <si>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(TV </t>
    </r>
    <r>
      <rPr>
        <sz val="10"/>
        <rFont val="WenQuanYi Zen Hei"/>
        <family val="2"/>
      </rPr>
      <t xml:space="preserve">토론</t>
    </r>
    <r>
      <rPr>
        <sz val="10"/>
        <rFont val="Arial"/>
        <family val="0"/>
        <charset val="1"/>
      </rPr>
      <t xml:space="preserve">),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후속 협상</t>
    </r>
    <r>
      <rPr>
        <sz val="10"/>
        <rFont val="Arial"/>
        <family val="0"/>
        <charset val="1"/>
      </rPr>
      <t xml:space="preserve">),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예산 반영</t>
    </r>
    <r>
      <rPr>
        <sz val="10"/>
        <rFont val="Arial"/>
        <family val="0"/>
        <charset val="1"/>
      </rPr>
      <t xml:space="preserve">)</t>
    </r>
  </si>
  <si>
    <t xml:space="preserve">Napoléon, Julien, Hugo, Jeanne, Nicolas</t>
  </si>
  <si>
    <r>
      <rPr>
        <sz val="10"/>
        <rFont val="WenQuanYi Zen Hei"/>
        <family val="2"/>
      </rPr>
      <t xml:space="preserve">국가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대통령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의회</t>
    </r>
    <r>
      <rPr>
        <sz val="10"/>
        <rFont val="Noto Sans CJK SC"/>
        <family val="2"/>
        <charset val="1"/>
      </rPr>
      <t xml:space="preserve">)·NATO·EU</t>
    </r>
  </si>
  <si>
    <r>
      <rPr>
        <sz val="10"/>
        <rFont val="Arial"/>
        <family val="0"/>
        <charset val="1"/>
      </rPr>
      <t xml:space="preserve">2025 </t>
    </r>
    <r>
      <rPr>
        <sz val="10"/>
        <rFont val="WenQuanYi Zen Hei"/>
        <family val="2"/>
      </rPr>
      <t xml:space="preserve">헤이그 합의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군사계획법</t>
    </r>
    <r>
      <rPr>
        <sz val="10"/>
        <rFont val="Arial"/>
        <family val="0"/>
        <charset val="1"/>
      </rPr>
      <t xml:space="preserve">(LPM), 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47</t>
    </r>
    <r>
      <rPr>
        <sz val="10"/>
        <rFont val="WenQuanYi Zen Hei"/>
        <family val="2"/>
      </rPr>
      <t xml:space="preserve">조</t>
    </r>
  </si>
  <si>
    <t xml:space="preserve">défense, capacités, engagement, dissuasion, trajectoire</t>
  </si>
  <si>
    <r>
      <rPr>
        <sz val="10"/>
        <rFont val="WenQuanYi Zen Hei"/>
        <family val="2"/>
      </rPr>
      <t xml:space="preserve">안보 강화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복지 우선 두 입장을 모두 설득력 있게 들려준다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</si>
  <si>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NATO </t>
    </r>
    <r>
      <rPr>
        <sz val="10"/>
        <rFont val="WenQuanYi Zen Hei"/>
        <family val="2"/>
      </rPr>
      <t xml:space="preserve">목표 수치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프랑스 </t>
    </r>
    <r>
      <rPr>
        <sz val="10"/>
        <rFont val="Arial"/>
        <family val="0"/>
        <charset val="1"/>
      </rPr>
      <t xml:space="preserve">LPM </t>
    </r>
    <r>
      <rPr>
        <sz val="10"/>
        <rFont val="WenQuanYi Zen Hei"/>
        <family val="2"/>
      </rPr>
      <t xml:space="preserve">개정 상황 확인</t>
    </r>
  </si>
  <si>
    <t xml:space="preserve">젠더</t>
  </si>
  <si>
    <r>
      <rPr>
        <sz val="10"/>
        <rFont val="WenQuanYi Zen Hei"/>
        <family val="2"/>
      </rPr>
      <t xml:space="preserve">성폭력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동의 개념 법 논쟁</t>
    </r>
  </si>
  <si>
    <t xml:space="preserve">consentement, viol, classement sans suite, plainte</t>
  </si>
  <si>
    <r>
      <rPr>
        <sz val="10"/>
        <rFont val="Arial"/>
        <family val="0"/>
        <charset val="1"/>
      </rPr>
      <t xml:space="preserve">2025</t>
    </r>
    <r>
      <rPr>
        <sz val="10"/>
        <rFont val="WenQuanYi Zen Hei"/>
        <family val="2"/>
      </rPr>
      <t xml:space="preserve">년 법으로 형법 강간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성폭력 정의에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비동의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가 들어갔지만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고소의 상당수가 불기소되는 현실은 그대로다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사무소가 피해자 사건을 돕고 </t>
    </r>
    <r>
      <rPr>
        <sz val="10"/>
        <rFont val="Arial"/>
        <family val="0"/>
        <charset val="1"/>
      </rPr>
      <t xml:space="preserve">Olympe</t>
    </r>
    <r>
      <rPr>
        <sz val="10"/>
        <rFont val="WenQuanYi Zen Hei"/>
        <family val="2"/>
      </rPr>
      <t xml:space="preserve">와 </t>
    </r>
    <r>
      <rPr>
        <sz val="10"/>
        <rFont val="Arial"/>
        <family val="0"/>
        <charset val="1"/>
      </rPr>
      <t xml:space="preserve">Nicolas</t>
    </r>
    <r>
      <rPr>
        <sz val="10"/>
        <rFont val="WenQuanYi Zen Hei"/>
        <family val="2"/>
      </rPr>
      <t xml:space="preserve">는 법 문구와 수사 현실 사이를 마주한다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</si>
  <si>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 불기소 처분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</si>
  <si>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6·8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남녀 동수 정관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명부</t>
    </r>
    <r>
      <rPr>
        <sz val="10"/>
        <rFont val="Arial"/>
        <family val="0"/>
        <charset val="1"/>
      </rPr>
      <t xml:space="preserve">), 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(TV </t>
    </r>
    <r>
      <rPr>
        <sz val="10"/>
        <rFont val="WenQuanYi Zen Hei"/>
        <family val="2"/>
      </rPr>
      <t xml:space="preserve">토론</t>
    </r>
    <r>
      <rPr>
        <sz val="10"/>
        <rFont val="Arial"/>
        <family val="0"/>
        <charset val="1"/>
      </rPr>
      <t xml:space="preserve">)</t>
    </r>
  </si>
  <si>
    <t xml:space="preserve">Olympe, Nicolas, Sartre, Voltaire</t>
  </si>
  <si>
    <r>
      <rPr>
        <sz val="10"/>
        <rFont val="WenQuanYi Zen Hei"/>
        <family val="2"/>
      </rPr>
      <t xml:space="preserve">국가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형법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검찰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</si>
  <si>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2025</t>
    </r>
    <r>
      <rPr>
        <sz val="10"/>
        <rFont val="WenQuanYi Zen Hei"/>
        <family val="2"/>
      </rPr>
      <t xml:space="preserve">년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일 법</t>
    </r>
    <r>
      <rPr>
        <sz val="10"/>
        <rFont val="Arial"/>
        <family val="0"/>
        <charset val="1"/>
      </rPr>
      <t xml:space="preserve">(2025-1057), </t>
    </r>
    <r>
      <rPr>
        <sz val="10"/>
        <rFont val="WenQuanYi Zen Hei"/>
        <family val="2"/>
      </rPr>
      <t xml:space="preserve">형법 제</t>
    </r>
    <r>
      <rPr>
        <sz val="10"/>
        <rFont val="Arial"/>
        <family val="0"/>
        <charset val="1"/>
      </rPr>
      <t xml:space="preserve">222-22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형사소송법 제</t>
    </r>
    <r>
      <rPr>
        <sz val="10"/>
        <rFont val="Arial"/>
        <family val="0"/>
        <charset val="1"/>
      </rPr>
      <t xml:space="preserve">40-1</t>
    </r>
    <r>
      <rPr>
        <sz val="10"/>
        <rFont val="WenQuanYi Zen Hei"/>
        <family val="2"/>
      </rPr>
      <t xml:space="preserve">조</t>
    </r>
  </si>
  <si>
    <t xml:space="preserve">consentement, victime, classement sans suite, plainte</t>
  </si>
  <si>
    <r>
      <rPr>
        <sz val="10"/>
        <rFont val="WenQuanYi Zen Hei"/>
        <family val="2"/>
      </rPr>
      <t xml:space="preserve">개정 찬성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신중론을 각자의 가장 강한 논거로 제시한다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실존 재판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피해자를 연상시키는 설정은 피한다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</si>
  <si>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법률 번호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조문 검색 확인 </t>
    </r>
    <r>
      <rPr>
        <sz val="10"/>
        <rFont val="Noto Sans CJK SC"/>
        <family val="2"/>
        <charset val="1"/>
      </rPr>
      <t xml:space="preserve">(2026-09-25)</t>
    </r>
  </si>
  <si>
    <t xml:space="preserve">N5</t>
  </si>
  <si>
    <t xml:space="preserve">에너지</t>
  </si>
  <si>
    <r>
      <rPr>
        <sz val="10"/>
        <rFont val="WenQuanYi Zen Hei"/>
        <family val="2"/>
      </rPr>
      <t xml:space="preserve">재생에너지 입지 갈등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녹색 대 녹색</t>
    </r>
    <r>
      <rPr>
        <sz val="10"/>
        <rFont val="Noto Sans CJK SC"/>
        <family val="2"/>
        <charset val="1"/>
      </rPr>
      <t xml:space="preserve">)</t>
    </r>
  </si>
  <si>
    <t xml:space="preserve">agrivoltaïsme, éolien, zone d'accélération, enquête publique</t>
  </si>
  <si>
    <r>
      <rPr>
        <sz val="10"/>
        <rFont val="WenQuanYi Zen Hei"/>
        <family val="2"/>
      </rPr>
      <t xml:space="preserve">농촌 마을 옆 대형 영농형 태양광 단지 계획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일자리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세수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농지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경관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생태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주민 찬반이 갈리고 </t>
    </r>
    <r>
      <rPr>
        <sz val="10"/>
        <rFont val="Noto Sans CJK SC"/>
        <family val="2"/>
        <charset val="1"/>
      </rPr>
      <t xml:space="preserve">Sartre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각자 무엇을 선택하는가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로 중재한다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</si>
  <si>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화 시장들을 찾아서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농촌 마을의 태양광 단지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</si>
  <si>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재원</t>
    </r>
    <r>
      <rPr>
        <sz val="10"/>
        <rFont val="Arial"/>
        <family val="0"/>
        <charset val="1"/>
      </rPr>
      <t xml:space="preserve">),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</si>
  <si>
    <t xml:space="preserve">Jeanne, Hugo, Manon, Sartre</t>
  </si>
  <si>
    <r>
      <rPr>
        <sz val="10"/>
        <rFont val="WenQuanYi Zen Hei"/>
        <family val="2"/>
      </rPr>
      <t xml:space="preserve">국가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도지사 환경 허가</t>
    </r>
    <r>
      <rPr>
        <sz val="10"/>
        <rFont val="Noto Sans CJK SC"/>
        <family val="2"/>
        <charset val="1"/>
      </rPr>
      <t xml:space="preserve">)·</t>
    </r>
    <r>
      <rPr>
        <sz val="10"/>
        <rFont val="WenQuanYi Zen Hei"/>
        <family val="2"/>
      </rPr>
      <t xml:space="preserve">코뮌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가속 구역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</si>
  <si>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2023</t>
    </r>
    <r>
      <rPr>
        <sz val="10"/>
        <rFont val="WenQuanYi Zen Hei"/>
        <family val="2"/>
      </rPr>
      <t xml:space="preserve">년 재생에너지 가속법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환경법전</t>
    </r>
  </si>
  <si>
    <t xml:space="preserve">agrivoltaïsme, étude d'impact, enquête publique, agriculteur</t>
  </si>
  <si>
    <r>
      <rPr>
        <sz val="10"/>
        <rFont val="WenQuanYi Zen Hei"/>
        <family val="2"/>
      </rPr>
      <t xml:space="preserve">어느 쪽도 악역으로 만들지 않는다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마을 안의 두 목소리가 모두 옳다는 형태로</t>
    </r>
    <r>
      <rPr>
        <sz val="10"/>
        <rFont val="Noto Sans CJK SC"/>
        <family val="2"/>
        <charset val="1"/>
      </rPr>
      <t xml:space="preserve">.</t>
    </r>
  </si>
  <si>
    <t xml:space="preserve">영농형 태양광 시행령 세부는 확인</t>
  </si>
  <si>
    <t xml:space="preserve">노동</t>
  </si>
  <si>
    <t xml:space="preserve">플랫폼 노동과 고용 지위</t>
  </si>
  <si>
    <t xml:space="preserve">livreur, algorithme, plateforme, présomption de salariat</t>
  </si>
  <si>
    <r>
      <rPr>
        <sz val="10"/>
        <rFont val="WenQuanYi Zen Hei"/>
        <family val="2"/>
      </rPr>
      <t xml:space="preserve">배달 라이더가 알고리즘 배차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일방적 계정 정지에 항의한다</t>
    </r>
    <r>
      <rPr>
        <sz val="10"/>
        <rFont val="Noto Sans CJK SC"/>
        <family val="2"/>
        <charset val="1"/>
      </rPr>
      <t xml:space="preserve">. EU </t>
    </r>
    <r>
      <rPr>
        <sz val="10"/>
        <rFont val="WenQuanYi Zen Hei"/>
        <family val="2"/>
      </rPr>
      <t xml:space="preserve">플랫폼노동 지침 국내 이행을 앞두고 고용 지위 분쟁이 계속됨을 </t>
    </r>
    <r>
      <rPr>
        <sz val="10"/>
        <rFont val="Noto Sans CJK SC"/>
        <family val="2"/>
        <charset val="1"/>
      </rPr>
      <t xml:space="preserve">Karim</t>
    </r>
    <r>
      <rPr>
        <sz val="10"/>
        <rFont val="WenQuanYi Zen Hei"/>
        <family val="2"/>
      </rPr>
      <t xml:space="preserve">이 현장에서 겪는다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</si>
  <si>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L'Application qui décide</t>
    </r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</si>
  <si>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(Léa</t>
    </r>
    <r>
      <rPr>
        <sz val="10"/>
        <rFont val="WenQuanYi Zen Hei"/>
        <family val="2"/>
      </rPr>
      <t xml:space="preserve">의 과거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곁가지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</si>
  <si>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국가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노동법</t>
    </r>
    <r>
      <rPr>
        <sz val="10"/>
        <rFont val="Noto Sans CJK SC"/>
        <family val="2"/>
        <charset val="1"/>
      </rPr>
      <t xml:space="preserve">)·EU</t>
    </r>
  </si>
  <si>
    <r>
      <rPr>
        <sz val="10"/>
        <rFont val="Arial"/>
        <family val="0"/>
        <charset val="1"/>
      </rPr>
      <t xml:space="preserve">EU </t>
    </r>
    <r>
      <rPr>
        <sz val="10"/>
        <rFont val="WenQuanYi Zen Hei"/>
        <family val="2"/>
      </rPr>
      <t xml:space="preserve">지침 </t>
    </r>
    <r>
      <rPr>
        <sz val="10"/>
        <rFont val="Arial"/>
        <family val="0"/>
        <charset val="1"/>
      </rPr>
      <t xml:space="preserve">2024/2831(2026</t>
    </r>
    <r>
      <rPr>
        <sz val="10"/>
        <rFont val="WenQuanYi Zen Hei"/>
        <family val="2"/>
      </rPr>
      <t xml:space="preserve">년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월까지 이행</t>
    </r>
    <r>
      <rPr>
        <sz val="10"/>
        <rFont val="Arial"/>
        <family val="0"/>
        <charset val="1"/>
      </rPr>
      <t xml:space="preserve">), ARPE</t>
    </r>
  </si>
  <si>
    <t xml:space="preserve">algorithme, plateforme, auto-entrepreneur, désactivation</t>
  </si>
  <si>
    <r>
      <rPr>
        <sz val="10"/>
        <rFont val="WenQuanYi Zen Hei"/>
        <family val="2"/>
      </rPr>
      <t xml:space="preserve">플랫폼 </t>
    </r>
    <r>
      <rPr>
        <sz val="10"/>
        <rFont val="Noto Sans CJK SC"/>
        <family val="2"/>
        <charset val="1"/>
      </rPr>
      <t xml:space="preserve">vs </t>
    </r>
    <r>
      <rPr>
        <sz val="10"/>
        <rFont val="WenQuanYi Zen Hei"/>
        <family val="2"/>
      </rPr>
      <t xml:space="preserve">라이더 구도를 단순화하지 않는다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자영업을 원하는 라이더의 목소리도 담는다</t>
    </r>
    <r>
      <rPr>
        <sz val="10"/>
        <rFont val="Noto Sans CJK SC"/>
        <family val="2"/>
        <charset val="1"/>
      </rPr>
      <t xml:space="preserve">.</t>
    </r>
  </si>
  <si>
    <t xml:space="preserve">지침 국내 이행 법안 진행 상황 확인</t>
  </si>
  <si>
    <r>
      <rPr>
        <sz val="10"/>
        <rFont val="WenQuanYi Zen Hei"/>
        <family val="2"/>
      </rPr>
      <t xml:space="preserve">사법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통제</t>
    </r>
  </si>
  <si>
    <r>
      <rPr>
        <sz val="10"/>
        <rFont val="WenQuanYi Zen Hei"/>
        <family val="2"/>
      </rPr>
      <t xml:space="preserve">정보기관 사찰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스파이웨어 스캔들</t>
    </r>
  </si>
  <si>
    <t xml:space="preserve">logiciel espion, écoutes illégales, CNCTR, commission d'enquête</t>
  </si>
  <si>
    <r>
      <rPr>
        <sz val="10"/>
        <rFont val="WenQuanYi Zen Hei"/>
        <family val="2"/>
      </rPr>
      <t xml:space="preserve">야당 정치인과 기자 휴대전화에 스파이웨어가 심어졌다는 의혹</t>
    </r>
    <r>
      <rPr>
        <sz val="10"/>
        <rFont val="Noto Sans CJK SC"/>
        <family val="2"/>
        <charset val="1"/>
      </rPr>
      <t xml:space="preserve">. Curie</t>
    </r>
    <r>
      <rPr>
        <sz val="10"/>
        <rFont val="WenQuanYi Zen Hei"/>
        <family val="2"/>
      </rPr>
      <t xml:space="preserve">가 포렌식으로 흔적을 찾아내고 </t>
    </r>
    <r>
      <rPr>
        <sz val="10"/>
        <rFont val="Noto Sans CJK SC"/>
        <family val="2"/>
        <charset val="1"/>
      </rPr>
      <t xml:space="preserve">Nicolas</t>
    </r>
    <r>
      <rPr>
        <sz val="10"/>
        <rFont val="WenQuanYi Zen Hei"/>
        <family val="2"/>
      </rPr>
      <t xml:space="preserve">는 합법적 감독 경로를 고집한다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</si>
  <si>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Le Logiciel que personne n'a autorisé</t>
    </r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</si>
  <si>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도청 논쟁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와 연결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확장</t>
    </r>
  </si>
  <si>
    <r>
      <rPr>
        <sz val="10"/>
        <rFont val="WenQuanYi Zen Hei"/>
        <family val="2"/>
      </rPr>
      <t xml:space="preserve">총리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정보 기법 허가</t>
    </r>
    <r>
      <rPr>
        <sz val="10"/>
        <rFont val="Noto Sans CJK SC"/>
        <family val="2"/>
        <charset val="1"/>
      </rPr>
      <t xml:space="preserve">)·CNCTR·</t>
    </r>
    <r>
      <rPr>
        <sz val="10"/>
        <rFont val="WenQuanYi Zen Hei"/>
        <family val="2"/>
      </rPr>
      <t xml:space="preserve">국무원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의회</t>
    </r>
  </si>
  <si>
    <r>
      <rPr>
        <sz val="10"/>
        <rFont val="Arial"/>
        <family val="0"/>
        <charset val="1"/>
      </rPr>
      <t xml:space="preserve">2015</t>
    </r>
    <r>
      <rPr>
        <sz val="10"/>
        <rFont val="WenQuanYi Zen Hei"/>
        <family val="2"/>
      </rPr>
      <t xml:space="preserve">년 정보법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국내안전법전 </t>
    </r>
    <r>
      <rPr>
        <sz val="10"/>
        <rFont val="Arial"/>
        <family val="0"/>
        <charset val="1"/>
      </rPr>
      <t xml:space="preserve">L.801-1</t>
    </r>
    <r>
      <rPr>
        <sz val="10"/>
        <rFont val="WenQuanYi Zen Hei"/>
        <family val="2"/>
      </rPr>
      <t xml:space="preserve">조 이하</t>
    </r>
    <r>
      <rPr>
        <sz val="10"/>
        <rFont val="Arial"/>
        <family val="0"/>
        <charset val="1"/>
      </rPr>
      <t xml:space="preserve">)</t>
    </r>
  </si>
  <si>
    <t xml:space="preserve">logiciel espion, contrôle, commission d'enquête</t>
  </si>
  <si>
    <r>
      <rPr>
        <sz val="10"/>
        <rFont val="WenQuanYi Zen Hei"/>
        <family val="2"/>
      </rPr>
      <t xml:space="preserve">실제 사건을 특정하지 않는다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가상의 스캔들로 각색하고 여야 모두를 향한 감독 공백을 보여 준다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</si>
  <si>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스파이웨어 관련 실제 보도가 있음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세부는 반영 전 확인</t>
    </r>
  </si>
  <si>
    <t xml:space="preserve">청년 정신건강 위기</t>
  </si>
  <si>
    <t xml:space="preserve">santé mentale, anxiété, liste d'attente, Mon soutien psy, CMP</t>
  </si>
  <si>
    <r>
      <rPr>
        <sz val="10"/>
        <rFont val="WenQuanYi Zen Hei"/>
        <family val="2"/>
      </rPr>
      <t xml:space="preserve">청년 정신건강 상담 대기가 몇 달씩 밀린다</t>
    </r>
    <r>
      <rPr>
        <sz val="10"/>
        <rFont val="Noto Sans CJK SC"/>
        <family val="2"/>
        <charset val="1"/>
      </rPr>
      <t xml:space="preserve">. Sartre</t>
    </r>
    <r>
      <rPr>
        <sz val="10"/>
        <rFont val="WenQuanYi Zen Hei"/>
        <family val="2"/>
      </rPr>
      <t xml:space="preserve">가 카페의 청년들과</t>
    </r>
    <r>
      <rPr>
        <sz val="10"/>
        <rFont val="Noto Sans CJK SC"/>
        <family val="2"/>
        <charset val="1"/>
      </rPr>
      <t xml:space="preserve">, Manon</t>
    </r>
    <r>
      <rPr>
        <sz val="10"/>
        <rFont val="WenQuanYi Zen Hei"/>
        <family val="2"/>
      </rPr>
      <t xml:space="preserve">이 자신의 불안을 처음 인정하며</t>
    </r>
    <r>
      <rPr>
        <sz val="10"/>
        <rFont val="Noto Sans CJK SC"/>
        <family val="2"/>
        <charset val="1"/>
      </rPr>
      <t xml:space="preserve">, Camille</t>
    </r>
    <r>
      <rPr>
        <sz val="10"/>
        <rFont val="WenQuanYi Zen Hei"/>
        <family val="2"/>
      </rPr>
      <t xml:space="preserve">가 제도로 함께 부딪힌다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</si>
  <si>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Les Listes d'attente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</si>
  <si>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(Manon</t>
    </r>
    <r>
      <rPr>
        <sz val="10"/>
        <rFont val="WenQuanYi Zen Hei"/>
        <family val="2"/>
      </rPr>
      <t xml:space="preserve">의 폭발과 연결 가능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곁가지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</si>
  <si>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국가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건강보험</t>
    </r>
    <r>
      <rPr>
        <sz val="10"/>
        <rFont val="Noto Sans CJK SC"/>
        <family val="2"/>
        <charset val="1"/>
      </rPr>
      <t xml:space="preserve">)·ARS</t>
    </r>
  </si>
  <si>
    <r>
      <rPr>
        <sz val="10"/>
        <rFont val="WenQuanYi Zen Hei"/>
        <family val="2"/>
      </rPr>
      <t xml:space="preserve">공공 심리상담 지원</t>
    </r>
    <r>
      <rPr>
        <sz val="10"/>
        <rFont val="Noto Sans CJK SC"/>
        <family val="2"/>
        <charset val="1"/>
      </rPr>
      <t xml:space="preserve">(Mon soutien psy), </t>
    </r>
    <r>
      <rPr>
        <sz val="10"/>
        <rFont val="WenQuanYi Zen Hei"/>
        <family val="2"/>
      </rPr>
      <t xml:space="preserve">의료심리센터</t>
    </r>
    <r>
      <rPr>
        <sz val="10"/>
        <rFont val="Noto Sans CJK SC"/>
        <family val="2"/>
        <charset val="1"/>
      </rPr>
      <t xml:space="preserve">(CMP)</t>
    </r>
  </si>
  <si>
    <t xml:space="preserve">santé mentale, anxiété, psychologue, liste d'attente</t>
  </si>
  <si>
    <r>
      <rPr>
        <sz val="10"/>
        <rFont val="WenQuanYi Zen Hei"/>
        <family val="2"/>
      </rPr>
      <t xml:space="preserve">청년 정신건강을 극적 소재로만 소비하지 않는다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낙인 없이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도움을 구하는 것이 자연스럽다는 톤으로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</si>
  <si>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정신건강은 </t>
    </r>
    <r>
      <rPr>
        <sz val="10"/>
        <rFont val="Noto Sans CJK SC"/>
        <family val="2"/>
        <charset val="1"/>
      </rPr>
      <t xml:space="preserve">2025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국가적 대의</t>
    </r>
    <r>
      <rPr>
        <sz val="10"/>
        <rFont val="Noto Sans CJK SC"/>
        <family val="2"/>
        <charset val="1"/>
      </rPr>
      <t xml:space="preserve">(grande cause nationale)'. </t>
    </r>
    <r>
      <rPr>
        <sz val="10"/>
        <rFont val="WenQuanYi Zen Hei"/>
        <family val="2"/>
      </rPr>
      <t xml:space="preserve">최신 통계 확인</t>
    </r>
  </si>
  <si>
    <r>
      <rPr>
        <b val="true"/>
        <sz val="10"/>
        <rFont val="WenQuanYi Zen Hei"/>
        <family val="2"/>
      </rPr>
      <t xml:space="preserve">현실 기준값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확인일 </t>
    </r>
    <r>
      <rPr>
        <b val="true"/>
        <sz val="10"/>
        <rFont val="Noto Sans CJK SC"/>
        <family val="2"/>
        <charset val="1"/>
      </rPr>
      <t xml:space="preserve">2026-09-25)</t>
    </r>
  </si>
  <si>
    <t xml:space="preserve">구분</t>
  </si>
  <si>
    <t xml:space="preserve">항목</t>
  </si>
  <si>
    <t xml:space="preserve">값</t>
  </si>
  <si>
    <r>
      <rPr>
        <b val="true"/>
        <sz val="10"/>
        <color rgb="FFFFFFFF"/>
        <rFont val="WenQuanYi Zen Hei"/>
        <family val="2"/>
      </rPr>
      <t xml:space="preserve">출처</t>
    </r>
    <r>
      <rPr>
        <b val="true"/>
        <sz val="10"/>
        <color rgb="FFFFFFFF"/>
        <rFont val="Noto Sans CJK SC"/>
        <family val="2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비고</t>
    </r>
  </si>
  <si>
    <r>
      <rPr>
        <sz val="10"/>
        <rFont val="WenQuanYi Zen Hei"/>
        <family val="2"/>
      </rPr>
      <t xml:space="preserve">정부 부채 </t>
    </r>
    <r>
      <rPr>
        <sz val="10"/>
        <rFont val="Noto Sans CJK SC"/>
        <family val="2"/>
        <charset val="1"/>
      </rPr>
      <t xml:space="preserve">/ GDP</t>
    </r>
  </si>
  <si>
    <r>
      <rPr>
        <sz val="10"/>
        <rFont val="Noto Sans CJK SC"/>
        <family val="2"/>
        <charset val="1"/>
      </rPr>
      <t xml:space="preserve">117.5% (2026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분기 말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</si>
  <si>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Noto Sans CJK SC"/>
        <family val="2"/>
        <charset val="1"/>
      </rPr>
      <t xml:space="preserve">INSEE, </t>
    </r>
    <r>
      <rPr>
        <sz val="10"/>
        <rFont val="WenQuanYi Zen Hei"/>
        <family val="2"/>
      </rPr>
      <t xml:space="preserve">분기 부채 통계</t>
    </r>
    <r>
      <rPr>
        <sz val="10"/>
        <rFont val="Noto Sans CJK SC"/>
        <family val="2"/>
        <charset val="1"/>
      </rPr>
      <t xml:space="preserve">. 2</t>
    </r>
    <r>
      <rPr>
        <sz val="10"/>
        <rFont val="WenQuanYi Zen Hei"/>
        <family val="2"/>
      </rPr>
      <t xml:space="preserve">분기 수치는 </t>
    </r>
    <r>
      <rPr>
        <sz val="10"/>
        <rFont val="Noto Sans CJK SC"/>
        <family val="2"/>
        <charset val="1"/>
      </rPr>
      <t xml:space="preserve">2026-09-29 </t>
    </r>
    <r>
      <rPr>
        <sz val="10"/>
        <rFont val="WenQuanYi Zen Hei"/>
        <family val="2"/>
      </rPr>
      <t xml:space="preserve">발표 예정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</si>
  <si>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15~24</t>
    </r>
    <r>
      <rPr>
        <sz val="10"/>
        <rFont val="WenQuanYi Zen Hei"/>
        <family val="2"/>
      </rPr>
      <t xml:space="preserve">세 실업률</t>
    </r>
  </si>
  <si>
    <r>
      <rPr>
        <sz val="10"/>
        <rFont val="Arial"/>
        <family val="0"/>
        <charset val="1"/>
      </rPr>
      <t xml:space="preserve">21.6% (2026 2</t>
    </r>
    <r>
      <rPr>
        <sz val="10"/>
        <rFont val="WenQuanYi Zen Hei"/>
        <family val="2"/>
      </rPr>
      <t xml:space="preserve">분기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전체 </t>
    </r>
    <r>
      <rPr>
        <sz val="10"/>
        <rFont val="Arial"/>
        <family val="0"/>
        <charset val="1"/>
      </rPr>
      <t xml:space="preserve">8.3%</t>
    </r>
  </si>
  <si>
    <r>
      <rPr>
        <sz val="10"/>
        <rFont val="Arial"/>
        <family val="0"/>
        <charset val="1"/>
      </rPr>
      <t xml:space="preserve">INSEE </t>
    </r>
    <r>
      <rPr>
        <sz val="10"/>
        <rFont val="WenQuanYi Zen Hei"/>
        <family val="2"/>
      </rPr>
      <t xml:space="preserve">고용조사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청년 실업은 전체의 약 </t>
    </r>
    <r>
      <rPr>
        <sz val="10"/>
        <rFont val="Arial"/>
        <family val="0"/>
        <charset val="1"/>
      </rPr>
      <t xml:space="preserve">2.6</t>
    </r>
    <r>
      <rPr>
        <sz val="10"/>
        <rFont val="WenQuanYi Zen Hei"/>
        <family val="2"/>
      </rPr>
      <t xml:space="preserve">배</t>
    </r>
    <r>
      <rPr>
        <sz val="10"/>
        <rFont val="Arial"/>
        <family val="0"/>
        <charset val="1"/>
      </rPr>
      <t xml:space="preserve">.</t>
    </r>
  </si>
  <si>
    <t xml:space="preserve">현 정부 형태</t>
  </si>
  <si>
    <r>
      <rPr>
        <sz val="10"/>
        <rFont val="WenQuanYi Zen Hei"/>
        <family val="2"/>
      </rPr>
      <t xml:space="preserve">과반 없는 하원</t>
    </r>
    <r>
      <rPr>
        <sz val="10"/>
        <rFont val="Noto Sans CJK SC"/>
        <family val="2"/>
        <charset val="1"/>
      </rPr>
      <t xml:space="preserve">(3</t>
    </r>
    <r>
      <rPr>
        <sz val="10"/>
        <rFont val="WenQuanYi Zen Hei"/>
        <family val="2"/>
      </rPr>
      <t xml:space="preserve">개 진영</t>
    </r>
    <r>
      <rPr>
        <sz val="10"/>
        <rFont val="Noto Sans CJK SC"/>
        <family val="2"/>
        <charset val="1"/>
      </rPr>
      <t xml:space="preserve">) + </t>
    </r>
    <r>
      <rPr>
        <sz val="10"/>
        <rFont val="WenQuanYi Zen Hei"/>
        <family val="2"/>
      </rPr>
      <t xml:space="preserve">소수 정부</t>
    </r>
  </si>
  <si>
    <r>
      <rPr>
        <sz val="10"/>
        <rFont val="WenQuanYi Zen Hei"/>
        <family val="2"/>
      </rPr>
      <t xml:space="preserve">이야기에는 실존 정당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인물을 쓰지 않는다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표현은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여소야대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가 아니라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상대다수 정부</t>
    </r>
    <r>
      <rPr>
        <sz val="10"/>
        <rFont val="Noto Sans CJK SC"/>
        <family val="2"/>
        <charset val="1"/>
      </rPr>
      <t xml:space="preserve">'.</t>
    </r>
  </si>
  <si>
    <t xml:space="preserve">확인 필요</t>
  </si>
  <si>
    <t xml:space="preserve">변동이 잦은 항목</t>
  </si>
  <si>
    <r>
      <rPr>
        <sz val="10"/>
        <rFont val="WenQuanYi Zen Hei"/>
        <family val="2"/>
      </rPr>
      <t xml:space="preserve">코르시카 자치 개헌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누벨칼레도니 합의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연금 개혁 유예</t>
    </r>
    <r>
      <rPr>
        <sz val="10"/>
        <rFont val="Noto Sans CJK SC"/>
        <family val="2"/>
        <charset val="1"/>
      </rPr>
      <t xml:space="preserve">, NATO </t>
    </r>
    <r>
      <rPr>
        <sz val="10"/>
        <rFont val="WenQuanYi Zen Hei"/>
        <family val="2"/>
      </rPr>
      <t xml:space="preserve">목표</t>
    </r>
    <r>
      <rPr>
        <sz val="10"/>
        <rFont val="Noto Sans CJK SC"/>
        <family val="2"/>
        <charset val="1"/>
      </rPr>
      <t xml:space="preserve">, EU </t>
    </r>
    <r>
      <rPr>
        <sz val="10"/>
        <rFont val="WenQuanYi Zen Hei"/>
        <family val="2"/>
      </rPr>
      <t xml:space="preserve">이민 협약 시행</t>
    </r>
  </si>
  <si>
    <r>
      <rPr>
        <sz val="10"/>
        <rFont val="WenQuanYi Zen Hei"/>
        <family val="2"/>
      </rPr>
      <t xml:space="preserve">교재에 넣기 직전 최신 상태를 확인한다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</si>
  <si>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4"/>
        <color rgb="FF1F3864"/>
        <rFont val="WenQuanYi Zen Hei"/>
        <family val="2"/>
      </rPr>
      <t xml:space="preserve">현안 분포표 </t>
    </r>
    <r>
      <rPr>
        <b val="true"/>
        <sz val="14"/>
        <color rgb="FF1F3864"/>
        <rFont val="Noto Sans CJK SC"/>
        <family val="2"/>
        <charset val="1"/>
      </rPr>
      <t xml:space="preserve">(</t>
    </r>
    <r>
      <rPr>
        <b val="true"/>
        <sz val="14"/>
        <color rgb="FF1F3864"/>
        <rFont val="WenQuanYi Zen Hei"/>
        <family val="2"/>
      </rPr>
      <t xml:space="preserve">부 </t>
    </r>
    <r>
      <rPr>
        <b val="true"/>
        <sz val="14"/>
        <color rgb="FF1F3864"/>
        <rFont val="Noto Sans CJK SC"/>
        <family val="2"/>
        <charset val="1"/>
      </rPr>
      <t xml:space="preserve">× </t>
    </r>
    <r>
      <rPr>
        <b val="true"/>
        <sz val="14"/>
        <color rgb="FF1F3864"/>
        <rFont val="WenQuanYi Zen Hei"/>
        <family val="2"/>
      </rPr>
      <t xml:space="preserve">현안</t>
    </r>
    <r>
      <rPr>
        <b val="true"/>
        <sz val="14"/>
        <color rgb="FF1F3864"/>
        <rFont val="Noto Sans CJK SC"/>
        <family val="2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</si>
  <si>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● = </t>
    </r>
    <r>
      <rPr>
        <i val="true"/>
        <sz val="9"/>
        <color rgb="FF595959"/>
        <rFont val="WenQuanYi Zen Hei"/>
        <family val="2"/>
      </rPr>
      <t xml:space="preserve">그 화의 주된 사건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전용 화</t>
    </r>
    <r>
      <rPr>
        <i val="true"/>
        <sz val="9"/>
        <color rgb="FF595959"/>
        <rFont val="Arial"/>
        <family val="0"/>
        <charset val="1"/>
      </rPr>
      <t xml:space="preserve">), ○ = </t>
    </r>
    <r>
      <rPr>
        <i val="true"/>
        <sz val="9"/>
        <color rgb="FF595959"/>
        <rFont val="WenQuanYi Zen Hei"/>
        <family val="2"/>
      </rPr>
      <t xml:space="preserve">곁가지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대사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서브플롯</t>
    </r>
    <r>
      <rPr>
        <i val="true"/>
        <sz val="9"/>
        <color rgb="FF595959"/>
        <rFont val="Arial"/>
        <family val="0"/>
        <charset val="1"/>
      </rPr>
      <t xml:space="preserve">). </t>
    </r>
    <r>
      <rPr>
        <i val="true"/>
        <sz val="9"/>
        <color rgb="FF595959"/>
        <rFont val="WenQuanYi Zen Hei"/>
        <family val="2"/>
      </rPr>
      <t xml:space="preserve">기호를 바꾸면 아래 집계가 자동 갱신됩니다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</si>
  <si>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● 수</t>
  </si>
  <si>
    <t xml:space="preserve">○ 수</t>
  </si>
  <si>
    <r>
      <rPr>
        <sz val="10"/>
        <rFont val="WenQuanYi Zen Hei"/>
        <family val="2"/>
      </rPr>
      <t xml:space="preserve">상대다수 의회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정부 불안정</t>
    </r>
  </si>
  <si>
    <t xml:space="preserve">○</t>
  </si>
  <si>
    <t xml:space="preserve">●</t>
  </si>
  <si>
    <r>
      <rPr>
        <sz val="10"/>
        <rFont val="WenQuanYi Zen Hei"/>
        <family val="2"/>
      </rPr>
      <t xml:space="preserve">지역 자치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코르시카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누벨칼레도니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</si>
  <si>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사법부 독립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정치 대립</t>
    </r>
  </si>
  <si>
    <r>
      <rPr>
        <sz val="10"/>
        <rFont val="WenQuanYi Zen Hei"/>
        <family val="2"/>
      </rPr>
      <t xml:space="preserve">주거난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임대료 상한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단기임대</t>
    </r>
  </si>
  <si>
    <r>
      <rPr>
        <sz val="10"/>
        <rFont val="WenQuanYi Zen Hei"/>
        <family val="2"/>
      </rPr>
      <t xml:space="preserve">탈산업화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영세 기업</t>
    </r>
  </si>
  <si>
    <r>
      <rPr>
        <sz val="10"/>
        <rFont val="WenQuanYi Zen Hei"/>
        <family val="2"/>
      </rPr>
      <t xml:space="preserve">부채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재정적자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연금</t>
    </r>
  </si>
  <si>
    <r>
      <rPr>
        <sz val="10"/>
        <rFont val="WenQuanYi Zen Hei"/>
        <family val="2"/>
      </rPr>
      <t xml:space="preserve">이민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난민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수용 분담</t>
    </r>
  </si>
  <si>
    <r>
      <rPr>
        <sz val="10"/>
        <rFont val="WenQuanYi Zen Hei"/>
        <family val="2"/>
      </rPr>
      <t xml:space="preserve">폭염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가뭄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에너지 전환</t>
    </r>
  </si>
  <si>
    <r>
      <rPr>
        <sz val="10"/>
        <rFont val="WenQuanYi Zen Hei"/>
        <family val="2"/>
      </rPr>
      <t xml:space="preserve">지중해성 폭우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방재</t>
    </r>
  </si>
  <si>
    <r>
      <rPr>
        <sz val="10"/>
        <rFont val="WenQuanYi Zen Hei"/>
        <family val="2"/>
      </rPr>
      <t xml:space="preserve">국방비</t>
    </r>
    <r>
      <rPr>
        <sz val="10"/>
        <rFont val="Noto Sans CJK SC"/>
        <family val="2"/>
        <charset val="1"/>
      </rPr>
      <t xml:space="preserve">·NATO</t>
    </r>
  </si>
  <si>
    <r>
      <rPr>
        <sz val="10"/>
        <rFont val="WenQuanYi Zen Hei"/>
        <family val="2"/>
      </rPr>
      <t xml:space="preserve">성폭력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동의 개념 법</t>
    </r>
  </si>
  <si>
    <t xml:space="preserve">녹색 대 녹색</t>
  </si>
  <si>
    <t xml:space="preserve">플랫폼 노동</t>
  </si>
  <si>
    <t xml:space="preserve">정보기관 사찰 스캔들</t>
  </si>
  <si>
    <t xml:space="preserve">청년 정신건강</t>
  </si>
  <si>
    <t xml:space="preserve">부별 ● 수</t>
  </si>
  <si>
    <t xml:space="preserve">부별 ○ 수</t>
  </si>
  <si>
    <r>
      <rPr>
        <i val="true"/>
        <sz val="9"/>
        <color rgb="FF595959"/>
        <rFont val="WenQuanYi Zen Hei"/>
        <family val="2"/>
      </rPr>
      <t xml:space="preserve">읽는 법</t>
    </r>
    <r>
      <rPr>
        <i val="true"/>
        <sz val="9"/>
        <color rgb="FF595959"/>
        <rFont val="Noto Sans CJK SC"/>
        <family val="2"/>
        <charset val="1"/>
      </rPr>
      <t xml:space="preserve">: 1~5</t>
    </r>
    <r>
      <rPr>
        <i val="true"/>
        <sz val="9"/>
        <color rgb="FF595959"/>
        <rFont val="WenQuanYi Zen Hei"/>
        <family val="2"/>
      </rPr>
      <t xml:space="preserve">부는 곁가지 중심이라 </t>
    </r>
    <r>
      <rPr>
        <i val="true"/>
        <sz val="9"/>
        <color rgb="FF595959"/>
        <rFont val="Noto Sans CJK SC"/>
        <family val="2"/>
        <charset val="1"/>
      </rPr>
      <t xml:space="preserve">B1~B2 </t>
    </r>
    <r>
      <rPr>
        <i val="true"/>
        <sz val="9"/>
        <color rgb="FF595959"/>
        <rFont val="WenQuanYi Zen Hei"/>
        <family val="2"/>
      </rPr>
      <t xml:space="preserve">난이도를 지키고</t>
    </r>
    <r>
      <rPr>
        <i val="true"/>
        <sz val="9"/>
        <color rgb="FF595959"/>
        <rFont val="Noto Sans CJK SC"/>
        <family val="2"/>
        <charset val="1"/>
      </rPr>
      <t xml:space="preserve">, 9~12</t>
    </r>
    <r>
      <rPr>
        <i val="true"/>
        <sz val="9"/>
        <color rgb="FF595959"/>
        <rFont val="WenQuanYi Zen Hei"/>
        <family val="2"/>
      </rPr>
      <t xml:space="preserve">부에서 전용 화가 몰린다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화당 전용 현안은 </t>
    </r>
    <r>
      <rPr>
        <i val="true"/>
        <sz val="9"/>
        <color rgb="FF595959"/>
        <rFont val="Noto Sans CJK SC"/>
        <family val="2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개</t>
    </r>
    <r>
      <rPr>
        <i val="true"/>
        <sz val="9"/>
        <color rgb="FF595959"/>
        <rFont val="Noto Sans CJK SC"/>
        <family val="2"/>
        <charset val="1"/>
      </rPr>
      <t xml:space="preserve">(+</t>
    </r>
    <r>
      <rPr>
        <i val="true"/>
        <sz val="9"/>
        <color rgb="FF595959"/>
        <rFont val="WenQuanYi Zen Hei"/>
        <family val="2"/>
      </rPr>
      <t xml:space="preserve">곁가지 </t>
    </r>
    <r>
      <rPr>
        <i val="true"/>
        <sz val="9"/>
        <color rgb="FF595959"/>
        <rFont val="Noto Sans CJK SC"/>
        <family val="2"/>
        <charset val="1"/>
      </rPr>
      <t xml:space="preserve">1~2</t>
    </r>
    <r>
      <rPr>
        <i val="true"/>
        <sz val="9"/>
        <color rgb="FF595959"/>
        <rFont val="WenQuanYi Zen Hei"/>
        <family val="2"/>
      </rPr>
      <t xml:space="preserve">개</t>
    </r>
    <r>
      <rPr>
        <i val="true"/>
        <sz val="9"/>
        <color rgb="FF595959"/>
        <rFont val="Noto Sans CJK SC"/>
        <family val="2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로 제한해 낭독 분량을 지킨다</t>
    </r>
    <r>
      <rPr>
        <i val="true"/>
        <sz val="9"/>
        <color rgb="FF595959"/>
        <rFont val="Noto Sans CJK SC"/>
        <family val="2"/>
        <charset val="1"/>
      </rPr>
      <t xml:space="preserve">. N6~N8</t>
    </r>
    <r>
      <rPr>
        <i val="true"/>
        <sz val="9"/>
        <color rgb="FF595959"/>
        <rFont val="WenQuanYi Zen Hei"/>
        <family val="2"/>
      </rPr>
      <t xml:space="preserve">은 </t>
    </r>
    <r>
      <rPr>
        <i val="true"/>
        <sz val="9"/>
        <color rgb="FF595959"/>
        <rFont val="Noto Sans CJK SC"/>
        <family val="2"/>
        <charset val="1"/>
      </rPr>
      <t xml:space="preserve">12</t>
    </r>
    <r>
      <rPr>
        <i val="true"/>
        <sz val="9"/>
        <color rgb="FF595959"/>
        <rFont val="WenQuanYi Zen Hei"/>
        <family val="2"/>
      </rPr>
      <t xml:space="preserve">부의 신규 현안으로 각 </t>
    </r>
    <r>
      <rPr>
        <i val="true"/>
        <sz val="9"/>
        <color rgb="FF595959"/>
        <rFont val="Noto Sans CJK SC"/>
        <family val="2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개 전용 화를 받는다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</si>
  <si>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i val="true"/>
        <sz val="9"/>
        <color rgb="FF595959"/>
        <rFont val="WenQuanYi Zen Hei"/>
        <family val="2"/>
      </rPr>
      <t xml:space="preserve">현안 </t>
    </r>
    <r>
      <rPr>
        <i val="true"/>
        <sz val="9"/>
        <color rgb="FF595959"/>
        <rFont val="Noto Sans CJK SC"/>
        <family val="2"/>
        <charset val="1"/>
      </rPr>
      <t xml:space="preserve">ID</t>
    </r>
    <r>
      <rPr>
        <i val="true"/>
        <sz val="9"/>
        <color rgb="FF595959"/>
        <rFont val="WenQuanYi Zen Hei"/>
        <family val="2"/>
      </rPr>
      <t xml:space="preserve">와 설명은 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현안</t>
    </r>
    <r>
      <rPr>
        <i val="true"/>
        <sz val="9"/>
        <color rgb="FF595959"/>
        <rFont val="Noto Sans CJK SC"/>
        <family val="2"/>
        <charset val="1"/>
      </rPr>
      <t xml:space="preserve">_</t>
    </r>
    <r>
      <rPr>
        <i val="true"/>
        <sz val="9"/>
        <color rgb="FF595959"/>
        <rFont val="WenQuanYi Zen Hei"/>
        <family val="2"/>
      </rPr>
      <t xml:space="preserve">배치</t>
    </r>
    <r>
      <rPr>
        <i val="true"/>
        <sz val="9"/>
        <color rgb="FF595959"/>
        <rFont val="Noto Sans CJK SC"/>
        <family val="2"/>
        <charset val="1"/>
      </rPr>
      <t xml:space="preserve">' </t>
    </r>
    <r>
      <rPr>
        <i val="true"/>
        <sz val="9"/>
        <color rgb="FF595959"/>
        <rFont val="WenQuanYi Zen Hei"/>
        <family val="2"/>
      </rPr>
      <t xml:space="preserve">시트</t>
    </r>
    <r>
      <rPr>
        <i val="true"/>
        <sz val="9"/>
        <color rgb="FF595959"/>
        <rFont val="Noto Sans CJK SC"/>
        <family val="2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화별 반영은 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화별목차</t>
    </r>
    <r>
      <rPr>
        <i val="true"/>
        <sz val="9"/>
        <color rgb="FF595959"/>
        <rFont val="Noto Sans CJK SC"/>
        <family val="2"/>
        <charset val="1"/>
      </rPr>
      <t xml:space="preserve">_</t>
    </r>
    <r>
      <rPr>
        <i val="true"/>
        <sz val="9"/>
        <color rgb="FF595959"/>
        <rFont val="WenQuanYi Zen Hei"/>
        <family val="2"/>
      </rPr>
      <t xml:space="preserve">전체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의 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반영 현안</t>
    </r>
    <r>
      <rPr>
        <i val="true"/>
        <sz val="9"/>
        <color rgb="FF595959"/>
        <rFont val="Noto Sans CJK SC"/>
        <family val="2"/>
        <charset val="1"/>
      </rPr>
      <t xml:space="preserve">' </t>
    </r>
    <r>
      <rPr>
        <i val="true"/>
        <sz val="9"/>
        <color rgb="FF595959"/>
        <rFont val="WenQuanYi Zen Hei"/>
        <family val="2"/>
      </rPr>
      <t xml:space="preserve">열을 참고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</si>
  <si>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4"/>
        <color rgb="FF1F3864"/>
        <rFont val="WenQuanYi Zen Hei"/>
        <family val="2"/>
      </rPr>
      <t xml:space="preserve">현실 정치 제도 기준표 </t>
    </r>
    <r>
      <rPr>
        <b val="true"/>
        <sz val="14"/>
        <color rgb="FF1F3864"/>
        <rFont val="Noto Sans CJK SC"/>
        <family val="2"/>
        <charset val="1"/>
      </rPr>
      <t xml:space="preserve">(</t>
    </r>
    <r>
      <rPr>
        <b val="true"/>
        <sz val="14"/>
        <color rgb="FF1F3864"/>
        <rFont val="WenQuanYi Zen Hei"/>
        <family val="2"/>
      </rPr>
      <t xml:space="preserve">프랑스 제</t>
    </r>
    <r>
      <rPr>
        <b val="true"/>
        <sz val="14"/>
        <color rgb="FF1F3864"/>
        <rFont val="Noto Sans CJK SC"/>
        <family val="2"/>
        <charset val="1"/>
      </rPr>
      <t xml:space="preserve">5</t>
    </r>
    <r>
      <rPr>
        <b val="true"/>
        <sz val="14"/>
        <color rgb="FF1F3864"/>
        <rFont val="WenQuanYi Zen Hei"/>
        <family val="2"/>
      </rPr>
      <t xml:space="preserve">공화국</t>
    </r>
    <r>
      <rPr>
        <b val="true"/>
        <sz val="14"/>
        <color rgb="FF1F3864"/>
        <rFont val="Noto Sans CJK SC"/>
        <family val="2"/>
        <charset val="1"/>
      </rPr>
      <t xml:space="preserve">)</t>
    </r>
  </si>
  <si>
    <r>
      <rPr>
        <i val="true"/>
        <sz val="9"/>
        <color rgb="FF595959"/>
        <rFont val="Arial"/>
        <family val="0"/>
        <charset val="1"/>
      </rPr>
      <t xml:space="preserve">8~13</t>
    </r>
    <r>
      <rPr>
        <i val="true"/>
        <sz val="9"/>
        <color rgb="FF595959"/>
        <rFont val="WenQuanYi Zen Hei"/>
        <family val="2"/>
      </rPr>
      <t xml:space="preserve">부에 반영한 실제 제도</t>
    </r>
    <r>
      <rPr>
        <i val="true"/>
        <sz val="9"/>
        <color rgb="FF595959"/>
        <rFont val="Arial"/>
        <family val="0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정당</t>
    </r>
    <r>
      <rPr>
        <i val="true"/>
        <sz val="9"/>
        <color rgb="FF595959"/>
        <rFont val="Arial"/>
        <family val="0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정치인은 전부 가상이며 실존 정치인의 대사는 쓰지 않는다</t>
    </r>
    <r>
      <rPr>
        <i val="true"/>
        <sz val="9"/>
        <color rgb="FF595959"/>
        <rFont val="Arial"/>
        <family val="0"/>
        <charset val="1"/>
      </rPr>
      <t xml:space="preserve">. '</t>
    </r>
    <r>
      <rPr>
        <i val="true"/>
        <sz val="9"/>
        <color rgb="FF595959"/>
        <rFont val="WenQuanYi Zen Hei"/>
        <family val="2"/>
      </rPr>
      <t xml:space="preserve">검색 확인</t>
    </r>
    <r>
      <rPr>
        <i val="true"/>
        <sz val="9"/>
        <color rgb="FF595959"/>
        <rFont val="Arial"/>
        <family val="0"/>
        <charset val="1"/>
      </rPr>
      <t xml:space="preserve">' </t>
    </r>
    <r>
      <rPr>
        <i val="true"/>
        <sz val="9"/>
        <color rgb="FF595959"/>
        <rFont val="WenQuanYi Zen Hei"/>
        <family val="2"/>
      </rPr>
      <t xml:space="preserve">표시는 해당 날짜에 공개 자료로 확인한 항목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</si>
  <si>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영역</t>
  </si>
  <si>
    <r>
      <rPr>
        <b val="true"/>
        <sz val="10"/>
        <color rgb="FFFFFFFF"/>
        <rFont val="WenQuanYi Zen Hei"/>
        <family val="2"/>
      </rPr>
      <t xml:space="preserve">제도</t>
    </r>
    <r>
      <rPr>
        <b val="true"/>
        <sz val="10"/>
        <color rgb="FFFFFFFF"/>
        <rFont val="Noto Sans CJK SC"/>
        <family val="2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규칙</t>
    </r>
  </si>
  <si>
    <t xml:space="preserve">근거</t>
  </si>
  <si>
    <t xml:space="preserve">이야기 반영</t>
  </si>
  <si>
    <t xml:space="preserve">확인 상태</t>
  </si>
  <si>
    <r>
      <rPr>
        <b val="true"/>
        <sz val="10"/>
        <rFont val="WenQuanYi Zen Hei"/>
        <family val="2"/>
      </rPr>
      <t xml:space="preserve">정당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선거</t>
    </r>
  </si>
  <si>
    <t xml:space="preserve">정당 결성</t>
  </si>
  <si>
    <r>
      <rPr>
        <sz val="10"/>
        <rFont val="WenQuanYi Zen Hei"/>
        <family val="2"/>
      </rPr>
      <t xml:space="preserve">정당은 </t>
    </r>
    <r>
      <rPr>
        <sz val="10"/>
        <rFont val="Noto Sans CJK SC"/>
        <family val="2"/>
        <charset val="1"/>
      </rPr>
      <t xml:space="preserve">1901</t>
    </r>
    <r>
      <rPr>
        <sz val="10"/>
        <rFont val="WenQuanYi Zen Hei"/>
        <family val="2"/>
      </rPr>
      <t xml:space="preserve">년 결사법상 단체로 자유롭게 결성한다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등록 의무 없음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공적 보조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후원을 받으려면 정치자금 수탁 단체 또는 수탁자</t>
    </r>
    <r>
      <rPr>
        <sz val="10"/>
        <rFont val="Noto Sans CJK SC"/>
        <family val="2"/>
        <charset val="1"/>
      </rPr>
      <t xml:space="preserve">(mandataire financier)</t>
    </r>
    <r>
      <rPr>
        <sz val="10"/>
        <rFont val="WenQuanYi Zen Hei"/>
        <family val="2"/>
      </rPr>
      <t xml:space="preserve">를 두고 </t>
    </r>
    <r>
      <rPr>
        <sz val="10"/>
        <rFont val="Noto Sans CJK SC"/>
        <family val="2"/>
        <charset val="1"/>
      </rPr>
      <t xml:space="preserve">CNCCFP </t>
    </r>
    <r>
      <rPr>
        <sz val="10"/>
        <rFont val="WenQuanYi Zen Hei"/>
        <family val="2"/>
      </rPr>
      <t xml:space="preserve">승인을 받아야 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</si>
  <si>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4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1901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7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일 법</t>
    </r>
    <r>
      <rPr>
        <sz val="10"/>
        <rFont val="Noto Sans CJK SC"/>
        <family val="2"/>
        <charset val="1"/>
      </rPr>
      <t xml:space="preserve">, 1988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11</t>
    </r>
    <r>
      <rPr>
        <sz val="10"/>
        <rFont val="WenQuanYi Zen Hei"/>
        <family val="2"/>
      </rPr>
      <t xml:space="preserve">일 법</t>
    </r>
    <r>
      <rPr>
        <sz val="10"/>
        <rFont val="Noto Sans CJK SC"/>
        <family val="2"/>
        <charset val="1"/>
      </rPr>
      <t xml:space="preserve">(88-227)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</si>
  <si>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</t>
    </r>
  </si>
  <si>
    <t xml:space="preserve">association, statuts, mandataire financier, CNCCFP</t>
  </si>
  <si>
    <r>
      <rPr>
        <sz val="10"/>
        <rFont val="WenQuanYi Zen Hei"/>
        <family val="2"/>
      </rPr>
      <t xml:space="preserve">기획 시점 지식 — </t>
    </r>
    <r>
      <rPr>
        <sz val="10"/>
        <rFont val="Noto Sans CJK SC"/>
        <family val="2"/>
        <charset val="1"/>
      </rPr>
      <t xml:space="preserve">Légifrance </t>
    </r>
    <r>
      <rPr>
        <sz val="10"/>
        <rFont val="WenQuanYi Zen Hei"/>
        <family val="2"/>
      </rPr>
      <t xml:space="preserve">확인 필요</t>
    </r>
  </si>
  <si>
    <t xml:space="preserve">정당 내부 운영</t>
  </si>
  <si>
    <r>
      <rPr>
        <sz val="10"/>
        <rFont val="WenQuanYi Zen Hei"/>
        <family val="2"/>
      </rPr>
      <t xml:space="preserve">헌법은 정당의 자유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다원주의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남녀 동등 접근 기여만 규정하고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내부 민주주의를 법적 의무로 두지 않는다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정관의 선택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</si>
  <si>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4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</si>
  <si>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</si>
  <si>
    <t xml:space="preserve">pluralisme, adhérent, statuts</t>
  </si>
  <si>
    <t xml:space="preserve">정당 재정</t>
  </si>
  <si>
    <r>
      <rPr>
        <sz val="10"/>
        <rFont val="WenQuanYi Zen Hei"/>
        <family val="2"/>
      </rPr>
      <t xml:space="preserve">개인 후원은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인당 연 </t>
    </r>
    <r>
      <rPr>
        <sz val="10"/>
        <rFont val="Noto Sans CJK SC"/>
        <family val="2"/>
        <charset val="1"/>
      </rPr>
      <t xml:space="preserve">7,500</t>
    </r>
    <r>
      <rPr>
        <sz val="10"/>
        <rFont val="WenQuanYi Zen Hei"/>
        <family val="2"/>
      </rPr>
      <t xml:space="preserve">유로 상한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모든 정당 합산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법인 후원은 금지</t>
    </r>
    <r>
      <rPr>
        <sz val="10"/>
        <rFont val="Noto Sans CJK SC"/>
        <family val="2"/>
        <charset val="1"/>
      </rPr>
      <t xml:space="preserve">. CNCCFP</t>
    </r>
    <r>
      <rPr>
        <sz val="10"/>
        <rFont val="WenQuanYi Zen Hei"/>
        <family val="2"/>
      </rPr>
      <t xml:space="preserve">가 정당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선거 회계를 감독한다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</si>
  <si>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1988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11</t>
    </r>
    <r>
      <rPr>
        <sz val="10"/>
        <rFont val="WenQuanYi Zen Hei"/>
        <family val="2"/>
      </rPr>
      <t xml:space="preserve">일 법 제</t>
    </r>
    <r>
      <rPr>
        <sz val="10"/>
        <rFont val="Noto Sans CJK SC"/>
        <family val="2"/>
        <charset val="1"/>
      </rPr>
      <t xml:space="preserve">11-4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</si>
  <si>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</si>
  <si>
    <t xml:space="preserve">don, plafond, comptes, CNCCFP</t>
  </si>
  <si>
    <t xml:space="preserve">계좌 개설권</t>
  </si>
  <si>
    <r>
      <rPr>
        <sz val="10"/>
        <rFont val="WenQuanYi Zen Hei"/>
        <family val="2"/>
      </rPr>
      <t xml:space="preserve">은행이 계좌 개설을 거부하면 프랑스은행</t>
    </r>
    <r>
      <rPr>
        <sz val="10"/>
        <rFont val="Noto Sans CJK SC"/>
        <family val="2"/>
        <charset val="1"/>
      </rPr>
      <t xml:space="preserve">(Banque de France)</t>
    </r>
    <r>
      <rPr>
        <sz val="10"/>
        <rFont val="WenQuanYi Zen Hei"/>
        <family val="2"/>
      </rPr>
      <t xml:space="preserve">이 지정한 은행이 계좌를 열어 주어야 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</si>
  <si>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통화금융법전 </t>
    </r>
    <r>
      <rPr>
        <sz val="10"/>
        <rFont val="Noto Sans CJK SC"/>
        <family val="2"/>
        <charset val="1"/>
      </rPr>
      <t xml:space="preserve">L.312-1</t>
    </r>
    <r>
      <rPr>
        <sz val="10"/>
        <rFont val="WenQuanYi Zen Hei"/>
        <family val="2"/>
      </rPr>
      <t xml:space="preserve">조</t>
    </r>
  </si>
  <si>
    <t xml:space="preserve">droit au compte, Banque de France</t>
  </si>
  <si>
    <t xml:space="preserve">시위 사전 신고</t>
  </si>
  <si>
    <r>
      <rPr>
        <sz val="10"/>
        <rFont val="WenQuanYi Zen Hei"/>
        <family val="2"/>
      </rPr>
      <t xml:space="preserve">공공 도로 시위는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일 전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최대 </t>
    </r>
    <r>
      <rPr>
        <sz val="10"/>
        <rFont val="Noto Sans CJK SC"/>
        <family val="2"/>
        <charset val="1"/>
      </rPr>
      <t xml:space="preserve">15</t>
    </r>
    <r>
      <rPr>
        <sz val="10"/>
        <rFont val="WenQuanYi Zen Hei"/>
        <family val="2"/>
      </rPr>
      <t xml:space="preserve">일 전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까지 도청에 신고한다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파리는 경찰청</t>
    </r>
    <r>
      <rPr>
        <sz val="10"/>
        <rFont val="Noto Sans CJK SC"/>
        <family val="2"/>
        <charset val="1"/>
      </rPr>
      <t xml:space="preserve">(Préfecture de police).</t>
    </r>
  </si>
  <si>
    <r>
      <rPr>
        <sz val="10"/>
        <rFont val="WenQuanYi Zen Hei"/>
        <family val="2"/>
      </rPr>
      <t xml:space="preserve">국내안전법전 </t>
    </r>
    <r>
      <rPr>
        <sz val="10"/>
        <rFont val="Noto Sans CJK SC"/>
        <family val="2"/>
        <charset val="1"/>
      </rPr>
      <t xml:space="preserve">L.211-1~L.211-4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</si>
  <si>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</t>
    </r>
  </si>
  <si>
    <t xml:space="preserve">déclaration préalable, manifestation, préfecture de police</t>
  </si>
  <si>
    <t xml:space="preserve">하원 시민청원</t>
  </si>
  <si>
    <r>
      <rPr>
        <sz val="10"/>
        <rFont val="WenQuanYi Zen Hei"/>
        <family val="2"/>
      </rPr>
      <t xml:space="preserve">하원 전자청원은 서명이 많으면 공개되고</t>
    </r>
    <r>
      <rPr>
        <sz val="10"/>
        <rFont val="Noto Sans CJK SC"/>
        <family val="2"/>
        <charset val="1"/>
      </rPr>
      <t xml:space="preserve">, 50</t>
    </r>
    <r>
      <rPr>
        <sz val="10"/>
        <rFont val="WenQuanYi Zen Hei"/>
        <family val="2"/>
      </rPr>
      <t xml:space="preserve">만 명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여러 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해외영토에 걸쳐</t>
    </r>
    <r>
      <rPr>
        <sz val="10"/>
        <rFont val="Noto Sans CJK SC"/>
        <family val="2"/>
        <charset val="1"/>
      </rPr>
      <t xml:space="preserve">) </t>
    </r>
    <r>
      <rPr>
        <sz val="10"/>
        <rFont val="WenQuanYi Zen Hei"/>
        <family val="2"/>
      </rPr>
      <t xml:space="preserve">이상이면 의장단 회의가 본회의 토론을 결정할 수 있다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토론만 있고 표결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입법 효력은 없다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</si>
  <si>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하원 의사규칙 제</t>
    </r>
    <r>
      <rPr>
        <sz val="10"/>
        <rFont val="Noto Sans CJK SC"/>
        <family val="2"/>
        <charset val="1"/>
      </rPr>
      <t xml:space="preserve">147~148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</si>
  <si>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3~4</t>
    </r>
    <r>
      <rPr>
        <sz val="10"/>
        <rFont val="WenQuanYi Zen Hei"/>
        <family val="2"/>
      </rPr>
      <t xml:space="preserve">화</t>
    </r>
  </si>
  <si>
    <t xml:space="preserve">pétition, Conférence des présidents, débat en séance</t>
  </si>
  <si>
    <r>
      <rPr>
        <sz val="10"/>
        <rFont val="WenQuanYi Zen Hei"/>
        <family val="2"/>
      </rPr>
      <t xml:space="preserve">공동발의 국민투표 </t>
    </r>
    <r>
      <rPr>
        <sz val="10"/>
        <rFont val="Noto Sans CJK SC"/>
        <family val="2"/>
        <charset val="1"/>
      </rPr>
      <t xml:space="preserve">(RIP)</t>
    </r>
  </si>
  <si>
    <r>
      <rPr>
        <sz val="10"/>
        <rFont val="WenQuanYi Zen Hei"/>
        <family val="2"/>
      </rPr>
      <t xml:space="preserve">의원 </t>
    </r>
    <r>
      <rPr>
        <sz val="10"/>
        <rFont val="Noto Sans CJK SC"/>
        <family val="2"/>
        <charset val="1"/>
      </rPr>
      <t xml:space="preserve">1/5 </t>
    </r>
    <r>
      <rPr>
        <sz val="10"/>
        <rFont val="WenQuanYi Zen Hei"/>
        <family val="2"/>
      </rPr>
      <t xml:space="preserve">발의 </t>
    </r>
    <r>
      <rPr>
        <sz val="10"/>
        <rFont val="Noto Sans CJK SC"/>
        <family val="2"/>
        <charset val="1"/>
      </rPr>
      <t xml:space="preserve">+ </t>
    </r>
    <r>
      <rPr>
        <sz val="10"/>
        <rFont val="WenQuanYi Zen Hei"/>
        <family val="2"/>
      </rPr>
      <t xml:space="preserve">유권자 </t>
    </r>
    <r>
      <rPr>
        <sz val="10"/>
        <rFont val="Noto Sans CJK SC"/>
        <family val="2"/>
        <charset val="1"/>
      </rPr>
      <t xml:space="preserve">1/10 </t>
    </r>
    <r>
      <rPr>
        <sz val="10"/>
        <rFont val="WenQuanYi Zen Hei"/>
        <family val="2"/>
      </rPr>
      <t xml:space="preserve">지지로 국민투표를 열 수 있다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문턱이 높아 실제 성립 사례가 없다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</si>
  <si>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11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</si>
  <si>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화</t>
    </r>
  </si>
  <si>
    <t xml:space="preserve">référendum d'initiative partagée, soutiens</t>
  </si>
  <si>
    <t xml:space="preserve">대통령 선거</t>
  </si>
  <si>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년 임기 직선</t>
    </r>
    <r>
      <rPr>
        <sz val="10"/>
        <rFont val="Noto Sans CJK SC"/>
        <family val="2"/>
        <charset val="1"/>
      </rPr>
      <t xml:space="preserve">, 2</t>
    </r>
    <r>
      <rPr>
        <sz val="10"/>
        <rFont val="WenQuanYi Zen Hei"/>
        <family val="2"/>
      </rPr>
      <t xml:space="preserve">회 투표</t>
    </r>
    <r>
      <rPr>
        <sz val="10"/>
        <rFont val="Noto Sans CJK SC"/>
        <family val="2"/>
        <charset val="1"/>
      </rPr>
      <t xml:space="preserve">. 1</t>
    </r>
    <r>
      <rPr>
        <sz val="10"/>
        <rFont val="WenQuanYi Zen Hei"/>
        <family val="2"/>
      </rPr>
      <t xml:space="preserve">차에서 유효표 과반이 없으면 상위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인이 </t>
    </r>
    <r>
      <rPr>
        <sz val="10"/>
        <rFont val="Noto Sans CJK SC"/>
        <family val="2"/>
        <charset val="1"/>
      </rPr>
      <t xml:space="preserve">14</t>
    </r>
    <r>
      <rPr>
        <sz val="10"/>
        <rFont val="WenQuanYi Zen Hei"/>
        <family val="2"/>
      </rPr>
      <t xml:space="preserve">일 뒤 결선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연속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회 초과 연임 불가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</si>
  <si>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6·7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1962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11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6</t>
    </r>
    <r>
      <rPr>
        <sz val="10"/>
        <rFont val="WenQuanYi Zen Hei"/>
        <family val="2"/>
      </rPr>
      <t xml:space="preserve">일 법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</si>
  <si>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</t>
    </r>
  </si>
  <si>
    <t xml:space="preserve">élection présidentielle, premier tour, second tour, quinquennat</t>
  </si>
  <si>
    <r>
      <rPr>
        <sz val="10"/>
        <rFont val="WenQuanYi Zen Hei"/>
        <family val="2"/>
      </rPr>
      <t xml:space="preserve">추천서 </t>
    </r>
    <r>
      <rPr>
        <sz val="10"/>
        <rFont val="Noto Sans CJK SC"/>
        <family val="2"/>
        <charset val="1"/>
      </rPr>
      <t xml:space="preserve">(parrainages)</t>
    </r>
  </si>
  <si>
    <r>
      <rPr>
        <sz val="10"/>
        <rFont val="WenQuanYi Zen Hei"/>
        <family val="2"/>
      </rPr>
      <t xml:space="preserve">선출직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시장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의원 등</t>
    </r>
    <r>
      <rPr>
        <sz val="10"/>
        <rFont val="Noto Sans CJK SC"/>
        <family val="2"/>
        <charset val="1"/>
      </rPr>
      <t xml:space="preserve">) 500</t>
    </r>
    <r>
      <rPr>
        <sz val="10"/>
        <rFont val="WenQuanYi Zen Hei"/>
        <family val="2"/>
      </rPr>
      <t xml:space="preserve">명 이상의 추천</t>
    </r>
    <r>
      <rPr>
        <sz val="10"/>
        <rFont val="Noto Sans CJK SC"/>
        <family val="2"/>
        <charset val="1"/>
      </rPr>
      <t xml:space="preserve">, 30</t>
    </r>
    <r>
      <rPr>
        <sz val="10"/>
        <rFont val="WenQuanYi Zen Hei"/>
        <family val="2"/>
      </rPr>
      <t xml:space="preserve">개 이상의 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해외영토에 걸쳐야 하고 한 도에서 </t>
    </r>
    <r>
      <rPr>
        <sz val="10"/>
        <rFont val="Noto Sans CJK SC"/>
        <family val="2"/>
        <charset val="1"/>
      </rPr>
      <t xml:space="preserve">10%</t>
    </r>
    <r>
      <rPr>
        <sz val="10"/>
        <rFont val="WenQuanYi Zen Hei"/>
        <family val="2"/>
      </rPr>
      <t xml:space="preserve">를 넘을 수 없다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헌법재판소가 받아 공개한다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</si>
  <si>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1962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11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6</t>
    </r>
    <r>
      <rPr>
        <sz val="10"/>
        <rFont val="WenQuanYi Zen Hei"/>
        <family val="2"/>
      </rPr>
      <t xml:space="preserve">일 법 제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</si>
  <si>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1~2</t>
    </r>
    <r>
      <rPr>
        <sz val="10"/>
        <rFont val="WenQuanYi Zen Hei"/>
        <family val="2"/>
      </rPr>
      <t xml:space="preserve">화</t>
    </r>
  </si>
  <si>
    <t xml:space="preserve">parrainage, élu, Conseil constitutionnel</t>
  </si>
  <si>
    <t xml:space="preserve">선거운동 규칙</t>
  </si>
  <si>
    <r>
      <rPr>
        <sz val="10"/>
        <rFont val="WenQuanYi Zen Hei"/>
        <family val="2"/>
      </rPr>
      <t xml:space="preserve">공식 선거운동 기간 방송 발언 시간 균등</t>
    </r>
    <r>
      <rPr>
        <sz val="10"/>
        <rFont val="Noto Sans CJK SC"/>
        <family val="2"/>
        <charset val="1"/>
      </rPr>
      <t xml:space="preserve">(Arcom). </t>
    </r>
    <r>
      <rPr>
        <sz val="10"/>
        <rFont val="WenQuanYi Zen Hei"/>
        <family val="2"/>
      </rPr>
      <t xml:space="preserve">투표 전날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당일 선거운동과 여론조사 공표 금지</t>
    </r>
    <r>
      <rPr>
        <sz val="10"/>
        <rFont val="Noto Sans CJK SC"/>
        <family val="2"/>
        <charset val="1"/>
      </rPr>
      <t xml:space="preserve">, 20</t>
    </r>
    <r>
      <rPr>
        <sz val="10"/>
        <rFont val="WenQuanYi Zen Hei"/>
        <family val="2"/>
      </rPr>
      <t xml:space="preserve">시 투표 종료 전 결과 추정 공표 금지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</si>
  <si>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선거법전 </t>
    </r>
    <r>
      <rPr>
        <sz val="10"/>
        <rFont val="Noto Sans CJK SC"/>
        <family val="2"/>
        <charset val="1"/>
      </rPr>
      <t xml:space="preserve">L.49·L.52-2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1977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7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19</t>
    </r>
    <r>
      <rPr>
        <sz val="10"/>
        <rFont val="WenQuanYi Zen Hei"/>
        <family val="2"/>
      </rPr>
      <t xml:space="preserve">일 법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여론조사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</si>
  <si>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3~4</t>
    </r>
    <r>
      <rPr>
        <sz val="10"/>
        <rFont val="WenQuanYi Zen Hei"/>
        <family val="2"/>
      </rPr>
      <t xml:space="preserve">화</t>
    </r>
  </si>
  <si>
    <t xml:space="preserve">temps de parole, réserve électorale, sondage, estimation</t>
  </si>
  <si>
    <r>
      <rPr>
        <sz val="10"/>
        <rFont val="WenQuanYi Zen Hei"/>
        <family val="2"/>
      </rPr>
      <t xml:space="preserve">헌법재판소가 대선의 적법성을 감시하고 결과를 선포한다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취임식은 권한 이양식</t>
    </r>
    <r>
      <rPr>
        <sz val="10"/>
        <rFont val="Noto Sans CJK SC"/>
        <family val="2"/>
        <charset val="1"/>
      </rPr>
      <t xml:space="preserve">(passation de pouvoirs)</t>
    </r>
    <r>
      <rPr>
        <sz val="10"/>
        <rFont val="WenQuanYi Zen Hei"/>
        <family val="2"/>
      </rPr>
      <t xml:space="preserve">이며 선서는 없다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</si>
  <si>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58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</si>
  <si>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</si>
  <si>
    <t xml:space="preserve">proclamation, investiture, passation de pouvoirs</t>
  </si>
  <si>
    <r>
      <rPr>
        <sz val="10"/>
        <rFont val="WenQuanYi Zen Hei"/>
        <family val="2"/>
      </rPr>
      <t xml:space="preserve">하원 </t>
    </r>
    <r>
      <rPr>
        <sz val="10"/>
        <rFont val="Noto Sans CJK SC"/>
        <family val="2"/>
        <charset val="1"/>
      </rPr>
      <t xml:space="preserve">577</t>
    </r>
    <r>
      <rPr>
        <sz val="10"/>
        <rFont val="WenQuanYi Zen Hei"/>
        <family val="2"/>
      </rPr>
      <t xml:space="preserve">석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소선거구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회 투표</t>
    </r>
    <r>
      <rPr>
        <sz val="10"/>
        <rFont val="Noto Sans CJK SC"/>
        <family val="2"/>
        <charset val="1"/>
      </rPr>
      <t xml:space="preserve">. 1</t>
    </r>
    <r>
      <rPr>
        <sz val="10"/>
        <rFont val="WenQuanYi Zen Hei"/>
        <family val="2"/>
      </rPr>
      <t xml:space="preserve">차는 유효표 과반 </t>
    </r>
    <r>
      <rPr>
        <sz val="10"/>
        <rFont val="Noto Sans CJK SC"/>
        <family val="2"/>
        <charset val="1"/>
      </rPr>
      <t xml:space="preserve">+ </t>
    </r>
    <r>
      <rPr>
        <sz val="10"/>
        <rFont val="WenQuanYi Zen Hei"/>
        <family val="2"/>
      </rPr>
      <t xml:space="preserve">등록 유권자 </t>
    </r>
    <r>
      <rPr>
        <sz val="10"/>
        <rFont val="Noto Sans CJK SC"/>
        <family val="2"/>
        <charset val="1"/>
      </rPr>
      <t xml:space="preserve">25% </t>
    </r>
    <r>
      <rPr>
        <sz val="10"/>
        <rFont val="WenQuanYi Zen Hei"/>
        <family val="2"/>
      </rPr>
      <t xml:space="preserve">득표 시 당선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결선은 등록 유권자 </t>
    </r>
    <r>
      <rPr>
        <sz val="10"/>
        <rFont val="Noto Sans CJK SC"/>
        <family val="2"/>
        <charset val="1"/>
      </rPr>
      <t xml:space="preserve">12.5% </t>
    </r>
    <r>
      <rPr>
        <sz val="10"/>
        <rFont val="WenQuanYi Zen Hei"/>
        <family val="2"/>
      </rPr>
      <t xml:space="preserve">이상 득표 후보가 진출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과반은 </t>
    </r>
    <r>
      <rPr>
        <sz val="10"/>
        <rFont val="Noto Sans CJK SC"/>
        <family val="2"/>
        <charset val="1"/>
      </rPr>
      <t xml:space="preserve">289</t>
    </r>
    <r>
      <rPr>
        <sz val="10"/>
        <rFont val="WenQuanYi Zen Hei"/>
        <family val="2"/>
      </rPr>
      <t xml:space="preserve">석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</si>
  <si>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선거법전 </t>
    </r>
    <r>
      <rPr>
        <sz val="10"/>
        <rFont val="Noto Sans CJK SC"/>
        <family val="2"/>
        <charset val="1"/>
      </rPr>
      <t xml:space="preserve">L.123~L.126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</si>
  <si>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화</t>
    </r>
  </si>
  <si>
    <t xml:space="preserve">circonscription, ballottage, triangulaire, majorité absolue</t>
  </si>
  <si>
    <t xml:space="preserve">파리 시의회 선거</t>
  </si>
  <si>
    <r>
      <rPr>
        <sz val="10"/>
        <rFont val="Noto Sans CJK SC"/>
        <family val="2"/>
        <charset val="1"/>
      </rPr>
      <t xml:space="preserve">2025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PLM</t>
    </r>
    <r>
      <rPr>
        <sz val="10"/>
        <rFont val="WenQuanYi Zen Hei"/>
        <family val="2"/>
      </rPr>
      <t xml:space="preserve">법으로 파리 시의회</t>
    </r>
    <r>
      <rPr>
        <sz val="10"/>
        <rFont val="Noto Sans CJK SC"/>
        <family val="2"/>
        <charset val="1"/>
      </rPr>
      <t xml:space="preserve">(Conseil de Paris)</t>
    </r>
    <r>
      <rPr>
        <sz val="10"/>
        <rFont val="WenQuanYi Zen Hei"/>
        <family val="2"/>
      </rPr>
      <t xml:space="preserve">와 구의회를 같은 날 별도 투표로 선출한다</t>
    </r>
    <r>
      <rPr>
        <sz val="10"/>
        <rFont val="Noto Sans CJK SC"/>
        <family val="2"/>
        <charset val="1"/>
      </rPr>
      <t xml:space="preserve">. 2</t>
    </r>
    <r>
      <rPr>
        <sz val="10"/>
        <rFont val="WenQuanYi Zen Hei"/>
        <family val="2"/>
      </rPr>
      <t xml:space="preserve">회 투표 명부 비례제</t>
    </r>
    <r>
      <rPr>
        <sz val="10"/>
        <rFont val="Noto Sans CJK SC"/>
        <family val="2"/>
        <charset val="1"/>
      </rPr>
      <t xml:space="preserve">, 1</t>
    </r>
    <r>
      <rPr>
        <sz val="10"/>
        <rFont val="WenQuanYi Zen Hei"/>
        <family val="2"/>
      </rPr>
      <t xml:space="preserve">위 명부 다수파 보너스 </t>
    </r>
    <r>
      <rPr>
        <sz val="10"/>
        <rFont val="Noto Sans CJK SC"/>
        <family val="2"/>
        <charset val="1"/>
      </rPr>
      <t xml:space="preserve">25%(</t>
    </r>
    <r>
      <rPr>
        <sz val="10"/>
        <rFont val="WenQuanYi Zen Hei"/>
        <family val="2"/>
      </rPr>
      <t xml:space="preserve">다른 코뮌은 </t>
    </r>
    <r>
      <rPr>
        <sz val="10"/>
        <rFont val="Noto Sans CJK SC"/>
        <family val="2"/>
        <charset val="1"/>
      </rPr>
      <t xml:space="preserve">50%). 2026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월 첫 적용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</si>
  <si>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2025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8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11</t>
    </r>
    <r>
      <rPr>
        <sz val="10"/>
        <rFont val="WenQuanYi Zen Hei"/>
        <family val="2"/>
      </rPr>
      <t xml:space="preserve">일 법</t>
    </r>
    <r>
      <rPr>
        <sz val="10"/>
        <rFont val="Noto Sans CJK SC"/>
        <family val="2"/>
        <charset val="1"/>
      </rPr>
      <t xml:space="preserve">(2025-795), </t>
    </r>
    <r>
      <rPr>
        <sz val="10"/>
        <rFont val="WenQuanYi Zen Hei"/>
        <family val="2"/>
      </rPr>
      <t xml:space="preserve">선거법전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</si>
  <si>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9</t>
    </r>
    <r>
      <rPr>
        <sz val="10"/>
        <rFont val="WenQuanYi Zen Hei"/>
        <family val="2"/>
      </rPr>
      <t xml:space="preserve">부</t>
    </r>
  </si>
  <si>
    <t xml:space="preserve">liste, prime majoritaire, fusion de listes</t>
  </si>
  <si>
    <r>
      <rPr>
        <sz val="10"/>
        <rFont val="WenQuanYi Zen Hei"/>
        <family val="2"/>
      </rPr>
      <t xml:space="preserve">검색 확인 </t>
    </r>
    <r>
      <rPr>
        <sz val="10"/>
        <rFont val="Noto Sans CJK SC"/>
        <family val="2"/>
        <charset val="1"/>
      </rPr>
      <t xml:space="preserve">(2026-09-25)</t>
    </r>
  </si>
  <si>
    <t xml:space="preserve">시장 선출</t>
  </si>
  <si>
    <r>
      <rPr>
        <sz val="10"/>
        <rFont val="WenQuanYi Zen Hei"/>
        <family val="2"/>
      </rPr>
      <t xml:space="preserve">시의회가 시장을 선출한다</t>
    </r>
    <r>
      <rPr>
        <sz val="10"/>
        <rFont val="Noto Sans CJK SC"/>
        <family val="2"/>
        <charset val="1"/>
      </rPr>
      <t xml:space="preserve">: 1·2</t>
    </r>
    <r>
      <rPr>
        <sz val="10"/>
        <rFont val="WenQuanYi Zen Hei"/>
        <family val="2"/>
      </rPr>
      <t xml:space="preserve">차 절대다수</t>
    </r>
    <r>
      <rPr>
        <sz val="10"/>
        <rFont val="Noto Sans CJK SC"/>
        <family val="2"/>
        <charset val="1"/>
      </rPr>
      <t xml:space="preserve">, 3</t>
    </r>
    <r>
      <rPr>
        <sz val="10"/>
        <rFont val="WenQuanYi Zen Hei"/>
        <family val="2"/>
      </rPr>
      <t xml:space="preserve">차 상대다수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</si>
  <si>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지방자치법전 </t>
    </r>
    <r>
      <rPr>
        <sz val="10"/>
        <rFont val="Noto Sans CJK SC"/>
        <family val="2"/>
        <charset val="1"/>
      </rPr>
      <t xml:space="preserve">L.2122-7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</si>
  <si>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</t>
    </r>
  </si>
  <si>
    <t xml:space="preserve">élection du maire, majorité relative</t>
  </si>
  <si>
    <t xml:space="preserve">남녀 교대 명부</t>
  </si>
  <si>
    <r>
      <rPr>
        <sz val="10"/>
        <rFont val="WenQuanYi Zen Hei"/>
        <family val="2"/>
      </rPr>
      <t xml:space="preserve">명부식 선거는 남녀 교대 순서가 의무다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총선은 후보 성비 불균형 시 정당 보조금이 깎인다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</si>
  <si>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조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항</t>
    </r>
    <r>
      <rPr>
        <sz val="10"/>
        <rFont val="Noto Sans CJK SC"/>
        <family val="2"/>
        <charset val="1"/>
      </rPr>
      <t xml:space="preserve">, 2000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6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6</t>
    </r>
    <r>
      <rPr>
        <sz val="10"/>
        <rFont val="WenQuanYi Zen Hei"/>
        <family val="2"/>
      </rPr>
      <t xml:space="preserve">일 법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</si>
  <si>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6·8</t>
    </r>
    <r>
      <rPr>
        <sz val="10"/>
        <rFont val="WenQuanYi Zen Hei"/>
        <family val="2"/>
      </rPr>
      <t xml:space="preserve">화</t>
    </r>
  </si>
  <si>
    <t xml:space="preserve">parité, alternance femme-homme</t>
  </si>
  <si>
    <r>
      <rPr>
        <sz val="10"/>
        <rFont val="WenQuanYi Zen Hei"/>
        <family val="2"/>
      </rPr>
      <t xml:space="preserve">반론권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허위정보</t>
    </r>
  </si>
  <si>
    <r>
      <rPr>
        <sz val="10"/>
        <rFont val="WenQuanYi Zen Hei"/>
        <family val="2"/>
      </rPr>
      <t xml:space="preserve">신문에 이름이 언급된 사람은 반론 게재를 요구할 수 있다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선거 기간 허위정보는 가처분으로 삭제를 청구할 수 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</si>
  <si>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1881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7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29</t>
    </r>
    <r>
      <rPr>
        <sz val="10"/>
        <rFont val="WenQuanYi Zen Hei"/>
        <family val="2"/>
      </rPr>
      <t xml:space="preserve">일 법 제</t>
    </r>
    <r>
      <rPr>
        <sz val="10"/>
        <rFont val="Noto Sans CJK SC"/>
        <family val="2"/>
        <charset val="1"/>
      </rPr>
      <t xml:space="preserve">13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2018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22</t>
    </r>
    <r>
      <rPr>
        <sz val="10"/>
        <rFont val="WenQuanYi Zen Hei"/>
        <family val="2"/>
      </rPr>
      <t xml:space="preserve">일 법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</si>
  <si>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화</t>
    </r>
  </si>
  <si>
    <t xml:space="preserve">droit de réponse, fausse information, référé</t>
  </si>
  <si>
    <t xml:space="preserve">선거비용</t>
  </si>
  <si>
    <r>
      <rPr>
        <sz val="10"/>
        <rFont val="WenQuanYi Zen Hei"/>
        <family val="2"/>
      </rPr>
      <t xml:space="preserve">후보별 지출 상한과 선거비용 계정</t>
    </r>
    <r>
      <rPr>
        <sz val="10"/>
        <rFont val="Noto Sans CJK SC"/>
        <family val="2"/>
        <charset val="1"/>
      </rPr>
      <t xml:space="preserve">, CNCCFP </t>
    </r>
    <r>
      <rPr>
        <sz val="10"/>
        <rFont val="WenQuanYi Zen Hei"/>
        <family val="2"/>
      </rPr>
      <t xml:space="preserve">심사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일정 득표 이상이면 비용 일부를 국가가 보전한다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</si>
  <si>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선거법전 </t>
    </r>
    <r>
      <rPr>
        <sz val="10"/>
        <rFont val="Noto Sans CJK SC"/>
        <family val="2"/>
        <charset val="1"/>
      </rPr>
      <t xml:space="preserve">L.52-4</t>
    </r>
    <r>
      <rPr>
        <sz val="10"/>
        <rFont val="WenQuanYi Zen Hei"/>
        <family val="2"/>
      </rPr>
      <t xml:space="preserve">조 이하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</si>
  <si>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10</t>
    </r>
    <r>
      <rPr>
        <sz val="10"/>
        <rFont val="WenQuanYi Zen Hei"/>
        <family val="2"/>
      </rPr>
      <t xml:space="preserve">부</t>
    </r>
  </si>
  <si>
    <t xml:space="preserve">compte de campagne, plafond de dépenses, remboursement</t>
  </si>
  <si>
    <t xml:space="preserve">의회</t>
  </si>
  <si>
    <t xml:space="preserve">양원제</t>
  </si>
  <si>
    <r>
      <rPr>
        <sz val="10"/>
        <rFont val="WenQuanYi Zen Hei"/>
        <family val="2"/>
      </rPr>
      <t xml:space="preserve">하원</t>
    </r>
    <r>
      <rPr>
        <sz val="10"/>
        <rFont val="Noto Sans CJK SC"/>
        <family val="2"/>
        <charset val="1"/>
      </rPr>
      <t xml:space="preserve">(Assemblée nationale)</t>
    </r>
    <r>
      <rPr>
        <sz val="10"/>
        <rFont val="WenQuanYi Zen Hei"/>
        <family val="2"/>
      </rPr>
      <t xml:space="preserve">과 상원</t>
    </r>
    <r>
      <rPr>
        <sz val="10"/>
        <rFont val="Noto Sans CJK SC"/>
        <family val="2"/>
        <charset val="1"/>
      </rPr>
      <t xml:space="preserve">(Sénat). </t>
    </r>
    <r>
      <rPr>
        <sz val="10"/>
        <rFont val="WenQuanYi Zen Hei"/>
        <family val="2"/>
      </rPr>
      <t xml:space="preserve">이견 시 합동위원회</t>
    </r>
    <r>
      <rPr>
        <sz val="10"/>
        <rFont val="Noto Sans CJK SC"/>
        <family val="2"/>
        <charset val="1"/>
      </rPr>
      <t xml:space="preserve">(CMP)</t>
    </r>
    <r>
      <rPr>
        <sz val="10"/>
        <rFont val="WenQuanYi Zen Hei"/>
        <family val="2"/>
      </rPr>
      <t xml:space="preserve">를 거쳐 정부 요청으로 하원이 최종 결정한다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</si>
  <si>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24·45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</si>
  <si>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10~12</t>
    </r>
    <r>
      <rPr>
        <sz val="10"/>
        <rFont val="WenQuanYi Zen Hei"/>
        <family val="2"/>
      </rPr>
      <t xml:space="preserve">부</t>
    </r>
  </si>
  <si>
    <t xml:space="preserve">navette, CMP, dernier mot</t>
  </si>
  <si>
    <t xml:space="preserve">입법 절차</t>
  </si>
  <si>
    <r>
      <rPr>
        <sz val="10"/>
        <rFont val="WenQuanYi Zen Hei"/>
        <family val="2"/>
      </rPr>
      <t xml:space="preserve">정부 법안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국무원 의견 후 국무회의 의결</t>
    </r>
    <r>
      <rPr>
        <sz val="10"/>
        <rFont val="Noto Sans CJK SC"/>
        <family val="2"/>
        <charset val="1"/>
      </rPr>
      <t xml:space="preserve">)·</t>
    </r>
    <r>
      <rPr>
        <sz val="10"/>
        <rFont val="WenQuanYi Zen Hei"/>
        <family val="2"/>
      </rPr>
      <t xml:space="preserve">의원 법안 → 위원회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본회의 → 상원 → 대통령 공포</t>
    </r>
    <r>
      <rPr>
        <sz val="10"/>
        <rFont val="Noto Sans CJK SC"/>
        <family val="2"/>
        <charset val="1"/>
      </rPr>
      <t xml:space="preserve">(15</t>
    </r>
    <r>
      <rPr>
        <sz val="10"/>
        <rFont val="WenQuanYi Zen Hei"/>
        <family val="2"/>
      </rPr>
      <t xml:space="preserve">일 내</t>
    </r>
    <r>
      <rPr>
        <sz val="10"/>
        <rFont val="Noto Sans CJK SC"/>
        <family val="2"/>
        <charset val="1"/>
      </rPr>
      <t xml:space="preserve">) → </t>
    </r>
    <r>
      <rPr>
        <sz val="10"/>
        <rFont val="WenQuanYi Zen Hei"/>
        <family val="2"/>
      </rPr>
      <t xml:space="preserve">관보</t>
    </r>
    <r>
      <rPr>
        <sz val="10"/>
        <rFont val="Noto Sans CJK SC"/>
        <family val="2"/>
        <charset val="1"/>
      </rPr>
      <t xml:space="preserve">(Journal officiel).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</si>
  <si>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39·45·10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</si>
  <si>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</t>
    </r>
  </si>
  <si>
    <t xml:space="preserve">projet de loi, proposition de loi, amendement, promulgation, Journal officiel</t>
  </si>
  <si>
    <t xml:space="preserve">법률 사항과 명령 사항</t>
  </si>
  <si>
    <r>
      <rPr>
        <sz val="10"/>
        <rFont val="WenQuanYi Zen Hei"/>
        <family val="2"/>
      </rPr>
      <t xml:space="preserve">조세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기본권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형벌 등은 법률로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그 밖은 명령</t>
    </r>
    <r>
      <rPr>
        <sz val="10"/>
        <rFont val="Noto Sans CJK SC"/>
        <family val="2"/>
        <charset val="1"/>
      </rPr>
      <t xml:space="preserve">(décret)</t>
    </r>
    <r>
      <rPr>
        <sz val="10"/>
        <rFont val="WenQuanYi Zen Hei"/>
        <family val="2"/>
      </rPr>
      <t xml:space="preserve">으로 정한다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정부는 수권법으로 오르도낭스</t>
    </r>
    <r>
      <rPr>
        <sz val="10"/>
        <rFont val="Noto Sans CJK SC"/>
        <family val="2"/>
        <charset val="1"/>
      </rPr>
      <t xml:space="preserve">(ordonnance)</t>
    </r>
    <r>
      <rPr>
        <sz val="10"/>
        <rFont val="WenQuanYi Zen Hei"/>
        <family val="2"/>
      </rPr>
      <t xml:space="preserve">를 낼 수 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</si>
  <si>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34·37·38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</si>
  <si>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</si>
  <si>
    <t xml:space="preserve">domaine de la loi, décret, ordonnance, loi d'habilitation</t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</si>
  <si>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49</t>
    </r>
    <r>
      <rPr>
        <sz val="10"/>
        <rFont val="WenQuanYi Zen Hei"/>
        <family val="2"/>
      </rPr>
      <t xml:space="preserve">조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항</t>
    </r>
  </si>
  <si>
    <r>
      <rPr>
        <sz val="10"/>
        <rFont val="WenQuanYi Zen Hei"/>
        <family val="2"/>
      </rPr>
      <t xml:space="preserve">총리가 법안에 정부 책임을 걸면 불신임안이 가결되지 않는 한 표결 없이 채택된다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재정법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사회보장재정법 외에는 회기당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회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</si>
  <si>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</si>
  <si>
    <t xml:space="preserve">engager la responsabilité, adoption sans vote</t>
  </si>
  <si>
    <t xml:space="preserve">예산안</t>
  </si>
  <si>
    <r>
      <rPr>
        <sz val="10"/>
        <rFont val="WenQuanYi Zen Hei"/>
        <family val="2"/>
      </rPr>
      <t xml:space="preserve">재정법안은 </t>
    </r>
    <r>
      <rPr>
        <sz val="10"/>
        <rFont val="Noto Sans CJK SC"/>
        <family val="2"/>
        <charset val="1"/>
      </rPr>
      <t xml:space="preserve">10</t>
    </r>
    <r>
      <rPr>
        <sz val="10"/>
        <rFont val="WenQuanYi Zen Hei"/>
        <family val="2"/>
      </rPr>
      <t xml:space="preserve">월 첫 화요일까지 제출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의회가 </t>
    </r>
    <r>
      <rPr>
        <sz val="10"/>
        <rFont val="Noto Sans CJK SC"/>
        <family val="2"/>
        <charset val="1"/>
      </rPr>
      <t xml:space="preserve">70</t>
    </r>
    <r>
      <rPr>
        <sz val="10"/>
        <rFont val="WenQuanYi Zen Hei"/>
        <family val="2"/>
      </rPr>
      <t xml:space="preserve">일 내 의결하지 않으면 정부가 오르도낭스로 시행할 수 있고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연말까지 미성립 시 특별법</t>
    </r>
    <r>
      <rPr>
        <sz val="10"/>
        <rFont val="Noto Sans CJK SC"/>
        <family val="2"/>
        <charset val="1"/>
      </rPr>
      <t xml:space="preserve">(loi spéciale)</t>
    </r>
    <r>
      <rPr>
        <sz val="10"/>
        <rFont val="WenQuanYi Zen Hei"/>
        <family val="2"/>
      </rPr>
      <t xml:space="preserve">으로 세입 징수를 승인받는다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</si>
  <si>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47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LOLF(2001) 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39·45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</si>
  <si>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11~12</t>
    </r>
    <r>
      <rPr>
        <sz val="10"/>
        <rFont val="WenQuanYi Zen Hei"/>
        <family val="2"/>
      </rPr>
      <t xml:space="preserve">화</t>
    </r>
  </si>
  <si>
    <t xml:space="preserve">projet de loi de finances, loi spéciale</t>
  </si>
  <si>
    <t xml:space="preserve">사회보장재정법</t>
  </si>
  <si>
    <r>
      <rPr>
        <sz val="10"/>
        <rFont val="WenQuanYi Zen Hei"/>
        <family val="2"/>
      </rPr>
      <t xml:space="preserve">매년 </t>
    </r>
    <r>
      <rPr>
        <sz val="10"/>
        <rFont val="Noto Sans CJK SC"/>
        <family val="2"/>
        <charset val="1"/>
      </rPr>
      <t xml:space="preserve">LFSS</t>
    </r>
    <r>
      <rPr>
        <sz val="10"/>
        <rFont val="WenQuanYi Zen Hei"/>
        <family val="2"/>
      </rPr>
      <t xml:space="preserve">로 건강보험 지출 목표</t>
    </r>
    <r>
      <rPr>
        <sz val="10"/>
        <rFont val="Noto Sans CJK SC"/>
        <family val="2"/>
        <charset val="1"/>
      </rPr>
      <t xml:space="preserve">(ONDAM)</t>
    </r>
    <r>
      <rPr>
        <sz val="10"/>
        <rFont val="WenQuanYi Zen Hei"/>
        <family val="2"/>
      </rPr>
      <t xml:space="preserve">를 정한다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병원 예산의 틀이다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</si>
  <si>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47-1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</si>
  <si>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</t>
    </r>
  </si>
  <si>
    <t xml:space="preserve">PLFSS, ONDAM</t>
  </si>
  <si>
    <t xml:space="preserve">의원 특권</t>
  </si>
  <si>
    <r>
      <rPr>
        <sz val="10"/>
        <rFont val="WenQuanYi Zen Hei"/>
        <family val="2"/>
      </rPr>
      <t xml:space="preserve">직무상 발언 면책</t>
    </r>
    <r>
      <rPr>
        <sz val="10"/>
        <rFont val="Noto Sans CJK SC"/>
        <family val="2"/>
        <charset val="1"/>
      </rPr>
      <t xml:space="preserve">(irresponsabilité), </t>
    </r>
    <r>
      <rPr>
        <sz val="10"/>
        <rFont val="WenQuanYi Zen Hei"/>
        <family val="2"/>
      </rPr>
      <t xml:space="preserve">체포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자유 제한에는 의장단 허가 필요</t>
    </r>
    <r>
      <rPr>
        <sz val="10"/>
        <rFont val="Noto Sans CJK SC"/>
        <family val="2"/>
        <charset val="1"/>
      </rPr>
      <t xml:space="preserve">(inviolabilité).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</si>
  <si>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26</t>
    </r>
    <r>
      <rPr>
        <sz val="10"/>
        <rFont val="WenQuanYi Zen Hei"/>
        <family val="2"/>
      </rPr>
      <t xml:space="preserve">조</t>
    </r>
  </si>
  <si>
    <t xml:space="preserve">irresponsabilité, inviolabilité</t>
  </si>
  <si>
    <t xml:space="preserve">조사위원회</t>
  </si>
  <si>
    <r>
      <rPr>
        <sz val="10"/>
        <rFont val="WenQuanYi Zen Hei"/>
        <family val="2"/>
      </rPr>
      <t xml:space="preserve">양원은 조사위원회를 설치할 수 있고 소환 불응은 처벌된다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</si>
  <si>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51-2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1958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11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17</t>
    </r>
    <r>
      <rPr>
        <sz val="10"/>
        <rFont val="WenQuanYi Zen Hei"/>
        <family val="2"/>
      </rPr>
      <t xml:space="preserve">일 오르도낭스 제</t>
    </r>
    <r>
      <rPr>
        <sz val="10"/>
        <rFont val="Noto Sans CJK SC"/>
        <family val="2"/>
        <charset val="1"/>
      </rPr>
      <t xml:space="preserve">6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</si>
  <si>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9~12</t>
    </r>
    <r>
      <rPr>
        <sz val="10"/>
        <rFont val="WenQuanYi Zen Hei"/>
        <family val="2"/>
      </rPr>
      <t xml:space="preserve">부</t>
    </r>
  </si>
  <si>
    <t xml:space="preserve">commission d'enquête, audition</t>
  </si>
  <si>
    <t xml:space="preserve">정부</t>
  </si>
  <si>
    <t xml:space="preserve">대통령의 권한</t>
  </si>
  <si>
    <r>
      <rPr>
        <sz val="10"/>
        <rFont val="WenQuanYi Zen Hei"/>
        <family val="2"/>
      </rPr>
      <t xml:space="preserve">총리 임명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8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국무회의 주재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9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해산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군 통수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15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조약 협상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52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비상대권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16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대부분의 행위는 총리 부서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副署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가 필요하다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19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</si>
  <si>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5·8·9·12·15·19·52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</si>
  <si>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10~13</t>
    </r>
    <r>
      <rPr>
        <sz val="10"/>
        <rFont val="WenQuanYi Zen Hei"/>
        <family val="2"/>
      </rPr>
      <t xml:space="preserve">부</t>
    </r>
  </si>
  <si>
    <t xml:space="preserve">Président de la République, contreseing</t>
  </si>
  <si>
    <t xml:space="preserve">총리와 정부</t>
  </si>
  <si>
    <r>
      <rPr>
        <sz val="10"/>
        <rFont val="WenQuanYi Zen Hei"/>
        <family val="2"/>
      </rPr>
      <t xml:space="preserve">총리는 정부 활동을 지휘하고 정부는 국정을 결정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수행한다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대통령이 총리를 임명하지만 하원 불신임으로 물러난다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장관은 총리 제청으로 대통령이 임명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</si>
  <si>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8·20·21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</si>
  <si>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11</t>
    </r>
    <r>
      <rPr>
        <sz val="10"/>
        <rFont val="WenQuanYi Zen Hei"/>
        <family val="2"/>
      </rPr>
      <t xml:space="preserve">부</t>
    </r>
  </si>
  <si>
    <t xml:space="preserve">Premier ministre, Matignon, gouvernement</t>
  </si>
  <si>
    <t xml:space="preserve">국무회의</t>
  </si>
  <si>
    <r>
      <rPr>
        <sz val="10"/>
        <rFont val="WenQuanYi Zen Hei"/>
        <family val="2"/>
      </rPr>
      <t xml:space="preserve">대통령이 주재하며 통상 매주 수요일 엘리제궁에서 열린다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</si>
  <si>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9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</si>
  <si>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</t>
    </r>
  </si>
  <si>
    <t xml:space="preserve">Conseil des ministres</t>
  </si>
  <si>
    <t xml:space="preserve">엘리제 직제</t>
  </si>
  <si>
    <r>
      <rPr>
        <sz val="10"/>
        <rFont val="WenQuanYi Zen Hei"/>
        <family val="2"/>
      </rPr>
      <t xml:space="preserve">엘리제궁 비서실장</t>
    </r>
    <r>
      <rPr>
        <sz val="10"/>
        <rFont val="Noto Sans CJK SC"/>
        <family val="2"/>
        <charset val="1"/>
      </rPr>
      <t xml:space="preserve">(secrétaire général), </t>
    </r>
    <r>
      <rPr>
        <sz val="10"/>
        <rFont val="WenQuanYi Zen Hei"/>
        <family val="2"/>
      </rPr>
      <t xml:space="preserve">대통령 비서실</t>
    </r>
    <r>
      <rPr>
        <sz val="10"/>
        <rFont val="Noto Sans CJK SC"/>
        <family val="2"/>
        <charset val="1"/>
      </rPr>
      <t xml:space="preserve">(cabinet), </t>
    </r>
    <r>
      <rPr>
        <sz val="10"/>
        <rFont val="WenQuanYi Zen Hei"/>
        <family val="2"/>
      </rPr>
      <t xml:space="preserve">특별참모</t>
    </r>
    <r>
      <rPr>
        <sz val="10"/>
        <rFont val="Noto Sans CJK SC"/>
        <family val="2"/>
        <charset val="1"/>
      </rPr>
      <t xml:space="preserve">(conseiller spécial), </t>
    </r>
    <r>
      <rPr>
        <sz val="10"/>
        <rFont val="WenQuanYi Zen Hei"/>
        <family val="2"/>
      </rPr>
      <t xml:space="preserve">대변인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정부 대변인은 별도로 장관급</t>
    </r>
    <r>
      <rPr>
        <sz val="10"/>
        <rFont val="Noto Sans CJK SC"/>
        <family val="2"/>
        <charset val="1"/>
      </rPr>
      <t xml:space="preserve">.</t>
    </r>
  </si>
  <si>
    <t xml:space="preserve">관행 및 대통령 명령</t>
  </si>
  <si>
    <t xml:space="preserve">secrétaire général de l'Élysée, conseiller spécial, porte-parole</t>
  </si>
  <si>
    <r>
      <rPr>
        <sz val="10"/>
        <rFont val="WenQuanYi Zen Hei"/>
        <family val="2"/>
      </rPr>
      <t xml:space="preserve">신임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불신임</t>
    </r>
  </si>
  <si>
    <r>
      <rPr>
        <sz val="10"/>
        <rFont val="WenQuanYi Zen Hei"/>
        <family val="2"/>
      </rPr>
      <t xml:space="preserve">총리는 일반정책연설에 신임을 물을 수 있다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단순다수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불신임안은 하원의원 </t>
    </r>
    <r>
      <rPr>
        <sz val="10"/>
        <rFont val="Noto Sans CJK SC"/>
        <family val="2"/>
        <charset val="1"/>
      </rPr>
      <t xml:space="preserve">1/10(58</t>
    </r>
    <r>
      <rPr>
        <sz val="10"/>
        <rFont val="WenQuanYi Zen Hei"/>
        <family val="2"/>
      </rPr>
      <t xml:space="preserve">명</t>
    </r>
    <r>
      <rPr>
        <sz val="10"/>
        <rFont val="Noto Sans CJK SC"/>
        <family val="2"/>
        <charset val="1"/>
      </rPr>
      <t xml:space="preserve">) </t>
    </r>
    <r>
      <rPr>
        <sz val="10"/>
        <rFont val="WenQuanYi Zen Hei"/>
        <family val="2"/>
      </rPr>
      <t xml:space="preserve">서명</t>
    </r>
    <r>
      <rPr>
        <sz val="10"/>
        <rFont val="Noto Sans CJK SC"/>
        <family val="2"/>
        <charset val="1"/>
      </rPr>
      <t xml:space="preserve">, 48</t>
    </r>
    <r>
      <rPr>
        <sz val="10"/>
        <rFont val="WenQuanYi Zen Hei"/>
        <family val="2"/>
      </rPr>
      <t xml:space="preserve">시간 후 표결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찬성표만 세어 재적 과반</t>
    </r>
    <r>
      <rPr>
        <sz val="10"/>
        <rFont val="Noto Sans CJK SC"/>
        <family val="2"/>
        <charset val="1"/>
      </rPr>
      <t xml:space="preserve">(289)</t>
    </r>
    <r>
      <rPr>
        <sz val="10"/>
        <rFont val="WenQuanYi Zen Hei"/>
        <family val="2"/>
      </rPr>
      <t xml:space="preserve">이면 가결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의원은 정기회기당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회까지만 서명 가능</t>
    </r>
    <r>
      <rPr>
        <sz val="10"/>
        <rFont val="Noto Sans CJK SC"/>
        <family val="2"/>
        <charset val="1"/>
      </rPr>
      <t xml:space="preserve">(49</t>
    </r>
    <r>
      <rPr>
        <sz val="10"/>
        <rFont val="WenQuanYi Zen Hei"/>
        <family val="2"/>
      </rPr>
      <t xml:space="preserve">조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항 대응 불신임안은 예외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</si>
  <si>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49·50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</si>
  <si>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</si>
  <si>
    <t xml:space="preserve">motion de censure, question de confiance, déclaration de politique générale</t>
  </si>
  <si>
    <r>
      <rPr>
        <sz val="10"/>
        <rFont val="WenQuanYi Zen Hei"/>
        <family val="2"/>
      </rPr>
      <t xml:space="preserve">동거정부 </t>
    </r>
    <r>
      <rPr>
        <sz val="10"/>
        <rFont val="Noto Sans CJK SC"/>
        <family val="2"/>
        <charset val="1"/>
      </rPr>
      <t xml:space="preserve">(cohabitation)</t>
    </r>
  </si>
  <si>
    <r>
      <rPr>
        <sz val="10"/>
        <rFont val="WenQuanYi Zen Hei"/>
        <family val="2"/>
      </rPr>
      <t xml:space="preserve">하원 다수가 대통령과 반대면 반대 진영 총리를 임명하는 것이 관행이다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</si>
  <si>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8·20</t>
    </r>
    <r>
      <rPr>
        <sz val="10"/>
        <rFont val="WenQuanYi Zen Hei"/>
        <family val="2"/>
      </rPr>
      <t xml:space="preserve">조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관행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</si>
  <si>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10~11</t>
    </r>
    <r>
      <rPr>
        <sz val="10"/>
        <rFont val="WenQuanYi Zen Hei"/>
        <family val="2"/>
      </rPr>
      <t xml:space="preserve">화</t>
    </r>
  </si>
  <si>
    <t xml:space="preserve">cohabitation</t>
  </si>
  <si>
    <t xml:space="preserve">고위공직 윤리</t>
  </si>
  <si>
    <r>
      <rPr>
        <sz val="10"/>
        <rFont val="WenQuanYi Zen Hei"/>
        <family val="2"/>
      </rPr>
      <t xml:space="preserve">각료는 의원직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직업 활동을 겸할 수 없다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고위공직투명성청</t>
    </r>
    <r>
      <rPr>
        <sz val="10"/>
        <rFont val="Noto Sans CJK SC"/>
        <family val="2"/>
        <charset val="1"/>
      </rPr>
      <t xml:space="preserve">(HATVP)</t>
    </r>
    <r>
      <rPr>
        <sz val="10"/>
        <rFont val="WenQuanYi Zen Hei"/>
        <family val="2"/>
      </rPr>
      <t xml:space="preserve">에 재산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이해관계를 신고한다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</si>
  <si>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23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2013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10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11</t>
    </r>
    <r>
      <rPr>
        <sz val="10"/>
        <rFont val="WenQuanYi Zen Hei"/>
        <family val="2"/>
      </rPr>
      <t xml:space="preserve">일 법</t>
    </r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</si>
  <si>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1·4</t>
    </r>
    <r>
      <rPr>
        <sz val="10"/>
        <rFont val="WenQuanYi Zen Hei"/>
        <family val="2"/>
      </rPr>
      <t xml:space="preserve">화</t>
    </r>
  </si>
  <si>
    <t xml:space="preserve">incompatibilité, HATVP, déclaration de patrimoine</t>
  </si>
  <si>
    <t xml:space="preserve">사회적 대화</t>
  </si>
  <si>
    <r>
      <rPr>
        <sz val="10"/>
        <rFont val="WenQuanYi Zen Hei"/>
        <family val="2"/>
      </rPr>
      <t xml:space="preserve">노동 관련 개혁 전 노사 협상을 먼저 거친다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노조</t>
    </r>
    <r>
      <rPr>
        <sz val="10"/>
        <rFont val="Noto Sans CJK SC"/>
        <family val="2"/>
        <charset val="1"/>
      </rPr>
      <t xml:space="preserve">(CGT·CFDT·FO </t>
    </r>
    <r>
      <rPr>
        <sz val="10"/>
        <rFont val="WenQuanYi Zen Hei"/>
        <family val="2"/>
      </rPr>
      <t xml:space="preserve">등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와 경영계</t>
    </r>
    <r>
      <rPr>
        <sz val="10"/>
        <rFont val="Noto Sans CJK SC"/>
        <family val="2"/>
        <charset val="1"/>
      </rPr>
      <t xml:space="preserve">(MEDEF·CPME·U2P).</t>
    </r>
  </si>
  <si>
    <r>
      <rPr>
        <sz val="10"/>
        <rFont val="WenQuanYi Zen Hei"/>
        <family val="2"/>
      </rPr>
      <t xml:space="preserve">노동법전 </t>
    </r>
    <r>
      <rPr>
        <sz val="10"/>
        <rFont val="Noto Sans CJK SC"/>
        <family val="2"/>
        <charset val="1"/>
      </rPr>
      <t xml:space="preserve">L.1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</si>
  <si>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화</t>
    </r>
  </si>
  <si>
    <t xml:space="preserve">dialogue social, partenaires sociaux</t>
  </si>
  <si>
    <t xml:space="preserve">연금</t>
  </si>
  <si>
    <r>
      <rPr>
        <sz val="10"/>
        <rFont val="Noto Sans CJK SC"/>
        <family val="2"/>
        <charset val="1"/>
      </rPr>
      <t xml:space="preserve">2023</t>
    </r>
    <r>
      <rPr>
        <sz val="10"/>
        <rFont val="WenQuanYi Zen Hei"/>
        <family val="2"/>
      </rPr>
      <t xml:space="preserve">년 개혁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법정 연령 </t>
    </r>
    <r>
      <rPr>
        <sz val="10"/>
        <rFont val="Noto Sans CJK SC"/>
        <family val="2"/>
        <charset val="1"/>
      </rPr>
      <t xml:space="preserve">62→64</t>
    </r>
    <r>
      <rPr>
        <sz val="10"/>
        <rFont val="WenQuanYi Zen Hei"/>
        <family val="2"/>
      </rPr>
      <t xml:space="preserve">세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과 그 시행 유예를 둘러싼 논쟁이 이어진다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</si>
  <si>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2023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4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14</t>
    </r>
    <r>
      <rPr>
        <sz val="10"/>
        <rFont val="WenQuanYi Zen Hei"/>
        <family val="2"/>
      </rPr>
      <t xml:space="preserve">일 사회보장재정수정법</t>
    </r>
  </si>
  <si>
    <t xml:space="preserve">retraites, âge légal, suspension</t>
  </si>
  <si>
    <r>
      <rPr>
        <sz val="10"/>
        <rFont val="WenQuanYi Zen Hei"/>
        <family val="2"/>
      </rPr>
      <t xml:space="preserve">기획 시점 지식 — </t>
    </r>
    <r>
      <rPr>
        <sz val="10"/>
        <rFont val="Noto Sans CJK SC"/>
        <family val="2"/>
        <charset val="1"/>
      </rPr>
      <t xml:space="preserve">Légifrance </t>
    </r>
    <r>
      <rPr>
        <sz val="10"/>
        <rFont val="WenQuanYi Zen Hei"/>
        <family val="2"/>
      </rPr>
      <t xml:space="preserve">확인 필요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최신 상태</t>
    </r>
    <r>
      <rPr>
        <sz val="10"/>
        <rFont val="Noto Sans CJK SC"/>
        <family val="2"/>
        <charset val="1"/>
      </rPr>
      <t xml:space="preserve">)</t>
    </r>
  </si>
  <si>
    <t xml:space="preserve">지방</t>
  </si>
  <si>
    <t xml:space="preserve">지방자치 체계</t>
  </si>
  <si>
    <r>
      <rPr>
        <sz val="10"/>
        <rFont val="WenQuanYi Zen Hei"/>
        <family val="2"/>
      </rPr>
      <t xml:space="preserve">레지옹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도</t>
    </r>
    <r>
      <rPr>
        <sz val="10"/>
        <rFont val="Noto Sans CJK SC"/>
        <family val="2"/>
        <charset val="1"/>
      </rPr>
      <t xml:space="preserve">(département)·</t>
    </r>
    <r>
      <rPr>
        <sz val="10"/>
        <rFont val="WenQuanYi Zen Hei"/>
        <family val="2"/>
      </rPr>
      <t xml:space="preserve">코뮌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파리는 코뮌이자 도의 권한을 가진 </t>
    </r>
    <r>
      <rPr>
        <sz val="10"/>
        <rFont val="Noto Sans CJK SC"/>
        <family val="2"/>
        <charset val="1"/>
      </rPr>
      <t xml:space="preserve">Ville de Paris(2019). </t>
    </r>
    <r>
      <rPr>
        <sz val="10"/>
        <rFont val="WenQuanYi Zen Hei"/>
        <family val="2"/>
      </rPr>
      <t xml:space="preserve">보건은 국가</t>
    </r>
    <r>
      <rPr>
        <sz val="10"/>
        <rFont val="Noto Sans CJK SC"/>
        <family val="2"/>
        <charset val="1"/>
      </rPr>
      <t xml:space="preserve">(ARS), </t>
    </r>
    <r>
      <rPr>
        <sz val="10"/>
        <rFont val="WenQuanYi Zen Hei"/>
        <family val="2"/>
      </rPr>
      <t xml:space="preserve">아동보호</t>
    </r>
    <r>
      <rPr>
        <sz val="10"/>
        <rFont val="Noto Sans CJK SC"/>
        <family val="2"/>
        <charset val="1"/>
      </rPr>
      <t xml:space="preserve">(ASE)·</t>
    </r>
    <r>
      <rPr>
        <sz val="10"/>
        <rFont val="WenQuanYi Zen Hei"/>
        <family val="2"/>
      </rPr>
      <t xml:space="preserve">사회부조는 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주택은 국가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메트로폴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코뮌이 나눠 가진다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</si>
  <si>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72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2017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28</t>
    </r>
    <r>
      <rPr>
        <sz val="10"/>
        <rFont val="WenQuanYi Zen Hei"/>
        <family val="2"/>
      </rPr>
      <t xml:space="preserve">일 파리 지위법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</si>
  <si>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3~5</t>
    </r>
    <r>
      <rPr>
        <sz val="10"/>
        <rFont val="WenQuanYi Zen Hei"/>
        <family val="2"/>
      </rPr>
      <t xml:space="preserve">화</t>
    </r>
  </si>
  <si>
    <t xml:space="preserve">collectivités territoriales, compétence, ARS, ASE</t>
  </si>
  <si>
    <r>
      <rPr>
        <sz val="10"/>
        <rFont val="Noto Sans CJK SC"/>
        <family val="2"/>
        <charset val="1"/>
      </rPr>
      <t xml:space="preserve">Conseil de Paris 163</t>
    </r>
    <r>
      <rPr>
        <sz val="10"/>
        <rFont val="WenQuanYi Zen Hei"/>
        <family val="2"/>
      </rPr>
      <t xml:space="preserve">석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시장이 의장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심의</t>
    </r>
    <r>
      <rPr>
        <sz val="10"/>
        <rFont val="Noto Sans CJK SC"/>
        <family val="2"/>
        <charset val="1"/>
      </rPr>
      <t xml:space="preserve">(délibération), </t>
    </r>
    <r>
      <rPr>
        <sz val="10"/>
        <rFont val="WenQuanYi Zen Hei"/>
        <family val="2"/>
      </rPr>
      <t xml:space="preserve">결의안</t>
    </r>
    <r>
      <rPr>
        <sz val="10"/>
        <rFont val="Noto Sans CJK SC"/>
        <family val="2"/>
        <charset val="1"/>
      </rPr>
      <t xml:space="preserve">(vœu), </t>
    </r>
    <r>
      <rPr>
        <sz val="10"/>
        <rFont val="WenQuanYi Zen Hei"/>
        <family val="2"/>
      </rPr>
      <t xml:space="preserve">시정 질의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파리 시장은 </t>
    </r>
    <r>
      <rPr>
        <sz val="10"/>
        <rFont val="Noto Sans CJK SC"/>
        <family val="2"/>
        <charset val="1"/>
      </rPr>
      <t xml:space="preserve">AP-HP </t>
    </r>
    <r>
      <rPr>
        <sz val="10"/>
        <rFont val="WenQuanYi Zen Hei"/>
        <family val="2"/>
      </rPr>
      <t xml:space="preserve">감독위원회 의장이다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</si>
  <si>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지방자치법전 </t>
    </r>
    <r>
      <rPr>
        <sz val="10"/>
        <rFont val="Noto Sans CJK SC"/>
        <family val="2"/>
        <charset val="1"/>
      </rPr>
      <t xml:space="preserve">L.2512-1</t>
    </r>
    <r>
      <rPr>
        <sz val="10"/>
        <rFont val="WenQuanYi Zen Hei"/>
        <family val="2"/>
      </rPr>
      <t xml:space="preserve">조 이하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공중보건법전 </t>
    </r>
    <r>
      <rPr>
        <sz val="10"/>
        <rFont val="Noto Sans CJK SC"/>
        <family val="2"/>
        <charset val="1"/>
      </rPr>
      <t xml:space="preserve">L.6147-1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</si>
  <si>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</t>
    </r>
  </si>
  <si>
    <t xml:space="preserve">Conseil de Paris, vœu, délibération, AP-HP</t>
  </si>
  <si>
    <t xml:space="preserve">지방재정 통제</t>
  </si>
  <si>
    <r>
      <rPr>
        <sz val="10"/>
        <rFont val="WenQuanYi Zen Hei"/>
        <family val="2"/>
      </rPr>
      <t xml:space="preserve">지방재정감사원</t>
    </r>
    <r>
      <rPr>
        <sz val="10"/>
        <rFont val="Noto Sans CJK SC"/>
        <family val="2"/>
        <charset val="1"/>
      </rPr>
      <t xml:space="preserve">(CRC)</t>
    </r>
    <r>
      <rPr>
        <sz val="10"/>
        <rFont val="WenQuanYi Zen Hei"/>
        <family val="2"/>
      </rPr>
      <t xml:space="preserve">이 결산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경영을 감사한다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단일 결산서</t>
    </r>
    <r>
      <rPr>
        <sz val="10"/>
        <rFont val="Noto Sans CJK SC"/>
        <family val="2"/>
        <charset val="1"/>
      </rPr>
      <t xml:space="preserve">(CFU) </t>
    </r>
    <r>
      <rPr>
        <sz val="10"/>
        <rFont val="WenQuanYi Zen Hei"/>
        <family val="2"/>
      </rPr>
      <t xml:space="preserve">도입</t>
    </r>
    <r>
      <rPr>
        <sz val="10"/>
        <rFont val="Noto Sans CJK SC"/>
        <family val="2"/>
        <charset val="1"/>
      </rPr>
      <t xml:space="preserve">.</t>
    </r>
  </si>
  <si>
    <t xml:space="preserve">재정법원법전</t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</si>
  <si>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</si>
  <si>
    <t xml:space="preserve">Chambre régionale des comptes, compte financier unique</t>
  </si>
  <si>
    <t xml:space="preserve">공공조달</t>
  </si>
  <si>
    <r>
      <rPr>
        <sz val="10"/>
        <rFont val="WenQuanYi Zen Hei"/>
        <family val="2"/>
      </rPr>
      <t xml:space="preserve">기준액 이상은 공개 경쟁 입찰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기준을 피하려는 분할 발주는 금지</t>
    </r>
    <r>
      <rPr>
        <sz val="10"/>
        <rFont val="Noto Sans CJK SC"/>
        <family val="2"/>
        <charset val="1"/>
      </rPr>
      <t xml:space="preserve">.</t>
    </r>
  </si>
  <si>
    <t xml:space="preserve">공공조달법전</t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</si>
  <si>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</t>
    </r>
  </si>
  <si>
    <t xml:space="preserve">marché public, appel d'offres, saucissonnage</t>
  </si>
  <si>
    <t xml:space="preserve">임대료 상한</t>
  </si>
  <si>
    <r>
      <rPr>
        <sz val="10"/>
        <rFont val="WenQuanYi Zen Hei"/>
        <family val="2"/>
      </rPr>
      <t xml:space="preserve">긴장 지역의 시가 신청하면 명령으로 기준 임대료 상한을 둔다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파리 </t>
    </r>
    <r>
      <rPr>
        <sz val="10"/>
        <rFont val="Noto Sans CJK SC"/>
        <family val="2"/>
        <charset val="1"/>
      </rPr>
      <t xml:space="preserve">2019~).</t>
    </r>
  </si>
  <si>
    <r>
      <rPr>
        <sz val="10"/>
        <rFont val="Noto Sans CJK SC"/>
        <family val="2"/>
        <charset val="1"/>
      </rPr>
      <t xml:space="preserve">2018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ELAN</t>
    </r>
    <r>
      <rPr>
        <sz val="10"/>
        <rFont val="WenQuanYi Zen Hei"/>
        <family val="2"/>
      </rPr>
      <t xml:space="preserve">법 제</t>
    </r>
    <r>
      <rPr>
        <sz val="10"/>
        <rFont val="Noto Sans CJK SC"/>
        <family val="2"/>
        <charset val="1"/>
      </rPr>
      <t xml:space="preserve">140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2022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3DS</t>
    </r>
    <r>
      <rPr>
        <sz val="10"/>
        <rFont val="WenQuanYi Zen Hei"/>
        <family val="2"/>
      </rPr>
      <t xml:space="preserve">법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</si>
  <si>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</si>
  <si>
    <t xml:space="preserve">encadrement des loyers, loyer de référence</t>
  </si>
  <si>
    <t xml:space="preserve">단기 관광 임대</t>
  </si>
  <si>
    <r>
      <rPr>
        <sz val="10"/>
        <rFont val="WenQuanYi Zen Hei"/>
        <family val="2"/>
      </rPr>
      <t xml:space="preserve">파리는 주거의 관광 용도 전환에 허가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보상을 요구하고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주거지 단기임대 연간 일수를 제한한다</t>
    </r>
    <r>
      <rPr>
        <sz val="10"/>
        <rFont val="Noto Sans CJK SC"/>
        <family val="2"/>
        <charset val="1"/>
      </rPr>
      <t xml:space="preserve">. 2024</t>
    </r>
    <r>
      <rPr>
        <sz val="10"/>
        <rFont val="WenQuanYi Zen Hei"/>
        <family val="2"/>
      </rPr>
      <t xml:space="preserve">년 법으로 지자체 권한 강화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</si>
  <si>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건설주거법전 </t>
    </r>
    <r>
      <rPr>
        <sz val="10"/>
        <rFont val="Noto Sans CJK SC"/>
        <family val="2"/>
        <charset val="1"/>
      </rPr>
      <t xml:space="preserve">L.631-7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관광법전</t>
    </r>
    <r>
      <rPr>
        <sz val="10"/>
        <rFont val="Noto Sans CJK SC"/>
        <family val="2"/>
        <charset val="1"/>
      </rPr>
      <t xml:space="preserve">, 2024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11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19</t>
    </r>
    <r>
      <rPr>
        <sz val="10"/>
        <rFont val="WenQuanYi Zen Hei"/>
        <family val="2"/>
      </rPr>
      <t xml:space="preserve">일 법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</si>
  <si>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</si>
  <si>
    <t xml:space="preserve">meublé de tourisme, changement d'usage</t>
  </si>
  <si>
    <t xml:space="preserve">퇴거</t>
  </si>
  <si>
    <r>
      <rPr>
        <sz val="10"/>
        <rFont val="WenQuanYi Zen Hei"/>
        <family val="2"/>
      </rPr>
      <t xml:space="preserve">판결 → 퇴거 명령 →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개월 → 도지사의 경찰 지원 결정</t>
    </r>
    <r>
      <rPr>
        <sz val="10"/>
        <rFont val="Noto Sans CJK SC"/>
        <family val="2"/>
        <charset val="1"/>
      </rPr>
      <t xml:space="preserve">. 11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일</t>
    </r>
    <r>
      <rPr>
        <sz val="10"/>
        <rFont val="Noto Sans CJK SC"/>
        <family val="2"/>
        <charset val="1"/>
      </rPr>
      <t xml:space="preserve">~3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31</t>
    </r>
    <r>
      <rPr>
        <sz val="10"/>
        <rFont val="WenQuanYi Zen Hei"/>
        <family val="2"/>
      </rPr>
      <t xml:space="preserve">일 겨울 퇴거 유예</t>
    </r>
    <r>
      <rPr>
        <sz val="10"/>
        <rFont val="Noto Sans CJK SC"/>
        <family val="2"/>
        <charset val="1"/>
      </rPr>
      <t xml:space="preserve">. 2023</t>
    </r>
    <r>
      <rPr>
        <sz val="10"/>
        <rFont val="WenQuanYi Zen Hei"/>
        <family val="2"/>
      </rPr>
      <t xml:space="preserve">년 법으로 무단점유 처벌 강화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</si>
  <si>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민사집행법전 </t>
    </r>
    <r>
      <rPr>
        <sz val="10"/>
        <rFont val="Noto Sans CJK SC"/>
        <family val="2"/>
        <charset val="1"/>
      </rPr>
      <t xml:space="preserve">L.412-1·L.412-6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2023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7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27</t>
    </r>
    <r>
      <rPr>
        <sz val="10"/>
        <rFont val="WenQuanYi Zen Hei"/>
        <family val="2"/>
      </rPr>
      <t xml:space="preserve">일 법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</si>
  <si>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3~4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6</t>
    </r>
    <r>
      <rPr>
        <sz val="10"/>
        <rFont val="WenQuanYi Zen Hei"/>
        <family val="2"/>
      </rPr>
      <t xml:space="preserve">부</t>
    </r>
  </si>
  <si>
    <t xml:space="preserve">trêve hivernale, commandement de quitter les lieux, concours de la force publique</t>
  </si>
  <si>
    <r>
      <rPr>
        <sz val="10"/>
        <rFont val="WenQuanYi Zen Hei"/>
        <family val="2"/>
      </rPr>
      <t xml:space="preserve">재난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민방위</t>
    </r>
  </si>
  <si>
    <r>
      <rPr>
        <sz val="10"/>
        <rFont val="WenQuanYi Zen Hei"/>
        <family val="2"/>
      </rPr>
      <t xml:space="preserve">도지사</t>
    </r>
    <r>
      <rPr>
        <sz val="10"/>
        <rFont val="Noto Sans CJK SC"/>
        <family val="2"/>
        <charset val="1"/>
      </rPr>
      <t xml:space="preserve">(préfet)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ORSEC </t>
    </r>
    <r>
      <rPr>
        <sz val="10"/>
        <rFont val="WenQuanYi Zen Hei"/>
        <family val="2"/>
      </rPr>
      <t xml:space="preserve">계획으로 지휘하고 시장은 시 보호계획</t>
    </r>
    <r>
      <rPr>
        <sz val="10"/>
        <rFont val="Noto Sans CJK SC"/>
        <family val="2"/>
        <charset val="1"/>
      </rPr>
      <t xml:space="preserve">(PCS)</t>
    </r>
    <r>
      <rPr>
        <sz val="10"/>
        <rFont val="WenQuanYi Zen Hei"/>
        <family val="2"/>
      </rPr>
      <t xml:space="preserve">을 맡는다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기상청 적색 경보</t>
    </r>
    <r>
      <rPr>
        <sz val="10"/>
        <rFont val="Noto Sans CJK SC"/>
        <family val="2"/>
        <charset val="1"/>
      </rPr>
      <t xml:space="preserve">, FR-Alert </t>
    </r>
    <r>
      <rPr>
        <sz val="10"/>
        <rFont val="WenQuanYi Zen Hei"/>
        <family val="2"/>
      </rPr>
      <t xml:space="preserve">문자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자연재해 지정</t>
    </r>
    <r>
      <rPr>
        <sz val="10"/>
        <rFont val="Noto Sans CJK SC"/>
        <family val="2"/>
        <charset val="1"/>
      </rPr>
      <t xml:space="preserve">(CatNat) </t>
    </r>
    <r>
      <rPr>
        <sz val="10"/>
        <rFont val="WenQuanYi Zen Hei"/>
        <family val="2"/>
      </rPr>
      <t xml:space="preserve">부처 합동 명령 → 보험 보상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민방위 군부대 투입</t>
    </r>
    <r>
      <rPr>
        <sz val="10"/>
        <rFont val="Noto Sans CJK SC"/>
        <family val="2"/>
        <charset val="1"/>
      </rPr>
      <t xml:space="preserve">, EU </t>
    </r>
    <r>
      <rPr>
        <sz val="10"/>
        <rFont val="WenQuanYi Zen Hei"/>
        <family val="2"/>
      </rPr>
      <t xml:space="preserve">연대기금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</si>
  <si>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국내안전법전 </t>
    </r>
    <r>
      <rPr>
        <sz val="10"/>
        <rFont val="Noto Sans CJK SC"/>
        <family val="2"/>
        <charset val="1"/>
      </rPr>
      <t xml:space="preserve">L.741-1</t>
    </r>
    <r>
      <rPr>
        <sz val="10"/>
        <rFont val="WenQuanYi Zen Hei"/>
        <family val="2"/>
      </rPr>
      <t xml:space="preserve">조 이하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보험법전 </t>
    </r>
    <r>
      <rPr>
        <sz val="10"/>
        <rFont val="Noto Sans CJK SC"/>
        <family val="2"/>
        <charset val="1"/>
      </rPr>
      <t xml:space="preserve">L.125-1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</si>
  <si>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</si>
  <si>
    <t xml:space="preserve">ORSEC, vigilance rouge, FR-Alert, catastrophe naturelle</t>
  </si>
  <si>
    <r>
      <rPr>
        <b val="true"/>
        <sz val="10"/>
        <rFont val="WenQuanYi Zen Hei"/>
        <family val="2"/>
      </rPr>
      <t xml:space="preserve">사법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통제</t>
    </r>
  </si>
  <si>
    <t xml:space="preserve">헌법재판소</t>
  </si>
  <si>
    <r>
      <rPr>
        <sz val="10"/>
        <rFont val="WenQuanYi Zen Hei"/>
        <family val="2"/>
      </rPr>
      <t xml:space="preserve">법률 공포 전 사전 심사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대통령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총리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양원 의장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의원 </t>
    </r>
    <r>
      <rPr>
        <sz val="10"/>
        <rFont val="Noto Sans CJK SC"/>
        <family val="2"/>
        <charset val="1"/>
      </rPr>
      <t xml:space="preserve">60</t>
    </r>
    <r>
      <rPr>
        <sz val="10"/>
        <rFont val="WenQuanYi Zen Hei"/>
        <family val="2"/>
      </rPr>
      <t xml:space="preserve">명 청구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와 사후 위헌 심사</t>
    </r>
    <r>
      <rPr>
        <sz val="10"/>
        <rFont val="Noto Sans CJK SC"/>
        <family val="2"/>
        <charset val="1"/>
      </rPr>
      <t xml:space="preserve">(QPC).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</si>
  <si>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61·61-1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</si>
  <si>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</si>
  <si>
    <t xml:space="preserve">Conseil constitutionnel, saisine, QPC</t>
  </si>
  <si>
    <t xml:space="preserve">반부패 사법</t>
  </si>
  <si>
    <r>
      <rPr>
        <sz val="10"/>
        <rFont val="WenQuanYi Zen Hei"/>
        <family val="2"/>
      </rPr>
      <t xml:space="preserve">국가금융검찰</t>
    </r>
    <r>
      <rPr>
        <sz val="10"/>
        <rFont val="Noto Sans CJK SC"/>
        <family val="2"/>
        <charset val="1"/>
      </rPr>
      <t xml:space="preserve">(PNF)</t>
    </r>
    <r>
      <rPr>
        <sz val="10"/>
        <rFont val="WenQuanYi Zen Hei"/>
        <family val="2"/>
      </rPr>
      <t xml:space="preserve">과 파리 금융 전담 예심판사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인가받은 반부패 단체는 사소 당사자가 될 수 있다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불기소 처분은 검찰총장에게 이의할 수 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</si>
  <si>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형사소송법 제</t>
    </r>
    <r>
      <rPr>
        <sz val="10"/>
        <rFont val="Noto Sans CJK SC"/>
        <family val="2"/>
        <charset val="1"/>
      </rPr>
      <t xml:space="preserve">2-23·40-1·85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</si>
  <si>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, 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화</t>
    </r>
  </si>
  <si>
    <t xml:space="preserve">PNF, juge d'instruction, partie civile, agrément</t>
  </si>
  <si>
    <t xml:space="preserve">내부고발자 보호</t>
  </si>
  <si>
    <r>
      <rPr>
        <sz val="10"/>
        <rFont val="WenQuanYi Zen Hei"/>
        <family val="2"/>
      </rPr>
      <t xml:space="preserve">내부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외부 신고 채널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보복 금지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권리보호관</t>
    </r>
    <r>
      <rPr>
        <sz val="10"/>
        <rFont val="Noto Sans CJK SC"/>
        <family val="2"/>
        <charset val="1"/>
      </rPr>
      <t xml:space="preserve">(Défenseur des droits)</t>
    </r>
    <r>
      <rPr>
        <sz val="10"/>
        <rFont val="WenQuanYi Zen Hei"/>
        <family val="2"/>
      </rPr>
      <t xml:space="preserve">의 지원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</si>
  <si>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2016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Sapin II</t>
    </r>
    <r>
      <rPr>
        <sz val="10"/>
        <rFont val="WenQuanYi Zen Hei"/>
        <family val="2"/>
      </rPr>
      <t xml:space="preserve">법</t>
    </r>
    <r>
      <rPr>
        <sz val="10"/>
        <rFont val="Noto Sans CJK SC"/>
        <family val="2"/>
        <charset val="1"/>
      </rPr>
      <t xml:space="preserve">, 2022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21</t>
    </r>
    <r>
      <rPr>
        <sz val="10"/>
        <rFont val="WenQuanYi Zen Hei"/>
        <family val="2"/>
      </rPr>
      <t xml:space="preserve">일 법</t>
    </r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</si>
  <si>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, 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</si>
  <si>
    <t xml:space="preserve">lanceur d'alerte, signalement, représailles</t>
  </si>
  <si>
    <t xml:space="preserve">증거와 사생활</t>
  </si>
  <si>
    <r>
      <rPr>
        <sz val="10"/>
        <rFont val="WenQuanYi Zen Hei"/>
        <family val="2"/>
      </rPr>
      <t xml:space="preserve">수사기관이 위법하게 얻은 증거는 무효지만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사인이 제출한 증거는 형사 절차에서 원칙적으로 허용된다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다만 몰래 녹음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도청 자체는 사생활 침해죄가 될 수 있다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</si>
  <si>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형법 제</t>
    </r>
    <r>
      <rPr>
        <sz val="10"/>
        <rFont val="Noto Sans CJK SC"/>
        <family val="2"/>
        <charset val="1"/>
      </rPr>
      <t xml:space="preserve">226-1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형사소송법 제</t>
    </r>
    <r>
      <rPr>
        <sz val="10"/>
        <rFont val="Noto Sans CJK SC"/>
        <family val="2"/>
        <charset val="1"/>
      </rPr>
      <t xml:space="preserve">427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</si>
  <si>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</si>
  <si>
    <t xml:space="preserve">preuve déloyale, atteinte à la vie privée</t>
  </si>
  <si>
    <t xml:space="preserve">정보기관 통제</t>
  </si>
  <si>
    <r>
      <rPr>
        <sz val="10"/>
        <rFont val="WenQuanYi Zen Hei"/>
        <family val="2"/>
      </rPr>
      <t xml:space="preserve">정보 수집 기법은 총리 허가와 </t>
    </r>
    <r>
      <rPr>
        <sz val="10"/>
        <rFont val="Noto Sans CJK SC"/>
        <family val="2"/>
        <charset val="1"/>
      </rPr>
      <t xml:space="preserve">CNCTR </t>
    </r>
    <r>
      <rPr>
        <sz val="10"/>
        <rFont val="WenQuanYi Zen Hei"/>
        <family val="2"/>
      </rPr>
      <t xml:space="preserve">사전 의견을 거치고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국무원</t>
    </r>
    <r>
      <rPr>
        <sz val="10"/>
        <rFont val="Noto Sans CJK SC"/>
        <family val="2"/>
        <charset val="1"/>
      </rPr>
      <t xml:space="preserve">(Conseil d'État)</t>
    </r>
    <r>
      <rPr>
        <sz val="10"/>
        <rFont val="WenQuanYi Zen Hei"/>
        <family val="2"/>
      </rPr>
      <t xml:space="preserve">이 사후 통제한다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</si>
  <si>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국내안전법전 </t>
    </r>
    <r>
      <rPr>
        <sz val="10"/>
        <rFont val="Noto Sans CJK SC"/>
        <family val="2"/>
        <charset val="1"/>
      </rPr>
      <t xml:space="preserve">L.801-1</t>
    </r>
    <r>
      <rPr>
        <sz val="10"/>
        <rFont val="WenQuanYi Zen Hei"/>
        <family val="2"/>
      </rPr>
      <t xml:space="preserve">조 이하 </t>
    </r>
    <r>
      <rPr>
        <sz val="10"/>
        <rFont val="Noto Sans CJK SC"/>
        <family val="2"/>
        <charset val="1"/>
      </rPr>
      <t xml:space="preserve">(2015</t>
    </r>
    <r>
      <rPr>
        <sz val="10"/>
        <rFont val="WenQuanYi Zen Hei"/>
        <family val="2"/>
      </rPr>
      <t xml:space="preserve">년 정보법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</si>
  <si>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</t>
    </r>
  </si>
  <si>
    <t xml:space="preserve">CNCTR, techniques de renseignement, Conseil d'État</t>
  </si>
  <si>
    <r>
      <rPr>
        <sz val="10"/>
        <rFont val="WenQuanYi Zen Hei"/>
        <family val="2"/>
      </rPr>
      <t xml:space="preserve">최고사법관회의 </t>
    </r>
    <r>
      <rPr>
        <sz val="10"/>
        <rFont val="Noto Sans CJK SC"/>
        <family val="2"/>
        <charset val="1"/>
      </rPr>
      <t xml:space="preserve">(CSM)</t>
    </r>
  </si>
  <si>
    <r>
      <rPr>
        <sz val="10"/>
        <rFont val="WenQuanYi Zen Hei"/>
        <family val="2"/>
      </rPr>
      <t xml:space="preserve">판사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검사 인사에 관여한다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검사 임명에 대한 </t>
    </r>
    <r>
      <rPr>
        <sz val="10"/>
        <rFont val="Noto Sans CJK SC"/>
        <family val="2"/>
        <charset val="1"/>
      </rPr>
      <t xml:space="preserve">CSM </t>
    </r>
    <r>
      <rPr>
        <sz val="10"/>
        <rFont val="WenQuanYi Zen Hei"/>
        <family val="2"/>
      </rPr>
      <t xml:space="preserve">구속적 의견을 도입하는 개헌안이 오래 계류 중이다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</si>
  <si>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64·65</t>
    </r>
    <r>
      <rPr>
        <sz val="10"/>
        <rFont val="WenQuanYi Zen Hei"/>
        <family val="2"/>
      </rPr>
      <t xml:space="preserve">조</t>
    </r>
  </si>
  <si>
    <t xml:space="preserve">CSM, indépendance du parquet</t>
  </si>
  <si>
    <t xml:space="preserve">성폭력 관련 법</t>
  </si>
  <si>
    <r>
      <rPr>
        <sz val="10"/>
        <rFont val="Noto Sans CJK SC"/>
        <family val="2"/>
        <charset val="1"/>
      </rPr>
      <t xml:space="preserve">2025</t>
    </r>
    <r>
      <rPr>
        <sz val="10"/>
        <rFont val="WenQuanYi Zen Hei"/>
        <family val="2"/>
      </rPr>
      <t xml:space="preserve">년 법으로 형법에 동의를 명시했다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동의는 자유롭고 명확하며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구체적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사전적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철회 가능해야 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침묵이나 무반응만으로 추정할 수 없다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</si>
  <si>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2025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11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6</t>
    </r>
    <r>
      <rPr>
        <sz val="10"/>
        <rFont val="WenQuanYi Zen Hei"/>
        <family val="2"/>
      </rPr>
      <t xml:space="preserve">일 법</t>
    </r>
    <r>
      <rPr>
        <sz val="10"/>
        <rFont val="Noto Sans CJK SC"/>
        <family val="2"/>
        <charset val="1"/>
      </rPr>
      <t xml:space="preserve">(2025-1057), </t>
    </r>
    <r>
      <rPr>
        <sz val="10"/>
        <rFont val="WenQuanYi Zen Hei"/>
        <family val="2"/>
      </rPr>
      <t xml:space="preserve">형법 제</t>
    </r>
    <r>
      <rPr>
        <sz val="10"/>
        <rFont val="Noto Sans CJK SC"/>
        <family val="2"/>
        <charset val="1"/>
      </rPr>
      <t xml:space="preserve">222-22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</si>
  <si>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</si>
  <si>
    <t xml:space="preserve">consentement, viol, agression sexuelle</t>
  </si>
  <si>
    <r>
      <rPr>
        <sz val="10"/>
        <rFont val="WenQuanYi Zen Hei"/>
        <family val="2"/>
      </rPr>
      <t xml:space="preserve">이민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외국인</t>
    </r>
  </si>
  <si>
    <r>
      <rPr>
        <sz val="10"/>
        <rFont val="WenQuanYi Zen Hei"/>
        <family val="2"/>
      </rPr>
      <t xml:space="preserve">체류는 국가 권한</t>
    </r>
    <r>
      <rPr>
        <sz val="10"/>
        <rFont val="Noto Sans CJK SC"/>
        <family val="2"/>
        <charset val="1"/>
      </rPr>
      <t xml:space="preserve">(CESEDA)</t>
    </r>
    <r>
      <rPr>
        <sz val="10"/>
        <rFont val="WenQuanYi Zen Hei"/>
        <family val="2"/>
      </rPr>
      <t xml:space="preserve">이지만 보호자 없는 미성년 이주민 보호는 도의 아동보호</t>
    </r>
    <r>
      <rPr>
        <sz val="10"/>
        <rFont val="Noto Sans CJK SC"/>
        <family val="2"/>
        <charset val="1"/>
      </rPr>
      <t xml:space="preserve">(ASE) </t>
    </r>
    <r>
      <rPr>
        <sz val="10"/>
        <rFont val="WenQuanYi Zen Hei"/>
        <family val="2"/>
      </rPr>
      <t xml:space="preserve">권한이라 분담 갈등이 생긴다</t>
    </r>
    <r>
      <rPr>
        <sz val="10"/>
        <rFont val="Noto Sans CJK SC"/>
        <family val="2"/>
        <charset val="1"/>
      </rPr>
      <t xml:space="preserve">. 2024</t>
    </r>
    <r>
      <rPr>
        <sz val="10"/>
        <rFont val="WenQuanYi Zen Hei"/>
        <family val="2"/>
      </rPr>
      <t xml:space="preserve">년 이민법</t>
    </r>
    <r>
      <rPr>
        <sz val="10"/>
        <rFont val="Noto Sans CJK SC"/>
        <family val="2"/>
        <charset val="1"/>
      </rPr>
      <t xml:space="preserve">, EU </t>
    </r>
    <r>
      <rPr>
        <sz val="10"/>
        <rFont val="WenQuanYi Zen Hei"/>
        <family val="2"/>
      </rPr>
      <t xml:space="preserve">이민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망명 협약 </t>
    </r>
    <r>
      <rPr>
        <sz val="10"/>
        <rFont val="Noto Sans CJK SC"/>
        <family val="2"/>
        <charset val="1"/>
      </rPr>
      <t xml:space="preserve">2026</t>
    </r>
    <r>
      <rPr>
        <sz val="10"/>
        <rFont val="WenQuanYi Zen Hei"/>
        <family val="2"/>
      </rPr>
      <t xml:space="preserve">년 시행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</si>
  <si>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CESEDA, 2024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26</t>
    </r>
    <r>
      <rPr>
        <sz val="10"/>
        <rFont val="WenQuanYi Zen Hei"/>
        <family val="2"/>
      </rPr>
      <t xml:space="preserve">일 법</t>
    </r>
    <r>
      <rPr>
        <sz val="10"/>
        <rFont val="Noto Sans CJK SC"/>
        <family val="2"/>
        <charset val="1"/>
      </rPr>
      <t xml:space="preserve">, EU </t>
    </r>
    <r>
      <rPr>
        <sz val="10"/>
        <rFont val="WenQuanYi Zen Hei"/>
        <family val="2"/>
      </rPr>
      <t xml:space="preserve">이민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망명 협약</t>
    </r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</si>
  <si>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화</t>
    </r>
  </si>
  <si>
    <t xml:space="preserve">titre de séjour, MNA, ASE</t>
  </si>
  <si>
    <r>
      <rPr>
        <sz val="10"/>
        <rFont val="WenQuanYi Zen Hei"/>
        <family val="2"/>
      </rPr>
      <t xml:space="preserve">기획 시점 지식 — </t>
    </r>
    <r>
      <rPr>
        <sz val="10"/>
        <rFont val="Noto Sans CJK SC"/>
        <family val="2"/>
        <charset val="1"/>
      </rPr>
      <t xml:space="preserve">Légifrance </t>
    </r>
    <r>
      <rPr>
        <sz val="10"/>
        <rFont val="WenQuanYi Zen Hei"/>
        <family val="2"/>
      </rPr>
      <t xml:space="preserve">확인 필요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협약 시행 세부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</si>
  <si>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Noto Sans CJK SC"/>
        <family val="2"/>
        <charset val="1"/>
      </rPr>
      <t xml:space="preserve">EU </t>
    </r>
    <r>
      <rPr>
        <sz val="10"/>
        <rFont val="WenQuanYi Zen Hei"/>
        <family val="2"/>
      </rPr>
      <t xml:space="preserve">재정 규칙</t>
    </r>
  </si>
  <si>
    <r>
      <rPr>
        <sz val="10"/>
        <rFont val="Noto Sans CJK SC"/>
        <family val="2"/>
        <charset val="1"/>
      </rPr>
      <t xml:space="preserve">2024</t>
    </r>
    <r>
      <rPr>
        <sz val="10"/>
        <rFont val="WenQuanYi Zen Hei"/>
        <family val="2"/>
      </rPr>
      <t xml:space="preserve">년 개정 규칙에 따라 중기 재정구조계획을 제출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협의한다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프랑스는 </t>
    </r>
    <r>
      <rPr>
        <sz val="10"/>
        <rFont val="Noto Sans CJK SC"/>
        <family val="2"/>
        <charset val="1"/>
      </rPr>
      <t xml:space="preserve">2024</t>
    </r>
    <r>
      <rPr>
        <sz val="10"/>
        <rFont val="WenQuanYi Zen Hei"/>
        <family val="2"/>
      </rPr>
      <t xml:space="preserve">년부터 과도한 적자 절차 대상이다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</si>
  <si>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TFUE 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126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EU </t>
    </r>
    <r>
      <rPr>
        <sz val="10"/>
        <rFont val="WenQuanYi Zen Hei"/>
        <family val="2"/>
      </rPr>
      <t xml:space="preserve">규칙 </t>
    </r>
    <r>
      <rPr>
        <sz val="10"/>
        <rFont val="Noto Sans CJK SC"/>
        <family val="2"/>
        <charset val="1"/>
      </rPr>
      <t xml:space="preserve">2024/1263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</si>
  <si>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9~10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</t>
    </r>
  </si>
  <si>
    <t xml:space="preserve">déficit excessif, plan budgétaire et structurel à moyen terme, ECOFIN</t>
  </si>
  <si>
    <r>
      <rPr>
        <sz val="10"/>
        <rFont val="WenQuanYi Zen Hei"/>
        <family val="2"/>
      </rPr>
      <t xml:space="preserve">회복기금 </t>
    </r>
    <r>
      <rPr>
        <sz val="10"/>
        <rFont val="Noto Sans CJK SC"/>
        <family val="2"/>
        <charset val="1"/>
      </rPr>
      <t xml:space="preserve">(NextGenerationEU)</t>
    </r>
  </si>
  <si>
    <r>
      <rPr>
        <sz val="10"/>
        <rFont val="WenQuanYi Zen Hei"/>
        <family val="2"/>
      </rPr>
      <t xml:space="preserve">프랑스는 회복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복원력 계획</t>
    </r>
    <r>
      <rPr>
        <sz val="10"/>
        <rFont val="Noto Sans CJK SC"/>
        <family val="2"/>
        <charset val="1"/>
      </rPr>
      <t xml:space="preserve">(PNRR)</t>
    </r>
    <r>
      <rPr>
        <sz val="10"/>
        <rFont val="WenQuanYi Zen Hei"/>
        <family val="2"/>
      </rPr>
      <t xml:space="preserve">으로 </t>
    </r>
    <r>
      <rPr>
        <sz val="10"/>
        <rFont val="Noto Sans CJK SC"/>
        <family val="2"/>
        <charset val="1"/>
      </rPr>
      <t xml:space="preserve">EU </t>
    </r>
    <r>
      <rPr>
        <sz val="10"/>
        <rFont val="WenQuanYi Zen Hei"/>
        <family val="2"/>
      </rPr>
      <t xml:space="preserve">회복기금을 받는다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집행 시한은 </t>
    </r>
    <r>
      <rPr>
        <sz val="10"/>
        <rFont val="Noto Sans CJK SC"/>
        <family val="2"/>
        <charset val="1"/>
      </rPr>
      <t xml:space="preserve">2026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8</t>
    </r>
    <r>
      <rPr>
        <sz val="10"/>
        <rFont val="WenQuanYi Zen Hei"/>
        <family val="2"/>
      </rPr>
      <t xml:space="preserve">월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</si>
  <si>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EU </t>
    </r>
    <r>
      <rPr>
        <sz val="10"/>
        <rFont val="WenQuanYi Zen Hei"/>
        <family val="2"/>
      </rPr>
      <t xml:space="preserve">규칙 </t>
    </r>
    <r>
      <rPr>
        <sz val="10"/>
        <rFont val="Noto Sans CJK SC"/>
        <family val="2"/>
        <charset val="1"/>
      </rPr>
      <t xml:space="preserve">2021/241</t>
    </r>
  </si>
  <si>
    <t xml:space="preserve">plan de relance, jalons, fonds européens</t>
  </si>
  <si>
    <r>
      <rPr>
        <sz val="10"/>
        <rFont val="WenQuanYi Zen Hei"/>
        <family val="2"/>
      </rPr>
      <t xml:space="preserve">국방비와 </t>
    </r>
    <r>
      <rPr>
        <sz val="10"/>
        <rFont val="Noto Sans CJK SC"/>
        <family val="2"/>
        <charset val="1"/>
      </rPr>
      <t xml:space="preserve">NATO</t>
    </r>
  </si>
  <si>
    <r>
      <rPr>
        <sz val="10"/>
        <rFont val="Noto Sans CJK SC"/>
        <family val="2"/>
        <charset val="1"/>
      </rPr>
      <t xml:space="preserve">2025</t>
    </r>
    <r>
      <rPr>
        <sz val="10"/>
        <rFont val="WenQuanYi Zen Hei"/>
        <family val="2"/>
      </rPr>
      <t xml:space="preserve">년 헤이그 정상회의에서 </t>
    </r>
    <r>
      <rPr>
        <sz val="10"/>
        <rFont val="Noto Sans CJK SC"/>
        <family val="2"/>
        <charset val="1"/>
      </rPr>
      <t xml:space="preserve">NATO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GDP 5%(</t>
    </r>
    <r>
      <rPr>
        <sz val="10"/>
        <rFont val="WenQuanYi Zen Hei"/>
        <family val="2"/>
      </rPr>
      <t xml:space="preserve">핵심 방위 </t>
    </r>
    <r>
      <rPr>
        <sz val="10"/>
        <rFont val="Noto Sans CJK SC"/>
        <family val="2"/>
        <charset val="1"/>
      </rPr>
      <t xml:space="preserve">3.5% + </t>
    </r>
    <r>
      <rPr>
        <sz val="10"/>
        <rFont val="WenQuanYi Zen Hei"/>
        <family val="2"/>
      </rPr>
      <t xml:space="preserve">관련 지출 </t>
    </r>
    <r>
      <rPr>
        <sz val="10"/>
        <rFont val="Noto Sans CJK SC"/>
        <family val="2"/>
        <charset val="1"/>
      </rPr>
      <t xml:space="preserve">1.5%)</t>
    </r>
    <r>
      <rPr>
        <sz val="10"/>
        <rFont val="WenQuanYi Zen Hei"/>
        <family val="2"/>
      </rPr>
      <t xml:space="preserve">를 </t>
    </r>
    <r>
      <rPr>
        <sz val="10"/>
        <rFont val="Noto Sans CJK SC"/>
        <family val="2"/>
        <charset val="1"/>
      </rPr>
      <t xml:space="preserve">2035</t>
    </r>
    <r>
      <rPr>
        <sz val="10"/>
        <rFont val="WenQuanYi Zen Hei"/>
        <family val="2"/>
      </rPr>
      <t xml:space="preserve">년까지 합의했고 </t>
    </r>
    <r>
      <rPr>
        <sz val="10"/>
        <rFont val="Noto Sans CJK SC"/>
        <family val="2"/>
        <charset val="1"/>
      </rPr>
      <t xml:space="preserve">2029</t>
    </r>
    <r>
      <rPr>
        <sz val="10"/>
        <rFont val="WenQuanYi Zen Hei"/>
        <family val="2"/>
      </rPr>
      <t xml:space="preserve">년 중간 점검이 예정되어 있다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이 틀 속에서 </t>
    </r>
    <r>
      <rPr>
        <sz val="10"/>
        <rFont val="Noto Sans CJK SC"/>
        <family val="2"/>
        <charset val="1"/>
      </rPr>
      <t xml:space="preserve">Napoléon</t>
    </r>
    <r>
      <rPr>
        <sz val="10"/>
        <rFont val="WenQuanYi Zen Hei"/>
        <family val="2"/>
      </rPr>
      <t xml:space="preserve">이 검증 가능한 증액 경로를 협상한다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</si>
  <si>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2025 </t>
    </r>
    <r>
      <rPr>
        <sz val="10"/>
        <rFont val="WenQuanYi Zen Hei"/>
        <family val="2"/>
      </rPr>
      <t xml:space="preserve">헤이그 선언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군사계획법</t>
    </r>
    <r>
      <rPr>
        <sz val="10"/>
        <rFont val="Noto Sans CJK SC"/>
        <family val="2"/>
        <charset val="1"/>
      </rPr>
      <t xml:space="preserve">(LPM)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</si>
  <si>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9~11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3·11</t>
    </r>
    <r>
      <rPr>
        <sz val="10"/>
        <rFont val="WenQuanYi Zen Hei"/>
        <family val="2"/>
      </rPr>
      <t xml:space="preserve">화</t>
    </r>
  </si>
  <si>
    <t xml:space="preserve">dépenses de défense, OTAN, LPM</t>
  </si>
  <si>
    <r>
      <rPr>
        <sz val="10"/>
        <rFont val="WenQuanYi Zen Hei"/>
        <family val="2"/>
      </rPr>
      <t xml:space="preserve">검색 확인 </t>
    </r>
    <r>
      <rPr>
        <sz val="10"/>
        <rFont val="Noto Sans CJK SC"/>
        <family val="2"/>
        <charset val="1"/>
      </rPr>
      <t xml:space="preserve">(2026-09-22, </t>
    </r>
    <r>
      <rPr>
        <sz val="10"/>
        <rFont val="WenQuanYi Zen Hei"/>
        <family val="2"/>
      </rPr>
      <t xml:space="preserve">이전 판</t>
    </r>
    <r>
      <rPr>
        <sz val="10"/>
        <rFont val="Noto Sans CJK SC"/>
        <family val="2"/>
        <charset val="1"/>
      </rPr>
      <t xml:space="preserve">)</t>
    </r>
  </si>
  <si>
    <t xml:space="preserve">재생에너지 인허가</t>
  </si>
  <si>
    <r>
      <rPr>
        <sz val="10"/>
        <rFont val="WenQuanYi Zen Hei"/>
        <family val="2"/>
      </rPr>
      <t xml:space="preserve">도지사의 환경 허가와 공개 협의</t>
    </r>
    <r>
      <rPr>
        <sz val="10"/>
        <rFont val="Noto Sans CJK SC"/>
        <family val="2"/>
        <charset val="1"/>
      </rPr>
      <t xml:space="preserve">, 2023</t>
    </r>
    <r>
      <rPr>
        <sz val="10"/>
        <rFont val="WenQuanYi Zen Hei"/>
        <family val="2"/>
      </rPr>
      <t xml:space="preserve">년 재생에너지 가속법의 가속 구역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영농형 태양광 규정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농촌 주민의 찬반이 갈린다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</si>
  <si>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환경법전</t>
    </r>
    <r>
      <rPr>
        <sz val="10"/>
        <rFont val="Noto Sans CJK SC"/>
        <family val="2"/>
        <charset val="1"/>
      </rPr>
      <t xml:space="preserve">, 2023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월 </t>
    </r>
    <r>
      <rPr>
        <sz val="10"/>
        <rFont val="Noto Sans CJK SC"/>
        <family val="2"/>
        <charset val="1"/>
      </rPr>
      <t xml:space="preserve">10</t>
    </r>
    <r>
      <rPr>
        <sz val="10"/>
        <rFont val="WenQuanYi Zen Hei"/>
        <family val="2"/>
      </rPr>
      <t xml:space="preserve">일 법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</si>
  <si>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</t>
    </r>
  </si>
  <si>
    <t xml:space="preserve">agrivoltaïsme, zone d'accélération, enquête publique</t>
  </si>
  <si>
    <r>
      <rPr>
        <sz val="10"/>
        <rFont val="Noto Sans CJK SC"/>
        <family val="2"/>
        <charset val="1"/>
      </rPr>
      <t xml:space="preserve">EU </t>
    </r>
    <r>
      <rPr>
        <sz val="10"/>
        <rFont val="WenQuanYi Zen Hei"/>
        <family val="2"/>
      </rPr>
      <t xml:space="preserve">플랫폼노동 지침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고용 추정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알고리즘 투명성</t>
    </r>
    <r>
      <rPr>
        <sz val="10"/>
        <rFont val="Noto Sans CJK SC"/>
        <family val="2"/>
        <charset val="1"/>
      </rPr>
      <t xml:space="preserve">, 2026</t>
    </r>
    <r>
      <rPr>
        <sz val="10"/>
        <rFont val="WenQuanYi Zen Hei"/>
        <family val="2"/>
      </rPr>
      <t xml:space="preserve">년 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월까지 국내 이행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과 </t>
    </r>
    <r>
      <rPr>
        <sz val="10"/>
        <rFont val="Noto Sans CJK SC"/>
        <family val="2"/>
        <charset val="1"/>
      </rPr>
      <t xml:space="preserve">ARPE</t>
    </r>
    <r>
      <rPr>
        <sz val="10"/>
        <rFont val="WenQuanYi Zen Hei"/>
        <family val="2"/>
      </rPr>
      <t xml:space="preserve">를 통한 플랫폼–노동자 대표 협상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</si>
  <si>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Noto Sans CJK SC"/>
        <family val="2"/>
        <charset val="1"/>
      </rPr>
      <t xml:space="preserve">EU </t>
    </r>
    <r>
      <rPr>
        <sz val="10"/>
        <rFont val="WenQuanYi Zen Hei"/>
        <family val="2"/>
      </rPr>
      <t xml:space="preserve">지침 </t>
    </r>
    <r>
      <rPr>
        <sz val="10"/>
        <rFont val="Noto Sans CJK SC"/>
        <family val="2"/>
        <charset val="1"/>
      </rPr>
      <t xml:space="preserve">2024/2831, </t>
    </r>
    <r>
      <rPr>
        <sz val="10"/>
        <rFont val="WenQuanYi Zen Hei"/>
        <family val="2"/>
      </rPr>
      <t xml:space="preserve">노동법전 </t>
    </r>
    <r>
      <rPr>
        <sz val="10"/>
        <rFont val="Noto Sans CJK SC"/>
        <family val="2"/>
        <charset val="1"/>
      </rPr>
      <t xml:space="preserve">L.7343-1</t>
    </r>
    <r>
      <rPr>
        <sz val="10"/>
        <rFont val="WenQuanYi Zen Hei"/>
        <family val="2"/>
      </rPr>
      <t xml:space="preserve">조 이하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</si>
  <si>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</t>
    </r>
  </si>
  <si>
    <t xml:space="preserve">plateforme, présomption de salariat, ARPE</t>
  </si>
  <si>
    <r>
      <rPr>
        <i val="true"/>
        <sz val="9"/>
        <color rgb="FF595959"/>
        <rFont val="WenQuanYi Zen Hei"/>
        <family val="2"/>
      </rPr>
      <t xml:space="preserve">※ 법령 번호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조항은 교재에 넣기 전에 </t>
    </r>
    <r>
      <rPr>
        <i val="true"/>
        <sz val="9"/>
        <color rgb="FF595959"/>
        <rFont val="Noto Sans CJK SC"/>
        <family val="2"/>
        <charset val="1"/>
      </rPr>
      <t xml:space="preserve">Légifrance</t>
    </r>
    <r>
      <rPr>
        <i val="true"/>
        <sz val="9"/>
        <color rgb="FF595959"/>
        <rFont val="WenQuanYi Zen Hei"/>
        <family val="2"/>
      </rPr>
      <t xml:space="preserve">의 현행 텍스트</t>
    </r>
    <r>
      <rPr>
        <i val="true"/>
        <sz val="9"/>
        <color rgb="FF595959"/>
        <rFont val="Noto Sans CJK SC"/>
        <family val="2"/>
        <charset val="1"/>
      </rPr>
      <t xml:space="preserve">(version en vigueur)</t>
    </r>
    <r>
      <rPr>
        <i val="true"/>
        <sz val="9"/>
        <color rgb="FF595959"/>
        <rFont val="WenQuanYi Zen Hei"/>
        <family val="2"/>
      </rPr>
      <t xml:space="preserve">로 반드시 확인하세요</t>
    </r>
    <r>
      <rPr>
        <i val="true"/>
        <sz val="9"/>
        <color rgb="FF595959"/>
        <rFont val="Noto Sans CJK SC"/>
        <family val="2"/>
        <charset val="1"/>
      </rPr>
      <t xml:space="preserve">. '</t>
    </r>
    <r>
      <rPr>
        <i val="true"/>
        <sz val="9"/>
        <color rgb="FF595959"/>
        <rFont val="WenQuanYi Zen Hei"/>
        <family val="2"/>
      </rPr>
      <t xml:space="preserve">검색 확인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은 공개 자료에서 교차 확인한 항목이며</t>
    </r>
    <r>
      <rPr>
        <i val="true"/>
        <sz val="9"/>
        <color rgb="FF595959"/>
        <rFont val="Noto Sans CJK SC"/>
        <family val="2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나머지는 기획 시점 지식입니다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</si>
  <si>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t xml:space="preserve">정치 경로와 가상 의석 시뮬레이션</t>
  </si>
  <si>
    <r>
      <rPr>
        <i val="true"/>
        <sz val="9"/>
        <color rgb="FF595959"/>
        <rFont val="WenQuanYi Zen Hei"/>
        <family val="2"/>
      </rPr>
      <t xml:space="preserve">창당에서 대통령까지의 경로를 프랑스 제</t>
    </r>
    <r>
      <rPr>
        <i val="true"/>
        <sz val="9"/>
        <color rgb="FF595959"/>
        <rFont val="Noto Sans CJK SC"/>
        <family val="2"/>
        <charset val="1"/>
      </rPr>
      <t xml:space="preserve">5</t>
    </r>
    <r>
      <rPr>
        <i val="true"/>
        <sz val="9"/>
        <color rgb="FF595959"/>
        <rFont val="WenQuanYi Zen Hei"/>
        <family val="2"/>
      </rPr>
      <t xml:space="preserve">공화국 제도에 맞춰 단계화했다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정당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득표율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의석 수는 전부 가상의 교육용 수치이며</t>
    </r>
    <r>
      <rPr>
        <i val="true"/>
        <sz val="9"/>
        <color rgb="FF595959"/>
        <rFont val="Noto Sans CJK SC"/>
        <family val="2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파란 숫자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표결 값은 수정하면 결과가 자동 갱신된다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</si>
  <si>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WenQuanYi Zen Hei"/>
        <family val="2"/>
      </rPr>
      <t xml:space="preserve">정치 경로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창당 → 대통령</t>
    </r>
    <r>
      <rPr>
        <b val="true"/>
        <sz val="10"/>
        <rFont val="Arial"/>
        <family val="0"/>
        <charset val="1"/>
      </rPr>
      <t xml:space="preserve">)</t>
    </r>
  </si>
  <si>
    <t xml:space="preserve">단계</t>
  </si>
  <si>
    <r>
      <rPr>
        <b val="true"/>
        <sz val="10"/>
        <color rgb="FFFFFFFF"/>
        <rFont val="WenQuanYi Zen Hei"/>
        <family val="2"/>
      </rPr>
      <t xml:space="preserve">부</t>
    </r>
    <r>
      <rPr>
        <b val="true"/>
        <sz val="10"/>
        <color rgb="FFFFFFFF"/>
        <rFont val="Noto Sans CJK SC"/>
        <family val="2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화</t>
    </r>
  </si>
  <si>
    <t xml:space="preserve">이야기 사건</t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</si>
  <si>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1~4</t>
    </r>
    <r>
      <rPr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</si>
  <si>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레퓌블리크 집회 → 하원 청원 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만 서명이 표결 없는 본회의 토론으로 끝남</t>
    </r>
  </si>
  <si>
    <r>
      <rPr>
        <sz val="10"/>
        <rFont val="WenQuanYi Zen Hei"/>
        <family val="2"/>
      </rPr>
      <t xml:space="preserve">시위 사전 신고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하원 청원 </t>
    </r>
    <r>
      <rPr>
        <sz val="10"/>
        <rFont val="Arial"/>
        <family val="0"/>
        <charset val="1"/>
      </rPr>
      <t xml:space="preserve">50</t>
    </r>
    <r>
      <rPr>
        <sz val="10"/>
        <rFont val="WenQuanYi Zen Hei"/>
        <family val="2"/>
      </rPr>
      <t xml:space="preserve">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의장단 회의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의사규칙 제</t>
    </r>
    <r>
      <rPr>
        <sz val="10"/>
        <rFont val="Arial"/>
        <family val="0"/>
        <charset val="1"/>
      </rPr>
      <t xml:space="preserve">148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)</t>
    </r>
  </si>
  <si>
    <t xml:space="preserve">기획 지식</t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</si>
  <si>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5~7</t>
    </r>
    <r>
      <rPr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</si>
  <si>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정당 </t>
    </r>
    <r>
      <rPr>
        <sz val="10"/>
        <rFont val="Arial"/>
        <family val="0"/>
        <charset val="1"/>
      </rPr>
      <t xml:space="preserve">«Maison Commune» </t>
    </r>
    <r>
      <rPr>
        <sz val="10"/>
        <rFont val="WenQuanYi Zen Hei"/>
        <family val="2"/>
      </rPr>
      <t xml:space="preserve">창당</t>
    </r>
  </si>
  <si>
    <r>
      <rPr>
        <sz val="10"/>
        <rFont val="Arial"/>
        <family val="0"/>
        <charset val="1"/>
      </rPr>
      <t xml:space="preserve">1901</t>
    </r>
    <r>
      <rPr>
        <sz val="10"/>
        <rFont val="WenQuanYi Zen Hei"/>
        <family val="2"/>
      </rPr>
      <t xml:space="preserve">년 결사법상 단체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정치자금 수탁자</t>
    </r>
    <r>
      <rPr>
        <sz val="10"/>
        <rFont val="Arial"/>
        <family val="0"/>
        <charset val="1"/>
      </rPr>
      <t xml:space="preserve">·CNCCFP </t>
    </r>
    <r>
      <rPr>
        <sz val="10"/>
        <rFont val="WenQuanYi Zen Hei"/>
        <family val="2"/>
      </rPr>
      <t xml:space="preserve">승인</t>
    </r>
    <r>
      <rPr>
        <sz val="10"/>
        <rFont val="Arial"/>
        <family val="0"/>
        <charset val="1"/>
      </rPr>
      <t xml:space="preserve">(1988</t>
    </r>
    <r>
      <rPr>
        <sz val="10"/>
        <rFont val="WenQuanYi Zen Hei"/>
        <family val="2"/>
      </rPr>
      <t xml:space="preserve">년 법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개인 후원 연 </t>
    </r>
    <r>
      <rPr>
        <sz val="10"/>
        <rFont val="Arial"/>
        <family val="0"/>
        <charset val="1"/>
      </rPr>
      <t xml:space="preserve">7,500</t>
    </r>
    <r>
      <rPr>
        <sz val="10"/>
        <rFont val="WenQuanYi Zen Hei"/>
        <family val="2"/>
      </rPr>
      <t xml:space="preserve">유로 상한</t>
    </r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</si>
  <si>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8~12</t>
    </r>
    <r>
      <rPr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</si>
  <si>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파리 시의회 선거 출마</t>
    </r>
    <r>
      <rPr>
        <sz val="10"/>
        <rFont val="Arial"/>
        <family val="0"/>
        <charset val="1"/>
      </rPr>
      <t xml:space="preserve">, 163</t>
    </r>
    <r>
      <rPr>
        <sz val="10"/>
        <rFont val="WenQuanYi Zen Hei"/>
        <family val="2"/>
      </rPr>
      <t xml:space="preserve">석 중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석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 수치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</si>
  <si>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2025</t>
    </r>
    <r>
      <rPr>
        <sz val="10"/>
        <rFont val="WenQuanYi Zen Hei"/>
        <family val="2"/>
      </rPr>
      <t xml:space="preserve">년 </t>
    </r>
    <r>
      <rPr>
        <sz val="10"/>
        <rFont val="Arial"/>
        <family val="0"/>
        <charset val="1"/>
      </rPr>
      <t xml:space="preserve">PLM</t>
    </r>
    <r>
      <rPr>
        <sz val="10"/>
        <rFont val="WenQuanYi Zen Hei"/>
        <family val="2"/>
      </rPr>
      <t xml:space="preserve">법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시의회 별도 투표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결선 진출 </t>
    </r>
    <r>
      <rPr>
        <sz val="10"/>
        <rFont val="Arial"/>
        <family val="0"/>
        <charset val="1"/>
      </rPr>
      <t xml:space="preserve">10%·</t>
    </r>
    <r>
      <rPr>
        <sz val="10"/>
        <rFont val="WenQuanYi Zen Hei"/>
        <family val="2"/>
      </rPr>
      <t xml:space="preserve">연합 </t>
    </r>
    <r>
      <rPr>
        <sz val="10"/>
        <rFont val="Arial"/>
        <family val="0"/>
        <charset val="1"/>
      </rPr>
      <t xml:space="preserve">5%, </t>
    </r>
    <r>
      <rPr>
        <sz val="10"/>
        <rFont val="WenQuanYi Zen Hei"/>
        <family val="2"/>
      </rPr>
      <t xml:space="preserve">다수파 보너스 </t>
    </r>
    <r>
      <rPr>
        <sz val="10"/>
        <rFont val="Arial"/>
        <family val="0"/>
        <charset val="1"/>
      </rPr>
      <t xml:space="preserve">25%, </t>
    </r>
    <r>
      <rPr>
        <sz val="10"/>
        <rFont val="WenQuanYi Zen Hei"/>
        <family val="2"/>
      </rPr>
      <t xml:space="preserve">남녀 교대 명부</t>
    </r>
  </si>
  <si>
    <r>
      <rPr>
        <sz val="10"/>
        <rFont val="WenQuanYi Zen Hei"/>
        <family val="2"/>
      </rPr>
      <t xml:space="preserve">검색 확인 </t>
    </r>
    <r>
      <rPr>
        <sz val="10"/>
        <rFont val="Arial"/>
        <family val="0"/>
        <charset val="1"/>
      </rPr>
      <t xml:space="preserve">(PLM</t>
    </r>
    <r>
      <rPr>
        <sz val="10"/>
        <rFont val="WenQuanYi Zen Hei"/>
        <family val="2"/>
      </rPr>
      <t xml:space="preserve">법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</si>
  <si>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시의회 개원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시장 선출은 다른 당의 몫</t>
    </r>
  </si>
  <si>
    <r>
      <rPr>
        <sz val="10"/>
        <rFont val="Arial"/>
        <family val="0"/>
        <charset val="1"/>
      </rPr>
      <t xml:space="preserve">1·2</t>
    </r>
    <r>
      <rPr>
        <sz val="10"/>
        <rFont val="WenQuanYi Zen Hei"/>
        <family val="2"/>
      </rPr>
      <t xml:space="preserve">차 절대다수</t>
    </r>
    <r>
      <rPr>
        <sz val="10"/>
        <rFont val="Arial"/>
        <family val="0"/>
        <charset val="1"/>
      </rPr>
      <t xml:space="preserve">, 3</t>
    </r>
    <r>
      <rPr>
        <sz val="10"/>
        <rFont val="WenQuanYi Zen Hei"/>
        <family val="2"/>
      </rPr>
      <t xml:space="preserve">차 상대다수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지방자치법전 </t>
    </r>
    <r>
      <rPr>
        <sz val="10"/>
        <rFont val="Arial"/>
        <family val="0"/>
        <charset val="1"/>
      </rPr>
      <t xml:space="preserve">L.2122-7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</si>
  <si>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2~11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</si>
  <si>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Julien</t>
    </r>
    <r>
      <rPr>
        <sz val="10"/>
        <rFont val="WenQuanYi Zen Hei"/>
        <family val="2"/>
      </rPr>
      <t xml:space="preserve">은 예산</t>
    </r>
    <r>
      <rPr>
        <sz val="10"/>
        <rFont val="Arial"/>
        <family val="0"/>
        <charset val="1"/>
      </rPr>
      <t xml:space="preserve">, Camille</t>
    </r>
    <r>
      <rPr>
        <sz val="10"/>
        <rFont val="WenQuanYi Zen Hei"/>
        <family val="2"/>
      </rPr>
      <t xml:space="preserve">는 보건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시립 보건센터</t>
    </r>
    <r>
      <rPr>
        <sz val="10"/>
        <rFont val="Arial"/>
        <family val="0"/>
        <charset val="1"/>
      </rPr>
      <t xml:space="preserve">·AP-HP </t>
    </r>
    <r>
      <rPr>
        <sz val="10"/>
        <rFont val="WenQuanYi Zen Hei"/>
        <family val="2"/>
      </rPr>
      <t xml:space="preserve">감독위원회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에서 활동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스캔들 폭로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사소 고소</t>
    </r>
  </si>
  <si>
    <r>
      <rPr>
        <sz val="10"/>
        <rFont val="WenQuanYi Zen Hei"/>
        <family val="2"/>
      </rPr>
      <t xml:space="preserve">지방자치법전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공공조달법전</t>
    </r>
    <r>
      <rPr>
        <sz val="10"/>
        <rFont val="Arial"/>
        <family val="0"/>
        <charset val="1"/>
      </rPr>
      <t xml:space="preserve">, Sapin II</t>
    </r>
    <r>
      <rPr>
        <sz val="10"/>
        <rFont val="WenQuanYi Zen Hei"/>
        <family val="2"/>
      </rPr>
      <t xml:space="preserve">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형사소송법 제</t>
    </r>
    <r>
      <rPr>
        <sz val="10"/>
        <rFont val="Arial"/>
        <family val="0"/>
        <charset val="1"/>
      </rPr>
      <t xml:space="preserve">2-23</t>
    </r>
    <r>
      <rPr>
        <sz val="10"/>
        <rFont val="WenQuanYi Zen Hei"/>
        <family val="2"/>
      </rPr>
      <t xml:space="preserve">조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</si>
  <si>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</si>
  <si>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현직 대통령</t>
    </r>
    <r>
      <rPr>
        <sz val="10"/>
        <rFont val="Arial"/>
        <family val="0"/>
        <charset val="1"/>
      </rPr>
      <t xml:space="preserve">(UCN)</t>
    </r>
    <r>
      <rPr>
        <sz val="10"/>
        <rFont val="WenQuanYi Zen Hei"/>
        <family val="2"/>
      </rPr>
      <t xml:space="preserve">이 연임 제한으로 불출마 → </t>
    </r>
    <r>
      <rPr>
        <sz val="10"/>
        <rFont val="Arial"/>
        <family val="0"/>
        <charset val="1"/>
      </rPr>
      <t xml:space="preserve">Nicolas </t>
    </r>
    <r>
      <rPr>
        <sz val="10"/>
        <rFont val="WenQuanYi Zen Hei"/>
        <family val="2"/>
      </rPr>
      <t xml:space="preserve">출마 선언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추천서 수집 시작</t>
    </r>
  </si>
  <si>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연속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회 제한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추천서 </t>
    </r>
    <r>
      <rPr>
        <sz val="10"/>
        <rFont val="Arial"/>
        <family val="0"/>
        <charset val="1"/>
      </rPr>
      <t xml:space="preserve">500</t>
    </r>
    <r>
      <rPr>
        <sz val="10"/>
        <rFont val="WenQuanYi Zen Hei"/>
        <family val="2"/>
      </rPr>
      <t xml:space="preserve">장</t>
    </r>
    <r>
      <rPr>
        <sz val="10"/>
        <rFont val="Arial"/>
        <family val="0"/>
        <charset val="1"/>
      </rPr>
      <t xml:space="preserve">·30</t>
    </r>
    <r>
      <rPr>
        <sz val="10"/>
        <rFont val="WenQuanYi Zen Hei"/>
        <family val="2"/>
      </rPr>
      <t xml:space="preserve">개 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도별 </t>
    </r>
    <r>
      <rPr>
        <sz val="10"/>
        <rFont val="Arial"/>
        <family val="0"/>
        <charset val="1"/>
      </rPr>
      <t xml:space="preserve">10% </t>
    </r>
    <r>
      <rPr>
        <sz val="10"/>
        <rFont val="WenQuanYi Zen Hei"/>
        <family val="2"/>
      </rPr>
      <t xml:space="preserve">이하</t>
    </r>
    <r>
      <rPr>
        <sz val="10"/>
        <rFont val="Arial"/>
        <family val="0"/>
        <charset val="1"/>
      </rPr>
      <t xml:space="preserve">(1962</t>
    </r>
    <r>
      <rPr>
        <sz val="10"/>
        <rFont val="WenQuanYi Zen Hei"/>
        <family val="2"/>
      </rPr>
      <t xml:space="preserve">년 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</si>
  <si>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1~3</t>
    </r>
    <r>
      <rPr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</si>
  <si>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추천서 확보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농촌 시장 순회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다자 </t>
    </r>
    <r>
      <rPr>
        <sz val="10"/>
        <rFont val="Arial"/>
        <family val="0"/>
        <charset val="1"/>
      </rPr>
      <t xml:space="preserve">TV </t>
    </r>
    <r>
      <rPr>
        <sz val="10"/>
        <rFont val="WenQuanYi Zen Hei"/>
        <family val="2"/>
      </rPr>
      <t xml:space="preserve">토론</t>
    </r>
  </si>
  <si>
    <r>
      <rPr>
        <sz val="10"/>
        <rFont val="WenQuanYi Zen Hei"/>
        <family val="2"/>
      </rPr>
      <t xml:space="preserve">헌법재판소 추천서 접수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공개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공식 선거운동 기간 발언 시간 균등</t>
    </r>
    <r>
      <rPr>
        <sz val="10"/>
        <rFont val="Arial"/>
        <family val="0"/>
        <charset val="1"/>
      </rPr>
      <t xml:space="preserve">(Arcom)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</si>
  <si>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</si>
  <si>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 투표</t>
    </r>
    <r>
      <rPr>
        <sz val="10"/>
        <rFont val="Arial"/>
        <family val="0"/>
        <charset val="1"/>
      </rPr>
      <t xml:space="preserve">: FS </t>
    </r>
    <r>
      <rPr>
        <sz val="10"/>
        <rFont val="WenQuanYi Zen Hei"/>
        <family val="2"/>
      </rPr>
      <t xml:space="preserve">후보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Arial"/>
        <family val="0"/>
        <charset val="1"/>
      </rPr>
      <t xml:space="preserve">, Nicolas 2</t>
    </r>
    <r>
      <rPr>
        <sz val="10"/>
        <rFont val="WenQuanYi Zen Hei"/>
        <family val="2"/>
      </rPr>
      <t xml:space="preserve">위로 결선 진출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아래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블록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</si>
  <si>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유효표 과반 없으면 상위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인이 결선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</si>
  <si>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5~7</t>
    </r>
    <r>
      <rPr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</si>
  <si>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결선까지의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주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지지 선언 협상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결선 토론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결선 승리 </t>
    </r>
    <r>
      <rPr>
        <sz val="10"/>
        <rFont val="Arial"/>
        <family val="0"/>
        <charset val="1"/>
      </rPr>
      <t xml:space="preserve">(A</t>
    </r>
    <r>
      <rPr>
        <sz val="10"/>
        <rFont val="WenQuanYi Zen Hei"/>
        <family val="2"/>
      </rPr>
      <t xml:space="preserve">블록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</si>
  <si>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결선은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 </t>
    </r>
    <r>
      <rPr>
        <sz val="10"/>
        <rFont val="Arial"/>
        <family val="0"/>
        <charset val="1"/>
      </rPr>
      <t xml:space="preserve">14</t>
    </r>
    <r>
      <rPr>
        <sz val="10"/>
        <rFont val="WenQuanYi Zen Hei"/>
        <family val="2"/>
      </rPr>
      <t xml:space="preserve">일 뒤</t>
    </r>
  </si>
  <si>
    <r>
      <rPr>
        <sz val="10"/>
        <rFont val="WenQuanYi Zen Hei"/>
        <family val="2"/>
      </rPr>
      <t xml:space="preserve">헌법재판소 결과 선포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엘리제 권한 이양식</t>
    </r>
  </si>
  <si>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58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프랑스 대통령은 선서하지 않는다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</si>
  <si>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화</t>
    </r>
  </si>
  <si>
    <t xml:space="preserve">하원에 의석이 없는 대통령 → 국회 해산</t>
  </si>
  <si>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: 20~40</t>
    </r>
    <r>
      <rPr>
        <sz val="10"/>
        <rFont val="WenQuanYi Zen Hei"/>
        <family val="2"/>
      </rPr>
      <t xml:space="preserve">일 내 총선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총선 후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년 내 재해산 불가</t>
    </r>
  </si>
  <si>
    <r>
      <rPr>
        <sz val="10"/>
        <rFont val="WenQuanYi Zen Hei"/>
        <family val="2"/>
      </rPr>
      <t xml:space="preserve">총선</t>
    </r>
    <r>
      <rPr>
        <sz val="10"/>
        <rFont val="Arial"/>
        <family val="0"/>
        <charset val="1"/>
      </rPr>
      <t xml:space="preserve">: Maison Commune 198</t>
    </r>
    <r>
      <rPr>
        <sz val="10"/>
        <rFont val="WenQuanYi Zen Hei"/>
        <family val="2"/>
      </rPr>
      <t xml:space="preserve">석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당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과반 </t>
    </r>
    <r>
      <rPr>
        <sz val="10"/>
        <rFont val="Arial"/>
        <family val="0"/>
        <charset val="1"/>
      </rPr>
      <t xml:space="preserve">289</t>
    </r>
    <r>
      <rPr>
        <sz val="10"/>
        <rFont val="WenQuanYi Zen Hei"/>
        <family val="2"/>
      </rPr>
      <t xml:space="preserve">석에 </t>
    </r>
    <r>
      <rPr>
        <sz val="10"/>
        <rFont val="Arial"/>
        <family val="0"/>
        <charset val="1"/>
      </rPr>
      <t xml:space="preserve">91</t>
    </r>
    <r>
      <rPr>
        <sz val="10"/>
        <rFont val="WenQuanYi Zen Hei"/>
        <family val="2"/>
      </rPr>
      <t xml:space="preserve">석 부족 </t>
    </r>
    <r>
      <rPr>
        <sz val="10"/>
        <rFont val="Arial"/>
        <family val="0"/>
        <charset val="1"/>
      </rPr>
      <t xml:space="preserve">(B</t>
    </r>
    <r>
      <rPr>
        <sz val="10"/>
        <rFont val="WenQuanYi Zen Hei"/>
        <family val="2"/>
      </rPr>
      <t xml:space="preserve">블록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</si>
  <si>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577</t>
    </r>
    <r>
      <rPr>
        <sz val="10"/>
        <rFont val="WenQuanYi Zen Hei"/>
        <family val="2"/>
      </rPr>
      <t xml:space="preserve">석 소선거구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회 투표</t>
    </r>
  </si>
  <si>
    <t xml:space="preserve">가상 수치</t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</si>
  <si>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</si>
  <si>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총리 </t>
    </r>
    <r>
      <rPr>
        <sz val="10"/>
        <rFont val="Arial"/>
        <family val="0"/>
        <charset val="1"/>
      </rPr>
      <t xml:space="preserve">Olympe </t>
    </r>
    <r>
      <rPr>
        <sz val="10"/>
        <rFont val="WenQuanYi Zen Hei"/>
        <family val="2"/>
      </rPr>
      <t xml:space="preserve">임명</t>
    </r>
    <r>
      <rPr>
        <sz val="10"/>
        <rFont val="Arial"/>
        <family val="0"/>
        <charset val="1"/>
      </rPr>
      <t xml:space="preserve">, CT(</t>
    </r>
    <r>
      <rPr>
        <sz val="10"/>
        <rFont val="WenQuanYi Zen Hei"/>
        <family val="2"/>
      </rPr>
      <t xml:space="preserve">지역 정당 연합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와 코르시카 자치 협상</t>
    </r>
  </si>
  <si>
    <r>
      <rPr>
        <sz val="10"/>
        <rFont val="WenQuanYi Zen Hei"/>
        <family val="2"/>
      </rPr>
      <t xml:space="preserve">총리 임명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정당 간 협약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</si>
  <si>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</si>
  <si>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일반정책연설 직후 첫 불신임안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찬성 </t>
    </r>
    <r>
      <rPr>
        <sz val="10"/>
        <rFont val="Arial"/>
        <family val="0"/>
        <charset val="1"/>
      </rPr>
      <t xml:space="preserve">288</t>
    </r>
    <r>
      <rPr>
        <sz val="10"/>
        <rFont val="WenQuanYi Zen Hei"/>
        <family val="2"/>
      </rPr>
      <t xml:space="preserve">표</t>
    </r>
    <r>
      <rPr>
        <sz val="10"/>
        <rFont val="Arial"/>
        <family val="0"/>
        <charset val="1"/>
      </rPr>
      <t xml:space="preserve">, 1</t>
    </r>
    <r>
      <rPr>
        <sz val="10"/>
        <rFont val="WenQuanYi Zen Hei"/>
        <family val="2"/>
      </rPr>
      <t xml:space="preserve">표 부족으로 부결 </t>
    </r>
    <r>
      <rPr>
        <sz val="10"/>
        <rFont val="Arial"/>
        <family val="0"/>
        <charset val="1"/>
      </rPr>
      <t xml:space="preserve">(B</t>
    </r>
    <r>
      <rPr>
        <sz val="10"/>
        <rFont val="WenQuanYi Zen Hei"/>
        <family val="2"/>
      </rPr>
      <t xml:space="preserve">블록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</si>
  <si>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49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항</t>
    </r>
    <r>
      <rPr>
        <sz val="10"/>
        <rFont val="Arial"/>
        <family val="0"/>
        <charset val="1"/>
      </rPr>
      <t xml:space="preserve">: 58</t>
    </r>
    <r>
      <rPr>
        <sz val="10"/>
        <rFont val="WenQuanYi Zen Hei"/>
        <family val="2"/>
      </rPr>
      <t xml:space="preserve">명 서명</t>
    </r>
    <r>
      <rPr>
        <sz val="10"/>
        <rFont val="Arial"/>
        <family val="0"/>
        <charset val="1"/>
      </rPr>
      <t xml:space="preserve">, 48</t>
    </r>
    <r>
      <rPr>
        <sz val="10"/>
        <rFont val="WenQuanYi Zen Hei"/>
        <family val="2"/>
      </rPr>
      <t xml:space="preserve">시간 후 표결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찬성표만 집계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재적 과반 </t>
    </r>
    <r>
      <rPr>
        <sz val="10"/>
        <rFont val="Arial"/>
        <family val="0"/>
        <charset val="1"/>
      </rPr>
      <t xml:space="preserve">289</t>
    </r>
  </si>
  <si>
    <r>
      <rPr>
        <sz val="10"/>
        <rFont val="WenQuanYi Zen Hei"/>
        <family val="2"/>
      </rPr>
      <t xml:space="preserve">첫 국무회의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장관 임명</t>
    </r>
  </si>
  <si>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8·9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매주 수요일 엘리제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</si>
  <si>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2~5·8</t>
    </r>
    <r>
      <rPr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</si>
  <si>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국정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주거법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위헌 심사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응급실</t>
    </r>
    <r>
      <rPr>
        <sz val="10"/>
        <rFont val="Arial"/>
        <family val="0"/>
        <charset val="1"/>
      </rPr>
      <t xml:space="preserve">(LFSS·ONDAM), </t>
    </r>
    <r>
      <rPr>
        <sz val="10"/>
        <rFont val="WenQuanYi Zen Hei"/>
        <family val="2"/>
      </rPr>
      <t xml:space="preserve">이민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도의 아동 보호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조세는 법률로</t>
    </r>
  </si>
  <si>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34·47-1·61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, CESEDA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</si>
  <si>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9~12</t>
    </r>
    <r>
      <rPr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</si>
  <si>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대통령 특사 </t>
    </r>
    <r>
      <rPr>
        <sz val="10"/>
        <rFont val="Arial"/>
        <family val="0"/>
        <charset val="1"/>
      </rPr>
      <t xml:space="preserve">Napoléon</t>
    </r>
    <r>
      <rPr>
        <sz val="10"/>
        <rFont val="WenQuanYi Zen Hei"/>
        <family val="2"/>
      </rPr>
      <t xml:space="preserve">의 브뤼셀 협상 승리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귀국 직후 사망</t>
    </r>
  </si>
  <si>
    <r>
      <rPr>
        <sz val="10"/>
        <rFont val="WenQuanYi Zen Hei"/>
        <family val="2"/>
      </rPr>
      <t xml:space="preserve">대통령의 외교권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52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), TFUE </t>
    </r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126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, NATO </t>
    </r>
    <r>
      <rPr>
        <sz val="10"/>
        <rFont val="WenQuanYi Zen Hei"/>
        <family val="2"/>
      </rPr>
      <t xml:space="preserve">헤이그 합의</t>
    </r>
  </si>
  <si>
    <r>
      <rPr>
        <sz val="10"/>
        <rFont val="WenQuanYi Zen Hei"/>
        <family val="2"/>
      </rPr>
      <t xml:space="preserve">예산 조항에 </t>
    </r>
    <r>
      <rPr>
        <sz val="10"/>
        <rFont val="Arial"/>
        <family val="0"/>
        <charset val="1"/>
      </rPr>
      <t xml:space="preserve">49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항 → 두 번째 불신임안</t>
    </r>
    <r>
      <rPr>
        <sz val="10"/>
        <rFont val="Arial"/>
        <family val="0"/>
        <charset val="1"/>
      </rPr>
      <t xml:space="preserve">, CT </t>
    </r>
    <r>
      <rPr>
        <sz val="10"/>
        <rFont val="WenQuanYi Zen Hei"/>
        <family val="2"/>
      </rPr>
      <t xml:space="preserve">기권으로 부결 </t>
    </r>
    <r>
      <rPr>
        <sz val="10"/>
        <rFont val="Arial"/>
        <family val="0"/>
        <charset val="1"/>
      </rPr>
      <t xml:space="preserve">(C</t>
    </r>
    <r>
      <rPr>
        <sz val="10"/>
        <rFont val="WenQuanYi Zen Hei"/>
        <family val="2"/>
      </rPr>
      <t xml:space="preserve">블록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</si>
  <si>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49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항</t>
    </r>
  </si>
  <si>
    <r>
      <rPr>
        <sz val="10"/>
        <rFont val="WenQuanYi Zen Hei"/>
        <family val="2"/>
      </rPr>
      <t xml:space="preserve">남부 지중해성 폭우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): </t>
    </r>
    <r>
      <rPr>
        <sz val="10"/>
        <rFont val="WenQuanYi Zen Hei"/>
        <family val="2"/>
      </rPr>
      <t xml:space="preserve">도지사 </t>
    </r>
    <r>
      <rPr>
        <sz val="10"/>
        <rFont val="Arial"/>
        <family val="0"/>
        <charset val="1"/>
      </rPr>
      <t xml:space="preserve">ORSEC </t>
    </r>
    <r>
      <rPr>
        <sz val="10"/>
        <rFont val="WenQuanYi Zen Hei"/>
        <family val="2"/>
      </rPr>
      <t xml:space="preserve">지휘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자연재해 지정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보상</t>
    </r>
  </si>
  <si>
    <r>
      <rPr>
        <sz val="10"/>
        <rFont val="WenQuanYi Zen Hei"/>
        <family val="2"/>
      </rPr>
      <t xml:space="preserve">국내안전법전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보험법전</t>
    </r>
    <r>
      <rPr>
        <sz val="10"/>
        <rFont val="Arial"/>
        <family val="0"/>
        <charset val="1"/>
      </rPr>
      <t xml:space="preserve">(CatNat), EU </t>
    </r>
    <r>
      <rPr>
        <sz val="10"/>
        <rFont val="WenQuanYi Zen Hei"/>
        <family val="2"/>
      </rPr>
      <t xml:space="preserve">연대기금</t>
    </r>
  </si>
  <si>
    <r>
      <rPr>
        <sz val="10"/>
        <rFont val="WenQuanYi Zen Hei"/>
        <family val="2"/>
      </rPr>
      <t xml:space="preserve">예산안 제출 준비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연금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부채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방위비 사이의 줄타기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</si>
  <si>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47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, LOLF: 10</t>
    </r>
    <r>
      <rPr>
        <sz val="10"/>
        <rFont val="WenQuanYi Zen Hei"/>
        <family val="2"/>
      </rPr>
      <t xml:space="preserve">월 첫 화요일 제출</t>
    </r>
    <r>
      <rPr>
        <sz val="10"/>
        <rFont val="Arial"/>
        <family val="0"/>
        <charset val="1"/>
      </rPr>
      <t xml:space="preserve">, 70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특별법</t>
    </r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</si>
  <si>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</t>
    </r>
  </si>
  <si>
    <r>
      <rPr>
        <sz val="10"/>
        <rFont val="WenQuanYi Zen Hei"/>
        <family val="2"/>
      </rPr>
      <t xml:space="preserve">임기 후반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사무소를 재단으로 전환</t>
    </r>
  </si>
  <si>
    <r>
      <rPr>
        <sz val="10"/>
        <rFont val="WenQuanYi Zen Hei"/>
        <family val="2"/>
      </rPr>
      <t xml:space="preserve">각료 겸직 금지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23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), HATVP </t>
    </r>
    <r>
      <rPr>
        <sz val="10"/>
        <rFont val="WenQuanYi Zen Hei"/>
        <family val="2"/>
      </rPr>
      <t xml:space="preserve">신고</t>
    </r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</si>
  <si>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WenQuanYi Zen Hei"/>
        <family val="2"/>
      </rPr>
      <t xml:space="preserve">가상 정당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실존 정당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정치인 사용 금지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</si>
  <si>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정당명 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가상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</si>
  <si>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t xml:space="preserve">성격</t>
  </si>
  <si>
    <t xml:space="preserve">이야기 속 역할</t>
  </si>
  <si>
    <t xml:space="preserve">CC</t>
  </si>
  <si>
    <t xml:space="preserve">Maison Commune</t>
  </si>
  <si>
    <r>
      <rPr>
        <sz val="10"/>
        <rFont val="WenQuanYi Zen Hei"/>
        <family val="2"/>
      </rPr>
      <t xml:space="preserve">주인공 정당</t>
    </r>
    <r>
      <rPr>
        <sz val="10"/>
        <rFont val="Arial"/>
        <family val="0"/>
        <charset val="1"/>
      </rPr>
      <t xml:space="preserve">. Monique</t>
    </r>
    <r>
      <rPr>
        <sz val="10"/>
        <rFont val="WenQuanYi Zen Hei"/>
        <family val="2"/>
      </rPr>
      <t xml:space="preserve">의 식탁에서 나온 이름</t>
    </r>
  </si>
  <si>
    <r>
      <rPr>
        <sz val="10"/>
        <rFont val="WenQuanYi Zen Hei"/>
        <family val="2"/>
      </rPr>
      <t xml:space="preserve">시민 정당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창당 → 파리 시의회 → 대선 승리 → 총선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당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상대다수</t>
    </r>
    <r>
      <rPr>
        <sz val="10"/>
        <rFont val="Arial"/>
        <family val="0"/>
        <charset val="1"/>
      </rPr>
      <t xml:space="preserve">)</t>
    </r>
  </si>
  <si>
    <t xml:space="preserve">UCN</t>
  </si>
  <si>
    <t xml:space="preserve">Union Civique Nationale</t>
  </si>
  <si>
    <t xml:space="preserve">거대 보수 정당</t>
  </si>
  <si>
    <r>
      <rPr>
        <sz val="10"/>
        <rFont val="WenQuanYi Zen Hei"/>
        <family val="2"/>
      </rPr>
      <t xml:space="preserve">현직 대통령 배출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연임 제한으로 불출마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대선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총선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당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불신임안 주도</t>
    </r>
  </si>
  <si>
    <t xml:space="preserve">FS</t>
  </si>
  <si>
    <t xml:space="preserve">France Souveraine</t>
  </si>
  <si>
    <t xml:space="preserve">민족주의 성향 정당</t>
  </si>
  <si>
    <r>
      <rPr>
        <sz val="10"/>
        <rFont val="WenQuanYi Zen Hei"/>
        <family val="2"/>
      </rPr>
      <t xml:space="preserve">대선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결선 패배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불신임안 찬성</t>
    </r>
  </si>
  <si>
    <t xml:space="preserve">PPS</t>
  </si>
  <si>
    <t xml:space="preserve">Parti du Progrès Social</t>
  </si>
  <si>
    <t xml:space="preserve">중도좌파 정당</t>
  </si>
  <si>
    <r>
      <rPr>
        <sz val="10"/>
        <rFont val="WenQuanYi Zen Hei"/>
        <family val="2"/>
      </rPr>
      <t xml:space="preserve">결선에서 </t>
    </r>
    <r>
      <rPr>
        <sz val="10"/>
        <rFont val="Arial"/>
        <family val="0"/>
        <charset val="1"/>
      </rPr>
      <t xml:space="preserve">Nicolas </t>
    </r>
    <r>
      <rPr>
        <sz val="10"/>
        <rFont val="WenQuanYi Zen Hei"/>
        <family val="2"/>
      </rPr>
      <t xml:space="preserve">지지 선언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총선 후 법안별 조건부 지지</t>
    </r>
  </si>
  <si>
    <t xml:space="preserve">AE</t>
  </si>
  <si>
    <t xml:space="preserve">Alliance Écologiste</t>
  </si>
  <si>
    <t xml:space="preserve">환경 정당</t>
  </si>
  <si>
    <r>
      <rPr>
        <sz val="10"/>
        <rFont val="WenQuanYi Zen Hei"/>
        <family val="2"/>
      </rPr>
      <t xml:space="preserve">조건부 친여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불신임안 불참</t>
    </r>
    <r>
      <rPr>
        <sz val="10"/>
        <rFont val="Arial"/>
        <family val="0"/>
        <charset val="1"/>
      </rPr>
      <t xml:space="preserve">)</t>
    </r>
  </si>
  <si>
    <t xml:space="preserve">CT</t>
  </si>
  <si>
    <t xml:space="preserve">Coalition des Territoires</t>
  </si>
  <si>
    <r>
      <rPr>
        <sz val="10"/>
        <rFont val="WenQuanYi Zen Hei"/>
        <family val="2"/>
      </rPr>
      <t xml:space="preserve">코르시카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해외영토 지역 정당 연합</t>
    </r>
  </si>
  <si>
    <r>
      <rPr>
        <sz val="10"/>
        <rFont val="WenQuanYi Zen Hei"/>
        <family val="2"/>
      </rPr>
      <t xml:space="preserve">캐스팅보트</t>
    </r>
    <r>
      <rPr>
        <sz val="10"/>
        <rFont val="Arial"/>
        <family val="0"/>
        <charset val="1"/>
      </rPr>
      <t xml:space="preserve">: 10</t>
    </r>
    <r>
      <rPr>
        <sz val="10"/>
        <rFont val="WenQuanYi Zen Hei"/>
        <family val="2"/>
      </rPr>
      <t xml:space="preserve">부 첫 불신임안에 찬성 →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자치 협상 후 기권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협상의 열쇠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</si>
  <si>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3-A. </t>
    </r>
    <r>
      <rPr>
        <b val="true"/>
        <sz val="10"/>
        <rFont val="WenQuanYi Zen Hei"/>
        <family val="2"/>
      </rPr>
      <t xml:space="preserve">대통령 선거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차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결선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가상</t>
    </r>
    <r>
      <rPr>
        <b val="true"/>
        <sz val="10"/>
        <rFont val="Arial"/>
        <family val="0"/>
        <charset val="1"/>
      </rPr>
      <t xml:space="preserve">, 10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4·7</t>
    </r>
    <r>
      <rPr>
        <b val="true"/>
        <sz val="10"/>
        <rFont val="WenQuanYi Zen Hei"/>
        <family val="2"/>
      </rPr>
      <t xml:space="preserve">화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</si>
  <si>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후보 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정당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</si>
  <si>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r>
      <rPr>
        <b val="true"/>
        <sz val="10"/>
        <color rgb="FFFFFFFF"/>
        <rFont val="Noto Sans CJK SC"/>
        <family val="2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차 득표율</t>
    </r>
  </si>
  <si>
    <t xml:space="preserve">순위</t>
  </si>
  <si>
    <r>
      <rPr>
        <b val="true"/>
        <sz val="10"/>
        <color rgb="FFFFFFFF"/>
        <rFont val="Noto Sans CJK SC"/>
        <family val="2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차 결과</t>
    </r>
  </si>
  <si>
    <r>
      <rPr>
        <b val="true"/>
        <sz val="10"/>
        <color rgb="FFFFFFFF"/>
        <rFont val="WenQuanYi Zen Hei"/>
        <family val="2"/>
      </rPr>
      <t xml:space="preserve">결선 이동 비율 → </t>
    </r>
    <r>
      <rPr>
        <b val="true"/>
        <sz val="10"/>
        <color rgb="FFFFFFFF"/>
        <rFont val="Noto Sans CJK SC"/>
        <family val="2"/>
        <charset val="1"/>
      </rPr>
      <t xml:space="preserve">Nicolas (CC)</t>
    </r>
  </si>
  <si>
    <r>
      <rPr>
        <b val="true"/>
        <sz val="10"/>
        <color rgb="FFFFFFFF"/>
        <rFont val="WenQuanYi Zen Hei"/>
        <family val="2"/>
      </rPr>
      <t xml:space="preserve">결선 이동 비율 → </t>
    </r>
    <r>
      <rPr>
        <b val="true"/>
        <sz val="10"/>
        <color rgb="FFFFFFFF"/>
        <rFont val="Noto Sans CJK SC"/>
        <family val="2"/>
        <charset val="1"/>
      </rPr>
      <t xml:space="preserve">FS </t>
    </r>
    <r>
      <rPr>
        <b val="true"/>
        <sz val="10"/>
        <color rgb="FFFFFFFF"/>
        <rFont val="WenQuanYi Zen Hei"/>
        <family val="2"/>
      </rPr>
      <t xml:space="preserve">후보</t>
    </r>
  </si>
  <si>
    <t xml:space="preserve">Nicolas (CC)</t>
  </si>
  <si>
    <r>
      <rPr>
        <b val="true"/>
        <sz val="10"/>
        <rFont val="Arial"/>
        <family val="0"/>
        <charset val="1"/>
      </rPr>
      <t xml:space="preserve">FS </t>
    </r>
    <r>
      <rPr>
        <b val="true"/>
        <sz val="10"/>
        <rFont val="WenQuanYi Zen Hei"/>
        <family val="2"/>
      </rPr>
      <t xml:space="preserve">후보</t>
    </r>
  </si>
  <si>
    <r>
      <rPr>
        <b val="true"/>
        <sz val="10"/>
        <rFont val="Arial"/>
        <family val="0"/>
        <charset val="1"/>
      </rPr>
      <t xml:space="preserve">UCN </t>
    </r>
    <r>
      <rPr>
        <b val="true"/>
        <sz val="10"/>
        <rFont val="WenQuanYi Zen Hei"/>
        <family val="2"/>
      </rPr>
      <t xml:space="preserve">후보</t>
    </r>
  </si>
  <si>
    <r>
      <rPr>
        <b val="true"/>
        <sz val="10"/>
        <rFont val="Arial"/>
        <family val="0"/>
        <charset val="1"/>
      </rPr>
      <t xml:space="preserve">PPS </t>
    </r>
    <r>
      <rPr>
        <b val="true"/>
        <sz val="10"/>
        <rFont val="WenQuanYi Zen Hei"/>
        <family val="2"/>
      </rPr>
      <t xml:space="preserve">후보</t>
    </r>
  </si>
  <si>
    <r>
      <rPr>
        <b val="true"/>
        <sz val="10"/>
        <rFont val="Arial"/>
        <family val="0"/>
        <charset val="1"/>
      </rPr>
      <t xml:space="preserve">AE </t>
    </r>
    <r>
      <rPr>
        <b val="true"/>
        <sz val="10"/>
        <rFont val="WenQuanYi Zen Hei"/>
        <family val="2"/>
      </rPr>
      <t xml:space="preserve">후보</t>
    </r>
  </si>
  <si>
    <t xml:space="preserve">기타 후보 합계</t>
  </si>
  <si>
    <r>
      <rPr>
        <b val="true"/>
        <sz val="10"/>
        <rFont val="Noto Sans CJK SC"/>
        <family val="2"/>
        <charset val="1"/>
      </rPr>
      <t xml:space="preserve">1</t>
    </r>
    <r>
      <rPr>
        <b val="true"/>
        <sz val="10"/>
        <rFont val="WenQuanYi Zen Hei"/>
        <family val="2"/>
      </rPr>
      <t xml:space="preserve">차 당선 여부</t>
    </r>
  </si>
  <si>
    <r>
      <rPr>
        <b val="true"/>
        <sz val="10"/>
        <rFont val="WenQuanYi Zen Hei"/>
        <family val="2"/>
      </rPr>
      <t xml:space="preserve">결선 득표 </t>
    </r>
    <r>
      <rPr>
        <b val="true"/>
        <sz val="10"/>
        <rFont val="Noto Sans CJK SC"/>
        <family val="2"/>
        <charset val="1"/>
      </rPr>
      <t xml:space="preserve">(1</t>
    </r>
    <r>
      <rPr>
        <b val="true"/>
        <sz val="10"/>
        <rFont val="WenQuanYi Zen Hei"/>
        <family val="2"/>
      </rPr>
      <t xml:space="preserve">차 유효표 기준 환산</t>
    </r>
    <r>
      <rPr>
        <b val="true"/>
        <sz val="10"/>
        <rFont val="Noto Sans CJK SC"/>
        <family val="2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</si>
  <si>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결선 득표율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유효표</t>
    </r>
    <r>
      <rPr>
        <b val="true"/>
        <sz val="10"/>
        <rFont val="Noto Sans CJK SC"/>
        <family val="2"/>
        <charset val="1"/>
      </rPr>
      <t xml:space="preserve">)</t>
    </r>
  </si>
  <si>
    <t xml:space="preserve">결선 결과</t>
  </si>
  <si>
    <r>
      <rPr>
        <b val="true"/>
        <sz val="10"/>
        <rFont val="WenQuanYi Zen Hei"/>
        <family val="2"/>
      </rPr>
      <t xml:space="preserve">기권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무효로 빠지는 몫</t>
    </r>
  </si>
  <si>
    <r>
      <rPr>
        <i val="true"/>
        <sz val="9"/>
        <color rgb="FF595959"/>
        <rFont val="WenQuanYi Zen Hei"/>
        <family val="2"/>
      </rPr>
      <t xml:space="preserve">해석</t>
    </r>
    <r>
      <rPr>
        <i val="true"/>
        <sz val="9"/>
        <color rgb="FF595959"/>
        <rFont val="Noto Sans CJK SC"/>
        <family val="2"/>
        <charset val="1"/>
      </rPr>
      <t xml:space="preserve">: 1</t>
    </r>
    <r>
      <rPr>
        <i val="true"/>
        <sz val="9"/>
        <color rgb="FF595959"/>
        <rFont val="WenQuanYi Zen Hei"/>
        <family val="2"/>
      </rPr>
      <t xml:space="preserve">차는 </t>
    </r>
    <r>
      <rPr>
        <i val="true"/>
        <sz val="9"/>
        <color rgb="FF595959"/>
        <rFont val="Noto Sans CJK SC"/>
        <family val="2"/>
        <charset val="1"/>
      </rPr>
      <t xml:space="preserve">FS </t>
    </r>
    <r>
      <rPr>
        <i val="true"/>
        <sz val="9"/>
        <color rgb="FF595959"/>
        <rFont val="WenQuanYi Zen Hei"/>
        <family val="2"/>
      </rPr>
      <t xml:space="preserve">후보 </t>
    </r>
    <r>
      <rPr>
        <i val="true"/>
        <sz val="9"/>
        <color rgb="FF595959"/>
        <rFont val="Noto Sans CJK SC"/>
        <family val="2"/>
        <charset val="1"/>
      </rPr>
      <t xml:space="preserve">24.1%, Nicolas 22.3%, UCN 21.5%</t>
    </r>
    <r>
      <rPr>
        <i val="true"/>
        <sz val="9"/>
        <color rgb="FF595959"/>
        <rFont val="WenQuanYi Zen Hei"/>
        <family val="2"/>
      </rPr>
      <t xml:space="preserve">로 </t>
    </r>
    <r>
      <rPr>
        <i val="true"/>
        <sz val="9"/>
        <color rgb="FF595959"/>
        <rFont val="Noto Sans CJK SC"/>
        <family val="2"/>
        <charset val="1"/>
      </rPr>
      <t xml:space="preserve">3</t>
    </r>
    <r>
      <rPr>
        <i val="true"/>
        <sz val="9"/>
        <color rgb="FF595959"/>
        <rFont val="WenQuanYi Zen Hei"/>
        <family val="2"/>
      </rPr>
      <t xml:space="preserve">파전 — </t>
    </r>
    <r>
      <rPr>
        <i val="true"/>
        <sz val="9"/>
        <color rgb="FF595959"/>
        <rFont val="Noto Sans CJK SC"/>
        <family val="2"/>
        <charset val="1"/>
      </rPr>
      <t xml:space="preserve">Nicolas</t>
    </r>
    <r>
      <rPr>
        <i val="true"/>
        <sz val="9"/>
        <color rgb="FF595959"/>
        <rFont val="WenQuanYi Zen Hei"/>
        <family val="2"/>
      </rPr>
      <t xml:space="preserve">는 </t>
    </r>
    <r>
      <rPr>
        <i val="true"/>
        <sz val="9"/>
        <color rgb="FF595959"/>
        <rFont val="Noto Sans CJK SC"/>
        <family val="2"/>
        <charset val="1"/>
      </rPr>
      <t xml:space="preserve">0.8%p </t>
    </r>
    <r>
      <rPr>
        <i val="true"/>
        <sz val="9"/>
        <color rgb="FF595959"/>
        <rFont val="WenQuanYi Zen Hei"/>
        <family val="2"/>
      </rPr>
      <t xml:space="preserve">차이로 결선에 오른다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결선은 탈락 후보 지지층의 이동 비율</t>
    </r>
    <r>
      <rPr>
        <i val="true"/>
        <sz val="9"/>
        <color rgb="FF595959"/>
        <rFont val="Noto Sans CJK SC"/>
        <family val="2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파란 셀</t>
    </r>
    <r>
      <rPr>
        <i val="true"/>
        <sz val="9"/>
        <color rgb="FF595959"/>
        <rFont val="Noto Sans CJK SC"/>
        <family val="2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가정값</t>
    </r>
    <r>
      <rPr>
        <i val="true"/>
        <sz val="9"/>
        <color rgb="FF595959"/>
        <rFont val="Noto Sans CJK SC"/>
        <family val="2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로 환산하며</t>
    </r>
    <r>
      <rPr>
        <i val="true"/>
        <sz val="9"/>
        <color rgb="FF595959"/>
        <rFont val="Noto Sans CJK SC"/>
        <family val="2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기본값에서 </t>
    </r>
    <r>
      <rPr>
        <i val="true"/>
        <sz val="9"/>
        <color rgb="FF595959"/>
        <rFont val="Noto Sans CJK SC"/>
        <family val="2"/>
        <charset val="1"/>
      </rPr>
      <t xml:space="preserve">Nicolas</t>
    </r>
    <r>
      <rPr>
        <i val="true"/>
        <sz val="9"/>
        <color rgb="FF595959"/>
        <rFont val="WenQuanYi Zen Hei"/>
        <family val="2"/>
      </rPr>
      <t xml:space="preserve">가 약 </t>
    </r>
    <r>
      <rPr>
        <i val="true"/>
        <sz val="9"/>
        <color rgb="FF595959"/>
        <rFont val="Noto Sans CJK SC"/>
        <family val="2"/>
        <charset val="1"/>
      </rPr>
      <t xml:space="preserve">53%</t>
    </r>
    <r>
      <rPr>
        <i val="true"/>
        <sz val="9"/>
        <color rgb="FF595959"/>
        <rFont val="WenQuanYi Zen Hei"/>
        <family val="2"/>
      </rPr>
      <t xml:space="preserve">로 당선된다</t>
    </r>
    <r>
      <rPr>
        <i val="true"/>
        <sz val="9"/>
        <color rgb="FF595959"/>
        <rFont val="Noto Sans CJK SC"/>
        <family val="2"/>
        <charset val="1"/>
      </rPr>
      <t xml:space="preserve">. UCN </t>
    </r>
    <r>
      <rPr>
        <i val="true"/>
        <sz val="9"/>
        <color rgb="FF595959"/>
        <rFont val="WenQuanYi Zen Hei"/>
        <family val="2"/>
      </rPr>
      <t xml:space="preserve">지지층의 이동 비율이 </t>
    </r>
    <r>
      <rPr>
        <i val="true"/>
        <sz val="9"/>
        <color rgb="FF595959"/>
        <rFont val="Noto Sans CJK SC"/>
        <family val="2"/>
        <charset val="1"/>
      </rPr>
      <t xml:space="preserve">10</t>
    </r>
    <r>
      <rPr>
        <i val="true"/>
        <sz val="9"/>
        <color rgb="FF595959"/>
        <rFont val="WenQuanYi Zen Hei"/>
        <family val="2"/>
      </rPr>
      <t xml:space="preserve">부 </t>
    </r>
    <r>
      <rPr>
        <i val="true"/>
        <sz val="9"/>
        <color rgb="FF595959"/>
        <rFont val="Noto Sans CJK SC"/>
        <family val="2"/>
        <charset val="1"/>
      </rPr>
      <t xml:space="preserve">5</t>
    </r>
    <r>
      <rPr>
        <i val="true"/>
        <sz val="9"/>
        <color rgb="FF595959"/>
        <rFont val="WenQuanYi Zen Hei"/>
        <family val="2"/>
      </rPr>
      <t xml:space="preserve">화</t>
    </r>
    <r>
      <rPr>
        <i val="true"/>
        <sz val="9"/>
        <color rgb="FF595959"/>
        <rFont val="Noto Sans CJK SC"/>
        <family val="2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결선까지의 </t>
    </r>
    <r>
      <rPr>
        <i val="true"/>
        <sz val="9"/>
        <color rgb="FF595959"/>
        <rFont val="Noto Sans CJK SC"/>
        <family val="2"/>
        <charset val="1"/>
      </rPr>
      <t xml:space="preserve">2</t>
    </r>
    <r>
      <rPr>
        <i val="true"/>
        <sz val="9"/>
        <color rgb="FF595959"/>
        <rFont val="WenQuanYi Zen Hei"/>
        <family val="2"/>
      </rPr>
      <t xml:space="preserve">주</t>
    </r>
    <r>
      <rPr>
        <i val="true"/>
        <sz val="9"/>
        <color rgb="FF595959"/>
        <rFont val="Noto Sans CJK SC"/>
        <family val="2"/>
        <charset val="1"/>
      </rPr>
      <t xml:space="preserve">) </t>
    </r>
    <r>
      <rPr>
        <i val="true"/>
        <sz val="9"/>
        <color rgb="FF595959"/>
        <rFont val="WenQuanYi Zen Hei"/>
        <family val="2"/>
      </rPr>
      <t xml:space="preserve">협상의 서스펜스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</si>
  <si>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3-B. </t>
    </r>
    <r>
      <rPr>
        <b val="true"/>
        <sz val="10"/>
        <rFont val="WenQuanYi Zen Hei"/>
        <family val="2"/>
      </rPr>
      <t xml:space="preserve">총선 결과와 첫 불신임안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가상</t>
    </r>
    <r>
      <rPr>
        <b val="true"/>
        <sz val="10"/>
        <rFont val="Arial"/>
        <family val="0"/>
        <charset val="1"/>
      </rPr>
      <t xml:space="preserve">, 10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10·12</t>
    </r>
    <r>
      <rPr>
        <b val="true"/>
        <sz val="10"/>
        <rFont val="WenQuanYi Zen Hei"/>
        <family val="2"/>
      </rPr>
      <t xml:space="preserve">화</t>
    </r>
    <r>
      <rPr>
        <b val="true"/>
        <sz val="10"/>
        <rFont val="Arial"/>
        <family val="0"/>
        <charset val="1"/>
      </rPr>
      <t xml:space="preserve">)</t>
    </r>
  </si>
  <si>
    <t xml:space="preserve">정당</t>
  </si>
  <si>
    <t xml:space="preserve">의석</t>
  </si>
  <si>
    <r>
      <rPr>
        <b val="true"/>
        <sz val="10"/>
        <color rgb="FFFFFFFF"/>
        <rFont val="WenQuanYi Zen Hei"/>
        <family val="2"/>
      </rPr>
      <t xml:space="preserve">불신임안 표결 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찬성만 집계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</si>
  <si>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t xml:space="preserve">비고</t>
  </si>
  <si>
    <t xml:space="preserve">찬성</t>
  </si>
  <si>
    <t xml:space="preserve">총 의석</t>
  </si>
  <si>
    <r>
      <rPr>
        <b val="true"/>
        <sz val="10"/>
        <rFont val="WenQuanYi Zen Hei"/>
        <family val="2"/>
      </rPr>
      <t xml:space="preserve">절대다수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재적 과반</t>
    </r>
    <r>
      <rPr>
        <b val="true"/>
        <sz val="10"/>
        <rFont val="Noto Sans CJK SC"/>
        <family val="2"/>
        <charset val="1"/>
      </rPr>
      <t xml:space="preserve">)</t>
    </r>
  </si>
  <si>
    <r>
      <rPr>
        <b val="true"/>
        <sz val="10"/>
        <rFont val="Noto Sans CJK SC"/>
        <family val="2"/>
        <charset val="1"/>
      </rPr>
      <t xml:space="preserve">CC </t>
    </r>
    <r>
      <rPr>
        <b val="true"/>
        <sz val="10"/>
        <rFont val="WenQuanYi Zen Hei"/>
        <family val="2"/>
      </rPr>
      <t xml:space="preserve">과반까지 부족 의석</t>
    </r>
  </si>
  <si>
    <t xml:space="preserve">불신임안 찬성</t>
  </si>
  <si>
    <t xml:space="preserve">결과</t>
  </si>
  <si>
    <r>
      <rPr>
        <sz val="10"/>
        <rFont val="WenQuanYi Zen Hei"/>
        <family val="2"/>
      </rPr>
      <t xml:space="preserve">찬성 ≥ 재적 과반이면 가결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49</t>
    </r>
    <r>
      <rPr>
        <sz val="10"/>
        <rFont val="WenQuanYi Zen Hei"/>
        <family val="2"/>
      </rPr>
      <t xml:space="preserve">조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항</t>
    </r>
    <r>
      <rPr>
        <sz val="10"/>
        <rFont val="Arial"/>
        <family val="0"/>
        <charset val="1"/>
      </rPr>
      <t xml:space="preserve">)</t>
    </r>
  </si>
  <si>
    <t xml:space="preserve">부족 표</t>
  </si>
  <si>
    <r>
      <rPr>
        <b val="true"/>
        <sz val="10"/>
        <rFont val="WenQuanYi Zen Hei"/>
        <family val="2"/>
      </rPr>
      <t xml:space="preserve">발의 필요 서명 </t>
    </r>
    <r>
      <rPr>
        <b val="true"/>
        <sz val="10"/>
        <rFont val="Noto Sans CJK SC"/>
        <family val="2"/>
        <charset val="1"/>
      </rPr>
      <t xml:space="preserve">(1/10)</t>
    </r>
  </si>
  <si>
    <r>
      <rPr>
        <i val="true"/>
        <sz val="9"/>
        <color rgb="FF595959"/>
        <rFont val="WenQuanYi Zen Hei"/>
        <family val="2"/>
      </rPr>
      <t xml:space="preserve">해석</t>
    </r>
    <r>
      <rPr>
        <i val="true"/>
        <sz val="9"/>
        <color rgb="FF595959"/>
        <rFont val="Noto Sans CJK SC"/>
        <family val="2"/>
        <charset val="1"/>
      </rPr>
      <t xml:space="preserve">: Maison Commune</t>
    </r>
    <r>
      <rPr>
        <i val="true"/>
        <sz val="9"/>
        <color rgb="FF595959"/>
        <rFont val="WenQuanYi Zen Hei"/>
        <family val="2"/>
      </rPr>
      <t xml:space="preserve">은 </t>
    </r>
    <r>
      <rPr>
        <i val="true"/>
        <sz val="9"/>
        <color rgb="FF595959"/>
        <rFont val="Noto Sans CJK SC"/>
        <family val="2"/>
        <charset val="1"/>
      </rPr>
      <t xml:space="preserve">198</t>
    </r>
    <r>
      <rPr>
        <i val="true"/>
        <sz val="9"/>
        <color rgb="FF595959"/>
        <rFont val="WenQuanYi Zen Hei"/>
        <family val="2"/>
      </rPr>
      <t xml:space="preserve">석으로 </t>
    </r>
    <r>
      <rPr>
        <i val="true"/>
        <sz val="9"/>
        <color rgb="FF595959"/>
        <rFont val="Noto Sans CJK SC"/>
        <family val="2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당이지만 과반 </t>
    </r>
    <r>
      <rPr>
        <i val="true"/>
        <sz val="9"/>
        <color rgb="FF595959"/>
        <rFont val="Noto Sans CJK SC"/>
        <family val="2"/>
        <charset val="1"/>
      </rPr>
      <t xml:space="preserve">289</t>
    </r>
    <r>
      <rPr>
        <i val="true"/>
        <sz val="9"/>
        <color rgb="FF595959"/>
        <rFont val="WenQuanYi Zen Hei"/>
        <family val="2"/>
      </rPr>
      <t xml:space="preserve">석에 </t>
    </r>
    <r>
      <rPr>
        <i val="true"/>
        <sz val="9"/>
        <color rgb="FF595959"/>
        <rFont val="Noto Sans CJK SC"/>
        <family val="2"/>
        <charset val="1"/>
      </rPr>
      <t xml:space="preserve">91</t>
    </r>
    <r>
      <rPr>
        <i val="true"/>
        <sz val="9"/>
        <color rgb="FF595959"/>
        <rFont val="WenQuanYi Zen Hei"/>
        <family val="2"/>
      </rPr>
      <t xml:space="preserve">석 모자란 상대다수 정부다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코르시카 자치 협상이 절반만 타결되자 </t>
    </r>
    <r>
      <rPr>
        <i val="true"/>
        <sz val="9"/>
        <color rgb="FF595959"/>
        <rFont val="Noto Sans CJK SC"/>
        <family val="2"/>
        <charset val="1"/>
      </rPr>
      <t xml:space="preserve">CT</t>
    </r>
    <r>
      <rPr>
        <i val="true"/>
        <sz val="9"/>
        <color rgb="FF595959"/>
        <rFont val="WenQuanYi Zen Hei"/>
        <family val="2"/>
      </rPr>
      <t xml:space="preserve">가 불신임안에 찬성해 찬성은 </t>
    </r>
    <r>
      <rPr>
        <i val="true"/>
        <sz val="9"/>
        <color rgb="FF595959"/>
        <rFont val="Noto Sans CJK SC"/>
        <family val="2"/>
        <charset val="1"/>
      </rPr>
      <t xml:space="preserve">UCN 158 + FS 96 + CT 34 = 288</t>
    </r>
    <r>
      <rPr>
        <i val="true"/>
        <sz val="9"/>
        <color rgb="FF595959"/>
        <rFont val="WenQuanYi Zen Hei"/>
        <family val="2"/>
      </rPr>
      <t xml:space="preserve">표 — 재적 과반 </t>
    </r>
    <r>
      <rPr>
        <i val="true"/>
        <sz val="9"/>
        <color rgb="FF595959"/>
        <rFont val="Noto Sans CJK SC"/>
        <family val="2"/>
        <charset val="1"/>
      </rPr>
      <t xml:space="preserve">289</t>
    </r>
    <r>
      <rPr>
        <i val="true"/>
        <sz val="9"/>
        <color rgb="FF595959"/>
        <rFont val="WenQuanYi Zen Hei"/>
        <family val="2"/>
      </rPr>
      <t xml:space="preserve">에 딱 </t>
    </r>
    <r>
      <rPr>
        <i val="true"/>
        <sz val="9"/>
        <color rgb="FF595959"/>
        <rFont val="Noto Sans CJK SC"/>
        <family val="2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표 부족해 부결된다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불신임안은 찬성표만 세므로 반대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불참은 결과에 같은 효과를 낸다</t>
    </r>
    <r>
      <rPr>
        <i val="true"/>
        <sz val="9"/>
        <color rgb="FF595959"/>
        <rFont val="Noto Sans CJK SC"/>
        <family val="2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표결 결과 낭독</t>
    </r>
    <r>
      <rPr>
        <i val="true"/>
        <sz val="9"/>
        <color rgb="FF595959"/>
        <rFont val="Noto Sans CJK SC"/>
        <family val="2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하원의장</t>
    </r>
    <r>
      <rPr>
        <i val="true"/>
        <sz val="9"/>
        <color rgb="FF595959"/>
        <rFont val="Noto Sans CJK SC"/>
        <family val="2"/>
        <charset val="1"/>
      </rPr>
      <t xml:space="preserve">).</t>
    </r>
  </si>
  <si>
    <r>
      <rPr>
        <b val="true"/>
        <sz val="10"/>
        <rFont val="Arial"/>
        <family val="0"/>
        <charset val="1"/>
      </rPr>
      <t xml:space="preserve">3-C. </t>
    </r>
    <r>
      <rPr>
        <b val="true"/>
        <sz val="10"/>
        <rFont val="WenQuanYi Zen Hei"/>
        <family val="2"/>
      </rPr>
      <t xml:space="preserve">두 번째 불신임안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가상</t>
    </r>
    <r>
      <rPr>
        <b val="true"/>
        <sz val="10"/>
        <rFont val="Arial"/>
        <family val="0"/>
        <charset val="1"/>
      </rPr>
      <t xml:space="preserve">, 12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7</t>
    </r>
    <r>
      <rPr>
        <b val="true"/>
        <sz val="10"/>
        <rFont val="WenQuanYi Zen Hei"/>
        <family val="2"/>
      </rPr>
      <t xml:space="preserve">화 — 헌법 제</t>
    </r>
    <r>
      <rPr>
        <b val="true"/>
        <sz val="10"/>
        <rFont val="Arial"/>
        <family val="0"/>
        <charset val="1"/>
      </rPr>
      <t xml:space="preserve">49</t>
    </r>
    <r>
      <rPr>
        <b val="true"/>
        <sz val="10"/>
        <rFont val="WenQuanYi Zen Hei"/>
        <family val="2"/>
      </rPr>
      <t xml:space="preserve">조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항 사용 후</t>
    </r>
    <r>
      <rPr>
        <b val="true"/>
        <sz val="10"/>
        <rFont val="Arial"/>
        <family val="0"/>
        <charset val="1"/>
      </rPr>
      <t xml:space="preserve">)</t>
    </r>
  </si>
  <si>
    <t xml:space="preserve">기권</t>
  </si>
  <si>
    <t xml:space="preserve">코르시카 자치 협상 지속을 조건으로 기권</t>
  </si>
  <si>
    <r>
      <rPr>
        <i val="true"/>
        <sz val="9"/>
        <color rgb="FF595959"/>
        <rFont val="WenQuanYi Zen Hei"/>
        <family val="2"/>
      </rPr>
      <t xml:space="preserve">해석</t>
    </r>
    <r>
      <rPr>
        <i val="true"/>
        <sz val="9"/>
        <color rgb="FF595959"/>
        <rFont val="Noto Sans CJK SC"/>
        <family val="2"/>
        <charset val="1"/>
      </rPr>
      <t xml:space="preserve">: 49</t>
    </r>
    <r>
      <rPr>
        <i val="true"/>
        <sz val="9"/>
        <color rgb="FF595959"/>
        <rFont val="WenQuanYi Zen Hei"/>
        <family val="2"/>
      </rPr>
      <t xml:space="preserve">조 </t>
    </r>
    <r>
      <rPr>
        <i val="true"/>
        <sz val="9"/>
        <color rgb="FF595959"/>
        <rFont val="Noto Sans CJK SC"/>
        <family val="2"/>
        <charset val="1"/>
      </rPr>
      <t xml:space="preserve">3</t>
    </r>
    <r>
      <rPr>
        <i val="true"/>
        <sz val="9"/>
        <color rgb="FF595959"/>
        <rFont val="WenQuanYi Zen Hei"/>
        <family val="2"/>
      </rPr>
      <t xml:space="preserve">항으로 예산 조항을 표결 없이 통과시키자 야당이 불신임안을 내지만</t>
    </r>
    <r>
      <rPr>
        <i val="true"/>
        <sz val="9"/>
        <color rgb="FF595959"/>
        <rFont val="Noto Sans CJK SC"/>
        <family val="2"/>
        <charset val="1"/>
      </rPr>
      <t xml:space="preserve">, CT</t>
    </r>
    <r>
      <rPr>
        <i val="true"/>
        <sz val="9"/>
        <color rgb="FF595959"/>
        <rFont val="WenQuanYi Zen Hei"/>
        <family val="2"/>
      </rPr>
      <t xml:space="preserve">가 기권으로 돌아서 찬성은 </t>
    </r>
    <r>
      <rPr>
        <i val="true"/>
        <sz val="9"/>
        <color rgb="FF595959"/>
        <rFont val="Noto Sans CJK SC"/>
        <family val="2"/>
        <charset val="1"/>
      </rPr>
      <t xml:space="preserve">254</t>
    </r>
    <r>
      <rPr>
        <i val="true"/>
        <sz val="9"/>
        <color rgb="FF595959"/>
        <rFont val="WenQuanYi Zen Hei"/>
        <family val="2"/>
      </rPr>
      <t xml:space="preserve">표에 그친다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불신임안이 부결되면 해당 조항은 채택된 것으로 본다</t>
    </r>
    <r>
      <rPr>
        <i val="true"/>
        <sz val="9"/>
        <color rgb="FF595959"/>
        <rFont val="Noto Sans CJK SC"/>
        <family val="2"/>
        <charset val="1"/>
      </rPr>
      <t xml:space="preserve">. PPS</t>
    </r>
    <r>
      <rPr>
        <i val="true"/>
        <sz val="9"/>
        <color rgb="FF595959"/>
        <rFont val="WenQuanYi Zen Hei"/>
        <family val="2"/>
      </rPr>
      <t xml:space="preserve">가 등을 돌리면 가결도 가능하다는 긴장이 이 화의 서스펜스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</si>
  <si>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4. </t>
    </r>
    <r>
      <rPr>
        <b val="true"/>
        <sz val="10"/>
        <rFont val="WenQuanYi Zen Hei"/>
        <family val="2"/>
      </rPr>
      <t xml:space="preserve">이야기 속 엑스트라 화자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전부 가상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</si>
  <si>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PRÉSIDENTE DE L'ASSEMBLÉE NATIONALE(</t>
    </r>
    <r>
      <rPr>
        <sz val="10"/>
        <rFont val="WenQuanYi Zen Hei"/>
        <family val="2"/>
      </rPr>
      <t xml:space="preserve">표결 결과 낭독</t>
    </r>
    <r>
      <rPr>
        <sz val="10"/>
        <rFont val="Arial"/>
        <family val="0"/>
        <charset val="1"/>
      </rPr>
      <t xml:space="preserve">), PRÉSIDENT DU CONSEIL CONSTITUTIONNEL(</t>
    </r>
    <r>
      <rPr>
        <sz val="10"/>
        <rFont val="WenQuanYi Zen Hei"/>
        <family val="2"/>
      </rPr>
      <t xml:space="preserve">대선 결과 선포</t>
    </r>
    <r>
      <rPr>
        <sz val="10"/>
        <rFont val="Arial"/>
        <family val="0"/>
        <charset val="1"/>
      </rPr>
      <t xml:space="preserve">), MAIRE DE PARIS(</t>
    </r>
    <r>
      <rPr>
        <sz val="10"/>
        <rFont val="WenQuanYi Zen Hei"/>
        <family val="2"/>
      </rPr>
      <t xml:space="preserve">다른 당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PRÉSIDENT SORTANT(UCN, </t>
    </r>
    <r>
      <rPr>
        <sz val="10"/>
        <rFont val="WenQuanYi Zen Hei"/>
        <family val="2"/>
      </rPr>
      <t xml:space="preserve">권한 이양식</t>
    </r>
    <r>
      <rPr>
        <sz val="10"/>
        <rFont val="Arial"/>
        <family val="0"/>
        <charset val="1"/>
      </rPr>
      <t xml:space="preserve">), MODÉRATRICE(TV </t>
    </r>
    <r>
      <rPr>
        <sz val="10"/>
        <rFont val="WenQuanYi Zen Hei"/>
        <family val="2"/>
      </rPr>
      <t xml:space="preserve">토론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상대 후보들</t>
    </r>
    <r>
      <rPr>
        <sz val="10"/>
        <rFont val="Arial"/>
        <family val="0"/>
        <charset val="1"/>
      </rPr>
      <t xml:space="preserve">(FS·UCN, 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), NOTAIRE(13</t>
    </r>
    <r>
      <rPr>
        <sz val="10"/>
        <rFont val="WenQuanYi Zen Hei"/>
        <family val="2"/>
      </rPr>
      <t xml:space="preserve">부 유언장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실존 정치인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정당명은 쓰지 않는다</t>
    </r>
    <r>
      <rPr>
        <sz val="10"/>
        <rFont val="Arial"/>
        <family val="0"/>
        <charset val="1"/>
      </rPr>
      <t xml:space="preserve">.</t>
    </r>
  </si>
  <si>
    <r>
      <rPr>
        <b val="true"/>
        <sz val="14"/>
        <color rgb="FF1F3864"/>
        <rFont val="WenQuanYi Zen Hei"/>
        <family val="2"/>
      </rPr>
      <t xml:space="preserve">호칭 규칙 </t>
    </r>
    <r>
      <rPr>
        <b val="true"/>
        <sz val="14"/>
        <color rgb="FF1F3864"/>
        <rFont val="Noto Sans CJK SC"/>
        <family val="2"/>
        <charset val="1"/>
      </rPr>
      <t xml:space="preserve">(tu / vous)</t>
    </r>
  </si>
  <si>
    <r>
      <rPr>
        <i val="true"/>
        <sz val="9"/>
        <color rgb="FF595959"/>
        <rFont val="WenQuanYi Zen Hei"/>
        <family val="2"/>
      </rPr>
      <t xml:space="preserve">표준 프랑스어 기준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스페인어의 </t>
    </r>
    <r>
      <rPr>
        <i val="true"/>
        <sz val="9"/>
        <color rgb="FF595959"/>
        <rFont val="Noto Sans CJK SC"/>
        <family val="2"/>
        <charset val="1"/>
      </rPr>
      <t xml:space="preserve">tú/usted/vosotros/ustedes 4</t>
    </r>
    <r>
      <rPr>
        <i val="true"/>
        <sz val="9"/>
        <color rgb="FF595959"/>
        <rFont val="WenQuanYi Zen Hei"/>
        <family val="2"/>
      </rPr>
      <t xml:space="preserve">분 체계 대신 </t>
    </r>
    <r>
      <rPr>
        <i val="true"/>
        <sz val="9"/>
        <color rgb="FF595959"/>
        <rFont val="Noto Sans CJK SC"/>
        <family val="2"/>
        <charset val="1"/>
      </rPr>
      <t xml:space="preserve">tu(</t>
    </r>
    <r>
      <rPr>
        <i val="true"/>
        <sz val="9"/>
        <color rgb="FF595959"/>
        <rFont val="WenQuanYi Zen Hei"/>
        <family val="2"/>
      </rPr>
      <t xml:space="preserve">친밀한 단수</t>
    </r>
    <r>
      <rPr>
        <i val="true"/>
        <sz val="9"/>
        <color rgb="FF595959"/>
        <rFont val="Noto Sans CJK SC"/>
        <family val="2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와 </t>
    </r>
    <r>
      <rPr>
        <i val="true"/>
        <sz val="9"/>
        <color rgb="FF595959"/>
        <rFont val="Noto Sans CJK SC"/>
        <family val="2"/>
        <charset val="1"/>
      </rPr>
      <t xml:space="preserve">vous(</t>
    </r>
    <r>
      <rPr>
        <i val="true"/>
        <sz val="9"/>
        <color rgb="FF595959"/>
        <rFont val="WenQuanYi Zen Hei"/>
        <family val="2"/>
      </rPr>
      <t xml:space="preserve">존칭 단수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모든 복수</t>
    </r>
    <r>
      <rPr>
        <i val="true"/>
        <sz val="9"/>
        <color rgb="FF595959"/>
        <rFont val="Noto Sans CJK SC"/>
        <family val="2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의 </t>
    </r>
    <r>
      <rPr>
        <i val="true"/>
        <sz val="9"/>
        <color rgb="FF595959"/>
        <rFont val="Noto Sans CJK SC"/>
        <family val="2"/>
        <charset val="1"/>
      </rPr>
      <t xml:space="preserve">2</t>
    </r>
    <r>
      <rPr>
        <i val="true"/>
        <sz val="9"/>
        <color rgb="FF595959"/>
        <rFont val="WenQuanYi Zen Hei"/>
        <family val="2"/>
      </rPr>
      <t xml:space="preserve">분 체계다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집단에게는 누구나 </t>
    </r>
    <r>
      <rPr>
        <i val="true"/>
        <sz val="9"/>
        <color rgb="FF595959"/>
        <rFont val="Noto Sans CJK SC"/>
        <family val="2"/>
        <charset val="1"/>
      </rPr>
      <t xml:space="preserve">vous</t>
    </r>
    <r>
      <rPr>
        <i val="true"/>
        <sz val="9"/>
        <color rgb="FF595959"/>
        <rFont val="WenQuanYi Zen Hei"/>
        <family val="2"/>
      </rPr>
      <t xml:space="preserve">를 쓰므로 호칭 전환의 드라마는 </t>
    </r>
    <r>
      <rPr>
        <i val="true"/>
        <sz val="9"/>
        <color rgb="FF595959"/>
        <rFont val="Noto Sans CJK SC"/>
        <family val="2"/>
        <charset val="1"/>
      </rPr>
      <t xml:space="preserve">1:1 </t>
    </r>
    <r>
      <rPr>
        <i val="true"/>
        <sz val="9"/>
        <color rgb="FF595959"/>
        <rFont val="WenQuanYi Zen Hei"/>
        <family val="2"/>
      </rPr>
      <t xml:space="preserve">관계에서만 생긴다</t>
    </r>
    <r>
      <rPr>
        <i val="true"/>
        <sz val="9"/>
        <color rgb="FF595959"/>
        <rFont val="Noto Sans CJK SC"/>
        <family val="2"/>
        <charset val="1"/>
      </rPr>
      <t xml:space="preserve">. 2~5</t>
    </r>
    <r>
      <rPr>
        <i val="true"/>
        <sz val="9"/>
        <color rgb="FF595959"/>
        <rFont val="WenQuanYi Zen Hei"/>
        <family val="2"/>
      </rPr>
      <t xml:space="preserve">부 프레임 장면은 </t>
    </r>
    <r>
      <rPr>
        <i val="true"/>
        <sz val="9"/>
        <color rgb="FF595959"/>
        <rFont val="Noto Sans CJK SC"/>
        <family val="2"/>
        <charset val="1"/>
      </rPr>
      <t xml:space="preserve">1</t>
    </r>
    <r>
      <rPr>
        <i val="true"/>
        <sz val="9"/>
        <color rgb="FF595959"/>
        <rFont val="WenQuanYi Zen Hei"/>
        <family val="2"/>
      </rPr>
      <t xml:space="preserve">부 규칙을 따른다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</si>
  <si>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t xml:space="preserve">화자 → 청자</t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</si>
  <si>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부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현재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</si>
  <si>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2~5</t>
    </r>
    <r>
      <rPr>
        <b val="true"/>
        <sz val="10"/>
        <color rgb="FFFFFFFF"/>
        <rFont val="WenQuanYi Zen Hei"/>
        <family val="2"/>
      </rPr>
      <t xml:space="preserve">부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각자의 과거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</si>
  <si>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부 이후</t>
    </r>
  </si>
  <si>
    <r>
      <rPr>
        <b val="true"/>
        <sz val="10"/>
        <rFont val="WenQuanYi Zen Hei"/>
        <family val="2"/>
      </rPr>
      <t xml:space="preserve">주력 </t>
    </r>
    <r>
      <rPr>
        <b val="true"/>
        <sz val="10"/>
        <rFont val="Noto Sans CJK SC"/>
        <family val="2"/>
        <charset val="1"/>
      </rPr>
      <t xml:space="preserve">4</t>
    </r>
    <r>
      <rPr>
        <b val="true"/>
        <sz val="10"/>
        <rFont val="WenQuanYi Zen Hei"/>
        <family val="2"/>
      </rPr>
      <t xml:space="preserve">인 상호</t>
    </r>
  </si>
  <si>
    <t xml:space="preserve">tu</t>
  </si>
  <si>
    <r>
      <rPr>
        <sz val="10"/>
        <rFont val="Arial"/>
        <family val="0"/>
        <charset val="1"/>
      </rPr>
      <t xml:space="preserve">vous (</t>
    </r>
    <r>
      <rPr>
        <sz val="10"/>
        <rFont val="WenQuanYi Zen Hei"/>
        <family val="2"/>
      </rPr>
      <t xml:space="preserve">만나기 전이라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</si>
  <si>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부 만남을 기점으로 전환</t>
    </r>
    <r>
      <rPr>
        <sz val="10"/>
        <rFont val="Arial"/>
        <family val="0"/>
        <charset val="1"/>
      </rPr>
      <t xml:space="preserve">(«On se tutoie ?») — </t>
    </r>
    <r>
      <rPr>
        <sz val="10"/>
        <rFont val="WenQuanYi Zen Hei"/>
        <family val="2"/>
      </rPr>
      <t xml:space="preserve">전환 순간을 대사로 드러낼 것</t>
    </r>
  </si>
  <si>
    <r>
      <rPr>
        <b val="true"/>
        <sz val="10"/>
        <rFont val="WenQuanYi Zen Hei"/>
        <family val="2"/>
      </rPr>
      <t xml:space="preserve">주력 </t>
    </r>
    <r>
      <rPr>
        <b val="true"/>
        <sz val="10"/>
        <rFont val="Noto Sans CJK SC"/>
        <family val="2"/>
        <charset val="1"/>
      </rPr>
      <t xml:space="preserve">4</t>
    </r>
    <r>
      <rPr>
        <b val="true"/>
        <sz val="10"/>
        <rFont val="WenQuanYi Zen Hei"/>
        <family val="2"/>
      </rPr>
      <t xml:space="preserve">인 → </t>
    </r>
    <r>
      <rPr>
        <b val="true"/>
        <sz val="10"/>
        <rFont val="Noto Sans CJK SC"/>
        <family val="2"/>
        <charset val="1"/>
      </rPr>
      <t xml:space="preserve">Manon</t>
    </r>
  </si>
  <si>
    <r>
      <rPr>
        <sz val="10"/>
        <rFont val="Arial"/>
        <family val="0"/>
        <charset val="1"/>
      </rPr>
      <t xml:space="preserve">tu (</t>
    </r>
    <r>
      <rPr>
        <sz val="10"/>
        <rFont val="WenQuanYi Zen Hei"/>
        <family val="2"/>
      </rPr>
      <t xml:space="preserve">프레임 장면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</si>
  <si>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Manon → </t>
    </r>
    <r>
      <rPr>
        <b val="true"/>
        <sz val="10"/>
        <rFont val="WenQuanYi Zen Hei"/>
        <family val="2"/>
      </rPr>
      <t xml:space="preserve">주력 </t>
    </r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인</t>
    </r>
  </si>
  <si>
    <t xml:space="preserve">vous</t>
  </si>
  <si>
    <r>
      <rPr>
        <sz val="10"/>
        <rFont val="Arial"/>
        <family val="0"/>
        <charset val="1"/>
      </rPr>
      <t xml:space="preserve">vous (</t>
    </r>
    <r>
      <rPr>
        <sz val="10"/>
        <rFont val="WenQuanYi Zen Hei"/>
        <family val="2"/>
      </rPr>
      <t xml:space="preserve">프레임 장면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</si>
  <si>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tu (</t>
    </r>
    <r>
      <rPr>
        <sz val="10"/>
        <rFont val="WenQuanYi Zen Hei"/>
        <family val="2"/>
      </rPr>
      <t xml:space="preserve">제안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</si>
  <si>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부에서는 이웃 사이라 </t>
    </r>
    <r>
      <rPr>
        <sz val="10"/>
        <rFont val="Arial"/>
        <family val="0"/>
        <charset val="1"/>
      </rPr>
      <t xml:space="preserve">tu, </t>
    </r>
    <r>
      <rPr>
        <sz val="10"/>
        <rFont val="WenQuanYi Zen Hei"/>
        <family val="2"/>
      </rPr>
      <t xml:space="preserve">인턴이 되면서</t>
    </r>
    <r>
      <rPr>
        <sz val="10"/>
        <rFont val="Arial"/>
        <family val="0"/>
        <charset val="1"/>
      </rPr>
      <t xml:space="preserve">(1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) vous</t>
    </r>
    <r>
      <rPr>
        <sz val="10"/>
        <rFont val="WenQuanYi Zen Hei"/>
        <family val="2"/>
      </rPr>
      <t xml:space="preserve">로 바뀐다 —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 대본에서 </t>
    </r>
    <r>
      <rPr>
        <sz val="10"/>
        <rFont val="Arial"/>
        <family val="0"/>
        <charset val="1"/>
      </rPr>
      <t xml:space="preserve">«À Saint-Denis, tu me tutoyais.»</t>
    </r>
    <r>
      <rPr>
        <sz val="10"/>
        <rFont val="WenQuanYi Zen Hei"/>
        <family val="2"/>
      </rPr>
      <t xml:space="preserve">로 대사 설명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이후 </t>
    </r>
    <r>
      <rPr>
        <sz val="10"/>
        <rFont val="Arial"/>
        <family val="0"/>
        <charset val="1"/>
      </rPr>
      <t xml:space="preserve">tu</t>
    </r>
    <r>
      <rPr>
        <sz val="10"/>
        <rFont val="WenQuanYi Zen Hei"/>
        <family val="2"/>
      </rPr>
      <t xml:space="preserve">로 돌아갈 시점은 미확정</t>
    </r>
  </si>
  <si>
    <t xml:space="preserve">Manon → Napoléon</t>
  </si>
  <si>
    <r>
      <rPr>
        <sz val="10"/>
        <rFont val="Arial"/>
        <family val="0"/>
        <charset val="1"/>
      </rPr>
      <t xml:space="preserve">vous </t>
    </r>
    <r>
      <rPr>
        <sz val="10"/>
        <rFont val="WenQuanYi Zen Hei"/>
        <family val="2"/>
      </rPr>
      <t xml:space="preserve">유지 →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 추도사에서 처음 </t>
    </r>
    <r>
      <rPr>
        <sz val="10"/>
        <rFont val="Arial"/>
        <family val="0"/>
        <charset val="1"/>
      </rPr>
      <t xml:space="preserve">tu</t>
    </r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</si>
  <si>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부에서 </t>
    </r>
    <r>
      <rPr>
        <sz val="10"/>
        <rFont val="Arial"/>
        <family val="0"/>
        <charset val="1"/>
      </rPr>
      <t xml:space="preserve">Napoléon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«Tu peux me tutoyer.»</t>
    </r>
    <r>
      <rPr>
        <sz val="10"/>
        <rFont val="WenQuanYi Zen Hei"/>
        <family val="2"/>
      </rPr>
      <t xml:space="preserve">라고 허락해도 </t>
    </r>
    <r>
      <rPr>
        <sz val="10"/>
        <rFont val="Arial"/>
        <family val="0"/>
        <charset val="1"/>
      </rPr>
      <t xml:space="preserve">Manon</t>
    </r>
    <r>
      <rPr>
        <sz val="10"/>
        <rFont val="WenQuanYi Zen Hei"/>
        <family val="2"/>
      </rPr>
      <t xml:space="preserve">은 습관 때문에 끝내 </t>
    </r>
    <r>
      <rPr>
        <sz val="10"/>
        <rFont val="Arial"/>
        <family val="0"/>
        <charset val="1"/>
      </rPr>
      <t xml:space="preserve">vous. </t>
    </r>
    <r>
      <rPr>
        <sz val="10"/>
        <rFont val="WenQuanYi Zen Hei"/>
        <family val="2"/>
      </rPr>
      <t xml:space="preserve">폭발 중에도 </t>
    </r>
    <r>
      <rPr>
        <sz val="10"/>
        <rFont val="Arial"/>
        <family val="0"/>
        <charset val="1"/>
      </rPr>
      <t xml:space="preserve">vous (</t>
    </r>
    <r>
      <rPr>
        <sz val="10"/>
        <rFont val="WenQuanYi Zen Hei"/>
        <family val="2"/>
      </rPr>
      <t xml:space="preserve">예</t>
    </r>
    <r>
      <rPr>
        <sz val="10"/>
        <rFont val="Arial"/>
        <family val="0"/>
        <charset val="1"/>
      </rPr>
      <t xml:space="preserve">: «Vous, justement vous, ne me traitez pas de bécasse !»). </t>
    </r>
    <r>
      <rPr>
        <sz val="10"/>
        <rFont val="WenQuanYi Zen Hei"/>
        <family val="2"/>
      </rPr>
      <t xml:space="preserve">폭발 중 </t>
    </r>
    <r>
      <rPr>
        <sz val="10"/>
        <rFont val="Arial"/>
        <family val="0"/>
        <charset val="1"/>
      </rPr>
      <t xml:space="preserve">tu </t>
    </r>
    <r>
      <rPr>
        <sz val="10"/>
        <rFont val="WenQuanYi Zen Hei"/>
        <family val="2"/>
      </rPr>
      <t xml:space="preserve">실수 금지 — 장례식 전환의 복선</t>
    </r>
    <r>
      <rPr>
        <sz val="10"/>
        <rFont val="Arial"/>
        <family val="0"/>
        <charset val="1"/>
      </rPr>
      <t xml:space="preserve">.</t>
    </r>
  </si>
  <si>
    <t xml:space="preserve">Manon → Philippe, Curie</t>
  </si>
  <si>
    <t xml:space="preserve">해당 없음</t>
  </si>
  <si>
    <r>
      <rPr>
        <sz val="10"/>
        <rFont val="Arial"/>
        <family val="0"/>
        <charset val="1"/>
      </rPr>
      <t xml:space="preserve">vous (</t>
    </r>
    <r>
      <rPr>
        <sz val="10"/>
        <rFont val="WenQuanYi Zen Hei"/>
        <family val="2"/>
      </rPr>
      <t xml:space="preserve">전환 시점 미정</t>
    </r>
    <r>
      <rPr>
        <sz val="10"/>
        <rFont val="Arial"/>
        <family val="0"/>
        <charset val="1"/>
      </rPr>
      <t xml:space="preserve">)</t>
    </r>
  </si>
  <si>
    <t xml:space="preserve">Napoléon → Manon</t>
  </si>
  <si>
    <t xml:space="preserve">tu («petite», «soldat»)</t>
  </si>
  <si>
    <r>
      <rPr>
        <sz val="10"/>
        <rFont val="WenQuanYi Zen Hei"/>
        <family val="2"/>
      </rPr>
      <t xml:space="preserve">처음부터 </t>
    </r>
    <r>
      <rPr>
        <sz val="10"/>
        <rFont val="Noto Sans CJK SC"/>
        <family val="2"/>
        <charset val="1"/>
      </rPr>
      <t xml:space="preserve">tu — </t>
    </r>
    <r>
      <rPr>
        <sz val="10"/>
        <rFont val="WenQuanYi Zen Hei"/>
        <family val="2"/>
      </rPr>
      <t xml:space="preserve">욕</t>
    </r>
    <r>
      <rPr>
        <sz val="10"/>
        <rFont val="Noto Sans CJK SC"/>
        <family val="2"/>
        <charset val="1"/>
      </rPr>
      <t xml:space="preserve">(bécasse)</t>
    </r>
    <r>
      <rPr>
        <sz val="10"/>
        <rFont val="WenQuanYi Zen Hei"/>
        <family val="2"/>
      </rPr>
      <t xml:space="preserve">도 </t>
    </r>
    <r>
      <rPr>
        <sz val="10"/>
        <rFont val="Noto Sans CJK SC"/>
        <family val="2"/>
        <charset val="1"/>
      </rPr>
      <t xml:space="preserve">Manon</t>
    </r>
    <r>
      <rPr>
        <sz val="10"/>
        <rFont val="WenQuanYi Zen Hei"/>
        <family val="2"/>
      </rPr>
      <t xml:space="preserve">에게만</t>
    </r>
  </si>
  <si>
    <r>
      <rPr>
        <b val="true"/>
        <sz val="10"/>
        <rFont val="Arial"/>
        <family val="0"/>
        <charset val="1"/>
      </rPr>
      <t xml:space="preserve">Napoléon → </t>
    </r>
    <r>
      <rPr>
        <b val="true"/>
        <sz val="10"/>
        <rFont val="WenQuanYi Zen Hei"/>
        <family val="2"/>
      </rPr>
      <t xml:space="preserve">여럿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집단</t>
    </r>
    <r>
      <rPr>
        <b val="true"/>
        <sz val="10"/>
        <rFont val="Arial"/>
        <family val="0"/>
        <charset val="1"/>
      </rPr>
      <t xml:space="preserve">)</t>
    </r>
  </si>
  <si>
    <t xml:space="preserve">vous + «Messieurs, mesdames»</t>
  </si>
  <si>
    <t xml:space="preserve">같음</t>
  </si>
  <si>
    <r>
      <rPr>
        <sz val="10"/>
        <rFont val="WenQuanYi Zen Hei"/>
        <family val="2"/>
      </rPr>
      <t xml:space="preserve">집단에는 누구나 </t>
    </r>
    <r>
      <rPr>
        <sz val="10"/>
        <rFont val="Noto Sans CJK SC"/>
        <family val="2"/>
        <charset val="1"/>
      </rPr>
      <t xml:space="preserve">vous</t>
    </r>
    <r>
      <rPr>
        <sz val="10"/>
        <rFont val="WenQuanYi Zen Hei"/>
        <family val="2"/>
      </rPr>
      <t xml:space="preserve">이므로</t>
    </r>
    <r>
      <rPr>
        <sz val="10"/>
        <rFont val="Noto Sans CJK SC"/>
        <family val="2"/>
        <charset val="1"/>
      </rPr>
      <t xml:space="preserve">, Napoléon</t>
    </r>
    <r>
      <rPr>
        <sz val="10"/>
        <rFont val="WenQuanYi Zen Hei"/>
        <family val="2"/>
      </rPr>
      <t xml:space="preserve">의 거리 두기는 호칭</t>
    </r>
    <r>
      <rPr>
        <sz val="10"/>
        <rFont val="Noto Sans CJK SC"/>
        <family val="2"/>
        <charset val="1"/>
      </rPr>
      <t xml:space="preserve">(«Messieurs», «Citoyens»)</t>
    </r>
    <r>
      <rPr>
        <sz val="10"/>
        <rFont val="WenQuanYi Zen Hei"/>
        <family val="2"/>
      </rPr>
      <t xml:space="preserve">과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인칭 화법으로 드러낸다</t>
    </r>
    <r>
      <rPr>
        <sz val="10"/>
        <rFont val="Noto Sans CJK SC"/>
        <family val="2"/>
        <charset val="1"/>
      </rPr>
      <t xml:space="preserve">. (</t>
    </r>
    <r>
      <rPr>
        <sz val="10"/>
        <rFont val="WenQuanYi Zen Hei"/>
        <family val="2"/>
      </rPr>
      <t xml:space="preserve">스페인판의 </t>
    </r>
    <r>
      <rPr>
        <sz val="10"/>
        <rFont val="Noto Sans CJK SC"/>
        <family val="2"/>
        <charset val="1"/>
      </rPr>
      <t xml:space="preserve">ustedes </t>
    </r>
    <r>
      <rPr>
        <sz val="10"/>
        <rFont val="WenQuanYi Zen Hei"/>
        <family val="2"/>
      </rPr>
      <t xml:space="preserve">장치를 대체</t>
    </r>
    <r>
      <rPr>
        <sz val="10"/>
        <rFont val="Noto Sans CJK SC"/>
        <family val="2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</si>
  <si>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Napoléon → </t>
    </r>
    <r>
      <rPr>
        <b val="true"/>
        <sz val="10"/>
        <rFont val="WenQuanYi Zen Hei"/>
        <family val="2"/>
      </rPr>
      <t xml:space="preserve">개인 </t>
    </r>
    <r>
      <rPr>
        <b val="true"/>
        <sz val="10"/>
        <rFont val="Arial"/>
        <family val="0"/>
        <charset val="1"/>
      </rPr>
      <t xml:space="preserve">(Manon </t>
    </r>
    <r>
      <rPr>
        <b val="true"/>
        <sz val="10"/>
        <rFont val="WenQuanYi Zen Hei"/>
        <family val="2"/>
      </rPr>
      <t xml:space="preserve">외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</si>
  <si>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소수에게만 </t>
    </r>
    <r>
      <rPr>
        <sz val="10"/>
        <rFont val="Noto Sans CJK SC"/>
        <family val="2"/>
        <charset val="1"/>
      </rPr>
      <t xml:space="preserve">tu</t>
    </r>
  </si>
  <si>
    <r>
      <rPr>
        <sz val="10"/>
        <rFont val="Arial"/>
        <family val="0"/>
        <charset val="1"/>
      </rPr>
      <t xml:space="preserve">Jeanne</t>
    </r>
    <r>
      <rPr>
        <sz val="10"/>
        <rFont val="WenQuanYi Zen Hei"/>
        <family val="2"/>
      </rPr>
      <t xml:space="preserve">에게는 처음부터 </t>
    </r>
    <r>
      <rPr>
        <sz val="10"/>
        <rFont val="Arial"/>
        <family val="0"/>
        <charset val="1"/>
      </rPr>
      <t xml:space="preserve">tu — </t>
    </r>
    <r>
      <rPr>
        <sz val="10"/>
        <rFont val="WenQuanYi Zen Hei"/>
        <family val="2"/>
      </rPr>
      <t xml:space="preserve">옛 군인끼리</t>
    </r>
  </si>
  <si>
    <r>
      <rPr>
        <b val="true"/>
        <sz val="10"/>
        <rFont val="Arial"/>
        <family val="0"/>
        <charset val="1"/>
      </rPr>
      <t xml:space="preserve">Jeanne → </t>
    </r>
    <r>
      <rPr>
        <b val="true"/>
        <sz val="10"/>
        <rFont val="WenQuanYi Zen Hei"/>
        <family val="2"/>
      </rPr>
      <t xml:space="preserve">후배들</t>
    </r>
  </si>
  <si>
    <r>
      <rPr>
        <sz val="10"/>
        <rFont val="Arial"/>
        <family val="0"/>
        <charset val="1"/>
      </rPr>
      <t xml:space="preserve">tu (</t>
    </r>
    <r>
      <rPr>
        <sz val="10"/>
        <rFont val="WenQuanYi Zen Hei"/>
        <family val="2"/>
      </rPr>
      <t xml:space="preserve">명령조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</si>
  <si>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tu / vous </t>
    </r>
    <r>
      <rPr>
        <sz val="10"/>
        <rFont val="WenQuanYi Zen Hei"/>
        <family val="2"/>
      </rPr>
      <t xml:space="preserve">혼용</t>
    </r>
  </si>
  <si>
    <r>
      <rPr>
        <sz val="10"/>
        <rFont val="WenQuanYi Zen Hei"/>
        <family val="2"/>
      </rPr>
      <t xml:space="preserve">정치 무대에서는 </t>
    </r>
    <r>
      <rPr>
        <sz val="10"/>
        <rFont val="Noto Sans CJK SC"/>
        <family val="2"/>
        <charset val="1"/>
      </rPr>
      <t xml:space="preserve">vous</t>
    </r>
  </si>
  <si>
    <r>
      <rPr>
        <b val="true"/>
        <sz val="10"/>
        <rFont val="Arial"/>
        <family val="0"/>
        <charset val="1"/>
      </rPr>
      <t xml:space="preserve">Curie → </t>
    </r>
    <r>
      <rPr>
        <b val="true"/>
        <sz val="10"/>
        <rFont val="WenQuanYi Zen Hei"/>
        <family val="2"/>
      </rPr>
      <t xml:space="preserve">전원</t>
    </r>
  </si>
  <si>
    <r>
      <rPr>
        <sz val="10"/>
        <rFont val="WenQuanYi Zen Hei"/>
        <family val="2"/>
      </rPr>
      <t xml:space="preserve">모두에게 </t>
    </r>
    <r>
      <rPr>
        <sz val="10"/>
        <rFont val="Noto Sans CJK SC"/>
        <family val="2"/>
        <charset val="1"/>
      </rPr>
      <t xml:space="preserve">tu — </t>
    </r>
    <r>
      <rPr>
        <sz val="10"/>
        <rFont val="WenQuanYi Zen Hei"/>
        <family val="2"/>
      </rPr>
      <t xml:space="preserve">그래서 더 위협적이다</t>
    </r>
    <r>
      <rPr>
        <sz val="10"/>
        <rFont val="Noto Sans CJK SC"/>
        <family val="2"/>
        <charset val="1"/>
      </rPr>
      <t xml:space="preserve">. «Cherche toi-même.»</t>
    </r>
  </si>
  <si>
    <r>
      <rPr>
        <b val="true"/>
        <sz val="10"/>
        <rFont val="Arial"/>
        <family val="0"/>
        <charset val="1"/>
      </rPr>
      <t xml:space="preserve">Monique, Karim → </t>
    </r>
    <r>
      <rPr>
        <b val="true"/>
        <sz val="10"/>
        <rFont val="WenQuanYi Zen Hei"/>
        <family val="2"/>
      </rPr>
      <t xml:space="preserve">전원</t>
    </r>
  </si>
  <si>
    <r>
      <rPr>
        <sz val="10"/>
        <rFont val="Arial"/>
        <family val="0"/>
        <charset val="1"/>
      </rPr>
      <t xml:space="preserve">Monique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'mon petit / ma petite'</t>
    </r>
  </si>
  <si>
    <r>
      <rPr>
        <b val="true"/>
        <sz val="10"/>
        <rFont val="Arial"/>
        <family val="0"/>
        <charset val="1"/>
      </rPr>
      <t xml:space="preserve">Voltaire → </t>
    </r>
    <r>
      <rPr>
        <b val="true"/>
        <sz val="10"/>
        <rFont val="WenQuanYi Zen Hei"/>
        <family val="2"/>
      </rPr>
      <t xml:space="preserve">취재 대상</t>
    </r>
  </si>
  <si>
    <r>
      <rPr>
        <sz val="10"/>
        <rFont val="Arial"/>
        <family val="0"/>
        <charset val="1"/>
      </rPr>
      <t xml:space="preserve">vous (</t>
    </r>
    <r>
      <rPr>
        <sz val="10"/>
        <rFont val="WenQuanYi Zen Hei"/>
        <family val="2"/>
      </rPr>
      <t xml:space="preserve">취재 시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</si>
  <si>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친해지면 </t>
    </r>
    <r>
      <rPr>
        <sz val="10"/>
        <rFont val="Noto Sans CJK SC"/>
        <family val="2"/>
        <charset val="1"/>
      </rPr>
      <t xml:space="preserve">tu</t>
    </r>
  </si>
  <si>
    <r>
      <rPr>
        <b val="true"/>
        <sz val="10"/>
        <rFont val="WenQuanYi Zen Hei"/>
        <family val="2"/>
      </rPr>
      <t xml:space="preserve">집단 대화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사무소 안</t>
    </r>
    <r>
      <rPr>
        <b val="true"/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</si>
  <si>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vous (</t>
    </r>
    <r>
      <rPr>
        <sz val="10"/>
        <rFont val="WenQuanYi Zen Hei"/>
        <family val="2"/>
      </rPr>
      <t xml:space="preserve">복수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</si>
  <si>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예</t>
    </r>
    <r>
      <rPr>
        <sz val="10"/>
        <rFont val="Noto Sans CJK SC"/>
        <family val="2"/>
        <charset val="1"/>
      </rPr>
      <t xml:space="preserve">: «Asseyez-vous, je vous apporte quelque chose.» </t>
    </r>
    <r>
      <rPr>
        <sz val="10"/>
        <rFont val="WenQuanYi Zen Hei"/>
        <family val="2"/>
      </rPr>
      <t xml:space="preserve">친한 사이여도 복수는 </t>
    </r>
    <r>
      <rPr>
        <sz val="10"/>
        <rFont val="Noto Sans CJK SC"/>
        <family val="2"/>
        <charset val="1"/>
      </rPr>
      <t xml:space="preserve">vous. </t>
    </r>
    <r>
      <rPr>
        <sz val="10"/>
        <rFont val="WenQuanYi Zen Hei"/>
        <family val="2"/>
      </rPr>
      <t xml:space="preserve">친밀한 집단 호칭은 </t>
    </r>
    <r>
      <rPr>
        <sz val="10"/>
        <rFont val="Noto Sans CJK SC"/>
        <family val="2"/>
        <charset val="1"/>
      </rPr>
      <t xml:space="preserve">«les amis», «les enfants».</t>
    </r>
  </si>
  <si>
    <r>
      <rPr>
        <b val="true"/>
        <sz val="10"/>
        <rFont val="WenQuanYi Zen Hei"/>
        <family val="2"/>
      </rPr>
      <t xml:space="preserve">공식 연설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의회</t>
    </r>
  </si>
  <si>
    <t xml:space="preserve">vous / «Mesdames et Messieurs»</t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</si>
  <si>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이후 대중 연설</t>
    </r>
    <r>
      <rPr>
        <sz val="10"/>
        <rFont val="Arial"/>
        <family val="0"/>
        <charset val="1"/>
      </rPr>
      <t xml:space="preserve">, 9</t>
    </r>
    <r>
      <rPr>
        <sz val="10"/>
        <rFont val="WenQuanYi Zen Hei"/>
        <family val="2"/>
      </rPr>
      <t xml:space="preserve">부 이후 시의회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하원 토론</t>
    </r>
  </si>
  <si>
    <r>
      <rPr>
        <b val="true"/>
        <sz val="10"/>
        <rFont val="WenQuanYi Zen Hei"/>
        <family val="2"/>
      </rPr>
      <t xml:space="preserve">하원 </t>
    </r>
    <r>
      <rPr>
        <b val="true"/>
        <sz val="10"/>
        <rFont val="Noto Sans CJK SC"/>
        <family val="2"/>
        <charset val="1"/>
      </rPr>
      <t xml:space="preserve">(Assemblée nationale)</t>
    </r>
  </si>
  <si>
    <r>
      <rPr>
        <sz val="10"/>
        <rFont val="Arial"/>
        <family val="0"/>
        <charset val="1"/>
      </rPr>
      <t xml:space="preserve">«Madame la Présidente»(</t>
    </r>
    <r>
      <rPr>
        <sz val="10"/>
        <rFont val="WenQuanYi Zen Hei"/>
        <family val="2"/>
      </rPr>
      <t xml:space="preserve">하원의장</t>
    </r>
    <r>
      <rPr>
        <sz val="10"/>
        <rFont val="Arial"/>
        <family val="0"/>
        <charset val="1"/>
      </rPr>
      <t xml:space="preserve">), «Madame la Première ministre», «Monsieur le ministre»</t>
    </r>
  </si>
  <si>
    <r>
      <rPr>
        <sz val="10"/>
        <rFont val="WenQuanYi Zen Hei"/>
        <family val="2"/>
      </rPr>
      <t xml:space="preserve">의원끼리는 </t>
    </r>
    <r>
      <rPr>
        <sz val="10"/>
        <rFont val="Noto Sans CJK SC"/>
        <family val="2"/>
        <charset val="1"/>
      </rPr>
      <t xml:space="preserve">«mon cher collègue / ma chère collègue». </t>
    </r>
    <r>
      <rPr>
        <sz val="10"/>
        <rFont val="WenQuanYi Zen Hei"/>
        <family val="2"/>
      </rPr>
      <t xml:space="preserve">대통령은 하원 토론에 나오지 않는다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양원합동회의 연설만 가능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18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).</t>
    </r>
  </si>
  <si>
    <r>
      <rPr>
        <b val="true"/>
        <sz val="10"/>
        <rFont val="WenQuanYi Zen Hei"/>
        <family val="2"/>
      </rPr>
      <t xml:space="preserve">시의회 </t>
    </r>
    <r>
      <rPr>
        <b val="true"/>
        <sz val="10"/>
        <rFont val="Noto Sans CJK SC"/>
        <family val="2"/>
        <charset val="1"/>
      </rPr>
      <t xml:space="preserve">(Conseil de Paris)</t>
    </r>
  </si>
  <si>
    <t xml:space="preserve">«Madame la Maire / Monsieur le Maire», «Madame la conseillère»</t>
  </si>
  <si>
    <r>
      <rPr>
        <sz val="10"/>
        <rFont val="WenQuanYi Zen Hei"/>
        <family val="2"/>
      </rPr>
      <t xml:space="preserve">발언은 </t>
    </r>
    <r>
      <rPr>
        <sz val="10"/>
        <rFont val="Noto Sans CJK SC"/>
        <family val="2"/>
        <charset val="1"/>
      </rPr>
      <t xml:space="preserve">vous, </t>
    </r>
    <r>
      <rPr>
        <sz val="10"/>
        <rFont val="WenQuanYi Zen Hei"/>
        <family val="2"/>
      </rPr>
      <t xml:space="preserve">회의 밖 동료끼리는 </t>
    </r>
    <r>
      <rPr>
        <sz val="10"/>
        <rFont val="Noto Sans CJK SC"/>
        <family val="2"/>
        <charset val="1"/>
      </rPr>
      <t xml:space="preserve">tu</t>
    </r>
    <r>
      <rPr>
        <sz val="10"/>
        <rFont val="WenQuanYi Zen Hei"/>
        <family val="2"/>
      </rPr>
      <t xml:space="preserve">로 돌아간다</t>
    </r>
  </si>
  <si>
    <t xml:space="preserve">대통령</t>
  </si>
  <si>
    <t xml:space="preserve">«Monsieur le Président»</t>
  </si>
  <si>
    <r>
      <rPr>
        <sz val="10"/>
        <rFont val="WenQuanYi Zen Hei"/>
        <family val="2"/>
      </rPr>
      <t xml:space="preserve">대통령은 직접 대사를 준다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국왕 행 대체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취임 뒤 사무소 식구들이 </t>
    </r>
    <r>
      <rPr>
        <sz val="10"/>
        <rFont val="Noto Sans CJK SC"/>
        <family val="2"/>
        <charset val="1"/>
      </rPr>
      <t xml:space="preserve">Nicolas</t>
    </r>
    <r>
      <rPr>
        <sz val="10"/>
        <rFont val="WenQuanYi Zen Hei"/>
        <family val="2"/>
      </rPr>
      <t xml:space="preserve">를 </t>
    </r>
    <r>
      <rPr>
        <sz val="10"/>
        <rFont val="Noto Sans CJK SC"/>
        <family val="2"/>
        <charset val="1"/>
      </rPr>
      <t xml:space="preserve">tu</t>
    </r>
    <r>
      <rPr>
        <sz val="10"/>
        <rFont val="WenQuanYi Zen Hei"/>
        <family val="2"/>
      </rPr>
      <t xml:space="preserve">로 부를지 </t>
    </r>
    <r>
      <rPr>
        <sz val="10"/>
        <rFont val="Noto Sans CJK SC"/>
        <family val="2"/>
        <charset val="1"/>
      </rPr>
      <t xml:space="preserve">«Monsieur le Président»</t>
    </r>
    <r>
      <rPr>
        <sz val="10"/>
        <rFont val="WenQuanYi Zen Hei"/>
        <family val="2"/>
      </rPr>
      <t xml:space="preserve">으로 부를지가 </t>
    </r>
    <r>
      <rPr>
        <sz val="10"/>
        <rFont val="Noto Sans CJK SC"/>
        <family val="2"/>
        <charset val="1"/>
      </rPr>
      <t xml:space="preserve">13</t>
    </r>
    <r>
      <rPr>
        <sz val="10"/>
        <rFont val="WenQuanYi Zen Hei"/>
        <family val="2"/>
      </rPr>
      <t xml:space="preserve">부의 작은 개그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</si>
  <si>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4"/>
        <color rgb="FF1F3864"/>
        <rFont val="Arial"/>
        <family val="0"/>
        <charset val="1"/>
      </rPr>
      <t xml:space="preserve">Manon</t>
    </r>
    <r>
      <rPr>
        <b val="true"/>
        <sz val="14"/>
        <color rgb="FF1F3864"/>
        <rFont val="WenQuanYi Zen Hei"/>
        <family val="2"/>
      </rPr>
      <t xml:space="preserve">의 폭발 </t>
    </r>
    <r>
      <rPr>
        <b val="true"/>
        <sz val="14"/>
        <color rgb="FF1F3864"/>
        <rFont val="Arial"/>
        <family val="0"/>
        <charset val="1"/>
      </rPr>
      <t xml:space="preserve">(L'Explosion) </t>
    </r>
    <r>
      <rPr>
        <b val="true"/>
        <sz val="14"/>
        <color rgb="FF1F3864"/>
        <rFont val="WenQuanYi Zen Hei"/>
        <family val="2"/>
      </rPr>
      <t xml:space="preserve">과 욕 배정</t>
    </r>
  </si>
  <si>
    <r>
      <rPr>
        <i val="true"/>
        <sz val="9"/>
        <color rgb="FF595959"/>
        <rFont val="WenQuanYi Zen Hei"/>
        <family val="2"/>
      </rPr>
      <t xml:space="preserve">폭발은 총 </t>
    </r>
    <r>
      <rPr>
        <i val="true"/>
        <sz val="9"/>
        <color rgb="FF595959"/>
        <rFont val="Noto Sans CJK SC"/>
        <family val="2"/>
        <charset val="1"/>
      </rPr>
      <t xml:space="preserve">2</t>
    </r>
    <r>
      <rPr>
        <i val="true"/>
        <sz val="9"/>
        <color rgb="FF595959"/>
        <rFont val="WenQuanYi Zen Hei"/>
        <family val="2"/>
      </rPr>
      <t xml:space="preserve">회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희소성이 가치다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폭발 뒤에는 반드시 쉬운 말로 다시 설명하는 어휘 교습 장면이 이어진다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</si>
  <si>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WenQuanYi Zen Hei"/>
        <family val="2"/>
      </rPr>
      <t xml:space="preserve">폭발 배치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총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회</t>
    </r>
    <r>
      <rPr>
        <b val="true"/>
        <sz val="10"/>
        <rFont val="Arial"/>
        <family val="0"/>
        <charset val="1"/>
      </rPr>
      <t xml:space="preserve">)</t>
    </r>
  </si>
  <si>
    <t xml:space="preserve">회차</t>
  </si>
  <si>
    <t xml:space="preserve">위치</t>
  </si>
  <si>
    <t xml:space="preserve">단계 구성</t>
  </si>
  <si>
    <t xml:space="preserve">특기 사항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</si>
  <si>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차 폭발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</si>
  <si>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«Ça suffit !» (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해결 화</t>
    </r>
    <r>
      <rPr>
        <sz val="10"/>
        <rFont val="Arial"/>
        <family val="0"/>
        <charset val="1"/>
      </rPr>
      <t xml:space="preserve">, Léa</t>
    </r>
    <r>
      <rPr>
        <sz val="10"/>
        <rFont val="WenQuanYi Zen Hei"/>
        <family val="2"/>
      </rPr>
      <t xml:space="preserve">의 경영 용어가 협상을 막는 장면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</si>
  <si>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코미디 — 「몰라서 화내는 </t>
    </r>
    <r>
      <rPr>
        <sz val="10"/>
        <rFont val="Noto Sans CJK SC"/>
        <family val="2"/>
        <charset val="1"/>
      </rPr>
      <t xml:space="preserve">Manon</t>
    </r>
    <r>
      <rPr>
        <sz val="10"/>
        <rFont val="WenQuanYi Zen Hei"/>
        <family val="2"/>
      </rPr>
      <t xml:space="preserve">」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</si>
  <si>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단계 →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단계 →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단계 전부 노출</t>
    </r>
  </si>
  <si>
    <r>
      <rPr>
        <sz val="10"/>
        <rFont val="WenQuanYi Zen Hei"/>
        <family val="2"/>
      </rPr>
      <t xml:space="preserve">인물별 고정 반응 패턴을 여기서 한 번에 보여 준다</t>
    </r>
    <r>
      <rPr>
        <sz val="10"/>
        <rFont val="Noto Sans CJK SC"/>
        <family val="2"/>
        <charset val="1"/>
      </rPr>
      <t xml:space="preserve">. Jeanne·Monique·Curie</t>
    </r>
    <r>
      <rPr>
        <sz val="10"/>
        <rFont val="WenQuanYi Zen Hei"/>
        <family val="2"/>
      </rPr>
      <t xml:space="preserve">가 이 화에 함께 등장 — </t>
    </r>
    <r>
      <rPr>
        <sz val="10"/>
        <rFont val="Noto Sans CJK SC"/>
        <family val="2"/>
        <charset val="1"/>
      </rPr>
      <t xml:space="preserve">Karim</t>
    </r>
    <r>
      <rPr>
        <sz val="10"/>
        <rFont val="WenQuanYi Zen Hei"/>
        <family val="2"/>
      </rPr>
      <t xml:space="preserve">의 욕은 </t>
    </r>
    <r>
      <rPr>
        <sz val="10"/>
        <rFont val="Noto Sans CJK SC"/>
        <family val="2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차 폭발로 이관해 과밀을 피함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</si>
  <si>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차 폭발</t>
    </r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</si>
  <si>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파리 시의회 예산 심의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</si>
  <si>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역전 — 「알아서 화내는 </t>
    </r>
    <r>
      <rPr>
        <sz val="10"/>
        <rFont val="Noto Sans CJK SC"/>
        <family val="2"/>
        <charset val="1"/>
      </rPr>
      <t xml:space="preserve">Manon</t>
    </r>
    <r>
      <rPr>
        <sz val="10"/>
        <rFont val="WenQuanYi Zen Hei"/>
        <family val="2"/>
      </rPr>
      <t xml:space="preserve">」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이번엔 </t>
    </r>
    <r>
      <rPr>
        <sz val="10"/>
        <rFont val="Noto Sans CJK SC"/>
        <family val="2"/>
        <charset val="1"/>
      </rPr>
      <t xml:space="preserve">Manon</t>
    </r>
    <r>
      <rPr>
        <sz val="10"/>
        <rFont val="WenQuanYi Zen Hei"/>
        <family val="2"/>
      </rPr>
      <t xml:space="preserve">이 옳다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</si>
  <si>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단계에서 곧바로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단계로 </t>
    </r>
    <r>
      <rPr>
        <sz val="10"/>
        <rFont val="Arial"/>
        <family val="0"/>
        <charset val="1"/>
      </rPr>
      <t xml:space="preserve">(2</t>
    </r>
    <r>
      <rPr>
        <sz val="10"/>
        <rFont val="WenQuanYi Zen Hei"/>
        <family val="2"/>
      </rPr>
      <t xml:space="preserve">단계 생략</t>
    </r>
    <r>
      <rPr>
        <sz val="10"/>
        <rFont val="Arial"/>
        <family val="0"/>
        <charset val="1"/>
      </rPr>
      <t xml:space="preserve">: '</t>
    </r>
    <r>
      <rPr>
        <sz val="10"/>
        <rFont val="WenQuanYi Zen Hei"/>
        <family val="2"/>
      </rPr>
      <t xml:space="preserve">이번엔 참지 않는다</t>
    </r>
    <r>
      <rPr>
        <sz val="10"/>
        <rFont val="Arial"/>
        <family val="0"/>
        <charset val="1"/>
      </rPr>
      <t xml:space="preserve">')</t>
    </r>
  </si>
  <si>
    <r>
      <rPr>
        <sz val="10"/>
        <rFont val="WenQuanYi Zen Hei"/>
        <family val="2"/>
      </rPr>
      <t xml:space="preserve">행정 전문 용어 속에 서민 주거 보조를 깎는 조항이 숨어 있었고 </t>
    </r>
    <r>
      <rPr>
        <sz val="10"/>
        <rFont val="Noto Sans CJK SC"/>
        <family val="2"/>
        <charset val="1"/>
      </rPr>
      <t xml:space="preserve">Manon</t>
    </r>
    <r>
      <rPr>
        <sz val="10"/>
        <rFont val="WenQuanYi Zen Hei"/>
        <family val="2"/>
      </rPr>
      <t xml:space="preserve">이 짚어 낸다</t>
    </r>
    <r>
      <rPr>
        <sz val="10"/>
        <rFont val="Noto Sans CJK SC"/>
        <family val="2"/>
        <charset val="1"/>
      </rPr>
      <t xml:space="preserve">. Napoléon</t>
    </r>
    <r>
      <rPr>
        <sz val="10"/>
        <rFont val="WenQuanYi Zen Hei"/>
        <family val="2"/>
      </rPr>
      <t xml:space="preserve">이 선을 넘는 말을 하고 </t>
    </r>
    <r>
      <rPr>
        <sz val="10"/>
        <rFont val="Noto Sans CJK SC"/>
        <family val="2"/>
        <charset val="1"/>
      </rPr>
      <t xml:space="preserve">Jeanne·Monique</t>
    </r>
    <r>
      <rPr>
        <sz val="10"/>
        <rFont val="WenQuanYi Zen Hei"/>
        <family val="2"/>
      </rPr>
      <t xml:space="preserve">가 나무란다</t>
    </r>
    <r>
      <rPr>
        <sz val="10"/>
        <rFont val="Noto Sans CJK SC"/>
        <family val="2"/>
        <charset val="1"/>
      </rPr>
      <t xml:space="preserve">.</t>
    </r>
  </si>
  <si>
    <t xml:space="preserve">사이 구간</t>
  </si>
  <si>
    <r>
      <rPr>
        <sz val="10"/>
        <rFont val="Arial"/>
        <family val="0"/>
        <charset val="1"/>
      </rPr>
      <t xml:space="preserve">2~8</t>
    </r>
    <r>
      <rPr>
        <sz val="10"/>
        <rFont val="WenQuanYi Zen Hei"/>
        <family val="2"/>
      </rPr>
      <t xml:space="preserve">부</t>
    </r>
  </si>
  <si>
    <t xml:space="preserve">폭발 없음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</si>
  <si>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단계 질문만 일상 장치로 반복</t>
    </r>
  </si>
  <si>
    <r>
      <rPr>
        <sz val="10"/>
        <rFont val="WenQuanYi Zen Hei"/>
        <family val="2"/>
      </rPr>
      <t xml:space="preserve">어휘 학습의 핵심은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단계 질문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폭발은 정점 이벤트일 뿐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</si>
  <si>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2. 3</t>
    </r>
    <r>
      <rPr>
        <b val="true"/>
        <sz val="10"/>
        <rFont val="WenQuanYi Zen Hei"/>
        <family val="2"/>
      </rPr>
      <t xml:space="preserve">단계 계단</t>
    </r>
  </si>
  <si>
    <r>
      <rPr>
        <b val="true"/>
        <sz val="10"/>
        <color rgb="FFFFFFFF"/>
        <rFont val="WenQuanYi Zen Hei"/>
        <family val="2"/>
      </rPr>
      <t xml:space="preserve">대사 </t>
    </r>
    <r>
      <rPr>
        <b val="true"/>
        <sz val="10"/>
        <color rgb="FFFFFFFF"/>
        <rFont val="Noto Sans CJK SC"/>
        <family val="2"/>
        <charset val="1"/>
      </rPr>
      <t xml:space="preserve">(FR)</t>
    </r>
  </si>
  <si>
    <t xml:space="preserve">분위기</t>
  </si>
  <si>
    <t xml:space="preserve">사용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</si>
  <si>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단계</t>
    </r>
  </si>
  <si>
    <t xml:space="preserve">Pardon, ça veut dire quoi ?</t>
  </si>
  <si>
    <r>
      <rPr>
        <sz val="10"/>
        <rFont val="WenQuanYi Zen Hei"/>
        <family val="2"/>
      </rPr>
      <t xml:space="preserve">실례지만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그게 무슨 뜻이에요</t>
    </r>
    <r>
      <rPr>
        <sz val="10"/>
        <rFont val="Noto Sans CJK SC"/>
        <family val="2"/>
        <charset val="1"/>
      </rPr>
      <t xml:space="preserve">?</t>
    </r>
  </si>
  <si>
    <t xml:space="preserve">정중한 질문</t>
  </si>
  <si>
    <r>
      <rPr>
        <sz val="10"/>
        <rFont val="WenQuanYi Zen Hei"/>
        <family val="2"/>
      </rPr>
      <t xml:space="preserve">상시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매 화 가능</t>
    </r>
    <r>
      <rPr>
        <sz val="10"/>
        <rFont val="Noto Sans CJK SC"/>
        <family val="2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</si>
  <si>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단계</t>
    </r>
  </si>
  <si>
    <t xml:space="preserve">Vous pouvez m'expliquer comme si j'avais cinq ans ?</t>
  </si>
  <si>
    <r>
      <rPr>
        <sz val="10"/>
        <rFont val="WenQuanYi Zen Hei"/>
        <family val="2"/>
      </rPr>
      <t xml:space="preserve">다섯 살한테 설명하듯 해 주실래요</t>
    </r>
    <r>
      <rPr>
        <sz val="10"/>
        <rFont val="Noto Sans CJK SC"/>
        <family val="2"/>
        <charset val="1"/>
      </rPr>
      <t xml:space="preserve">?</t>
    </r>
  </si>
  <si>
    <t xml:space="preserve">슬슬 짜증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</si>
  <si>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 폭발에서만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</si>
  <si>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단계</t>
    </r>
  </si>
  <si>
    <t xml:space="preserve">ÇA SUFFIT ! Je comprends rien !</t>
  </si>
  <si>
    <r>
      <rPr>
        <sz val="10"/>
        <rFont val="WenQuanYi Zen Hei"/>
        <family val="2"/>
      </rPr>
      <t xml:space="preserve">그만</t>
    </r>
    <r>
      <rPr>
        <sz val="10"/>
        <rFont val="Noto Sans CJK SC"/>
        <family val="2"/>
        <charset val="1"/>
      </rPr>
      <t xml:space="preserve">! </t>
    </r>
    <r>
      <rPr>
        <sz val="10"/>
        <rFont val="WenQuanYi Zen Hei"/>
        <family val="2"/>
      </rPr>
      <t xml:space="preserve">하나도 모르겠다고요</t>
    </r>
    <r>
      <rPr>
        <sz val="10"/>
        <rFont val="Noto Sans CJK SC"/>
        <family val="2"/>
        <charset val="1"/>
      </rPr>
      <t xml:space="preserve">!</t>
    </r>
  </si>
  <si>
    <t xml:space="preserve">폭발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</si>
  <si>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 </t>
    </r>
    <r>
      <rPr>
        <sz val="10"/>
        <rFont val="Arial"/>
        <family val="0"/>
        <charset val="1"/>
      </rPr>
      <t xml:space="preserve">· 2</t>
    </r>
    <r>
      <rPr>
        <sz val="10"/>
        <rFont val="WenQuanYi Zen Hei"/>
        <family val="2"/>
      </rPr>
      <t xml:space="preserve">차</t>
    </r>
    <r>
      <rPr>
        <sz val="10"/>
        <rFont val="Arial"/>
        <family val="0"/>
        <charset val="1"/>
      </rPr>
      <t xml:space="preserve">(9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</si>
  <si>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3. </t>
    </r>
    <r>
      <rPr>
        <b val="true"/>
        <sz val="10"/>
        <rFont val="WenQuanYi Zen Hei"/>
        <family val="2"/>
      </rPr>
      <t xml:space="preserve">폭발 직후 고정 반응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전부 대사로 처리 — 지문 폐기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</si>
  <si>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반응 대사 </t>
    </r>
    <r>
      <rPr>
        <b val="true"/>
        <sz val="10"/>
        <color rgb="FFFFFFFF"/>
        <rFont val="Noto Sans CJK SC"/>
        <family val="2"/>
        <charset val="1"/>
      </rPr>
      <t xml:space="preserve">(FR)</t>
    </r>
  </si>
  <si>
    <r>
      <rPr>
        <b val="true"/>
        <sz val="10"/>
        <color rgb="FFFFFFFF"/>
        <rFont val="WenQuanYi Zen Hei"/>
        <family val="2"/>
      </rPr>
      <t xml:space="preserve">기존 지문 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폐기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</si>
  <si>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t xml:space="preserve">D'abord, respire.</t>
  </si>
  <si>
    <r>
      <rPr>
        <sz val="10"/>
        <rFont val="WenQuanYi Zen Hei"/>
        <family val="2"/>
      </rPr>
      <t xml:space="preserve">우선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숨 쉬어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</si>
  <si>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Manon: «Ne me dites pas “respire” !»</t>
    </r>
    <r>
      <rPr>
        <sz val="10"/>
        <rFont val="WenQuanYi Zen Hei"/>
        <family val="2"/>
      </rPr>
      <t xml:space="preserve">로 받는다</t>
    </r>
  </si>
  <si>
    <t xml:space="preserve">Oh là. Je pose cette assiette avant qu'elle s'envole.</t>
  </si>
  <si>
    <r>
      <rPr>
        <sz val="10"/>
        <rFont val="WenQuanYi Zen Hei"/>
        <family val="2"/>
      </rPr>
      <t xml:space="preserve">어이쿠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접시 날아가기 전에 내려놔야겠네</t>
    </r>
    <r>
      <rPr>
        <sz val="10"/>
        <rFont val="Noto Sans CJK SC"/>
        <family val="2"/>
        <charset val="1"/>
      </rPr>
      <t xml:space="preserve">.</t>
    </r>
  </si>
  <si>
    <t xml:space="preserve">말없이 접시를 내려놓음</t>
  </si>
  <si>
    <t xml:space="preserve">정적의 순간을 웃음으로 대신한다</t>
  </si>
  <si>
    <t xml:space="preserve">Rien à sig… Non. Je ferais mieux de me taire.</t>
  </si>
  <si>
    <r>
      <rPr>
        <sz val="10"/>
        <rFont val="WenQuanYi Zen Hei"/>
        <family val="2"/>
      </rPr>
      <t xml:space="preserve">이상 없… 아니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입 다무는 게 낫겠어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</si>
  <si>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«Rien à signaler»</t>
    </r>
    <r>
      <rPr>
        <sz val="10"/>
        <rFont val="WenQuanYi Zen Hei"/>
        <family val="2"/>
      </rPr>
      <t xml:space="preserve">를 하려다 입을 다묾</t>
    </r>
  </si>
  <si>
    <t xml:space="preserve">Je n'ai rien dit.</t>
  </si>
  <si>
    <r>
      <rPr>
        <sz val="10"/>
        <rFont val="WenQuanYi Zen Hei"/>
        <family val="2"/>
      </rPr>
      <t xml:space="preserve">나는 아무 말도 안 했어</t>
    </r>
    <r>
      <rPr>
        <sz val="10"/>
        <rFont val="Noto Sans CJK SC"/>
        <family val="2"/>
        <charset val="1"/>
      </rPr>
      <t xml:space="preserve">.</t>
    </r>
  </si>
  <si>
    <t xml:space="preserve">아무 말도 하지 않아 오히려 가장 긴장됨</t>
  </si>
  <si>
    <t xml:space="preserve">침묵 설정을 폐지하고 시그니처 대사로 대체</t>
  </si>
  <si>
    <r>
      <rPr>
        <b val="true"/>
        <sz val="10"/>
        <rFont val="Arial"/>
        <family val="0"/>
        <charset val="1"/>
      </rPr>
      <t xml:space="preserve">4. </t>
    </r>
    <r>
      <rPr>
        <b val="true"/>
        <sz val="10"/>
        <rFont val="WenQuanYi Zen Hei"/>
        <family val="2"/>
      </rPr>
      <t xml:space="preserve">욕 배정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폭발 장면 한정 — 교재용 순한 표현만</t>
    </r>
    <r>
      <rPr>
        <b val="true"/>
        <sz val="10"/>
        <rFont val="Arial"/>
        <family val="0"/>
        <charset val="1"/>
      </rPr>
      <t xml:space="preserve">)</t>
    </r>
  </si>
  <si>
    <t xml:space="preserve">표현</t>
  </si>
  <si>
    <t xml:space="preserve">뉘앙스</t>
  </si>
  <si>
    <t xml:space="preserve">사용 규칙</t>
  </si>
  <si>
    <t xml:space="preserve">Bécasse / Tête de linotte</t>
  </si>
  <si>
    <t xml:space="preserve">고풍스럽고 격식 있는 욕 — 우아하게 기분 나쁨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</si>
  <si>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</t>
    </r>
    <r>
      <rPr>
        <sz val="10"/>
        <rFont val="Arial"/>
        <family val="0"/>
        <charset val="1"/>
      </rPr>
      <t xml:space="preserve">·2</t>
    </r>
    <r>
      <rPr>
        <sz val="10"/>
        <rFont val="WenQuanYi Zen Hei"/>
        <family val="2"/>
      </rPr>
      <t xml:space="preserve">차 폭발에서만</t>
    </r>
    <r>
      <rPr>
        <sz val="10"/>
        <rFont val="Arial"/>
        <family val="0"/>
        <charset val="1"/>
      </rPr>
      <t xml:space="preserve">, Manon</t>
    </r>
    <r>
      <rPr>
        <sz val="10"/>
        <rFont val="WenQuanYi Zen Hei"/>
        <family val="2"/>
      </rPr>
      <t xml:space="preserve">에게만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</si>
  <si>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 마지막에 </t>
    </r>
    <r>
      <rPr>
        <sz val="10"/>
        <rFont val="Arial"/>
        <family val="0"/>
        <charset val="1"/>
      </rPr>
      <t xml:space="preserve">«bécasse» </t>
    </r>
    <r>
      <rPr>
        <sz val="10"/>
        <rFont val="WenQuanYi Zen Hei"/>
        <family val="2"/>
      </rPr>
      <t xml:space="preserve">대신 </t>
    </r>
    <r>
      <rPr>
        <sz val="10"/>
        <rFont val="Arial"/>
        <family val="0"/>
        <charset val="1"/>
      </rPr>
      <t xml:space="preserve">«Pas mal.»</t>
    </r>
    <r>
      <rPr>
        <sz val="10"/>
        <rFont val="WenQuanYi Zen Hei"/>
        <family val="2"/>
      </rPr>
      <t xml:space="preserve">이 나올 때 낙차가 커진다</t>
    </r>
    <r>
      <rPr>
        <sz val="10"/>
        <rFont val="Arial"/>
        <family val="0"/>
        <charset val="1"/>
      </rPr>
      <t xml:space="preserve">.</t>
    </r>
  </si>
  <si>
    <t xml:space="preserve">Recrue ! / Bleue !</t>
  </si>
  <si>
    <t xml:space="preserve">군대식 신병 취급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</si>
  <si>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차에서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</si>
  <si>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폭발 화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 카메오로 함께 있으므로 여기서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확정</t>
    </r>
    <r>
      <rPr>
        <sz val="10"/>
        <rFont val="Arial"/>
        <family val="0"/>
        <charset val="1"/>
      </rPr>
      <t xml:space="preserve">)</t>
    </r>
  </si>
  <si>
    <t xml:space="preserve">Andouille / Patate</t>
  </si>
  <si>
    <t xml:space="preserve">시장통식 직설</t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</si>
  <si>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차</t>
    </r>
    <r>
      <rPr>
        <sz val="10"/>
        <rFont val="Arial"/>
        <family val="0"/>
        <charset val="1"/>
      </rPr>
      <t xml:space="preserve">(9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에서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회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</si>
  <si>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 폭발 화의 카메오 과밀을 피해 이관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확정</t>
    </r>
    <r>
      <rPr>
        <sz val="10"/>
        <rFont val="Arial"/>
        <family val="0"/>
        <charset val="1"/>
      </rPr>
      <t xml:space="preserve">)</t>
    </r>
  </si>
  <si>
    <t xml:space="preserve">Nigaude / Cruche + «ma petite»</t>
  </si>
  <si>
    <t xml:space="preserve">애정이 섞여 욕인 줄 모름</t>
  </si>
  <si>
    <t xml:space="preserve">욕하지 않음</t>
  </si>
  <si>
    <t xml:space="preserve">대신 출처를 가리킨다</t>
  </si>
  <si>
    <t xml:space="preserve">«Cherche toi-même.»</t>
  </si>
  <si>
    <r>
      <rPr>
        <b val="true"/>
        <sz val="10"/>
        <rFont val="Arial"/>
        <family val="0"/>
        <charset val="1"/>
      </rPr>
      <t xml:space="preserve">5. </t>
    </r>
    <r>
      <rPr>
        <b val="true"/>
        <sz val="10"/>
        <rFont val="WenQuanYi Zen Hei"/>
        <family val="2"/>
      </rPr>
      <t xml:space="preserve">유지 규칙</t>
    </r>
  </si>
  <si>
    <r>
      <rPr>
        <sz val="10"/>
        <rFont val="Arial"/>
        <family val="0"/>
        <charset val="1"/>
      </rPr>
      <t xml:space="preserve">1. Manon</t>
    </r>
    <r>
      <rPr>
        <sz val="10"/>
        <rFont val="WenQuanYi Zen Hei"/>
        <family val="2"/>
      </rPr>
      <t xml:space="preserve">이 옳은 경우가 있어야 한다</t>
    </r>
    <r>
      <rPr>
        <sz val="10"/>
        <rFont val="Arial"/>
        <family val="0"/>
        <charset val="1"/>
      </rPr>
      <t xml:space="preserve">. 2</t>
    </r>
    <r>
      <rPr>
        <sz val="10"/>
        <rFont val="WenQuanYi Zen Hei"/>
        <family val="2"/>
      </rPr>
      <t xml:space="preserve">차</t>
    </r>
    <r>
      <rPr>
        <sz val="10"/>
        <rFont val="Arial"/>
        <family val="0"/>
        <charset val="1"/>
      </rPr>
      <t xml:space="preserve">(9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에서는 행정 용어에 숨은 삭감 조항을 짚어 낸다</t>
    </r>
    <r>
      <rPr>
        <sz val="10"/>
        <rFont val="Arial"/>
        <family val="0"/>
        <charset val="1"/>
      </rPr>
      <t xml:space="preserve">. 1</t>
    </r>
    <r>
      <rPr>
        <sz val="10"/>
        <rFont val="WenQuanYi Zen Hei"/>
        <family val="2"/>
      </rPr>
      <t xml:space="preserve">차에서도 </t>
    </r>
    <r>
      <rPr>
        <sz val="10"/>
        <rFont val="Arial"/>
        <family val="0"/>
        <charset val="1"/>
      </rPr>
      <t xml:space="preserve">Léa</t>
    </r>
    <r>
      <rPr>
        <sz val="10"/>
        <rFont val="WenQuanYi Zen Hei"/>
        <family val="2"/>
      </rPr>
      <t xml:space="preserve">의 용어</t>
    </r>
    <r>
      <rPr>
        <sz val="10"/>
        <rFont val="Arial"/>
        <family val="0"/>
        <charset val="1"/>
      </rPr>
      <t xml:space="preserve">(synergies, scalable)</t>
    </r>
    <r>
      <rPr>
        <sz val="10"/>
        <rFont val="WenQuanYi Zen Hei"/>
        <family val="2"/>
      </rPr>
      <t xml:space="preserve">가 알맹이 없었음이 드러난다</t>
    </r>
    <r>
      <rPr>
        <sz val="10"/>
        <rFont val="Arial"/>
        <family val="0"/>
        <charset val="1"/>
      </rPr>
      <t xml:space="preserve">. Manon</t>
    </r>
    <r>
      <rPr>
        <sz val="10"/>
        <rFont val="WenQuanYi Zen Hei"/>
        <family val="2"/>
      </rPr>
      <t xml:space="preserve">은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어려운 말로 숨는 어른들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을 드러내는 인물이다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</si>
  <si>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폭발 직후에는 누군가 쉬운 말로 다시 설명한다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전문 표현 → 쉬운 표현 짝 학습</t>
    </r>
    <r>
      <rPr>
        <sz val="10"/>
        <rFont val="Arial"/>
        <family val="0"/>
        <charset val="1"/>
      </rPr>
      <t xml:space="preserve">). 1</t>
    </r>
    <r>
      <rPr>
        <sz val="10"/>
        <rFont val="WenQuanYi Zen Hei"/>
        <family val="2"/>
      </rPr>
      <t xml:space="preserve">차 담당</t>
    </r>
    <r>
      <rPr>
        <sz val="10"/>
        <rFont val="Arial"/>
        <family val="0"/>
        <charset val="1"/>
      </rPr>
      <t xml:space="preserve">: Julien — «Je traduis. Ça veut dire : licencier des gens pour économiser.»</t>
    </r>
  </si>
  <si>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욕과 괴롭힘의 선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별도 에피소드를 만들지 않고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차 폭발에 합친다</t>
    </r>
    <r>
      <rPr>
        <sz val="10"/>
        <rFont val="Arial"/>
        <family val="0"/>
        <charset val="1"/>
      </rPr>
      <t xml:space="preserve">. Napoléon</t>
    </r>
    <r>
      <rPr>
        <sz val="10"/>
        <rFont val="WenQuanYi Zen Hei"/>
        <family val="2"/>
      </rPr>
      <t xml:space="preserve">이 정말 아픈 말을 하고 </t>
    </r>
    <r>
      <rPr>
        <sz val="10"/>
        <rFont val="Arial"/>
        <family val="0"/>
        <charset val="1"/>
      </rPr>
      <t xml:space="preserve">Jeanne·Monique</t>
    </r>
    <r>
      <rPr>
        <sz val="10"/>
        <rFont val="WenQuanYi Zen Hei"/>
        <family val="2"/>
      </rPr>
      <t xml:space="preserve">가 나무라며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사과는 </t>
    </r>
    <r>
      <rPr>
        <sz val="10"/>
        <rFont val="Arial"/>
        <family val="0"/>
        <charset val="1"/>
      </rPr>
      <t xml:space="preserve">«Je retire ce que j'ai dit… en partie.» </t>
    </r>
    <r>
      <rPr>
        <sz val="10"/>
        <rFont val="WenQuanYi Zen Hei"/>
        <family val="2"/>
      </rPr>
      <t xml:space="preserve">정도로 삐딱하게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</si>
  <si>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4. </t>
    </r>
    <r>
      <rPr>
        <sz val="10"/>
        <rFont val="WenQuanYi Zen Hei"/>
        <family val="2"/>
      </rPr>
      <t xml:space="preserve">욕설 수위</t>
    </r>
    <r>
      <rPr>
        <sz val="10"/>
        <rFont val="Arial"/>
        <family val="0"/>
        <charset val="1"/>
      </rPr>
      <t xml:space="preserve">: putain, merde </t>
    </r>
    <r>
      <rPr>
        <sz val="10"/>
        <rFont val="WenQuanYi Zen Hei"/>
        <family val="2"/>
      </rPr>
      <t xml:space="preserve">등은 교재에서 제외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필요하면 각주로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실제로는 더 거칠게 말한다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고만 알려 준다</t>
    </r>
    <r>
      <rPr>
        <sz val="10"/>
        <rFont val="Arial"/>
        <family val="0"/>
        <charset val="1"/>
      </rPr>
      <t xml:space="preserve">.</t>
    </r>
  </si>
  <si>
    <r>
      <rPr>
        <b val="true"/>
        <sz val="14"/>
        <color rgb="FF1F3864"/>
        <rFont val="Arial"/>
        <family val="0"/>
        <charset val="1"/>
      </rPr>
      <t xml:space="preserve">Napoléon — </t>
    </r>
    <r>
      <rPr>
        <b val="true"/>
        <sz val="14"/>
        <color rgb="FF1F3864"/>
        <rFont val="WenQuanYi Zen Hei"/>
        <family val="2"/>
      </rPr>
      <t xml:space="preserve">부활한 황제</t>
    </r>
    <r>
      <rPr>
        <b val="true"/>
        <sz val="14"/>
        <color rgb="FF1F3864"/>
        <rFont val="Arial"/>
        <family val="0"/>
        <charset val="1"/>
      </rPr>
      <t xml:space="preserve">, </t>
    </r>
    <r>
      <rPr>
        <b val="true"/>
        <sz val="14"/>
        <color rgb="FF1F3864"/>
        <rFont val="WenQuanYi Zen Hei"/>
        <family val="2"/>
      </rPr>
      <t xml:space="preserve">협상 승리 직후 두 번째 죽음</t>
    </r>
  </si>
  <si>
    <r>
      <rPr>
        <i val="true"/>
        <sz val="9"/>
        <color rgb="FF595959"/>
        <rFont val="Arial"/>
        <family val="0"/>
        <charset val="1"/>
      </rPr>
      <t xml:space="preserve">10</t>
    </r>
    <r>
      <rPr>
        <i val="true"/>
        <sz val="9"/>
        <color rgb="FF595959"/>
        <rFont val="WenQuanYi Zen Hei"/>
        <family val="2"/>
      </rPr>
      <t xml:space="preserve">부 동안 매 겨울 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마지막</t>
    </r>
    <r>
      <rPr>
        <i val="true"/>
        <sz val="9"/>
        <color rgb="FF595959"/>
        <rFont val="Arial"/>
        <family val="0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이라고 외치는 양치기 소년 → </t>
    </r>
    <r>
      <rPr>
        <i val="true"/>
        <sz val="9"/>
        <color rgb="FF595959"/>
        <rFont val="Arial"/>
        <family val="0"/>
        <charset val="1"/>
      </rPr>
      <t xml:space="preserve">11</t>
    </r>
    <r>
      <rPr>
        <i val="true"/>
        <sz val="9"/>
        <color rgb="FF595959"/>
        <rFont val="WenQuanYi Zen Hei"/>
        <family val="2"/>
      </rPr>
      <t xml:space="preserve">부에서 대통령 특사가 되어 브뤼셀에서 승리하고</t>
    </r>
    <r>
      <rPr>
        <i val="true"/>
        <sz val="9"/>
        <color rgb="FF595959"/>
        <rFont val="Arial"/>
        <family val="0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그 직후 </t>
    </r>
    <r>
      <rPr>
        <i val="true"/>
        <sz val="9"/>
        <color rgb="FF595959"/>
        <rFont val="Arial"/>
        <family val="0"/>
        <charset val="1"/>
      </rPr>
      <t xml:space="preserve">12</t>
    </r>
    <r>
      <rPr>
        <i val="true"/>
        <sz val="9"/>
        <color rgb="FF595959"/>
        <rFont val="WenQuanYi Zen Hei"/>
        <family val="2"/>
      </rPr>
      <t xml:space="preserve">화에서 진짜로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두 번째로</t>
    </r>
    <r>
      <rPr>
        <i val="true"/>
        <sz val="9"/>
        <color rgb="FF595959"/>
        <rFont val="Arial"/>
        <family val="0"/>
        <charset val="1"/>
      </rPr>
      <t xml:space="preserve">) </t>
    </r>
    <r>
      <rPr>
        <i val="true"/>
        <sz val="9"/>
        <color rgb="FF595959"/>
        <rFont val="WenQuanYi Zen Hei"/>
        <family val="2"/>
      </rPr>
      <t xml:space="preserve">죽는다</t>
    </r>
    <r>
      <rPr>
        <i val="true"/>
        <sz val="9"/>
        <color rgb="FF595959"/>
        <rFont val="Arial"/>
        <family val="0"/>
        <charset val="1"/>
      </rPr>
      <t xml:space="preserve">.</t>
    </r>
  </si>
  <si>
    <t xml:space="preserve">내용</t>
  </si>
  <si>
    <t xml:space="preserve">나이</t>
  </si>
  <si>
    <r>
      <rPr>
        <sz val="10"/>
        <rFont val="WenQuanYi Zen Hei"/>
        <family val="2"/>
      </rPr>
      <t xml:space="preserve">정중하게 독을 뿌리는 심술 황제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예의를 지키며 비꼬는 화법이라 </t>
    </r>
    <r>
      <rPr>
        <sz val="10"/>
        <rFont val="Noto Sans CJK SC"/>
        <family val="2"/>
        <charset val="1"/>
      </rPr>
      <t xml:space="preserve">Karim</t>
    </r>
    <r>
      <rPr>
        <sz val="10"/>
        <rFont val="WenQuanYi Zen Hei"/>
        <family val="2"/>
      </rPr>
      <t xml:space="preserve">의 큰 소리 화법과 구분된다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낭독하면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정중한데 기분 나쁜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억양 연습이 된다</t>
    </r>
    <r>
      <rPr>
        <sz val="10"/>
        <rFont val="Noto Sans CJK SC"/>
        <family val="2"/>
        <charset val="1"/>
      </rPr>
      <t xml:space="preserve">.</t>
    </r>
  </si>
  <si>
    <t xml:space="preserve">심술 패턴</t>
  </si>
  <si>
    <r>
      <rPr>
        <sz val="10"/>
        <rFont val="WenQuanYi Zen Hei"/>
        <family val="2"/>
      </rPr>
      <t xml:space="preserve">커피가 맛없다고 매일 불평</t>
    </r>
    <r>
      <rPr>
        <sz val="10"/>
        <rFont val="Noto Sans CJK SC"/>
        <family val="2"/>
        <charset val="1"/>
      </rPr>
      <t xml:space="preserve">(«Quelle façon de massacrer un bon café.»). Léa</t>
    </r>
    <r>
      <rPr>
        <sz val="10"/>
        <rFont val="WenQuanYi Zen Hei"/>
        <family val="2"/>
      </rPr>
      <t xml:space="preserve">를 </t>
    </r>
    <r>
      <rPr>
        <sz val="10"/>
        <rFont val="Noto Sans CJK SC"/>
        <family val="2"/>
        <charset val="1"/>
      </rPr>
      <t xml:space="preserve">«la dame aux slides», Hugo</t>
    </r>
    <r>
      <rPr>
        <sz val="10"/>
        <rFont val="WenQuanYi Zen Hei"/>
        <family val="2"/>
      </rPr>
      <t xml:space="preserve">의 원고를 </t>
    </r>
    <r>
      <rPr>
        <sz val="10"/>
        <rFont val="Noto Sans CJK SC"/>
        <family val="2"/>
        <charset val="1"/>
      </rPr>
      <t xml:space="preserve">«les mille brouillons»</t>
    </r>
    <r>
      <rPr>
        <sz val="10"/>
        <rFont val="WenQuanYi Zen Hei"/>
        <family val="2"/>
      </rPr>
      <t xml:space="preserve">라고 놀림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모든 것이 </t>
    </r>
    <r>
      <rPr>
        <sz val="10"/>
        <rFont val="Noto Sans CJK SC"/>
        <family val="2"/>
        <charset val="1"/>
      </rPr>
      <t xml:space="preserve">«De mon temps»</t>
    </r>
    <r>
      <rPr>
        <sz val="10"/>
        <rFont val="WenQuanYi Zen Hei"/>
        <family val="2"/>
      </rPr>
      <t xml:space="preserve">보다 못하다 — 그의 시대가 </t>
    </r>
    <r>
      <rPr>
        <sz val="10"/>
        <rFont val="Noto Sans CJK SC"/>
        <family val="2"/>
        <charset val="1"/>
      </rPr>
      <t xml:space="preserve">1800</t>
    </r>
    <r>
      <rPr>
        <sz val="10"/>
        <rFont val="WenQuanYi Zen Hei"/>
        <family val="2"/>
      </rPr>
      <t xml:space="preserve">년대라 더 우습다</t>
    </r>
    <r>
      <rPr>
        <sz val="10"/>
        <rFont val="Noto Sans CJK SC"/>
        <family val="2"/>
        <charset val="1"/>
      </rPr>
      <t xml:space="preserve">.</t>
    </r>
  </si>
  <si>
    <t xml:space="preserve">반복 개그</t>
  </si>
  <si>
    <r>
      <rPr>
        <sz val="10"/>
        <rFont val="WenQuanYi Zen Hei"/>
        <family val="2"/>
      </rPr>
      <t xml:space="preserve">매 겨울 </t>
    </r>
    <r>
      <rPr>
        <sz val="10"/>
        <rFont val="Noto Sans CJK SC"/>
        <family val="2"/>
        <charset val="1"/>
      </rPr>
      <t xml:space="preserve">«Cet hiver sera mon dernier.» </t>
    </r>
    <r>
      <rPr>
        <sz val="10"/>
        <rFont val="WenQuanYi Zen Hei"/>
        <family val="2"/>
      </rPr>
      <t xml:space="preserve">선언</t>
    </r>
    <r>
      <rPr>
        <sz val="10"/>
        <rFont val="Noto Sans CJK SC"/>
        <family val="2"/>
        <charset val="1"/>
      </rPr>
      <t xml:space="preserve">(«L'hiver ne m'a jamais réussi. Demandez à la Russie.»), </t>
    </r>
    <r>
      <rPr>
        <sz val="10"/>
        <rFont val="WenQuanYi Zen Hei"/>
        <family val="2"/>
      </rPr>
      <t xml:space="preserve">유언장을 계속 고쳐 씀 </t>
    </r>
    <r>
      <rPr>
        <sz val="10"/>
        <rFont val="Noto Sans CJK SC"/>
        <family val="2"/>
        <charset val="1"/>
      </rPr>
      <t xml:space="preserve">(Manon</t>
    </r>
    <r>
      <rPr>
        <sz val="10"/>
        <rFont val="WenQuanYi Zen Hei"/>
        <family val="2"/>
      </rPr>
      <t xml:space="preserve">에게 이각모를 물려주겠다 등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입버릇 </t>
    </r>
    <r>
      <rPr>
        <sz val="10"/>
        <rFont val="Noto Sans CJK SC"/>
        <family val="2"/>
        <charset val="1"/>
      </rPr>
      <t xml:space="preserve">«Notez-le dans mon testament.» </t>
    </r>
    <r>
      <rPr>
        <sz val="10"/>
        <rFont val="WenQuanYi Zen Hei"/>
        <family val="2"/>
      </rPr>
      <t xml:space="preserve">모두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또 시작이네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하며 웃어넘긴다</t>
    </r>
    <r>
      <rPr>
        <sz val="10"/>
        <rFont val="Noto Sans CJK SC"/>
        <family val="2"/>
        <charset val="1"/>
      </rPr>
      <t xml:space="preserve">.</t>
    </r>
  </si>
  <si>
    <t xml:space="preserve">가짜 병</t>
  </si>
  <si>
    <r>
      <rPr>
        <sz val="10"/>
        <rFont val="WenQuanYi Zen Hei"/>
        <family val="2"/>
      </rPr>
      <t xml:space="preserve">무릎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불면</t>
    </r>
    <r>
      <rPr>
        <sz val="10"/>
        <rFont val="Noto Sans CJK SC"/>
        <family val="2"/>
        <charset val="1"/>
      </rPr>
      <t xml:space="preserve">, '</t>
    </r>
    <r>
      <rPr>
        <sz val="10"/>
        <rFont val="WenQuanYi Zen Hei"/>
        <family val="2"/>
      </rPr>
      <t xml:space="preserve">세인트헬레나의 습기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탓이라는 기침 — 전부 엄살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소란스러운 엄살이 진짜 병의 위장이 된다</t>
    </r>
    <r>
      <rPr>
        <sz val="10"/>
        <rFont val="Noto Sans CJK SC"/>
        <family val="2"/>
        <charset val="1"/>
      </rPr>
      <t xml:space="preserve">.</t>
    </r>
  </si>
  <si>
    <t xml:space="preserve">진짜 병</t>
  </si>
  <si>
    <r>
      <rPr>
        <sz val="10"/>
        <rFont val="WenQuanYi Zen Hei"/>
        <family val="2"/>
      </rPr>
      <t xml:space="preserve">첫 번째 죽음과 같은 위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胃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의 병 </t>
    </r>
    <r>
      <rPr>
        <sz val="10"/>
        <rFont val="Noto Sans CJK SC"/>
        <family val="2"/>
        <charset val="1"/>
      </rPr>
      <t xml:space="preserve">(1821</t>
    </r>
    <r>
      <rPr>
        <sz val="10"/>
        <rFont val="WenQuanYi Zen Hei"/>
        <family val="2"/>
      </rPr>
      <t xml:space="preserve">년 세인트헬레나의 사인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이것만 숨긴다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되살아난 몸이 같은 결말을 반복한다는 운명의 아이러니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</si>
  <si>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Camille</t>
    </r>
    <r>
      <rPr>
        <b val="true"/>
        <sz val="10"/>
        <rFont val="WenQuanYi Zen Hei"/>
        <family val="2"/>
      </rPr>
      <t xml:space="preserve">의 딜레마</t>
    </r>
  </si>
  <si>
    <r>
      <rPr>
        <sz val="10"/>
        <rFont val="WenQuanYi Zen Hei"/>
        <family val="2"/>
      </rPr>
      <t xml:space="preserve">진단을 알지만 의사의 직업상 비밀</t>
    </r>
    <r>
      <rPr>
        <sz val="10"/>
        <rFont val="Noto Sans CJK SC"/>
        <family val="2"/>
        <charset val="1"/>
      </rPr>
      <t xml:space="preserve">(secret médical)</t>
    </r>
    <r>
      <rPr>
        <sz val="10"/>
        <rFont val="WenQuanYi Zen Hei"/>
        <family val="2"/>
      </rPr>
      <t xml:space="preserve">을 지킨다</t>
    </r>
    <r>
      <rPr>
        <sz val="10"/>
        <rFont val="Noto Sans CJK SC"/>
        <family val="2"/>
        <charset val="1"/>
      </rPr>
      <t xml:space="preserve">. Napoléon</t>
    </r>
    <r>
      <rPr>
        <sz val="10"/>
        <rFont val="WenQuanYi Zen Hei"/>
        <family val="2"/>
      </rPr>
      <t xml:space="preserve">이 </t>
    </r>
    <r>
      <rPr>
        <sz val="10"/>
        <rFont val="Noto Sans CJK SC"/>
        <family val="2"/>
        <charset val="1"/>
      </rPr>
      <t xml:space="preserve">«Docteure, ceci reste entre nous.»</t>
    </r>
    <r>
      <rPr>
        <sz val="10"/>
        <rFont val="WenQuanYi Zen Hei"/>
        <family val="2"/>
      </rPr>
      <t xml:space="preserve">라고 못 박았기 때문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시청자가 뒤늦게 </t>
    </r>
    <r>
      <rPr>
        <sz val="10"/>
        <rFont val="Noto Sans CJK SC"/>
        <family val="2"/>
        <charset val="1"/>
      </rPr>
      <t xml:space="preserve">'Camille</t>
    </r>
    <r>
      <rPr>
        <sz val="10"/>
        <rFont val="WenQuanYi Zen Hei"/>
        <family val="2"/>
      </rPr>
      <t xml:space="preserve">가 왜 조용했는지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깨닫는 구조</t>
    </r>
    <r>
      <rPr>
        <sz val="10"/>
        <rFont val="Noto Sans CJK SC"/>
        <family val="2"/>
        <charset val="1"/>
      </rPr>
      <t xml:space="preserve">.</t>
    </r>
  </si>
  <si>
    <t xml:space="preserve">최고의 칭찬</t>
  </si>
  <si>
    <r>
      <rPr>
        <sz val="10"/>
        <rFont val="Arial"/>
        <family val="0"/>
        <charset val="1"/>
      </rPr>
      <t xml:space="preserve">«Pas mal.» — </t>
    </r>
    <r>
      <rPr>
        <sz val="10"/>
        <rFont val="WenQuanYi Zen Hei"/>
        <family val="2"/>
      </rPr>
      <t xml:space="preserve">극히 드물게 쓰는 표현</t>
    </r>
    <r>
      <rPr>
        <sz val="10"/>
        <rFont val="Arial"/>
        <family val="0"/>
        <charset val="1"/>
      </rPr>
      <t xml:space="preserve">. Manon</t>
    </r>
    <r>
      <rPr>
        <sz val="10"/>
        <rFont val="WenQuanYi Zen Hei"/>
        <family val="2"/>
      </rPr>
      <t xml:space="preserve">에게는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사망 직전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가 사실상 처음이어야 낙차가 산다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</si>
  <si>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WenQuanYi Zen Hei"/>
        <family val="2"/>
      </rPr>
      <t xml:space="preserve">호칭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욕</t>
    </r>
  </si>
  <si>
    <r>
      <rPr>
        <sz val="10"/>
        <rFont val="WenQuanYi Zen Hei"/>
        <family val="2"/>
      </rPr>
      <t xml:space="preserve">여럿에게는 </t>
    </r>
    <r>
      <rPr>
        <sz val="10"/>
        <rFont val="Noto Sans CJK SC"/>
        <family val="2"/>
        <charset val="1"/>
      </rPr>
      <t xml:space="preserve">«Messieurs, mesdames» + vous, Manon</t>
    </r>
    <r>
      <rPr>
        <sz val="10"/>
        <rFont val="WenQuanYi Zen Hei"/>
        <family val="2"/>
      </rPr>
      <t xml:space="preserve">에게는 </t>
    </r>
    <r>
      <rPr>
        <sz val="10"/>
        <rFont val="Noto Sans CJK SC"/>
        <family val="2"/>
        <charset val="1"/>
      </rPr>
      <t xml:space="preserve">tu(«petite», «soldat»). </t>
    </r>
    <r>
      <rPr>
        <sz val="10"/>
        <rFont val="WenQuanYi Zen Hei"/>
        <family val="2"/>
      </rPr>
      <t xml:space="preserve">욕</t>
    </r>
    <r>
      <rPr>
        <sz val="10"/>
        <rFont val="Noto Sans CJK SC"/>
        <family val="2"/>
        <charset val="1"/>
      </rPr>
      <t xml:space="preserve">(«bécasse»)</t>
    </r>
    <r>
      <rPr>
        <sz val="10"/>
        <rFont val="WenQuanYi Zen Hei"/>
        <family val="2"/>
      </rPr>
      <t xml:space="preserve">은 </t>
    </r>
    <r>
      <rPr>
        <sz val="10"/>
        <rFont val="Noto Sans CJK SC"/>
        <family val="2"/>
        <charset val="1"/>
      </rPr>
      <t xml:space="preserve">Manon</t>
    </r>
    <r>
      <rPr>
        <sz val="10"/>
        <rFont val="WenQuanYi Zen Hei"/>
        <family val="2"/>
      </rPr>
      <t xml:space="preserve">에게만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폭발 장면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회 한정</t>
    </r>
    <r>
      <rPr>
        <sz val="10"/>
        <rFont val="Noto Sans CJK SC"/>
        <family val="2"/>
        <charset val="1"/>
      </rPr>
      <t xml:space="preserve">.</t>
    </r>
  </si>
  <si>
    <t xml:space="preserve">죽음 이후</t>
  </si>
  <si>
    <r>
      <rPr>
        <sz val="10"/>
        <rFont val="Arial"/>
        <family val="0"/>
        <charset val="1"/>
      </rPr>
      <t xml:space="preserve">La Vieille Garde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Jeanne + Curie + </t>
    </r>
    <r>
      <rPr>
        <sz val="10"/>
        <rFont val="WenQuanYi Zen Hei"/>
        <family val="2"/>
      </rPr>
      <t xml:space="preserve">빈 의자</t>
    </r>
    <r>
      <rPr>
        <sz val="10"/>
        <rFont val="Arial"/>
        <family val="0"/>
        <charset val="1"/>
      </rPr>
      <t xml:space="preserve">. 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'Le vide dans la garde'</t>
    </r>
    <r>
      <rPr>
        <sz val="10"/>
        <rFont val="WenQuanYi Zen Hei"/>
        <family val="2"/>
      </rPr>
      <t xml:space="preserve">에서 정면으로 다룬다</t>
    </r>
    <r>
      <rPr>
        <sz val="10"/>
        <rFont val="Arial"/>
        <family val="0"/>
        <charset val="1"/>
      </rPr>
      <t xml:space="preserve">. (La Vieille Garde</t>
    </r>
    <r>
      <rPr>
        <sz val="10"/>
        <rFont val="WenQuanYi Zen Hei"/>
        <family val="2"/>
      </rPr>
      <t xml:space="preserve">는 실제 나폴레옹 근위대의 이름이기도 하다</t>
    </r>
    <r>
      <rPr>
        <sz val="10"/>
        <rFont val="Arial"/>
        <family val="0"/>
        <charset val="1"/>
      </rPr>
      <t xml:space="preserve">.)</t>
    </r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</si>
  <si>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WenQuanYi Zen Hei"/>
        <family val="2"/>
      </rPr>
      <t xml:space="preserve">복선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WenQuanYi Zen Hei"/>
        <family val="2"/>
      </rPr>
      <t xml:space="preserve">사망 타임라인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전부 대사로 처리</t>
    </r>
    <r>
      <rPr>
        <b val="true"/>
        <sz val="10"/>
        <rFont val="Arial"/>
        <family val="0"/>
        <charset val="1"/>
      </rPr>
      <t xml:space="preserve">)</t>
    </r>
  </si>
  <si>
    <t xml:space="preserve">대화문 처리 방식</t>
  </si>
  <si>
    <r>
      <rPr>
        <b val="true"/>
        <sz val="10"/>
        <color rgb="FFFFFFFF"/>
        <rFont val="WenQuanYi Zen Hei"/>
        <family val="2"/>
      </rPr>
      <t xml:space="preserve">대사 예시 </t>
    </r>
    <r>
      <rPr>
        <b val="true"/>
        <sz val="10"/>
        <color rgb="FFFFFFFF"/>
        <rFont val="Noto Sans CJK SC"/>
        <family val="2"/>
        <charset val="1"/>
      </rPr>
      <t xml:space="preserve">(FR)</t>
    </r>
  </si>
  <si>
    <t xml:space="preserve">학습 어휘</t>
  </si>
  <si>
    <r>
      <rPr>
        <b val="true"/>
        <sz val="10"/>
        <rFont val="Arial"/>
        <family val="0"/>
        <charset val="1"/>
      </rPr>
      <t xml:space="preserve">1~10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매 겨울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</si>
  <si>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마지막 겨울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선언과 유언장 수정</t>
    </r>
    <r>
      <rPr>
        <sz val="10"/>
        <rFont val="Arial"/>
        <family val="0"/>
        <charset val="1"/>
      </rPr>
      <t xml:space="preserve">. 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개소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개월 시점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부터 이미 반복되어 온 농담으로 등장한다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</si>
  <si>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본인이 선언하고 주변이 </t>
    </r>
    <r>
      <rPr>
        <sz val="10"/>
        <rFont val="Noto Sans CJK SC"/>
        <family val="2"/>
        <charset val="1"/>
      </rPr>
      <t xml:space="preserve">«Encore…»</t>
    </r>
    <r>
      <rPr>
        <sz val="10"/>
        <rFont val="WenQuanYi Zen Hei"/>
        <family val="2"/>
      </rPr>
      <t xml:space="preserve">로 받는다</t>
    </r>
    <r>
      <rPr>
        <sz val="10"/>
        <rFont val="Noto Sans CJK SC"/>
        <family val="2"/>
        <charset val="1"/>
      </rPr>
      <t xml:space="preserve">.</t>
    </r>
  </si>
  <si>
    <t xml:space="preserve">Cet hiver sera mon dernier. Notez-le dans mon testament.</t>
  </si>
  <si>
    <t xml:space="preserve">testament, léguer, hiver</t>
  </si>
  <si>
    <r>
      <rPr>
        <b val="true"/>
        <sz val="10"/>
        <rFont val="Arial"/>
        <family val="0"/>
        <charset val="1"/>
      </rPr>
      <t xml:space="preserve">1~11</t>
    </r>
    <r>
      <rPr>
        <b val="true"/>
        <sz val="10"/>
        <rFont val="WenQuanYi Zen Hei"/>
        <family val="2"/>
      </rPr>
      <t xml:space="preserve">부</t>
    </r>
  </si>
  <si>
    <r>
      <rPr>
        <sz val="10"/>
        <rFont val="WenQuanYi Zen Hei"/>
        <family val="2"/>
      </rPr>
      <t xml:space="preserve">가짜 병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무릎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불면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기침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</si>
  <si>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Camille</t>
    </r>
    <r>
      <rPr>
        <sz val="10"/>
        <rFont val="WenQuanYi Zen Hei"/>
        <family val="2"/>
      </rPr>
      <t xml:space="preserve">가 </t>
    </r>
    <r>
      <rPr>
        <sz val="10"/>
        <rFont val="Arial"/>
        <family val="0"/>
        <charset val="1"/>
      </rPr>
      <t xml:space="preserve">«Vous n'avez rien.»</t>
    </r>
    <r>
      <rPr>
        <sz val="10"/>
        <rFont val="WenQuanYi Zen Hei"/>
        <family val="2"/>
      </rPr>
      <t xml:space="preserve">으로 넘긴다</t>
    </r>
    <r>
      <rPr>
        <sz val="10"/>
        <rFont val="Arial"/>
        <family val="0"/>
        <charset val="1"/>
      </rPr>
      <t xml:space="preserve">.</t>
    </r>
  </si>
  <si>
    <t xml:space="preserve">J'ai mal au genou. C'est la fin.</t>
  </si>
  <si>
    <t xml:space="preserve">genou, insomnie, toux, maux</t>
  </si>
  <si>
    <r>
      <rPr>
        <sz val="10"/>
        <rFont val="Arial"/>
        <family val="0"/>
        <charset val="1"/>
      </rPr>
      <t xml:space="preserve">«Tu peux me tutoyer.» </t>
    </r>
    <r>
      <rPr>
        <sz val="10"/>
        <rFont val="WenQuanYi Zen Hei"/>
        <family val="2"/>
      </rPr>
      <t xml:space="preserve">허락 — </t>
    </r>
    <r>
      <rPr>
        <sz val="10"/>
        <rFont val="Arial"/>
        <family val="0"/>
        <charset val="1"/>
      </rPr>
      <t xml:space="preserve">Manon</t>
    </r>
    <r>
      <rPr>
        <sz val="10"/>
        <rFont val="WenQuanYi Zen Hei"/>
        <family val="2"/>
      </rPr>
      <t xml:space="preserve">은 습관 때문에 </t>
    </r>
    <r>
      <rPr>
        <sz val="10"/>
        <rFont val="Arial"/>
        <family val="0"/>
        <charset val="1"/>
      </rPr>
      <t xml:space="preserve">vous </t>
    </r>
    <r>
      <rPr>
        <sz val="10"/>
        <rFont val="WenQuanYi Zen Hei"/>
        <family val="2"/>
      </rPr>
      <t xml:space="preserve">유지</t>
    </r>
  </si>
  <si>
    <r>
      <rPr>
        <sz val="10"/>
        <rFont val="WenQuanYi Zen Hei"/>
        <family val="2"/>
      </rPr>
      <t xml:space="preserve">허락과 거절이 모두 대사로 나온다</t>
    </r>
    <r>
      <rPr>
        <sz val="10"/>
        <rFont val="Noto Sans CJK SC"/>
        <family val="2"/>
        <charset val="1"/>
      </rPr>
      <t xml:space="preserve">.</t>
    </r>
  </si>
  <si>
    <t xml:space="preserve">Tu peux me tutoyer, petite. / Pardon, c'est l'habitude.</t>
  </si>
  <si>
    <t xml:space="preserve">tutoyer, vouvoyer, habitude</t>
  </si>
  <si>
    <r>
      <rPr>
        <sz val="10"/>
        <rFont val="Arial"/>
        <family val="0"/>
        <charset val="1"/>
      </rPr>
      <t xml:space="preserve">Manon 2</t>
    </r>
    <r>
      <rPr>
        <sz val="10"/>
        <rFont val="WenQuanYi Zen Hei"/>
        <family val="2"/>
      </rPr>
      <t xml:space="preserve">차 폭발에서 </t>
    </r>
    <r>
      <rPr>
        <sz val="10"/>
        <rFont val="Arial"/>
        <family val="0"/>
        <charset val="1"/>
      </rPr>
      <t xml:space="preserve">Napoléon</t>
    </r>
    <r>
      <rPr>
        <sz val="10"/>
        <rFont val="WenQuanYi Zen Hei"/>
        <family val="2"/>
      </rPr>
      <t xml:space="preserve">이 선을 넘음 → </t>
    </r>
    <r>
      <rPr>
        <sz val="10"/>
        <rFont val="Arial"/>
        <family val="0"/>
        <charset val="1"/>
      </rPr>
      <t xml:space="preserve">Jeanne·Monique</t>
    </r>
    <r>
      <rPr>
        <sz val="10"/>
        <rFont val="WenQuanYi Zen Hei"/>
        <family val="2"/>
      </rPr>
      <t xml:space="preserve">가 나무람</t>
    </r>
  </si>
  <si>
    <r>
      <rPr>
        <sz val="10"/>
        <rFont val="WenQuanYi Zen Hei"/>
        <family val="2"/>
      </rPr>
      <t xml:space="preserve">선을 넘는 말과 사과 모두 대사로</t>
    </r>
    <r>
      <rPr>
        <sz val="10"/>
        <rFont val="Noto Sans CJK SC"/>
        <family val="2"/>
        <charset val="1"/>
      </rPr>
      <t xml:space="preserve">.</t>
    </r>
  </si>
  <si>
    <t xml:space="preserve">Je retire ce que j'ai dit… en partie.</t>
  </si>
  <si>
    <t xml:space="preserve">retirer ses paroles, s'excuser</t>
  </si>
  <si>
    <r>
      <rPr>
        <b val="true"/>
        <sz val="10"/>
        <rFont val="Arial"/>
        <family val="0"/>
        <charset val="1"/>
      </rPr>
      <t xml:space="preserve">11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6</t>
    </r>
    <r>
      <rPr>
        <b val="true"/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</si>
  <si>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청년 고용 협상에서 좋은 조언을 하지만 계단에서 배를 움켜쥐는 게 처음으로 드러남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죽음은 아직 아님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</si>
  <si>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«Je n'ai rien»</t>
    </r>
    <r>
      <rPr>
        <sz val="10"/>
        <rFont val="WenQuanYi Zen Hei"/>
        <family val="2"/>
      </rPr>
      <t xml:space="preserve">이 아니라 </t>
    </r>
    <r>
      <rPr>
        <sz val="10"/>
        <rFont val="Arial"/>
        <family val="0"/>
        <charset val="1"/>
      </rPr>
      <t xml:space="preserve">«Ce n'est rien, c'est l'escalier»</t>
    </r>
    <r>
      <rPr>
        <sz val="10"/>
        <rFont val="WenQuanYi Zen Hei"/>
        <family val="2"/>
      </rPr>
      <t xml:space="preserve">로 처음 균열</t>
    </r>
    <r>
      <rPr>
        <sz val="10"/>
        <rFont val="Arial"/>
        <family val="0"/>
        <charset val="1"/>
      </rPr>
      <t xml:space="preserve">.</t>
    </r>
  </si>
  <si>
    <t xml:space="preserve">Ce n'est rien. C'est l'escalier, petite.</t>
  </si>
  <si>
    <t xml:space="preserve">escalier, souffle, douleur</t>
  </si>
  <si>
    <r>
      <rPr>
        <b val="true"/>
        <sz val="10"/>
        <rFont val="Arial"/>
        <family val="0"/>
        <charset val="1"/>
      </rPr>
      <t xml:space="preserve">11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9</t>
    </r>
    <r>
      <rPr>
        <b val="true"/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</si>
  <si>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브뤼셀行 자원</t>
    </r>
    <r>
      <rPr>
        <sz val="10"/>
        <rFont val="Noto Sans CJK SC"/>
        <family val="2"/>
        <charset val="1"/>
      </rPr>
      <t xml:space="preserve">. Hugo</t>
    </r>
    <r>
      <rPr>
        <sz val="10"/>
        <rFont val="WenQuanYi Zen Hei"/>
        <family val="2"/>
      </rPr>
      <t xml:space="preserve">에게 짐을 싸며 두 지도자를 특징으로만 묘사 — 건물에 금박 이름을 새긴 사업가 출신과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정보기관 출신으로 이웃 나라 땅을 가져간 인물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이름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국가는 끝내 말하지 않는다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</si>
  <si>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실명 대신 행동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이력의 특징만 나열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실존 인물 실명 미사용</t>
    </r>
    <r>
      <rPr>
        <sz val="10"/>
        <rFont val="Noto Sans CJK SC"/>
        <family val="2"/>
        <charset val="1"/>
      </rPr>
      <t xml:space="preserve">.</t>
    </r>
  </si>
  <si>
    <t xml:space="preserve">L'un a mis son nom en lettres dorées sur ses immeubles. Maintenant, il vend des droits de douane, en criant. / Cela ressemble à qui vous voulez, jeune homme. Moi, je décris le paysage.</t>
  </si>
  <si>
    <t xml:space="preserve">droits de douane, services secrets, régime, discrétion diplomatique</t>
  </si>
  <si>
    <r>
      <rPr>
        <b val="true"/>
        <sz val="10"/>
        <rFont val="Arial"/>
        <family val="0"/>
        <charset val="1"/>
      </rPr>
      <t xml:space="preserve">11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</si>
  <si>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직접 협상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상대의 과장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거짓 주장을 밤새 읽은 기록의 날짜로 정확히 반박</t>
    </r>
  </si>
  <si>
    <r>
      <rPr>
        <sz val="10"/>
        <rFont val="Arial"/>
        <family val="0"/>
        <charset val="1"/>
      </rPr>
      <t xml:space="preserve">«Permettez-moi de vous corriger»</t>
    </r>
    <r>
      <rPr>
        <sz val="10"/>
        <rFont val="WenQuanYi Zen Hei"/>
        <family val="2"/>
      </rPr>
      <t xml:space="preserve">로 시작하는 반박 대사</t>
    </r>
    <r>
      <rPr>
        <sz val="10"/>
        <rFont val="Arial"/>
        <family val="0"/>
        <charset val="1"/>
      </rPr>
      <t xml:space="preserve">.</t>
    </r>
  </si>
  <si>
    <t xml:space="preserve">J'ai lu les archives toute la nuit, jeune homme. Lisez-les avec plus d'attention.</t>
  </si>
  <si>
    <t xml:space="preserve">corriger, archives, précision diplomatique</t>
  </si>
  <si>
    <r>
      <rPr>
        <b val="true"/>
        <sz val="10"/>
        <rFont val="Arial"/>
        <family val="0"/>
        <charset val="1"/>
      </rPr>
      <t xml:space="preserve">11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11</t>
    </r>
    <r>
      <rPr>
        <b val="true"/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</si>
  <si>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타결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귀국길에 피로를 숨기고 </t>
    </r>
    <r>
      <rPr>
        <sz val="10"/>
        <rFont val="Noto Sans CJK SC"/>
        <family val="2"/>
        <charset val="1"/>
      </rPr>
      <t xml:space="preserve">Julien</t>
    </r>
    <r>
      <rPr>
        <sz val="10"/>
        <rFont val="WenQuanYi Zen Hei"/>
        <family val="2"/>
      </rPr>
      <t xml:space="preserve">에게 메모를 남기라고 지시</t>
    </r>
  </si>
  <si>
    <r>
      <rPr>
        <sz val="10"/>
        <rFont val="WenQuanYi Zen Hei"/>
        <family val="2"/>
      </rPr>
      <t xml:space="preserve">직접 증상을 말하지 않고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메모를 남기라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는 명령으로 암시</t>
    </r>
    <r>
      <rPr>
        <sz val="10"/>
        <rFont val="Noto Sans CJK SC"/>
        <family val="2"/>
        <charset val="1"/>
      </rPr>
      <t xml:space="preserve">.</t>
    </r>
  </si>
  <si>
    <t xml:space="preserve">Au cas où, notez ceci aussi, Julien.</t>
  </si>
  <si>
    <t xml:space="preserve">au cas où, héritage, instruction</t>
  </si>
  <si>
    <r>
      <rPr>
        <b val="true"/>
        <sz val="10"/>
        <rFont val="Arial"/>
        <family val="0"/>
        <charset val="1"/>
      </rPr>
      <t xml:space="preserve">11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WenQuanYi Zen Hei"/>
        <family val="2"/>
      </rPr>
      <t xml:space="preserve">화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사망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</si>
  <si>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귀국 직후 자택에서 위의 병으로 사망</t>
    </r>
    <r>
      <rPr>
        <sz val="10"/>
        <rFont val="Noto Sans CJK SC"/>
        <family val="2"/>
        <charset val="1"/>
      </rPr>
      <t xml:space="preserve">. Manon</t>
    </r>
    <r>
      <rPr>
        <sz val="10"/>
        <rFont val="WenQuanYi Zen Hei"/>
        <family val="2"/>
      </rPr>
      <t xml:space="preserve">이 서명을 받으러 왔다가 발견</t>
    </r>
  </si>
  <si>
    <r>
      <rPr>
        <sz val="10"/>
        <rFont val="WenQuanYi Zen Hei"/>
        <family val="2"/>
      </rPr>
      <t xml:space="preserve">사망은 지문 없이 호명과 확인 대사로</t>
    </r>
    <r>
      <rPr>
        <sz val="10"/>
        <rFont val="Noto Sans CJK SC"/>
        <family val="2"/>
        <charset val="1"/>
      </rPr>
      <t xml:space="preserve">: Manon</t>
    </r>
    <r>
      <rPr>
        <sz val="10"/>
        <rFont val="WenQuanYi Zen Hei"/>
        <family val="2"/>
      </rPr>
      <t xml:space="preserve">이 부르고 </t>
    </r>
    <r>
      <rPr>
        <sz val="10"/>
        <rFont val="Noto Sans CJK SC"/>
        <family val="2"/>
        <charset val="1"/>
      </rPr>
      <t xml:space="preserve">Camille</t>
    </r>
    <r>
      <rPr>
        <sz val="10"/>
        <rFont val="WenQuanYi Zen Hei"/>
        <family val="2"/>
      </rPr>
      <t xml:space="preserve">가 </t>
    </r>
    <r>
      <rPr>
        <sz val="10"/>
        <rFont val="Noto Sans CJK SC"/>
        <family val="2"/>
        <charset val="1"/>
      </rPr>
      <t xml:space="preserve">«Il est parti.»</t>
    </r>
    <r>
      <rPr>
        <sz val="10"/>
        <rFont val="WenQuanYi Zen Hei"/>
        <family val="2"/>
      </rPr>
      <t xml:space="preserve">라고 말한다</t>
    </r>
    <r>
      <rPr>
        <sz val="10"/>
        <rFont val="Noto Sans CJK SC"/>
        <family val="2"/>
        <charset val="1"/>
      </rPr>
      <t xml:space="preserve">.</t>
    </r>
  </si>
  <si>
    <t xml:space="preserve">Pas mal.  /  Napoléon ? — Il est parti, Manon.</t>
  </si>
  <si>
    <t xml:space="preserve">pouls, arrêt cardiaque, réanimation, décéder</t>
  </si>
  <si>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</si>
  <si>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장례식이 첫 화</t>
    </r>
    <r>
      <rPr>
        <sz val="10"/>
        <rFont val="Noto Sans CJK SC"/>
        <family val="2"/>
        <charset val="1"/>
      </rPr>
      <t xml:space="preserve">. Chez Monique</t>
    </r>
    <r>
      <rPr>
        <sz val="10"/>
        <rFont val="WenQuanYi Zen Hei"/>
        <family val="2"/>
      </rPr>
      <t xml:space="preserve">에 빈자리</t>
    </r>
    <r>
      <rPr>
        <sz val="10"/>
        <rFont val="Noto Sans CJK SC"/>
        <family val="2"/>
        <charset val="1"/>
      </rPr>
      <t xml:space="preserve">, Monique</t>
    </r>
    <r>
      <rPr>
        <sz val="10"/>
        <rFont val="WenQuanYi Zen Hei"/>
        <family val="2"/>
      </rPr>
      <t xml:space="preserve">가 커피 한 잔을 계속 내놓음</t>
    </r>
    <r>
      <rPr>
        <sz val="10"/>
        <rFont val="Noto Sans CJK SC"/>
        <family val="2"/>
        <charset val="1"/>
      </rPr>
      <t xml:space="preserve">. Manon</t>
    </r>
    <r>
      <rPr>
        <sz val="10"/>
        <rFont val="WenQuanYi Zen Hei"/>
        <family val="2"/>
      </rPr>
      <t xml:space="preserve">이 추도사에서 처음으로 </t>
    </r>
    <r>
      <rPr>
        <sz val="10"/>
        <rFont val="Noto Sans CJK SC"/>
        <family val="2"/>
        <charset val="1"/>
      </rPr>
      <t xml:space="preserve">tu </t>
    </r>
    <r>
      <rPr>
        <sz val="10"/>
        <rFont val="WenQuanYi Zen Hei"/>
        <family val="2"/>
      </rPr>
      <t xml:space="preserve">사용</t>
    </r>
  </si>
  <si>
    <r>
      <rPr>
        <sz val="10"/>
        <rFont val="WenQuanYi Zen Hei"/>
        <family val="2"/>
      </rPr>
      <t xml:space="preserve">장소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상황은 </t>
    </r>
    <r>
      <rPr>
        <sz val="10"/>
        <rFont val="Noto Sans CJK SC"/>
        <family val="2"/>
        <charset val="1"/>
      </rPr>
      <t xml:space="preserve">Monique·Manon</t>
    </r>
    <r>
      <rPr>
        <sz val="10"/>
        <rFont val="WenQuanYi Zen Hei"/>
        <family val="2"/>
      </rPr>
      <t xml:space="preserve">의 대사로</t>
    </r>
    <r>
      <rPr>
        <sz val="10"/>
        <rFont val="Noto Sans CJK SC"/>
        <family val="2"/>
        <charset val="1"/>
      </rPr>
      <t xml:space="preserve">.</t>
    </r>
  </si>
  <si>
    <t xml:space="preserve">Un café pour Napoléon. Comme d'habitude. / Pour toi, « pas mal », c'était le plus beau compliment.</t>
  </si>
  <si>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2~3</t>
    </r>
    <r>
      <rPr>
        <b val="true"/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</si>
  <si>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유작 메모 발견 →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차 브뤼셀 협상에서 </t>
    </r>
    <r>
      <rPr>
        <sz val="10"/>
        <rFont val="Noto Sans CJK SC"/>
        <family val="2"/>
        <charset val="1"/>
      </rPr>
      <t xml:space="preserve">Hugo</t>
    </r>
    <r>
      <rPr>
        <sz val="10"/>
        <rFont val="WenQuanYi Zen Hei"/>
        <family val="2"/>
      </rPr>
      <t xml:space="preserve">가 다듬은 그의 문장을 인용</t>
    </r>
  </si>
  <si>
    <r>
      <rPr>
        <sz val="10"/>
        <rFont val="Arial"/>
        <family val="0"/>
        <charset val="1"/>
      </rPr>
      <t xml:space="preserve">Hugo</t>
    </r>
    <r>
      <rPr>
        <sz val="10"/>
        <rFont val="WenQuanYi Zen Hei"/>
        <family val="2"/>
      </rPr>
      <t xml:space="preserve">가 메모를 소리 내어 읽고 </t>
    </r>
    <r>
      <rPr>
        <sz val="10"/>
        <rFont val="Arial"/>
        <family val="0"/>
        <charset val="1"/>
      </rPr>
      <t xml:space="preserve">Julien</t>
    </r>
    <r>
      <rPr>
        <sz val="10"/>
        <rFont val="WenQuanYi Zen Hei"/>
        <family val="2"/>
      </rPr>
      <t xml:space="preserve">이 협상장에서 그 문장을 인용한다</t>
    </r>
    <r>
      <rPr>
        <sz val="10"/>
        <rFont val="Arial"/>
        <family val="0"/>
        <charset val="1"/>
      </rPr>
      <t xml:space="preserve">.</t>
    </r>
  </si>
  <si>
    <t xml:space="preserve">Permettez-moi une dernière précision : ce n'était pas mal.</t>
  </si>
  <si>
    <t xml:space="preserve">mémorandum, héritage, précision, ECOFIN</t>
  </si>
  <si>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</si>
  <si>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근위대의 빈자리</t>
    </r>
    <r>
      <rPr>
        <sz val="10"/>
        <rFont val="Arial"/>
        <family val="0"/>
        <charset val="1"/>
      </rPr>
      <t xml:space="preserve">' — Jeanne·Curie</t>
    </r>
    <r>
      <rPr>
        <sz val="10"/>
        <rFont val="WenQuanYi Zen Hei"/>
        <family val="2"/>
      </rPr>
      <t xml:space="preserve">가 그의 커피 불평을 그리워한다고 인정</t>
    </r>
  </si>
  <si>
    <r>
      <rPr>
        <sz val="10"/>
        <rFont val="WenQuanYi Zen Hei"/>
        <family val="2"/>
      </rPr>
      <t xml:space="preserve">회상은 </t>
    </r>
    <r>
      <rPr>
        <sz val="10"/>
        <rFont val="Noto Sans CJK SC"/>
        <family val="2"/>
        <charset val="1"/>
      </rPr>
      <t xml:space="preserve">Monique·Jeanne·Curie</t>
    </r>
    <r>
      <rPr>
        <sz val="10"/>
        <rFont val="WenQuanYi Zen Hei"/>
        <family val="2"/>
      </rPr>
      <t xml:space="preserve">의 대사로</t>
    </r>
    <r>
      <rPr>
        <sz val="10"/>
        <rFont val="Noto Sans CJK SC"/>
        <family val="2"/>
        <charset val="1"/>
      </rPr>
      <t xml:space="preserve">.</t>
    </r>
  </si>
  <si>
    <t xml:space="preserve">Il manque quelqu'un à cette table, et il manque son café froid.</t>
  </si>
  <si>
    <t xml:space="preserve">se souvenir, vide, absence</t>
  </si>
  <si>
    <r>
      <rPr>
        <b val="true"/>
        <sz val="10"/>
        <rFont val="Arial"/>
        <family val="0"/>
        <charset val="1"/>
      </rPr>
      <t xml:space="preserve">13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</si>
  <si>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유언장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공증인 앞에서 이각모가 </t>
    </r>
    <r>
      <rPr>
        <sz val="10"/>
        <rFont val="Noto Sans CJK SC"/>
        <family val="2"/>
        <charset val="1"/>
      </rPr>
      <t xml:space="preserve">Manon</t>
    </r>
    <r>
      <rPr>
        <sz val="10"/>
        <rFont val="WenQuanYi Zen Hei"/>
        <family val="2"/>
      </rPr>
      <t xml:space="preserve">에게 간다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양치기 소년 개그의 회수</t>
    </r>
    <r>
      <rPr>
        <sz val="10"/>
        <rFont val="Noto Sans CJK SC"/>
        <family val="2"/>
        <charset val="1"/>
      </rPr>
      <t xml:space="preserve">). Jeanne</t>
    </r>
    <r>
      <rPr>
        <sz val="10"/>
        <rFont val="WenQuanYi Zen Hei"/>
        <family val="2"/>
      </rPr>
      <t xml:space="preserve">이 유언집행자</t>
    </r>
    <r>
      <rPr>
        <sz val="10"/>
        <rFont val="Noto Sans CJK SC"/>
        <family val="2"/>
        <charset val="1"/>
      </rPr>
      <t xml:space="preserve">(exécuteur testamentaire)</t>
    </r>
  </si>
  <si>
    <r>
      <rPr>
        <sz val="10"/>
        <rFont val="WenQuanYi Zen Hei"/>
        <family val="2"/>
      </rPr>
      <t xml:space="preserve">공증인</t>
    </r>
    <r>
      <rPr>
        <sz val="10"/>
        <rFont val="Noto Sans CJK SC"/>
        <family val="2"/>
        <charset val="1"/>
      </rPr>
      <t xml:space="preserve">(NOTAIRE)</t>
    </r>
    <r>
      <rPr>
        <sz val="10"/>
        <rFont val="WenQuanYi Zen Hei"/>
        <family val="2"/>
      </rPr>
      <t xml:space="preserve">이 유언 내용을 낭독하고 </t>
    </r>
    <r>
      <rPr>
        <sz val="10"/>
        <rFont val="Noto Sans CJK SC"/>
        <family val="2"/>
        <charset val="1"/>
      </rPr>
      <t xml:space="preserve">Manon</t>
    </r>
    <r>
      <rPr>
        <sz val="10"/>
        <rFont val="WenQuanYi Zen Hei"/>
        <family val="2"/>
      </rPr>
      <t xml:space="preserve">이 되묻는다</t>
    </r>
    <r>
      <rPr>
        <sz val="10"/>
        <rFont val="Noto Sans CJK SC"/>
        <family val="2"/>
        <charset val="1"/>
      </rPr>
      <t xml:space="preserve">.</t>
    </r>
  </si>
  <si>
    <t xml:space="preserve">Pour Manon, mon bicorne. Notez-le dans mon testament.</t>
  </si>
  <si>
    <t xml:space="preserve">testament, exécuteur testamentaire, notaire, dernières volontés</t>
  </si>
  <si>
    <r>
      <rPr>
        <b val="true"/>
        <sz val="10"/>
        <rFont val="Arial"/>
        <family val="0"/>
        <charset val="1"/>
      </rPr>
      <t xml:space="preserve">12</t>
    </r>
    <r>
      <rPr>
        <b val="true"/>
        <sz val="10"/>
        <rFont val="WenQuanYi Zen Hei"/>
        <family val="2"/>
      </rPr>
      <t xml:space="preserve">부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선택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</si>
  <si>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Sartre</t>
    </r>
    <r>
      <rPr>
        <sz val="10"/>
        <rFont val="WenQuanYi Zen Hei"/>
        <family val="2"/>
      </rPr>
      <t xml:space="preserve">의 애도 대화</t>
    </r>
  </si>
  <si>
    <r>
      <rPr>
        <sz val="10"/>
        <rFont val="WenQuanYi Zen Hei"/>
        <family val="2"/>
      </rPr>
      <t xml:space="preserve">다들 질색하던 </t>
    </r>
    <r>
      <rPr>
        <sz val="10"/>
        <rFont val="Noto Sans CJK SC"/>
        <family val="2"/>
        <charset val="1"/>
      </rPr>
      <t xml:space="preserve">«Et toi, qu'est-ce que tu choisis ?»</t>
    </r>
    <r>
      <rPr>
        <sz val="10"/>
        <rFont val="WenQuanYi Zen Hei"/>
        <family val="2"/>
      </rPr>
      <t xml:space="preserve">가 처음으로 진지하게 쓰인다</t>
    </r>
    <r>
      <rPr>
        <sz val="10"/>
        <rFont val="Noto Sans CJK SC"/>
        <family val="2"/>
        <charset val="1"/>
      </rPr>
      <t xml:space="preserve">.</t>
    </r>
  </si>
  <si>
    <t xml:space="preserve">Et toi, qu'est-ce que tu choisis, maintenant qu'il n'est plus là ?</t>
  </si>
  <si>
    <t xml:space="preserve">deuil, perte, chagrin</t>
  </si>
  <si>
    <r>
      <rPr>
        <b val="true"/>
        <sz val="14"/>
        <color rgb="FF1F3864"/>
        <rFont val="Arial"/>
        <family val="0"/>
        <charset val="1"/>
      </rPr>
      <t xml:space="preserve">Curie — </t>
    </r>
    <r>
      <rPr>
        <b val="true"/>
        <sz val="14"/>
        <color rgb="FF1F3864"/>
        <rFont val="WenQuanYi Zen Hei"/>
        <family val="2"/>
      </rPr>
      <t xml:space="preserve">결론 대신 출처를 가리키는 사람</t>
    </r>
  </si>
  <si>
    <r>
      <rPr>
        <i val="true"/>
        <sz val="9"/>
        <color rgb="FF595959"/>
        <rFont val="WenQuanYi Zen Hei"/>
        <family val="2"/>
      </rPr>
      <t xml:space="preserve">직접 답하지 않고 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어디를 찾을지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만 알려 준다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과학자의 논리</t>
    </r>
    <r>
      <rPr>
        <i val="true"/>
        <sz val="9"/>
        <color rgb="FF595959"/>
        <rFont val="Noto Sans CJK SC"/>
        <family val="2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답은 측정과 원자료에 있고</t>
    </r>
    <r>
      <rPr>
        <i val="true"/>
        <sz val="9"/>
        <color rgb="FF595959"/>
        <rFont val="Noto Sans CJK SC"/>
        <family val="2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그 대부분은 공개 출처에 있다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</si>
  <si>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WenQuanYi Zen Hei"/>
        <family val="2"/>
      </rPr>
      <t xml:space="preserve">설정 변경</t>
    </r>
  </si>
  <si>
    <t xml:space="preserve">답하는 방식</t>
  </si>
  <si>
    <r>
      <rPr>
        <sz val="10"/>
        <rFont val="WenQuanYi Zen Hei"/>
        <family val="2"/>
      </rPr>
      <t xml:space="preserve">결론은 말하지 않고 출처만 가리킨다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실험 노트처럼 정확하게</t>
    </r>
    <r>
      <rPr>
        <sz val="10"/>
        <rFont val="Noto Sans CJK SC"/>
        <family val="2"/>
        <charset val="1"/>
      </rPr>
      <t xml:space="preserve">.</t>
    </r>
  </si>
  <si>
    <t xml:space="preserve">시그니처</t>
  </si>
  <si>
    <t xml:space="preserve">«Je n'ai rien dit. Mais regarde dans…» / «Je ne te le dis pas. Je te dis où c'est.» / «Presque tout est dans des sources ouvertes. Il suffit de savoir lire.»</t>
  </si>
  <si>
    <r>
      <rPr>
        <b val="true"/>
        <sz val="10"/>
        <rFont val="WenQuanYi Zen Hei"/>
        <family val="2"/>
      </rPr>
      <t xml:space="preserve">도구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대화문 처리</t>
    </r>
    <r>
      <rPr>
        <b val="true"/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</si>
  <si>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책을 꺼내 건네거나 카드에 적어 주는 행동은 지문 대신 대사로 말한다</t>
    </r>
    <r>
      <rPr>
        <sz val="10"/>
        <rFont val="Noto Sans CJK SC"/>
        <family val="2"/>
        <charset val="1"/>
      </rPr>
      <t xml:space="preserve">: «Troisième rayon, à ta gauche.» / «Note. Cherche : …»</t>
    </r>
  </si>
  <si>
    <r>
      <rPr>
        <sz val="10"/>
        <rFont val="WenQuanYi Zen Hei"/>
        <family val="2"/>
      </rPr>
      <t xml:space="preserve">전원에게 </t>
    </r>
    <r>
      <rPr>
        <sz val="10"/>
        <rFont val="Noto Sans CJK SC"/>
        <family val="2"/>
        <charset val="1"/>
      </rPr>
      <t xml:space="preserve">tu — «Cherche toi-même.»</t>
    </r>
    <r>
      <rPr>
        <sz val="10"/>
        <rFont val="WenQuanYi Zen Hei"/>
        <family val="2"/>
      </rPr>
      <t xml:space="preserve">가 명령조라 더 섬뜩하다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</si>
  <si>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Manon</t>
    </r>
    <r>
      <rPr>
        <b val="true"/>
        <sz val="10"/>
        <rFont val="WenQuanYi Zen Hei"/>
        <family val="2"/>
      </rPr>
      <t xml:space="preserve">과의 관계</t>
    </r>
  </si>
  <si>
    <r>
      <rPr>
        <sz val="10"/>
        <rFont val="Arial"/>
        <family val="0"/>
        <charset val="1"/>
      </rPr>
      <t xml:space="preserve">Manon</t>
    </r>
    <r>
      <rPr>
        <sz val="10"/>
        <rFont val="WenQuanYi Zen Hei"/>
        <family val="2"/>
      </rPr>
      <t xml:space="preserve">이 </t>
    </r>
    <r>
      <rPr>
        <sz val="10"/>
        <rFont val="Arial"/>
        <family val="0"/>
        <charset val="1"/>
      </rPr>
      <t xml:space="preserve">«Dites-moi la réponse !» </t>
    </r>
    <r>
      <rPr>
        <sz val="10"/>
        <rFont val="WenQuanYi Zen Hei"/>
        <family val="2"/>
      </rPr>
      <t xml:space="preserve">하면 서가 위치만 말한다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짜증 나지만 정답을 떠먹이지 않는 이 교재의 태도와 같다</t>
    </r>
    <r>
      <rPr>
        <sz val="10"/>
        <rFont val="Arial"/>
        <family val="0"/>
        <charset val="1"/>
      </rPr>
      <t xml:space="preserve">.</t>
    </r>
  </si>
  <si>
    <t xml:space="preserve">현실 요소</t>
  </si>
  <si>
    <r>
      <rPr>
        <sz val="10"/>
        <rFont val="WenQuanYi Zen Hei"/>
        <family val="2"/>
      </rPr>
      <t xml:space="preserve">센 강변 헌책방</t>
    </r>
    <r>
      <rPr>
        <sz val="10"/>
        <rFont val="Arial"/>
        <family val="0"/>
        <charset val="1"/>
      </rPr>
      <t xml:space="preserve">(bouquinistes des quais de Seine)</t>
    </r>
    <r>
      <rPr>
        <sz val="10"/>
        <rFont val="WenQuanYi Zen Hei"/>
        <family val="2"/>
      </rPr>
      <t xml:space="preserve">과 프랑스 국립도서관</t>
    </r>
    <r>
      <rPr>
        <sz val="10"/>
        <rFont val="Arial"/>
        <family val="0"/>
        <charset val="1"/>
      </rPr>
      <t xml:space="preserve">(BnF, François-Mitterrand</t>
    </r>
    <r>
      <rPr>
        <sz val="10"/>
        <rFont val="WenQuanYi Zen Hei"/>
        <family val="2"/>
      </rPr>
      <t xml:space="preserve">관</t>
    </r>
    <r>
      <rPr>
        <sz val="10"/>
        <rFont val="Arial"/>
        <family val="0"/>
        <charset val="1"/>
      </rPr>
      <t xml:space="preserve">), 5</t>
    </r>
    <r>
      <rPr>
        <sz val="10"/>
        <rFont val="WenQuanYi Zen Hei"/>
        <family val="2"/>
      </rPr>
      <t xml:space="preserve">구 퀴리 박물관을 단골 출처로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학습자가 실제 파리에서 따라 걸어 볼 수 있다</t>
    </r>
    <r>
      <rPr>
        <sz val="10"/>
        <rFont val="Arial"/>
        <family val="0"/>
        <charset val="1"/>
      </rPr>
      <t xml:space="preserve">.</t>
    </r>
  </si>
  <si>
    <t xml:space="preserve">서점 원칙</t>
  </si>
  <si>
    <r>
      <rPr>
        <sz val="10"/>
        <rFont val="WenQuanYi Zen Hei"/>
        <family val="2"/>
      </rPr>
      <t xml:space="preserve">강변 헌책방 친구의 상자 한 칸을 빌려 쓴다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손님이 찾던 답이 든 책일 때만 값을 받지 않는다</t>
    </r>
    <r>
      <rPr>
        <sz val="10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</si>
  <si>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WenQuanYi Zen Hei"/>
        <family val="2"/>
      </rPr>
      <t xml:space="preserve">그의 서가 </t>
    </r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칸</t>
    </r>
  </si>
  <si>
    <t xml:space="preserve">칸</t>
  </si>
  <si>
    <t xml:space="preserve">대표 출처</t>
  </si>
  <si>
    <t xml:space="preserve">법령칸</t>
  </si>
  <si>
    <t xml:space="preserve">법과 조문</t>
  </si>
  <si>
    <r>
      <rPr>
        <sz val="10"/>
        <rFont val="Arial"/>
        <family val="0"/>
        <charset val="1"/>
      </rPr>
      <t xml:space="preserve">Légifrance(legifrance.gouv.fr), </t>
    </r>
    <r>
      <rPr>
        <sz val="10"/>
        <rFont val="WenQuanYi Zen Hei"/>
        <family val="2"/>
      </rPr>
      <t xml:space="preserve">헌법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각 법전</t>
    </r>
    <r>
      <rPr>
        <sz val="10"/>
        <rFont val="Arial"/>
        <family val="0"/>
        <charset val="1"/>
      </rPr>
      <t xml:space="preserve">(Code)</t>
    </r>
  </si>
  <si>
    <t xml:space="preserve">문서칸</t>
  </si>
  <si>
    <t xml:space="preserve">기록과 자료</t>
  </si>
  <si>
    <r>
      <rPr>
        <sz val="10"/>
        <rFont val="WenQuanYi Zen Hei"/>
        <family val="2"/>
      </rPr>
      <t xml:space="preserve">국립문서보관소</t>
    </r>
    <r>
      <rPr>
        <sz val="10"/>
        <rFont val="Noto Sans CJK SC"/>
        <family val="2"/>
        <charset val="1"/>
      </rPr>
      <t xml:space="preserve">(Archives nationales), </t>
    </r>
    <r>
      <rPr>
        <sz val="10"/>
        <rFont val="WenQuanYi Zen Hei"/>
        <family val="2"/>
      </rPr>
      <t xml:space="preserve">관보</t>
    </r>
    <r>
      <rPr>
        <sz val="10"/>
        <rFont val="Noto Sans CJK SC"/>
        <family val="2"/>
        <charset val="1"/>
      </rPr>
      <t xml:space="preserve">(Journal officiel), </t>
    </r>
    <r>
      <rPr>
        <sz val="10"/>
        <rFont val="WenQuanYi Zen Hei"/>
        <family val="2"/>
      </rPr>
      <t xml:space="preserve">하원 회의록</t>
    </r>
    <r>
      <rPr>
        <sz val="10"/>
        <rFont val="Noto Sans CJK SC"/>
        <family val="2"/>
        <charset val="1"/>
      </rPr>
      <t xml:space="preserve">(assemblee-nationale.fr)</t>
    </r>
  </si>
  <si>
    <t xml:space="preserve">신문칸</t>
  </si>
  <si>
    <t xml:space="preserve">과거 기사</t>
  </si>
  <si>
    <r>
      <rPr>
        <sz val="10"/>
        <rFont val="Noto Sans CJK SC"/>
        <family val="2"/>
        <charset val="1"/>
      </rPr>
      <t xml:space="preserve">BnF </t>
    </r>
    <r>
      <rPr>
        <sz val="10"/>
        <rFont val="WenQuanYi Zen Hei"/>
        <family val="2"/>
      </rPr>
      <t xml:space="preserve">디지털 도서관 </t>
    </r>
    <r>
      <rPr>
        <sz val="10"/>
        <rFont val="Noto Sans CJK SC"/>
        <family val="2"/>
        <charset val="1"/>
      </rPr>
      <t xml:space="preserve">Gallica, </t>
    </r>
    <r>
      <rPr>
        <sz val="10"/>
        <rFont val="WenQuanYi Zen Hei"/>
        <family val="2"/>
      </rPr>
      <t xml:space="preserve">신문 아카이브 </t>
    </r>
    <r>
      <rPr>
        <sz val="10"/>
        <rFont val="Noto Sans CJK SC"/>
        <family val="2"/>
        <charset val="1"/>
      </rPr>
      <t xml:space="preserve">RetroNews</t>
    </r>
  </si>
  <si>
    <t xml:space="preserve">사전칸</t>
  </si>
  <si>
    <t xml:space="preserve">용어</t>
  </si>
  <si>
    <r>
      <rPr>
        <sz val="10"/>
        <rFont val="WenQuanYi Zen Hei"/>
        <family val="2"/>
      </rPr>
      <t xml:space="preserve">아카데미 프랑세즈 사전</t>
    </r>
    <r>
      <rPr>
        <sz val="10"/>
        <rFont val="Arial"/>
        <family val="0"/>
        <charset val="1"/>
      </rPr>
      <t xml:space="preserve">(dictionnaire-academie.fr), CNRTL(TLFi), vie-publique.fr </t>
    </r>
    <r>
      <rPr>
        <sz val="10"/>
        <rFont val="WenQuanYi Zen Hei"/>
        <family val="2"/>
      </rPr>
      <t xml:space="preserve">용어 해설</t>
    </r>
  </si>
  <si>
    <r>
      <rPr>
        <b val="true"/>
        <sz val="10"/>
        <rFont val="Arial"/>
        <family val="0"/>
        <charset val="1"/>
      </rPr>
      <t xml:space="preserve">3. </t>
    </r>
    <r>
      <rPr>
        <b val="true"/>
        <sz val="10"/>
        <rFont val="WenQuanYi Zen Hei"/>
        <family val="2"/>
      </rPr>
      <t xml:space="preserve">주제별 출처표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기획한 에피소드 기준</t>
    </r>
    <r>
      <rPr>
        <b val="true"/>
        <sz val="10"/>
        <rFont val="Arial"/>
        <family val="0"/>
        <charset val="1"/>
      </rPr>
      <t xml:space="preserve">)</t>
    </r>
  </si>
  <si>
    <t xml:space="preserve">상황</t>
  </si>
  <si>
    <r>
      <rPr>
        <b val="true"/>
        <sz val="10"/>
        <color rgb="FFFFFFFF"/>
        <rFont val="WenQuanYi Zen Hei"/>
        <family val="2"/>
      </rPr>
      <t xml:space="preserve">관련 부</t>
    </r>
    <r>
      <rPr>
        <b val="true"/>
        <sz val="10"/>
        <color rgb="FFFFFFFF"/>
        <rFont val="Noto Sans CJK SC"/>
        <family val="2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화</t>
    </r>
  </si>
  <si>
    <r>
      <rPr>
        <b val="true"/>
        <sz val="10"/>
        <color rgb="FFFFFFFF"/>
        <rFont val="Arial"/>
        <family val="0"/>
        <charset val="1"/>
      </rPr>
      <t xml:space="preserve">Curie</t>
    </r>
    <r>
      <rPr>
        <b val="true"/>
        <sz val="10"/>
        <color rgb="FFFFFFFF"/>
        <rFont val="WenQuanYi Zen Hei"/>
        <family val="2"/>
      </rPr>
      <t xml:space="preserve">의 대사 </t>
    </r>
    <r>
      <rPr>
        <b val="true"/>
        <sz val="10"/>
        <color rgb="FFFFFFFF"/>
        <rFont val="Arial"/>
        <family val="0"/>
        <charset val="1"/>
      </rPr>
      <t xml:space="preserve">(FR)</t>
    </r>
  </si>
  <si>
    <t xml:space="preserve">찾을 곳</t>
  </si>
  <si>
    <r>
      <rPr>
        <b val="true"/>
        <sz val="10"/>
        <color rgb="FFFFFFFF"/>
        <rFont val="WenQuanYi Zen Hei"/>
        <family val="2"/>
      </rPr>
      <t xml:space="preserve">검색어</t>
    </r>
    <r>
      <rPr>
        <b val="true"/>
        <sz val="10"/>
        <color rgb="FFFFFFFF"/>
        <rFont val="Noto Sans CJK SC"/>
        <family val="2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키워드</t>
    </r>
  </si>
  <si>
    <t xml:space="preserve">서가칸</t>
  </si>
  <si>
    <t xml:space="preserve">Commence par la loi qui les encadre.</t>
  </si>
  <si>
    <r>
      <rPr>
        <sz val="10"/>
        <rFont val="WenQuanYi Zen Hei"/>
        <family val="2"/>
      </rPr>
      <t xml:space="preserve">국내안전법전 </t>
    </r>
    <r>
      <rPr>
        <sz val="10"/>
        <rFont val="Arial"/>
        <family val="0"/>
        <charset val="1"/>
      </rPr>
      <t xml:space="preserve">L.801-1</t>
    </r>
    <r>
      <rPr>
        <sz val="10"/>
        <rFont val="WenQuanYi Zen Hei"/>
        <family val="2"/>
      </rPr>
      <t xml:space="preserve">조 이하</t>
    </r>
    <r>
      <rPr>
        <sz val="10"/>
        <rFont val="Arial"/>
        <family val="0"/>
        <charset val="1"/>
      </rPr>
      <t xml:space="preserve">(2015</t>
    </r>
    <r>
      <rPr>
        <sz val="10"/>
        <rFont val="WenQuanYi Zen Hei"/>
        <family val="2"/>
      </rPr>
      <t xml:space="preserve">년 정보법</t>
    </r>
    <r>
      <rPr>
        <sz val="10"/>
        <rFont val="Arial"/>
        <family val="0"/>
        <charset val="1"/>
      </rPr>
      <t xml:space="preserve">), CNCTR </t>
    </r>
    <r>
      <rPr>
        <sz val="10"/>
        <rFont val="WenQuanYi Zen Hei"/>
        <family val="2"/>
      </rPr>
      <t xml:space="preserve">연례 보고서 — </t>
    </r>
    <r>
      <rPr>
        <sz val="10"/>
        <rFont val="Arial"/>
        <family val="0"/>
        <charset val="1"/>
      </rPr>
      <t xml:space="preserve">Légifrance·cnctr.fr</t>
    </r>
  </si>
  <si>
    <t xml:space="preserve">techniques de renseignement; CNCTR; contrôle a priori</t>
  </si>
  <si>
    <t xml:space="preserve">도청의 합법성</t>
  </si>
  <si>
    <t xml:space="preserve">Une preuve volée reste une preuve… mais le voleur est puni. Cherche.</t>
  </si>
  <si>
    <r>
      <rPr>
        <sz val="10"/>
        <rFont val="WenQuanYi Zen Hei"/>
        <family val="2"/>
      </rPr>
      <t xml:space="preserve">형법 제</t>
    </r>
    <r>
      <rPr>
        <sz val="10"/>
        <rFont val="Noto Sans CJK SC"/>
        <family val="2"/>
        <charset val="1"/>
      </rPr>
      <t xml:space="preserve">226-1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사생활 침해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형사소송법 제</t>
    </r>
    <r>
      <rPr>
        <sz val="10"/>
        <rFont val="Noto Sans CJK SC"/>
        <family val="2"/>
        <charset val="1"/>
      </rPr>
      <t xml:space="preserve">427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증거의 자유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파기원 판례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증거의 공정성</t>
    </r>
    <r>
      <rPr>
        <sz val="10"/>
        <rFont val="Noto Sans CJK SC"/>
        <family val="2"/>
        <charset val="1"/>
      </rPr>
      <t xml:space="preserve">)</t>
    </r>
  </si>
  <si>
    <t xml:space="preserve">enregistrement clandestin, atteinte à la vie privée, preuve déloyale</t>
  </si>
  <si>
    <t xml:space="preserve">기밀 지정과 공개</t>
  </si>
  <si>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5</t>
    </r>
    <r>
      <rPr>
        <sz val="10"/>
        <rFont val="WenQuanYi Zen Hei"/>
        <family val="2"/>
      </rPr>
      <t xml:space="preserve">화 관련</t>
    </r>
  </si>
  <si>
    <t xml:space="preserve">Il y a un secret défense. Et une commission pour le lever.</t>
  </si>
  <si>
    <r>
      <rPr>
        <sz val="10"/>
        <rFont val="WenQuanYi Zen Hei"/>
        <family val="2"/>
      </rPr>
      <t xml:space="preserve">형법 제</t>
    </r>
    <r>
      <rPr>
        <sz val="10"/>
        <rFont val="Arial"/>
        <family val="0"/>
        <charset val="1"/>
      </rPr>
      <t xml:space="preserve">413-9</t>
    </r>
    <r>
      <rPr>
        <sz val="10"/>
        <rFont val="WenQuanYi Zen Hei"/>
        <family val="2"/>
      </rPr>
      <t xml:space="preserve">조 이하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국방기밀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국방기밀자문위원회</t>
    </r>
    <r>
      <rPr>
        <sz val="10"/>
        <rFont val="Arial"/>
        <family val="0"/>
        <charset val="1"/>
      </rPr>
      <t xml:space="preserve">(CSDN), </t>
    </r>
    <r>
      <rPr>
        <sz val="10"/>
        <rFont val="WenQuanYi Zen Hei"/>
        <family val="2"/>
      </rPr>
      <t xml:space="preserve">행정문서공개위원회</t>
    </r>
    <r>
      <rPr>
        <sz val="10"/>
        <rFont val="Arial"/>
        <family val="0"/>
        <charset val="1"/>
      </rPr>
      <t xml:space="preserve">(CADA)</t>
    </r>
  </si>
  <si>
    <t xml:space="preserve">secret de la défense nationale, déclassification</t>
  </si>
  <si>
    <r>
      <rPr>
        <sz val="10"/>
        <rFont val="WenQuanYi Zen Hei"/>
        <family val="2"/>
      </rPr>
      <t xml:space="preserve">법령칸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절차 최신본 확인</t>
    </r>
    <r>
      <rPr>
        <sz val="10"/>
        <rFont val="Noto Sans CJK SC"/>
        <family val="2"/>
        <charset val="1"/>
      </rPr>
      <t xml:space="preserve">)</t>
    </r>
  </si>
  <si>
    <t xml:space="preserve">의사의 비밀유지</t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</si>
  <si>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6~12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(Napoléon </t>
    </r>
    <r>
      <rPr>
        <sz val="10"/>
        <rFont val="WenQuanYi Zen Hei"/>
        <family val="2"/>
      </rPr>
      <t xml:space="preserve">복선</t>
    </r>
    <r>
      <rPr>
        <sz val="10"/>
        <rFont val="Arial"/>
        <family val="0"/>
        <charset val="1"/>
      </rPr>
      <t xml:space="preserve">)</t>
    </r>
  </si>
  <si>
    <t xml:space="preserve">Demande à la docteure ce que dit son code.</t>
  </si>
  <si>
    <r>
      <rPr>
        <sz val="10"/>
        <rFont val="WenQuanYi Zen Hei"/>
        <family val="2"/>
      </rPr>
      <t xml:space="preserve">공중보건법전 </t>
    </r>
    <r>
      <rPr>
        <sz val="10"/>
        <rFont val="Noto Sans CJK SC"/>
        <family val="2"/>
        <charset val="1"/>
      </rPr>
      <t xml:space="preserve">L.1110-4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형법 제</t>
    </r>
    <r>
      <rPr>
        <sz val="10"/>
        <rFont val="Noto Sans CJK SC"/>
        <family val="2"/>
        <charset val="1"/>
      </rPr>
      <t xml:space="preserve">226-13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의사윤리강령</t>
    </r>
    <r>
      <rPr>
        <sz val="10"/>
        <rFont val="Noto Sans CJK SC"/>
        <family val="2"/>
        <charset val="1"/>
      </rPr>
      <t xml:space="preserve">(Code de déontologie médicale)</t>
    </r>
  </si>
  <si>
    <t xml:space="preserve">secret médical, dossier médical</t>
  </si>
  <si>
    <t xml:space="preserve">자금 세탁</t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</si>
  <si>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화</t>
    </r>
  </si>
  <si>
    <t xml:space="preserve">Tout argent a une loi qui le surveille. Cherche-la.</t>
  </si>
  <si>
    <r>
      <rPr>
        <sz val="10"/>
        <rFont val="WenQuanYi Zen Hei"/>
        <family val="2"/>
      </rPr>
      <t xml:space="preserve">통화금융법전 </t>
    </r>
    <r>
      <rPr>
        <sz val="10"/>
        <rFont val="Arial"/>
        <family val="0"/>
        <charset val="1"/>
      </rPr>
      <t xml:space="preserve">L.561-1</t>
    </r>
    <r>
      <rPr>
        <sz val="10"/>
        <rFont val="WenQuanYi Zen Hei"/>
        <family val="2"/>
      </rPr>
      <t xml:space="preserve">조 이하</t>
    </r>
    <r>
      <rPr>
        <sz val="10"/>
        <rFont val="Arial"/>
        <family val="0"/>
        <charset val="1"/>
      </rPr>
      <t xml:space="preserve">, TRACFIN(</t>
    </r>
    <r>
      <rPr>
        <sz val="10"/>
        <rFont val="WenQuanYi Zen Hei"/>
        <family val="2"/>
      </rPr>
      <t xml:space="preserve">재무부 산하 금융정보기구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실소유자 등록부</t>
    </r>
  </si>
  <si>
    <t xml:space="preserve">blanchiment, bénéficiaire effectif, paradis fiscal</t>
  </si>
  <si>
    <r>
      <rPr>
        <sz val="10"/>
        <rFont val="WenQuanYi Zen Hei"/>
        <family val="2"/>
      </rPr>
      <t xml:space="preserve">문서칸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법령칸</t>
    </r>
  </si>
  <si>
    <r>
      <rPr>
        <b val="true"/>
        <sz val="10"/>
        <rFont val="WenQuanYi Zen Hei"/>
        <family val="2"/>
      </rPr>
      <t xml:space="preserve">주거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퇴거</t>
    </r>
  </si>
  <si>
    <r>
      <rPr>
        <sz val="10"/>
        <rFont val="Arial"/>
        <family val="0"/>
        <charset val="1"/>
      </rPr>
      <t xml:space="preserve">1·2·11</t>
    </r>
    <r>
      <rPr>
        <sz val="10"/>
        <rFont val="WenQuanYi Zen Hei"/>
        <family val="2"/>
      </rPr>
      <t xml:space="preserve">부</t>
    </r>
  </si>
  <si>
    <t xml:space="preserve">Compare ce qu'ils disent avec ce qui existe.</t>
  </si>
  <si>
    <r>
      <rPr>
        <sz val="10"/>
        <rFont val="Arial"/>
        <family val="0"/>
        <charset val="1"/>
      </rPr>
      <t xml:space="preserve">1989</t>
    </r>
    <r>
      <rPr>
        <sz val="10"/>
        <rFont val="WenQuanYi Zen Hei"/>
        <family val="2"/>
      </rPr>
      <t xml:space="preserve">년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일 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임대차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민사집행법전 </t>
    </r>
    <r>
      <rPr>
        <sz val="10"/>
        <rFont val="Arial"/>
        <family val="0"/>
        <charset val="1"/>
      </rPr>
      <t xml:space="preserve">L.412-1</t>
    </r>
    <r>
      <rPr>
        <sz val="10"/>
        <rFont val="WenQuanYi Zen Hei"/>
        <family val="2"/>
      </rPr>
      <t xml:space="preserve">조 이하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퇴거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겨울 유예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건설주거법전</t>
    </r>
  </si>
  <si>
    <t xml:space="preserve">expulsion, bail, congé, trêve hivernale</t>
  </si>
  <si>
    <t xml:space="preserve">가격 담합</t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</si>
  <si>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</t>
    </r>
  </si>
  <si>
    <t xml:space="preserve">Regarde du côté de la Concurrence.</t>
  </si>
  <si>
    <r>
      <rPr>
        <sz val="10"/>
        <rFont val="WenQuanYi Zen Hei"/>
        <family val="2"/>
      </rPr>
      <t xml:space="preserve">상법전 </t>
    </r>
    <r>
      <rPr>
        <sz val="10"/>
        <rFont val="Arial"/>
        <family val="0"/>
        <charset val="1"/>
      </rPr>
      <t xml:space="preserve">L.420-1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경쟁당국</t>
    </r>
    <r>
      <rPr>
        <sz val="10"/>
        <rFont val="Arial"/>
        <family val="0"/>
        <charset val="1"/>
      </rPr>
      <t xml:space="preserve">(autoritedelaconcurrence.fr) </t>
    </r>
    <r>
      <rPr>
        <sz val="10"/>
        <rFont val="WenQuanYi Zen Hei"/>
        <family val="2"/>
      </rPr>
      <t xml:space="preserve">제재 결정</t>
    </r>
  </si>
  <si>
    <t xml:space="preserve">entente, sanction, concurrence</t>
  </si>
  <si>
    <r>
      <rPr>
        <sz val="10"/>
        <rFont val="WenQuanYi Zen Hei"/>
        <family val="2"/>
      </rPr>
      <t xml:space="preserve">법령칸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문서칸</t>
    </r>
  </si>
  <si>
    <r>
      <rPr>
        <b val="true"/>
        <sz val="10"/>
        <rFont val="WenQuanYi Zen Hei"/>
        <family val="2"/>
      </rPr>
      <t xml:space="preserve">초과이윤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고액자산 과세</t>
    </r>
  </si>
  <si>
    <t xml:space="preserve">Tu ne l'as pas inventé. Ça a déjà été fait.</t>
  </si>
  <si>
    <r>
      <rPr>
        <sz val="10"/>
        <rFont val="Arial"/>
        <family val="0"/>
        <charset val="1"/>
      </rPr>
      <t xml:space="preserve">2023</t>
    </r>
    <r>
      <rPr>
        <sz val="10"/>
        <rFont val="WenQuanYi Zen Hei"/>
        <family val="2"/>
      </rPr>
      <t xml:space="preserve">년 재정법의 전력 초과수익 부담금</t>
    </r>
    <r>
      <rPr>
        <sz val="10"/>
        <rFont val="Arial"/>
        <family val="0"/>
        <charset val="1"/>
      </rPr>
      <t xml:space="preserve">(contribution sur la rente inframarginale), </t>
    </r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34</t>
    </r>
    <r>
      <rPr>
        <sz val="10"/>
        <rFont val="WenQuanYi Zen Hei"/>
        <family val="2"/>
      </rPr>
      <t xml:space="preserve">조</t>
    </r>
  </si>
  <si>
    <t xml:space="preserve">contribution exceptionnelle, rente inframarginale</t>
  </si>
  <si>
    <r>
      <rPr>
        <b val="true"/>
        <sz val="10"/>
        <rFont val="Arial"/>
        <family val="0"/>
        <charset val="1"/>
      </rPr>
      <t xml:space="preserve">EU </t>
    </r>
    <r>
      <rPr>
        <b val="true"/>
        <sz val="10"/>
        <rFont val="WenQuanYi Zen Hei"/>
        <family val="2"/>
      </rPr>
      <t xml:space="preserve">긴축 압박</t>
    </r>
  </si>
  <si>
    <t xml:space="preserve">Cet article ne dit pas ce qu'on t'a dit.</t>
  </si>
  <si>
    <r>
      <rPr>
        <sz val="10"/>
        <rFont val="Noto Sans CJK SC"/>
        <family val="2"/>
        <charset val="1"/>
      </rPr>
      <t xml:space="preserve">TFUE 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126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, EU </t>
    </r>
    <r>
      <rPr>
        <sz val="10"/>
        <rFont val="WenQuanYi Zen Hei"/>
        <family val="2"/>
      </rPr>
      <t xml:space="preserve">규칙 </t>
    </r>
    <r>
      <rPr>
        <sz val="10"/>
        <rFont val="Noto Sans CJK SC"/>
        <family val="2"/>
        <charset val="1"/>
      </rPr>
      <t xml:space="preserve">2024/1263, EUR-Lex(eur-lex.europa.eu)</t>
    </r>
  </si>
  <si>
    <t xml:space="preserve">procédure de déficit excessif</t>
  </si>
  <si>
    <t xml:space="preserve">과거 스캔들 조사</t>
  </si>
  <si>
    <r>
      <rPr>
        <sz val="10"/>
        <rFont val="Arial"/>
        <family val="0"/>
        <charset val="1"/>
      </rPr>
      <t xml:space="preserve">6~7</t>
    </r>
    <r>
      <rPr>
        <sz val="10"/>
        <rFont val="WenQuanYi Zen Hei"/>
        <family val="2"/>
      </rPr>
      <t xml:space="preserve">부</t>
    </r>
  </si>
  <si>
    <t xml:space="preserve">Les journaux gardent ce que les gens oublient.</t>
  </si>
  <si>
    <t xml:space="preserve">Gallica·RetroNews</t>
  </si>
  <si>
    <r>
      <rPr>
        <sz val="10"/>
        <rFont val="Arial"/>
        <family val="0"/>
        <charset val="1"/>
      </rPr>
      <t xml:space="preserve">'écoutes de l'Élysée'</t>
    </r>
    <r>
      <rPr>
        <sz val="10"/>
        <rFont val="WenQuanYi Zen Hei"/>
        <family val="2"/>
      </rPr>
      <t xml:space="preserve">로 검색</t>
    </r>
  </si>
  <si>
    <r>
      <rPr>
        <b val="true"/>
        <sz val="10"/>
        <rFont val="WenQuanYi Zen Hei"/>
        <family val="2"/>
      </rPr>
      <t xml:space="preserve">의회 발언 확인 </t>
    </r>
    <r>
      <rPr>
        <b val="true"/>
        <sz val="10"/>
        <rFont val="Noto Sans CJK SC"/>
        <family val="2"/>
        <charset val="1"/>
      </rPr>
      <t xml:space="preserve">(</t>
    </r>
    <r>
      <rPr>
        <b val="true"/>
        <sz val="10"/>
        <rFont val="WenQuanYi Zen Hei"/>
        <family val="2"/>
      </rPr>
      <t xml:space="preserve">제안</t>
    </r>
    <r>
      <rPr>
        <b val="true"/>
        <sz val="10"/>
        <rFont val="Noto Sans CJK SC"/>
        <family val="2"/>
        <charset val="1"/>
      </rPr>
      <t xml:space="preserve">)</t>
    </r>
  </si>
  <si>
    <t xml:space="preserve">Tout ce qui s'est dit à la tribune est écrit.</t>
  </si>
  <si>
    <r>
      <rPr>
        <sz val="10"/>
        <rFont val="WenQuanYi Zen Hei"/>
        <family val="2"/>
      </rPr>
      <t xml:space="preserve">파리 시의회 공식 회의록</t>
    </r>
    <r>
      <rPr>
        <sz val="10"/>
        <rFont val="Noto Sans CJK SC"/>
        <family val="2"/>
        <charset val="1"/>
      </rPr>
      <t xml:space="preserve">(Bulletin officiel des débats), </t>
    </r>
    <r>
      <rPr>
        <sz val="10"/>
        <rFont val="WenQuanYi Zen Hei"/>
        <family val="2"/>
      </rPr>
      <t xml:space="preserve">하원 회의록</t>
    </r>
  </si>
  <si>
    <t xml:space="preserve">compte rendu, séance, intervention</t>
  </si>
  <si>
    <t xml:space="preserve">정당 창당</t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</si>
  <si>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5~6</t>
    </r>
    <r>
      <rPr>
        <sz val="10"/>
        <rFont val="WenQuanYi Zen Hei"/>
        <family val="2"/>
      </rPr>
      <t xml:space="preserve">화</t>
    </r>
  </si>
  <si>
    <t xml:space="preserve">Un parti commence par un papier. Cherche-le.</t>
  </si>
  <si>
    <r>
      <rPr>
        <sz val="10"/>
        <rFont val="Arial"/>
        <family val="0"/>
        <charset val="1"/>
      </rPr>
      <t xml:space="preserve">1901</t>
    </r>
    <r>
      <rPr>
        <sz val="10"/>
        <rFont val="WenQuanYi Zen Hei"/>
        <family val="2"/>
      </rPr>
      <t xml:space="preserve">년 결사법</t>
    </r>
    <r>
      <rPr>
        <sz val="10"/>
        <rFont val="Arial"/>
        <family val="0"/>
        <charset val="1"/>
      </rPr>
      <t xml:space="preserve">, 1988</t>
    </r>
    <r>
      <rPr>
        <sz val="10"/>
        <rFont val="WenQuanYi Zen Hei"/>
        <family val="2"/>
      </rPr>
      <t xml:space="preserve">년 정치자금법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단체 신고 관보</t>
    </r>
    <r>
      <rPr>
        <sz val="10"/>
        <rFont val="Arial"/>
        <family val="0"/>
        <charset val="1"/>
      </rPr>
      <t xml:space="preserve">(JOAFE)</t>
    </r>
  </si>
  <si>
    <t xml:space="preserve">association, statuts, déclaration en préfecture, mandataire financier</t>
  </si>
  <si>
    <t xml:space="preserve">Celui qui compte l'argent d'un parti laisse aussi une trace.</t>
  </si>
  <si>
    <r>
      <rPr>
        <sz val="10"/>
        <rFont val="Arial"/>
        <family val="0"/>
        <charset val="1"/>
      </rPr>
      <t xml:space="preserve">1988</t>
    </r>
    <r>
      <rPr>
        <sz val="10"/>
        <rFont val="WenQuanYi Zen Hei"/>
        <family val="2"/>
      </rPr>
      <t xml:space="preserve">년 법</t>
    </r>
    <r>
      <rPr>
        <sz val="10"/>
        <rFont val="Arial"/>
        <family val="0"/>
        <charset val="1"/>
      </rPr>
      <t xml:space="preserve">, CNCCFP </t>
    </r>
    <r>
      <rPr>
        <sz val="10"/>
        <rFont val="WenQuanYi Zen Hei"/>
        <family val="2"/>
      </rPr>
      <t xml:space="preserve">공개 회계</t>
    </r>
  </si>
  <si>
    <t xml:space="preserve">financement des partis, comptes</t>
  </si>
  <si>
    <t xml:space="preserve">선거 규칙</t>
  </si>
  <si>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·10</t>
    </r>
    <r>
      <rPr>
        <sz val="10"/>
        <rFont val="WenQuanYi Zen Hei"/>
        <family val="2"/>
      </rPr>
      <t xml:space="preserve">부</t>
    </r>
  </si>
  <si>
    <t xml:space="preserve">Les règles du jeu sont dans le Code électoral.</t>
  </si>
  <si>
    <r>
      <rPr>
        <sz val="10"/>
        <rFont val="WenQuanYi Zen Hei"/>
        <family val="2"/>
      </rPr>
      <t xml:space="preserve">선거법전</t>
    </r>
    <r>
      <rPr>
        <sz val="10"/>
        <rFont val="Arial"/>
        <family val="0"/>
        <charset val="1"/>
      </rPr>
      <t xml:space="preserve">, 1962</t>
    </r>
    <r>
      <rPr>
        <sz val="10"/>
        <rFont val="WenQuanYi Zen Hei"/>
        <family val="2"/>
      </rPr>
      <t xml:space="preserve">년 대선법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추천서</t>
    </r>
    <r>
      <rPr>
        <sz val="10"/>
        <rFont val="Arial"/>
        <family val="0"/>
        <charset val="1"/>
      </rPr>
      <t xml:space="preserve">), 2025</t>
    </r>
    <r>
      <rPr>
        <sz val="10"/>
        <rFont val="WenQuanYi Zen Hei"/>
        <family val="2"/>
      </rPr>
      <t xml:space="preserve">년 </t>
    </r>
    <r>
      <rPr>
        <sz val="10"/>
        <rFont val="Arial"/>
        <family val="0"/>
        <charset val="1"/>
      </rPr>
      <t xml:space="preserve">PLM</t>
    </r>
    <r>
      <rPr>
        <sz val="10"/>
        <rFont val="WenQuanYi Zen Hei"/>
        <family val="2"/>
      </rPr>
      <t xml:space="preserve">법</t>
    </r>
  </si>
  <si>
    <t xml:space="preserve">parrainages, circonscription, compte de campagne</t>
  </si>
  <si>
    <r>
      <rPr>
        <b val="true"/>
        <sz val="10"/>
        <rFont val="WenQuanYi Zen Hei"/>
        <family val="2"/>
      </rPr>
      <t xml:space="preserve">대선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해산</t>
    </r>
    <r>
      <rPr>
        <b val="true"/>
        <sz val="10"/>
        <rFont val="Noto Sans CJK SC"/>
        <family val="2"/>
        <charset val="1"/>
      </rPr>
      <t xml:space="preserve">·</t>
    </r>
    <r>
      <rPr>
        <b val="true"/>
        <sz val="10"/>
        <rFont val="WenQuanYi Zen Hei"/>
        <family val="2"/>
      </rPr>
      <t xml:space="preserve">불신임안</t>
    </r>
  </si>
  <si>
    <t xml:space="preserve">Article 49. Lis-le lentement, deux fois.</t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</si>
  <si>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7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대선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해산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49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불신임안</t>
    </r>
    <r>
      <rPr>
        <sz val="10"/>
        <rFont val="Noto Sans CJK SC"/>
        <family val="2"/>
        <charset val="1"/>
      </rPr>
      <t xml:space="preserve">)</t>
    </r>
  </si>
  <si>
    <t xml:space="preserve">élection présidentielle, dissolution, motion de censure</t>
  </si>
  <si>
    <t xml:space="preserve">권한 배분</t>
  </si>
  <si>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·11</t>
    </r>
    <r>
      <rPr>
        <sz val="10"/>
        <rFont val="WenQuanYi Zen Hei"/>
        <family val="2"/>
      </rPr>
      <t xml:space="preserve">부</t>
    </r>
  </si>
  <si>
    <t xml:space="preserve">Qui décide de ça ? Regarde le titre XII.</t>
  </si>
  <si>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장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72</t>
    </r>
    <r>
      <rPr>
        <sz val="10"/>
        <rFont val="WenQuanYi Zen Hei"/>
        <family val="2"/>
      </rPr>
      <t xml:space="preserve">조 이하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지방자치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지방자치법전</t>
    </r>
    <r>
      <rPr>
        <sz val="10"/>
        <rFont val="Noto Sans CJK SC"/>
        <family val="2"/>
        <charset val="1"/>
      </rPr>
      <t xml:space="preserve">(CGCT)</t>
    </r>
  </si>
  <si>
    <t xml:space="preserve">compétence, collectivité territoriale</t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</si>
  <si>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·9</t>
    </r>
    <r>
      <rPr>
        <sz val="10"/>
        <rFont val="WenQuanYi Zen Hei"/>
        <family val="2"/>
      </rPr>
      <t xml:space="preserve">부</t>
    </r>
  </si>
  <si>
    <t xml:space="preserve">Il y a une loi pour ceux qui préviennent.</t>
  </si>
  <si>
    <r>
      <rPr>
        <sz val="10"/>
        <rFont val="Arial"/>
        <family val="0"/>
        <charset val="1"/>
      </rPr>
      <t xml:space="preserve">Sapin II</t>
    </r>
    <r>
      <rPr>
        <sz val="10"/>
        <rFont val="WenQuanYi Zen Hei"/>
        <family val="2"/>
      </rPr>
      <t xml:space="preserve">법</t>
    </r>
    <r>
      <rPr>
        <sz val="10"/>
        <rFont val="Arial"/>
        <family val="0"/>
        <charset val="1"/>
      </rPr>
      <t xml:space="preserve">(2016), 2022</t>
    </r>
    <r>
      <rPr>
        <sz val="10"/>
        <rFont val="WenQuanYi Zen Hei"/>
        <family val="2"/>
      </rPr>
      <t xml:space="preserve">년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21</t>
    </r>
    <r>
      <rPr>
        <sz val="10"/>
        <rFont val="WenQuanYi Zen Hei"/>
        <family val="2"/>
      </rPr>
      <t xml:space="preserve">일 법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권리보호관</t>
    </r>
    <r>
      <rPr>
        <sz val="10"/>
        <rFont val="Arial"/>
        <family val="0"/>
        <charset val="1"/>
      </rPr>
      <t xml:space="preserve">(Défenseur des droits)</t>
    </r>
  </si>
  <si>
    <t xml:space="preserve">lanceur d'alerte, représailles, signalement</t>
  </si>
  <si>
    <t xml:space="preserve">하원 표결 확인</t>
  </si>
  <si>
    <t xml:space="preserve">Chaque vote reste écrit.</t>
  </si>
  <si>
    <r>
      <rPr>
        <sz val="10"/>
        <rFont val="WenQuanYi Zen Hei"/>
        <family val="2"/>
      </rPr>
      <t xml:space="preserve">하원 공개 표결 기록</t>
    </r>
    <r>
      <rPr>
        <sz val="10"/>
        <rFont val="Noto Sans CJK SC"/>
        <family val="2"/>
        <charset val="1"/>
      </rPr>
      <t xml:space="preserve">(scrutins publics, assemblee-nationale.fr)</t>
    </r>
  </si>
  <si>
    <t xml:space="preserve">scrutin public, analyse du scrutin</t>
  </si>
  <si>
    <t xml:space="preserve">모르는 단어</t>
  </si>
  <si>
    <t xml:space="preserve">전 부</t>
  </si>
  <si>
    <t xml:space="preserve">Si tu ne connais pas le mot, tu ne connais pas la loi.</t>
  </si>
  <si>
    <r>
      <rPr>
        <sz val="10"/>
        <rFont val="WenQuanYi Zen Hei"/>
        <family val="2"/>
      </rPr>
      <t xml:space="preserve">아카데미 프랑세즈 사전</t>
    </r>
    <r>
      <rPr>
        <sz val="10"/>
        <rFont val="Arial"/>
        <family val="0"/>
        <charset val="1"/>
      </rPr>
      <t xml:space="preserve">, CNRTL</t>
    </r>
  </si>
  <si>
    <r>
      <rPr>
        <i val="true"/>
        <sz val="9"/>
        <color rgb="FF595959"/>
        <rFont val="WenQuanYi Zen Hei"/>
        <family val="2"/>
      </rPr>
      <t xml:space="preserve">※ 법령 번호와 조항은 기획 시점 지식으로 정리한 것입니다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교재에 넣기 전에 </t>
    </r>
    <r>
      <rPr>
        <i val="true"/>
        <sz val="9"/>
        <color rgb="FF595959"/>
        <rFont val="Noto Sans CJK SC"/>
        <family val="2"/>
        <charset val="1"/>
      </rPr>
      <t xml:space="preserve">Légifrance</t>
    </r>
    <r>
      <rPr>
        <i val="true"/>
        <sz val="9"/>
        <color rgb="FF595959"/>
        <rFont val="WenQuanYi Zen Hei"/>
        <family val="2"/>
      </rPr>
      <t xml:space="preserve">의 현행 텍스트</t>
    </r>
    <r>
      <rPr>
        <i val="true"/>
        <sz val="9"/>
        <color rgb="FF595959"/>
        <rFont val="Noto Sans CJK SC"/>
        <family val="2"/>
        <charset val="1"/>
      </rPr>
      <t xml:space="preserve">(version en vigueur)</t>
    </r>
    <r>
      <rPr>
        <i val="true"/>
        <sz val="9"/>
        <color rgb="FF595959"/>
        <rFont val="WenQuanYi Zen Hei"/>
        <family val="2"/>
      </rPr>
      <t xml:space="preserve">로 반드시 확인하세요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참고 도서 제목은 지어낼 위험이 있어 제외하고 검색어만 적었습니다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</si>
  <si>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4. </t>
    </r>
    <r>
      <rPr>
        <b val="true"/>
        <sz val="10"/>
        <rFont val="WenQuanYi Zen Hei"/>
        <family val="2"/>
      </rPr>
      <t xml:space="preserve">카드</t>
    </r>
    <r>
      <rPr>
        <b val="true"/>
        <sz val="10"/>
        <rFont val="Arial"/>
        <family val="0"/>
        <charset val="1"/>
      </rPr>
      <t xml:space="preserve">(FICHA) </t>
    </r>
    <r>
      <rPr>
        <b val="true"/>
        <sz val="10"/>
        <rFont val="WenQuanYi Zen Hei"/>
        <family val="2"/>
      </rPr>
      <t xml:space="preserve">구술 템플릿 — 지문 없이 대사로만</t>
    </r>
  </si>
  <si>
    <t xml:space="preserve">화자</t>
  </si>
  <si>
    <t xml:space="preserve">기능</t>
  </si>
  <si>
    <t xml:space="preserve">CURIE</t>
  </si>
  <si>
    <r>
      <rPr>
        <sz val="10"/>
        <rFont val="WenQuanYi Zen Hei"/>
        <family val="2"/>
      </rPr>
      <t xml:space="preserve">검색어 </t>
    </r>
    <r>
      <rPr>
        <sz val="10"/>
        <rFont val="Noto Sans CJK SC"/>
        <family val="2"/>
        <charset val="1"/>
      </rPr>
      <t xml:space="preserve">(Cherche)</t>
    </r>
  </si>
  <si>
    <t xml:space="preserve">Note. Cherche : « preuve déloyale ».</t>
  </si>
  <si>
    <r>
      <rPr>
        <sz val="10"/>
        <rFont val="WenQuanYi Zen Hei"/>
        <family val="2"/>
      </rPr>
      <t xml:space="preserve">적어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찾을 것</t>
    </r>
    <r>
      <rPr>
        <sz val="10"/>
        <rFont val="Noto Sans CJK SC"/>
        <family val="2"/>
        <charset val="1"/>
      </rPr>
      <t xml:space="preserve">: «</t>
    </r>
    <r>
      <rPr>
        <sz val="10"/>
        <rFont val="WenQuanYi Zen Hei"/>
        <family val="2"/>
      </rPr>
      <t xml:space="preserve">불공정하게 얻은 증거</t>
    </r>
    <r>
      <rPr>
        <sz val="10"/>
        <rFont val="Noto Sans CJK SC"/>
        <family val="2"/>
        <charset val="1"/>
      </rPr>
      <t xml:space="preserve">».</t>
    </r>
  </si>
  <si>
    <t xml:space="preserve">MANON</t>
  </si>
  <si>
    <t xml:space="preserve">질문으로 다음 항목을 끌어냄</t>
  </si>
  <si>
    <t xml:space="preserve">D'accord. Où ?</t>
  </si>
  <si>
    <r>
      <rPr>
        <sz val="10"/>
        <rFont val="WenQuanYi Zen Hei"/>
        <family val="2"/>
      </rPr>
      <t xml:space="preserve">알겠어요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어디서요</t>
    </r>
    <r>
      <rPr>
        <sz val="10"/>
        <rFont val="Noto Sans CJK SC"/>
        <family val="2"/>
        <charset val="1"/>
      </rPr>
      <t xml:space="preserve">?</t>
    </r>
  </si>
  <si>
    <r>
      <rPr>
        <sz val="10"/>
        <rFont val="WenQuanYi Zen Hei"/>
        <family val="2"/>
      </rPr>
      <t xml:space="preserve">출처 </t>
    </r>
    <r>
      <rPr>
        <sz val="10"/>
        <rFont val="Noto Sans CJK SC"/>
        <family val="2"/>
        <charset val="1"/>
      </rPr>
      <t xml:space="preserve">(Où)</t>
    </r>
  </si>
  <si>
    <t xml:space="preserve">Légifrance. Code pénal, article 226-1.</t>
  </si>
  <si>
    <r>
      <rPr>
        <sz val="10"/>
        <rFont val="WenQuanYi Zen Hei"/>
        <family val="2"/>
      </rPr>
      <t xml:space="preserve">레지프랑스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형법 제</t>
    </r>
    <r>
      <rPr>
        <sz val="10"/>
        <rFont val="Noto Sans CJK SC"/>
        <family val="2"/>
        <charset val="1"/>
      </rPr>
      <t xml:space="preserve">226-1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.</t>
    </r>
  </si>
  <si>
    <t xml:space="preserve">질문</t>
  </si>
  <si>
    <t xml:space="preserve">Et je cherche quels mots ?</t>
  </si>
  <si>
    <r>
      <rPr>
        <sz val="10"/>
        <rFont val="WenQuanYi Zen Hei"/>
        <family val="2"/>
      </rPr>
      <t xml:space="preserve">그럼 어떤 단어를 찾죠</t>
    </r>
    <r>
      <rPr>
        <sz val="10"/>
        <rFont val="Noto Sans CJK SC"/>
        <family val="2"/>
        <charset val="1"/>
      </rPr>
      <t xml:space="preserve">?</t>
    </r>
  </si>
  <si>
    <r>
      <rPr>
        <sz val="10"/>
        <rFont val="WenQuanYi Zen Hei"/>
        <family val="2"/>
      </rPr>
      <t xml:space="preserve">키워드 </t>
    </r>
    <r>
      <rPr>
        <sz val="10"/>
        <rFont val="Noto Sans CJK SC"/>
        <family val="2"/>
        <charset val="1"/>
      </rPr>
      <t xml:space="preserve">(Mots-clés)</t>
    </r>
  </si>
  <si>
    <t xml:space="preserve">Enregistrement clandestin. Vie privée. Loyauté de la preuve.</t>
  </si>
  <si>
    <r>
      <rPr>
        <sz val="10"/>
        <rFont val="WenQuanYi Zen Hei"/>
        <family val="2"/>
      </rPr>
      <t xml:space="preserve">몰래 녹음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사생활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증거의 공정성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</si>
  <si>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Manon</t>
    </r>
    <r>
      <rPr>
        <sz val="10"/>
        <rFont val="WenQuanYi Zen Hei"/>
        <family val="2"/>
      </rPr>
      <t xml:space="preserve">의 조급함</t>
    </r>
  </si>
  <si>
    <t xml:space="preserve">Et la réponse ?</t>
  </si>
  <si>
    <r>
      <rPr>
        <sz val="10"/>
        <rFont val="WenQuanYi Zen Hei"/>
        <family val="2"/>
      </rPr>
      <t xml:space="preserve">그럼 답은요</t>
    </r>
    <r>
      <rPr>
        <sz val="10"/>
        <rFont val="Noto Sans CJK SC"/>
        <family val="2"/>
        <charset val="1"/>
      </rPr>
      <t xml:space="preserve">?</t>
    </r>
  </si>
  <si>
    <r>
      <rPr>
        <sz val="10"/>
        <rFont val="WenQuanYi Zen Hei"/>
        <family val="2"/>
      </rPr>
      <t xml:space="preserve">시그니처 </t>
    </r>
    <r>
      <rPr>
        <sz val="10"/>
        <rFont val="Noto Sans CJK SC"/>
        <family val="2"/>
        <charset val="1"/>
      </rPr>
      <t xml:space="preserve">+ </t>
    </r>
    <r>
      <rPr>
        <sz val="10"/>
        <rFont val="WenQuanYi Zen Hei"/>
        <family val="2"/>
      </rPr>
      <t xml:space="preserve">서가 위치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손짓 지문 대체</t>
    </r>
    <r>
      <rPr>
        <sz val="10"/>
        <rFont val="Noto Sans CJK SC"/>
        <family val="2"/>
        <charset val="1"/>
      </rPr>
      <t xml:space="preserve">)</t>
    </r>
  </si>
  <si>
    <t xml:space="preserve">Je n'ai rien dit. Troisième rayon, à ta gauche.</t>
  </si>
  <si>
    <r>
      <rPr>
        <sz val="10"/>
        <rFont val="WenQuanYi Zen Hei"/>
        <family val="2"/>
      </rPr>
      <t xml:space="preserve">나는 아무 말도 안 했어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세 번째 선반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왼쪽이야</t>
    </r>
    <r>
      <rPr>
        <sz val="10"/>
        <rFont val="Noto Sans CJK SC"/>
        <family val="2"/>
        <charset val="1"/>
      </rPr>
      <t xml:space="preserve">.</t>
    </r>
  </si>
  <si>
    <r>
      <rPr>
        <i val="true"/>
        <sz val="9"/>
        <color rgb="FF595959"/>
        <rFont val="WenQuanYi Zen Hei"/>
        <family val="2"/>
      </rPr>
      <t xml:space="preserve">카드는 </t>
    </r>
    <r>
      <rPr>
        <i val="true"/>
        <sz val="9"/>
        <color rgb="FF595959"/>
        <rFont val="Noto Sans CJK SC"/>
        <family val="2"/>
        <charset val="1"/>
      </rPr>
      <t xml:space="preserve">3</t>
    </r>
    <r>
      <rPr>
        <i val="true"/>
        <sz val="9"/>
        <color rgb="FF595959"/>
        <rFont val="WenQuanYi Zen Hei"/>
        <family val="2"/>
      </rPr>
      <t xml:space="preserve">줄</t>
    </r>
    <r>
      <rPr>
        <i val="true"/>
        <sz val="9"/>
        <color rgb="FF595959"/>
        <rFont val="Noto Sans CJK SC"/>
        <family val="2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검색어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출처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키워드</t>
    </r>
    <r>
      <rPr>
        <i val="true"/>
        <sz val="9"/>
        <color rgb="FF595959"/>
        <rFont val="Noto Sans CJK SC"/>
        <family val="2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과 마지막 시그니처로 짧게 유지한다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이 카드가 모이면 교재 전체의 프랑스어 자료 색인이 된다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카드를 넣을 화의 범위</t>
    </r>
    <r>
      <rPr>
        <i val="true"/>
        <sz val="9"/>
        <color rgb="FF595959"/>
        <rFont val="Noto Sans CJK SC"/>
        <family val="2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전 화 </t>
    </r>
    <r>
      <rPr>
        <i val="true"/>
        <sz val="9"/>
        <color rgb="FF595959"/>
        <rFont val="Noto Sans CJK SC"/>
        <family val="2"/>
        <charset val="1"/>
      </rPr>
      <t xml:space="preserve">vs Curie </t>
    </r>
    <r>
      <rPr>
        <i val="true"/>
        <sz val="9"/>
        <color rgb="FF595959"/>
        <rFont val="WenQuanYi Zen Hei"/>
        <family val="2"/>
      </rPr>
      <t xml:space="preserve">등장 화</t>
    </r>
    <r>
      <rPr>
        <i val="true"/>
        <sz val="9"/>
        <color rgb="FF595959"/>
        <rFont val="Noto Sans CJK SC"/>
        <family val="2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는 미결사항 참고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</si>
  <si>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t xml:space="preserve">대화문 규칙 — 모든 것은 대화문으로 풀어간다</t>
  </si>
  <si>
    <r>
      <rPr>
        <i val="true"/>
        <sz val="9"/>
        <color rgb="FF595959"/>
        <rFont val="WenQuanYi Zen Hei"/>
        <family val="2"/>
      </rPr>
      <t xml:space="preserve">이전 안</t>
    </r>
    <r>
      <rPr>
        <i val="true"/>
        <sz val="9"/>
        <color rgb="FF595959"/>
        <rFont val="Noto Sans CJK SC"/>
        <family val="2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상황 </t>
    </r>
    <r>
      <rPr>
        <i val="true"/>
        <sz val="9"/>
        <color rgb="FF595959"/>
        <rFont val="Noto Sans CJK SC"/>
        <family val="2"/>
        <charset val="1"/>
      </rPr>
      <t xml:space="preserve">30% + </t>
    </r>
    <r>
      <rPr>
        <i val="true"/>
        <sz val="9"/>
        <color rgb="FF595959"/>
        <rFont val="WenQuanYi Zen Hei"/>
        <family val="2"/>
      </rPr>
      <t xml:space="preserve">대화 </t>
    </r>
    <r>
      <rPr>
        <i val="true"/>
        <sz val="9"/>
        <color rgb="FF595959"/>
        <rFont val="Noto Sans CJK SC"/>
        <family val="2"/>
        <charset val="1"/>
      </rPr>
      <t xml:space="preserve">70%)</t>
    </r>
    <r>
      <rPr>
        <i val="true"/>
        <sz val="9"/>
        <color rgb="FF595959"/>
        <rFont val="WenQuanYi Zen Hei"/>
        <family val="2"/>
      </rPr>
      <t xml:space="preserve">을 폐기하고</t>
    </r>
    <r>
      <rPr>
        <i val="true"/>
        <sz val="9"/>
        <color rgb="FF595959"/>
        <rFont val="Noto Sans CJK SC"/>
        <family val="2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전 화를 「화자명</t>
    </r>
    <r>
      <rPr>
        <i val="true"/>
        <sz val="9"/>
        <color rgb="FF595959"/>
        <rFont val="Noto Sans CJK SC"/>
        <family val="2"/>
        <charset val="1"/>
      </rPr>
      <t xml:space="preserve">: </t>
    </r>
    <r>
      <rPr>
        <i val="true"/>
        <sz val="9"/>
        <color rgb="FF595959"/>
        <rFont val="WenQuanYi Zen Hei"/>
        <family val="2"/>
      </rPr>
      <t xml:space="preserve">대사」만으로 구성한다</t>
    </r>
    <r>
      <rPr>
        <i val="true"/>
        <sz val="9"/>
        <color rgb="FF595959"/>
        <rFont val="Noto Sans CJK SC"/>
        <family val="2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</si>
  <si>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WenQuanYi Zen Hei"/>
        <family val="2"/>
      </rPr>
      <t xml:space="preserve">원칙</t>
    </r>
  </si>
  <si>
    <t xml:space="preserve">예시</t>
  </si>
  <si>
    <r>
      <rPr>
        <sz val="10"/>
        <rFont val="WenQuanYi Zen Hei"/>
        <family val="2"/>
      </rPr>
      <t xml:space="preserve">전 화 </t>
    </r>
    <r>
      <rPr>
        <sz val="10"/>
        <rFont val="Noto Sans CJK SC"/>
        <family val="2"/>
        <charset val="1"/>
      </rPr>
      <t xml:space="preserve">100% </t>
    </r>
    <r>
      <rPr>
        <sz val="10"/>
        <rFont val="WenQuanYi Zen Hei"/>
        <family val="2"/>
      </rPr>
      <t xml:space="preserve">대화문</t>
    </r>
  </si>
  <si>
    <r>
      <rPr>
        <sz val="10"/>
        <rFont val="WenQuanYi Zen Hei"/>
        <family val="2"/>
      </rPr>
      <t xml:space="preserve">지문</t>
    </r>
    <r>
      <rPr>
        <sz val="10"/>
        <rFont val="Noto Sans CJK SC"/>
        <family val="2"/>
        <charset val="1"/>
      </rPr>
      <t xml:space="preserve">(didascalies)</t>
    </r>
    <r>
      <rPr>
        <sz val="10"/>
        <rFont val="WenQuanYi Zen Hei"/>
        <family val="2"/>
      </rPr>
      <t xml:space="preserve">은 </t>
    </r>
    <r>
      <rPr>
        <sz val="10"/>
        <rFont val="Noto Sans CJK SC"/>
        <family val="2"/>
        <charset val="1"/>
      </rPr>
      <t xml:space="preserve">0%. </t>
    </r>
    <r>
      <rPr>
        <sz val="10"/>
        <rFont val="WenQuanYi Zen Hei"/>
        <family val="2"/>
      </rPr>
      <t xml:space="preserve">각 화는 화자명 </t>
    </r>
    <r>
      <rPr>
        <sz val="10"/>
        <rFont val="Noto Sans CJK SC"/>
        <family val="2"/>
        <charset val="1"/>
      </rPr>
      <t xml:space="preserve">+ </t>
    </r>
    <r>
      <rPr>
        <sz val="10"/>
        <rFont val="WenQuanYi Zen Hei"/>
        <family val="2"/>
      </rPr>
      <t xml:space="preserve">대사로만 구성한다</t>
    </r>
    <r>
      <rPr>
        <sz val="10"/>
        <rFont val="Noto Sans CJK SC"/>
        <family val="2"/>
        <charset val="1"/>
      </rPr>
      <t xml:space="preserve">.</t>
    </r>
  </si>
  <si>
    <t xml:space="preserve">MONIQUE : Il est cinq heures. La réunion commence.</t>
  </si>
  <si>
    <t xml:space="preserve">화 머리 표기</t>
  </si>
  <si>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화 번호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제목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장소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날짜는 낭독하지 않는 표기 전용 한 줄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메타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낭독 본문에는 넣지 않는다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</si>
  <si>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[11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· Urgences saturées]</t>
    </r>
  </si>
  <si>
    <t xml:space="preserve">괄호 무대지시 금지</t>
  </si>
  <si>
    <r>
      <rPr>
        <sz val="10"/>
        <rFont val="WenQuanYi Zen Hei"/>
        <family val="2"/>
      </rPr>
      <t xml:space="preserve">행동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표정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침묵은 괄호 지문이 아니라 대사로 표현한다</t>
    </r>
    <r>
      <rPr>
        <sz val="10"/>
        <rFont val="Noto Sans CJK SC"/>
        <family val="2"/>
        <charset val="1"/>
      </rPr>
      <t xml:space="preserve">.</t>
    </r>
  </si>
  <si>
    <t xml:space="preserve">(Monique pose l'assiette) → MONIQUE : Je pose cette assiette avant qu'elle s'envole.</t>
  </si>
  <si>
    <r>
      <rPr>
        <sz val="10"/>
        <rFont val="WenQuanYi Zen Hei"/>
        <family val="2"/>
      </rPr>
      <t xml:space="preserve">장소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시간 소개</t>
    </r>
  </si>
  <si>
    <r>
      <rPr>
        <sz val="10"/>
        <rFont val="WenQuanYi Zen Hei"/>
        <family val="2"/>
      </rPr>
      <t xml:space="preserve">지정 화자가 대사로 알린다</t>
    </r>
    <r>
      <rPr>
        <sz val="10"/>
        <rFont val="Noto Sans CJK SC"/>
        <family val="2"/>
        <charset val="1"/>
      </rPr>
      <t xml:space="preserve">: Monique(</t>
    </r>
    <r>
      <rPr>
        <sz val="10"/>
        <rFont val="WenQuanYi Zen Hei"/>
        <family val="2"/>
      </rPr>
      <t xml:space="preserve">식사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장소</t>
    </r>
    <r>
      <rPr>
        <sz val="10"/>
        <rFont val="Noto Sans CJK SC"/>
        <family val="2"/>
        <charset val="1"/>
      </rPr>
      <t xml:space="preserve">), Manon(</t>
    </r>
    <r>
      <rPr>
        <sz val="10"/>
        <rFont val="WenQuanYi Zen Hei"/>
        <family val="2"/>
      </rPr>
      <t xml:space="preserve">질문</t>
    </r>
    <r>
      <rPr>
        <sz val="10"/>
        <rFont val="Noto Sans CJK SC"/>
        <family val="2"/>
        <charset val="1"/>
      </rPr>
      <t xml:space="preserve">), Jeanne(</t>
    </r>
    <r>
      <rPr>
        <sz val="10"/>
        <rFont val="WenQuanYi Zen Hei"/>
        <family val="2"/>
      </rPr>
      <t xml:space="preserve">보고</t>
    </r>
    <r>
      <rPr>
        <sz val="10"/>
        <rFont val="Noto Sans CJK SC"/>
        <family val="2"/>
        <charset val="1"/>
      </rPr>
      <t xml:space="preserve">).</t>
    </r>
  </si>
  <si>
    <t xml:space="preserve">MONIQUE : Il est cinq heures. Réunion à ma table.</t>
  </si>
  <si>
    <r>
      <rPr>
        <sz val="10"/>
        <rFont val="WenQuanYi Zen Hei"/>
        <family val="2"/>
      </rPr>
      <t xml:space="preserve">시간 경과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장면 전환</t>
    </r>
  </si>
  <si>
    <r>
      <rPr>
        <sz val="10"/>
        <rFont val="WenQuanYi Zen Hei"/>
        <family val="2"/>
      </rPr>
      <t xml:space="preserve">인물이 말로 알린다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전환은 화자 교체 </t>
    </r>
    <r>
      <rPr>
        <sz val="10"/>
        <rFont val="Noto Sans CJK SC"/>
        <family val="2"/>
        <charset val="1"/>
      </rPr>
      <t xml:space="preserve">+ </t>
    </r>
    <r>
      <rPr>
        <sz val="10"/>
        <rFont val="WenQuanYi Zen Hei"/>
        <family val="2"/>
      </rPr>
      <t xml:space="preserve">장소 언급으로</t>
    </r>
    <r>
      <rPr>
        <sz val="10"/>
        <rFont val="Noto Sans CJK SC"/>
        <family val="2"/>
        <charset val="1"/>
      </rPr>
      <t xml:space="preserve">.</t>
    </r>
  </si>
  <si>
    <t xml:space="preserve">VOLTAIRE : Ça fait trois mois depuis l'expulsion, non ?</t>
  </si>
  <si>
    <r>
      <rPr>
        <sz val="10"/>
        <rFont val="WenQuanYi Zen Hei"/>
        <family val="2"/>
      </rPr>
      <t xml:space="preserve">문서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기사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메모</t>
    </r>
  </si>
  <si>
    <r>
      <rPr>
        <sz val="10"/>
        <rFont val="WenQuanYi Zen Hei"/>
        <family val="2"/>
      </rPr>
      <t xml:space="preserve">소리 내어 읽는다</t>
    </r>
    <r>
      <rPr>
        <sz val="10"/>
        <rFont val="Noto Sans CJK SC"/>
        <family val="2"/>
        <charset val="1"/>
      </rPr>
      <t xml:space="preserve">: Nicolas=</t>
    </r>
    <r>
      <rPr>
        <sz val="10"/>
        <rFont val="WenQuanYi Zen Hei"/>
        <family val="2"/>
      </rPr>
      <t xml:space="preserve">조항</t>
    </r>
    <r>
      <rPr>
        <sz val="10"/>
        <rFont val="Noto Sans CJK SC"/>
        <family val="2"/>
        <charset val="1"/>
      </rPr>
      <t xml:space="preserve">, Voltaire=</t>
    </r>
    <r>
      <rPr>
        <sz val="10"/>
        <rFont val="WenQuanYi Zen Hei"/>
        <family val="2"/>
      </rPr>
      <t xml:space="preserve">기사</t>
    </r>
    <r>
      <rPr>
        <sz val="10"/>
        <rFont val="Noto Sans CJK SC"/>
        <family val="2"/>
        <charset val="1"/>
      </rPr>
      <t xml:space="preserve">, Hugo=</t>
    </r>
    <r>
      <rPr>
        <sz val="10"/>
        <rFont val="WenQuanYi Zen Hei"/>
        <family val="2"/>
      </rPr>
      <t xml:space="preserve">초고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메모</t>
    </r>
    <r>
      <rPr>
        <sz val="10"/>
        <rFont val="Noto Sans CJK SC"/>
        <family val="2"/>
        <charset val="1"/>
      </rPr>
      <t xml:space="preserve">, Curie=</t>
    </r>
    <r>
      <rPr>
        <sz val="10"/>
        <rFont val="WenQuanYi Zen Hei"/>
        <family val="2"/>
      </rPr>
      <t xml:space="preserve">카드</t>
    </r>
    <r>
      <rPr>
        <sz val="10"/>
        <rFont val="Noto Sans CJK SC"/>
        <family val="2"/>
        <charset val="1"/>
      </rPr>
      <t xml:space="preserve">.</t>
    </r>
  </si>
  <si>
    <t xml:space="preserve">NICOLAS : Article premier : « La France est une République indivisible, laïque, démocratique et sociale. »</t>
  </si>
  <si>
    <r>
      <rPr>
        <sz val="10"/>
        <rFont val="WenQuanYi Zen Hei"/>
        <family val="2"/>
      </rPr>
      <t xml:space="preserve">무거운 장면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죽음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침묵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</si>
  <si>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짧은 호명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확인 대사로 처리한다</t>
    </r>
    <r>
      <rPr>
        <sz val="10"/>
        <rFont val="Noto Sans CJK SC"/>
        <family val="2"/>
        <charset val="1"/>
      </rPr>
      <t xml:space="preserve">.</t>
    </r>
  </si>
  <si>
    <t xml:space="preserve">MANON : Napoléon ? / CAMILLE : Il est parti, Manon.</t>
  </si>
  <si>
    <r>
      <rPr>
        <sz val="10"/>
        <rFont val="WenQuanYi Zen Hei"/>
        <family val="2"/>
      </rPr>
      <t xml:space="preserve">내면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감정</t>
    </r>
  </si>
  <si>
    <r>
      <rPr>
        <sz val="10"/>
        <rFont val="WenQuanYi Zen Hei"/>
        <family val="2"/>
      </rPr>
      <t xml:space="preserve">독백은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소리 내어 하는 말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로만 허용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감정 노출은 </t>
    </r>
    <r>
      <rPr>
        <sz val="10"/>
        <rFont val="Noto Sans CJK SC"/>
        <family val="2"/>
        <charset val="1"/>
      </rPr>
      <t xml:space="preserve">Sartre</t>
    </r>
    <r>
      <rPr>
        <sz val="10"/>
        <rFont val="WenQuanYi Zen Hei"/>
        <family val="2"/>
      </rPr>
      <t xml:space="preserve">의 되묻기 화법을 활용</t>
    </r>
    <r>
      <rPr>
        <sz val="10"/>
        <rFont val="Noto Sans CJK SC"/>
        <family val="2"/>
        <charset val="1"/>
      </rPr>
      <t xml:space="preserve">.</t>
    </r>
  </si>
  <si>
    <t xml:space="preserve">SARTRE : Alors tu te sens seule. Et qu'est-ce que tu en fais ?</t>
  </si>
  <si>
    <t xml:space="preserve">문장 길이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</si>
  <si>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(B1): </t>
    </r>
    <r>
      <rPr>
        <sz val="10"/>
        <rFont val="WenQuanYi Zen Hei"/>
        <family val="2"/>
      </rPr>
      <t xml:space="preserve">대사 한 줄 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단어 이내</t>
    </r>
    <r>
      <rPr>
        <sz val="10"/>
        <rFont val="Arial"/>
        <family val="0"/>
        <charset val="1"/>
      </rPr>
      <t xml:space="preserve">. Napoléon·Nicolas</t>
    </r>
    <r>
      <rPr>
        <sz val="10"/>
        <rFont val="WenQuanYi Zen Hei"/>
        <family val="2"/>
      </rPr>
      <t xml:space="preserve">의 격식체는 한두 줄만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어른들 말투 맛보기</t>
    </r>
    <r>
      <rPr>
        <sz val="10"/>
        <rFont val="Arial"/>
        <family val="0"/>
        <charset val="1"/>
      </rPr>
      <t xml:space="preserve">'. </t>
    </r>
    <r>
      <rPr>
        <sz val="10"/>
        <rFont val="WenQuanYi Zen Hei"/>
        <family val="2"/>
      </rPr>
      <t xml:space="preserve">부가 올라갈수록 인물별 허용 길이 확대</t>
    </r>
    <r>
      <rPr>
        <sz val="10"/>
        <rFont val="Arial"/>
        <family val="0"/>
        <charset val="1"/>
      </rPr>
      <t xml:space="preserve">. Manon</t>
    </r>
    <r>
      <rPr>
        <sz val="10"/>
        <rFont val="WenQuanYi Zen Hei"/>
        <family val="2"/>
      </rPr>
      <t xml:space="preserve">의 질문은 끝까지 짧게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</si>
  <si>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'1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시범대사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시트에서 단어 수 자동 점검</t>
    </r>
  </si>
  <si>
    <r>
      <rPr>
        <sz val="10"/>
        <rFont val="WenQuanYi Zen Hei"/>
        <family val="2"/>
      </rPr>
      <t xml:space="preserve">화당 분량 </t>
    </r>
    <r>
      <rPr>
        <sz val="10"/>
        <rFont val="Noto Sans CJK SC"/>
        <family val="2"/>
        <charset val="1"/>
      </rPr>
      <t xml:space="preserve">= 120</t>
    </r>
    <r>
      <rPr>
        <sz val="10"/>
        <rFont val="WenQuanYi Zen Hei"/>
        <family val="2"/>
      </rPr>
      <t xml:space="preserve">턴</t>
    </r>
  </si>
  <si>
    <r>
      <rPr>
        <sz val="10"/>
        <rFont val="WenQuanYi Zen Hei"/>
        <family val="2"/>
      </rPr>
      <t xml:space="preserve">한 화는 대화 </t>
    </r>
    <r>
      <rPr>
        <sz val="10"/>
        <rFont val="Noto Sans CJK SC"/>
        <family val="2"/>
        <charset val="1"/>
      </rPr>
      <t xml:space="preserve">120</t>
    </r>
    <r>
      <rPr>
        <sz val="10"/>
        <rFont val="WenQuanYi Zen Hei"/>
        <family val="2"/>
      </rPr>
      <t xml:space="preserve">턴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화자 교대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회 </t>
    </r>
    <r>
      <rPr>
        <sz val="10"/>
        <rFont val="Noto Sans CJK SC"/>
        <family val="2"/>
        <charset val="1"/>
      </rPr>
      <t xml:space="preserve">= 1</t>
    </r>
    <r>
      <rPr>
        <sz val="10"/>
        <rFont val="WenQuanYi Zen Hei"/>
        <family val="2"/>
      </rPr>
      <t xml:space="preserve">턴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으로 구성한다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한 턴은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15</t>
    </r>
    <r>
      <rPr>
        <sz val="10"/>
        <rFont val="WenQuanYi Zen Hei"/>
        <family val="2"/>
      </rPr>
      <t xml:space="preserve">단어 이내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연설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조항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기사 낭독은 긴 턴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개로 세되 화당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개까지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화 유형별 도입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장면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절정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마무리 배분과 화자 점유율은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턴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설계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시트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</si>
  <si>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120</t>
    </r>
    <r>
      <rPr>
        <sz val="10"/>
        <rFont val="WenQuanYi Zen Hei"/>
        <family val="2"/>
      </rPr>
      <t xml:space="preserve">턴 중 장면 전환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시간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장소 안내 </t>
    </r>
    <r>
      <rPr>
        <sz val="10"/>
        <rFont val="Arial"/>
        <family val="0"/>
        <charset val="1"/>
      </rPr>
      <t xml:space="preserve">5~10</t>
    </r>
    <r>
      <rPr>
        <sz val="10"/>
        <rFont val="WenQuanYi Zen Hei"/>
        <family val="2"/>
      </rPr>
      <t xml:space="preserve">턴</t>
    </r>
    <r>
      <rPr>
        <sz val="10"/>
        <rFont val="Arial"/>
        <family val="0"/>
        <charset val="1"/>
      </rPr>
      <t xml:space="preserve">, Manon </t>
    </r>
    <r>
      <rPr>
        <sz val="10"/>
        <rFont val="WenQuanYi Zen Hei"/>
        <family val="2"/>
      </rPr>
      <t xml:space="preserve">질문→재설명 </t>
    </r>
    <r>
      <rPr>
        <sz val="10"/>
        <rFont val="Arial"/>
        <family val="0"/>
        <charset val="1"/>
      </rPr>
      <t xml:space="preserve">6~12</t>
    </r>
    <r>
      <rPr>
        <sz val="10"/>
        <rFont val="WenQuanYi Zen Hei"/>
        <family val="2"/>
      </rPr>
      <t xml:space="preserve">턴</t>
    </r>
  </si>
  <si>
    <r>
      <rPr>
        <sz val="10"/>
        <rFont val="WenQuanYi Zen Hei"/>
        <family val="2"/>
      </rPr>
      <t xml:space="preserve">화자 식별 장치이자 반복 학습 문장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한 화에 화자당 </t>
    </r>
    <r>
      <rPr>
        <sz val="10"/>
        <rFont val="Noto Sans CJK SC"/>
        <family val="2"/>
        <charset val="1"/>
      </rPr>
      <t xml:space="preserve">1~2</t>
    </r>
    <r>
      <rPr>
        <sz val="10"/>
        <rFont val="WenQuanYi Zen Hei"/>
        <family val="2"/>
      </rPr>
      <t xml:space="preserve">회까지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</si>
  <si>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Manon</t>
    </r>
    <r>
      <rPr>
        <sz val="10"/>
        <rFont val="WenQuanYi Zen Hei"/>
        <family val="2"/>
      </rPr>
      <t xml:space="preserve">의 질문 장치</t>
    </r>
  </si>
  <si>
    <r>
      <rPr>
        <sz val="10"/>
        <rFont val="WenQuanYi Zen Hei"/>
        <family val="2"/>
      </rPr>
      <t xml:space="preserve">어려운 용어 뒤에는 </t>
    </r>
    <r>
      <rPr>
        <sz val="10"/>
        <rFont val="Noto Sans CJK SC"/>
        <family val="2"/>
        <charset val="1"/>
      </rPr>
      <t xml:space="preserve">Manon</t>
    </r>
    <r>
      <rPr>
        <sz val="10"/>
        <rFont val="WenQuanYi Zen Hei"/>
        <family val="2"/>
      </rPr>
      <t xml:space="preserve">의 질문 → 쉬운 재설명이 온다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전문 표현 → 쉬운 표현 짝</t>
    </r>
    <r>
      <rPr>
        <sz val="10"/>
        <rFont val="Noto Sans CJK SC"/>
        <family val="2"/>
        <charset val="1"/>
      </rPr>
      <t xml:space="preserve">).</t>
    </r>
  </si>
  <si>
    <t xml:space="preserve">MANON : Pardon, ça veut dire quoi ?</t>
  </si>
  <si>
    <r>
      <rPr>
        <sz val="10"/>
        <rFont val="Arial"/>
        <family val="0"/>
        <charset val="1"/>
      </rPr>
      <t xml:space="preserve">Curie</t>
    </r>
    <r>
      <rPr>
        <sz val="10"/>
        <rFont val="WenQuanYi Zen Hei"/>
        <family val="2"/>
      </rPr>
      <t xml:space="preserve">의 카드</t>
    </r>
  </si>
  <si>
    <r>
      <rPr>
        <sz val="10"/>
        <rFont val="WenQuanYi Zen Hei"/>
        <family val="2"/>
      </rPr>
      <t xml:space="preserve">카드는 구술로 처리한다 </t>
    </r>
    <r>
      <rPr>
        <sz val="10"/>
        <rFont val="Noto Sans CJK SC"/>
        <family val="2"/>
        <charset val="1"/>
      </rPr>
      <t xml:space="preserve">(Curie_</t>
    </r>
    <r>
      <rPr>
        <sz val="10"/>
        <rFont val="WenQuanYi Zen Hei"/>
        <family val="2"/>
      </rPr>
      <t xml:space="preserve">출처 시트 템플릿</t>
    </r>
    <r>
      <rPr>
        <sz val="10"/>
        <rFont val="Noto Sans CJK SC"/>
        <family val="2"/>
        <charset val="1"/>
      </rPr>
      <t xml:space="preserve">).</t>
    </r>
  </si>
  <si>
    <t xml:space="preserve">CURIE : Note. Cherche : …</t>
  </si>
  <si>
    <t xml:space="preserve">욕설 수위</t>
  </si>
  <si>
    <r>
      <rPr>
        <sz val="10"/>
        <rFont val="Arial"/>
        <family val="0"/>
        <charset val="1"/>
      </rPr>
      <t xml:space="preserve">putain, merde </t>
    </r>
    <r>
      <rPr>
        <sz val="10"/>
        <rFont val="WenQuanYi Zen Hei"/>
        <family val="2"/>
      </rPr>
      <t xml:space="preserve">등은 교재 제외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순한 표현만 </t>
    </r>
    <r>
      <rPr>
        <sz val="10"/>
        <rFont val="Arial"/>
        <family val="0"/>
        <charset val="1"/>
      </rPr>
      <t xml:space="preserve">(Manon_</t>
    </r>
    <r>
      <rPr>
        <sz val="10"/>
        <rFont val="WenQuanYi Zen Hei"/>
        <family val="2"/>
      </rPr>
      <t xml:space="preserve">폭발과욕 시트</t>
    </r>
    <r>
      <rPr>
        <sz val="10"/>
        <rFont val="Arial"/>
        <family val="0"/>
        <charset val="1"/>
      </rPr>
      <t xml:space="preserve">).</t>
    </r>
  </si>
  <si>
    <t xml:space="preserve">호칭 전환</t>
  </si>
  <si>
    <r>
      <rPr>
        <sz val="10"/>
        <rFont val="Arial"/>
        <family val="0"/>
        <charset val="1"/>
      </rPr>
      <t xml:space="preserve">tu/vous </t>
    </r>
    <r>
      <rPr>
        <sz val="10"/>
        <rFont val="WenQuanYi Zen Hei"/>
        <family val="2"/>
      </rPr>
      <t xml:space="preserve">전환</t>
    </r>
    <r>
      <rPr>
        <sz val="10"/>
        <rFont val="Arial"/>
        <family val="0"/>
        <charset val="1"/>
      </rPr>
      <t xml:space="preserve">(tutoiement)</t>
    </r>
    <r>
      <rPr>
        <sz val="10"/>
        <rFont val="WenQuanYi Zen Hei"/>
        <family val="2"/>
      </rPr>
      <t xml:space="preserve">은 대사로 명시한다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호칭규칙 시트</t>
    </r>
    <r>
      <rPr>
        <sz val="10"/>
        <rFont val="Arial"/>
        <family val="0"/>
        <charset val="1"/>
      </rPr>
      <t xml:space="preserve">).</t>
    </r>
  </si>
  <si>
    <t xml:space="preserve">NAPOLÉON : Tu peux me tutoyer.</t>
  </si>
  <si>
    <t xml:space="preserve">가상 정치 세계</t>
  </si>
  <si>
    <r>
      <rPr>
        <sz val="10"/>
        <rFont val="WenQuanYi Zen Hei"/>
        <family val="2"/>
      </rPr>
      <t xml:space="preserve">정당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정치인은 전부 가상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실존 정치인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정당명을 쓰지 않는다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공식 절차 문구는 하원의장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표결</t>
    </r>
    <r>
      <rPr>
        <sz val="10"/>
        <rFont val="Noto Sans CJK SC"/>
        <family val="2"/>
        <charset val="1"/>
      </rPr>
      <t xml:space="preserve">)·</t>
    </r>
    <r>
      <rPr>
        <sz val="10"/>
        <rFont val="WenQuanYi Zen Hei"/>
        <family val="2"/>
      </rPr>
      <t xml:space="preserve">헌법재판소장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대선 결과</t>
    </r>
    <r>
      <rPr>
        <sz val="10"/>
        <rFont val="Noto Sans CJK SC"/>
        <family val="2"/>
        <charset val="1"/>
      </rPr>
      <t xml:space="preserve">) </t>
    </r>
    <r>
      <rPr>
        <sz val="10"/>
        <rFont val="WenQuanYi Zen Hei"/>
        <family val="2"/>
      </rPr>
      <t xml:space="preserve">대사로 전달한다</t>
    </r>
    <r>
      <rPr>
        <sz val="10"/>
        <rFont val="Noto Sans CJK SC"/>
        <family val="2"/>
        <charset val="1"/>
      </rPr>
      <t xml:space="preserve">.</t>
    </r>
  </si>
  <si>
    <t xml:space="preserve">PRÉSIDENTE DE L'ASSEMBLÉE NATIONALE : Pour l'adoption : deux cent quatre-vingt-huit.</t>
  </si>
  <si>
    <t xml:space="preserve">현안을 다루는 법</t>
  </si>
  <si>
    <r>
      <rPr>
        <sz val="10"/>
        <rFont val="WenQuanYi Zen Hei"/>
        <family val="2"/>
      </rPr>
      <t xml:space="preserve">시사 현안은 가상 설정으로 각색하고 실존 인물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참사 희생자를 특정하지 않는다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찬반 양측이 각자의 가장 강한 논거를 말하게 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결론은 화 안에서 제도의 결과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표결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판결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협약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로만 닫는다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수치는 </t>
    </r>
    <r>
      <rPr>
        <sz val="10"/>
        <rFont val="Noto Sans CJK SC"/>
        <family val="2"/>
        <charset val="1"/>
      </rPr>
      <t xml:space="preserve">Curie</t>
    </r>
    <r>
      <rPr>
        <sz val="10"/>
        <rFont val="WenQuanYi Zen Hei"/>
        <family val="2"/>
      </rPr>
      <t xml:space="preserve">의 카드로 출처를 안내한다</t>
    </r>
    <r>
      <rPr>
        <sz val="10"/>
        <rFont val="Noto Sans CJK SC"/>
        <family val="2"/>
        <charset val="1"/>
      </rPr>
      <t xml:space="preserve">.</t>
    </r>
  </si>
  <si>
    <t xml:space="preserve">MANON : Pardon, ça veut dire quoi, « encadrement des loyers » ? / JULIEN : Le loyer ne peut pas dépasser un plafond.</t>
  </si>
  <si>
    <t xml:space="preserve">화자 표기</t>
  </si>
  <si>
    <r>
      <rPr>
        <sz val="10"/>
        <rFont val="WenQuanYi Zen Hei"/>
        <family val="2"/>
      </rPr>
      <t xml:space="preserve">화자명은 대문자 </t>
    </r>
    <r>
      <rPr>
        <sz val="10"/>
        <rFont val="Noto Sans CJK SC"/>
        <family val="2"/>
        <charset val="1"/>
      </rPr>
      <t xml:space="preserve">+ </t>
    </r>
    <r>
      <rPr>
        <sz val="10"/>
        <rFont val="WenQuanYi Zen Hei"/>
        <family val="2"/>
      </rPr>
      <t xml:space="preserve">공백 </t>
    </r>
    <r>
      <rPr>
        <sz val="10"/>
        <rFont val="Noto Sans CJK SC"/>
        <family val="2"/>
        <charset val="1"/>
      </rPr>
      <t xml:space="preserve">+ </t>
    </r>
    <r>
      <rPr>
        <sz val="10"/>
        <rFont val="WenQuanYi Zen Hei"/>
        <family val="2"/>
      </rPr>
      <t xml:space="preserve">콜론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프랑스식 타이포그래피</t>
    </r>
    <r>
      <rPr>
        <sz val="10"/>
        <rFont val="Noto Sans CJK SC"/>
        <family val="2"/>
        <charset val="1"/>
      </rPr>
      <t xml:space="preserve">: ? ! : ; </t>
    </r>
    <r>
      <rPr>
        <sz val="10"/>
        <rFont val="WenQuanYi Zen Hei"/>
        <family val="2"/>
      </rPr>
      <t xml:space="preserve">앞에 공백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프랑스어 본문과 한국어 번역은 열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또는 파일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을 분리해 낭독 시 번역이 섞이지 않게 한다</t>
    </r>
    <r>
      <rPr>
        <sz val="10"/>
        <rFont val="Noto Sans CJK SC"/>
        <family val="2"/>
        <charset val="1"/>
      </rPr>
      <t xml:space="preserve">.</t>
    </r>
  </si>
  <si>
    <t xml:space="preserve">MANON : ÇA SUFFIT !</t>
  </si>
  <si>
    <t xml:space="preserve">고전 인용</t>
  </si>
  <si>
    <r>
      <rPr>
        <sz val="10"/>
        <rFont val="WenQuanYi Zen Hei"/>
        <family val="2"/>
      </rPr>
      <t xml:space="preserve">인물마다 다른 프랑스 고전 출처를 맡겨 화마다 </t>
    </r>
    <r>
      <rPr>
        <sz val="10"/>
        <rFont val="Noto Sans CJK SC"/>
        <family val="2"/>
        <charset val="1"/>
      </rPr>
      <t xml:space="preserve">1~2</t>
    </r>
    <r>
      <rPr>
        <sz val="10"/>
        <rFont val="WenQuanYi Zen Hei"/>
        <family val="2"/>
      </rPr>
      <t xml:space="preserve">명이 짧게 인용한다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공유 저작물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저자 사후 </t>
    </r>
    <r>
      <rPr>
        <sz val="10"/>
        <rFont val="Noto Sans CJK SC"/>
        <family val="2"/>
        <charset val="1"/>
      </rPr>
      <t xml:space="preserve">70</t>
    </r>
    <r>
      <rPr>
        <sz val="10"/>
        <rFont val="WenQuanYi Zen Hei"/>
        <family val="2"/>
      </rPr>
      <t xml:space="preserve">년 경과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만 쓰고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원문을 정확히 인용한다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배정표는 아래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번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부활한 인물은 자기 글을 인용할 수 있다</t>
    </r>
    <r>
      <rPr>
        <sz val="10"/>
        <rFont val="Noto Sans CJK SC"/>
        <family val="2"/>
        <charset val="1"/>
      </rPr>
      <t xml:space="preserve">.</t>
    </r>
  </si>
  <si>
    <t xml:space="preserve">HUGO : Ceux qui vivent, ce sont ceux qui luttent.</t>
  </si>
  <si>
    <r>
      <rPr>
        <b val="true"/>
        <sz val="10"/>
        <rFont val="Arial"/>
        <family val="0"/>
        <charset val="1"/>
      </rPr>
      <t xml:space="preserve">3. </t>
    </r>
    <r>
      <rPr>
        <b val="true"/>
        <sz val="10"/>
        <rFont val="WenQuanYi Zen Hei"/>
        <family val="2"/>
      </rPr>
      <t xml:space="preserve">고전 인용 배정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화마다 </t>
    </r>
    <r>
      <rPr>
        <b val="true"/>
        <sz val="10"/>
        <rFont val="Arial"/>
        <family val="0"/>
        <charset val="1"/>
      </rPr>
      <t xml:space="preserve">1~2</t>
    </r>
    <r>
      <rPr>
        <b val="true"/>
        <sz val="10"/>
        <rFont val="WenQuanYi Zen Hei"/>
        <family val="2"/>
      </rPr>
      <t xml:space="preserve">명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</si>
  <si>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인물마다 다른 출처를 맡겨 반복되지 않게 하고</t>
    </r>
    <r>
      <rPr>
        <sz val="10"/>
        <rFont val="Noto Sans CJK SC"/>
        <family val="2"/>
        <charset val="1"/>
      </rPr>
      <t xml:space="preserve">, Monique</t>
    </r>
    <r>
      <rPr>
        <sz val="10"/>
        <rFont val="WenQuanYi Zen Hei"/>
        <family val="2"/>
      </rPr>
      <t xml:space="preserve">가 거의 전 화에 등장하므로 로테이션 캐스트인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부에서도 대부분의 화가 커버된다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공유 저작물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코르네유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라퐁텐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파스칼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볼테르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위고</t>
    </r>
    <r>
      <rPr>
        <sz val="10"/>
        <rFont val="Noto Sans CJK SC"/>
        <family val="2"/>
        <charset val="1"/>
      </rPr>
      <t xml:space="preserve">·1789</t>
    </r>
    <r>
      <rPr>
        <sz val="10"/>
        <rFont val="WenQuanYi Zen Hei"/>
        <family val="2"/>
      </rPr>
      <t xml:space="preserve">년 인권선언 등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만 쓰고 원문을 정확히 인용한다</t>
    </r>
    <r>
      <rPr>
        <sz val="10"/>
        <rFont val="Noto Sans CJK SC"/>
        <family val="2"/>
        <charset val="1"/>
      </rPr>
      <t xml:space="preserve">. Sartre(1980</t>
    </r>
    <r>
      <rPr>
        <sz val="10"/>
        <rFont val="WenQuanYi Zen Hei"/>
        <family val="2"/>
      </rPr>
      <t xml:space="preserve">년 사망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의 글은 저작권 보호 중이므로 짧은 인용권 범위로만 쓰거나 창작 대사로 대체한다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가짜로 떠도는 명언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예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볼테르가 실제로 쓰지 않은 </t>
    </r>
    <r>
      <rPr>
        <sz val="10"/>
        <rFont val="Noto Sans CJK SC"/>
        <family val="2"/>
        <charset val="1"/>
      </rPr>
      <t xml:space="preserve">«Je ne suis pas d'accord avec ce que vous dites, mais je me battrai…» — </t>
    </r>
    <r>
      <rPr>
        <sz val="10"/>
        <rFont val="WenQuanYi Zen Hei"/>
        <family val="2"/>
      </rPr>
      <t xml:space="preserve">실제로는 </t>
    </r>
    <r>
      <rPr>
        <sz val="10"/>
        <rFont val="Noto Sans CJK SC"/>
        <family val="2"/>
        <charset val="1"/>
      </rPr>
      <t xml:space="preserve">1906</t>
    </r>
    <r>
      <rPr>
        <sz val="10"/>
        <rFont val="WenQuanYi Zen Hei"/>
        <family val="2"/>
      </rPr>
      <t xml:space="preserve">년 전기 작가의 요약문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은 쓰지 않는다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</si>
  <si>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(Silencio.) </t>
    </r>
    <r>
      <rPr>
        <sz val="10"/>
        <rFont val="WenQuanYi Zen Hei"/>
        <family val="2"/>
      </rPr>
      <t xml:space="preserve">폭발 직후 정적</t>
    </r>
  </si>
  <si>
    <r>
      <rPr>
        <sz val="10"/>
        <rFont val="Arial"/>
        <family val="0"/>
        <charset val="1"/>
      </rPr>
      <t xml:space="preserve">«Oh là.» — </t>
    </r>
    <r>
      <rPr>
        <sz val="10"/>
        <rFont val="WenQuanYi Zen Hei"/>
        <family val="2"/>
      </rPr>
      <t xml:space="preserve">정적 대신 짧은 감탄으로 멈춤을 표현</t>
    </r>
  </si>
  <si>
    <t xml:space="preserve">출처</t>
  </si>
  <si>
    <t xml:space="preserve">쓰는 방식</t>
  </si>
  <si>
    <r>
      <rPr>
        <b val="true"/>
        <sz val="10"/>
        <color rgb="FFFFFFFF"/>
        <rFont val="WenQuanYi Zen Hei"/>
        <family val="2"/>
      </rPr>
      <t xml:space="preserve">실제 인용 예시 </t>
    </r>
    <r>
      <rPr>
        <b val="true"/>
        <sz val="10"/>
        <color rgb="FFFFFFFF"/>
        <rFont val="Noto Sans CJK SC"/>
        <family val="2"/>
        <charset val="1"/>
      </rPr>
      <t xml:space="preserve">(FR)</t>
    </r>
  </si>
  <si>
    <t xml:space="preserve">등장 부</t>
  </si>
  <si>
    <r>
      <rPr>
        <sz val="10"/>
        <rFont val="WenQuanYi Zen Hei"/>
        <family val="2"/>
      </rPr>
      <t xml:space="preserve">프랑스 속담</t>
    </r>
    <r>
      <rPr>
        <sz val="10"/>
        <rFont val="Noto Sans CJK SC"/>
        <family val="2"/>
        <charset val="1"/>
      </rPr>
      <t xml:space="preserve">(proverbes)</t>
    </r>
  </si>
  <si>
    <r>
      <rPr>
        <sz val="10"/>
        <rFont val="WenQuanYi Zen Hei"/>
        <family val="2"/>
      </rPr>
      <t xml:space="preserve">인용이 아니라 그냥 말버릇처럼 자연스럽게 섞인다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따뜻하고 실용적</t>
    </r>
    <r>
      <rPr>
        <sz val="10"/>
        <rFont val="Noto Sans CJK SC"/>
        <family val="2"/>
        <charset val="1"/>
      </rPr>
      <t xml:space="preserve">.</t>
    </r>
  </si>
  <si>
    <t xml:space="preserve">Petit à petit, l'oiseau fait son nid. / Qui se ressemble s'assemble.</t>
  </si>
  <si>
    <t xml:space="preserve">거의 전 화</t>
  </si>
  <si>
    <r>
      <rPr>
        <sz val="10"/>
        <rFont val="WenQuanYi Zen Hei"/>
        <family val="2"/>
      </rPr>
      <t xml:space="preserve">코르네유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자기 편지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부활자 특권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</si>
  <si>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정중하게 비꼬는 코미디로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평소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죽음 앞에서는 무겁게</t>
    </r>
    <r>
      <rPr>
        <sz val="10"/>
        <rFont val="Noto Sans CJK SC"/>
        <family val="2"/>
        <charset val="1"/>
      </rPr>
      <t xml:space="preserve">(11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).</t>
    </r>
  </si>
  <si>
    <r>
      <rPr>
        <sz val="10"/>
        <rFont val="Arial"/>
        <family val="0"/>
        <charset val="1"/>
      </rPr>
      <t xml:space="preserve">À vaincre sans péril, on triomphe sans gloire. (Corneille, Le Cid) / « Impossible n'est pas français » — 1813</t>
    </r>
    <r>
      <rPr>
        <sz val="10"/>
        <rFont val="WenQuanYi Zen Hei"/>
        <family val="2"/>
      </rPr>
      <t xml:space="preserve">년 편지 문구가 변형된 말이라 원문 확인 후 사용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</si>
  <si>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, 11</t>
    </r>
    <r>
      <rPr>
        <sz val="10"/>
        <rFont val="WenQuanYi Zen Hei"/>
        <family val="2"/>
      </rPr>
      <t xml:space="preserve">부</t>
    </r>
  </si>
  <si>
    <r>
      <rPr>
        <sz val="10"/>
        <rFont val="WenQuanYi Zen Hei"/>
        <family val="2"/>
      </rPr>
      <t xml:space="preserve">파스칼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라퐁텐 등</t>
    </r>
  </si>
  <si>
    <r>
      <rPr>
        <sz val="10"/>
        <rFont val="WenQuanYi Zen Hei"/>
        <family val="2"/>
      </rPr>
      <t xml:space="preserve">감정으로 낭송하지 않고 서지 정보처럼 인용한다 — 「몇 번째 선반」식 습관과 같은 화법</t>
    </r>
    <r>
      <rPr>
        <sz val="10"/>
        <rFont val="Noto Sans CJK SC"/>
        <family val="2"/>
        <charset val="1"/>
      </rPr>
      <t xml:space="preserve">.</t>
    </r>
  </si>
  <si>
    <t xml:space="preserve">L'homme n'est qu'un roseau, le plus faible de la nature ; mais c'est un roseau pensant. Pascal, Pensées.</t>
  </si>
  <si>
    <r>
      <rPr>
        <sz val="10"/>
        <rFont val="Arial"/>
        <family val="0"/>
        <charset val="1"/>
      </rPr>
      <t xml:space="preserve">1·2·6·11·12</t>
    </r>
    <r>
      <rPr>
        <sz val="10"/>
        <rFont val="WenQuanYi Zen Hei"/>
        <family val="2"/>
      </rPr>
      <t xml:space="preserve">부</t>
    </r>
  </si>
  <si>
    <r>
      <rPr>
        <sz val="10"/>
        <rFont val="WenQuanYi Zen Hei"/>
        <family val="2"/>
      </rPr>
      <t xml:space="preserve">자기 작품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위고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</si>
  <si>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자기 문장을 인용하다 들키면 모른 척한다 — 부활자의 겸손 개그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시적이고 장엄한 톤</t>
    </r>
    <r>
      <rPr>
        <sz val="10"/>
        <rFont val="Noto Sans CJK SC"/>
        <family val="2"/>
        <charset val="1"/>
      </rPr>
      <t xml:space="preserve">.</t>
    </r>
  </si>
  <si>
    <t xml:space="preserve">Ceux qui vivent, ce sont ceux qui luttent. (Hugo, Les Châtiments) / Demain, dès l'aube… (Hugo, Les Contemplations)</t>
  </si>
  <si>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부 이후</t>
    </r>
  </si>
  <si>
    <r>
      <rPr>
        <sz val="10"/>
        <rFont val="Noto Sans CJK SC"/>
        <family val="2"/>
        <charset val="1"/>
      </rPr>
      <t xml:space="preserve">1789</t>
    </r>
    <r>
      <rPr>
        <sz val="10"/>
        <rFont val="WenQuanYi Zen Hei"/>
        <family val="2"/>
      </rPr>
      <t xml:space="preserve">년 인권선언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위고의 정치 연설</t>
    </r>
  </si>
  <si>
    <r>
      <rPr>
        <sz val="10"/>
        <rFont val="WenQuanYi Zen Hei"/>
        <family val="2"/>
      </rPr>
      <t xml:space="preserve">대통령이 되어 가며 연설에 섞어 쓴다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</si>
  <si>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Les hommes naissent et demeurent libres et égaux en droits. (</t>
    </r>
    <r>
      <rPr>
        <sz val="10"/>
        <rFont val="WenQuanYi Zen Hei"/>
        <family val="2"/>
      </rPr>
      <t xml:space="preserve">인권선언 제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</si>
  <si>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8~13</t>
    </r>
    <r>
      <rPr>
        <sz val="10"/>
        <rFont val="WenQuanYi Zen Hei"/>
        <family val="2"/>
      </rPr>
      <t xml:space="preserve">부</t>
    </r>
  </si>
  <si>
    <t xml:space="preserve">시간 경과</t>
  </si>
  <si>
    <t xml:space="preserve">«Ça fait trois mois depuis l'expulsion.»</t>
  </si>
  <si>
    <r>
      <rPr>
        <sz val="10"/>
        <rFont val="Arial"/>
        <family val="0"/>
        <charset val="1"/>
      </rPr>
      <t xml:space="preserve">Voltaire (</t>
    </r>
    <r>
      <rPr>
        <sz val="10"/>
        <rFont val="WenQuanYi Zen Hei"/>
        <family val="2"/>
      </rPr>
      <t xml:space="preserve">질문 형태</t>
    </r>
    <r>
      <rPr>
        <sz val="10"/>
        <rFont val="Arial"/>
        <family val="0"/>
        <charset val="1"/>
      </rPr>
      <t xml:space="preserve">)</t>
    </r>
  </si>
  <si>
    <t xml:space="preserve">신문 기사 삽입</t>
  </si>
  <si>
    <r>
      <rPr>
        <sz val="10"/>
        <rFont val="Arial"/>
        <family val="0"/>
        <charset val="1"/>
      </rPr>
      <t xml:space="preserve">Voltaire</t>
    </r>
    <r>
      <rPr>
        <sz val="10"/>
        <rFont val="WenQuanYi Zen Hei"/>
        <family val="2"/>
      </rPr>
      <t xml:space="preserve">가 기사 첫 문단을 소리 내어 읽는다</t>
    </r>
  </si>
  <si>
    <t xml:space="preserve">연설문 초고 삽입</t>
  </si>
  <si>
    <r>
      <rPr>
        <sz val="10"/>
        <rFont val="Arial"/>
        <family val="0"/>
        <charset val="1"/>
      </rPr>
      <t xml:space="preserve">Hugo</t>
    </r>
    <r>
      <rPr>
        <sz val="10"/>
        <rFont val="WenQuanYi Zen Hei"/>
        <family val="2"/>
      </rPr>
      <t xml:space="preserve">가 초고를 읽고 </t>
    </r>
    <r>
      <rPr>
        <sz val="10"/>
        <rFont val="Arial"/>
        <family val="0"/>
        <charset val="1"/>
      </rPr>
      <t xml:space="preserve">Nicolas</t>
    </r>
    <r>
      <rPr>
        <sz val="10"/>
        <rFont val="WenQuanYi Zen Hei"/>
        <family val="2"/>
      </rPr>
      <t xml:space="preserve">가 고친다</t>
    </r>
  </si>
  <si>
    <t xml:space="preserve">Hugo, Nicolas</t>
  </si>
  <si>
    <r>
      <rPr>
        <sz val="10"/>
        <rFont val="WenQuanYi Zen Hei"/>
        <family val="2"/>
      </rPr>
      <t xml:space="preserve">투표 결과 전광판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자막</t>
    </r>
  </si>
  <si>
    <r>
      <rPr>
        <sz val="10"/>
        <rFont val="WenQuanYi Zen Hei"/>
        <family val="2"/>
      </rPr>
      <t xml:space="preserve">하원의장이 표결 결과를 낭독한다</t>
    </r>
    <r>
      <rPr>
        <sz val="10"/>
        <rFont val="Noto Sans CJK SC"/>
        <family val="2"/>
        <charset val="1"/>
      </rPr>
      <t xml:space="preserve">: «Majorité requise pour l'adoption de la motion de censure : deux cent quatre-vingt-neuf. Pour l'adoption : deux cent quatre-vingt-huit.»</t>
    </r>
  </si>
  <si>
    <t xml:space="preserve">PRÉSIDENTE DE L'ASSEMBLÉE NATIONALE</t>
  </si>
  <si>
    <r>
      <rPr>
        <sz val="10"/>
        <rFont val="WenQuanYi Zen Hei"/>
        <family val="2"/>
      </rPr>
      <t xml:space="preserve">대선 결과 선포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취임식</t>
    </r>
  </si>
  <si>
    <r>
      <rPr>
        <sz val="10"/>
        <rFont val="WenQuanYi Zen Hei"/>
        <family val="2"/>
      </rPr>
      <t xml:space="preserve">헌법재판소장이 결과를 선포하고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취임식에서 </t>
    </r>
    <r>
      <rPr>
        <sz val="10"/>
        <rFont val="Noto Sans CJK SC"/>
        <family val="2"/>
        <charset val="1"/>
      </rPr>
      <t xml:space="preserve">Nicolas</t>
    </r>
    <r>
      <rPr>
        <sz val="10"/>
        <rFont val="WenQuanYi Zen Hei"/>
        <family val="2"/>
      </rPr>
      <t xml:space="preserve">가 첫 연설을 한다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프랑스 대통령은 선서하지 않는다</t>
    </r>
    <r>
      <rPr>
        <sz val="10"/>
        <rFont val="Noto Sans CJK SC"/>
        <family val="2"/>
        <charset val="1"/>
      </rPr>
      <t xml:space="preserve">).</t>
    </r>
  </si>
  <si>
    <t xml:space="preserve">PRÉSIDENT DU CONSEIL CONSTITUTIONNEL, Nicolas</t>
  </si>
  <si>
    <r>
      <rPr>
        <b val="true"/>
        <sz val="14"/>
        <color rgb="FF1F3864"/>
        <rFont val="Arial"/>
        <family val="0"/>
        <charset val="1"/>
      </rPr>
      <t xml:space="preserve">1</t>
    </r>
    <r>
      <rPr>
        <b val="true"/>
        <sz val="14"/>
        <color rgb="FF1F3864"/>
        <rFont val="WenQuanYi Zen Hei"/>
        <family val="2"/>
      </rPr>
      <t xml:space="preserve">부 시범 장면 — </t>
    </r>
    <r>
      <rPr>
        <b val="true"/>
        <sz val="14"/>
        <color rgb="FF1F3864"/>
        <rFont val="Arial"/>
        <family val="0"/>
        <charset val="1"/>
      </rPr>
      <t xml:space="preserve">Manon 1</t>
    </r>
    <r>
      <rPr>
        <b val="true"/>
        <sz val="14"/>
        <color rgb="FF1F3864"/>
        <rFont val="WenQuanYi Zen Hei"/>
        <family val="2"/>
      </rPr>
      <t xml:space="preserve">차 폭발 </t>
    </r>
    <r>
      <rPr>
        <b val="true"/>
        <sz val="14"/>
        <color rgb="FF1F3864"/>
        <rFont val="Arial"/>
        <family val="0"/>
        <charset val="1"/>
      </rPr>
      <t xml:space="preserve">(</t>
    </r>
    <r>
      <rPr>
        <b val="true"/>
        <sz val="14"/>
        <color rgb="FF1F3864"/>
        <rFont val="WenQuanYi Zen Hei"/>
        <family val="2"/>
      </rPr>
      <t xml:space="preserve">지문 없이 대사만</t>
    </r>
    <r>
      <rPr>
        <b val="true"/>
        <sz val="14"/>
        <color rgb="FF1F3864"/>
        <rFont val="Arial"/>
        <family val="0"/>
        <charset val="1"/>
      </rPr>
      <t xml:space="preserve">, B1, </t>
    </r>
    <r>
      <rPr>
        <b val="true"/>
        <sz val="14"/>
        <color rgb="FF1F3864"/>
        <rFont val="WenQuanYi Zen Hei"/>
        <family val="2"/>
      </rPr>
      <t xml:space="preserve">일반화된 예시</t>
    </r>
    <r>
      <rPr>
        <b val="true"/>
        <sz val="14"/>
        <color rgb="FF1F3864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</si>
  <si>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장소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시간</t>
    </r>
    <r>
      <rPr>
        <i val="true"/>
        <sz val="9"/>
        <color rgb="FF595959"/>
        <rFont val="Noto Sans CJK SC"/>
        <family val="2"/>
        <charset val="1"/>
      </rPr>
      <t xml:space="preserve">·</t>
    </r>
    <r>
      <rPr>
        <i val="true"/>
        <sz val="9"/>
        <color rgb="FF595959"/>
        <rFont val="WenQuanYi Zen Hei"/>
        <family val="2"/>
      </rPr>
      <t xml:space="preserve">행동을 모두 대사로 처리한 샘플로</t>
    </r>
    <r>
      <rPr>
        <i val="true"/>
        <sz val="9"/>
        <color rgb="FF595959"/>
        <rFont val="Noto Sans CJK SC"/>
        <family val="2"/>
        <charset val="1"/>
      </rPr>
      <t xml:space="preserve">, </t>
    </r>
    <r>
      <rPr>
        <i val="true"/>
        <sz val="9"/>
        <color rgb="FF595959"/>
        <rFont val="WenQuanYi Zen Hei"/>
        <family val="2"/>
      </rPr>
      <t xml:space="preserve">한 화</t>
    </r>
    <r>
      <rPr>
        <i val="true"/>
        <sz val="9"/>
        <color rgb="FF595959"/>
        <rFont val="Noto Sans CJK SC"/>
        <family val="2"/>
        <charset val="1"/>
      </rPr>
      <t xml:space="preserve">(120</t>
    </r>
    <r>
      <rPr>
        <i val="true"/>
        <sz val="9"/>
        <color rgb="FF595959"/>
        <rFont val="WenQuanYi Zen Hei"/>
        <family val="2"/>
      </rPr>
      <t xml:space="preserve">턴</t>
    </r>
    <r>
      <rPr>
        <i val="true"/>
        <sz val="9"/>
        <color rgb="FF595959"/>
        <rFont val="Noto Sans CJK SC"/>
        <family val="2"/>
        <charset val="1"/>
      </rPr>
      <t xml:space="preserve">) </t>
    </r>
    <r>
      <rPr>
        <i val="true"/>
        <sz val="9"/>
        <color rgb="FF595959"/>
        <rFont val="WenQuanYi Zen Hei"/>
        <family val="2"/>
      </rPr>
      <t xml:space="preserve">중 폭발 장면 </t>
    </r>
    <r>
      <rPr>
        <i val="true"/>
        <sz val="9"/>
        <color rgb="FF595959"/>
        <rFont val="Noto Sans CJK SC"/>
        <family val="2"/>
        <charset val="1"/>
      </rPr>
      <t xml:space="preserve">22</t>
    </r>
    <r>
      <rPr>
        <i val="true"/>
        <sz val="9"/>
        <color rgb="FF595959"/>
        <rFont val="WenQuanYi Zen Hei"/>
        <family val="2"/>
      </rPr>
      <t xml:space="preserve">턴을 발췌했다</t>
    </r>
    <r>
      <rPr>
        <i val="true"/>
        <sz val="9"/>
        <color rgb="FF595959"/>
        <rFont val="Noto Sans CJK SC"/>
        <family val="2"/>
        <charset val="1"/>
      </rPr>
      <t xml:space="preserve">. </t>
    </r>
    <r>
      <rPr>
        <i val="true"/>
        <sz val="9"/>
        <color rgb="FF595959"/>
        <rFont val="WenQuanYi Zen Hei"/>
        <family val="2"/>
      </rPr>
      <t xml:space="preserve">단어 수는 수식으로 자동 계산되며 상한을 넘으면 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초과</t>
    </r>
    <r>
      <rPr>
        <i val="true"/>
        <sz val="9"/>
        <color rgb="FF595959"/>
        <rFont val="Noto Sans CJK SC"/>
        <family val="2"/>
        <charset val="1"/>
      </rPr>
      <t xml:space="preserve">'</t>
    </r>
    <r>
      <rPr>
        <i val="true"/>
        <sz val="9"/>
        <color rgb="FF595959"/>
        <rFont val="WenQuanYi Zen Hei"/>
        <family val="2"/>
      </rPr>
      <t xml:space="preserve">로 표시됩니다</t>
    </r>
    <r>
      <rPr>
        <i val="true"/>
        <sz val="9"/>
        <color rgb="FF595959"/>
        <rFont val="Noto Sans CJK SC"/>
        <family val="2"/>
        <charset val="1"/>
      </rPr>
      <t xml:space="preserve">. (</t>
    </r>
    <r>
      <rPr>
        <i val="true"/>
        <sz val="9"/>
        <color rgb="FF595959"/>
        <rFont val="WenQuanYi Zen Hei"/>
        <family val="2"/>
      </rPr>
      <t xml:space="preserve">문장부호 앞 공백은 좁은 공백이라 단어로 세지 않음</t>
    </r>
    <r>
      <rPr>
        <i val="true"/>
        <sz val="9"/>
        <color rgb="FF595959"/>
        <rFont val="Noto Sans CJK SC"/>
        <family val="2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</si>
  <si>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부 대사 상한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단어</t>
    </r>
    <r>
      <rPr>
        <b val="true"/>
        <sz val="10"/>
        <rFont val="Arial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</si>
  <si>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← 노란 셀은 가정값 </t>
    </r>
    <r>
      <rPr>
        <i val="true"/>
        <sz val="9"/>
        <color rgb="FF595959"/>
        <rFont val="Noto Sans CJK SC"/>
        <family val="2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교재 규칙 초안</t>
    </r>
    <r>
      <rPr>
        <i val="true"/>
        <sz val="9"/>
        <color rgb="FF595959"/>
        <rFont val="Noto Sans CJK SC"/>
        <family val="2"/>
        <charset val="1"/>
      </rPr>
      <t xml:space="preserve">: 15</t>
    </r>
    <r>
      <rPr>
        <i val="true"/>
        <sz val="9"/>
        <color rgb="FF595959"/>
        <rFont val="WenQuanYi Zen Hei"/>
        <family val="2"/>
      </rPr>
      <t xml:space="preserve">단어 이내</t>
    </r>
    <r>
      <rPr>
        <i val="true"/>
        <sz val="9"/>
        <color rgb="FF595959"/>
        <rFont val="Noto Sans CJK SC"/>
        <family val="2"/>
        <charset val="1"/>
      </rPr>
      <t xml:space="preserve">)</t>
    </r>
  </si>
  <si>
    <t xml:space="preserve">총 대사 수</t>
  </si>
  <si>
    <t xml:space="preserve">상한 초과 대사 수</t>
  </si>
  <si>
    <r>
      <rPr>
        <b val="true"/>
        <sz val="10"/>
        <color rgb="FFFFFFFF"/>
        <rFont val="WenQuanYi Zen Hei"/>
        <family val="2"/>
      </rPr>
      <t xml:space="preserve">한국어 </t>
    </r>
    <r>
      <rPr>
        <b val="true"/>
        <sz val="10"/>
        <color rgb="FFFFFFFF"/>
        <rFont val="Noto Sans CJK SC"/>
        <family val="2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낭독 제외</t>
    </r>
    <r>
      <rPr>
        <b val="true"/>
        <sz val="10"/>
        <color rgb="FFFFFFFF"/>
        <rFont val="Noto Sans CJK SC"/>
        <family val="2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</si>
  <si>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기능</t>
    </r>
    <r>
      <rPr>
        <b val="true"/>
        <sz val="10"/>
        <color rgb="FFFFFFFF"/>
        <rFont val="Noto Sans CJK SC"/>
        <family val="2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학습 포인트</t>
    </r>
  </si>
  <si>
    <t xml:space="preserve">단어 수</t>
  </si>
  <si>
    <t xml:space="preserve">판정</t>
  </si>
  <si>
    <t xml:space="preserve">MONIQUE</t>
  </si>
  <si>
    <t xml:space="preserve">Il est cinq heures. La réunion du cabinet commence, ici en bas, à ma table.</t>
  </si>
  <si>
    <r>
      <rPr>
        <sz val="10"/>
        <rFont val="WenQuanYi Zen Hei"/>
        <family val="2"/>
      </rPr>
      <t xml:space="preserve">다섯 시예요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사무소 회의 시작이야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여기 아래 내 테이블에서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</si>
  <si>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지문 대체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시간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장소를 </t>
    </r>
    <r>
      <rPr>
        <sz val="10"/>
        <rFont val="Noto Sans CJK SC"/>
        <family val="2"/>
        <charset val="1"/>
      </rPr>
      <t xml:space="preserve">Monique</t>
    </r>
    <r>
      <rPr>
        <sz val="10"/>
        <rFont val="WenQuanYi Zen Hei"/>
        <family val="2"/>
      </rPr>
      <t xml:space="preserve">가 알림</t>
    </r>
  </si>
  <si>
    <t xml:space="preserve">LÉA</t>
  </si>
  <si>
    <t xml:space="preserve">C'est simple. On aligne les parties prenantes et on scale l'impact.</t>
  </si>
  <si>
    <r>
      <rPr>
        <sz val="10"/>
        <rFont val="WenQuanYi Zen Hei"/>
        <family val="2"/>
      </rPr>
      <t xml:space="preserve">간단해요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이해관계자를 정렬하고 임팩트를 스케일업하죠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</si>
  <si>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경영 용어 제시 </t>
    </r>
    <r>
      <rPr>
        <sz val="10"/>
        <rFont val="Noto Sans CJK SC"/>
        <family val="2"/>
        <charset val="1"/>
      </rPr>
      <t xml:space="preserve">(aligner, scaler, impact)</t>
    </r>
  </si>
  <si>
    <t xml:space="preserve">Pardon, ça veut dire quoi ?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</si>
  <si>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단계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정중한 질문</t>
    </r>
  </si>
  <si>
    <t xml:space="preserve">On optimise le flux de valeur pour maximiser les synergies.</t>
  </si>
  <si>
    <r>
      <rPr>
        <sz val="10"/>
        <rFont val="WenQuanYi Zen Hei"/>
        <family val="2"/>
      </rPr>
      <t xml:space="preserve">가치 흐름을 최적화해 시너지를 극대화합니다</t>
    </r>
    <r>
      <rPr>
        <sz val="10"/>
        <rFont val="Noto Sans CJK SC"/>
        <family val="2"/>
        <charset val="1"/>
      </rPr>
      <t xml:space="preserve">.</t>
    </r>
  </si>
  <si>
    <t xml:space="preserve">알맹이 없는 용어의 반복</t>
  </si>
  <si>
    <t xml:space="preserve">Vous pouvez m'expliquer comme si j'avais cinq ans ?</t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</si>
  <si>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단계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슬슬 짜증</t>
    </r>
  </si>
  <si>
    <t xml:space="preserve">Bien sûr. On crée de la valeur avec un modèle scalable et aligné.</t>
  </si>
  <si>
    <r>
      <rPr>
        <sz val="10"/>
        <rFont val="WenQuanYi Zen Hei"/>
        <family val="2"/>
      </rPr>
      <t xml:space="preserve">물론이죠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확장 가능하고 정렬된 모델로 가치를 만듭니다</t>
    </r>
    <r>
      <rPr>
        <sz val="10"/>
        <rFont val="Noto Sans CJK SC"/>
        <family val="2"/>
        <charset val="1"/>
      </rPr>
      <t xml:space="preserve">.</t>
    </r>
  </si>
  <si>
    <t xml:space="preserve">동어반복 — 여전히 설명이 안 됨</t>
  </si>
  <si>
    <t xml:space="preserve">ÇA SUFFIT ! Je comprends rien ! Une heure que je hoche la tête.</t>
  </si>
  <si>
    <r>
      <rPr>
        <sz val="10"/>
        <rFont val="WenQuanYi Zen Hei"/>
        <family val="2"/>
      </rPr>
      <t xml:space="preserve">그만</t>
    </r>
    <r>
      <rPr>
        <sz val="10"/>
        <rFont val="Noto Sans CJK SC"/>
        <family val="2"/>
        <charset val="1"/>
      </rPr>
      <t xml:space="preserve">! </t>
    </r>
    <r>
      <rPr>
        <sz val="10"/>
        <rFont val="WenQuanYi Zen Hei"/>
        <family val="2"/>
      </rPr>
      <t xml:space="preserve">하나도 모르겠어요</t>
    </r>
    <r>
      <rPr>
        <sz val="10"/>
        <rFont val="Noto Sans CJK SC"/>
        <family val="2"/>
        <charset val="1"/>
      </rPr>
      <t xml:space="preserve">! </t>
    </r>
    <r>
      <rPr>
        <sz val="10"/>
        <rFont val="WenQuanYi Zen Hei"/>
        <family val="2"/>
      </rPr>
      <t xml:space="preserve">한 시간째 고개만 끄덕이고 있다고요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</si>
  <si>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단계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폭발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톤 급상승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</si>
  <si>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지문 대체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접시 내려놓는 행동을 대사로</t>
    </r>
  </si>
  <si>
    <t xml:space="preserve">CAMILLE</t>
  </si>
  <si>
    <r>
      <rPr>
        <sz val="10"/>
        <rFont val="Arial"/>
        <family val="0"/>
        <charset val="1"/>
      </rPr>
      <t xml:space="preserve">Camille</t>
    </r>
    <r>
      <rPr>
        <sz val="10"/>
        <rFont val="WenQuanYi Zen Hei"/>
        <family val="2"/>
      </rPr>
      <t xml:space="preserve">의 고정 반응</t>
    </r>
  </si>
  <si>
    <t xml:space="preserve">Ne me dites pas « respire » !</t>
  </si>
  <si>
    <r>
      <rPr>
        <sz val="10"/>
        <rFont val="Arial"/>
        <family val="0"/>
        <charset val="1"/>
      </rPr>
      <t xml:space="preserve">«</t>
    </r>
    <r>
      <rPr>
        <sz val="10"/>
        <rFont val="WenQuanYi Zen Hei"/>
        <family val="2"/>
      </rPr>
      <t xml:space="preserve">숨 쉬어</t>
    </r>
    <r>
      <rPr>
        <sz val="10"/>
        <rFont val="Arial"/>
        <family val="0"/>
        <charset val="1"/>
      </rPr>
      <t xml:space="preserve">»</t>
    </r>
    <r>
      <rPr>
        <sz val="10"/>
        <rFont val="WenQuanYi Zen Hei"/>
        <family val="2"/>
      </rPr>
      <t xml:space="preserve">라고 하지 마세요</t>
    </r>
    <r>
      <rPr>
        <sz val="10"/>
        <rFont val="Arial"/>
        <family val="0"/>
        <charset val="1"/>
      </rPr>
      <t xml:space="preserve">!</t>
    </r>
  </si>
  <si>
    <r>
      <rPr>
        <sz val="10"/>
        <rFont val="Arial"/>
        <family val="0"/>
        <charset val="1"/>
      </rPr>
      <t xml:space="preserve">Camille</t>
    </r>
    <r>
      <rPr>
        <sz val="10"/>
        <rFont val="WenQuanYi Zen Hei"/>
        <family val="2"/>
      </rPr>
      <t xml:space="preserve">에게 </t>
    </r>
    <r>
      <rPr>
        <sz val="10"/>
        <rFont val="Arial"/>
        <family val="0"/>
        <charset val="1"/>
      </rPr>
      <t xml:space="preserve">vous </t>
    </r>
    <r>
      <rPr>
        <sz val="10"/>
        <rFont val="WenQuanYi Zen Hei"/>
        <family val="2"/>
      </rPr>
      <t xml:space="preserve">유지</t>
    </r>
  </si>
  <si>
    <t xml:space="preserve">JEANNE</t>
  </si>
  <si>
    <r>
      <rPr>
        <sz val="10"/>
        <rFont val="Arial"/>
        <family val="0"/>
        <charset val="1"/>
      </rPr>
      <t xml:space="preserve">Jeanne</t>
    </r>
    <r>
      <rPr>
        <sz val="10"/>
        <rFont val="WenQuanYi Zen Hei"/>
        <family val="2"/>
      </rPr>
      <t xml:space="preserve">의 고정 반응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카메오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</si>
  <si>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Curie</t>
    </r>
    <r>
      <rPr>
        <sz val="10"/>
        <rFont val="WenQuanYi Zen Hei"/>
        <family val="2"/>
      </rPr>
      <t xml:space="preserve">의 고정 반응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카메오</t>
    </r>
    <r>
      <rPr>
        <sz val="10"/>
        <rFont val="Arial"/>
        <family val="0"/>
        <charset val="1"/>
      </rPr>
      <t xml:space="preserve">) — </t>
    </r>
    <r>
      <rPr>
        <sz val="10"/>
        <rFont val="WenQuanYi Zen Hei"/>
        <family val="2"/>
      </rPr>
      <t xml:space="preserve">침묵 대신 시그니처</t>
    </r>
  </si>
  <si>
    <t xml:space="preserve">NAPOLÉON</t>
  </si>
  <si>
    <t xml:space="preserve">Bécasse. Personne ne te demande de faire semblant. Demande.</t>
  </si>
  <si>
    <r>
      <rPr>
        <sz val="10"/>
        <rFont val="WenQuanYi Zen Hei"/>
        <family val="2"/>
      </rPr>
      <t xml:space="preserve">멍청하긴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아무도 너한테 아는 척하라고 안 했어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물어봐</t>
    </r>
    <r>
      <rPr>
        <sz val="10"/>
        <rFont val="Noto Sans CJK SC"/>
        <family val="2"/>
        <charset val="1"/>
      </rPr>
      <t xml:space="preserve">.</t>
    </r>
  </si>
  <si>
    <t xml:space="preserve">욕 안에 담긴 가장 좋은 조언</t>
  </si>
  <si>
    <t xml:space="preserve">Vous, vous n'aidez pas !</t>
  </si>
  <si>
    <r>
      <rPr>
        <sz val="10"/>
        <rFont val="WenQuanYi Zen Hei"/>
        <family val="2"/>
      </rPr>
      <t xml:space="preserve">당신은 도움이 안 돼요</t>
    </r>
    <r>
      <rPr>
        <sz val="10"/>
        <rFont val="Noto Sans CJK SC"/>
        <family val="2"/>
        <charset val="1"/>
      </rPr>
      <t xml:space="preserve">!</t>
    </r>
  </si>
  <si>
    <r>
      <rPr>
        <sz val="10"/>
        <rFont val="WenQuanYi Zen Hei"/>
        <family val="2"/>
      </rPr>
      <t xml:space="preserve">폭발 중에도 </t>
    </r>
    <r>
      <rPr>
        <sz val="10"/>
        <rFont val="Noto Sans CJK SC"/>
        <family val="2"/>
        <charset val="1"/>
      </rPr>
      <t xml:space="preserve">Napoléon</t>
    </r>
    <r>
      <rPr>
        <sz val="10"/>
        <rFont val="WenQuanYi Zen Hei"/>
        <family val="2"/>
      </rPr>
      <t xml:space="preserve">에게는 </t>
    </r>
    <r>
      <rPr>
        <sz val="10"/>
        <rFont val="Noto Sans CJK SC"/>
        <family val="2"/>
        <charset val="1"/>
      </rPr>
      <t xml:space="preserve">vous</t>
    </r>
  </si>
  <si>
    <t xml:space="preserve">Je t'aide plus que la dame aux slides.</t>
  </si>
  <si>
    <r>
      <rPr>
        <sz val="10"/>
        <rFont val="WenQuanYi Zen Hei"/>
        <family val="2"/>
      </rPr>
      <t xml:space="preserve">슬라이드 아가씨보다는 내가 더 도와주지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</si>
  <si>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Léa </t>
    </r>
    <r>
      <rPr>
        <sz val="10"/>
        <rFont val="WenQuanYi Zen Hei"/>
        <family val="2"/>
      </rPr>
      <t xml:space="preserve">놀리기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심술 패턴</t>
    </r>
    <r>
      <rPr>
        <sz val="10"/>
        <rFont val="Arial"/>
        <family val="0"/>
        <charset val="1"/>
      </rPr>
      <t xml:space="preserve">)</t>
    </r>
  </si>
  <si>
    <t xml:space="preserve">JULIEN</t>
  </si>
  <si>
    <t xml:space="preserve">Je traduis. Ça veut dire : licencier des gens pour économiser.</t>
  </si>
  <si>
    <r>
      <rPr>
        <sz val="10"/>
        <rFont val="WenQuanYi Zen Hei"/>
        <family val="2"/>
      </rPr>
      <t xml:space="preserve">내가 번역하지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사람을 해고해서 돈을 아끼자는 뜻이야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</si>
  <si>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WenQuanYi Zen Hei"/>
        <family val="2"/>
      </rPr>
      <t xml:space="preserve">쉬운 말로 재설명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어휘 교습 장면</t>
    </r>
    <r>
      <rPr>
        <sz val="10"/>
        <rFont val="Noto Sans CJK SC"/>
        <family val="2"/>
        <charset val="1"/>
      </rPr>
      <t xml:space="preserve">)</t>
    </r>
  </si>
  <si>
    <t xml:space="preserve">Ce n'est pas exactement ce que j'ai dit.</t>
  </si>
  <si>
    <r>
      <rPr>
        <sz val="10"/>
        <rFont val="WenQuanYi Zen Hei"/>
        <family val="2"/>
      </rPr>
      <t xml:space="preserve">제가 말한 건 정확히 그게 아닌데요</t>
    </r>
    <r>
      <rPr>
        <sz val="10"/>
        <rFont val="Noto Sans CJK SC"/>
        <family val="2"/>
        <charset val="1"/>
      </rPr>
      <t xml:space="preserve">.</t>
    </r>
  </si>
  <si>
    <t xml:space="preserve">C'est exactement ce que tu as dit.</t>
  </si>
  <si>
    <r>
      <rPr>
        <sz val="10"/>
        <rFont val="WenQuanYi Zen Hei"/>
        <family val="2"/>
      </rPr>
      <t xml:space="preserve">정확히 네가 한 말이야</t>
    </r>
    <r>
      <rPr>
        <sz val="10"/>
        <rFont val="Noto Sans CJK SC"/>
        <family val="2"/>
        <charset val="1"/>
      </rPr>
      <t xml:space="preserve">.</t>
    </r>
  </si>
  <si>
    <t xml:space="preserve">짧은 반박 — 티키타카</t>
  </si>
  <si>
    <t xml:space="preserve">Sérieux ? Tous ces mots pour dire ça ?</t>
  </si>
  <si>
    <r>
      <rPr>
        <sz val="10"/>
        <rFont val="WenQuanYi Zen Hei"/>
        <family val="2"/>
      </rPr>
      <t xml:space="preserve">정말요</t>
    </r>
    <r>
      <rPr>
        <sz val="10"/>
        <rFont val="Noto Sans CJK SC"/>
        <family val="2"/>
        <charset val="1"/>
      </rPr>
      <t xml:space="preserve">? </t>
    </r>
    <r>
      <rPr>
        <sz val="10"/>
        <rFont val="WenQuanYi Zen Hei"/>
        <family val="2"/>
      </rPr>
      <t xml:space="preserve">겨우 그 말 하려고 그렇게 많은 단어를요</t>
    </r>
    <r>
      <rPr>
        <sz val="10"/>
        <rFont val="Noto Sans CJK SC"/>
        <family val="2"/>
        <charset val="1"/>
      </rPr>
      <t xml:space="preserve">?</t>
    </r>
  </si>
  <si>
    <r>
      <rPr>
        <sz val="10"/>
        <rFont val="Arial"/>
        <family val="0"/>
        <charset val="1"/>
      </rPr>
      <t xml:space="preserve">Manon</t>
    </r>
    <r>
      <rPr>
        <sz val="10"/>
        <rFont val="WenQuanYi Zen Hei"/>
        <family val="2"/>
      </rPr>
      <t xml:space="preserve">이 옳았음이 드러남</t>
    </r>
  </si>
  <si>
    <t xml:space="preserve">Bon. Parfois, oui.</t>
  </si>
  <si>
    <r>
      <rPr>
        <sz val="10"/>
        <rFont val="WenQuanYi Zen Hei"/>
        <family val="2"/>
      </rPr>
      <t xml:space="preserve">음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가끔은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그렇죠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</si>
  <si>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Léa</t>
    </r>
    <r>
      <rPr>
        <sz val="10"/>
        <rFont val="WenQuanYi Zen Hei"/>
        <family val="2"/>
      </rPr>
      <t xml:space="preserve">의 성장 씨앗</t>
    </r>
  </si>
  <si>
    <t xml:space="preserve">Asseyez-vous, je vous apporte quelque chose. Le ventre vide, on ne réfléchit pas bien.</t>
  </si>
  <si>
    <r>
      <rPr>
        <sz val="10"/>
        <rFont val="WenQuanYi Zen Hei"/>
        <family val="2"/>
      </rPr>
      <t xml:space="preserve">다들 앉아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뭐 좀 내올게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배가 비면 생각이 안 돼</t>
    </r>
    <r>
      <rPr>
        <sz val="10"/>
        <rFont val="Noto Sans CJK SC"/>
        <family val="2"/>
        <charset val="1"/>
      </rPr>
      <t xml:space="preserve">.</t>
    </r>
  </si>
  <si>
    <r>
      <rPr>
        <sz val="10"/>
        <rFont val="Arial"/>
        <family val="0"/>
        <charset val="1"/>
      </rPr>
      <t xml:space="preserve">vous(</t>
    </r>
    <r>
      <rPr>
        <sz val="10"/>
        <rFont val="WenQuanYi Zen Hei"/>
        <family val="2"/>
      </rPr>
      <t xml:space="preserve">복수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명령형</t>
    </r>
    <r>
      <rPr>
        <sz val="10"/>
        <rFont val="Arial"/>
        <family val="0"/>
        <charset val="1"/>
      </rPr>
      <t xml:space="preserve">, Monique</t>
    </r>
    <r>
      <rPr>
        <sz val="10"/>
        <rFont val="WenQuanYi Zen Hei"/>
        <family val="2"/>
      </rPr>
      <t xml:space="preserve">의 시그니처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개</t>
    </r>
  </si>
  <si>
    <t xml:space="preserve">D'accord. Mais demain, sans mots bizarres, s'il vous plaît.</t>
  </si>
  <si>
    <r>
      <rPr>
        <sz val="10"/>
        <rFont val="WenQuanYi Zen Hei"/>
        <family val="2"/>
      </rPr>
      <t xml:space="preserve">알았어요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그래도 내일은 이상한 말 없이 부탁해요</t>
    </r>
    <r>
      <rPr>
        <sz val="10"/>
        <rFont val="Noto Sans CJK SC"/>
        <family val="2"/>
        <charset val="1"/>
      </rPr>
      <t xml:space="preserve">.</t>
    </r>
  </si>
  <si>
    <t xml:space="preserve">변경 이력과 미결 사항</t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</si>
  <si>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WenQuanYi Zen Hei"/>
        <family val="2"/>
      </rPr>
      <t xml:space="preserve">변경 이력 </t>
    </r>
    <r>
      <rPr>
        <b val="true"/>
        <sz val="10"/>
        <rFont val="Arial"/>
        <family val="0"/>
        <charset val="1"/>
      </rPr>
      <t xml:space="preserve">(1~47: </t>
    </r>
    <r>
      <rPr>
        <b val="true"/>
        <sz val="10"/>
        <rFont val="WenQuanYi Zen Hei"/>
        <family val="2"/>
      </rPr>
      <t xml:space="preserve">마드리드판 기획 이력 — 인물명은 파리판 대응 인물로 바꿔 표기 </t>
    </r>
    <r>
      <rPr>
        <b val="true"/>
        <sz val="10"/>
        <rFont val="Arial"/>
        <family val="0"/>
        <charset val="1"/>
      </rPr>
      <t xml:space="preserve">/ 48~: </t>
    </r>
    <r>
      <rPr>
        <b val="true"/>
        <sz val="10"/>
        <rFont val="WenQuanYi Zen Hei"/>
        <family val="2"/>
      </rPr>
      <t xml:space="preserve">파리판 현지화</t>
    </r>
    <r>
      <rPr>
        <b val="true"/>
        <sz val="10"/>
        <rFont val="Arial"/>
        <family val="0"/>
        <charset val="1"/>
      </rPr>
      <t xml:space="preserve">)</t>
    </r>
  </si>
  <si>
    <t xml:space="preserve">이전</t>
  </si>
  <si>
    <t xml:space="preserve">이후</t>
  </si>
  <si>
    <t xml:space="preserve">반영 시트</t>
  </si>
  <si>
    <t xml:space="preserve">인원</t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</si>
  <si>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인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내각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</si>
  <si>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14</t>
    </r>
    <r>
      <rPr>
        <sz val="10"/>
        <rFont val="WenQuanYi Zen Hei"/>
        <family val="2"/>
      </rPr>
      <t xml:space="preserve">인 — 출처 담당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현 </t>
    </r>
    <r>
      <rPr>
        <sz val="10"/>
        <rFont val="Arial"/>
        <family val="0"/>
        <charset val="1"/>
      </rPr>
      <t xml:space="preserve">Curie), </t>
    </r>
    <r>
      <rPr>
        <sz val="10"/>
        <rFont val="WenQuanYi Zen Hei"/>
        <family val="2"/>
      </rPr>
      <t xml:space="preserve">은행원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현 </t>
    </r>
    <r>
      <rPr>
        <sz val="10"/>
        <rFont val="Arial"/>
        <family val="0"/>
        <charset val="1"/>
      </rPr>
      <t xml:space="preserve">Philippe) </t>
    </r>
    <r>
      <rPr>
        <sz val="10"/>
        <rFont val="WenQuanYi Zen Hei"/>
        <family val="2"/>
      </rPr>
      <t xml:space="preserve">추가</t>
    </r>
    <r>
      <rPr>
        <sz val="10"/>
        <rFont val="Arial"/>
        <family val="0"/>
        <charset val="1"/>
      </rPr>
      <t xml:space="preserve">. 14</t>
    </r>
    <r>
      <rPr>
        <sz val="10"/>
        <rFont val="WenQuanYi Zen Hei"/>
        <family val="2"/>
      </rPr>
      <t xml:space="preserve">인 모두가 장관은 아니므로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내각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보다 핵심 그룹 개념 사용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파리판에서 </t>
    </r>
    <r>
      <rPr>
        <sz val="10"/>
        <rFont val="Arial"/>
        <family val="0"/>
        <charset val="1"/>
      </rPr>
      <t xml:space="preserve">Olympe </t>
    </r>
    <r>
      <rPr>
        <sz val="10"/>
        <rFont val="WenQuanYi Zen Hei"/>
        <family val="2"/>
      </rPr>
      <t xml:space="preserve">추가로 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인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</si>
  <si>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개요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캐릭터</t>
    </r>
  </si>
  <si>
    <t xml:space="preserve">출처 담당 인물의 성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</si>
  <si>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마드리드판 스페인식 성 교체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</si>
  <si>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파리판에서는 역사 인물 </t>
    </r>
    <r>
      <rPr>
        <sz val="10"/>
        <rFont val="Arial"/>
        <family val="0"/>
        <charset val="1"/>
      </rPr>
      <t xml:space="preserve">Marie Curie</t>
    </r>
    <r>
      <rPr>
        <sz val="10"/>
        <rFont val="WenQuanYi Zen Hei"/>
        <family val="2"/>
      </rPr>
      <t xml:space="preserve">로 대체되어 해당 없음</t>
    </r>
  </si>
  <si>
    <t xml:space="preserve">가상 상호명</t>
  </si>
  <si>
    <t xml:space="preserve">독일식 가상 상호</t>
  </si>
  <si>
    <r>
      <rPr>
        <sz val="10"/>
        <rFont val="Arial"/>
        <family val="0"/>
        <charset val="1"/>
      </rPr>
      <t xml:space="preserve">Bertin &amp; Roux Audit / Zénith Consulting (</t>
    </r>
    <r>
      <rPr>
        <sz val="10"/>
        <rFont val="WenQuanYi Zen Hei"/>
        <family val="2"/>
      </rPr>
      <t xml:space="preserve">파리판</t>
    </r>
    <r>
      <rPr>
        <sz val="10"/>
        <rFont val="Arial"/>
        <family val="0"/>
        <charset val="1"/>
      </rPr>
      <t xml:space="preserve">)</t>
    </r>
  </si>
  <si>
    <t xml:space="preserve">기관 실명</t>
  </si>
  <si>
    <r>
      <rPr>
        <sz val="10"/>
        <rFont val="WenQuanYi Zen Hei"/>
        <family val="2"/>
      </rPr>
      <t xml:space="preserve">실존 은행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병원명</t>
    </r>
  </si>
  <si>
    <r>
      <rPr>
        <sz val="10"/>
        <rFont val="Arial"/>
        <family val="0"/>
        <charset val="1"/>
      </rPr>
      <t xml:space="preserve">Banque Atlantique, Hôpital Saint-Bernard </t>
    </r>
    <r>
      <rPr>
        <sz val="10"/>
        <rFont val="WenQuanYi Zen Hei"/>
        <family val="2"/>
      </rPr>
      <t xml:space="preserve">등 가상명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이야기 속에서 부패와 얽히기 때문</t>
    </r>
    <r>
      <rPr>
        <sz val="10"/>
        <rFont val="Arial"/>
        <family val="0"/>
        <charset val="1"/>
      </rPr>
      <t xml:space="preserve">)</t>
    </r>
  </si>
  <si>
    <t xml:space="preserve">우아한 은퇴 인물</t>
  </si>
  <si>
    <r>
      <rPr>
        <sz val="10"/>
        <rFont val="WenQuanYi Zen Hei"/>
        <family val="2"/>
      </rPr>
      <t xml:space="preserve">가장 까칠한 심술 영감 </t>
    </r>
    <r>
      <rPr>
        <sz val="10"/>
        <rFont val="Noto Sans CJK SC"/>
        <family val="2"/>
        <charset val="1"/>
      </rPr>
      <t xml:space="preserve">+ </t>
    </r>
    <r>
      <rPr>
        <sz val="10"/>
        <rFont val="WenQuanYi Zen Hei"/>
        <family val="2"/>
      </rPr>
      <t xml:space="preserve">시한부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파리판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부활한 </t>
    </r>
    <r>
      <rPr>
        <sz val="10"/>
        <rFont val="Noto Sans CJK SC"/>
        <family val="2"/>
        <charset val="1"/>
      </rPr>
      <t xml:space="preserve">Napoléon, 11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화 사망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가짜 병은 엄살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진짜 병은 숨김</t>
    </r>
  </si>
  <si>
    <r>
      <rPr>
        <sz val="10"/>
        <rFont val="Arial"/>
        <family val="0"/>
        <charset val="1"/>
      </rPr>
      <t xml:space="preserve">Napoléon_</t>
    </r>
    <r>
      <rPr>
        <sz val="10"/>
        <rFont val="WenQuanYi Zen Hei"/>
        <family val="2"/>
      </rPr>
      <t xml:space="preserve">죽음</t>
    </r>
  </si>
  <si>
    <r>
      <rPr>
        <sz val="10"/>
        <rFont val="Arial"/>
        <family val="0"/>
        <charset val="1"/>
      </rPr>
      <t xml:space="preserve">Manon </t>
    </r>
    <r>
      <rPr>
        <sz val="10"/>
        <rFont val="WenQuanYi Zen Hei"/>
        <family val="2"/>
      </rPr>
      <t xml:space="preserve">폭발</t>
    </r>
  </si>
  <si>
    <r>
      <rPr>
        <sz val="10"/>
        <rFont val="WenQuanYi Zen Hei"/>
        <family val="2"/>
      </rPr>
      <t xml:space="preserve">자주 폭발하는 인물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안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</si>
  <si>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폭발은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·9</t>
    </r>
    <r>
      <rPr>
        <sz val="10"/>
        <rFont val="WenQuanYi Zen Hei"/>
        <family val="2"/>
      </rPr>
      <t xml:space="preserve">부 딱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회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욕은 폭발 장면 한정</t>
    </r>
  </si>
  <si>
    <r>
      <rPr>
        <sz val="10"/>
        <rFont val="Arial"/>
        <family val="0"/>
        <charset val="1"/>
      </rPr>
      <t xml:space="preserve">Manon_</t>
    </r>
    <r>
      <rPr>
        <sz val="10"/>
        <rFont val="WenQuanYi Zen Hei"/>
        <family val="2"/>
      </rPr>
      <t xml:space="preserve">폭발과욕</t>
    </r>
  </si>
  <si>
    <t xml:space="preserve">침묵으로 대답</t>
  </si>
  <si>
    <r>
      <rPr>
        <sz val="10"/>
        <rFont val="WenQuanYi Zen Hei"/>
        <family val="2"/>
      </rPr>
      <t xml:space="preserve">결론 대신 출처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서가 위치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법령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검색어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를 가리킴</t>
    </r>
  </si>
  <si>
    <r>
      <rPr>
        <sz val="10"/>
        <rFont val="Arial"/>
        <family val="0"/>
        <charset val="1"/>
      </rPr>
      <t xml:space="preserve">Curie_</t>
    </r>
    <r>
      <rPr>
        <sz val="10"/>
        <rFont val="WenQuanYi Zen Hei"/>
        <family val="2"/>
      </rPr>
      <t xml:space="preserve">출처</t>
    </r>
  </si>
  <si>
    <r>
      <rPr>
        <sz val="10"/>
        <rFont val="Arial"/>
        <family val="0"/>
        <charset val="1"/>
      </rPr>
      <t xml:space="preserve">Curie </t>
    </r>
    <r>
      <rPr>
        <sz val="10"/>
        <rFont val="WenQuanYi Zen Hei"/>
        <family val="2"/>
      </rPr>
      <t xml:space="preserve">대사</t>
    </r>
  </si>
  <si>
    <r>
      <rPr>
        <sz val="10"/>
        <rFont val="Arial"/>
        <family val="0"/>
        <charset val="1"/>
      </rPr>
      <t xml:space="preserve">«</t>
    </r>
    <r>
      <rPr>
        <sz val="10"/>
        <rFont val="WenQuanYi Zen Hei"/>
        <family val="2"/>
      </rPr>
      <t xml:space="preserve">돈을 따라가라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그리고 그 돈을 감시하는 법도</t>
    </r>
    <r>
      <rPr>
        <sz val="10"/>
        <rFont val="Arial"/>
        <family val="0"/>
        <charset val="1"/>
      </rPr>
      <t xml:space="preserve">.»</t>
    </r>
  </si>
  <si>
    <r>
      <rPr>
        <sz val="10"/>
        <rFont val="Arial"/>
        <family val="0"/>
        <charset val="1"/>
      </rPr>
      <t xml:space="preserve">«Tout argent a une loi qui le surveille. Cherche-la.» — Philippe</t>
    </r>
    <r>
      <rPr>
        <sz val="10"/>
        <rFont val="WenQuanYi Zen Hei"/>
        <family val="2"/>
      </rPr>
      <t xml:space="preserve">의 시그니처 </t>
    </r>
    <r>
      <rPr>
        <sz val="10"/>
        <rFont val="Arial"/>
        <family val="0"/>
        <charset val="1"/>
      </rPr>
      <t xml:space="preserve">«Suivez l'argent.»</t>
    </r>
    <r>
      <rPr>
        <sz val="10"/>
        <rFont val="WenQuanYi Zen Hei"/>
        <family val="2"/>
      </rPr>
      <t xml:space="preserve">와 중복 방지</t>
    </r>
  </si>
  <si>
    <t xml:space="preserve">출처표 정정</t>
  </si>
  <si>
    <r>
      <rPr>
        <sz val="10"/>
        <rFont val="WenQuanYi Zen Hei"/>
        <family val="2"/>
      </rPr>
      <t xml:space="preserve">주거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퇴거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형사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민사소송법</t>
    </r>
  </si>
  <si>
    <r>
      <rPr>
        <sz val="10"/>
        <rFont val="WenQuanYi Zen Hei"/>
        <family val="2"/>
      </rPr>
      <t xml:space="preserve">민사집행법전의 퇴거</t>
    </r>
    <r>
      <rPr>
        <sz val="10"/>
        <rFont val="Noto Sans CJK SC"/>
        <family val="2"/>
        <charset val="1"/>
      </rPr>
      <t xml:space="preserve">(expulsion) </t>
    </r>
    <r>
      <rPr>
        <sz val="10"/>
        <rFont val="WenQuanYi Zen Hei"/>
        <family val="2"/>
      </rPr>
      <t xml:space="preserve">절차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파리판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</si>
  <si>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상황 설명 </t>
    </r>
    <r>
      <rPr>
        <sz val="10"/>
        <rFont val="Noto Sans CJK SC"/>
        <family val="2"/>
        <charset val="1"/>
      </rPr>
      <t xml:space="preserve">30% + </t>
    </r>
    <r>
      <rPr>
        <sz val="10"/>
        <rFont val="WenQuanYi Zen Hei"/>
        <family val="2"/>
      </rPr>
      <t xml:space="preserve">대화 </t>
    </r>
    <r>
      <rPr>
        <sz val="10"/>
        <rFont val="Noto Sans CJK SC"/>
        <family val="2"/>
        <charset val="1"/>
      </rPr>
      <t xml:space="preserve">70%</t>
    </r>
  </si>
  <si>
    <r>
      <rPr>
        <sz val="10"/>
        <rFont val="WenQuanYi Zen Hei"/>
        <family val="2"/>
      </rPr>
      <t xml:space="preserve">전 화 </t>
    </r>
    <r>
      <rPr>
        <sz val="10"/>
        <rFont val="Noto Sans CJK SC"/>
        <family val="2"/>
        <charset val="1"/>
      </rPr>
      <t xml:space="preserve">100% </t>
    </r>
    <r>
      <rPr>
        <sz val="10"/>
        <rFont val="WenQuanYi Zen Hei"/>
        <family val="2"/>
      </rPr>
      <t xml:space="preserve">대화문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지문 없음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</si>
  <si>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시범 장면</t>
    </r>
  </si>
  <si>
    <r>
      <rPr>
        <sz val="10"/>
        <rFont val="Arial"/>
        <family val="0"/>
        <charset val="1"/>
      </rPr>
      <t xml:space="preserve">(Silencio.), (Monique deja el plato…) </t>
    </r>
    <r>
      <rPr>
        <sz val="10"/>
        <rFont val="WenQuanYi Zen Hei"/>
        <family val="2"/>
      </rPr>
      <t xml:space="preserve">등 괄호 지문 포함</t>
    </r>
  </si>
  <si>
    <t xml:space="preserve">모든 지문을 대사로 대체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</si>
  <si>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시범대사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</si>
  <si>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부작 </t>
    </r>
    <r>
      <rPr>
        <sz val="10"/>
        <rFont val="Arial"/>
        <family val="0"/>
        <charset val="1"/>
      </rPr>
      <t xml:space="preserve">(132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</si>
  <si>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부작 </t>
    </r>
    <r>
      <rPr>
        <sz val="10"/>
        <rFont val="Arial"/>
        <family val="0"/>
        <charset val="1"/>
      </rPr>
      <t xml:space="preserve">(144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 — 12</t>
    </r>
    <r>
      <rPr>
        <sz val="10"/>
        <rFont val="WenQuanYi Zen Hei"/>
        <family val="2"/>
      </rPr>
      <t xml:space="preserve">부는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장면으로 돌아오는 원형 구조</t>
    </r>
  </si>
  <si>
    <r>
      <rPr>
        <sz val="10"/>
        <rFont val="WenQuanYi Zen Hei"/>
        <family val="2"/>
      </rPr>
      <t xml:space="preserve">개요</t>
    </r>
    <r>
      <rPr>
        <sz val="10"/>
        <rFont val="Noto Sans CJK SC"/>
        <family val="2"/>
        <charset val="1"/>
      </rPr>
      <t xml:space="preserve">, 13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구성</t>
    </r>
  </si>
  <si>
    <t xml:space="preserve">정치 파트 구성</t>
  </si>
  <si>
    <r>
      <rPr>
        <sz val="10"/>
        <rFont val="Arial"/>
        <family val="0"/>
        <charset val="1"/>
      </rPr>
      <t xml:space="preserve">8 </t>
    </r>
    <r>
      <rPr>
        <sz val="10"/>
        <rFont val="WenQuanYi Zen Hei"/>
        <family val="2"/>
      </rPr>
      <t xml:space="preserve">정치 입문 </t>
    </r>
    <r>
      <rPr>
        <sz val="10"/>
        <rFont val="Arial"/>
        <family val="0"/>
        <charset val="1"/>
      </rPr>
      <t xml:space="preserve">· 9 </t>
    </r>
    <r>
      <rPr>
        <sz val="10"/>
        <rFont val="WenQuanYi Zen Hei"/>
        <family val="2"/>
      </rPr>
      <t xml:space="preserve">의회 </t>
    </r>
    <r>
      <rPr>
        <sz val="10"/>
        <rFont val="Arial"/>
        <family val="0"/>
        <charset val="1"/>
      </rPr>
      <t xml:space="preserve">· 10 </t>
    </r>
    <r>
      <rPr>
        <sz val="10"/>
        <rFont val="WenQuanYi Zen Hei"/>
        <family val="2"/>
      </rPr>
      <t xml:space="preserve">총리실 </t>
    </r>
    <r>
      <rPr>
        <sz val="10"/>
        <rFont val="Arial"/>
        <family val="0"/>
        <charset val="1"/>
      </rPr>
      <t xml:space="preserve">· 11 </t>
    </r>
    <r>
      <rPr>
        <sz val="10"/>
        <rFont val="WenQuanYi Zen Hei"/>
        <family val="2"/>
      </rPr>
      <t xml:space="preserve">사회 현안</t>
    </r>
  </si>
  <si>
    <r>
      <rPr>
        <sz val="10"/>
        <rFont val="Arial"/>
        <family val="0"/>
        <charset val="1"/>
      </rPr>
      <t xml:space="preserve">8 </t>
    </r>
    <r>
      <rPr>
        <sz val="10"/>
        <rFont val="WenQuanYi Zen Hei"/>
        <family val="2"/>
      </rPr>
      <t xml:space="preserve">창당 </t>
    </r>
    <r>
      <rPr>
        <sz val="10"/>
        <rFont val="Arial"/>
        <family val="0"/>
        <charset val="1"/>
      </rPr>
      <t xml:space="preserve">· 9 </t>
    </r>
    <r>
      <rPr>
        <sz val="10"/>
        <rFont val="WenQuanYi Zen Hei"/>
        <family val="2"/>
      </rPr>
      <t xml:space="preserve">시의회 </t>
    </r>
    <r>
      <rPr>
        <sz val="10"/>
        <rFont val="Arial"/>
        <family val="0"/>
        <charset val="1"/>
      </rPr>
      <t xml:space="preserve">· 10 </t>
    </r>
    <r>
      <rPr>
        <sz val="10"/>
        <rFont val="WenQuanYi Zen Hei"/>
        <family val="2"/>
      </rPr>
      <t xml:space="preserve">대선</t>
    </r>
    <r>
      <rPr>
        <sz val="10"/>
        <rFont val="Arial"/>
        <family val="0"/>
        <charset val="1"/>
      </rPr>
      <t xml:space="preserve">~</t>
    </r>
    <r>
      <rPr>
        <sz val="10"/>
        <rFont val="WenQuanYi Zen Hei"/>
        <family val="2"/>
      </rPr>
      <t xml:space="preserve">대통령 </t>
    </r>
    <r>
      <rPr>
        <sz val="10"/>
        <rFont val="Arial"/>
        <family val="0"/>
        <charset val="1"/>
      </rPr>
      <t xml:space="preserve">· 11~12 </t>
    </r>
    <r>
      <rPr>
        <sz val="10"/>
        <rFont val="WenQuanYi Zen Hei"/>
        <family val="2"/>
      </rPr>
      <t xml:space="preserve">국정 </t>
    </r>
    <r>
      <rPr>
        <sz val="10"/>
        <rFont val="Arial"/>
        <family val="0"/>
        <charset val="1"/>
      </rPr>
      <t xml:space="preserve">· 13 </t>
    </r>
    <r>
      <rPr>
        <sz val="10"/>
        <rFont val="WenQuanYi Zen Hei"/>
        <family val="2"/>
      </rPr>
      <t xml:space="preserve">귀환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파리판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</si>
  <si>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구성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화별목차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전체</t>
    </r>
  </si>
  <si>
    <t xml:space="preserve">정치 용어 정정</t>
  </si>
  <si>
    <r>
      <rPr>
        <sz val="10"/>
        <rFont val="Arial"/>
        <family val="0"/>
        <charset val="1"/>
      </rPr>
      <t xml:space="preserve">«</t>
    </r>
    <r>
      <rPr>
        <sz val="10"/>
        <rFont val="WenQuanYi Zen Hei"/>
        <family val="2"/>
      </rPr>
      <t xml:space="preserve">여소야대</t>
    </r>
    <r>
      <rPr>
        <sz val="10"/>
        <rFont val="Arial"/>
        <family val="0"/>
        <charset val="1"/>
      </rPr>
      <t xml:space="preserve">», </t>
    </r>
    <r>
      <rPr>
        <sz val="10"/>
        <rFont val="WenQuanYi Zen Hei"/>
        <family val="2"/>
      </rPr>
      <t xml:space="preserve">신생 정당 단독 불신임안</t>
    </r>
  </si>
  <si>
    <r>
      <rPr>
        <sz val="10"/>
        <rFont val="WenQuanYi Zen Hei"/>
        <family val="2"/>
      </rPr>
      <t xml:space="preserve">마드리드판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소수 정부</t>
    </r>
    <r>
      <rPr>
        <sz val="10"/>
        <rFont val="Noto Sans CJK SC"/>
        <family val="2"/>
        <charset val="1"/>
      </rPr>
      <t xml:space="preserve">·investidura·</t>
    </r>
    <r>
      <rPr>
        <sz val="10"/>
        <rFont val="WenQuanYi Zen Hei"/>
        <family val="2"/>
      </rPr>
      <t xml:space="preserve">건설적 불신임안 → 파리판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대선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회 투표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해산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총리 임명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불신임안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제</t>
    </r>
    <r>
      <rPr>
        <sz val="10"/>
        <rFont val="Noto Sans CJK SC"/>
        <family val="2"/>
        <charset val="1"/>
      </rPr>
      <t xml:space="preserve">49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</si>
  <si>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정치제도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정치경로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의석</t>
    </r>
  </si>
  <si>
    <t xml:space="preserve">권한 배분 반영</t>
  </si>
  <si>
    <r>
      <rPr>
        <sz val="10"/>
        <rFont val="WenQuanYi Zen Hei"/>
        <family val="2"/>
      </rPr>
      <t xml:space="preserve">대표가 병원 외주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임대료 상한을 직접 결정</t>
    </r>
  </si>
  <si>
    <r>
      <rPr>
        <sz val="10"/>
        <rFont val="WenQuanYi Zen Hei"/>
        <family val="2"/>
      </rPr>
      <t xml:space="preserve">권한 분담으로 재구성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파리판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보건은 국가</t>
    </r>
    <r>
      <rPr>
        <sz val="10"/>
        <rFont val="Noto Sans CJK SC"/>
        <family val="2"/>
        <charset val="1"/>
      </rPr>
      <t xml:space="preserve">·ARS</t>
    </r>
    <r>
      <rPr>
        <sz val="10"/>
        <rFont val="WenQuanYi Zen Hei"/>
        <family val="2"/>
      </rPr>
      <t xml:space="preserve">와 의회 </t>
    </r>
    <r>
      <rPr>
        <sz val="10"/>
        <rFont val="Noto Sans CJK SC"/>
        <family val="2"/>
        <charset val="1"/>
      </rPr>
      <t xml:space="preserve">LFSS, </t>
    </r>
    <r>
      <rPr>
        <sz val="10"/>
        <rFont val="WenQuanYi Zen Hei"/>
        <family val="2"/>
      </rPr>
      <t xml:space="preserve">임대료 상한은 시 신청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국가 명령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아동 보호는 도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</si>
  <si>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화별목차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전체 </t>
    </r>
    <r>
      <rPr>
        <sz val="10"/>
        <rFont val="Noto Sans CJK SC"/>
        <family val="2"/>
        <charset val="1"/>
      </rPr>
      <t xml:space="preserve">(11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3~5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</t>
    </r>
  </si>
  <si>
    <t xml:space="preserve">횡재세</t>
  </si>
  <si>
    <t xml:space="preserve">긴급 칙령으로 부과</t>
  </si>
  <si>
    <r>
      <rPr>
        <sz val="10"/>
        <rFont val="WenQuanYi Zen Hei"/>
        <family val="2"/>
      </rPr>
      <t xml:space="preserve">조세는 법률 사항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헌법 제</t>
    </r>
    <r>
      <rPr>
        <sz val="10"/>
        <rFont val="Noto Sans CJK SC"/>
        <family val="2"/>
        <charset val="1"/>
      </rPr>
      <t xml:space="preserve">34</t>
    </r>
    <r>
      <rPr>
        <sz val="10"/>
        <rFont val="WenQuanYi Zen Hei"/>
        <family val="2"/>
      </rPr>
      <t xml:space="preserve">조</t>
    </r>
    <r>
      <rPr>
        <sz val="10"/>
        <rFont val="Noto Sans CJK SC"/>
        <family val="2"/>
        <charset val="1"/>
      </rPr>
      <t xml:space="preserve">) — </t>
    </r>
    <r>
      <rPr>
        <sz val="10"/>
        <rFont val="WenQuanYi Zen Hei"/>
        <family val="2"/>
      </rPr>
      <t xml:space="preserve">파리판 </t>
    </r>
    <r>
      <rPr>
        <sz val="10"/>
        <rFont val="Noto Sans CJK SC"/>
        <family val="2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8</t>
    </r>
    <r>
      <rPr>
        <sz val="10"/>
        <rFont val="WenQuanYi Zen Hei"/>
        <family val="2"/>
      </rPr>
      <t xml:space="preserve">화</t>
    </r>
  </si>
  <si>
    <r>
      <rPr>
        <sz val="10"/>
        <rFont val="WenQuanYi Zen Hei"/>
        <family val="2"/>
      </rPr>
      <t xml:space="preserve">화별목차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전체 </t>
    </r>
    <r>
      <rPr>
        <sz val="10"/>
        <rFont val="Noto Sans CJK SC"/>
        <family val="2"/>
        <charset val="1"/>
      </rPr>
      <t xml:space="preserve">(11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8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</t>
    </r>
  </si>
  <si>
    <t xml:space="preserve">직책</t>
  </si>
  <si>
    <r>
      <rPr>
        <sz val="10"/>
        <rFont val="Arial"/>
        <family val="0"/>
        <charset val="1"/>
      </rPr>
      <t xml:space="preserve">«</t>
    </r>
    <r>
      <rPr>
        <sz val="10"/>
        <rFont val="WenQuanYi Zen Hei"/>
        <family val="2"/>
      </rPr>
      <t xml:space="preserve">청년비서관</t>
    </r>
    <r>
      <rPr>
        <sz val="10"/>
        <rFont val="Arial"/>
        <family val="0"/>
        <charset val="1"/>
      </rPr>
      <t xml:space="preserve">», «</t>
    </r>
    <r>
      <rPr>
        <sz val="10"/>
        <rFont val="WenQuanYi Zen Hei"/>
        <family val="2"/>
      </rPr>
      <t xml:space="preserve">대변인</t>
    </r>
    <r>
      <rPr>
        <sz val="10"/>
        <rFont val="Arial"/>
        <family val="0"/>
        <charset val="1"/>
      </rPr>
      <t xml:space="preserve">» </t>
    </r>
    <r>
      <rPr>
        <sz val="10"/>
        <rFont val="WenQuanYi Zen Hei"/>
        <family val="2"/>
      </rPr>
      <t xml:space="preserve">등 임의 명칭</t>
    </r>
  </si>
  <si>
    <r>
      <rPr>
        <sz val="10"/>
        <rFont val="WenQuanYi Zen Hei"/>
        <family val="2"/>
      </rPr>
      <t xml:space="preserve">현실 직제 기준으로 조정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파리판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엘리제궁 비서실장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대통령 특별참모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경제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재정부 장관 등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</si>
  <si>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정당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정치인 전부 가상 </t>
    </r>
    <r>
      <rPr>
        <sz val="10"/>
        <rFont val="Noto Sans CJK SC"/>
        <family val="2"/>
        <charset val="1"/>
      </rPr>
      <t xml:space="preserve">(Maison Commune, UCN, PPS, FS </t>
    </r>
    <r>
      <rPr>
        <sz val="10"/>
        <rFont val="WenQuanYi Zen Hei"/>
        <family val="2"/>
      </rPr>
      <t xml:space="preserve">등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실명 금지</t>
    </r>
  </si>
  <si>
    <r>
      <rPr>
        <sz val="10"/>
        <rFont val="WenQuanYi Zen Hei"/>
        <family val="2"/>
      </rPr>
      <t xml:space="preserve">정치경로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의석</t>
    </r>
  </si>
  <si>
    <t xml:space="preserve">등급 기준</t>
  </si>
  <si>
    <r>
      <rPr>
        <sz val="10"/>
        <rFont val="WenQuanYi Zen Hei"/>
        <family val="2"/>
      </rPr>
      <t xml:space="preserve">핵심 조연 ≥ </t>
    </r>
    <r>
      <rPr>
        <sz val="10"/>
        <rFont val="Noto Sans CJK SC"/>
        <family val="2"/>
        <charset val="1"/>
      </rPr>
      <t xml:space="preserve">39%</t>
    </r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</si>
  <si>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 추가로 비중이 변해 재조정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같은 등급 구성 유지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수식이 자동 계산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</si>
  <si>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화 담당</t>
    </r>
  </si>
  <si>
    <r>
      <rPr>
        <sz val="10"/>
        <rFont val="Arial"/>
        <family val="0"/>
        <charset val="1"/>
      </rPr>
      <t xml:space="preserve">Jeanne</t>
    </r>
    <r>
      <rPr>
        <sz val="10"/>
        <rFont val="WenQuanYi Zen Hei"/>
        <family val="2"/>
      </rPr>
      <t xml:space="preserve">이 협상 테이블</t>
    </r>
  </si>
  <si>
    <r>
      <rPr>
        <sz val="10"/>
        <rFont val="Arial"/>
        <family val="0"/>
        <charset val="1"/>
      </rPr>
      <t xml:space="preserve">Julien</t>
    </r>
    <r>
      <rPr>
        <sz val="10"/>
        <rFont val="WenQuanYi Zen Hei"/>
        <family val="2"/>
      </rPr>
      <t xml:space="preserve">이 협상</t>
    </r>
    <r>
      <rPr>
        <sz val="10"/>
        <rFont val="Arial"/>
        <family val="0"/>
        <charset val="1"/>
      </rPr>
      <t xml:space="preserve">, Jeanne</t>
    </r>
    <r>
      <rPr>
        <sz val="10"/>
        <rFont val="WenQuanYi Zen Hei"/>
        <family val="2"/>
      </rPr>
      <t xml:space="preserve">은 대표단 로지스틱스</t>
    </r>
  </si>
  <si>
    <t xml:space="preserve">현안 반영</t>
  </si>
  <si>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대 사회 현안 중심</t>
    </r>
  </si>
  <si>
    <r>
      <rPr>
        <sz val="10"/>
        <rFont val="WenQuanYi Zen Hei"/>
        <family val="2"/>
      </rPr>
      <t xml:space="preserve">마드리드판 현안 </t>
    </r>
    <r>
      <rPr>
        <sz val="10"/>
        <rFont val="Noto Sans CJK SC"/>
        <family val="2"/>
        <charset val="1"/>
      </rPr>
      <t xml:space="preserve">15</t>
    </r>
    <r>
      <rPr>
        <sz val="10"/>
        <rFont val="WenQuanYi Zen Hei"/>
        <family val="2"/>
      </rPr>
      <t xml:space="preserve">개 → 파리판에서 프랑스 현안 </t>
    </r>
    <r>
      <rPr>
        <sz val="10"/>
        <rFont val="Noto Sans CJK SC"/>
        <family val="2"/>
        <charset val="1"/>
      </rPr>
      <t xml:space="preserve">18</t>
    </r>
    <r>
      <rPr>
        <sz val="10"/>
        <rFont val="WenQuanYi Zen Hei"/>
        <family val="2"/>
      </rPr>
      <t xml:space="preserve">개로 교체</t>
    </r>
    <r>
      <rPr>
        <sz val="10"/>
        <rFont val="Noto Sans CJK SC"/>
        <family val="2"/>
        <charset val="1"/>
      </rPr>
      <t xml:space="preserve">(48</t>
    </r>
    <r>
      <rPr>
        <sz val="10"/>
        <rFont val="WenQuanYi Zen Hei"/>
        <family val="2"/>
      </rPr>
      <t xml:space="preserve">번 참고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</si>
  <si>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현안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배치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현안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분포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</si>
  <si>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재구성</t>
    </r>
  </si>
  <si>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화 응급실 </t>
    </r>
    <r>
      <rPr>
        <sz val="10"/>
        <rFont val="Arial"/>
        <family val="0"/>
        <charset val="1"/>
      </rPr>
      <t xml:space="preserve">/ 5</t>
    </r>
    <r>
      <rPr>
        <sz val="10"/>
        <rFont val="WenQuanYi Zen Hei"/>
        <family val="2"/>
      </rPr>
      <t xml:space="preserve">화 건강은 상품이 아니다 </t>
    </r>
    <r>
      <rPr>
        <sz val="10"/>
        <rFont val="Arial"/>
        <family val="0"/>
        <charset val="1"/>
      </rPr>
      <t xml:space="preserve">/ 11</t>
    </r>
    <r>
      <rPr>
        <sz val="10"/>
        <rFont val="WenQuanYi Zen Hei"/>
        <family val="2"/>
      </rPr>
      <t xml:space="preserve">화 거리의 변화</t>
    </r>
  </si>
  <si>
    <r>
      <rPr>
        <sz val="10"/>
        <rFont val="Arial"/>
        <family val="0"/>
        <charset val="1"/>
      </rPr>
      <t xml:space="preserve">4·5</t>
    </r>
    <r>
      <rPr>
        <sz val="10"/>
        <rFont val="WenQuanYi Zen Hei"/>
        <family val="2"/>
      </rPr>
      <t xml:space="preserve">화 응급실 통합</t>
    </r>
    <r>
      <rPr>
        <sz val="10"/>
        <rFont val="Arial"/>
        <family val="0"/>
        <charset val="1"/>
      </rPr>
      <t xml:space="preserve">, 5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«La Répartition»(</t>
    </r>
    <r>
      <rPr>
        <sz val="10"/>
        <rFont val="WenQuanYi Zen Hei"/>
        <family val="2"/>
      </rPr>
      <t xml:space="preserve">이민 분담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신설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재난 화는 파리판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«L'Épisode méditerranéen»</t>
    </r>
  </si>
  <si>
    <r>
      <rPr>
        <sz val="10"/>
        <rFont val="WenQuanYi Zen Hei"/>
        <family val="2"/>
      </rPr>
      <t xml:space="preserve">화별목차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전체</t>
    </r>
  </si>
  <si>
    <r>
      <rPr>
        <sz val="10"/>
        <rFont val="Arial"/>
        <family val="0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</si>
  <si>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일의 유세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일반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</si>
  <si>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농촌 방문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농촌 공동화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가뭄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태양광 단지 찬반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녹색 대 녹색</t>
    </r>
    <r>
      <rPr>
        <sz val="10"/>
        <rFont val="Noto Sans CJK SC"/>
        <family val="2"/>
        <charset val="1"/>
      </rPr>
      <t xml:space="preserve">) — </t>
    </r>
    <r>
      <rPr>
        <sz val="10"/>
        <rFont val="WenQuanYi Zen Hei"/>
        <family val="2"/>
      </rPr>
      <t xml:space="preserve">파리판 </t>
    </r>
    <r>
      <rPr>
        <sz val="10"/>
        <rFont val="Noto Sans CJK SC"/>
        <family val="2"/>
        <charset val="1"/>
      </rPr>
      <t xml:space="preserve">10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2</t>
    </r>
    <r>
      <rPr>
        <sz val="10"/>
        <rFont val="WenQuanYi Zen Hei"/>
        <family val="2"/>
      </rPr>
      <t xml:space="preserve">화 추천서 순회</t>
    </r>
  </si>
  <si>
    <t xml:space="preserve">현실 수치</t>
  </si>
  <si>
    <t xml:space="preserve">붙여 주신 자료의 스페인 수치</t>
  </si>
  <si>
    <r>
      <rPr>
        <sz val="10"/>
        <rFont val="WenQuanYi Zen Hei"/>
        <family val="2"/>
      </rPr>
      <t xml:space="preserve">파리판 </t>
    </r>
    <r>
      <rPr>
        <sz val="10"/>
        <rFont val="Noto Sans CJK SC"/>
        <family val="2"/>
        <charset val="1"/>
      </rPr>
      <t xml:space="preserve">59</t>
    </r>
    <r>
      <rPr>
        <sz val="10"/>
        <rFont val="WenQuanYi Zen Hei"/>
        <family val="2"/>
      </rPr>
      <t xml:space="preserve">번에서 프랑스 수치로 교체</t>
    </r>
  </si>
  <si>
    <r>
      <rPr>
        <sz val="10"/>
        <rFont val="WenQuanYi Zen Hei"/>
        <family val="2"/>
      </rPr>
      <t xml:space="preserve">현안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배치</t>
    </r>
  </si>
  <si>
    <t xml:space="preserve">현안 담당 없음</t>
  </si>
  <si>
    <r>
      <rPr>
        <sz val="10"/>
        <rFont val="WenQuanYi Zen Hei"/>
        <family val="2"/>
      </rPr>
      <t xml:space="preserve">캐릭터 시트에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현안 담당</t>
    </r>
    <r>
      <rPr>
        <sz val="10"/>
        <rFont val="Noto Sans CJK SC"/>
        <family val="2"/>
        <charset val="1"/>
      </rPr>
      <t xml:space="preserve">(ID)' </t>
    </r>
    <r>
      <rPr>
        <sz val="10"/>
        <rFont val="WenQuanYi Zen Hei"/>
        <family val="2"/>
      </rPr>
      <t xml:space="preserve">열 추가</t>
    </r>
  </si>
  <si>
    <t xml:space="preserve">아크 구성 계획</t>
  </si>
  <si>
    <r>
      <rPr>
        <sz val="10"/>
        <rFont val="Arial"/>
        <family val="0"/>
        <charset val="1"/>
      </rPr>
      <t xml:space="preserve">1~12</t>
    </r>
    <r>
      <rPr>
        <sz val="10"/>
        <rFont val="WenQuanYi Zen Hei"/>
        <family val="2"/>
      </rPr>
      <t xml:space="preserve">부 아크별 구성 계획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서사 기능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로그라인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비트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인물 아크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복선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언어 설계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시트 신설</t>
    </r>
  </si>
  <si>
    <r>
      <rPr>
        <sz val="10"/>
        <rFont val="WenQuanYi Zen Hei"/>
        <family val="2"/>
      </rPr>
      <t xml:space="preserve">아크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구성계획</t>
    </r>
  </si>
  <si>
    <t xml:space="preserve">화별 목차</t>
  </si>
  <si>
    <r>
      <rPr>
        <sz val="10"/>
        <rFont val="Arial"/>
        <family val="0"/>
        <charset val="1"/>
      </rPr>
      <t xml:space="preserve">8~12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60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</si>
  <si>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1~12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144</t>
    </r>
    <r>
      <rPr>
        <sz val="10"/>
        <rFont val="WenQuanYi Zen Hei"/>
        <family val="2"/>
      </rPr>
      <t xml:space="preserve">화로 확장</t>
    </r>
    <r>
      <rPr>
        <sz val="10"/>
        <rFont val="Arial"/>
        <family val="0"/>
        <charset val="1"/>
      </rPr>
      <t xml:space="preserve">(1~7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84</t>
    </r>
    <r>
      <rPr>
        <sz val="10"/>
        <rFont val="WenQuanYi Zen Hei"/>
        <family val="2"/>
      </rPr>
      <t xml:space="preserve">화 신규</t>
    </r>
    <r>
      <rPr>
        <sz val="10"/>
        <rFont val="Arial"/>
        <family val="0"/>
        <charset val="1"/>
      </rPr>
      <t xml:space="preserve">), '</t>
    </r>
    <r>
      <rPr>
        <sz val="10"/>
        <rFont val="WenQuanYi Zen Hei"/>
        <family val="2"/>
      </rPr>
      <t xml:space="preserve">서사 기능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열 추가</t>
    </r>
  </si>
  <si>
    <t xml:space="preserve">공통 악역</t>
  </si>
  <si>
    <r>
      <rPr>
        <sz val="10"/>
        <rFont val="Arial"/>
        <family val="0"/>
        <charset val="1"/>
      </rPr>
      <t xml:space="preserve">Groupe Méridien(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</t>
    </r>
    <r>
      <rPr>
        <sz val="10"/>
        <rFont val="Arial"/>
        <family val="0"/>
        <charset val="1"/>
      </rPr>
      <t xml:space="preserve">2~7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·9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·11~13</t>
    </r>
    <r>
      <rPr>
        <sz val="10"/>
        <rFont val="WenQuanYi Zen Hei"/>
        <family val="2"/>
      </rPr>
      <t xml:space="preserve">부를 관통하는 악역으로 설정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부동산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퇴거</t>
    </r>
    <r>
      <rPr>
        <sz val="10"/>
        <rFont val="Arial"/>
        <family val="0"/>
        <charset val="1"/>
      </rPr>
      <t xml:space="preserve">)·</t>
    </r>
    <r>
      <rPr>
        <sz val="10"/>
        <rFont val="WenQuanYi Zen Hei"/>
        <family val="2"/>
      </rPr>
      <t xml:space="preserve">병원 외주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감사 고객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구조조정 고객</t>
    </r>
  </si>
  <si>
    <t xml:space="preserve">프레임 구조</t>
  </si>
  <si>
    <r>
      <rPr>
        <sz val="10"/>
        <rFont val="Arial"/>
        <family val="0"/>
        <charset val="1"/>
      </rPr>
      <t xml:space="preserve">2~5</t>
    </r>
    <r>
      <rPr>
        <sz val="10"/>
        <rFont val="WenQuanYi Zen Hei"/>
        <family val="2"/>
      </rPr>
      <t xml:space="preserve">부는 금요일 밤 </t>
    </r>
    <r>
      <rPr>
        <sz val="10"/>
        <rFont val="Arial"/>
        <family val="0"/>
        <charset val="1"/>
      </rPr>
      <t xml:space="preserve">Monique</t>
    </r>
    <r>
      <rPr>
        <sz val="10"/>
        <rFont val="WenQuanYi Zen Hei"/>
        <family val="2"/>
      </rPr>
      <t xml:space="preserve">의 식탁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프레임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과 과거를 오가는 구조</t>
    </r>
    <r>
      <rPr>
        <sz val="10"/>
        <rFont val="Arial"/>
        <family val="0"/>
        <charset val="1"/>
      </rPr>
      <t xml:space="preserve">. 6</t>
    </r>
    <r>
      <rPr>
        <sz val="10"/>
        <rFont val="WenQuanYi Zen Hei"/>
        <family val="2"/>
      </rPr>
      <t xml:space="preserve">부에서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금요일 이야기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규칙이 만들어짐</t>
    </r>
  </si>
  <si>
    <r>
      <rPr>
        <sz val="10"/>
        <rFont val="WenQuanYi Zen Hei"/>
        <family val="2"/>
      </rPr>
      <t xml:space="preserve">복선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회수</t>
    </r>
  </si>
  <si>
    <r>
      <rPr>
        <sz val="10"/>
        <rFont val="WenQuanYi Zen Hei"/>
        <family val="2"/>
      </rPr>
      <t xml:space="preserve">복선 설치→회수 </t>
    </r>
    <r>
      <rPr>
        <sz val="10"/>
        <rFont val="Noto Sans CJK SC"/>
        <family val="2"/>
        <charset val="1"/>
      </rPr>
      <t xml:space="preserve">28</t>
    </r>
    <r>
      <rPr>
        <sz val="10"/>
        <rFont val="WenQuanYi Zen Hei"/>
        <family val="2"/>
      </rPr>
      <t xml:space="preserve">건과 간격을 수식으로 관리</t>
    </r>
  </si>
  <si>
    <r>
      <rPr>
        <sz val="10"/>
        <rFont val="WenQuanYi Zen Hei"/>
        <family val="2"/>
      </rPr>
      <t xml:space="preserve">복선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회수</t>
    </r>
  </si>
  <si>
    <t xml:space="preserve">확정 사항</t>
  </si>
  <si>
    <r>
      <rPr>
        <sz val="10"/>
        <rFont val="WenQuanYi Zen Hei"/>
        <family val="2"/>
      </rPr>
      <t xml:space="preserve">미결</t>
    </r>
    <r>
      <rPr>
        <sz val="10"/>
        <rFont val="Noto Sans CJK SC"/>
        <family val="2"/>
        <charset val="1"/>
      </rPr>
      <t xml:space="preserve">: 11</t>
    </r>
    <r>
      <rPr>
        <sz val="10"/>
        <rFont val="WenQuanYi Zen Hei"/>
        <family val="2"/>
      </rPr>
      <t xml:space="preserve">부 재구성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사면</t>
    </r>
    <r>
      <rPr>
        <sz val="10"/>
        <rFont val="Noto Sans CJK SC"/>
        <family val="2"/>
        <charset val="1"/>
      </rPr>
      <t xml:space="preserve">·DANA </t>
    </r>
    <r>
      <rPr>
        <sz val="10"/>
        <rFont val="WenQuanYi Zen Hei"/>
        <family val="2"/>
      </rPr>
      <t xml:space="preserve">수위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젠더 법 범위</t>
    </r>
  </si>
  <si>
    <r>
      <rPr>
        <sz val="10"/>
        <rFont val="WenQuanYi Zen Hei"/>
        <family val="2"/>
      </rPr>
      <t xml:space="preserve">모두 승인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사면</t>
    </r>
    <r>
      <rPr>
        <sz val="10"/>
        <rFont val="Noto Sans CJK SC"/>
        <family val="2"/>
        <charset val="1"/>
      </rPr>
      <t xml:space="preserve">·DANA</t>
    </r>
    <r>
      <rPr>
        <sz val="10"/>
        <rFont val="WenQuanYi Zen Hei"/>
        <family val="2"/>
      </rPr>
      <t xml:space="preserve">는 수위를 낮춰 가상 설정으로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파리판</t>
    </r>
    <r>
      <rPr>
        <sz val="10"/>
        <rFont val="Noto Sans CJK SC"/>
        <family val="2"/>
        <charset val="1"/>
      </rPr>
      <t xml:space="preserve">: </t>
    </r>
    <r>
      <rPr>
        <sz val="10"/>
        <rFont val="WenQuanYi Zen Hei"/>
        <family val="2"/>
      </rPr>
      <t xml:space="preserve">코르시카 자치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지중해성 폭우로 대체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젠더 법은 동의 개념 중심</t>
    </r>
  </si>
  <si>
    <t xml:space="preserve">카메오 과밀 해소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</si>
  <si>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 폭발 화에 </t>
    </r>
    <r>
      <rPr>
        <sz val="10"/>
        <rFont val="Arial"/>
        <family val="0"/>
        <charset val="1"/>
      </rPr>
      <t xml:space="preserve">Jeanne·Curie·Karim </t>
    </r>
    <r>
      <rPr>
        <sz val="10"/>
        <rFont val="WenQuanYi Zen Hei"/>
        <family val="2"/>
      </rPr>
      <t xml:space="preserve">집중</t>
    </r>
  </si>
  <si>
    <r>
      <rPr>
        <sz val="10"/>
        <rFont val="Arial"/>
        <family val="0"/>
        <charset val="1"/>
      </rPr>
      <t xml:space="preserve">Karim</t>
    </r>
    <r>
      <rPr>
        <sz val="10"/>
        <rFont val="WenQuanYi Zen Hei"/>
        <family val="2"/>
      </rPr>
      <t xml:space="preserve">의 욕은 </t>
    </r>
    <r>
      <rPr>
        <sz val="10"/>
        <rFont val="Arial"/>
        <family val="0"/>
        <charset val="1"/>
      </rPr>
      <t xml:space="preserve">9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차 폭발로 이관</t>
    </r>
  </si>
  <si>
    <t xml:space="preserve">화당 분량 확정</t>
  </si>
  <si>
    <r>
      <rPr>
        <sz val="10"/>
        <rFont val="WenQuanYi Zen Hei"/>
        <family val="2"/>
      </rPr>
      <t xml:space="preserve">화당 </t>
    </r>
    <r>
      <rPr>
        <sz val="10"/>
        <rFont val="Noto Sans CJK SC"/>
        <family val="2"/>
        <charset val="1"/>
      </rPr>
      <t xml:space="preserve">250~400</t>
    </r>
    <r>
      <rPr>
        <sz val="10"/>
        <rFont val="WenQuanYi Zen Hei"/>
        <family val="2"/>
      </rPr>
      <t xml:space="preserve">단어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제안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</si>
  <si>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화당 </t>
    </r>
    <r>
      <rPr>
        <sz val="10"/>
        <rFont val="Noto Sans CJK SC"/>
        <family val="2"/>
        <charset val="1"/>
      </rPr>
      <t xml:space="preserve">120</t>
    </r>
    <r>
      <rPr>
        <sz val="10"/>
        <rFont val="WenQuanYi Zen Hei"/>
        <family val="2"/>
      </rPr>
      <t xml:space="preserve">턴 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부당 </t>
    </r>
    <r>
      <rPr>
        <sz val="10"/>
        <rFont val="Noto Sans CJK SC"/>
        <family val="2"/>
        <charset val="1"/>
      </rPr>
      <t xml:space="preserve">1,440</t>
    </r>
    <r>
      <rPr>
        <sz val="10"/>
        <rFont val="WenQuanYi Zen Hei"/>
        <family val="2"/>
      </rPr>
      <t xml:space="preserve">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전체 </t>
    </r>
    <r>
      <rPr>
        <sz val="10"/>
        <rFont val="Noto Sans CJK SC"/>
        <family val="2"/>
        <charset val="1"/>
      </rPr>
      <t xml:space="preserve">17,280</t>
    </r>
    <r>
      <rPr>
        <sz val="10"/>
        <rFont val="WenQuanYi Zen Hei"/>
        <family val="2"/>
      </rPr>
      <t xml:space="preserve">턴</t>
    </r>
    <r>
      <rPr>
        <sz val="10"/>
        <rFont val="Noto Sans CJK SC"/>
        <family val="2"/>
        <charset val="1"/>
      </rPr>
      <t xml:space="preserve">). </t>
    </r>
    <r>
      <rPr>
        <sz val="10"/>
        <rFont val="WenQuanYi Zen Hei"/>
        <family val="2"/>
      </rPr>
      <t xml:space="preserve">낭독 시간은 부별 난이도 배율로 추정</t>
    </r>
  </si>
  <si>
    <r>
      <rPr>
        <sz val="10"/>
        <rFont val="WenQuanYi Zen Hei"/>
        <family val="2"/>
      </rPr>
      <t xml:space="preserve">턴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설계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대화문규칙</t>
    </r>
  </si>
  <si>
    <t xml:space="preserve">대화량 표 신설</t>
  </si>
  <si>
    <r>
      <rPr>
        <sz val="10"/>
        <rFont val="WenQuanYi Zen Hei"/>
        <family val="2"/>
      </rPr>
      <t xml:space="preserve">부별 화자 점유율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턴 기준</t>
    </r>
    <r>
      <rPr>
        <sz val="10"/>
        <rFont val="Noto Sans CJK SC"/>
        <family val="2"/>
        <charset val="1"/>
      </rPr>
      <t xml:space="preserve">), </t>
    </r>
    <r>
      <rPr>
        <sz val="10"/>
        <rFont val="WenQuanYi Zen Hei"/>
        <family val="2"/>
      </rPr>
      <t xml:space="preserve">평균 단어</t>
    </r>
    <r>
      <rPr>
        <sz val="10"/>
        <rFont val="Noto Sans CJK SC"/>
        <family val="2"/>
        <charset val="1"/>
      </rPr>
      <t xml:space="preserve">/</t>
    </r>
    <r>
      <rPr>
        <sz val="10"/>
        <rFont val="WenQuanYi Zen Hei"/>
        <family val="2"/>
      </rPr>
      <t xml:space="preserve">턴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화당 단어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낭독 시간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화 유형별 턴 구성을 수식으로 관리</t>
    </r>
  </si>
  <si>
    <r>
      <rPr>
        <sz val="10"/>
        <rFont val="WenQuanYi Zen Hei"/>
        <family val="2"/>
      </rPr>
      <t xml:space="preserve">턴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설계</t>
    </r>
  </si>
  <si>
    <t xml:space="preserve">턴 수 열 없음</t>
  </si>
  <si>
    <r>
      <rPr>
        <sz val="10"/>
        <rFont val="WenQuanYi Zen Hei"/>
        <family val="2"/>
      </rPr>
      <t xml:space="preserve">화별목차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전체에 </t>
    </r>
    <r>
      <rPr>
        <sz val="10"/>
        <rFont val="Noto Sans CJK SC"/>
        <family val="2"/>
        <charset val="1"/>
      </rPr>
      <t xml:space="preserve">'</t>
    </r>
    <r>
      <rPr>
        <sz val="10"/>
        <rFont val="WenQuanYi Zen Hei"/>
        <family val="2"/>
      </rPr>
      <t xml:space="preserve">턴 수</t>
    </r>
    <r>
      <rPr>
        <sz val="10"/>
        <rFont val="Noto Sans CJK SC"/>
        <family val="2"/>
        <charset val="1"/>
      </rPr>
      <t xml:space="preserve">' </t>
    </r>
    <r>
      <rPr>
        <sz val="10"/>
        <rFont val="WenQuanYi Zen Hei"/>
        <family val="2"/>
      </rPr>
      <t xml:space="preserve">열과 합계 추가 </t>
    </r>
    <r>
      <rPr>
        <sz val="10"/>
        <rFont val="Noto Sans CJK SC"/>
        <family val="2"/>
        <charset val="1"/>
      </rPr>
      <t xml:space="preserve">(120 × 144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</si>
  <si>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 대본 </t>
    </r>
    <r>
      <rPr>
        <sz val="10"/>
        <rFont val="Arial"/>
        <family val="0"/>
        <charset val="1"/>
      </rPr>
      <t xml:space="preserve">(v1, </t>
    </r>
    <r>
      <rPr>
        <sz val="10"/>
        <rFont val="WenQuanYi Zen Hei"/>
        <family val="2"/>
      </rPr>
      <t xml:space="preserve">폐기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</si>
  <si>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마드리드판 </t>
    </r>
    <r>
      <rPr>
        <sz val="10"/>
        <rFont val="Arial"/>
        <family val="0"/>
        <charset val="1"/>
      </rPr>
      <t xml:space="preserve">v1 </t>
    </r>
    <r>
      <rPr>
        <sz val="10"/>
        <rFont val="WenQuanYi Zen Hei"/>
        <family val="2"/>
      </rPr>
      <t xml:space="preserve">대본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</si>
  <si>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전체를 개소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개월 후 시점으로 재설계하며 폐기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대체</t>
    </r>
    <r>
      <rPr>
        <sz val="10"/>
        <rFont val="Arial"/>
        <family val="0"/>
        <charset val="1"/>
      </rPr>
      <t xml:space="preserve">: v2 (</t>
    </r>
    <r>
      <rPr>
        <sz val="10"/>
        <rFont val="WenQuanYi Zen Hei"/>
        <family val="2"/>
      </rPr>
      <t xml:space="preserve">마드리드판 스페인어 대본 — 파리판은 </t>
    </r>
    <r>
      <rPr>
        <sz val="10"/>
        <rFont val="Arial"/>
        <family val="0"/>
        <charset val="1"/>
      </rPr>
      <t xml:space="preserve">«Encore une lettre»</t>
    </r>
    <r>
      <rPr>
        <sz val="10"/>
        <rFont val="WenQuanYi Zen Hei"/>
        <family val="2"/>
      </rPr>
      <t xml:space="preserve">로 재집필 필요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</si>
  <si>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전체 재설계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</si>
  <si>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소개</t>
    </r>
    <r>
      <rPr>
        <sz val="10"/>
        <rFont val="Arial"/>
        <family val="0"/>
        <charset val="1"/>
      </rPr>
      <t xml:space="preserve">(1~2) + </t>
    </r>
    <r>
      <rPr>
        <sz val="10"/>
        <rFont val="WenQuanYi Zen Hei"/>
        <family val="2"/>
      </rPr>
      <t xml:space="preserve">산발적 사건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건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</si>
  <si>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부를 개소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개월 후 시점으로 전환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사건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개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각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도입→해결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구조로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 전체를 재편</t>
    </r>
    <r>
      <rPr>
        <sz val="10"/>
        <rFont val="Arial"/>
        <family val="0"/>
        <charset val="1"/>
      </rPr>
      <t xml:space="preserve">: ①Fatima </t>
    </r>
    <r>
      <rPr>
        <sz val="10"/>
        <rFont val="WenQuanYi Zen Hei"/>
        <family val="2"/>
      </rPr>
      <t xml:space="preserve">임대료</t>
    </r>
    <r>
      <rPr>
        <sz val="10"/>
        <rFont val="Arial"/>
        <family val="0"/>
        <charset val="1"/>
      </rPr>
      <t xml:space="preserve">(1~2) ②</t>
    </r>
    <r>
      <rPr>
        <sz val="10"/>
        <rFont val="WenQuanYi Zen Hei"/>
        <family val="2"/>
      </rPr>
      <t xml:space="preserve">퇴거 집행</t>
    </r>
    <r>
      <rPr>
        <sz val="10"/>
        <rFont val="Arial"/>
        <family val="0"/>
        <charset val="1"/>
      </rPr>
      <t xml:space="preserve">(3~4) ③</t>
    </r>
    <r>
      <rPr>
        <sz val="10"/>
        <rFont val="WenQuanYi Zen Hei"/>
        <family val="2"/>
      </rPr>
      <t xml:space="preserve">임금 체불</t>
    </r>
    <r>
      <rPr>
        <sz val="10"/>
        <rFont val="Arial"/>
        <family val="0"/>
        <charset val="1"/>
      </rPr>
      <t xml:space="preserve">·Manon 1</t>
    </r>
    <r>
      <rPr>
        <sz val="10"/>
        <rFont val="WenQuanYi Zen Hei"/>
        <family val="2"/>
      </rPr>
      <t xml:space="preserve">차 폭발</t>
    </r>
    <r>
      <rPr>
        <sz val="10"/>
        <rFont val="Arial"/>
        <family val="0"/>
        <charset val="1"/>
      </rPr>
      <t xml:space="preserve">(5~6) ④</t>
    </r>
    <r>
      <rPr>
        <sz val="10"/>
        <rFont val="WenQuanYi Zen Hei"/>
        <family val="2"/>
      </rPr>
      <t xml:space="preserve">의료 접근</t>
    </r>
    <r>
      <rPr>
        <sz val="10"/>
        <rFont val="Arial"/>
        <family val="0"/>
        <charset val="1"/>
      </rPr>
      <t xml:space="preserve">(7~8) ⑤</t>
    </r>
    <r>
      <rPr>
        <sz val="10"/>
        <rFont val="WenQuanYi Zen Hei"/>
        <family val="2"/>
      </rPr>
      <t xml:space="preserve">금융 사기</t>
    </r>
    <r>
      <rPr>
        <sz val="10"/>
        <rFont val="Arial"/>
        <family val="0"/>
        <charset val="1"/>
      </rPr>
      <t xml:space="preserve">·Philippe(9~10) ⑥</t>
    </r>
    <r>
      <rPr>
        <sz val="10"/>
        <rFont val="WenQuanYi Zen Hei"/>
        <family val="2"/>
      </rPr>
      <t xml:space="preserve">오래된 서류</t>
    </r>
    <r>
      <rPr>
        <sz val="10"/>
        <rFont val="Arial"/>
        <family val="0"/>
        <charset val="1"/>
      </rPr>
      <t xml:space="preserve">·Nicolas </t>
    </r>
    <r>
      <rPr>
        <sz val="10"/>
        <rFont val="WenQuanYi Zen Hei"/>
        <family val="2"/>
      </rPr>
      <t xml:space="preserve">훅</t>
    </r>
    <r>
      <rPr>
        <sz val="10"/>
        <rFont val="Arial"/>
        <family val="0"/>
        <charset val="1"/>
      </rPr>
      <t xml:space="preserve">(11~12)</t>
    </r>
  </si>
  <si>
    <r>
      <rPr>
        <sz val="10"/>
        <rFont val="WenQuanYi Zen Hei"/>
        <family val="2"/>
      </rPr>
      <t xml:space="preserve">아크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구성계획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화별목차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전체</t>
    </r>
    <r>
      <rPr>
        <sz val="10"/>
        <rFont val="Noto Sans CJK SC"/>
        <family val="2"/>
        <charset val="1"/>
      </rPr>
      <t xml:space="preserve">, 13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구성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</si>
  <si>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 대본 </t>
    </r>
    <r>
      <rPr>
        <sz val="10"/>
        <rFont val="Arial"/>
        <family val="0"/>
        <charset val="1"/>
      </rPr>
      <t xml:space="preserve">(v2)</t>
    </r>
  </si>
  <si>
    <r>
      <rPr>
        <sz val="10"/>
        <rFont val="WenQuanYi Zen Hei"/>
        <family val="2"/>
      </rPr>
      <t xml:space="preserve">마드리드판 </t>
    </r>
    <r>
      <rPr>
        <sz val="10"/>
        <rFont val="Arial"/>
        <family val="0"/>
        <charset val="1"/>
      </rPr>
      <t xml:space="preserve">v2(</t>
    </r>
    <r>
      <rPr>
        <sz val="10"/>
        <rFont val="WenQuanYi Zen Hei"/>
        <family val="2"/>
      </rPr>
      <t xml:space="preserve">스페인어</t>
    </r>
    <r>
      <rPr>
        <sz val="10"/>
        <rFont val="Arial"/>
        <family val="0"/>
        <charset val="1"/>
      </rPr>
      <t xml:space="preserve">) 120</t>
    </r>
    <r>
      <rPr>
        <sz val="10"/>
        <rFont val="WenQuanYi Zen Hei"/>
        <family val="2"/>
      </rPr>
      <t xml:space="preserve">턴 작성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파리판 제목은 </t>
    </r>
    <r>
      <rPr>
        <sz val="10"/>
        <rFont val="Arial"/>
        <family val="0"/>
        <charset val="1"/>
      </rPr>
      <t xml:space="preserve">«Encore une lettre»(</t>
    </r>
    <r>
      <rPr>
        <sz val="10"/>
        <rFont val="WenQuanYi Zen Hei"/>
        <family val="2"/>
      </rPr>
      <t xml:space="preserve">또 한 통의 편지</t>
    </r>
    <r>
      <rPr>
        <sz val="10"/>
        <rFont val="Arial"/>
        <family val="0"/>
        <charset val="1"/>
      </rPr>
      <t xml:space="preserve">) — </t>
    </r>
    <r>
      <rPr>
        <sz val="10"/>
        <rFont val="WenQuanYi Zen Hei"/>
        <family val="2"/>
      </rPr>
      <t xml:space="preserve">프랑스어로 재집필 필요</t>
    </r>
  </si>
  <si>
    <r>
      <rPr>
        <sz val="10"/>
        <rFont val="WenQuanYi Zen Hei"/>
        <family val="2"/>
      </rPr>
      <t xml:space="preserve">화별목차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전체</t>
    </r>
  </si>
  <si>
    <r>
      <rPr>
        <sz val="10"/>
        <rFont val="WenQuanYi Zen Hei"/>
        <family val="2"/>
      </rPr>
      <t xml:space="preserve">등장비중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부 재조정</t>
    </r>
  </si>
  <si>
    <r>
      <rPr>
        <sz val="10"/>
        <rFont val="WenQuanYi Zen Hei"/>
        <family val="2"/>
      </rPr>
      <t xml:space="preserve">주력 </t>
    </r>
    <r>
      <rPr>
        <sz val="10"/>
        <rFont val="Noto Sans CJK SC"/>
        <family val="2"/>
        <charset val="1"/>
      </rPr>
      <t xml:space="preserve">4</t>
    </r>
    <r>
      <rPr>
        <sz val="10"/>
        <rFont val="WenQuanYi Zen Hei"/>
        <family val="2"/>
      </rPr>
      <t xml:space="preserve">인 전원 </t>
    </r>
    <r>
      <rPr>
        <sz val="10"/>
        <rFont val="Noto Sans CJK SC"/>
        <family val="2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화 등장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각 </t>
    </r>
    <r>
      <rPr>
        <sz val="10"/>
        <rFont val="Noto Sans CJK SC"/>
        <family val="2"/>
        <charset val="1"/>
      </rPr>
      <t xml:space="preserve">11~12)</t>
    </r>
  </si>
  <si>
    <r>
      <rPr>
        <sz val="10"/>
        <rFont val="WenQuanYi Zen Hei"/>
        <family val="2"/>
      </rPr>
      <t xml:space="preserve">사건별로 교대 등장하도록 조정</t>
    </r>
    <r>
      <rPr>
        <sz val="10"/>
        <rFont val="Noto Sans CJK SC"/>
        <family val="2"/>
        <charset val="1"/>
      </rPr>
      <t xml:space="preserve">: Nicolas 7·Camille 6·Julien 7·Léa 6·Monique 12(</t>
    </r>
    <r>
      <rPr>
        <sz val="10"/>
        <rFont val="WenQuanYi Zen Hei"/>
        <family val="2"/>
      </rPr>
      <t xml:space="preserve">전 화 앵커</t>
    </r>
    <r>
      <rPr>
        <sz val="10"/>
        <rFont val="Noto Sans CJK SC"/>
        <family val="2"/>
        <charset val="1"/>
      </rPr>
      <t xml:space="preserve">)·Napoléon 4·Curie 3·Voltaire 2·Karim 2·Philippe 2·Hugo 1·Sartre 1</t>
    </r>
  </si>
  <si>
    <t xml:space="preserve">부 수 확장</t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</si>
  <si>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부작 </t>
    </r>
    <r>
      <rPr>
        <sz val="10"/>
        <rFont val="Arial"/>
        <family val="0"/>
        <charset val="1"/>
      </rPr>
      <t xml:space="preserve">(144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</si>
  <si>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부작 </t>
    </r>
    <r>
      <rPr>
        <sz val="10"/>
        <rFont val="Arial"/>
        <family val="0"/>
        <charset val="1"/>
      </rPr>
      <t xml:space="preserve">(156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). 11</t>
    </r>
    <r>
      <rPr>
        <sz val="10"/>
        <rFont val="WenQuanYi Zen Hei"/>
        <family val="2"/>
      </rPr>
      <t xml:space="preserve">부를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국정 </t>
    </r>
    <r>
      <rPr>
        <sz val="10"/>
        <rFont val="Arial"/>
        <family val="0"/>
        <charset val="1"/>
      </rPr>
      <t xml:space="preserve">I'</t>
    </r>
    <r>
      <rPr>
        <sz val="10"/>
        <rFont val="WenQuanYi Zen Hei"/>
        <family val="2"/>
      </rPr>
      <t xml:space="preserve">과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국정 </t>
    </r>
    <r>
      <rPr>
        <sz val="10"/>
        <rFont val="Arial"/>
        <family val="0"/>
        <charset val="1"/>
      </rPr>
      <t xml:space="preserve">II'</t>
    </r>
    <r>
      <rPr>
        <sz val="10"/>
        <rFont val="WenQuanYi Zen Hei"/>
        <family val="2"/>
      </rPr>
      <t xml:space="preserve">로 분리하고 구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귀환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를 </t>
    </r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부로 </t>
    </r>
    <r>
      <rPr>
        <sz val="10"/>
        <rFont val="Arial"/>
        <family val="0"/>
        <charset val="1"/>
      </rPr>
      <t xml:space="preserve">renumber</t>
    </r>
  </si>
  <si>
    <r>
      <rPr>
        <sz val="10"/>
        <rFont val="WenQuanYi Zen Hei"/>
        <family val="2"/>
      </rPr>
      <t xml:space="preserve">개요</t>
    </r>
    <r>
      <rPr>
        <sz val="10"/>
        <rFont val="Noto Sans CJK SC"/>
        <family val="2"/>
        <charset val="1"/>
      </rPr>
      <t xml:space="preserve">, 13</t>
    </r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구성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아크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구성계획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화별목차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전체</t>
    </r>
  </si>
  <si>
    <r>
      <rPr>
        <sz val="10"/>
        <rFont val="Arial"/>
        <family val="0"/>
        <charset val="1"/>
      </rPr>
      <t xml:space="preserve">Napoléon </t>
    </r>
    <r>
      <rPr>
        <sz val="10"/>
        <rFont val="WenQuanYi Zen Hei"/>
        <family val="2"/>
      </rPr>
      <t xml:space="preserve">사망 시점 이동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</si>
  <si>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화에서 사망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브뤼셀 협상은 사후 메모로만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</si>
  <si>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9~11</t>
    </r>
    <r>
      <rPr>
        <sz val="10"/>
        <rFont val="WenQuanYi Zen Hei"/>
        <family val="2"/>
      </rPr>
      <t xml:space="preserve">화에서 직접 브뤼셀 협상</t>
    </r>
    <r>
      <rPr>
        <sz val="10"/>
        <rFont val="Arial"/>
        <family val="0"/>
        <charset val="1"/>
      </rPr>
      <t xml:space="preserve">(NATO </t>
    </r>
    <r>
      <rPr>
        <sz val="10"/>
        <rFont val="WenQuanYi Zen Hei"/>
        <family val="2"/>
      </rPr>
      <t xml:space="preserve">방위비</t>
    </r>
    <r>
      <rPr>
        <sz val="10"/>
        <rFont val="Arial"/>
        <family val="0"/>
        <charset val="1"/>
      </rPr>
      <t xml:space="preserve">·EU </t>
    </r>
    <r>
      <rPr>
        <sz val="10"/>
        <rFont val="WenQuanYi Zen Hei"/>
        <family val="2"/>
      </rPr>
      <t xml:space="preserve">재정규칙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 나서 승리한 뒤</t>
    </r>
    <r>
      <rPr>
        <sz val="10"/>
        <rFont val="Arial"/>
        <family val="0"/>
        <charset val="1"/>
      </rPr>
      <t xml:space="preserve">, 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귀국 직후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 사망</t>
    </r>
    <r>
      <rPr>
        <sz val="10"/>
        <rFont val="Arial"/>
        <family val="0"/>
        <charset val="1"/>
      </rPr>
      <t xml:space="preserve">. 12</t>
    </r>
    <r>
      <rPr>
        <sz val="10"/>
        <rFont val="WenQuanYi Zen Hei"/>
        <family val="2"/>
      </rPr>
      <t xml:space="preserve">부는 장례식으로 열고 유작 메모로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차 협상을 잇는다</t>
    </r>
  </si>
  <si>
    <r>
      <rPr>
        <sz val="10"/>
        <rFont val="WenQuanYi Zen Hei"/>
        <family val="2"/>
      </rPr>
      <t xml:space="preserve">아크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구성계획</t>
    </r>
    <r>
      <rPr>
        <sz val="10"/>
        <rFont val="Noto Sans CJK SC"/>
        <family val="2"/>
        <charset val="1"/>
      </rPr>
      <t xml:space="preserve">, Napoléon_</t>
    </r>
    <r>
      <rPr>
        <sz val="10"/>
        <rFont val="WenQuanYi Zen Hei"/>
        <family val="2"/>
      </rPr>
      <t xml:space="preserve">죽음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화별목차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전체</t>
    </r>
  </si>
  <si>
    <t xml:space="preserve">협상 장면</t>
  </si>
  <si>
    <r>
      <rPr>
        <sz val="10"/>
        <rFont val="WenQuanYi Zen Hei"/>
        <family val="2"/>
      </rPr>
      <t xml:space="preserve">상대측의 과장</t>
    </r>
    <r>
      <rPr>
        <sz val="10"/>
        <rFont val="Noto Sans CJK SC"/>
        <family val="2"/>
        <charset val="1"/>
      </rPr>
      <t xml:space="preserve">·</t>
    </r>
    <r>
      <rPr>
        <sz val="10"/>
        <rFont val="WenQuanYi Zen Hei"/>
        <family val="2"/>
      </rPr>
      <t xml:space="preserve">거짓 주장을 기록의 날짜로 정확히 반박하는 장면</t>
    </r>
    <r>
      <rPr>
        <sz val="10"/>
        <rFont val="Noto Sans CJK SC"/>
        <family val="2"/>
        <charset val="1"/>
      </rPr>
      <t xml:space="preserve">(11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10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 </t>
    </r>
    <r>
      <rPr>
        <sz val="10"/>
        <rFont val="WenQuanYi Zen Hei"/>
        <family val="2"/>
      </rPr>
      <t xml:space="preserve">추가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실존 정치 지도자는 실명으로 쓰지 않고 특징 묘사로만 — </t>
    </r>
    <r>
      <rPr>
        <sz val="10"/>
        <rFont val="Noto Sans CJK SC"/>
        <family val="2"/>
        <charset val="1"/>
      </rPr>
      <t xml:space="preserve">Napoléon</t>
    </r>
    <r>
      <rPr>
        <sz val="10"/>
        <rFont val="WenQuanYi Zen Hei"/>
        <family val="2"/>
      </rPr>
      <t xml:space="preserve">이 </t>
    </r>
    <r>
      <rPr>
        <sz val="10"/>
        <rFont val="Noto Sans CJK SC"/>
        <family val="2"/>
        <charset val="1"/>
      </rPr>
      <t xml:space="preserve">«</t>
    </r>
    <r>
      <rPr>
        <sz val="10"/>
        <rFont val="WenQuanYi Zen Hei"/>
        <family val="2"/>
      </rPr>
      <t xml:space="preserve">이름은 말하지 않겠다</t>
    </r>
    <r>
      <rPr>
        <sz val="10"/>
        <rFont val="Noto Sans CJK SC"/>
        <family val="2"/>
        <charset val="1"/>
      </rPr>
      <t xml:space="preserve">»</t>
    </r>
    <r>
      <rPr>
        <sz val="10"/>
        <rFont val="WenQuanYi Zen Hei"/>
        <family val="2"/>
      </rPr>
      <t xml:space="preserve">고 스스로 선을 긋는 대사로 처리</t>
    </r>
    <r>
      <rPr>
        <sz val="10"/>
        <rFont val="Noto Sans CJK SC"/>
        <family val="2"/>
        <charset val="1"/>
      </rPr>
      <t xml:space="preserve">(11</t>
    </r>
    <r>
      <rPr>
        <sz val="10"/>
        <rFont val="WenQuanYi Zen Hei"/>
        <family val="2"/>
      </rPr>
      <t xml:space="preserve">부 </t>
    </r>
    <r>
      <rPr>
        <sz val="10"/>
        <rFont val="Noto Sans CJK SC"/>
        <family val="2"/>
        <charset val="1"/>
      </rPr>
      <t xml:space="preserve">9</t>
    </r>
    <r>
      <rPr>
        <sz val="10"/>
        <rFont val="WenQuanYi Zen Hei"/>
        <family val="2"/>
      </rPr>
      <t xml:space="preserve">화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</si>
  <si>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화별목차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전체</t>
    </r>
    <r>
      <rPr>
        <sz val="10"/>
        <rFont val="Noto Sans CJK SC"/>
        <family val="2"/>
        <charset val="1"/>
      </rPr>
      <t xml:space="preserve">, Napoléon_</t>
    </r>
    <r>
      <rPr>
        <sz val="10"/>
        <rFont val="WenQuanYi Zen Hei"/>
        <family val="2"/>
      </rPr>
      <t xml:space="preserve">죽음</t>
    </r>
  </si>
  <si>
    <r>
      <rPr>
        <sz val="10"/>
        <rFont val="Arial"/>
        <family val="0"/>
        <charset val="1"/>
      </rPr>
      <t xml:space="preserve">NATO </t>
    </r>
    <r>
      <rPr>
        <sz val="10"/>
        <rFont val="WenQuanYi Zen Hei"/>
        <family val="2"/>
      </rPr>
      <t xml:space="preserve">방위비 실제 사실 반영</t>
    </r>
  </si>
  <si>
    <t xml:space="preserve">목표 수치 미확인</t>
  </si>
  <si>
    <r>
      <rPr>
        <sz val="10"/>
        <rFont val="Arial"/>
        <family val="0"/>
        <charset val="1"/>
      </rPr>
      <t xml:space="preserve">2025</t>
    </r>
    <r>
      <rPr>
        <sz val="10"/>
        <rFont val="WenQuanYi Zen Hei"/>
        <family val="2"/>
      </rPr>
      <t xml:space="preserve">년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월 헤이그 정상회의에서 합의된 </t>
    </r>
    <r>
      <rPr>
        <sz val="10"/>
        <rFont val="Arial"/>
        <family val="0"/>
        <charset val="1"/>
      </rPr>
      <t xml:space="preserve">GDP 5%(</t>
    </r>
    <r>
      <rPr>
        <sz val="10"/>
        <rFont val="WenQuanYi Zen Hei"/>
        <family val="2"/>
      </rPr>
      <t xml:space="preserve">핵심 </t>
    </r>
    <r>
      <rPr>
        <sz val="10"/>
        <rFont val="Arial"/>
        <family val="0"/>
        <charset val="1"/>
      </rPr>
      <t xml:space="preserve">3.5%+</t>
    </r>
    <r>
      <rPr>
        <sz val="10"/>
        <rFont val="WenQuanYi Zen Hei"/>
        <family val="2"/>
      </rPr>
      <t xml:space="preserve">관련 </t>
    </r>
    <r>
      <rPr>
        <sz val="10"/>
        <rFont val="Arial"/>
        <family val="0"/>
        <charset val="1"/>
      </rPr>
      <t xml:space="preserve">1.5%, 2035</t>
    </r>
    <r>
      <rPr>
        <sz val="10"/>
        <rFont val="WenQuanYi Zen Hei"/>
        <family val="2"/>
      </rPr>
      <t xml:space="preserve">년 시한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목표를 반영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검색일 </t>
    </r>
    <r>
      <rPr>
        <sz val="10"/>
        <rFont val="Arial"/>
        <family val="0"/>
        <charset val="1"/>
      </rPr>
      <t xml:space="preserve">2026-09-22). </t>
    </r>
    <r>
      <rPr>
        <sz val="10"/>
        <rFont val="WenQuanYi Zen Hei"/>
        <family val="2"/>
      </rPr>
      <t xml:space="preserve">파리판에서 스페인 예외 관련 서술은 삭제</t>
    </r>
  </si>
  <si>
    <r>
      <rPr>
        <sz val="10"/>
        <rFont val="WenQuanYi Zen Hei"/>
        <family val="2"/>
      </rPr>
      <t xml:space="preserve">신규 현안 </t>
    </r>
    <r>
      <rPr>
        <sz val="10"/>
        <rFont val="Noto Sans CJK SC"/>
        <family val="2"/>
        <charset val="1"/>
      </rPr>
      <t xml:space="preserve">3</t>
    </r>
    <r>
      <rPr>
        <sz val="10"/>
        <rFont val="WenQuanYi Zen Hei"/>
        <family val="2"/>
      </rPr>
      <t xml:space="preserve">개 추가</t>
    </r>
  </si>
  <si>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개 현안</t>
    </r>
  </si>
  <si>
    <r>
      <rPr>
        <sz val="10"/>
        <rFont val="Arial"/>
        <family val="0"/>
        <charset val="1"/>
      </rPr>
      <t xml:space="preserve">N6 </t>
    </r>
    <r>
      <rPr>
        <sz val="10"/>
        <rFont val="WenQuanYi Zen Hei"/>
        <family val="2"/>
      </rPr>
      <t xml:space="preserve">플랫폼 노동 </t>
    </r>
    <r>
      <rPr>
        <sz val="10"/>
        <rFont val="Arial"/>
        <family val="0"/>
        <charset val="1"/>
      </rPr>
      <t xml:space="preserve">· N7 </t>
    </r>
    <r>
      <rPr>
        <sz val="10"/>
        <rFont val="WenQuanYi Zen Hei"/>
        <family val="2"/>
      </rPr>
      <t xml:space="preserve">정보기관 사찰 스캔들</t>
    </r>
    <r>
      <rPr>
        <sz val="10"/>
        <rFont val="Arial"/>
        <family val="0"/>
        <charset val="1"/>
      </rPr>
      <t xml:space="preserve">(7</t>
    </r>
    <r>
      <rPr>
        <sz val="10"/>
        <rFont val="WenQuanYi Zen Hei"/>
        <family val="2"/>
      </rPr>
      <t xml:space="preserve">부 도청 논쟁과 연결</t>
    </r>
    <r>
      <rPr>
        <sz val="10"/>
        <rFont val="Arial"/>
        <family val="0"/>
        <charset val="1"/>
      </rPr>
      <t xml:space="preserve">) · N8 </t>
    </r>
    <r>
      <rPr>
        <sz val="10"/>
        <rFont val="WenQuanYi Zen Hei"/>
        <family val="2"/>
      </rPr>
      <t xml:space="preserve">청년 정신건강 위기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모두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부에 전용 화 배정</t>
    </r>
  </si>
  <si>
    <t xml:space="preserve">고전 인용 장치</t>
  </si>
  <si>
    <r>
      <rPr>
        <sz val="10"/>
        <rFont val="WenQuanYi Zen Hei"/>
        <family val="2"/>
      </rPr>
      <t xml:space="preserve">인물마다 다른 고전 출처 — 파리판</t>
    </r>
    <r>
      <rPr>
        <sz val="10"/>
        <rFont val="Noto Sans CJK SC"/>
        <family val="2"/>
        <charset val="1"/>
      </rPr>
      <t xml:space="preserve">: Monique=</t>
    </r>
    <r>
      <rPr>
        <sz val="10"/>
        <rFont val="WenQuanYi Zen Hei"/>
        <family val="2"/>
      </rPr>
      <t xml:space="preserve">속담</t>
    </r>
    <r>
      <rPr>
        <sz val="10"/>
        <rFont val="Noto Sans CJK SC"/>
        <family val="2"/>
        <charset val="1"/>
      </rPr>
      <t xml:space="preserve">, Napoléon=</t>
    </r>
    <r>
      <rPr>
        <sz val="10"/>
        <rFont val="WenQuanYi Zen Hei"/>
        <family val="2"/>
      </rPr>
      <t xml:space="preserve">코르네유</t>
    </r>
    <r>
      <rPr>
        <sz val="10"/>
        <rFont val="Noto Sans CJK SC"/>
        <family val="2"/>
        <charset val="1"/>
      </rPr>
      <t xml:space="preserve">, Curie=</t>
    </r>
    <r>
      <rPr>
        <sz val="10"/>
        <rFont val="WenQuanYi Zen Hei"/>
        <family val="2"/>
      </rPr>
      <t xml:space="preserve">파스칼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서지 톤</t>
    </r>
    <r>
      <rPr>
        <sz val="10"/>
        <rFont val="Noto Sans CJK SC"/>
        <family val="2"/>
        <charset val="1"/>
      </rPr>
      <t xml:space="preserve">), Hugo=</t>
    </r>
    <r>
      <rPr>
        <sz val="10"/>
        <rFont val="WenQuanYi Zen Hei"/>
        <family val="2"/>
      </rPr>
      <t xml:space="preserve">자기 작품</t>
    </r>
    <r>
      <rPr>
        <sz val="10"/>
        <rFont val="Noto Sans CJK SC"/>
        <family val="2"/>
        <charset val="1"/>
      </rPr>
      <t xml:space="preserve">, Nicolas=1789</t>
    </r>
    <r>
      <rPr>
        <sz val="10"/>
        <rFont val="WenQuanYi Zen Hei"/>
        <family val="2"/>
      </rPr>
      <t xml:space="preserve">년 인권선언</t>
    </r>
    <r>
      <rPr>
        <sz val="10"/>
        <rFont val="Noto Sans CJK SC"/>
        <family val="2"/>
        <charset val="1"/>
      </rPr>
      <t xml:space="preserve">. </t>
    </r>
    <r>
      <rPr>
        <sz val="10"/>
        <rFont val="WenQuanYi Zen Hei"/>
        <family val="2"/>
      </rPr>
      <t xml:space="preserve">공유 저작물의 정확한 원문만 사용</t>
    </r>
  </si>
  <si>
    <r>
      <rPr>
        <sz val="10"/>
        <rFont val="WenQuanYi Zen Hei"/>
        <family val="2"/>
      </rPr>
      <t xml:space="preserve">대화문규칙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캐릭터</t>
    </r>
  </si>
  <si>
    <t xml:space="preserve">워크북 갱신 주기 변경</t>
  </si>
  <si>
    <t xml:space="preserve">화 완성마다 즉시 갱신</t>
  </si>
  <si>
    <r>
      <rPr>
        <sz val="10"/>
        <rFont val="WenQuanYi Zen Hei"/>
        <family val="2"/>
      </rPr>
      <t xml:space="preserve">부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시즌</t>
    </r>
    <r>
      <rPr>
        <sz val="10"/>
        <rFont val="Noto Sans CJK SC"/>
        <family val="2"/>
        <charset val="1"/>
      </rPr>
      <t xml:space="preserve">)</t>
    </r>
    <r>
      <rPr>
        <sz val="10"/>
        <rFont val="WenQuanYi Zen Hei"/>
        <family val="2"/>
      </rPr>
      <t xml:space="preserve">가 끝날 때만</t>
    </r>
    <r>
      <rPr>
        <sz val="10"/>
        <rFont val="Noto Sans CJK SC"/>
        <family val="2"/>
        <charset val="1"/>
      </rPr>
      <t xml:space="preserve">, </t>
    </r>
    <r>
      <rPr>
        <sz val="10"/>
        <rFont val="WenQuanYi Zen Hei"/>
        <family val="2"/>
      </rPr>
      <t xml:space="preserve">또는 별도 요청 시에만 갱신하는 것으로 변경 </t>
    </r>
    <r>
      <rPr>
        <sz val="10"/>
        <rFont val="Noto Sans CJK SC"/>
        <family val="2"/>
        <charset val="1"/>
      </rPr>
      <t xml:space="preserve">(2026-09-22</t>
    </r>
    <r>
      <rPr>
        <sz val="10"/>
        <rFont val="WenQuanYi Zen Hei"/>
        <family val="2"/>
      </rPr>
      <t xml:space="preserve">부터</t>
    </r>
    <r>
      <rPr>
        <sz val="10"/>
        <rFont val="Noto Sans CJK SC"/>
        <family val="2"/>
        <charset val="1"/>
      </rPr>
      <t xml:space="preserve">)</t>
    </r>
  </si>
  <si>
    <t xml:space="preserve">운영 방침</t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</si>
  <si>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완결 결산</t>
    </r>
  </si>
  <si>
    <r>
      <rPr>
        <sz val="10"/>
        <rFont val="WenQuanYi Zen Hei"/>
        <family val="2"/>
      </rPr>
      <t xml:space="preserve">마드리드판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 전부 완성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스페인어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1 Fatima(1~2), 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퇴거 저지</t>
    </r>
    <r>
      <rPr>
        <sz val="10"/>
        <rFont val="Arial"/>
        <family val="0"/>
        <charset val="1"/>
      </rPr>
      <t xml:space="preserve">(3~4), 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청년 노동자</t>
    </r>
    <r>
      <rPr>
        <sz val="10"/>
        <rFont val="Arial"/>
        <family val="0"/>
        <charset val="1"/>
      </rPr>
      <t xml:space="preserve">(5~6, Manon 1</t>
    </r>
    <r>
      <rPr>
        <sz val="10"/>
        <rFont val="WenQuanYi Zen Hei"/>
        <family val="2"/>
      </rPr>
      <t xml:space="preserve">차 폭발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서류 없는 가족</t>
    </r>
    <r>
      <rPr>
        <sz val="10"/>
        <rFont val="Arial"/>
        <family val="0"/>
        <charset val="1"/>
      </rPr>
      <t xml:space="preserve">(7~8), 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사기 피해자</t>
    </r>
    <r>
      <rPr>
        <sz val="10"/>
        <rFont val="Arial"/>
        <family val="0"/>
        <charset val="1"/>
      </rPr>
      <t xml:space="preserve">(9~10, Philippe </t>
    </r>
    <r>
      <rPr>
        <sz val="10"/>
        <rFont val="WenQuanYi Zen Hei"/>
        <family val="2"/>
      </rPr>
      <t xml:space="preserve">첫 등장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사건</t>
    </r>
    <r>
      <rPr>
        <sz val="10"/>
        <rFont val="Arial"/>
        <family val="0"/>
        <charset val="1"/>
      </rPr>
      <t xml:space="preserve">6 </t>
    </r>
    <r>
      <rPr>
        <sz val="10"/>
        <rFont val="WenQuanYi Zen Hei"/>
        <family val="2"/>
      </rPr>
      <t xml:space="preserve">오래된 서류</t>
    </r>
    <r>
      <rPr>
        <sz val="10"/>
        <rFont val="Arial"/>
        <family val="0"/>
        <charset val="1"/>
      </rPr>
      <t xml:space="preserve">(11~12, </t>
    </r>
    <r>
      <rPr>
        <sz val="10"/>
        <rFont val="WenQuanYi Zen Hei"/>
        <family val="2"/>
      </rPr>
      <t xml:space="preserve">옛 로펌 훅 → 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</si>
  <si>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화별목차</t>
    </r>
    <r>
      <rPr>
        <sz val="10"/>
        <rFont val="Noto Sans CJK SC"/>
        <family val="2"/>
        <charset val="1"/>
      </rPr>
      <t xml:space="preserve">_</t>
    </r>
    <r>
      <rPr>
        <sz val="10"/>
        <rFont val="WenQuanYi Zen Hei"/>
        <family val="2"/>
      </rPr>
      <t xml:space="preserve">전체</t>
    </r>
    <r>
      <rPr>
        <sz val="10"/>
        <rFont val="Noto Sans CJK SC"/>
        <family val="2"/>
        <charset val="1"/>
      </rPr>
      <t xml:space="preserve">, 1</t>
    </r>
    <r>
      <rPr>
        <sz val="10"/>
        <rFont val="WenQuanYi Zen Hei"/>
        <family val="2"/>
      </rPr>
      <t xml:space="preserve">부 대본 </t>
    </r>
    <r>
      <rPr>
        <sz val="10"/>
        <rFont val="Noto Sans CJK SC"/>
        <family val="2"/>
        <charset val="1"/>
      </rPr>
      <t xml:space="preserve">12</t>
    </r>
    <r>
      <rPr>
        <sz val="10"/>
        <rFont val="WenQuanYi Zen Hei"/>
        <family val="2"/>
      </rPr>
      <t xml:space="preserve">편</t>
    </r>
    <r>
      <rPr>
        <sz val="10"/>
        <rFont val="Noto Sans CJK SC"/>
        <family val="2"/>
        <charset val="1"/>
      </rPr>
      <t xml:space="preserve">(</t>
    </r>
    <r>
      <rPr>
        <sz val="10"/>
        <rFont val="WenQuanYi Zen Hei"/>
        <family val="2"/>
      </rPr>
      <t xml:space="preserve">스페인어</t>
    </r>
    <r>
      <rPr>
        <sz val="10"/>
        <rFont val="Noto Sans CJK SC"/>
        <family val="2"/>
        <charset val="1"/>
      </rPr>
      <t xml:space="preserve">)</t>
    </r>
  </si>
  <si>
    <r>
      <rPr>
        <sz val="10"/>
        <rFont val="WenQuanYi Zen Hei"/>
        <family val="2"/>
      </rPr>
      <t xml:space="preserve">무대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언어</t>
    </r>
  </si>
  <si>
    <r>
      <rPr>
        <sz val="10"/>
        <rFont val="WenQuanYi Zen Hei"/>
        <family val="2"/>
      </rPr>
      <t xml:space="preserve">마드리드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스페인어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</si>
  <si>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파리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프랑스어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전면 현지화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제목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대사 예시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지명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기관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법령을 프랑스 기준으로 교체</t>
    </r>
    <r>
      <rPr>
        <sz val="10"/>
        <rFont val="Arial"/>
        <family val="0"/>
        <charset val="1"/>
      </rPr>
      <t xml:space="preserve">. 1</t>
    </r>
    <r>
      <rPr>
        <sz val="10"/>
        <rFont val="WenQuanYi Zen Hei"/>
        <family val="2"/>
      </rPr>
      <t xml:space="preserve">부 사무소는 </t>
    </r>
    <r>
      <rPr>
        <sz val="10"/>
        <rFont val="Arial"/>
        <family val="0"/>
        <charset val="1"/>
      </rPr>
      <t xml:space="preserve">Belleville, 6</t>
    </r>
    <r>
      <rPr>
        <sz val="10"/>
        <rFont val="WenQuanYi Zen Hei"/>
        <family val="2"/>
      </rPr>
      <t xml:space="preserve">부는 </t>
    </r>
    <r>
      <rPr>
        <sz val="10"/>
        <rFont val="Arial"/>
        <family val="0"/>
        <charset val="1"/>
      </rPr>
      <t xml:space="preserve">Saint-Denis, 7~8</t>
    </r>
    <r>
      <rPr>
        <sz val="10"/>
        <rFont val="WenQuanYi Zen Hei"/>
        <family val="2"/>
      </rPr>
      <t xml:space="preserve">부 광장은 </t>
    </r>
    <r>
      <rPr>
        <sz val="10"/>
        <rFont val="Arial"/>
        <family val="0"/>
        <charset val="1"/>
      </rPr>
      <t xml:space="preserve">Place de la République</t>
    </r>
  </si>
  <si>
    <t xml:space="preserve">전 시트</t>
  </si>
  <si>
    <t xml:space="preserve">인물 대응</t>
  </si>
  <si>
    <t xml:space="preserve">Mateo·Javier·Sofía·Diego·Carmen·Pepa·Anselmo·Raimundo·Inés·Lucía·Tomás·Ramón·Nieves·Gonzalo</t>
  </si>
  <si>
    <r>
      <rPr>
        <sz val="10"/>
        <rFont val="Arial"/>
        <family val="0"/>
        <charset val="1"/>
      </rPr>
      <t xml:space="preserve">Nicolas·Camille·Julien·Léa·Manon·Monique·Napoléon·Curie·Voltaire·Sartre·Hugo·Jeanne·Karim·Philippe (+ </t>
    </r>
    <r>
      <rPr>
        <sz val="10"/>
        <rFont val="WenQuanYi Zen Hei"/>
        <family val="2"/>
      </rPr>
      <t xml:space="preserve">신규 </t>
    </r>
    <r>
      <rPr>
        <sz val="10"/>
        <rFont val="Arial"/>
        <family val="0"/>
        <charset val="1"/>
      </rPr>
      <t xml:space="preserve">Olympe). </t>
    </r>
    <r>
      <rPr>
        <sz val="10"/>
        <rFont val="WenQuanYi Zen Hei"/>
        <family val="2"/>
      </rPr>
      <t xml:space="preserve">성별이 바뀐 대응</t>
    </r>
    <r>
      <rPr>
        <sz val="10"/>
        <rFont val="Arial"/>
        <family val="0"/>
        <charset val="1"/>
      </rPr>
      <t xml:space="preserve">(Julien·Léa·Camille·Curie </t>
    </r>
    <r>
      <rPr>
        <sz val="10"/>
        <rFont val="WenQuanYi Zen Hei"/>
        <family val="2"/>
      </rPr>
      <t xml:space="preserve">등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은 서술을 맞춰 고침</t>
    </r>
  </si>
  <si>
    <r>
      <rPr>
        <sz val="10"/>
        <rFont val="WenQuanYi Zen Hei"/>
        <family val="2"/>
      </rPr>
      <t xml:space="preserve">의원내각제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총선 → 국왕 협의 → </t>
    </r>
    <r>
      <rPr>
        <sz val="10"/>
        <rFont val="Arial"/>
        <family val="0"/>
        <charset val="1"/>
      </rPr>
      <t xml:space="preserve">investidura(</t>
    </r>
    <r>
      <rPr>
        <sz val="10"/>
        <rFont val="WenQuanYi Zen Hei"/>
        <family val="2"/>
      </rPr>
      <t xml:space="preserve">총리 선출</t>
    </r>
    <r>
      <rPr>
        <sz val="10"/>
        <rFont val="Arial"/>
        <family val="0"/>
        <charset val="1"/>
      </rPr>
      <t xml:space="preserve">) → </t>
    </r>
    <r>
      <rPr>
        <sz val="10"/>
        <rFont val="WenQuanYi Zen Hei"/>
        <family val="2"/>
      </rPr>
      <t xml:space="preserve">건설적 불신임안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자치주 권한</t>
    </r>
  </si>
  <si>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5</t>
    </r>
    <r>
      <rPr>
        <sz val="10"/>
        <rFont val="WenQuanYi Zen Hei"/>
        <family val="2"/>
      </rPr>
      <t xml:space="preserve">공화국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추천서 </t>
    </r>
    <r>
      <rPr>
        <sz val="10"/>
        <rFont val="Arial"/>
        <family val="0"/>
        <charset val="1"/>
      </rPr>
      <t xml:space="preserve">500</t>
    </r>
    <r>
      <rPr>
        <sz val="10"/>
        <rFont val="WenQuanYi Zen Hei"/>
        <family val="2"/>
      </rPr>
      <t xml:space="preserve">장 → 대선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결선 → 대통령 취임 → 해산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총선 → 총리 임명 → 불신임안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제</t>
    </r>
    <r>
      <rPr>
        <sz val="10"/>
        <rFont val="Arial"/>
        <family val="0"/>
        <charset val="1"/>
      </rPr>
      <t xml:space="preserve">49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). Nicolas</t>
    </r>
    <r>
      <rPr>
        <sz val="10"/>
        <rFont val="WenQuanYi Zen Hei"/>
        <family val="2"/>
      </rPr>
      <t xml:space="preserve">는 총리가 아니라 대통령</t>
    </r>
  </si>
  <si>
    <r>
      <rPr>
        <sz val="10"/>
        <rFont val="WenQuanYi Zen Hei"/>
        <family val="2"/>
      </rPr>
      <t xml:space="preserve">정치제도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정치경로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의석</t>
    </r>
    <r>
      <rPr>
        <sz val="10"/>
        <rFont val="Arial"/>
        <family val="0"/>
        <charset val="1"/>
      </rPr>
      <t xml:space="preserve">, 13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구성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아크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구성계획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화별목차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전체</t>
    </r>
  </si>
  <si>
    <t xml:space="preserve">총리 배역 신설</t>
  </si>
  <si>
    <r>
      <rPr>
        <sz val="10"/>
        <rFont val="WenQuanYi Zen Hei"/>
        <family val="2"/>
      </rPr>
      <t xml:space="preserve">총리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주인공</t>
    </r>
  </si>
  <si>
    <r>
      <rPr>
        <sz val="10"/>
        <rFont val="WenQuanYi Zen Hei"/>
        <family val="2"/>
      </rPr>
      <t xml:space="preserve">대통령 </t>
    </r>
    <r>
      <rPr>
        <sz val="10"/>
        <rFont val="Arial"/>
        <family val="0"/>
        <charset val="1"/>
      </rPr>
      <t xml:space="preserve">Nicolas, </t>
    </r>
    <r>
      <rPr>
        <sz val="10"/>
        <rFont val="WenQuanYi Zen Hei"/>
        <family val="2"/>
      </rPr>
      <t xml:space="preserve">총리 </t>
    </r>
    <r>
      <rPr>
        <sz val="10"/>
        <rFont val="Arial"/>
        <family val="0"/>
        <charset val="1"/>
      </rPr>
      <t xml:space="preserve">Olympe(</t>
    </r>
    <r>
      <rPr>
        <sz val="10"/>
        <rFont val="WenQuanYi Zen Hei"/>
        <family val="2"/>
      </rPr>
      <t xml:space="preserve">신규 배역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경제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재정 </t>
    </r>
    <r>
      <rPr>
        <sz val="10"/>
        <rFont val="Arial"/>
        <family val="0"/>
        <charset val="1"/>
      </rPr>
      <t xml:space="preserve">Julien, </t>
    </r>
    <r>
      <rPr>
        <sz val="10"/>
        <rFont val="WenQuanYi Zen Hei"/>
        <family val="2"/>
      </rPr>
      <t xml:space="preserve">보건 </t>
    </r>
    <r>
      <rPr>
        <sz val="10"/>
        <rFont val="Arial"/>
        <family val="0"/>
        <charset val="1"/>
      </rPr>
      <t xml:space="preserve">Camille, </t>
    </r>
    <r>
      <rPr>
        <sz val="10"/>
        <rFont val="WenQuanYi Zen Hei"/>
        <family val="2"/>
      </rPr>
      <t xml:space="preserve">엘리제 비서실장 </t>
    </r>
    <r>
      <rPr>
        <sz val="10"/>
        <rFont val="Arial"/>
        <family val="0"/>
        <charset val="1"/>
      </rPr>
      <t xml:space="preserve">Léa, </t>
    </r>
    <r>
      <rPr>
        <sz val="10"/>
        <rFont val="WenQuanYi Zen Hei"/>
        <family val="2"/>
      </rPr>
      <t xml:space="preserve">대통령 특사 </t>
    </r>
    <r>
      <rPr>
        <sz val="10"/>
        <rFont val="Arial"/>
        <family val="0"/>
        <charset val="1"/>
      </rPr>
      <t xml:space="preserve">Napoléon</t>
    </r>
  </si>
  <si>
    <r>
      <rPr>
        <sz val="10"/>
        <rFont val="WenQuanYi Zen Hei"/>
        <family val="2"/>
      </rPr>
      <t xml:space="preserve">캐릭터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등장비중</t>
    </r>
  </si>
  <si>
    <t xml:space="preserve">지방 무대</t>
  </si>
  <si>
    <r>
      <rPr>
        <sz val="10"/>
        <rFont val="WenQuanYi Zen Hei"/>
        <family val="2"/>
      </rPr>
      <t xml:space="preserve">마드리드 시의회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자치의회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보건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</si>
  <si>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파리 시의회 단일 무대</t>
    </r>
    <r>
      <rPr>
        <sz val="10"/>
        <rFont val="Arial"/>
        <family val="0"/>
        <charset val="1"/>
      </rPr>
      <t xml:space="preserve">: Julien(</t>
    </r>
    <r>
      <rPr>
        <sz val="10"/>
        <rFont val="WenQuanYi Zen Hei"/>
        <family val="2"/>
      </rPr>
      <t xml:space="preserve">예산</t>
    </r>
    <r>
      <rPr>
        <sz val="10"/>
        <rFont val="Arial"/>
        <family val="0"/>
        <charset val="1"/>
      </rPr>
      <t xml:space="preserve">)·Camille(</t>
    </r>
    <r>
      <rPr>
        <sz val="10"/>
        <rFont val="WenQuanYi Zen Hei"/>
        <family val="2"/>
      </rPr>
      <t xml:space="preserve">시립 보건센터</t>
    </r>
    <r>
      <rPr>
        <sz val="10"/>
        <rFont val="Arial"/>
        <family val="0"/>
        <charset val="1"/>
      </rPr>
      <t xml:space="preserve">·AP-HP </t>
    </r>
    <r>
      <rPr>
        <sz val="10"/>
        <rFont val="WenQuanYi Zen Hei"/>
        <family val="2"/>
      </rPr>
      <t xml:space="preserve">감독위원회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프랑스는 보건이 국가</t>
    </r>
    <r>
      <rPr>
        <sz val="10"/>
        <rFont val="Arial"/>
        <family val="0"/>
        <charset val="1"/>
      </rPr>
      <t xml:space="preserve">(ARS) </t>
    </r>
    <r>
      <rPr>
        <sz val="10"/>
        <rFont val="WenQuanYi Zen Hei"/>
        <family val="2"/>
      </rPr>
      <t xml:space="preserve">권한이라 지역의회 보건 설정을 폐기</t>
    </r>
  </si>
  <si>
    <t xml:space="preserve">사회 현안</t>
  </si>
  <si>
    <r>
      <rPr>
        <sz val="10"/>
        <rFont val="WenQuanYi Zen Hei"/>
        <family val="2"/>
      </rPr>
      <t xml:space="preserve">스페인 현안 </t>
    </r>
    <r>
      <rPr>
        <sz val="10"/>
        <rFont val="Arial"/>
        <family val="0"/>
        <charset val="1"/>
      </rPr>
      <t xml:space="preserve">18</t>
    </r>
    <r>
      <rPr>
        <sz val="10"/>
        <rFont val="WenQuanYi Zen Hei"/>
        <family val="2"/>
      </rPr>
      <t xml:space="preserve">개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사면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재정 분권</t>
    </r>
    <r>
      <rPr>
        <sz val="10"/>
        <rFont val="Arial"/>
        <family val="0"/>
        <charset val="1"/>
      </rPr>
      <t xml:space="preserve">·DANA </t>
    </r>
    <r>
      <rPr>
        <sz val="10"/>
        <rFont val="WenQuanYi Zen Hei"/>
        <family val="2"/>
      </rPr>
      <t xml:space="preserve">등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</si>
  <si>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프랑스 현안 </t>
    </r>
    <r>
      <rPr>
        <sz val="10"/>
        <rFont val="Arial"/>
        <family val="0"/>
        <charset val="1"/>
      </rPr>
      <t xml:space="preserve">18</t>
    </r>
    <r>
      <rPr>
        <sz val="10"/>
        <rFont val="WenQuanYi Zen Hei"/>
        <family val="2"/>
      </rPr>
      <t xml:space="preserve">개</t>
    </r>
    <r>
      <rPr>
        <sz val="10"/>
        <rFont val="Arial"/>
        <family val="0"/>
        <charset val="1"/>
      </rPr>
      <t xml:space="preserve">: P1 </t>
    </r>
    <r>
      <rPr>
        <sz val="10"/>
        <rFont val="WenQuanYi Zen Hei"/>
        <family val="2"/>
      </rPr>
      <t xml:space="preserve">상대다수 의회</t>
    </r>
    <r>
      <rPr>
        <sz val="10"/>
        <rFont val="Arial"/>
        <family val="0"/>
        <charset val="1"/>
      </rPr>
      <t xml:space="preserve">, P2 </t>
    </r>
    <r>
      <rPr>
        <sz val="10"/>
        <rFont val="WenQuanYi Zen Hei"/>
        <family val="2"/>
      </rPr>
      <t xml:space="preserve">코르시카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누벨칼레도니 자치</t>
    </r>
    <r>
      <rPr>
        <sz val="10"/>
        <rFont val="Arial"/>
        <family val="0"/>
        <charset val="1"/>
      </rPr>
      <t xml:space="preserve">, P3 </t>
    </r>
    <r>
      <rPr>
        <sz val="10"/>
        <rFont val="WenQuanYi Zen Hei"/>
        <family val="2"/>
      </rPr>
      <t xml:space="preserve">검찰 독립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반부패 단체</t>
    </r>
    <r>
      <rPr>
        <sz val="10"/>
        <rFont val="Arial"/>
        <family val="0"/>
        <charset val="1"/>
      </rPr>
      <t xml:space="preserve">, N1 </t>
    </r>
    <r>
      <rPr>
        <sz val="10"/>
        <rFont val="WenQuanYi Zen Hei"/>
        <family val="2"/>
      </rPr>
      <t xml:space="preserve">지중해성 폭우</t>
    </r>
    <r>
      <rPr>
        <sz val="10"/>
        <rFont val="Arial"/>
        <family val="0"/>
        <charset val="1"/>
      </rPr>
      <t xml:space="preserve">, N4 2025</t>
    </r>
    <r>
      <rPr>
        <sz val="10"/>
        <rFont val="WenQuanYi Zen Hei"/>
        <family val="2"/>
      </rPr>
      <t xml:space="preserve">년 동의법 등 </t>
    </r>
    <r>
      <rPr>
        <sz val="10"/>
        <rFont val="Arial"/>
        <family val="0"/>
        <charset val="1"/>
      </rPr>
      <t xml:space="preserve">(ID </t>
    </r>
    <r>
      <rPr>
        <sz val="10"/>
        <rFont val="WenQuanYi Zen Hei"/>
        <family val="2"/>
      </rPr>
      <t xml:space="preserve">체계 유지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</si>
  <si>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현안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배치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현안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분포</t>
    </r>
  </si>
  <si>
    <t xml:space="preserve">가상 상호 정리</t>
  </si>
  <si>
    <r>
      <rPr>
        <sz val="10"/>
        <rFont val="Arial"/>
        <family val="0"/>
        <charset val="1"/>
      </rPr>
      <t xml:space="preserve">Lefevre &amp; Girard Avocats·Moreau Audit(</t>
    </r>
    <r>
      <rPr>
        <sz val="10"/>
        <rFont val="WenQuanYi Zen Hei"/>
        <family val="2"/>
      </rPr>
      <t xml:space="preserve">주인공 성과 겹침</t>
    </r>
    <r>
      <rPr>
        <sz val="10"/>
        <rFont val="Arial"/>
        <family val="0"/>
        <charset val="1"/>
      </rPr>
      <t xml:space="preserve">), Hôpital Saint-Louis(</t>
    </r>
    <r>
      <rPr>
        <sz val="10"/>
        <rFont val="WenQuanYi Zen Hei"/>
        <family val="2"/>
      </rPr>
      <t xml:space="preserve">실존 병원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</si>
  <si>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Vasseur &amp; Delorme Avocats, Bertin &amp; Roux Audit, Hôpital Saint-Bernard(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</si>
  <si>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Napoléon </t>
    </r>
    <r>
      <rPr>
        <sz val="10"/>
        <rFont val="WenQuanYi Zen Hei"/>
        <family val="2"/>
      </rPr>
      <t xml:space="preserve">설정</t>
    </r>
  </si>
  <si>
    <r>
      <rPr>
        <sz val="10"/>
        <rFont val="WenQuanYi Zen Hei"/>
        <family val="2"/>
      </rPr>
      <t xml:space="preserve">우산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심부전</t>
    </r>
    <r>
      <rPr>
        <sz val="10"/>
        <rFont val="Arial"/>
        <family val="0"/>
        <charset val="1"/>
      </rPr>
      <t xml:space="preserve">·«No está mal»</t>
    </r>
  </si>
  <si>
    <r>
      <rPr>
        <sz val="10"/>
        <rFont val="WenQuanYi Zen Hei"/>
        <family val="2"/>
      </rPr>
      <t xml:space="preserve">이각모</t>
    </r>
    <r>
      <rPr>
        <sz val="10"/>
        <rFont val="Arial"/>
        <family val="0"/>
        <charset val="1"/>
      </rPr>
      <t xml:space="preserve">(bicorne)·</t>
    </r>
    <r>
      <rPr>
        <sz val="10"/>
        <rFont val="WenQuanYi Zen Hei"/>
        <family val="2"/>
      </rPr>
      <t xml:space="preserve">위의 병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세인트헬레나 사인의 반복</t>
    </r>
    <r>
      <rPr>
        <sz val="10"/>
        <rFont val="Arial"/>
        <family val="0"/>
        <charset val="1"/>
      </rPr>
      <t xml:space="preserve">)·«Pas mal». </t>
    </r>
    <r>
      <rPr>
        <sz val="10"/>
        <rFont val="WenQuanYi Zen Hei"/>
        <family val="2"/>
      </rPr>
      <t xml:space="preserve">사망 시점을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화로 통일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캐릭터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개요의 </t>
    </r>
    <r>
      <rPr>
        <sz val="10"/>
        <rFont val="Arial"/>
        <family val="0"/>
        <charset val="1"/>
      </rPr>
      <t xml:space="preserve">'6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' </t>
    </r>
    <r>
      <rPr>
        <sz val="10"/>
        <rFont val="WenQuanYi Zen Hei"/>
        <family val="2"/>
      </rPr>
      <t xml:space="preserve">표기 정정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</si>
  <si>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Napoléon_</t>
    </r>
    <r>
      <rPr>
        <sz val="10"/>
        <rFont val="WenQuanYi Zen Hei"/>
        <family val="2"/>
      </rPr>
      <t xml:space="preserve">죽음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캐릭터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개요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</si>
  <si>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사건</t>
    </r>
    <r>
      <rPr>
        <sz val="10"/>
        <rFont val="Arial"/>
        <family val="0"/>
        <charset val="1"/>
      </rPr>
      <t xml:space="preserve">2</t>
    </r>
  </si>
  <si>
    <t xml:space="preserve">겨울 퇴거 집행</t>
  </si>
  <si>
    <r>
      <rPr>
        <sz val="10"/>
        <rFont val="WenQuanYi Zen Hei"/>
        <family val="2"/>
      </rPr>
      <t xml:space="preserve">프랑스는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일</t>
    </r>
    <r>
      <rPr>
        <sz val="10"/>
        <rFont val="Arial"/>
        <family val="0"/>
        <charset val="1"/>
      </rPr>
      <t xml:space="preserve">~3</t>
    </r>
    <r>
      <rPr>
        <sz val="10"/>
        <rFont val="WenQuanYi Zen Hei"/>
        <family val="2"/>
      </rPr>
      <t xml:space="preserve">월 </t>
    </r>
    <r>
      <rPr>
        <sz val="10"/>
        <rFont val="Arial"/>
        <family val="0"/>
        <charset val="1"/>
      </rPr>
      <t xml:space="preserve">31</t>
    </r>
    <r>
      <rPr>
        <sz val="10"/>
        <rFont val="WenQuanYi Zen Hei"/>
        <family val="2"/>
      </rPr>
      <t xml:space="preserve">일 겨울 퇴거 유예</t>
    </r>
    <r>
      <rPr>
        <sz val="10"/>
        <rFont val="Arial"/>
        <family val="0"/>
        <charset val="1"/>
      </rPr>
      <t xml:space="preserve">(trêve hivernale) → '</t>
    </r>
    <r>
      <rPr>
        <sz val="10"/>
        <rFont val="WenQuanYi Zen Hei"/>
        <family val="2"/>
      </rPr>
      <t xml:space="preserve">유예가 끝나는 밤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으로 조정</t>
    </r>
  </si>
  <si>
    <r>
      <rPr>
        <sz val="10"/>
        <rFont val="WenQuanYi Zen Hei"/>
        <family val="2"/>
      </rPr>
      <t xml:space="preserve">턴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설계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</si>
  <si>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·14</t>
    </r>
    <r>
      <rPr>
        <sz val="10"/>
        <rFont val="WenQuanYi Zen Hei"/>
        <family val="2"/>
      </rPr>
      <t xml:space="preserve">인 표 </t>
    </r>
    <r>
      <rPr>
        <sz val="10"/>
        <rFont val="Arial"/>
        <family val="0"/>
        <charset val="1"/>
      </rPr>
      <t xml:space="preserve">(13</t>
    </r>
    <r>
      <rPr>
        <sz val="10"/>
        <rFont val="WenQuanYi Zen Hei"/>
        <family val="2"/>
      </rPr>
      <t xml:space="preserve">부 미반영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</si>
  <si>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·15</t>
    </r>
    <r>
      <rPr>
        <sz val="10"/>
        <rFont val="WenQuanYi Zen Hei"/>
        <family val="2"/>
      </rPr>
      <t xml:space="preserve">인</t>
    </r>
    <r>
      <rPr>
        <sz val="10"/>
        <rFont val="Arial"/>
        <family val="0"/>
        <charset val="1"/>
      </rPr>
      <t xml:space="preserve">+</t>
    </r>
    <r>
      <rPr>
        <sz val="10"/>
        <rFont val="WenQuanYi Zen Hei"/>
        <family val="2"/>
      </rPr>
      <t xml:space="preserve">엑스트라로 재구성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아크 시트의 대화량 수식 참조 행 갱신</t>
    </r>
  </si>
  <si>
    <r>
      <rPr>
        <sz val="10"/>
        <rFont val="WenQuanYi Zen Hei"/>
        <family val="2"/>
      </rPr>
      <t xml:space="preserve">턴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설계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아크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구성계획</t>
    </r>
  </si>
  <si>
    <t xml:space="preserve">시트명</t>
  </si>
  <si>
    <r>
      <rPr>
        <sz val="10"/>
        <rFont val="Arial"/>
        <family val="0"/>
        <charset val="1"/>
      </rPr>
      <t xml:space="preserve">Carmen_</t>
    </r>
    <r>
      <rPr>
        <sz val="10"/>
        <rFont val="WenQuanYi Zen Hei"/>
        <family val="2"/>
      </rPr>
      <t xml:space="preserve">폭발과욕</t>
    </r>
    <r>
      <rPr>
        <sz val="10"/>
        <rFont val="Arial"/>
        <family val="0"/>
        <charset val="1"/>
      </rPr>
      <t xml:space="preserve">, Anselmo_</t>
    </r>
    <r>
      <rPr>
        <sz val="10"/>
        <rFont val="WenQuanYi Zen Hei"/>
        <family val="2"/>
      </rPr>
      <t xml:space="preserve">죽음</t>
    </r>
    <r>
      <rPr>
        <sz val="10"/>
        <rFont val="Arial"/>
        <family val="0"/>
        <charset val="1"/>
      </rPr>
      <t xml:space="preserve">, Raimundo_</t>
    </r>
    <r>
      <rPr>
        <sz val="10"/>
        <rFont val="WenQuanYi Zen Hei"/>
        <family val="2"/>
      </rPr>
      <t xml:space="preserve">출처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구성</t>
    </r>
  </si>
  <si>
    <r>
      <rPr>
        <sz val="10"/>
        <rFont val="Arial"/>
        <family val="0"/>
        <charset val="1"/>
      </rPr>
      <t xml:space="preserve">Manon_</t>
    </r>
    <r>
      <rPr>
        <sz val="10"/>
        <rFont val="WenQuanYi Zen Hei"/>
        <family val="2"/>
      </rPr>
      <t xml:space="preserve">폭발과욕</t>
    </r>
    <r>
      <rPr>
        <sz val="10"/>
        <rFont val="Arial"/>
        <family val="0"/>
        <charset val="1"/>
      </rPr>
      <t xml:space="preserve">, Napoléon_</t>
    </r>
    <r>
      <rPr>
        <sz val="10"/>
        <rFont val="WenQuanYi Zen Hei"/>
        <family val="2"/>
      </rPr>
      <t xml:space="preserve">죽음</t>
    </r>
    <r>
      <rPr>
        <sz val="10"/>
        <rFont val="Arial"/>
        <family val="0"/>
        <charset val="1"/>
      </rPr>
      <t xml:space="preserve">, Curie_</t>
    </r>
    <r>
      <rPr>
        <sz val="10"/>
        <rFont val="WenQuanYi Zen Hei"/>
        <family val="2"/>
      </rPr>
      <t xml:space="preserve">출처</t>
    </r>
    <r>
      <rPr>
        <sz val="10"/>
        <rFont val="Arial"/>
        <family val="0"/>
        <charset val="1"/>
      </rPr>
      <t xml:space="preserve">, 13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구성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개요 링크 갱신</t>
    </r>
    <r>
      <rPr>
        <sz val="10"/>
        <rFont val="Arial"/>
        <family val="0"/>
        <charset val="1"/>
      </rPr>
      <t xml:space="preserve">)</t>
    </r>
  </si>
  <si>
    <t xml:space="preserve">개요</t>
  </si>
  <si>
    <r>
      <rPr>
        <sz val="10"/>
        <rFont val="WenQuanYi Zen Hei"/>
        <family val="2"/>
      </rPr>
      <t xml:space="preserve">스페인 부채 약 </t>
    </r>
    <r>
      <rPr>
        <sz val="10"/>
        <rFont val="Arial"/>
        <family val="0"/>
        <charset val="1"/>
      </rPr>
      <t xml:space="preserve">100%, </t>
    </r>
    <r>
      <rPr>
        <sz val="10"/>
        <rFont val="WenQuanYi Zen Hei"/>
        <family val="2"/>
      </rPr>
      <t xml:space="preserve">청년 실업 </t>
    </r>
    <r>
      <rPr>
        <sz val="10"/>
        <rFont val="Arial"/>
        <family val="0"/>
        <charset val="1"/>
      </rPr>
      <t xml:space="preserve">23.8%</t>
    </r>
  </si>
  <si>
    <r>
      <rPr>
        <sz val="10"/>
        <rFont val="WenQuanYi Zen Hei"/>
        <family val="2"/>
      </rPr>
      <t xml:space="preserve">프랑스 부채 </t>
    </r>
    <r>
      <rPr>
        <sz val="10"/>
        <rFont val="Arial"/>
        <family val="0"/>
        <charset val="1"/>
      </rPr>
      <t xml:space="preserve">117.5%(2026</t>
    </r>
    <r>
      <rPr>
        <sz val="10"/>
        <rFont val="WenQuanYi Zen Hei"/>
        <family val="2"/>
      </rPr>
      <t xml:space="preserve">년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분기 말</t>
    </r>
    <r>
      <rPr>
        <sz val="10"/>
        <rFont val="Arial"/>
        <family val="0"/>
        <charset val="1"/>
      </rPr>
      <t xml:space="preserve">), 15~24</t>
    </r>
    <r>
      <rPr>
        <sz val="10"/>
        <rFont val="WenQuanYi Zen Hei"/>
        <family val="2"/>
      </rPr>
      <t xml:space="preserve">세 실업률 </t>
    </r>
    <r>
      <rPr>
        <sz val="10"/>
        <rFont val="Arial"/>
        <family val="0"/>
        <charset val="1"/>
      </rPr>
      <t xml:space="preserve">21.6%·</t>
    </r>
    <r>
      <rPr>
        <sz val="10"/>
        <rFont val="WenQuanYi Zen Hei"/>
        <family val="2"/>
      </rPr>
      <t xml:space="preserve">전체 </t>
    </r>
    <r>
      <rPr>
        <sz val="10"/>
        <rFont val="Arial"/>
        <family val="0"/>
        <charset val="1"/>
      </rPr>
      <t xml:space="preserve">8.3%(2026 2</t>
    </r>
    <r>
      <rPr>
        <sz val="10"/>
        <rFont val="WenQuanYi Zen Hei"/>
        <family val="2"/>
      </rPr>
      <t xml:space="preserve">분기</t>
    </r>
    <r>
      <rPr>
        <sz val="10"/>
        <rFont val="Arial"/>
        <family val="0"/>
        <charset val="1"/>
      </rPr>
      <t xml:space="preserve">) — INSEE, 2026-09-25 </t>
    </r>
    <r>
      <rPr>
        <sz val="10"/>
        <rFont val="WenQuanYi Zen Hei"/>
        <family val="2"/>
      </rPr>
      <t xml:space="preserve">검색 확인</t>
    </r>
  </si>
  <si>
    <r>
      <rPr>
        <sz val="10"/>
        <rFont val="WenQuanYi Zen Hei"/>
        <family val="2"/>
      </rPr>
      <t xml:space="preserve">현안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배치</t>
    </r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</si>
  <si>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WenQuanYi Zen Hei"/>
        <family val="2"/>
      </rPr>
      <t xml:space="preserve">미결 사항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확정 필요</t>
    </r>
    <r>
      <rPr>
        <b val="true"/>
        <sz val="10"/>
        <rFont val="Arial"/>
        <family val="0"/>
        <charset val="1"/>
      </rPr>
      <t xml:space="preserve">)</t>
    </r>
  </si>
  <si>
    <t xml:space="preserve">제안</t>
  </si>
  <si>
    <t xml:space="preserve">관련 시트</t>
  </si>
  <si>
    <t xml:space="preserve">가상 인명 점검</t>
  </si>
  <si>
    <r>
      <rPr>
        <sz val="10"/>
        <rFont val="Arial"/>
        <family val="0"/>
        <charset val="1"/>
      </rPr>
      <t xml:space="preserve">Delorme·Verdier·Bertin·Garnier·Madeleine·Chloé·Sandrine </t>
    </r>
    <r>
      <rPr>
        <sz val="10"/>
        <rFont val="WenQuanYi Zen Hei"/>
        <family val="2"/>
      </rPr>
      <t xml:space="preserve">등 가상 인물의 이름이 관련 분야의 실존 인물과 겹치지 않는지</t>
    </r>
    <r>
      <rPr>
        <sz val="10"/>
        <rFont val="Arial"/>
        <family val="0"/>
        <charset val="1"/>
      </rPr>
      <t xml:space="preserve">.</t>
    </r>
  </si>
  <si>
    <t xml:space="preserve">집필 전 동명 실존 인물 검색</t>
  </si>
  <si>
    <r>
      <rPr>
        <sz val="10"/>
        <rFont val="WenQuanYi Zen Hei"/>
        <family val="2"/>
      </rPr>
      <t xml:space="preserve">아크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구성계획</t>
    </r>
  </si>
  <si>
    <r>
      <rPr>
        <sz val="10"/>
        <rFont val="Arial"/>
        <family val="0"/>
        <charset val="1"/>
      </rPr>
      <t xml:space="preserve">Curie </t>
    </r>
    <r>
      <rPr>
        <sz val="10"/>
        <rFont val="WenQuanYi Zen Hei"/>
        <family val="2"/>
      </rPr>
      <t xml:space="preserve">카드의 범위</t>
    </r>
  </si>
  <si>
    <r>
      <rPr>
        <sz val="10"/>
        <rFont val="WenQuanYi Zen Hei"/>
        <family val="2"/>
      </rPr>
      <t xml:space="preserve">카드를 전 화</t>
    </r>
    <r>
      <rPr>
        <sz val="10"/>
        <rFont val="Arial"/>
        <family val="0"/>
        <charset val="1"/>
      </rPr>
      <t xml:space="preserve">(156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에 넣을지</t>
    </r>
    <r>
      <rPr>
        <sz val="10"/>
        <rFont val="Arial"/>
        <family val="0"/>
        <charset val="1"/>
      </rPr>
      <t xml:space="preserve">, Curie </t>
    </r>
    <r>
      <rPr>
        <sz val="10"/>
        <rFont val="WenQuanYi Zen Hei"/>
        <family val="2"/>
      </rPr>
      <t xml:space="preserve">등장 화에만 넣을지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</si>
  <si>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등장 화에만 넣고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미등장 화는 </t>
    </r>
    <r>
      <rPr>
        <sz val="10"/>
        <rFont val="Arial"/>
        <family val="0"/>
        <charset val="1"/>
      </rPr>
      <t xml:space="preserve">Manon</t>
    </r>
    <r>
      <rPr>
        <sz val="10"/>
        <rFont val="WenQuanYi Zen Hei"/>
        <family val="2"/>
      </rPr>
      <t xml:space="preserve">이 사전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아카데미 사전</t>
    </r>
    <r>
      <rPr>
        <sz val="10"/>
        <rFont val="Arial"/>
        <family val="0"/>
        <charset val="1"/>
      </rPr>
      <t xml:space="preserve">·CNRTL)</t>
    </r>
    <r>
      <rPr>
        <sz val="10"/>
        <rFont val="WenQuanYi Zen Hei"/>
        <family val="2"/>
      </rPr>
      <t xml:space="preserve">을 찾는 짧은 대사로 대체</t>
    </r>
  </si>
  <si>
    <r>
      <rPr>
        <sz val="10"/>
        <rFont val="Arial"/>
        <family val="0"/>
        <charset val="1"/>
      </rPr>
      <t xml:space="preserve">Manon → </t>
    </r>
    <r>
      <rPr>
        <sz val="10"/>
        <rFont val="WenQuanYi Zen Hei"/>
        <family val="2"/>
      </rPr>
      <t xml:space="preserve">주력 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인 호칭 전환</t>
    </r>
  </si>
  <si>
    <r>
      <rPr>
        <sz val="10"/>
        <rFont val="Arial"/>
        <family val="0"/>
        <charset val="1"/>
      </rPr>
      <t xml:space="preserve">Napoléon</t>
    </r>
    <r>
      <rPr>
        <sz val="10"/>
        <rFont val="WenQuanYi Zen Hei"/>
        <family val="2"/>
      </rPr>
      <t xml:space="preserve">에게만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화에서 </t>
    </r>
    <r>
      <rPr>
        <sz val="10"/>
        <rFont val="Arial"/>
        <family val="0"/>
        <charset val="1"/>
      </rPr>
      <t xml:space="preserve">tu</t>
    </r>
    <r>
      <rPr>
        <sz val="10"/>
        <rFont val="WenQuanYi Zen Hei"/>
        <family val="2"/>
      </rPr>
      <t xml:space="preserve">로 전환한다는 것 외에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다른 인물에게 언제 </t>
    </r>
    <r>
      <rPr>
        <sz val="10"/>
        <rFont val="Arial"/>
        <family val="0"/>
        <charset val="1"/>
      </rPr>
      <t xml:space="preserve">tu</t>
    </r>
    <r>
      <rPr>
        <sz val="10"/>
        <rFont val="WenQuanYi Zen Hei"/>
        <family val="2"/>
      </rPr>
      <t xml:space="preserve">로 넘어가는지 미정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</si>
  <si>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부 만남 이후 자연스럽게 </t>
    </r>
    <r>
      <rPr>
        <sz val="10"/>
        <rFont val="Arial"/>
        <family val="0"/>
        <charset val="1"/>
      </rPr>
      <t xml:space="preserve">tu (Napoléon·Philippe·Curie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vous </t>
    </r>
    <r>
      <rPr>
        <sz val="10"/>
        <rFont val="WenQuanYi Zen Hei"/>
        <family val="2"/>
      </rPr>
      <t xml:space="preserve">유지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</si>
  <si>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경과 연수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부활자 나이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</si>
  <si>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부→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6</t>
    </r>
    <r>
      <rPr>
        <sz val="10"/>
        <rFont val="WenQuanYi Zen Hei"/>
        <family val="2"/>
      </rPr>
      <t xml:space="preserve">년 가정</t>
    </r>
    <r>
      <rPr>
        <sz val="10"/>
        <rFont val="Arial"/>
        <family val="0"/>
        <charset val="1"/>
      </rPr>
      <t xml:space="preserve">(Napoléon </t>
    </r>
    <r>
      <rPr>
        <sz val="10"/>
        <rFont val="WenQuanYi Zen Hei"/>
        <family val="2"/>
      </rPr>
      <t xml:space="preserve">외형 </t>
    </r>
    <r>
      <rPr>
        <sz val="10"/>
        <rFont val="Arial"/>
        <family val="0"/>
        <charset val="1"/>
      </rPr>
      <t xml:space="preserve">51→57</t>
    </r>
    <r>
      <rPr>
        <sz val="10"/>
        <rFont val="WenQuanYi Zen Hei"/>
        <family val="2"/>
      </rPr>
      <t xml:space="preserve">세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부활자의 나이를 외형 나이로 쓸지 생몰년으로 쓸지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</si>
  <si>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확정 시 개요</t>
    </r>
    <r>
      <rPr>
        <sz val="10"/>
        <rFont val="Arial"/>
        <family val="0"/>
        <charset val="1"/>
      </rPr>
      <t xml:space="preserve">!C11</t>
    </r>
    <r>
      <rPr>
        <sz val="10"/>
        <rFont val="WenQuanYi Zen Hei"/>
        <family val="2"/>
      </rPr>
      <t xml:space="preserve">만 수정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캐릭터 시트는 외형 나이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생몰년 병기 유지</t>
    </r>
  </si>
  <si>
    <t xml:space="preserve">총리 배역</t>
  </si>
  <si>
    <r>
      <rPr>
        <sz val="10"/>
        <rFont val="Arial"/>
        <family val="0"/>
        <charset val="1"/>
      </rPr>
      <t xml:space="preserve">Olympe</t>
    </r>
    <r>
      <rPr>
        <sz val="10"/>
        <rFont val="WenQuanYi Zen Hei"/>
        <family val="2"/>
      </rPr>
      <t xml:space="preserve">를 총리로 설정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신규</t>
    </r>
    <r>
      <rPr>
        <sz val="10"/>
        <rFont val="Arial"/>
        <family val="0"/>
        <charset val="1"/>
      </rPr>
      <t xml:space="preserve">). </t>
    </r>
    <r>
      <rPr>
        <sz val="10"/>
        <rFont val="WenQuanYi Zen Hei"/>
        <family val="2"/>
      </rPr>
      <t xml:space="preserve">대안</t>
    </r>
    <r>
      <rPr>
        <sz val="10"/>
        <rFont val="Arial"/>
        <family val="0"/>
        <charset val="1"/>
      </rPr>
      <t xml:space="preserve">: </t>
    </r>
    <r>
      <rPr>
        <sz val="10"/>
        <rFont val="WenQuanYi Zen Hei"/>
        <family val="2"/>
      </rPr>
      <t xml:space="preserve">가상 외부 인사 총리 </t>
    </r>
    <r>
      <rPr>
        <sz val="10"/>
        <rFont val="Arial"/>
        <family val="0"/>
        <charset val="1"/>
      </rPr>
      <t xml:space="preserve">+ Olympe</t>
    </r>
    <r>
      <rPr>
        <sz val="10"/>
        <rFont val="WenQuanYi Zen Hei"/>
        <family val="2"/>
      </rPr>
      <t xml:space="preserve">는 여성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인권 장관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</si>
  <si>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Olympe </t>
    </r>
    <r>
      <rPr>
        <sz val="10"/>
        <rFont val="WenQuanYi Zen Hei"/>
        <family val="2"/>
      </rPr>
      <t xml:space="preserve">총리안 권장 — </t>
    </r>
    <r>
      <rPr>
        <sz val="10"/>
        <rFont val="Arial"/>
        <family val="0"/>
        <charset val="1"/>
      </rPr>
      <t xml:space="preserve">15</t>
    </r>
    <r>
      <rPr>
        <sz val="10"/>
        <rFont val="WenQuanYi Zen Hei"/>
        <family val="2"/>
      </rPr>
      <t xml:space="preserve">번째 배역에 서사 몫이 생기고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불신임안 화의 중심 인물이 된다</t>
    </r>
  </si>
  <si>
    <r>
      <rPr>
        <sz val="10"/>
        <rFont val="WenQuanYi Zen Hei"/>
        <family val="2"/>
      </rPr>
      <t xml:space="preserve">캐릭터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정치경로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의석</t>
    </r>
  </si>
  <si>
    <r>
      <rPr>
        <sz val="10"/>
        <rFont val="WenQuanYi Zen Hei"/>
        <family val="2"/>
      </rPr>
      <t xml:space="preserve">법령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조항 확인</t>
    </r>
  </si>
  <si>
    <r>
      <rPr>
        <sz val="10"/>
        <rFont val="WenQuanYi Zen Hei"/>
        <family val="2"/>
      </rPr>
      <t xml:space="preserve">출처표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제도표의 법령 번호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조항은 기획 시점 지식 기준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</si>
  <si>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교재 반영 전 </t>
    </r>
    <r>
      <rPr>
        <sz val="10"/>
        <rFont val="Arial"/>
        <family val="0"/>
        <charset val="1"/>
      </rPr>
      <t xml:space="preserve">Légifrance </t>
    </r>
    <r>
      <rPr>
        <sz val="10"/>
        <rFont val="WenQuanYi Zen Hei"/>
        <family val="2"/>
      </rPr>
      <t xml:space="preserve">현행본</t>
    </r>
    <r>
      <rPr>
        <sz val="10"/>
        <rFont val="Arial"/>
        <family val="0"/>
        <charset val="1"/>
      </rPr>
      <t xml:space="preserve">(version en vigueur)</t>
    </r>
    <r>
      <rPr>
        <sz val="10"/>
        <rFont val="WenQuanYi Zen Hei"/>
        <family val="2"/>
      </rPr>
      <t xml:space="preserve">으로 확인</t>
    </r>
  </si>
  <si>
    <r>
      <rPr>
        <sz val="10"/>
        <rFont val="Arial"/>
        <family val="0"/>
        <charset val="1"/>
      </rPr>
      <t xml:space="preserve">Curie_</t>
    </r>
    <r>
      <rPr>
        <sz val="10"/>
        <rFont val="WenQuanYi Zen Hei"/>
        <family val="2"/>
      </rPr>
      <t xml:space="preserve">출처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정치제도</t>
    </r>
  </si>
  <si>
    <t xml:space="preserve">대화량 실측 교정</t>
  </si>
  <si>
    <r>
      <rPr>
        <sz val="10"/>
        <rFont val="WenQuanYi Zen Hei"/>
        <family val="2"/>
      </rPr>
      <t xml:space="preserve">화당 </t>
    </r>
    <r>
      <rPr>
        <sz val="10"/>
        <rFont val="Arial"/>
        <family val="0"/>
        <charset val="1"/>
      </rPr>
      <t xml:space="preserve">120</t>
    </r>
    <r>
      <rPr>
        <sz val="10"/>
        <rFont val="WenQuanYi Zen Hei"/>
        <family val="2"/>
      </rPr>
      <t xml:space="preserve">턴은 확정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화자 점유율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평균 단어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낭독 속도</t>
    </r>
    <r>
      <rPr>
        <sz val="10"/>
        <rFont val="Arial"/>
        <family val="0"/>
        <charset val="1"/>
      </rPr>
      <t xml:space="preserve">(130</t>
    </r>
    <r>
      <rPr>
        <sz val="10"/>
        <rFont val="WenQuanYi Zen Hei"/>
        <family val="2"/>
      </rPr>
      <t xml:space="preserve">단어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분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는 가정값이다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</si>
  <si>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1~3</t>
    </r>
    <r>
      <rPr>
        <sz val="10"/>
        <rFont val="WenQuanYi Zen Hei"/>
        <family val="2"/>
      </rPr>
      <t xml:space="preserve">화 대본을 쓴 뒤 실제 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단어를 재서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턴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설계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의 파란 값을 교정</t>
    </r>
  </si>
  <si>
    <r>
      <rPr>
        <sz val="10"/>
        <rFont val="Arial"/>
        <family val="0"/>
        <charset val="1"/>
      </rPr>
      <t xml:space="preserve">Sartre </t>
    </r>
    <r>
      <rPr>
        <sz val="10"/>
        <rFont val="WenQuanYi Zen Hei"/>
        <family val="2"/>
      </rPr>
      <t xml:space="preserve">비중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저작권</t>
    </r>
  </si>
  <si>
    <r>
      <rPr>
        <sz val="10"/>
        <rFont val="Arial"/>
        <family val="0"/>
        <charset val="1"/>
      </rPr>
      <t xml:space="preserve">Sartre</t>
    </r>
    <r>
      <rPr>
        <sz val="10"/>
        <rFont val="WenQuanYi Zen Hei"/>
        <family val="2"/>
      </rPr>
      <t xml:space="preserve">가 가장 얇고</t>
    </r>
    <r>
      <rPr>
        <sz val="10"/>
        <rFont val="Arial"/>
        <family val="0"/>
        <charset val="1"/>
      </rPr>
      <t xml:space="preserve">, 1980</t>
    </r>
    <r>
      <rPr>
        <sz val="10"/>
        <rFont val="WenQuanYi Zen Hei"/>
        <family val="2"/>
      </rPr>
      <t xml:space="preserve">년 사망이라 그의 글은 저작권 보호 중이다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</si>
  <si>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3·5</t>
    </r>
    <r>
      <rPr>
        <sz val="10"/>
        <rFont val="WenQuanYi Zen Hei"/>
        <family val="2"/>
      </rPr>
      <t xml:space="preserve">부 카페 장면 확대</t>
    </r>
    <r>
      <rPr>
        <sz val="10"/>
        <rFont val="Arial"/>
        <family val="0"/>
        <charset val="1"/>
      </rPr>
      <t xml:space="preserve">, 12</t>
    </r>
    <r>
      <rPr>
        <sz val="10"/>
        <rFont val="WenQuanYi Zen Hei"/>
        <family val="2"/>
      </rPr>
      <t xml:space="preserve">부 애도 장면 배정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인용은 짧은 인용 범위 또는 창작 대사</t>
    </r>
  </si>
  <si>
    <r>
      <rPr>
        <sz val="10"/>
        <rFont val="WenQuanYi Zen Hei"/>
        <family val="2"/>
      </rPr>
      <t xml:space="preserve">등장비중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대화문규칙</t>
    </r>
  </si>
  <si>
    <t xml:space="preserve">정부 형태</t>
  </si>
  <si>
    <r>
      <rPr>
        <sz val="10"/>
        <rFont val="Arial"/>
        <family val="0"/>
        <charset val="1"/>
      </rPr>
      <t xml:space="preserve">Maison Commune </t>
    </r>
    <r>
      <rPr>
        <sz val="10"/>
        <rFont val="WenQuanYi Zen Hei"/>
        <family val="2"/>
      </rPr>
      <t xml:space="preserve">단독 상대다수 정부 </t>
    </r>
    <r>
      <rPr>
        <sz val="10"/>
        <rFont val="Arial"/>
        <family val="0"/>
        <charset val="1"/>
      </rPr>
      <t xml:space="preserve">+ PPS·AE </t>
    </r>
    <r>
      <rPr>
        <sz val="10"/>
        <rFont val="WenQuanYi Zen Hei"/>
        <family val="2"/>
      </rPr>
      <t xml:space="preserve">법안별 지지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현재 설정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</si>
  <si>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PPS </t>
    </r>
    <r>
      <rPr>
        <sz val="10"/>
        <rFont val="WenQuanYi Zen Hei"/>
        <family val="2"/>
      </rPr>
      <t xml:space="preserve">장관을 포함한 연립으로 갈지 결정</t>
    </r>
  </si>
  <si>
    <r>
      <rPr>
        <sz val="10"/>
        <rFont val="WenQuanYi Zen Hei"/>
        <family val="2"/>
      </rPr>
      <t xml:space="preserve">정치경로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의석</t>
    </r>
  </si>
  <si>
    <t xml:space="preserve">겸직 규정 확인</t>
  </si>
  <si>
    <r>
      <rPr>
        <sz val="10"/>
        <rFont val="Arial"/>
        <family val="0"/>
        <charset val="1"/>
      </rPr>
      <t xml:space="preserve">Julien·Camille</t>
    </r>
    <r>
      <rPr>
        <sz val="10"/>
        <rFont val="WenQuanYi Zen Hei"/>
        <family val="2"/>
      </rPr>
      <t xml:space="preserve">가 장관이 된 뒤 파리 시의원직을 유지할지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법적 겸직 금지 대상은 아니나 관행상 사임하는 경우가 많음</t>
    </r>
    <r>
      <rPr>
        <sz val="10"/>
        <rFont val="Arial"/>
        <family val="0"/>
        <charset val="1"/>
      </rPr>
      <t xml:space="preserve">).</t>
    </r>
  </si>
  <si>
    <r>
      <rPr>
        <sz val="10"/>
        <rFont val="WenQuanYi Zen Hei"/>
        <family val="2"/>
      </rPr>
      <t xml:space="preserve">헌법 제</t>
    </r>
    <r>
      <rPr>
        <sz val="10"/>
        <rFont val="Arial"/>
        <family val="0"/>
        <charset val="1"/>
      </rPr>
      <t xml:space="preserve">23</t>
    </r>
    <r>
      <rPr>
        <sz val="10"/>
        <rFont val="WenQuanYi Zen Hei"/>
        <family val="2"/>
      </rPr>
      <t xml:space="preserve">조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선거법전 확인 후 확정</t>
    </r>
  </si>
  <si>
    <r>
      <rPr>
        <sz val="10"/>
        <rFont val="WenQuanYi Zen Hei"/>
        <family val="2"/>
      </rPr>
      <t xml:space="preserve">득표율</t>
    </r>
    <r>
      <rPr>
        <sz val="10"/>
        <rFont val="Arial"/>
        <family val="0"/>
        <charset val="1"/>
      </rPr>
      <t xml:space="preserve">(22.3%·53%)·</t>
    </r>
    <r>
      <rPr>
        <sz val="10"/>
        <rFont val="WenQuanYi Zen Hei"/>
        <family val="2"/>
      </rPr>
      <t xml:space="preserve">의석 수</t>
    </r>
    <r>
      <rPr>
        <sz val="10"/>
        <rFont val="Arial"/>
        <family val="0"/>
        <charset val="1"/>
      </rPr>
      <t xml:space="preserve">(198·288 </t>
    </r>
    <r>
      <rPr>
        <sz val="10"/>
        <rFont val="WenQuanYi Zen Hei"/>
        <family val="2"/>
      </rPr>
      <t xml:space="preserve">등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표 차 설정은 교육용 가상 수치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</si>
  <si>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드라마 효과에 맞춰 조정 가능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정치경로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의석의 파란 셀</t>
    </r>
    <r>
      <rPr>
        <sz val="10"/>
        <rFont val="Arial"/>
        <family val="0"/>
        <charset val="1"/>
      </rPr>
      <t xml:space="preserve">)</t>
    </r>
  </si>
  <si>
    <t xml:space="preserve">공식 낭독자 방침</t>
  </si>
  <si>
    <r>
      <rPr>
        <sz val="10"/>
        <rFont val="WenQuanYi Zen Hei"/>
        <family val="2"/>
      </rPr>
      <t xml:space="preserve">대선 결과는 헌법재판소장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불신임안 결과는 하원의장이 낭독</t>
    </r>
    <r>
      <rPr>
        <sz val="10"/>
        <rFont val="Arial"/>
        <family val="0"/>
        <charset val="1"/>
      </rPr>
      <t xml:space="preserve">. </t>
    </r>
    <r>
      <rPr>
        <sz val="10"/>
        <rFont val="WenQuanYi Zen Hei"/>
        <family val="2"/>
      </rPr>
      <t xml:space="preserve">대통령 </t>
    </r>
    <r>
      <rPr>
        <sz val="10"/>
        <rFont val="Arial"/>
        <family val="0"/>
        <charset val="1"/>
      </rPr>
      <t xml:space="preserve">Nicolas</t>
    </r>
    <r>
      <rPr>
        <sz val="10"/>
        <rFont val="WenQuanYi Zen Hei"/>
        <family val="2"/>
      </rPr>
      <t xml:space="preserve">는 직접 대사를 가진다</t>
    </r>
    <r>
      <rPr>
        <sz val="10"/>
        <rFont val="Arial"/>
        <family val="0"/>
        <charset val="1"/>
      </rPr>
      <t xml:space="preserve">.</t>
    </r>
  </si>
  <si>
    <t xml:space="preserve">확정 필요</t>
  </si>
  <si>
    <t xml:space="preserve">법안 형태 세부</t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</si>
  <si>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주거법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정부 법안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의원 법안</t>
    </r>
    <r>
      <rPr>
        <sz val="10"/>
        <rFont val="Arial"/>
        <family val="0"/>
        <charset val="1"/>
      </rPr>
      <t xml:space="preserve">), </t>
    </r>
    <r>
      <rPr>
        <sz val="10"/>
        <rFont val="WenQuanYi Zen Hei"/>
        <family val="2"/>
      </rPr>
      <t xml:space="preserve">초고액 자산 최저세를 재정법에 넣을지 별도 법률로 할지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</si>
  <si>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Légifrance·</t>
    </r>
    <r>
      <rPr>
        <sz val="10"/>
        <rFont val="WenQuanYi Zen Hei"/>
        <family val="2"/>
      </rPr>
      <t xml:space="preserve">하원 자료로 확인 후 집필</t>
    </r>
  </si>
  <si>
    <t xml:space="preserve">등장비중 재조정</t>
  </si>
  <si>
    <r>
      <rPr>
        <sz val="10"/>
        <rFont val="Arial"/>
        <family val="0"/>
        <charset val="1"/>
      </rPr>
      <t xml:space="preserve">Olympe </t>
    </r>
    <r>
      <rPr>
        <sz val="10"/>
        <rFont val="WenQuanYi Zen Hei"/>
        <family val="2"/>
      </rPr>
      <t xml:space="preserve">신설과 인물 대응으로 비중을 재배정했고</t>
    </r>
    <r>
      <rPr>
        <sz val="10"/>
        <rFont val="Arial"/>
        <family val="0"/>
        <charset val="1"/>
      </rPr>
      <t xml:space="preserve">, 1~7</t>
    </r>
    <r>
      <rPr>
        <sz val="10"/>
        <rFont val="WenQuanYi Zen Hei"/>
        <family val="2"/>
      </rPr>
      <t xml:space="preserve">부 화별 목차와 미세한 차이가 있다</t>
    </r>
    <r>
      <rPr>
        <sz val="10"/>
        <rFont val="Arial"/>
        <family val="0"/>
        <charset val="1"/>
      </rPr>
      <t xml:space="preserve">.</t>
    </r>
  </si>
  <si>
    <t xml:space="preserve">화별 대본 집필 전에 표를 화별 목차 기준으로 재집계</t>
  </si>
  <si>
    <r>
      <rPr>
        <sz val="10"/>
        <rFont val="WenQuanYi Zen Hei"/>
        <family val="2"/>
      </rPr>
      <t xml:space="preserve">등장비중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화별목차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전체</t>
    </r>
  </si>
  <si>
    <t xml:space="preserve">가상 인물 목록</t>
  </si>
  <si>
    <r>
      <rPr>
        <sz val="10"/>
        <rFont val="Arial"/>
        <family val="0"/>
        <charset val="1"/>
      </rPr>
      <t xml:space="preserve">Verdier(GM </t>
    </r>
    <r>
      <rPr>
        <sz val="10"/>
        <rFont val="WenQuanYi Zen Hei"/>
        <family val="2"/>
      </rPr>
      <t xml:space="preserve">회장</t>
    </r>
    <r>
      <rPr>
        <sz val="10"/>
        <rFont val="Arial"/>
        <family val="0"/>
        <charset val="1"/>
      </rPr>
      <t xml:space="preserve">), Delorme·Bertin(</t>
    </r>
    <r>
      <rPr>
        <sz val="10"/>
        <rFont val="WenQuanYi Zen Hei"/>
        <family val="2"/>
      </rPr>
      <t xml:space="preserve">파트너</t>
    </r>
    <r>
      <rPr>
        <sz val="10"/>
        <rFont val="Arial"/>
        <family val="0"/>
        <charset val="1"/>
      </rPr>
      <t xml:space="preserve">), Madeleine·Chloé, Sandrine(</t>
    </r>
    <r>
      <rPr>
        <sz val="10"/>
        <rFont val="WenQuanYi Zen Hei"/>
        <family val="2"/>
      </rPr>
      <t xml:space="preserve">간호사</t>
    </r>
    <r>
      <rPr>
        <sz val="10"/>
        <rFont val="Arial"/>
        <family val="0"/>
        <charset val="1"/>
      </rPr>
      <t xml:space="preserve">), Garnier(</t>
    </r>
    <r>
      <rPr>
        <sz val="10"/>
        <rFont val="WenQuanYi Zen Hei"/>
        <family val="2"/>
      </rPr>
      <t xml:space="preserve">공방</t>
    </r>
    <r>
      <rPr>
        <sz val="10"/>
        <rFont val="Arial"/>
        <family val="0"/>
        <charset val="1"/>
      </rPr>
      <t xml:space="preserve">), Lucas(</t>
    </r>
    <r>
      <rPr>
        <sz val="10"/>
        <rFont val="WenQuanYi Zen Hei"/>
        <family val="2"/>
      </rPr>
      <t xml:space="preserve">새 인턴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등 가상 인물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</si>
  <si>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이름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나이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말투를 캐릭터 바이블 부록으로 확정</t>
    </r>
  </si>
  <si>
    <r>
      <rPr>
        <sz val="10"/>
        <rFont val="Arial"/>
        <family val="0"/>
        <charset val="1"/>
      </rPr>
      <t xml:space="preserve">Groupe Méridien</t>
    </r>
    <r>
      <rPr>
        <sz val="10"/>
        <rFont val="WenQuanYi Zen Hei"/>
        <family val="2"/>
      </rPr>
      <t xml:space="preserve">의 결말</t>
    </r>
  </si>
  <si>
    <r>
      <rPr>
        <sz val="10"/>
        <rFont val="Arial"/>
        <family val="0"/>
        <charset val="1"/>
      </rPr>
      <t xml:space="preserve">13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화에서 재판 시작만 언급하고 판결은 열어 두는 안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</si>
  <si>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판결 여부를 정할지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열린 결말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유죄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무죄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</si>
  <si>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복선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회수</t>
    </r>
  </si>
  <si>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화의 톤</t>
    </r>
  </si>
  <si>
    <r>
      <rPr>
        <sz val="10"/>
        <rFont val="WenQuanYi Zen Hei"/>
        <family val="2"/>
      </rPr>
      <t xml:space="preserve">불기소된 성폭력 사건은 피해자 중심으로</t>
    </r>
    <r>
      <rPr>
        <sz val="10"/>
        <rFont val="Arial"/>
        <family val="0"/>
        <charset val="1"/>
      </rPr>
      <t xml:space="preserve">, 2025</t>
    </r>
    <r>
      <rPr>
        <sz val="10"/>
        <rFont val="WenQuanYi Zen Hei"/>
        <family val="2"/>
      </rPr>
      <t xml:space="preserve">년 동의법에 대한 찬반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신중론을 함께 담아야 한다</t>
    </r>
    <r>
      <rPr>
        <sz val="10"/>
        <rFont val="Arial"/>
        <family val="0"/>
        <charset val="1"/>
      </rPr>
      <t xml:space="preserve">.</t>
    </r>
  </si>
  <si>
    <t xml:space="preserve">집필 전 톤 가이드 별도 확정</t>
  </si>
  <si>
    <t xml:space="preserve">스페인어 대본 재집필</t>
  </si>
  <si>
    <r>
      <rPr>
        <sz val="10"/>
        <rFont val="WenQuanYi Zen Hei"/>
        <family val="2"/>
      </rPr>
      <t xml:space="preserve">마드리드판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화와 저장소의 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8~12</t>
    </r>
    <r>
      <rPr>
        <sz val="10"/>
        <rFont val="WenQuanYi Zen Hei"/>
        <family val="2"/>
      </rPr>
      <t xml:space="preserve">화 대본</t>
    </r>
    <r>
      <rPr>
        <sz val="10"/>
        <rFont val="Arial"/>
        <family val="0"/>
        <charset val="1"/>
      </rPr>
      <t xml:space="preserve">(docx)</t>
    </r>
    <r>
      <rPr>
        <sz val="10"/>
        <rFont val="WenQuanYi Zen Hei"/>
        <family val="2"/>
      </rPr>
      <t xml:space="preserve">은 스페인어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마드리드 설정이다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</si>
  <si>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파리판 화별 목차 기준으로 프랑스어로 새로 집필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번역이 아니라 재집필</t>
    </r>
    <r>
      <rPr>
        <sz val="10"/>
        <rFont val="Arial"/>
        <family val="0"/>
        <charset val="1"/>
      </rPr>
      <t xml:space="preserve">)</t>
    </r>
  </si>
  <si>
    <t xml:space="preserve">가상 인물 추가분</t>
  </si>
  <si>
    <r>
      <rPr>
        <sz val="10"/>
        <rFont val="Arial"/>
        <family val="0"/>
        <charset val="1"/>
      </rPr>
      <t xml:space="preserve">Rachid(Fatima</t>
    </r>
    <r>
      <rPr>
        <sz val="10"/>
        <rFont val="WenQuanYi Zen Hei"/>
        <family val="2"/>
      </rPr>
      <t xml:space="preserve">의 남편</t>
    </r>
    <r>
      <rPr>
        <sz val="10"/>
        <rFont val="Arial"/>
        <family val="0"/>
        <charset val="1"/>
      </rPr>
      <t xml:space="preserve">), Théo(</t>
    </r>
    <r>
      <rPr>
        <sz val="10"/>
        <rFont val="WenQuanYi Zen Hei"/>
        <family val="2"/>
      </rPr>
      <t xml:space="preserve">청년 노동자</t>
    </r>
    <r>
      <rPr>
        <sz val="10"/>
        <rFont val="Arial"/>
        <family val="0"/>
        <charset val="1"/>
      </rPr>
      <t xml:space="preserve">), Amina </t>
    </r>
    <r>
      <rPr>
        <sz val="10"/>
        <rFont val="WenQuanYi Zen Hei"/>
        <family val="2"/>
      </rPr>
      <t xml:space="preserve">가족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의료 사건</t>
    </r>
    <r>
      <rPr>
        <sz val="10"/>
        <rFont val="Arial"/>
        <family val="0"/>
        <charset val="1"/>
      </rPr>
      <t xml:space="preserve">), Josette(</t>
    </r>
    <r>
      <rPr>
        <sz val="10"/>
        <rFont val="WenQuanYi Zen Hei"/>
        <family val="2"/>
      </rPr>
      <t xml:space="preserve">사기 피해자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는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부 가상 인물</t>
    </r>
    <r>
      <rPr>
        <sz val="10"/>
        <rFont val="Arial"/>
        <family val="0"/>
        <charset val="1"/>
      </rPr>
      <t xml:space="preserve">.</t>
    </r>
  </si>
  <si>
    <t xml:space="preserve">부록에서 위 항목과 함께 정리</t>
  </si>
  <si>
    <r>
      <rPr>
        <sz val="10"/>
        <rFont val="Arial"/>
        <family val="0"/>
        <charset val="1"/>
      </rPr>
      <t xml:space="preserve">11~12</t>
    </r>
    <r>
      <rPr>
        <sz val="10"/>
        <rFont val="WenQuanYi Zen Hei"/>
        <family val="2"/>
      </rPr>
      <t xml:space="preserve">부 대본</t>
    </r>
  </si>
  <si>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후반</t>
    </r>
    <r>
      <rPr>
        <sz val="10"/>
        <rFont val="Arial"/>
        <family val="0"/>
        <charset val="1"/>
      </rPr>
      <t xml:space="preserve">(9~12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)·12</t>
    </r>
    <r>
      <rPr>
        <sz val="10"/>
        <rFont val="WenQuanYi Zen Hei"/>
        <family val="2"/>
      </rPr>
      <t xml:space="preserve">부</t>
    </r>
    <r>
      <rPr>
        <sz val="10"/>
        <rFont val="Arial"/>
        <family val="0"/>
        <charset val="1"/>
      </rPr>
      <t xml:space="preserve">(1~12</t>
    </r>
    <r>
      <rPr>
        <sz val="10"/>
        <rFont val="WenQuanYi Zen Hei"/>
        <family val="2"/>
      </rPr>
      <t xml:space="preserve">화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모두 화별 목차만 있고 실제 대본은 미작성</t>
    </r>
    <r>
      <rPr>
        <sz val="10"/>
        <rFont val="Arial"/>
        <family val="0"/>
        <charset val="1"/>
      </rPr>
      <t xml:space="preserve">.</t>
    </r>
  </si>
  <si>
    <t xml:space="preserve">극적 중요도가 높아 우선 집필을 검토</t>
  </si>
  <si>
    <t xml:space="preserve">가상 외교 인사</t>
  </si>
  <si>
    <r>
      <rPr>
        <sz val="10"/>
        <rFont val="WenQuanYi Zen Hei"/>
        <family val="2"/>
      </rPr>
      <t xml:space="preserve">브뤼셀 협상의 </t>
    </r>
    <r>
      <rPr>
        <sz val="10"/>
        <rFont val="Arial"/>
        <family val="0"/>
        <charset val="1"/>
      </rPr>
      <t xml:space="preserve">NATO·EU </t>
    </r>
    <r>
      <rPr>
        <sz val="10"/>
        <rFont val="WenQuanYi Zen Hei"/>
        <family val="2"/>
      </rPr>
      <t xml:space="preserve">상대역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가상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의 이름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직급 미정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</si>
  <si>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실명 조직</t>
    </r>
    <r>
      <rPr>
        <sz val="10"/>
        <rFont val="Arial"/>
        <family val="0"/>
        <charset val="1"/>
      </rPr>
      <t xml:space="preserve">(NATO, </t>
    </r>
    <r>
      <rPr>
        <sz val="10"/>
        <rFont val="WenQuanYi Zen Hei"/>
        <family val="2"/>
      </rPr>
      <t xml:space="preserve">유럽집행위원회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은 실제 기구명을 쓰되</t>
    </r>
    <r>
      <rPr>
        <sz val="10"/>
        <rFont val="Arial"/>
        <family val="0"/>
        <charset val="1"/>
      </rPr>
      <t xml:space="preserve">, </t>
    </r>
    <r>
      <rPr>
        <sz val="10"/>
        <rFont val="WenQuanYi Zen Hei"/>
        <family val="2"/>
      </rPr>
      <t xml:space="preserve">개인 인사는 전부 가상</t>
    </r>
  </si>
  <si>
    <r>
      <rPr>
        <sz val="10"/>
        <rFont val="WenQuanYi Zen Hei"/>
        <family val="2"/>
      </rPr>
      <t xml:space="preserve">화별목차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전체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9~10</t>
    </r>
    <r>
      <rPr>
        <sz val="10"/>
        <rFont val="WenQuanYi Zen Hei"/>
        <family val="2"/>
      </rPr>
      <t xml:space="preserve">화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</si>
  <si>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화와 </t>
    </r>
    <r>
      <rPr>
        <sz val="10"/>
        <rFont val="Arial"/>
        <family val="0"/>
        <charset val="1"/>
      </rPr>
      <t xml:space="preserve">N5 </t>
    </r>
    <r>
      <rPr>
        <sz val="10"/>
        <rFont val="WenQuanYi Zen Hei"/>
        <family val="2"/>
      </rPr>
      <t xml:space="preserve">위치</t>
    </r>
  </si>
  <si>
    <r>
      <rPr>
        <sz val="10"/>
        <rFont val="Arial"/>
        <family val="0"/>
        <charset val="1"/>
      </rPr>
      <t xml:space="preserve">N5(</t>
    </r>
    <r>
      <rPr>
        <sz val="10"/>
        <rFont val="WenQuanYi Zen Hei"/>
        <family val="2"/>
      </rPr>
      <t xml:space="preserve">녹색 갈등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의 회수 위치가 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 예산 논쟁과 맞는지 재확인 필요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</si>
  <si>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11</t>
    </r>
    <r>
      <rPr>
        <sz val="10"/>
        <rFont val="WenQuanYi Zen Hei"/>
        <family val="2"/>
      </rPr>
      <t xml:space="preserve">화 대본 집필 시 재생에너지 재원 논쟁과 예산 편성을 함께 다룰지 결정</t>
    </r>
  </si>
  <si>
    <t xml:space="preserve">부활자의 법적 신분</t>
  </si>
  <si>
    <r>
      <rPr>
        <sz val="10"/>
        <rFont val="WenQuanYi Zen Hei"/>
        <family val="2"/>
      </rPr>
      <t xml:space="preserve">부활자의 신분증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국적</t>
    </r>
    <r>
      <rPr>
        <sz val="10"/>
        <rFont val="Arial"/>
        <family val="0"/>
        <charset val="1"/>
      </rPr>
      <t xml:space="preserve">·</t>
    </r>
    <r>
      <rPr>
        <sz val="10"/>
        <rFont val="WenQuanYi Zen Hei"/>
        <family val="2"/>
      </rPr>
      <t xml:space="preserve">임명 자격</t>
    </r>
    <r>
      <rPr>
        <sz val="10"/>
        <rFont val="Arial"/>
        <family val="0"/>
        <charset val="1"/>
      </rPr>
      <t xml:space="preserve">(Napoléon </t>
    </r>
    <r>
      <rPr>
        <sz val="10"/>
        <rFont val="WenQuanYi Zen Hei"/>
        <family val="2"/>
      </rPr>
      <t xml:space="preserve">특사</t>
    </r>
    <r>
      <rPr>
        <sz val="10"/>
        <rFont val="Arial"/>
        <family val="0"/>
        <charset val="1"/>
      </rPr>
      <t xml:space="preserve">, Olympe </t>
    </r>
    <r>
      <rPr>
        <sz val="10"/>
        <rFont val="WenQuanYi Zen Hei"/>
        <family val="2"/>
      </rPr>
      <t xml:space="preserve">총리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을 이야기에서 어떻게 처리할지</t>
    </r>
    <r>
      <rPr>
        <sz val="10"/>
        <rFont val="Arial"/>
        <family val="0"/>
        <charset val="1"/>
      </rPr>
      <t xml:space="preserve">.</t>
    </r>
  </si>
  <si>
    <r>
      <rPr>
        <sz val="10"/>
        <rFont val="WenQuanYi Zen Hei"/>
        <family val="2"/>
      </rPr>
      <t xml:space="preserve">첫 등장 부에서 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행정 서류는 이유 없이 갖춰져 있다</t>
    </r>
    <r>
      <rPr>
        <sz val="10"/>
        <rFont val="Arial"/>
        <family val="0"/>
        <charset val="1"/>
      </rPr>
      <t xml:space="preserve">'</t>
    </r>
    <r>
      <rPr>
        <sz val="10"/>
        <rFont val="WenQuanYi Zen Hei"/>
        <family val="2"/>
      </rPr>
      <t xml:space="preserve">는 규칙을 대사로 한 번만 언급하고 더 설명하지 않는다</t>
    </r>
  </si>
  <si>
    <t xml:space="preserve">앵발리드 무덤</t>
  </si>
  <si>
    <r>
      <rPr>
        <sz val="10"/>
        <rFont val="Arial"/>
        <family val="0"/>
        <charset val="1"/>
      </rPr>
      <t xml:space="preserve">Napoléon</t>
    </r>
    <r>
      <rPr>
        <sz val="10"/>
        <rFont val="WenQuanYi Zen Hei"/>
        <family val="2"/>
      </rPr>
      <t xml:space="preserve">의 실제 무덤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앵발리드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과 두 번째 장례의 관계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</si>
  <si>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부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화에서 농담으로만 언급하고 매장지는 열어 둔다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</si>
</sst>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%"/>
    <numFmt numFmtId="168" formatCode="#,##0"/>
    <numFmt numFmtId="169" formatCode="0.0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4"/>
      <color rgb="FF1F3864"/>
      <name val="WenQuanYi Zen Hei"/>
      <family val="2"/>
    </font>
    <font>
      <i val="true"/>
      <sz val="9"/>
      <color rgb="FF595959"/>
      <name val="Arial"/>
      <family val="0"/>
      <charset val="1"/>
    </font>
    <font>
      <i val="true"/>
      <sz val="9"/>
      <color rgb="FF595959"/>
      <name val="WenQuanYi Zen Hei"/>
      <family val="2"/>
    </font>
    <font>
      <b val="true"/>
      <sz val="10"/>
      <name val="WenQuanYi Zen Hei"/>
      <family val="2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name val="WenQuanYi Zen Hei"/>
      <family val="2"/>
    </font>
    <font>
      <sz val="10"/>
      <name val="Noto Sans CJK SC"/>
      <family val="2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  <charset val="1"/>
    </font>
    <font>
      <u val="single"/>
      <sz val="10"/>
      <color rgb="FF0563C1"/>
      <name val="WenQuanYi Zen Hei"/>
      <family val="2"/>
    </font>
    <font>
      <u val="single"/>
      <sz val="10"/>
      <color rgb="FF0563C1"/>
      <name val="Arial"/>
      <family val="0"/>
      <charset val="1"/>
    </font>
    <font>
      <sz val="10"/>
      <color rgb="FF0000FF"/>
      <name val="WenQuanYi Zen Hei"/>
      <family val="2"/>
    </font>
    <font>
      <i val="true"/>
      <sz val="9"/>
      <color rgb="FF595959"/>
      <name val="Noto Sans CJK SC"/>
      <family val="2"/>
      <charset val="1"/>
    </font>
    <font>
      <b val="true"/>
      <sz val="14"/>
      <color rgb="FF1F3864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Noto Sans CJK SC"/>
      <family val="2"/>
      <charset val="1"/>
    </font>
    <font>
      <sz val="11"/>
      <color theme="1"/>
      <name val="WenQuanYi Zen Hei"/>
      <family val="2"/>
    </font>
    <font>
      <sz val="11"/>
      <color theme="1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9DC3E6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7030A0"/>
      <rgbColor rgb="FFF2F2F2"/>
      <rgbColor rgb="FFDDEBF7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D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24"/>
    <col collapsed="false" customWidth="true" hidden="false" outlineLevel="0" max="4" min="4" style="1" width="78"/>
  </cols>
  <sheetData>
    <row r="1" customFormat="false" ht="24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B4" s="4" t="s">
        <v>2</v>
      </c>
      <c r="C4" s="5"/>
      <c r="D4" s="5"/>
    </row>
    <row r="5" customFormat="false" ht="42" hidden="false" customHeight="true" outlineLevel="0" collapsed="false">
      <c r="B5" s="6" t="s">
        <v>3</v>
      </c>
      <c r="C5" s="7" t="n">
        <v>13</v>
      </c>
      <c r="D5" s="8" t="s">
        <v>4</v>
      </c>
    </row>
    <row r="6" customFormat="false" ht="16.5" hidden="false" customHeight="true" outlineLevel="0" collapsed="false">
      <c r="B6" s="6" t="s">
        <v>5</v>
      </c>
      <c r="C6" s="7" t="n">
        <v>12</v>
      </c>
      <c r="D6" s="9" t="s">
        <v>6</v>
      </c>
    </row>
    <row r="7" customFormat="false" ht="16.5" hidden="false" customHeight="true" outlineLevel="0" collapsed="false">
      <c r="B7" s="6" t="s">
        <v>7</v>
      </c>
      <c r="C7" s="10" t="n">
        <f aca="false">C5*C6</f>
        <v>156</v>
      </c>
      <c r="D7" s="9" t="s">
        <v>8</v>
      </c>
    </row>
    <row r="8" customFormat="false" ht="16.5" hidden="false" customHeight="true" outlineLevel="0" collapsed="false">
      <c r="B8" s="6" t="s">
        <v>9</v>
      </c>
      <c r="C8" s="10" t="n">
        <f aca="false">COUNTA(캐릭터!$D$5:$D$19)</f>
        <v>15</v>
      </c>
      <c r="D8" s="9" t="s">
        <v>10</v>
      </c>
    </row>
    <row r="9" customFormat="false" ht="16.5" hidden="false" customHeight="true" outlineLevel="0" collapsed="false">
      <c r="B9" s="6" t="s">
        <v>11</v>
      </c>
      <c r="C9" s="10" t="n">
        <f aca="false">COUNTIF(캐릭터!$G$5:$G$19,"남")</f>
        <v>8</v>
      </c>
      <c r="D9" s="9" t="s">
        <v>12</v>
      </c>
    </row>
    <row r="10" customFormat="false" ht="16.5" hidden="false" customHeight="true" outlineLevel="0" collapsed="false">
      <c r="B10" s="6" t="s">
        <v>13</v>
      </c>
      <c r="C10" s="10" t="n">
        <f aca="false">COUNTIF(캐릭터!$G$5:$G$19,"여")</f>
        <v>7</v>
      </c>
      <c r="D10" s="8"/>
    </row>
    <row r="11" customFormat="false" ht="29.25" hidden="false" customHeight="true" outlineLevel="0" collapsed="false">
      <c r="B11" s="11" t="s">
        <v>14</v>
      </c>
      <c r="C11" s="12" t="n">
        <v>6</v>
      </c>
      <c r="D11" s="9" t="s">
        <v>15</v>
      </c>
    </row>
    <row r="12" customFormat="false" ht="16.5" hidden="false" customHeight="true" outlineLevel="0" collapsed="false">
      <c r="B12" s="6" t="s">
        <v>16</v>
      </c>
      <c r="C12" s="9" t="s">
        <v>17</v>
      </c>
      <c r="D12" s="9" t="s">
        <v>18</v>
      </c>
    </row>
    <row r="13" customFormat="false" ht="29.25" hidden="false" customHeight="true" outlineLevel="0" collapsed="false">
      <c r="B13" s="6" t="s">
        <v>19</v>
      </c>
      <c r="C13" s="9" t="s">
        <v>20</v>
      </c>
      <c r="D13" s="8" t="str">
        <f aca="false">"지문(didascalies) 없음. 화당 "&amp;턴_설계!$B$5&amp;"턴 × "&amp;C7&amp;"화 = "&amp;TEXT(C7*턴_설계!$B$5,"#,##0")&amp;"턴. 상세는 '대화문규칙'·'턴_설계' 시트."</f>
        <v>지문(didascalies) 없음. 화당 120턴 × 156화 = 18,720턴. 상세는 '대화문규칙'·'턴_설계' 시트.</v>
      </c>
    </row>
    <row r="15" customFormat="false" ht="15" hidden="false" customHeight="true" outlineLevel="0" collapsed="false">
      <c r="B15" s="4" t="s">
        <v>21</v>
      </c>
      <c r="C15" s="5"/>
      <c r="D15" s="5"/>
    </row>
    <row r="16" customFormat="false" ht="16.5" hidden="false" customHeight="true" outlineLevel="0" collapsed="false">
      <c r="B16" s="13" t="s">
        <v>22</v>
      </c>
      <c r="C16" s="10" t="n">
        <f aca="false">COUNTIF(캐릭터!$B$5:$B$19,B16)</f>
        <v>4</v>
      </c>
      <c r="D16" s="8" t="s">
        <v>23</v>
      </c>
    </row>
    <row r="17" customFormat="false" ht="29.25" hidden="false" customHeight="true" outlineLevel="0" collapsed="false">
      <c r="B17" s="13" t="s">
        <v>24</v>
      </c>
      <c r="C17" s="10" t="n">
        <f aca="false">COUNTIF(캐릭터!$B$5:$B$19,B17)</f>
        <v>7</v>
      </c>
      <c r="D17" s="8" t="s">
        <v>25</v>
      </c>
    </row>
    <row r="18" customFormat="false" ht="16.5" hidden="false" customHeight="true" outlineLevel="0" collapsed="false">
      <c r="B18" s="13" t="s">
        <v>26</v>
      </c>
      <c r="C18" s="10" t="n">
        <f aca="false">COUNTIF(캐릭터!$B$5:$B$19,B18)</f>
        <v>3</v>
      </c>
      <c r="D18" s="8" t="s">
        <v>27</v>
      </c>
    </row>
    <row r="19" customFormat="false" ht="16.5" hidden="false" customHeight="true" outlineLevel="0" collapsed="false">
      <c r="B19" s="13" t="s">
        <v>28</v>
      </c>
      <c r="C19" s="10" t="n">
        <f aca="false">COUNTIF(캐릭터!$B$5:$B$19,B19)</f>
        <v>1</v>
      </c>
      <c r="D19" s="8" t="s">
        <v>29</v>
      </c>
    </row>
    <row r="22" customFormat="false" ht="15" hidden="false" customHeight="true" outlineLevel="0" collapsed="false">
      <c r="B22" s="4" t="s">
        <v>30</v>
      </c>
      <c r="C22" s="5"/>
      <c r="D22" s="5"/>
    </row>
    <row r="23" customFormat="false" ht="15" hidden="false" customHeight="true" outlineLevel="0" collapsed="false">
      <c r="B23" s="14" t="s">
        <v>31</v>
      </c>
      <c r="C23" s="15" t="s">
        <v>32</v>
      </c>
      <c r="D23" s="8" t="s">
        <v>33</v>
      </c>
    </row>
    <row r="24" customFormat="false" ht="15" hidden="false" customHeight="true" outlineLevel="0" collapsed="false">
      <c r="B24" s="14" t="s">
        <v>34</v>
      </c>
      <c r="C24" s="15" t="s">
        <v>32</v>
      </c>
      <c r="D24" s="8" t="s">
        <v>35</v>
      </c>
    </row>
    <row r="25" customFormat="false" ht="29.25" hidden="false" customHeight="true" outlineLevel="0" collapsed="false">
      <c r="B25" s="14" t="s">
        <v>36</v>
      </c>
      <c r="C25" s="15" t="s">
        <v>32</v>
      </c>
      <c r="D25" s="9" t="s">
        <v>37</v>
      </c>
    </row>
    <row r="26" customFormat="false" ht="15" hidden="false" customHeight="true" outlineLevel="0" collapsed="false">
      <c r="B26" s="16" t="s">
        <v>38</v>
      </c>
      <c r="C26" s="15" t="s">
        <v>39</v>
      </c>
      <c r="D26" s="8" t="s">
        <v>40</v>
      </c>
    </row>
    <row r="27" customFormat="false" ht="15" hidden="false" customHeight="true" outlineLevel="0" collapsed="false">
      <c r="B27" s="14" t="s">
        <v>41</v>
      </c>
      <c r="C27" s="15" t="s">
        <v>42</v>
      </c>
      <c r="D27" s="8" t="s">
        <v>43</v>
      </c>
    </row>
    <row r="28" customFormat="false" ht="15" hidden="false" customHeight="true" outlineLevel="0" collapsed="false">
      <c r="B28" s="14" t="s">
        <v>44</v>
      </c>
      <c r="C28" s="15" t="s">
        <v>45</v>
      </c>
      <c r="D28" s="8" t="s">
        <v>46</v>
      </c>
    </row>
    <row r="29" customFormat="false" ht="15" hidden="false" customHeight="true" outlineLevel="0" collapsed="false">
      <c r="B29" s="14" t="s">
        <v>47</v>
      </c>
      <c r="C29" s="15" t="s">
        <v>42</v>
      </c>
      <c r="D29" s="9" t="s">
        <v>48</v>
      </c>
    </row>
    <row r="30" customFormat="false" ht="15" hidden="false" customHeight="true" outlineLevel="0" collapsed="false">
      <c r="B30" s="14" t="s">
        <v>49</v>
      </c>
      <c r="C30" s="15" t="s">
        <v>50</v>
      </c>
      <c r="D30" s="9" t="s">
        <v>51</v>
      </c>
    </row>
    <row r="31" customFormat="false" ht="15" hidden="false" customHeight="true" outlineLevel="0" collapsed="false">
      <c r="B31" s="14" t="s">
        <v>52</v>
      </c>
      <c r="C31" s="15" t="s">
        <v>50</v>
      </c>
      <c r="D31" s="9" t="s">
        <v>53</v>
      </c>
    </row>
    <row r="32" customFormat="false" ht="15" hidden="false" customHeight="true" outlineLevel="0" collapsed="false">
      <c r="B32" s="14" t="s">
        <v>54</v>
      </c>
      <c r="C32" s="15" t="s">
        <v>55</v>
      </c>
      <c r="D32" s="9" t="s">
        <v>56</v>
      </c>
    </row>
    <row r="33" customFormat="false" ht="15" hidden="false" customHeight="true" outlineLevel="0" collapsed="false">
      <c r="B33" s="14" t="s">
        <v>57</v>
      </c>
      <c r="C33" s="15" t="s">
        <v>55</v>
      </c>
      <c r="D33" s="9" t="s">
        <v>58</v>
      </c>
    </row>
    <row r="34" customFormat="false" ht="15" hidden="false" customHeight="true" outlineLevel="0" collapsed="false">
      <c r="B34" s="14" t="s">
        <v>59</v>
      </c>
      <c r="C34" s="15" t="s">
        <v>60</v>
      </c>
      <c r="D34" s="8" t="s">
        <v>61</v>
      </c>
    </row>
    <row r="35" customFormat="false" ht="15" hidden="false" customHeight="true" outlineLevel="0" collapsed="false">
      <c r="B35" s="16" t="s">
        <v>62</v>
      </c>
      <c r="C35" s="15" t="s">
        <v>60</v>
      </c>
      <c r="D35" s="9" t="s">
        <v>63</v>
      </c>
    </row>
    <row r="36" customFormat="false" ht="15" hidden="false" customHeight="true" outlineLevel="0" collapsed="false">
      <c r="B36" s="16" t="s">
        <v>64</v>
      </c>
      <c r="C36" s="15" t="s">
        <v>65</v>
      </c>
      <c r="D36" s="9" t="s">
        <v>66</v>
      </c>
    </row>
    <row r="37" customFormat="false" ht="15" hidden="false" customHeight="true" outlineLevel="0" collapsed="false">
      <c r="B37" s="16" t="s">
        <v>67</v>
      </c>
      <c r="C37" s="15" t="s">
        <v>65</v>
      </c>
      <c r="D37" s="9" t="s">
        <v>68</v>
      </c>
    </row>
    <row r="38" customFormat="false" ht="15" hidden="false" customHeight="true" outlineLevel="0" collapsed="false">
      <c r="B38" s="14" t="s">
        <v>69</v>
      </c>
      <c r="C38" s="15" t="s">
        <v>60</v>
      </c>
      <c r="D38" s="9" t="s">
        <v>70</v>
      </c>
    </row>
    <row r="39" customFormat="false" ht="15" hidden="false" customHeight="true" outlineLevel="0" collapsed="false">
      <c r="B39" s="16" t="s">
        <v>71</v>
      </c>
      <c r="C39" s="15" t="s">
        <v>72</v>
      </c>
      <c r="D39" s="8" t="s">
        <v>73</v>
      </c>
    </row>
    <row r="40" customFormat="false" ht="15" hidden="false" customHeight="true" outlineLevel="0" collapsed="false">
      <c r="B40" s="14" t="s">
        <v>74</v>
      </c>
      <c r="C40" s="15" t="s">
        <v>75</v>
      </c>
      <c r="D40" s="9" t="s">
        <v>76</v>
      </c>
    </row>
    <row r="42" customFormat="false" ht="15" hidden="false" customHeight="true" outlineLevel="0" collapsed="false">
      <c r="B42" s="4" t="s">
        <v>77</v>
      </c>
      <c r="C42" s="5"/>
      <c r="D42" s="5"/>
    </row>
    <row r="43" customFormat="false" ht="15" hidden="false" customHeight="true" outlineLevel="0" collapsed="false">
      <c r="B43" s="17" t="s">
        <v>78</v>
      </c>
      <c r="C43" s="15" t="s">
        <v>79</v>
      </c>
      <c r="D43" s="18"/>
    </row>
    <row r="44" customFormat="false" ht="15" hidden="false" customHeight="true" outlineLevel="0" collapsed="false">
      <c r="B44" s="19" t="s">
        <v>80</v>
      </c>
      <c r="C44" s="15" t="s">
        <v>81</v>
      </c>
      <c r="D44" s="18"/>
    </row>
    <row r="45" customFormat="false" ht="15" hidden="false" customHeight="true" outlineLevel="0" collapsed="false">
      <c r="B45" s="15" t="s">
        <v>82</v>
      </c>
      <c r="C45" s="15" t="s">
        <v>83</v>
      </c>
      <c r="D45" s="18"/>
    </row>
    <row r="47" customFormat="false" ht="15" hidden="false" customHeight="true" outlineLevel="0" collapsed="false">
      <c r="B47" s="20" t="s">
        <v>84</v>
      </c>
    </row>
  </sheetData>
  <hyperlinks>
    <hyperlink ref="B23" location="'캐릭터'!A1" display="캐릭터"/>
    <hyperlink ref="B24" location="'등장비중'!A1" display="등장비중"/>
    <hyperlink ref="B25" location="'턴_설계'!A1" display="턴_설계"/>
    <hyperlink ref="B26" location="'13부_구성'!A1" display="13부_구성"/>
    <hyperlink ref="B27" location="'아크_구성계획'!A1" display="아크_구성계획"/>
    <hyperlink ref="B28" location="'화별목차_전체'!A1" display="화별목차_전체"/>
    <hyperlink ref="B29" location="'복선_회수'!A1" display="복선_회수"/>
    <hyperlink ref="B30" location="'현안_배치'!A1" display="현안_배치"/>
    <hyperlink ref="B31" location="'현안_분포'!A1" display="현안_분포"/>
    <hyperlink ref="B32" location="'정치제도'!A1" display="정치제도"/>
    <hyperlink ref="B33" location="'정치경로_의석'!A1" display="정치경로_의석"/>
    <hyperlink ref="B34" location="'호칭규칙'!A1" display="호칭규칙"/>
    <hyperlink ref="B35" location="'Manon_폭발과욕'!A1" display="Manon_폭발과욕"/>
    <hyperlink ref="B36" location="'Napoléon_죽음'!A1" display="Napoléon_죽음"/>
    <hyperlink ref="B37" location="'Curie_출처'!A1" display="Curie_출처"/>
    <hyperlink ref="B38" location="'대화문규칙'!A1" display="대화문규칙"/>
    <hyperlink ref="B39" location="'1부_시범대사'!A1" display="1부_시범대사"/>
    <hyperlink ref="B40" location="'변경이력_미결'!A1" display="변경이력_미결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S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6" min="6" style="1" width="10"/>
    <col collapsed="false" customWidth="true" hidden="false" outlineLevel="0" max="7" min="7" style="1" width="6"/>
    <col collapsed="false" customWidth="true" hidden="false" outlineLevel="0" max="8" min="8" style="1" width="22"/>
    <col collapsed="false" customWidth="true" hidden="false" outlineLevel="0" max="9" min="9" style="1" width="26"/>
    <col collapsed="false" customWidth="true" hidden="false" outlineLevel="0" max="10" min="10" style="1" width="30"/>
    <col collapsed="false" customWidth="true" hidden="false" outlineLevel="0" max="11" min="11" style="1" width="34"/>
    <col collapsed="false" customWidth="true" hidden="false" outlineLevel="0" max="12" min="12" style="1" width="44"/>
    <col collapsed="false" customWidth="true" hidden="false" outlineLevel="0" max="13" min="13" style="1" width="30"/>
    <col collapsed="false" customWidth="true" hidden="false" outlineLevel="0" max="14" min="14" style="1" width="36"/>
    <col collapsed="false" customWidth="true" hidden="false" outlineLevel="0" max="15" min="15" style="1" width="24"/>
    <col collapsed="false" customWidth="true" hidden="false" outlineLevel="0" max="16" min="16" style="1" width="20"/>
    <col collapsed="false" customWidth="true" hidden="false" outlineLevel="0" max="17" min="17" style="1" width="9"/>
    <col collapsed="false" customWidth="true" hidden="false" outlineLevel="0" max="18" min="18" style="1" width="11"/>
    <col collapsed="false" customWidth="true" hidden="false" outlineLevel="0" max="19" min="19" style="1" width="16"/>
  </cols>
  <sheetData>
    <row r="1" customFormat="false" ht="24" hidden="false" customHeight="true" outlineLevel="0" collapsed="false">
      <c r="A1" s="21" t="s">
        <v>85</v>
      </c>
    </row>
    <row r="2" customFormat="false" ht="15" hidden="false" customHeight="true" outlineLevel="0" collapsed="false">
      <c r="A2" s="3" t="s">
        <v>1</v>
      </c>
    </row>
    <row r="4" customFormat="false" ht="31.5" hidden="false" customHeight="true" outlineLevel="0" collapsed="false">
      <c r="A4" s="22" t="s">
        <v>86</v>
      </c>
      <c r="B4" s="23" t="s">
        <v>87</v>
      </c>
      <c r="C4" s="23" t="s">
        <v>88</v>
      </c>
      <c r="D4" s="23" t="s">
        <v>89</v>
      </c>
      <c r="E4" s="23" t="s">
        <v>90</v>
      </c>
      <c r="F4" s="23" t="s">
        <v>91</v>
      </c>
      <c r="G4" s="23" t="s">
        <v>92</v>
      </c>
      <c r="H4" s="23" t="s">
        <v>93</v>
      </c>
      <c r="I4" s="23" t="s">
        <v>94</v>
      </c>
      <c r="J4" s="23" t="s">
        <v>95</v>
      </c>
      <c r="K4" s="23" t="s">
        <v>96</v>
      </c>
      <c r="L4" s="23" t="s">
        <v>97</v>
      </c>
      <c r="M4" s="23" t="s">
        <v>98</v>
      </c>
      <c r="N4" s="23" t="s">
        <v>99</v>
      </c>
      <c r="O4" s="23" t="s">
        <v>100</v>
      </c>
      <c r="P4" s="22" t="s">
        <v>101</v>
      </c>
      <c r="Q4" s="23" t="s">
        <v>102</v>
      </c>
      <c r="R4" s="23" t="s">
        <v>103</v>
      </c>
      <c r="S4" s="23" t="s">
        <v>104</v>
      </c>
    </row>
    <row r="5" customFormat="false" ht="93" hidden="false" customHeight="true" outlineLevel="0" collapsed="false">
      <c r="A5" s="24" t="n">
        <v>1</v>
      </c>
      <c r="B5" s="9" t="s">
        <v>105</v>
      </c>
      <c r="C5" s="11" t="s">
        <v>106</v>
      </c>
      <c r="D5" s="11" t="s">
        <v>107</v>
      </c>
      <c r="E5" s="25" t="n">
        <v>39</v>
      </c>
      <c r="F5" s="24" t="n">
        <f aca="false">E5+개요!$C$11</f>
        <v>45</v>
      </c>
      <c r="G5" s="26" t="s">
        <v>108</v>
      </c>
      <c r="H5" s="9" t="s">
        <v>109</v>
      </c>
      <c r="I5" s="8" t="s">
        <v>110</v>
      </c>
      <c r="J5" s="9" t="s">
        <v>111</v>
      </c>
      <c r="K5" s="9" t="s">
        <v>112</v>
      </c>
      <c r="L5" s="8" t="s">
        <v>113</v>
      </c>
      <c r="M5" s="9" t="s">
        <v>114</v>
      </c>
      <c r="N5" s="9" t="s">
        <v>115</v>
      </c>
      <c r="O5" s="9" t="s">
        <v>116</v>
      </c>
      <c r="P5" s="9" t="s">
        <v>117</v>
      </c>
      <c r="Q5" s="24" t="n">
        <f aca="false">INDEX(등장비중!$O$5:$O$19,MATCH($D5,등장비중!$A$5:$A$19,0))</f>
        <v>108</v>
      </c>
      <c r="R5" s="24" t="str">
        <f aca="false">INDEX(등장비중!$Q$5:$Q$19,MATCH($D5,등장비중!$A$5:$A$19,0))</f>
        <v>주연</v>
      </c>
      <c r="S5" s="24" t="s">
        <v>118</v>
      </c>
    </row>
    <row r="6" customFormat="false" ht="54.75" hidden="false" customHeight="true" outlineLevel="0" collapsed="false">
      <c r="A6" s="24" t="n">
        <v>2</v>
      </c>
      <c r="B6" s="9" t="s">
        <v>105</v>
      </c>
      <c r="C6" s="11" t="s">
        <v>119</v>
      </c>
      <c r="D6" s="11" t="s">
        <v>120</v>
      </c>
      <c r="E6" s="25" t="n">
        <v>41</v>
      </c>
      <c r="F6" s="24" t="n">
        <f aca="false">E6+개요!$C$11</f>
        <v>47</v>
      </c>
      <c r="G6" s="26" t="s">
        <v>121</v>
      </c>
      <c r="H6" s="9" t="s">
        <v>122</v>
      </c>
      <c r="I6" s="8" t="s">
        <v>123</v>
      </c>
      <c r="J6" s="9" t="s">
        <v>124</v>
      </c>
      <c r="K6" s="9" t="s">
        <v>125</v>
      </c>
      <c r="L6" s="8" t="s">
        <v>126</v>
      </c>
      <c r="M6" s="9" t="s">
        <v>127</v>
      </c>
      <c r="N6" s="9" t="s">
        <v>128</v>
      </c>
      <c r="O6" s="9" t="s">
        <v>129</v>
      </c>
      <c r="P6" s="9" t="s">
        <v>117</v>
      </c>
      <c r="Q6" s="24" t="n">
        <f aca="false">INDEX(등장비중!$O$5:$O$19,MATCH($D6,등장비중!$A$5:$A$19,0))</f>
        <v>98</v>
      </c>
      <c r="R6" s="24" t="str">
        <f aca="false">INDEX(등장비중!$Q$5:$Q$19,MATCH($D6,등장비중!$A$5:$A$19,0))</f>
        <v>준주연</v>
      </c>
      <c r="S6" s="24" t="s">
        <v>130</v>
      </c>
    </row>
    <row r="7" customFormat="false" ht="46.5" hidden="false" customHeight="true" outlineLevel="0" collapsed="false">
      <c r="A7" s="24" t="n">
        <v>3</v>
      </c>
      <c r="B7" s="9" t="s">
        <v>105</v>
      </c>
      <c r="C7" s="11" t="s">
        <v>131</v>
      </c>
      <c r="D7" s="11" t="s">
        <v>132</v>
      </c>
      <c r="E7" s="25" t="n">
        <v>37</v>
      </c>
      <c r="F7" s="24" t="n">
        <f aca="false">E7+개요!$C$11</f>
        <v>43</v>
      </c>
      <c r="G7" s="26" t="s">
        <v>108</v>
      </c>
      <c r="H7" s="9" t="s">
        <v>133</v>
      </c>
      <c r="I7" s="8" t="s">
        <v>134</v>
      </c>
      <c r="J7" s="9" t="s">
        <v>135</v>
      </c>
      <c r="K7" s="9" t="s">
        <v>136</v>
      </c>
      <c r="L7" s="8" t="s">
        <v>137</v>
      </c>
      <c r="M7" s="9" t="s">
        <v>138</v>
      </c>
      <c r="N7" s="9" t="s">
        <v>139</v>
      </c>
      <c r="O7" s="9" t="s">
        <v>140</v>
      </c>
      <c r="P7" s="9" t="s">
        <v>117</v>
      </c>
      <c r="Q7" s="24" t="n">
        <f aca="false">INDEX(등장비중!$O$5:$O$19,MATCH($D7,등장비중!$A$5:$A$19,0))</f>
        <v>110</v>
      </c>
      <c r="R7" s="24" t="str">
        <f aca="false">INDEX(등장비중!$Q$5:$Q$19,MATCH($D7,등장비중!$A$5:$A$19,0))</f>
        <v>주연</v>
      </c>
      <c r="S7" s="24" t="s">
        <v>141</v>
      </c>
    </row>
    <row r="8" customFormat="false" ht="67.5" hidden="false" customHeight="true" outlineLevel="0" collapsed="false">
      <c r="A8" s="24" t="n">
        <v>4</v>
      </c>
      <c r="B8" s="9" t="s">
        <v>105</v>
      </c>
      <c r="C8" s="11" t="s">
        <v>142</v>
      </c>
      <c r="D8" s="11" t="s">
        <v>143</v>
      </c>
      <c r="E8" s="25" t="n">
        <v>36</v>
      </c>
      <c r="F8" s="24" t="n">
        <f aca="false">E8+개요!$C$11</f>
        <v>42</v>
      </c>
      <c r="G8" s="26" t="s">
        <v>121</v>
      </c>
      <c r="H8" s="9" t="s">
        <v>144</v>
      </c>
      <c r="I8" s="8" t="s">
        <v>145</v>
      </c>
      <c r="J8" s="9" t="s">
        <v>146</v>
      </c>
      <c r="K8" s="9" t="s">
        <v>147</v>
      </c>
      <c r="L8" s="8" t="s">
        <v>148</v>
      </c>
      <c r="M8" s="9" t="s">
        <v>149</v>
      </c>
      <c r="N8" s="9" t="s">
        <v>150</v>
      </c>
      <c r="O8" s="9" t="s">
        <v>151</v>
      </c>
      <c r="P8" s="9" t="s">
        <v>117</v>
      </c>
      <c r="Q8" s="24" t="n">
        <f aca="false">INDEX(등장비중!$O$5:$O$19,MATCH($D8,등장비중!$A$5:$A$19,0))</f>
        <v>101</v>
      </c>
      <c r="R8" s="24" t="str">
        <f aca="false">INDEX(등장비중!$Q$5:$Q$19,MATCH($D8,등장비중!$A$5:$A$19,0))</f>
        <v>준주연</v>
      </c>
      <c r="S8" s="24" t="s">
        <v>152</v>
      </c>
    </row>
    <row r="9" customFormat="false" ht="170.25" hidden="false" customHeight="true" outlineLevel="0" collapsed="false">
      <c r="A9" s="24" t="n">
        <v>5</v>
      </c>
      <c r="B9" s="9" t="s">
        <v>153</v>
      </c>
      <c r="C9" s="11" t="s">
        <v>154</v>
      </c>
      <c r="D9" s="11" t="s">
        <v>155</v>
      </c>
      <c r="E9" s="25" t="n">
        <v>51</v>
      </c>
      <c r="F9" s="24" t="n">
        <f aca="false">E9+개요!$C$11</f>
        <v>57</v>
      </c>
      <c r="G9" s="26" t="s">
        <v>108</v>
      </c>
      <c r="H9" s="9" t="s">
        <v>156</v>
      </c>
      <c r="I9" s="9" t="s">
        <v>157</v>
      </c>
      <c r="J9" s="9" t="s">
        <v>158</v>
      </c>
      <c r="K9" s="9" t="s">
        <v>159</v>
      </c>
      <c r="L9" s="8" t="s">
        <v>160</v>
      </c>
      <c r="M9" s="9" t="s">
        <v>161</v>
      </c>
      <c r="N9" s="9" t="s">
        <v>162</v>
      </c>
      <c r="O9" s="9" t="s">
        <v>163</v>
      </c>
      <c r="P9" s="9" t="s">
        <v>164</v>
      </c>
      <c r="Q9" s="24" t="n">
        <f aca="false">INDEX(등장비중!$O$5:$O$19,MATCH($D9,등장비중!$A$5:$A$19,0))</f>
        <v>65</v>
      </c>
      <c r="R9" s="24" t="str">
        <f aca="false">INDEX(등장비중!$Q$5:$Q$19,MATCH($D9,등장비중!$A$5:$A$19,0))</f>
        <v>핵심 조연</v>
      </c>
      <c r="S9" s="24" t="s">
        <v>165</v>
      </c>
    </row>
    <row r="10" customFormat="false" ht="76.5" hidden="false" customHeight="true" outlineLevel="0" collapsed="false">
      <c r="A10" s="24" t="n">
        <v>6</v>
      </c>
      <c r="B10" s="9" t="s">
        <v>153</v>
      </c>
      <c r="C10" s="11" t="s">
        <v>166</v>
      </c>
      <c r="D10" s="11" t="s">
        <v>166</v>
      </c>
      <c r="E10" s="25" t="n">
        <v>83</v>
      </c>
      <c r="F10" s="24" t="n">
        <f aca="false">E10+개요!$C$11</f>
        <v>89</v>
      </c>
      <c r="G10" s="26" t="s">
        <v>108</v>
      </c>
      <c r="H10" s="9" t="s">
        <v>167</v>
      </c>
      <c r="I10" s="9" t="s">
        <v>168</v>
      </c>
      <c r="J10" s="9" t="s">
        <v>169</v>
      </c>
      <c r="K10" s="9" t="s">
        <v>170</v>
      </c>
      <c r="L10" s="8" t="s">
        <v>171</v>
      </c>
      <c r="M10" s="9" t="s">
        <v>172</v>
      </c>
      <c r="N10" s="9" t="s">
        <v>173</v>
      </c>
      <c r="O10" s="9" t="s">
        <v>174</v>
      </c>
      <c r="P10" s="9" t="s">
        <v>175</v>
      </c>
      <c r="Q10" s="24" t="n">
        <f aca="false">INDEX(등장비중!$O$5:$O$19,MATCH($D10,등장비중!$A$5:$A$19,0))</f>
        <v>63</v>
      </c>
      <c r="R10" s="24" t="str">
        <f aca="false">INDEX(등장비중!$Q$5:$Q$19,MATCH($D10,등장비중!$A$5:$A$19,0))</f>
        <v>핵심 조연</v>
      </c>
      <c r="S10" s="24" t="s">
        <v>176</v>
      </c>
    </row>
    <row r="11" customFormat="false" ht="132" hidden="false" customHeight="true" outlineLevel="0" collapsed="false">
      <c r="A11" s="24" t="n">
        <v>7</v>
      </c>
      <c r="B11" s="9" t="s">
        <v>153</v>
      </c>
      <c r="C11" s="11" t="s">
        <v>177</v>
      </c>
      <c r="D11" s="11" t="s">
        <v>178</v>
      </c>
      <c r="E11" s="25" t="n">
        <v>45</v>
      </c>
      <c r="F11" s="24" t="n">
        <f aca="false">E11+개요!$C$11</f>
        <v>51</v>
      </c>
      <c r="G11" s="26" t="s">
        <v>121</v>
      </c>
      <c r="H11" s="9" t="s">
        <v>179</v>
      </c>
      <c r="I11" s="9" t="s">
        <v>180</v>
      </c>
      <c r="J11" s="9" t="s">
        <v>181</v>
      </c>
      <c r="K11" s="9" t="s">
        <v>182</v>
      </c>
      <c r="L11" s="8" t="s">
        <v>183</v>
      </c>
      <c r="M11" s="9" t="s">
        <v>184</v>
      </c>
      <c r="N11" s="9" t="s">
        <v>185</v>
      </c>
      <c r="O11" s="9" t="s">
        <v>186</v>
      </c>
      <c r="P11" s="27" t="s">
        <v>187</v>
      </c>
      <c r="Q11" s="24" t="n">
        <f aca="false">INDEX(등장비중!$O$5:$O$19,MATCH($D11,등장비중!$A$5:$A$19,0))</f>
        <v>59</v>
      </c>
      <c r="R11" s="24" t="str">
        <f aca="false">INDEX(등장비중!$Q$5:$Q$19,MATCH($D11,등장비중!$A$5:$A$19,0))</f>
        <v>조연</v>
      </c>
      <c r="S11" s="24" t="s">
        <v>188</v>
      </c>
    </row>
    <row r="12" customFormat="false" ht="61.5" hidden="false" customHeight="true" outlineLevel="0" collapsed="false">
      <c r="A12" s="24" t="n">
        <v>8</v>
      </c>
      <c r="B12" s="9" t="s">
        <v>153</v>
      </c>
      <c r="C12" s="11" t="s">
        <v>189</v>
      </c>
      <c r="D12" s="11" t="s">
        <v>190</v>
      </c>
      <c r="E12" s="25" t="n">
        <v>19</v>
      </c>
      <c r="F12" s="24" t="n">
        <f aca="false">E12+개요!$C$11</f>
        <v>25</v>
      </c>
      <c r="G12" s="26" t="s">
        <v>121</v>
      </c>
      <c r="H12" s="9" t="s">
        <v>191</v>
      </c>
      <c r="I12" s="9" t="s">
        <v>192</v>
      </c>
      <c r="J12" s="9" t="s">
        <v>193</v>
      </c>
      <c r="K12" s="9" t="s">
        <v>194</v>
      </c>
      <c r="L12" s="8" t="s">
        <v>195</v>
      </c>
      <c r="M12" s="9" t="s">
        <v>196</v>
      </c>
      <c r="N12" s="9" t="s">
        <v>197</v>
      </c>
      <c r="O12" s="9" t="s">
        <v>198</v>
      </c>
      <c r="P12" s="9" t="s">
        <v>175</v>
      </c>
      <c r="Q12" s="24" t="n">
        <f aca="false">INDEX(등장비중!$O$5:$O$19,MATCH($D12,등장비중!$A$5:$A$19,0))</f>
        <v>56</v>
      </c>
      <c r="R12" s="24" t="str">
        <f aca="false">INDEX(등장비중!$Q$5:$Q$19,MATCH($D12,등장비중!$A$5:$A$19,0))</f>
        <v>조연</v>
      </c>
      <c r="S12" s="24" t="s">
        <v>199</v>
      </c>
    </row>
    <row r="13" customFormat="false" ht="76.5" hidden="false" customHeight="true" outlineLevel="0" collapsed="false">
      <c r="A13" s="24" t="n">
        <v>9</v>
      </c>
      <c r="B13" s="9" t="s">
        <v>153</v>
      </c>
      <c r="C13" s="11" t="s">
        <v>200</v>
      </c>
      <c r="D13" s="11" t="s">
        <v>201</v>
      </c>
      <c r="E13" s="25" t="n">
        <v>74</v>
      </c>
      <c r="F13" s="24" t="n">
        <f aca="false">E13+개요!$C$11</f>
        <v>80</v>
      </c>
      <c r="G13" s="26" t="s">
        <v>108</v>
      </c>
      <c r="H13" s="9" t="s">
        <v>202</v>
      </c>
      <c r="I13" s="9" t="s">
        <v>203</v>
      </c>
      <c r="J13" s="9" t="s">
        <v>204</v>
      </c>
      <c r="K13" s="9" t="s">
        <v>205</v>
      </c>
      <c r="L13" s="8" t="s">
        <v>206</v>
      </c>
      <c r="M13" s="9" t="s">
        <v>207</v>
      </c>
      <c r="N13" s="9" t="s">
        <v>208</v>
      </c>
      <c r="O13" s="9" t="s">
        <v>209</v>
      </c>
      <c r="P13" s="9" t="s">
        <v>210</v>
      </c>
      <c r="Q13" s="24" t="n">
        <f aca="false">INDEX(등장비중!$O$5:$O$19,MATCH($D13,등장비중!$A$5:$A$19,0))</f>
        <v>45</v>
      </c>
      <c r="R13" s="24" t="str">
        <f aca="false">INDEX(등장비중!$Q$5:$Q$19,MATCH($D13,등장비중!$A$5:$A$19,0))</f>
        <v>조연</v>
      </c>
      <c r="S13" s="24" t="s">
        <v>211</v>
      </c>
    </row>
    <row r="14" customFormat="false" ht="93" hidden="false" customHeight="true" outlineLevel="0" collapsed="false">
      <c r="A14" s="24" t="n">
        <v>10</v>
      </c>
      <c r="B14" s="9" t="s">
        <v>153</v>
      </c>
      <c r="C14" s="11" t="s">
        <v>212</v>
      </c>
      <c r="D14" s="11" t="s">
        <v>213</v>
      </c>
      <c r="E14" s="25" t="n">
        <v>66</v>
      </c>
      <c r="F14" s="24" t="n">
        <f aca="false">E14+개요!$C$11</f>
        <v>72</v>
      </c>
      <c r="G14" s="26" t="s">
        <v>121</v>
      </c>
      <c r="H14" s="9" t="s">
        <v>214</v>
      </c>
      <c r="I14" s="9" t="s">
        <v>215</v>
      </c>
      <c r="J14" s="9" t="s">
        <v>216</v>
      </c>
      <c r="K14" s="9" t="s">
        <v>217</v>
      </c>
      <c r="L14" s="8" t="s">
        <v>218</v>
      </c>
      <c r="M14" s="9" t="s">
        <v>219</v>
      </c>
      <c r="N14" s="9" t="s">
        <v>220</v>
      </c>
      <c r="O14" s="9" t="s">
        <v>221</v>
      </c>
      <c r="P14" s="9" t="s">
        <v>175</v>
      </c>
      <c r="Q14" s="24" t="n">
        <f aca="false">INDEX(등장비중!$O$5:$O$19,MATCH($D14,등장비중!$A$5:$A$19,0))</f>
        <v>64</v>
      </c>
      <c r="R14" s="24" t="str">
        <f aca="false">INDEX(등장비중!$Q$5:$Q$19,MATCH($D14,등장비중!$A$5:$A$19,0))</f>
        <v>핵심 조연</v>
      </c>
      <c r="S14" s="24" t="s">
        <v>222</v>
      </c>
    </row>
    <row r="15" customFormat="false" ht="46.5" hidden="false" customHeight="true" outlineLevel="0" collapsed="false">
      <c r="A15" s="24" t="n">
        <v>11</v>
      </c>
      <c r="B15" s="9" t="s">
        <v>223</v>
      </c>
      <c r="C15" s="11" t="s">
        <v>224</v>
      </c>
      <c r="D15" s="11" t="s">
        <v>225</v>
      </c>
      <c r="E15" s="25" t="n">
        <v>63</v>
      </c>
      <c r="F15" s="24" t="n">
        <f aca="false">E15+개요!$C$11</f>
        <v>69</v>
      </c>
      <c r="G15" s="26" t="s">
        <v>121</v>
      </c>
      <c r="H15" s="9" t="s">
        <v>226</v>
      </c>
      <c r="I15" s="27" t="s">
        <v>227</v>
      </c>
      <c r="J15" s="9" t="s">
        <v>228</v>
      </c>
      <c r="K15" s="9" t="s">
        <v>229</v>
      </c>
      <c r="L15" s="8" t="s">
        <v>230</v>
      </c>
      <c r="M15" s="9" t="s">
        <v>231</v>
      </c>
      <c r="N15" s="9" t="s">
        <v>232</v>
      </c>
      <c r="O15" s="9" t="s">
        <v>233</v>
      </c>
      <c r="P15" s="9" t="s">
        <v>117</v>
      </c>
      <c r="Q15" s="24" t="n">
        <f aca="false">INDEX(등장비중!$O$5:$O$19,MATCH($D15,등장비중!$A$5:$A$19,0))</f>
        <v>69</v>
      </c>
      <c r="R15" s="24" t="str">
        <f aca="false">INDEX(등장비중!$Q$5:$Q$19,MATCH($D15,등장비중!$A$5:$A$19,0))</f>
        <v>핵심 조연</v>
      </c>
      <c r="S15" s="24" t="s">
        <v>234</v>
      </c>
    </row>
    <row r="16" customFormat="false" ht="67.5" hidden="false" customHeight="true" outlineLevel="0" collapsed="false">
      <c r="A16" s="24" t="n">
        <v>12</v>
      </c>
      <c r="B16" s="9" t="s">
        <v>223</v>
      </c>
      <c r="C16" s="11" t="s">
        <v>235</v>
      </c>
      <c r="D16" s="11" t="s">
        <v>236</v>
      </c>
      <c r="E16" s="25" t="n">
        <v>55</v>
      </c>
      <c r="F16" s="24" t="n">
        <f aca="false">E16+개요!$C$11</f>
        <v>61</v>
      </c>
      <c r="G16" s="26" t="s">
        <v>108</v>
      </c>
      <c r="H16" s="9" t="s">
        <v>237</v>
      </c>
      <c r="I16" s="27" t="s">
        <v>238</v>
      </c>
      <c r="J16" s="9" t="s">
        <v>239</v>
      </c>
      <c r="K16" s="9" t="s">
        <v>240</v>
      </c>
      <c r="L16" s="8" t="s">
        <v>241</v>
      </c>
      <c r="M16" s="9" t="s">
        <v>242</v>
      </c>
      <c r="N16" s="9" t="s">
        <v>243</v>
      </c>
      <c r="O16" s="9" t="s">
        <v>244</v>
      </c>
      <c r="P16" s="9" t="s">
        <v>175</v>
      </c>
      <c r="Q16" s="24" t="n">
        <f aca="false">INDEX(등장비중!$O$5:$O$19,MATCH($D16,등장비중!$A$5:$A$19,0))</f>
        <v>58</v>
      </c>
      <c r="R16" s="24" t="str">
        <f aca="false">INDEX(등장비중!$Q$5:$Q$19,MATCH($D16,등장비중!$A$5:$A$19,0))</f>
        <v>조연</v>
      </c>
      <c r="S16" s="24" t="s">
        <v>245</v>
      </c>
    </row>
    <row r="17" customFormat="false" ht="67.5" hidden="false" customHeight="true" outlineLevel="0" collapsed="false">
      <c r="A17" s="24" t="n">
        <v>13</v>
      </c>
      <c r="B17" s="9" t="s">
        <v>223</v>
      </c>
      <c r="C17" s="11" t="s">
        <v>246</v>
      </c>
      <c r="D17" s="11" t="s">
        <v>247</v>
      </c>
      <c r="E17" s="25" t="n">
        <v>23</v>
      </c>
      <c r="F17" s="24" t="n">
        <f aca="false">E17+개요!$C$11</f>
        <v>29</v>
      </c>
      <c r="G17" s="26" t="s">
        <v>121</v>
      </c>
      <c r="H17" s="9" t="s">
        <v>248</v>
      </c>
      <c r="I17" s="9" t="s">
        <v>249</v>
      </c>
      <c r="J17" s="9" t="s">
        <v>250</v>
      </c>
      <c r="K17" s="8" t="s">
        <v>251</v>
      </c>
      <c r="L17" s="8" t="s">
        <v>252</v>
      </c>
      <c r="M17" s="9" t="s">
        <v>253</v>
      </c>
      <c r="N17" s="9" t="s">
        <v>254</v>
      </c>
      <c r="O17" s="9" t="s">
        <v>255</v>
      </c>
      <c r="P17" s="9" t="s">
        <v>117</v>
      </c>
      <c r="Q17" s="24" t="n">
        <f aca="false">INDEX(등장비중!$O$5:$O$19,MATCH($D17,등장비중!$A$5:$A$19,0))</f>
        <v>99</v>
      </c>
      <c r="R17" s="24" t="str">
        <f aca="false">INDEX(등장비중!$Q$5:$Q$19,MATCH($D17,등장비중!$A$5:$A$19,0))</f>
        <v>준주연</v>
      </c>
      <c r="S17" s="24" t="s">
        <v>256</v>
      </c>
    </row>
    <row r="18" customFormat="false" ht="46.5" hidden="false" customHeight="true" outlineLevel="0" collapsed="false">
      <c r="A18" s="24" t="n">
        <v>14</v>
      </c>
      <c r="B18" s="9" t="s">
        <v>28</v>
      </c>
      <c r="C18" s="11" t="s">
        <v>257</v>
      </c>
      <c r="D18" s="11" t="s">
        <v>258</v>
      </c>
      <c r="E18" s="25" t="n">
        <v>58</v>
      </c>
      <c r="F18" s="24" t="n">
        <f aca="false">E18+개요!$C$11</f>
        <v>64</v>
      </c>
      <c r="G18" s="26" t="s">
        <v>108</v>
      </c>
      <c r="H18" s="9" t="s">
        <v>259</v>
      </c>
      <c r="I18" s="8" t="s">
        <v>260</v>
      </c>
      <c r="J18" s="9" t="s">
        <v>261</v>
      </c>
      <c r="K18" s="9" t="s">
        <v>262</v>
      </c>
      <c r="L18" s="8" t="s">
        <v>263</v>
      </c>
      <c r="M18" s="9" t="s">
        <v>264</v>
      </c>
      <c r="N18" s="9" t="s">
        <v>265</v>
      </c>
      <c r="O18" s="9" t="s">
        <v>266</v>
      </c>
      <c r="P18" s="9" t="s">
        <v>267</v>
      </c>
      <c r="Q18" s="24" t="n">
        <f aca="false">INDEX(등장비중!$O$5:$O$19,MATCH($D18,등장비중!$A$5:$A$19,0))</f>
        <v>56</v>
      </c>
      <c r="R18" s="24" t="str">
        <f aca="false">INDEX(등장비중!$Q$5:$Q$19,MATCH($D18,등장비중!$A$5:$A$19,0))</f>
        <v>조연</v>
      </c>
      <c r="S18" s="24" t="s">
        <v>268</v>
      </c>
    </row>
    <row r="19" customFormat="false" ht="16.5" hidden="false" customHeight="true" outlineLevel="0" collapsed="false">
      <c r="A19" s="1" t="n">
        <v>15</v>
      </c>
      <c r="B19" s="28" t="s">
        <v>269</v>
      </c>
      <c r="C19" s="1" t="s">
        <v>270</v>
      </c>
      <c r="D19" s="1" t="s">
        <v>271</v>
      </c>
      <c r="E19" s="1" t="n">
        <v>83</v>
      </c>
      <c r="F19" s="1" t="n">
        <f aca="false">E19+개요!$C$11</f>
        <v>89</v>
      </c>
      <c r="G19" s="28" t="s">
        <v>108</v>
      </c>
      <c r="H19" s="28" t="s">
        <v>272</v>
      </c>
      <c r="I19" s="28" t="s">
        <v>273</v>
      </c>
      <c r="J19" s="28" t="s">
        <v>274</v>
      </c>
      <c r="K19" s="28" t="s">
        <v>275</v>
      </c>
      <c r="L19" s="1" t="s">
        <v>276</v>
      </c>
      <c r="M19" s="28" t="s">
        <v>277</v>
      </c>
      <c r="N19" s="28" t="s">
        <v>278</v>
      </c>
      <c r="O19" s="28" t="s">
        <v>279</v>
      </c>
      <c r="P19" s="28" t="s">
        <v>175</v>
      </c>
      <c r="Q19" s="1" t="n">
        <f aca="false">INDEX(등장비중!$O$5:$O$19,MATCH($D19,등장비중!$A$5:$A$19,0))</f>
        <v>58</v>
      </c>
      <c r="R19" s="1" t="str">
        <f aca="false">INDEX(등장비중!$Q$5:$Q$19,MATCH($D19,등장비중!$A$5:$A$19,0))</f>
        <v>조연</v>
      </c>
      <c r="S19" s="1" t="s"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S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14" min="2" style="1" width="9"/>
    <col collapsed="false" customWidth="true" hidden="false" outlineLevel="0" max="16" min="15" style="1" width="8"/>
    <col collapsed="false" customWidth="true" hidden="false" outlineLevel="0" max="17" min="17" style="1" width="11"/>
    <col collapsed="false" customWidth="true" hidden="false" outlineLevel="0" max="18" min="18" style="1" width="9"/>
    <col collapsed="false" customWidth="true" hidden="false" outlineLevel="0" max="19" min="19" style="1" width="12"/>
  </cols>
  <sheetData>
    <row r="1" customFormat="false" ht="24" hidden="false" customHeight="true" outlineLevel="0" collapsed="false">
      <c r="A1" s="21" t="s">
        <v>281</v>
      </c>
    </row>
    <row r="2" customFormat="false" ht="15" hidden="false" customHeight="true" outlineLevel="0" collapsed="false">
      <c r="A2" s="20" t="s">
        <v>282</v>
      </c>
    </row>
    <row r="4" customFormat="false" ht="61.5" hidden="false" customHeight="true" outlineLevel="0" collapsed="false">
      <c r="A4" s="23" t="s">
        <v>283</v>
      </c>
      <c r="B4" s="22" t="s">
        <v>284</v>
      </c>
      <c r="C4" s="22" t="s">
        <v>285</v>
      </c>
      <c r="D4" s="22" t="s">
        <v>286</v>
      </c>
      <c r="E4" s="22" t="s">
        <v>287</v>
      </c>
      <c r="F4" s="22" t="s">
        <v>288</v>
      </c>
      <c r="G4" s="22" t="s">
        <v>289</v>
      </c>
      <c r="H4" s="22" t="s">
        <v>290</v>
      </c>
      <c r="I4" s="22" t="s">
        <v>291</v>
      </c>
      <c r="J4" s="22" t="s">
        <v>292</v>
      </c>
      <c r="K4" s="22" t="s">
        <v>293</v>
      </c>
      <c r="L4" s="22" t="s">
        <v>294</v>
      </c>
      <c r="M4" s="22" t="s">
        <v>295</v>
      </c>
      <c r="N4" s="22" t="s">
        <v>296</v>
      </c>
      <c r="O4" s="23" t="s">
        <v>297</v>
      </c>
      <c r="P4" s="23" t="s">
        <v>298</v>
      </c>
      <c r="Q4" s="23" t="s">
        <v>103</v>
      </c>
      <c r="R4" s="23" t="s">
        <v>299</v>
      </c>
      <c r="S4" s="23" t="s">
        <v>300</v>
      </c>
    </row>
    <row r="5" customFormat="false" ht="15" hidden="false" customHeight="true" outlineLevel="0" collapsed="false">
      <c r="A5" s="29" t="s">
        <v>107</v>
      </c>
      <c r="B5" s="30" t="n">
        <v>7</v>
      </c>
      <c r="C5" s="30" t="n">
        <v>12</v>
      </c>
      <c r="D5" s="30" t="n">
        <v>3</v>
      </c>
      <c r="E5" s="30" t="n">
        <v>3</v>
      </c>
      <c r="F5" s="30" t="n">
        <v>3</v>
      </c>
      <c r="G5" s="30" t="n">
        <v>12</v>
      </c>
      <c r="H5" s="30" t="n">
        <v>11</v>
      </c>
      <c r="I5" s="30" t="n">
        <v>12</v>
      </c>
      <c r="J5" s="30" t="n">
        <v>11</v>
      </c>
      <c r="K5" s="30" t="n">
        <v>11</v>
      </c>
      <c r="L5" s="30" t="n">
        <v>10</v>
      </c>
      <c r="M5" s="30" t="n">
        <v>3</v>
      </c>
      <c r="N5" s="30" t="n">
        <v>10</v>
      </c>
      <c r="O5" s="31" t="n">
        <f aca="false">SUM(B5:N5)</f>
        <v>108</v>
      </c>
      <c r="P5" s="32" t="n">
        <f aca="false">O5/개요!$C$7</f>
        <v>0.692307692307692</v>
      </c>
      <c r="Q5" s="31" t="str">
        <f aca="false">IF(P5&gt;=$B$23,"주연",IF(P5&gt;=$B$24,"준주연",IF(P5&gt;=$B$25,"핵심 조연","조연")))</f>
        <v>주연</v>
      </c>
      <c r="R5" s="31" t="str">
        <f aca="false">IF(MAX(B5:N5)&lt;=개요!$C$6,"OK","확인")</f>
        <v>OK</v>
      </c>
      <c r="S5" s="31" t="s">
        <v>301</v>
      </c>
    </row>
    <row r="6" customFormat="false" ht="15" hidden="false" customHeight="true" outlineLevel="0" collapsed="false">
      <c r="A6" s="29" t="s">
        <v>120</v>
      </c>
      <c r="B6" s="30" t="n">
        <v>6</v>
      </c>
      <c r="C6" s="30" t="n">
        <v>3</v>
      </c>
      <c r="D6" s="30" t="n">
        <v>12</v>
      </c>
      <c r="E6" s="30" t="n">
        <v>3</v>
      </c>
      <c r="F6" s="30" t="n">
        <v>3</v>
      </c>
      <c r="G6" s="30" t="n">
        <v>12</v>
      </c>
      <c r="H6" s="30" t="n">
        <v>10</v>
      </c>
      <c r="I6" s="30" t="n">
        <v>10</v>
      </c>
      <c r="J6" s="30" t="n">
        <v>8</v>
      </c>
      <c r="K6" s="30" t="n">
        <v>10</v>
      </c>
      <c r="L6" s="30" t="n">
        <v>10</v>
      </c>
      <c r="M6" s="30" t="n">
        <v>2</v>
      </c>
      <c r="N6" s="30" t="n">
        <v>9</v>
      </c>
      <c r="O6" s="31" t="n">
        <f aca="false">SUM(B6:N6)</f>
        <v>98</v>
      </c>
      <c r="P6" s="32" t="n">
        <f aca="false">O6/개요!$C$7</f>
        <v>0.628205128205128</v>
      </c>
      <c r="Q6" s="31" t="str">
        <f aca="false">IF(P6&gt;=$B$23,"주연",IF(P6&gt;=$B$24,"준주연",IF(P6&gt;=$B$25,"핵심 조연","조연")))</f>
        <v>준주연</v>
      </c>
      <c r="R6" s="31" t="str">
        <f aca="false">IF(MAX(B6:N6)&lt;=개요!$C$6,"OK","확인")</f>
        <v>OK</v>
      </c>
      <c r="S6" s="31" t="s">
        <v>301</v>
      </c>
    </row>
    <row r="7" customFormat="false" ht="15" hidden="false" customHeight="true" outlineLevel="0" collapsed="false">
      <c r="A7" s="29" t="s">
        <v>132</v>
      </c>
      <c r="B7" s="30" t="n">
        <v>8</v>
      </c>
      <c r="C7" s="30" t="n">
        <v>3</v>
      </c>
      <c r="D7" s="30" t="n">
        <v>3</v>
      </c>
      <c r="E7" s="30" t="n">
        <v>12</v>
      </c>
      <c r="F7" s="30" t="n">
        <v>3</v>
      </c>
      <c r="G7" s="30" t="n">
        <v>12</v>
      </c>
      <c r="H7" s="30" t="n">
        <v>11</v>
      </c>
      <c r="I7" s="30" t="n">
        <v>10</v>
      </c>
      <c r="J7" s="30" t="n">
        <v>10</v>
      </c>
      <c r="K7" s="30" t="n">
        <v>11</v>
      </c>
      <c r="L7" s="30" t="n">
        <v>10</v>
      </c>
      <c r="M7" s="30" t="n">
        <v>8</v>
      </c>
      <c r="N7" s="30" t="n">
        <v>9</v>
      </c>
      <c r="O7" s="31" t="n">
        <f aca="false">SUM(B7:N7)</f>
        <v>110</v>
      </c>
      <c r="P7" s="32" t="n">
        <f aca="false">O7/개요!$C$7</f>
        <v>0.705128205128205</v>
      </c>
      <c r="Q7" s="31" t="str">
        <f aca="false">IF(P7&gt;=$B$23,"주연",IF(P7&gt;=$B$24,"준주연",IF(P7&gt;=$B$25,"핵심 조연","조연")))</f>
        <v>주연</v>
      </c>
      <c r="R7" s="31" t="str">
        <f aca="false">IF(MAX(B7:N7)&lt;=개요!$C$6,"OK","확인")</f>
        <v>OK</v>
      </c>
      <c r="S7" s="31" t="s">
        <v>301</v>
      </c>
    </row>
    <row r="8" customFormat="false" ht="15" hidden="false" customHeight="true" outlineLevel="0" collapsed="false">
      <c r="A8" s="29" t="s">
        <v>143</v>
      </c>
      <c r="B8" s="30" t="n">
        <v>6</v>
      </c>
      <c r="C8" s="30" t="n">
        <v>3</v>
      </c>
      <c r="D8" s="30" t="n">
        <v>3</v>
      </c>
      <c r="E8" s="30" t="n">
        <v>3</v>
      </c>
      <c r="F8" s="30" t="n">
        <v>12</v>
      </c>
      <c r="G8" s="30" t="n">
        <v>12</v>
      </c>
      <c r="H8" s="30" t="n">
        <v>10</v>
      </c>
      <c r="I8" s="30" t="n">
        <v>11</v>
      </c>
      <c r="J8" s="30" t="n">
        <v>10</v>
      </c>
      <c r="K8" s="30" t="n">
        <v>10</v>
      </c>
      <c r="L8" s="30" t="n">
        <v>9</v>
      </c>
      <c r="M8" s="30" t="n">
        <v>3</v>
      </c>
      <c r="N8" s="30" t="n">
        <v>9</v>
      </c>
      <c r="O8" s="31" t="n">
        <f aca="false">SUM(B8:N8)</f>
        <v>101</v>
      </c>
      <c r="P8" s="32" t="n">
        <f aca="false">O8/개요!$C$7</f>
        <v>0.647435897435898</v>
      </c>
      <c r="Q8" s="31" t="str">
        <f aca="false">IF(P8&gt;=$B$23,"주연",IF(P8&gt;=$B$24,"준주연",IF(P8&gt;=$B$25,"핵심 조연","조연")))</f>
        <v>준주연</v>
      </c>
      <c r="R8" s="31" t="str">
        <f aca="false">IF(MAX(B8:N8)&lt;=개요!$C$6,"OK","확인")</f>
        <v>OK</v>
      </c>
      <c r="S8" s="31" t="s">
        <v>301</v>
      </c>
    </row>
    <row r="9" customFormat="false" ht="15" hidden="false" customHeight="true" outlineLevel="0" collapsed="false">
      <c r="A9" s="29" t="s">
        <v>155</v>
      </c>
      <c r="B9" s="30" t="n">
        <v>4</v>
      </c>
      <c r="C9" s="30" t="n">
        <v>2</v>
      </c>
      <c r="D9" s="30" t="n">
        <v>2</v>
      </c>
      <c r="E9" s="30" t="n">
        <v>2</v>
      </c>
      <c r="F9" s="30" t="n">
        <v>2</v>
      </c>
      <c r="G9" s="30" t="n">
        <v>7</v>
      </c>
      <c r="H9" s="30" t="n">
        <v>9</v>
      </c>
      <c r="I9" s="30" t="n">
        <v>7</v>
      </c>
      <c r="J9" s="30" t="n">
        <v>9</v>
      </c>
      <c r="K9" s="30" t="n">
        <v>9</v>
      </c>
      <c r="L9" s="30" t="n">
        <v>9</v>
      </c>
      <c r="M9" s="30" t="n">
        <v>0</v>
      </c>
      <c r="N9" s="30" t="n">
        <v>3</v>
      </c>
      <c r="O9" s="31" t="n">
        <f aca="false">SUM(B9:N9)</f>
        <v>65</v>
      </c>
      <c r="P9" s="32" t="n">
        <f aca="false">O9/개요!$C$7</f>
        <v>0.416666666666667</v>
      </c>
      <c r="Q9" s="31" t="str">
        <f aca="false">IF(P9&gt;=$B$23,"주연",IF(P9&gt;=$B$24,"준주연",IF(P9&gt;=$B$25,"핵심 조연","조연")))</f>
        <v>핵심 조연</v>
      </c>
      <c r="R9" s="31" t="str">
        <f aca="false">IF(MAX(B9:N9)&lt;=개요!$C$6,"OK","확인")</f>
        <v>OK</v>
      </c>
      <c r="S9" s="30" t="s">
        <v>301</v>
      </c>
    </row>
    <row r="10" customFormat="false" ht="15" hidden="false" customHeight="true" outlineLevel="0" collapsed="false">
      <c r="A10" s="29" t="s">
        <v>166</v>
      </c>
      <c r="B10" s="30" t="n">
        <v>2</v>
      </c>
      <c r="C10" s="30" t="n">
        <v>1</v>
      </c>
      <c r="D10" s="30" t="n">
        <v>1</v>
      </c>
      <c r="E10" s="30" t="n">
        <v>3</v>
      </c>
      <c r="F10" s="30" t="n">
        <v>1</v>
      </c>
      <c r="G10" s="30" t="n">
        <v>5</v>
      </c>
      <c r="H10" s="30" t="n">
        <v>10</v>
      </c>
      <c r="I10" s="30" t="n">
        <v>7</v>
      </c>
      <c r="J10" s="30" t="n">
        <v>8</v>
      </c>
      <c r="K10" s="30" t="n">
        <v>8</v>
      </c>
      <c r="L10" s="30" t="n">
        <v>7</v>
      </c>
      <c r="M10" s="30" t="n">
        <v>3</v>
      </c>
      <c r="N10" s="30" t="n">
        <v>7</v>
      </c>
      <c r="O10" s="31" t="n">
        <f aca="false">SUM(B10:N10)</f>
        <v>63</v>
      </c>
      <c r="P10" s="32" t="n">
        <f aca="false">O10/개요!$C$7</f>
        <v>0.403846153846154</v>
      </c>
      <c r="Q10" s="31" t="str">
        <f aca="false">IF(P10&gt;=$B$23,"주연",IF(P10&gt;=$B$24,"준주연",IF(P10&gt;=$B$25,"핵심 조연","조연")))</f>
        <v>핵심 조연</v>
      </c>
      <c r="R10" s="31" t="str">
        <f aca="false">IF(MAX(B10:N10)&lt;=개요!$C$6,"OK","확인")</f>
        <v>OK</v>
      </c>
      <c r="S10" s="30" t="s">
        <v>301</v>
      </c>
    </row>
    <row r="11" customFormat="false" ht="15" hidden="false" customHeight="true" outlineLevel="0" collapsed="false">
      <c r="A11" s="29" t="s">
        <v>178</v>
      </c>
      <c r="B11" s="30" t="n">
        <v>0</v>
      </c>
      <c r="C11" s="30" t="n">
        <v>0</v>
      </c>
      <c r="D11" s="30" t="n">
        <v>1</v>
      </c>
      <c r="E11" s="30" t="n">
        <v>0</v>
      </c>
      <c r="F11" s="30" t="n">
        <v>0</v>
      </c>
      <c r="G11" s="30" t="n">
        <v>3</v>
      </c>
      <c r="H11" s="30" t="n">
        <v>8</v>
      </c>
      <c r="I11" s="30" t="n">
        <v>9</v>
      </c>
      <c r="J11" s="30" t="n">
        <v>6</v>
      </c>
      <c r="K11" s="30" t="n">
        <v>9</v>
      </c>
      <c r="L11" s="30" t="n">
        <v>9</v>
      </c>
      <c r="M11" s="30" t="n">
        <v>8</v>
      </c>
      <c r="N11" s="30" t="n">
        <v>6</v>
      </c>
      <c r="O11" s="31" t="n">
        <f aca="false">SUM(B11:N11)</f>
        <v>59</v>
      </c>
      <c r="P11" s="32" t="n">
        <f aca="false">O11/개요!$C$7</f>
        <v>0.378205128205128</v>
      </c>
      <c r="Q11" s="31" t="str">
        <f aca="false">IF(P11&gt;=$B$23,"주연",IF(P11&gt;=$B$24,"준주연",IF(P11&gt;=$B$25,"핵심 조연","조연")))</f>
        <v>조연</v>
      </c>
      <c r="R11" s="31" t="str">
        <f aca="false">IF(MAX(B11:N11)&lt;=개요!$C$6,"OK","확인")</f>
        <v>OK</v>
      </c>
      <c r="S11" s="30" t="s">
        <v>301</v>
      </c>
    </row>
    <row r="12" customFormat="false" ht="15" hidden="false" customHeight="true" outlineLevel="0" collapsed="false">
      <c r="A12" s="29" t="s">
        <v>190</v>
      </c>
      <c r="B12" s="30" t="n">
        <v>3</v>
      </c>
      <c r="C12" s="30" t="n">
        <v>1</v>
      </c>
      <c r="D12" s="30" t="n">
        <v>2</v>
      </c>
      <c r="E12" s="30" t="n">
        <v>1</v>
      </c>
      <c r="F12" s="30" t="n">
        <v>2</v>
      </c>
      <c r="G12" s="30" t="n">
        <v>4</v>
      </c>
      <c r="H12" s="30" t="n">
        <v>7</v>
      </c>
      <c r="I12" s="30" t="n">
        <v>8</v>
      </c>
      <c r="J12" s="30" t="n">
        <v>6</v>
      </c>
      <c r="K12" s="30" t="n">
        <v>7</v>
      </c>
      <c r="L12" s="30" t="n">
        <v>6</v>
      </c>
      <c r="M12" s="30" t="n">
        <v>2</v>
      </c>
      <c r="N12" s="30" t="n">
        <v>7</v>
      </c>
      <c r="O12" s="31" t="n">
        <f aca="false">SUM(B12:N12)</f>
        <v>56</v>
      </c>
      <c r="P12" s="32" t="n">
        <f aca="false">O12/개요!$C$7</f>
        <v>0.358974358974359</v>
      </c>
      <c r="Q12" s="31" t="str">
        <f aca="false">IF(P12&gt;=$B$23,"주연",IF(P12&gt;=$B$24,"준주연",IF(P12&gt;=$B$25,"핵심 조연","조연")))</f>
        <v>조연</v>
      </c>
      <c r="R12" s="31" t="str">
        <f aca="false">IF(MAX(B12:N12)&lt;=개요!$C$6,"OK","확인")</f>
        <v>OK</v>
      </c>
      <c r="S12" s="30" t="s">
        <v>301</v>
      </c>
    </row>
    <row r="13" customFormat="false" ht="15" hidden="false" customHeight="true" outlineLevel="0" collapsed="false">
      <c r="A13" s="29" t="s">
        <v>201</v>
      </c>
      <c r="B13" s="30" t="n">
        <v>1</v>
      </c>
      <c r="C13" s="30" t="n">
        <v>1</v>
      </c>
      <c r="D13" s="30" t="n">
        <v>1</v>
      </c>
      <c r="E13" s="30" t="n">
        <v>2</v>
      </c>
      <c r="F13" s="30" t="n">
        <v>1</v>
      </c>
      <c r="G13" s="30" t="n">
        <v>4</v>
      </c>
      <c r="H13" s="30" t="n">
        <v>6</v>
      </c>
      <c r="I13" s="30" t="n">
        <v>6</v>
      </c>
      <c r="J13" s="30" t="n">
        <v>5</v>
      </c>
      <c r="K13" s="30" t="n">
        <v>6</v>
      </c>
      <c r="L13" s="30" t="n">
        <v>6</v>
      </c>
      <c r="M13" s="30" t="n">
        <v>1</v>
      </c>
      <c r="N13" s="30" t="n">
        <v>5</v>
      </c>
      <c r="O13" s="31" t="n">
        <f aca="false">SUM(B13:N13)</f>
        <v>45</v>
      </c>
      <c r="P13" s="32" t="n">
        <f aca="false">O13/개요!$C$7</f>
        <v>0.288461538461538</v>
      </c>
      <c r="Q13" s="31" t="str">
        <f aca="false">IF(P13&gt;=$B$23,"주연",IF(P13&gt;=$B$24,"준주연",IF(P13&gt;=$B$25,"핵심 조연","조연")))</f>
        <v>조연</v>
      </c>
      <c r="R13" s="31" t="str">
        <f aca="false">IF(MAX(B13:N13)&lt;=개요!$C$6,"OK","확인")</f>
        <v>OK</v>
      </c>
      <c r="S13" s="30" t="s">
        <v>301</v>
      </c>
    </row>
    <row r="14" customFormat="false" ht="15" hidden="false" customHeight="true" outlineLevel="0" collapsed="false">
      <c r="A14" s="29" t="s">
        <v>213</v>
      </c>
      <c r="B14" s="30" t="n">
        <v>3</v>
      </c>
      <c r="C14" s="30" t="n">
        <v>1</v>
      </c>
      <c r="D14" s="30" t="n">
        <v>1</v>
      </c>
      <c r="E14" s="30" t="n">
        <v>1</v>
      </c>
      <c r="F14" s="30" t="n">
        <v>1</v>
      </c>
      <c r="G14" s="30" t="n">
        <v>6</v>
      </c>
      <c r="H14" s="30" t="n">
        <v>8</v>
      </c>
      <c r="I14" s="30" t="n">
        <v>9</v>
      </c>
      <c r="J14" s="30" t="n">
        <v>8</v>
      </c>
      <c r="K14" s="30" t="n">
        <v>8</v>
      </c>
      <c r="L14" s="30" t="n">
        <v>7</v>
      </c>
      <c r="M14" s="30" t="n">
        <v>4</v>
      </c>
      <c r="N14" s="30" t="n">
        <v>7</v>
      </c>
      <c r="O14" s="31" t="n">
        <f aca="false">SUM(B14:N14)</f>
        <v>64</v>
      </c>
      <c r="P14" s="32" t="n">
        <f aca="false">O14/개요!$C$7</f>
        <v>0.41025641025641</v>
      </c>
      <c r="Q14" s="31" t="str">
        <f aca="false">IF(P14&gt;=$B$23,"주연",IF(P14&gt;=$B$24,"준주연",IF(P14&gt;=$B$25,"핵심 조연","조연")))</f>
        <v>핵심 조연</v>
      </c>
      <c r="R14" s="31" t="str">
        <f aca="false">IF(MAX(B14:N14)&lt;=개요!$C$6,"OK","확인")</f>
        <v>OK</v>
      </c>
      <c r="S14" s="30" t="s">
        <v>301</v>
      </c>
    </row>
    <row r="15" customFormat="false" ht="15" hidden="false" customHeight="true" outlineLevel="0" collapsed="false">
      <c r="A15" s="29" t="s">
        <v>225</v>
      </c>
      <c r="B15" s="30" t="n">
        <v>12</v>
      </c>
      <c r="C15" s="30" t="n">
        <v>2</v>
      </c>
      <c r="D15" s="30" t="n">
        <v>2</v>
      </c>
      <c r="E15" s="30" t="n">
        <v>2</v>
      </c>
      <c r="F15" s="30" t="n">
        <v>2</v>
      </c>
      <c r="G15" s="30" t="n">
        <v>5</v>
      </c>
      <c r="H15" s="30" t="n">
        <v>8</v>
      </c>
      <c r="I15" s="30" t="n">
        <v>6</v>
      </c>
      <c r="J15" s="30" t="n">
        <v>4</v>
      </c>
      <c r="K15" s="30" t="n">
        <v>5</v>
      </c>
      <c r="L15" s="30" t="n">
        <v>8</v>
      </c>
      <c r="M15" s="30" t="n">
        <v>3</v>
      </c>
      <c r="N15" s="30" t="n">
        <v>10</v>
      </c>
      <c r="O15" s="31" t="n">
        <f aca="false">SUM(B15:N15)</f>
        <v>69</v>
      </c>
      <c r="P15" s="32" t="n">
        <f aca="false">O15/개요!$C$7</f>
        <v>0.442307692307692</v>
      </c>
      <c r="Q15" s="31" t="str">
        <f aca="false">IF(P15&gt;=$B$23,"주연",IF(P15&gt;=$B$24,"준주연",IF(P15&gt;=$B$25,"핵심 조연","조연")))</f>
        <v>핵심 조연</v>
      </c>
      <c r="R15" s="31" t="str">
        <f aca="false">IF(MAX(B15:N15)&lt;=개요!$C$6,"OK","확인")</f>
        <v>OK</v>
      </c>
      <c r="S15" s="30" t="s">
        <v>301</v>
      </c>
    </row>
    <row r="16" customFormat="false" ht="15" hidden="false" customHeight="true" outlineLevel="0" collapsed="false">
      <c r="A16" s="29" t="s">
        <v>236</v>
      </c>
      <c r="B16" s="30" t="n">
        <v>2</v>
      </c>
      <c r="C16" s="30" t="n">
        <v>1</v>
      </c>
      <c r="D16" s="30" t="n">
        <v>2</v>
      </c>
      <c r="E16" s="30" t="n">
        <v>1</v>
      </c>
      <c r="F16" s="30" t="n">
        <v>3</v>
      </c>
      <c r="G16" s="30" t="n">
        <v>5</v>
      </c>
      <c r="H16" s="30" t="n">
        <v>9</v>
      </c>
      <c r="I16" s="30" t="n">
        <v>8</v>
      </c>
      <c r="J16" s="30" t="n">
        <v>6</v>
      </c>
      <c r="K16" s="30" t="n">
        <v>6</v>
      </c>
      <c r="L16" s="30" t="n">
        <v>7</v>
      </c>
      <c r="M16" s="30" t="n">
        <v>2</v>
      </c>
      <c r="N16" s="30" t="n">
        <v>6</v>
      </c>
      <c r="O16" s="31" t="n">
        <f aca="false">SUM(B16:N16)</f>
        <v>58</v>
      </c>
      <c r="P16" s="32" t="n">
        <f aca="false">O16/개요!$C$7</f>
        <v>0.371794871794872</v>
      </c>
      <c r="Q16" s="31" t="str">
        <f aca="false">IF(P16&gt;=$B$23,"주연",IF(P16&gt;=$B$24,"준주연",IF(P16&gt;=$B$25,"핵심 조연","조연")))</f>
        <v>조연</v>
      </c>
      <c r="R16" s="31" t="str">
        <f aca="false">IF(MAX(B16:N16)&lt;=개요!$C$6,"OK","확인")</f>
        <v>OK</v>
      </c>
      <c r="S16" s="30" t="s">
        <v>301</v>
      </c>
    </row>
    <row r="17" customFormat="false" ht="15" hidden="false" customHeight="true" outlineLevel="0" collapsed="false">
      <c r="A17" s="29" t="s">
        <v>247</v>
      </c>
      <c r="B17" s="30" t="n">
        <v>12</v>
      </c>
      <c r="C17" s="30" t="n">
        <v>4</v>
      </c>
      <c r="D17" s="30" t="n">
        <v>4</v>
      </c>
      <c r="E17" s="30" t="n">
        <v>4</v>
      </c>
      <c r="F17" s="30" t="n">
        <v>4</v>
      </c>
      <c r="G17" s="30" t="n">
        <v>8</v>
      </c>
      <c r="H17" s="30" t="n">
        <v>10</v>
      </c>
      <c r="I17" s="30" t="n">
        <v>10</v>
      </c>
      <c r="J17" s="30" t="n">
        <v>9</v>
      </c>
      <c r="K17" s="30" t="n">
        <v>9</v>
      </c>
      <c r="L17" s="30" t="n">
        <v>10</v>
      </c>
      <c r="M17" s="30" t="n">
        <v>3</v>
      </c>
      <c r="N17" s="30" t="n">
        <v>12</v>
      </c>
      <c r="O17" s="31" t="n">
        <f aca="false">SUM(B17:N17)</f>
        <v>99</v>
      </c>
      <c r="P17" s="32" t="n">
        <f aca="false">O17/개요!$C$7</f>
        <v>0.634615384615385</v>
      </c>
      <c r="Q17" s="31" t="str">
        <f aca="false">IF(P17&gt;=$B$23,"주연",IF(P17&gt;=$B$24,"준주연",IF(P17&gt;=$B$25,"핵심 조연","조연")))</f>
        <v>준주연</v>
      </c>
      <c r="R17" s="31" t="str">
        <f aca="false">IF(MAX(B17:N17)&lt;=개요!$C$6,"OK","확인")</f>
        <v>OK</v>
      </c>
      <c r="S17" s="31" t="s">
        <v>301</v>
      </c>
    </row>
    <row r="18" customFormat="false" ht="15" hidden="false" customHeight="true" outlineLevel="0" collapsed="false">
      <c r="A18" s="29" t="s">
        <v>258</v>
      </c>
      <c r="B18" s="30" t="n">
        <v>2</v>
      </c>
      <c r="C18" s="30" t="n">
        <v>1</v>
      </c>
      <c r="D18" s="30" t="n">
        <v>1</v>
      </c>
      <c r="E18" s="30" t="n">
        <v>3</v>
      </c>
      <c r="F18" s="30" t="n">
        <v>1</v>
      </c>
      <c r="G18" s="30" t="n">
        <v>5</v>
      </c>
      <c r="H18" s="30" t="n">
        <v>8</v>
      </c>
      <c r="I18" s="30" t="n">
        <v>5</v>
      </c>
      <c r="J18" s="30" t="n">
        <v>7</v>
      </c>
      <c r="K18" s="30" t="n">
        <v>7</v>
      </c>
      <c r="L18" s="30" t="n">
        <v>9</v>
      </c>
      <c r="M18" s="30" t="n">
        <v>1</v>
      </c>
      <c r="N18" s="30" t="n">
        <v>6</v>
      </c>
      <c r="O18" s="31" t="n">
        <f aca="false">SUM(B18:N18)</f>
        <v>56</v>
      </c>
      <c r="P18" s="32" t="n">
        <f aca="false">O18/개요!$C$7</f>
        <v>0.358974358974359</v>
      </c>
      <c r="Q18" s="31" t="str">
        <f aca="false">IF(P18&gt;=$B$23,"주연",IF(P18&gt;=$B$24,"준주연",IF(P18&gt;=$B$25,"핵심 조연","조연")))</f>
        <v>조연</v>
      </c>
      <c r="R18" s="31" t="str">
        <f aca="false">IF(MAX(B18:N18)&lt;=개요!$C$6,"OK","확인")</f>
        <v>OK</v>
      </c>
      <c r="S18" s="30" t="s">
        <v>301</v>
      </c>
    </row>
    <row r="19" customFormat="false" ht="15" hidden="false" customHeight="true" outlineLevel="0" collapsed="false">
      <c r="A19" s="33" t="s">
        <v>271</v>
      </c>
      <c r="B19" s="34" t="n">
        <v>1</v>
      </c>
      <c r="C19" s="34" t="n">
        <v>1</v>
      </c>
      <c r="D19" s="34" t="n">
        <v>1</v>
      </c>
      <c r="E19" s="34" t="n">
        <v>1</v>
      </c>
      <c r="F19" s="34" t="n">
        <v>1</v>
      </c>
      <c r="G19" s="34" t="n">
        <v>4</v>
      </c>
      <c r="H19" s="34" t="n">
        <v>6</v>
      </c>
      <c r="I19" s="34" t="n">
        <v>9</v>
      </c>
      <c r="J19" s="34" t="n">
        <v>7</v>
      </c>
      <c r="K19" s="34" t="n">
        <v>9</v>
      </c>
      <c r="L19" s="34" t="n">
        <v>7</v>
      </c>
      <c r="M19" s="34" t="n">
        <v>4</v>
      </c>
      <c r="N19" s="34" t="n">
        <v>7</v>
      </c>
      <c r="O19" s="34" t="n">
        <f aca="false">SUM(B19:N19)</f>
        <v>58</v>
      </c>
      <c r="P19" s="35" t="n">
        <f aca="false">O19/개요!$C$7</f>
        <v>0.371794871794872</v>
      </c>
      <c r="Q19" s="35" t="str">
        <f aca="false">IF(P19&gt;=$B$23,"주연",IF(P19&gt;=$B$24,"준주연",IF(P19&gt;=$B$25,"핵심 조연","조연")))</f>
        <v>조연</v>
      </c>
      <c r="R19" s="35" t="str">
        <f aca="false">IF(MAX(B19:N19)&lt;=개요!$C$6,"OK","확인")</f>
        <v>OK</v>
      </c>
      <c r="S19" s="34" t="s">
        <v>301</v>
      </c>
    </row>
    <row r="20" customFormat="false" ht="16.5" hidden="false" customHeight="true" outlineLevel="0" collapsed="false">
      <c r="A20" s="28" t="s">
        <v>302</v>
      </c>
      <c r="B20" s="1" t="n">
        <f aca="false">SUM(B5:B19)</f>
        <v>69</v>
      </c>
      <c r="C20" s="1" t="n">
        <f aca="false">SUM(C5:C19)</f>
        <v>36</v>
      </c>
      <c r="D20" s="1" t="n">
        <f aca="false">SUM(D5:D19)</f>
        <v>39</v>
      </c>
      <c r="E20" s="1" t="n">
        <f aca="false">SUM(E5:E19)</f>
        <v>41</v>
      </c>
      <c r="F20" s="1" t="n">
        <f aca="false">SUM(F5:F19)</f>
        <v>39</v>
      </c>
      <c r="G20" s="1" t="n">
        <f aca="false">SUM(G5:G19)</f>
        <v>104</v>
      </c>
      <c r="H20" s="1" t="n">
        <f aca="false">SUM(H5:H19)</f>
        <v>131</v>
      </c>
      <c r="I20" s="1" t="n">
        <f aca="false">SUM(I5:I19)</f>
        <v>127</v>
      </c>
      <c r="J20" s="1" t="n">
        <f aca="false">SUM(J5:J19)</f>
        <v>114</v>
      </c>
      <c r="K20" s="1" t="n">
        <f aca="false">SUM(K5:K19)</f>
        <v>125</v>
      </c>
      <c r="L20" s="1" t="n">
        <f aca="false">SUM(L5:L19)</f>
        <v>124</v>
      </c>
      <c r="M20" s="1" t="n">
        <f aca="false">SUM(M5:M19)</f>
        <v>47</v>
      </c>
      <c r="N20" s="1" t="n">
        <f aca="false">SUM(N5:N19)</f>
        <v>113</v>
      </c>
      <c r="O20" s="1" t="n">
        <f aca="false">SUM(O5:O19)</f>
        <v>1109</v>
      </c>
      <c r="S20" s="1" t="n">
        <f aca="false">SUM(S5:S19)</f>
        <v>0</v>
      </c>
    </row>
    <row r="22" customFormat="false" ht="15" hidden="false" customHeight="true" outlineLevel="0" collapsed="false">
      <c r="A22" s="4"/>
      <c r="B22" s="5"/>
      <c r="C22" s="5"/>
    </row>
    <row r="23" customFormat="false" ht="15" hidden="false" customHeight="true" outlineLevel="0" collapsed="false">
      <c r="A23" s="13" t="s">
        <v>303</v>
      </c>
      <c r="B23" s="36" t="n">
        <v>0.69</v>
      </c>
      <c r="C23" s="20" t="s">
        <v>304</v>
      </c>
    </row>
    <row r="24" customFormat="false" ht="15" hidden="false" customHeight="true" outlineLevel="0" collapsed="false">
      <c r="A24" s="13" t="s">
        <v>305</v>
      </c>
      <c r="B24" s="36" t="n">
        <v>0.6</v>
      </c>
    </row>
    <row r="25" customFormat="false" ht="15" hidden="false" customHeight="true" outlineLevel="0" collapsed="false">
      <c r="A25" s="13" t="s">
        <v>306</v>
      </c>
      <c r="B25" s="36" t="n">
        <v>0.4</v>
      </c>
    </row>
    <row r="26" customFormat="false" ht="15" hidden="false" customHeight="true" outlineLevel="0" collapsed="false">
      <c r="A26" s="13" t="s">
        <v>307</v>
      </c>
      <c r="B26" s="15" t="s">
        <v>308</v>
      </c>
    </row>
    <row r="28" customFormat="false" ht="18" hidden="false" customHeight="true" outlineLevel="0" collapsed="false">
      <c r="A28" s="4" t="s">
        <v>309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customFormat="false" ht="31.5" hidden="false" customHeight="true" outlineLevel="0" collapsed="false">
      <c r="A29" s="37" t="s">
        <v>310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</row>
    <row r="30" customFormat="false" ht="16.5" hidden="false" customHeight="true" outlineLevel="0" collapsed="false">
      <c r="A30" s="37" t="s">
        <v>311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</row>
    <row r="31" customFormat="false" ht="16.5" hidden="false" customHeight="true" outlineLevel="0" collapsed="false">
      <c r="A31" s="37" t="s">
        <v>312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</row>
    <row r="32" customFormat="false" ht="16.5" hidden="false" customHeight="true" outlineLevel="0" collapsed="false">
      <c r="A32" s="37" t="s">
        <v>313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</row>
    <row r="33" customFormat="false" ht="16.5" hidden="false" customHeight="true" outlineLevel="0" collapsed="false">
      <c r="A33" s="37" t="s">
        <v>314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</row>
    <row r="34" customFormat="false" ht="16.5" hidden="false" customHeight="true" outlineLevel="0" collapsed="false">
      <c r="A34" s="37" t="s">
        <v>315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</row>
    <row r="35" customFormat="false" ht="16.5" hidden="false" customHeight="true" outlineLevel="0" collapsed="false">
      <c r="A35" s="37" t="s">
        <v>316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</row>
    <row r="36" customFormat="false" ht="16.5" hidden="false" customHeight="true" outlineLevel="0" collapsed="false">
      <c r="A36" s="37" t="s">
        <v>317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</row>
    <row r="37" customFormat="false" ht="16.5" hidden="false" customHeight="true" outlineLevel="0" collapsed="false">
      <c r="A37" s="37" t="s">
        <v>318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</row>
    <row r="38" customFormat="false" ht="16.5" hidden="false" customHeight="true" outlineLevel="0" collapsed="false">
      <c r="A38" s="37" t="s">
        <v>319</v>
      </c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</row>
    <row r="39" customFormat="false" ht="16.5" hidden="false" customHeight="true" outlineLevel="0" collapsed="false">
      <c r="A39" s="37" t="s">
        <v>320</v>
      </c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</row>
  </sheetData>
  <mergeCells count="11">
    <mergeCell ref="A29:R29"/>
    <mergeCell ref="A30:R30"/>
    <mergeCell ref="A31:R31"/>
    <mergeCell ref="A32:R32"/>
    <mergeCell ref="A33:R33"/>
    <mergeCell ref="A34:R34"/>
    <mergeCell ref="A35:R35"/>
    <mergeCell ref="A36:R36"/>
    <mergeCell ref="A37:R37"/>
    <mergeCell ref="A38:R38"/>
    <mergeCell ref="A39:R39"/>
  </mergeCells>
  <conditionalFormatting sqref="B5:N18">
    <cfRule type="colorScale" priority="2">
      <colorScale>
        <cfvo type="num" val="0"/>
        <cfvo type="num" val="12"/>
        <color rgb="FFFFFFFF"/>
        <color rgb="FF9DC3E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true"/>
  </sheetPr>
  <dimension ref="A1:O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14" min="3" style="1" width="9"/>
    <col collapsed="false" customWidth="true" hidden="false" outlineLevel="0" max="15" min="15" style="0" width="13"/>
  </cols>
  <sheetData>
    <row r="1" customFormat="false" ht="24" hidden="false" customHeight="true" outlineLevel="0" collapsed="false">
      <c r="A1" s="21" t="s">
        <v>321</v>
      </c>
    </row>
    <row r="2" customFormat="false" ht="15" hidden="false" customHeight="true" outlineLevel="0" collapsed="false">
      <c r="A2" s="20" t="s">
        <v>322</v>
      </c>
    </row>
    <row r="4" customFormat="false" ht="18" hidden="false" customHeight="true" outlineLevel="0" collapsed="false">
      <c r="A4" s="38" t="s">
        <v>323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15" hidden="false" customHeight="true" outlineLevel="0" collapsed="false">
      <c r="A5" s="13" t="s">
        <v>324</v>
      </c>
      <c r="B5" s="30" t="n">
        <v>120</v>
      </c>
    </row>
    <row r="6" customFormat="false" ht="15" hidden="false" customHeight="true" outlineLevel="0" collapsed="false">
      <c r="A6" s="13" t="s">
        <v>325</v>
      </c>
      <c r="B6" s="39" t="n">
        <v>130</v>
      </c>
    </row>
    <row r="7" customFormat="false" ht="15" hidden="false" customHeight="true" outlineLevel="0" collapsed="false">
      <c r="A7" s="13" t="s">
        <v>7</v>
      </c>
      <c r="B7" s="31" t="n">
        <f aca="false">개요!$C$7</f>
        <v>156</v>
      </c>
    </row>
    <row r="8" customFormat="false" ht="15" hidden="false" customHeight="true" outlineLevel="0" collapsed="false">
      <c r="A8" s="13" t="s">
        <v>326</v>
      </c>
      <c r="B8" s="40" t="n">
        <f aca="false">B5*B7</f>
        <v>18720</v>
      </c>
    </row>
    <row r="9" customFormat="false" ht="15" hidden="false" customHeight="true" outlineLevel="0" collapsed="false">
      <c r="A9" s="13" t="s">
        <v>327</v>
      </c>
      <c r="B9" s="41" t="s">
        <v>328</v>
      </c>
    </row>
    <row r="11" customFormat="false" ht="15" hidden="false" customHeight="false" outlineLevel="0" collapsed="false">
      <c r="A11" s="38" t="s">
        <v>329</v>
      </c>
    </row>
    <row r="12" customFormat="false" ht="31.5" hidden="false" customHeight="true" outlineLevel="0" collapsed="false">
      <c r="A12" s="23" t="s">
        <v>330</v>
      </c>
      <c r="B12" s="23" t="s">
        <v>331</v>
      </c>
      <c r="C12" s="22" t="s">
        <v>332</v>
      </c>
      <c r="D12" s="22" t="s">
        <v>333</v>
      </c>
      <c r="E12" s="22" t="s">
        <v>334</v>
      </c>
      <c r="F12" s="22" t="s">
        <v>335</v>
      </c>
      <c r="G12" s="22" t="s">
        <v>336</v>
      </c>
      <c r="H12" s="22" t="s">
        <v>337</v>
      </c>
      <c r="I12" s="22" t="s">
        <v>338</v>
      </c>
      <c r="J12" s="22" t="s">
        <v>339</v>
      </c>
      <c r="K12" s="22" t="s">
        <v>340</v>
      </c>
      <c r="L12" s="22" t="s">
        <v>341</v>
      </c>
      <c r="M12" s="22" t="s">
        <v>342</v>
      </c>
      <c r="N12" s="22" t="s">
        <v>343</v>
      </c>
      <c r="O12" s="22" t="s">
        <v>344</v>
      </c>
    </row>
    <row r="13" customFormat="false" ht="15" hidden="false" customHeight="false" outlineLevel="0" collapsed="false">
      <c r="A13" s="42" t="s">
        <v>107</v>
      </c>
      <c r="B13" s="30" t="n">
        <v>13</v>
      </c>
      <c r="C13" s="43" t="n">
        <v>0.13</v>
      </c>
      <c r="D13" s="43" t="n">
        <v>0.48</v>
      </c>
      <c r="E13" s="43" t="n">
        <v>0.03</v>
      </c>
      <c r="F13" s="43" t="n">
        <v>0.02</v>
      </c>
      <c r="G13" s="43" t="n">
        <v>0.02</v>
      </c>
      <c r="H13" s="43" t="n">
        <v>0.13</v>
      </c>
      <c r="I13" s="43" t="n">
        <v>0.14</v>
      </c>
      <c r="J13" s="43" t="n">
        <v>0.11</v>
      </c>
      <c r="K13" s="43" t="n">
        <v>0.08</v>
      </c>
      <c r="L13" s="43" t="n">
        <v>0.15</v>
      </c>
      <c r="M13" s="43" t="n">
        <v>0.11</v>
      </c>
      <c r="N13" s="43" t="n">
        <v>0.11</v>
      </c>
      <c r="O13" s="43" t="n">
        <v>0.06</v>
      </c>
    </row>
    <row r="14" customFormat="false" ht="15" hidden="false" customHeight="false" outlineLevel="0" collapsed="false">
      <c r="A14" s="42" t="s">
        <v>120</v>
      </c>
      <c r="B14" s="30" t="n">
        <v>8</v>
      </c>
      <c r="C14" s="43" t="n">
        <v>0.12</v>
      </c>
      <c r="D14" s="43" t="n">
        <v>0.03</v>
      </c>
      <c r="E14" s="43" t="n">
        <v>0.46</v>
      </c>
      <c r="F14" s="43" t="n">
        <v>0.04</v>
      </c>
      <c r="G14" s="43" t="n">
        <v>0.03</v>
      </c>
      <c r="H14" s="43" t="n">
        <v>0.12</v>
      </c>
      <c r="I14" s="43" t="n">
        <v>0.07</v>
      </c>
      <c r="J14" s="43" t="n">
        <v>0.08</v>
      </c>
      <c r="K14" s="43" t="n">
        <v>0.11</v>
      </c>
      <c r="L14" s="43" t="n">
        <v>0.06</v>
      </c>
      <c r="M14" s="43" t="n">
        <v>0.09</v>
      </c>
      <c r="N14" s="43" t="n">
        <v>0.09</v>
      </c>
      <c r="O14" s="43" t="n">
        <v>0.06</v>
      </c>
    </row>
    <row r="15" customFormat="false" ht="15" hidden="false" customHeight="false" outlineLevel="0" collapsed="false">
      <c r="A15" s="42" t="s">
        <v>132</v>
      </c>
      <c r="B15" s="30" t="n">
        <v>11</v>
      </c>
      <c r="C15" s="43" t="n">
        <v>0.12</v>
      </c>
      <c r="D15" s="43" t="n">
        <v>0.04</v>
      </c>
      <c r="E15" s="43" t="n">
        <v>0.04</v>
      </c>
      <c r="F15" s="43" t="n">
        <v>0.46</v>
      </c>
      <c r="G15" s="43" t="n">
        <v>0.04</v>
      </c>
      <c r="H15" s="43" t="n">
        <v>0.12</v>
      </c>
      <c r="I15" s="43" t="n">
        <v>0.1</v>
      </c>
      <c r="J15" s="43" t="n">
        <v>0.09</v>
      </c>
      <c r="K15" s="43" t="n">
        <v>0.15</v>
      </c>
      <c r="L15" s="43" t="n">
        <v>0.08</v>
      </c>
      <c r="M15" s="43" t="n">
        <v>0.11</v>
      </c>
      <c r="N15" s="43" t="n">
        <v>0.13</v>
      </c>
      <c r="O15" s="43" t="n">
        <v>0.07</v>
      </c>
    </row>
    <row r="16" customFormat="false" ht="15" hidden="false" customHeight="false" outlineLevel="0" collapsed="false">
      <c r="A16" s="42" t="s">
        <v>143</v>
      </c>
      <c r="B16" s="30" t="n">
        <v>12</v>
      </c>
      <c r="C16" s="43" t="n">
        <v>0.12</v>
      </c>
      <c r="D16" s="43" t="n">
        <v>0.05</v>
      </c>
      <c r="E16" s="43" t="n">
        <v>0.03</v>
      </c>
      <c r="F16" s="43" t="n">
        <v>0.03</v>
      </c>
      <c r="G16" s="43" t="n">
        <v>0.46</v>
      </c>
      <c r="H16" s="43" t="n">
        <v>0.12</v>
      </c>
      <c r="I16" s="43" t="n">
        <v>0.06</v>
      </c>
      <c r="J16" s="43" t="n">
        <v>0.09</v>
      </c>
      <c r="K16" s="43" t="n">
        <v>0.08</v>
      </c>
      <c r="L16" s="43" t="n">
        <v>0.11</v>
      </c>
      <c r="M16" s="43" t="n">
        <v>0.08</v>
      </c>
      <c r="N16" s="43" t="n">
        <v>0.08</v>
      </c>
      <c r="O16" s="43" t="n">
        <v>0.07</v>
      </c>
    </row>
    <row r="17" customFormat="false" ht="15" hidden="false" customHeight="false" outlineLevel="0" collapsed="false">
      <c r="A17" s="42" t="s">
        <v>155</v>
      </c>
      <c r="B17" s="30" t="n">
        <v>14</v>
      </c>
      <c r="C17" s="43" t="n">
        <v>0.08</v>
      </c>
      <c r="D17" s="43" t="n">
        <v>0.04</v>
      </c>
      <c r="E17" s="43" t="n">
        <v>0.04</v>
      </c>
      <c r="F17" s="43" t="n">
        <v>0.04</v>
      </c>
      <c r="G17" s="43" t="n">
        <v>0.04</v>
      </c>
      <c r="H17" s="43" t="n">
        <v>0.04</v>
      </c>
      <c r="I17" s="43" t="n">
        <v>0.06</v>
      </c>
      <c r="J17" s="43" t="n">
        <v>0.05</v>
      </c>
      <c r="K17" s="43" t="n">
        <v>0.04</v>
      </c>
      <c r="L17" s="43" t="n">
        <v>0.06</v>
      </c>
      <c r="M17" s="43" t="n">
        <v>0.04</v>
      </c>
      <c r="N17" s="43" t="n">
        <v>0</v>
      </c>
      <c r="O17" s="43" t="n">
        <v>0.02</v>
      </c>
    </row>
    <row r="18" customFormat="false" ht="15" hidden="false" customHeight="false" outlineLevel="0" collapsed="false">
      <c r="A18" s="42" t="s">
        <v>178</v>
      </c>
      <c r="B18" s="30" t="n">
        <v>11</v>
      </c>
      <c r="C18" s="43" t="n">
        <v>0</v>
      </c>
      <c r="D18" s="43" t="n">
        <v>0</v>
      </c>
      <c r="E18" s="43" t="n">
        <v>0.01</v>
      </c>
      <c r="F18" s="43" t="n">
        <v>0</v>
      </c>
      <c r="G18" s="43" t="n">
        <v>0</v>
      </c>
      <c r="H18" s="43" t="n">
        <v>0.02</v>
      </c>
      <c r="I18" s="43" t="n">
        <v>0.05</v>
      </c>
      <c r="J18" s="43" t="n">
        <v>0.05</v>
      </c>
      <c r="K18" s="43" t="n">
        <v>0.03</v>
      </c>
      <c r="L18" s="43" t="n">
        <v>0.06</v>
      </c>
      <c r="M18" s="43" t="n">
        <v>0.06</v>
      </c>
      <c r="N18" s="43" t="n">
        <v>0.06</v>
      </c>
      <c r="O18" s="43" t="n">
        <v>0.03</v>
      </c>
    </row>
    <row r="19" customFormat="false" ht="15" hidden="false" customHeight="false" outlineLevel="0" collapsed="false">
      <c r="A19" s="42" t="s">
        <v>190</v>
      </c>
      <c r="B19" s="30" t="n">
        <v>7</v>
      </c>
      <c r="C19" s="43" t="n">
        <v>0.02</v>
      </c>
      <c r="D19" s="43" t="n">
        <v>0.01</v>
      </c>
      <c r="E19" s="43" t="n">
        <v>0.01</v>
      </c>
      <c r="F19" s="43" t="n">
        <v>0.01</v>
      </c>
      <c r="G19" s="43" t="n">
        <v>0.01</v>
      </c>
      <c r="H19" s="43" t="n">
        <v>0.05</v>
      </c>
      <c r="I19" s="43" t="n">
        <v>0.06</v>
      </c>
      <c r="J19" s="43" t="n">
        <v>0.06</v>
      </c>
      <c r="K19" s="43" t="n">
        <v>0.04</v>
      </c>
      <c r="L19" s="43" t="n">
        <v>0.08</v>
      </c>
      <c r="M19" s="43" t="n">
        <v>0.07</v>
      </c>
      <c r="N19" s="43" t="n">
        <v>0.07</v>
      </c>
      <c r="O19" s="43" t="n">
        <v>0.06</v>
      </c>
    </row>
    <row r="20" customFormat="false" ht="15" hidden="false" customHeight="false" outlineLevel="0" collapsed="false">
      <c r="A20" s="42" t="s">
        <v>213</v>
      </c>
      <c r="B20" s="30" t="n">
        <v>9</v>
      </c>
      <c r="C20" s="43" t="n">
        <v>0.02</v>
      </c>
      <c r="D20" s="43" t="n">
        <v>0.01</v>
      </c>
      <c r="E20" s="43" t="n">
        <v>0.01</v>
      </c>
      <c r="F20" s="43" t="n">
        <v>0.01</v>
      </c>
      <c r="G20" s="43" t="n">
        <v>0.01</v>
      </c>
      <c r="H20" s="43" t="n">
        <v>0.03</v>
      </c>
      <c r="I20" s="43" t="n">
        <v>0.06</v>
      </c>
      <c r="J20" s="43" t="n">
        <v>0.03</v>
      </c>
      <c r="K20" s="43" t="n">
        <v>0.04</v>
      </c>
      <c r="L20" s="43" t="n">
        <v>0.03</v>
      </c>
      <c r="M20" s="43" t="n">
        <v>0.05</v>
      </c>
      <c r="N20" s="43" t="n">
        <v>0.05</v>
      </c>
      <c r="O20" s="43" t="n">
        <v>0.08</v>
      </c>
    </row>
    <row r="21" customFormat="false" ht="15" hidden="false" customHeight="false" outlineLevel="0" collapsed="false">
      <c r="A21" s="42" t="s">
        <v>166</v>
      </c>
      <c r="B21" s="30" t="n">
        <v>10</v>
      </c>
      <c r="C21" s="43" t="n">
        <v>0.02</v>
      </c>
      <c r="D21" s="43" t="n">
        <v>0.01</v>
      </c>
      <c r="E21" s="43" t="n">
        <v>0.03</v>
      </c>
      <c r="F21" s="43" t="n">
        <v>0.04</v>
      </c>
      <c r="G21" s="43" t="n">
        <v>0.01</v>
      </c>
      <c r="H21" s="43" t="n">
        <v>0.03</v>
      </c>
      <c r="I21" s="43" t="n">
        <v>0.08</v>
      </c>
      <c r="J21" s="43" t="n">
        <v>0.06</v>
      </c>
      <c r="K21" s="43" t="n">
        <v>0.07</v>
      </c>
      <c r="L21" s="43" t="n">
        <v>0.05</v>
      </c>
      <c r="M21" s="43" t="n">
        <v>0.06</v>
      </c>
      <c r="N21" s="43" t="n">
        <v>0.06</v>
      </c>
      <c r="O21" s="43" t="n">
        <v>0.05</v>
      </c>
    </row>
    <row r="22" customFormat="false" ht="15" hidden="false" customHeight="false" outlineLevel="0" collapsed="false">
      <c r="A22" s="42" t="s">
        <v>201</v>
      </c>
      <c r="B22" s="30" t="n">
        <v>9</v>
      </c>
      <c r="C22" s="43" t="n">
        <v>0.01</v>
      </c>
      <c r="D22" s="43" t="n">
        <v>0.01</v>
      </c>
      <c r="E22" s="43" t="n">
        <v>0.04</v>
      </c>
      <c r="F22" s="43" t="n">
        <v>0.01</v>
      </c>
      <c r="G22" s="43" t="n">
        <v>0.04</v>
      </c>
      <c r="H22" s="43" t="n">
        <v>0.03</v>
      </c>
      <c r="I22" s="43" t="n">
        <v>0.05</v>
      </c>
      <c r="J22" s="43" t="n">
        <v>0.06</v>
      </c>
      <c r="K22" s="43" t="n">
        <v>0.04</v>
      </c>
      <c r="L22" s="43" t="n">
        <v>0.05</v>
      </c>
      <c r="M22" s="43" t="n">
        <v>0.04</v>
      </c>
      <c r="N22" s="43" t="n">
        <v>0.04</v>
      </c>
      <c r="O22" s="43" t="n">
        <v>0.05</v>
      </c>
    </row>
    <row r="23" customFormat="false" ht="15" hidden="false" customHeight="false" outlineLevel="0" collapsed="false">
      <c r="A23" s="42" t="s">
        <v>225</v>
      </c>
      <c r="B23" s="30" t="n">
        <v>9</v>
      </c>
      <c r="C23" s="43" t="n">
        <v>0.12</v>
      </c>
      <c r="D23" s="43" t="n">
        <v>0.04</v>
      </c>
      <c r="E23" s="43" t="n">
        <v>0.03</v>
      </c>
      <c r="F23" s="43" t="n">
        <v>0.03</v>
      </c>
      <c r="G23" s="43" t="n">
        <v>0.03</v>
      </c>
      <c r="H23" s="43" t="n">
        <v>0.05</v>
      </c>
      <c r="I23" s="43" t="n">
        <v>0.04</v>
      </c>
      <c r="J23" s="43" t="n">
        <v>0.05</v>
      </c>
      <c r="K23" s="43" t="n">
        <v>0.03</v>
      </c>
      <c r="L23" s="43" t="n">
        <v>0.04</v>
      </c>
      <c r="M23" s="43" t="n">
        <v>0.04</v>
      </c>
      <c r="N23" s="43" t="n">
        <v>0.04</v>
      </c>
      <c r="O23" s="43" t="n">
        <v>0.13</v>
      </c>
    </row>
    <row r="24" customFormat="false" ht="15" hidden="false" customHeight="false" outlineLevel="0" collapsed="false">
      <c r="A24" s="42" t="s">
        <v>236</v>
      </c>
      <c r="B24" s="30" t="n">
        <v>10</v>
      </c>
      <c r="C24" s="43" t="n">
        <v>0.01</v>
      </c>
      <c r="D24" s="43" t="n">
        <v>0.02</v>
      </c>
      <c r="E24" s="43" t="n">
        <v>0.01</v>
      </c>
      <c r="F24" s="43" t="n">
        <v>0.01</v>
      </c>
      <c r="G24" s="43" t="n">
        <v>0.09</v>
      </c>
      <c r="H24" s="43" t="n">
        <v>0.05</v>
      </c>
      <c r="I24" s="43" t="n">
        <v>0.06</v>
      </c>
      <c r="J24" s="43" t="n">
        <v>0.08</v>
      </c>
      <c r="K24" s="43" t="n">
        <v>0.08</v>
      </c>
      <c r="L24" s="43" t="n">
        <v>0.06</v>
      </c>
      <c r="M24" s="43" t="n">
        <v>0.05</v>
      </c>
      <c r="N24" s="43" t="n">
        <v>0.05</v>
      </c>
      <c r="O24" s="43" t="n">
        <v>0.05</v>
      </c>
    </row>
    <row r="25" customFormat="false" ht="15" hidden="false" customHeight="false" outlineLevel="0" collapsed="false">
      <c r="A25" s="42" t="s">
        <v>271</v>
      </c>
      <c r="B25" s="30" t="n">
        <v>12</v>
      </c>
      <c r="C25" s="43" t="n">
        <v>0.02</v>
      </c>
      <c r="D25" s="43" t="n">
        <v>0.01</v>
      </c>
      <c r="E25" s="43" t="n">
        <v>0.01</v>
      </c>
      <c r="F25" s="43" t="n">
        <v>0.01</v>
      </c>
      <c r="G25" s="43" t="n">
        <v>0.01</v>
      </c>
      <c r="H25" s="43" t="n">
        <v>0.03</v>
      </c>
      <c r="I25" s="43" t="n">
        <v>0.03</v>
      </c>
      <c r="J25" s="43" t="n">
        <v>0.08</v>
      </c>
      <c r="K25" s="43" t="n">
        <v>0.05</v>
      </c>
      <c r="L25" s="43" t="n">
        <v>0.07</v>
      </c>
      <c r="M25" s="43" t="n">
        <v>0.05</v>
      </c>
      <c r="N25" s="43" t="n">
        <v>0.07</v>
      </c>
      <c r="O25" s="43" t="n">
        <v>0.05</v>
      </c>
    </row>
    <row r="26" customFormat="false" ht="15" hidden="false" customHeight="false" outlineLevel="0" collapsed="false">
      <c r="A26" s="42" t="s">
        <v>247</v>
      </c>
      <c r="B26" s="30" t="n">
        <v>7</v>
      </c>
      <c r="C26" s="43" t="n">
        <v>0.17</v>
      </c>
      <c r="D26" s="43" t="n">
        <v>0.08</v>
      </c>
      <c r="E26" s="43" t="n">
        <v>0.08</v>
      </c>
      <c r="F26" s="43" t="n">
        <v>0.08</v>
      </c>
      <c r="G26" s="43" t="n">
        <v>0.08</v>
      </c>
      <c r="H26" s="43" t="n">
        <v>0.11</v>
      </c>
      <c r="I26" s="43" t="n">
        <v>0.06</v>
      </c>
      <c r="J26" s="43" t="n">
        <v>0.06</v>
      </c>
      <c r="K26" s="43" t="n">
        <v>0.09</v>
      </c>
      <c r="L26" s="43" t="n">
        <v>0.05</v>
      </c>
      <c r="M26" s="43" t="n">
        <v>0.08</v>
      </c>
      <c r="N26" s="43" t="n">
        <v>0.08</v>
      </c>
      <c r="O26" s="43" t="n">
        <v>0.18</v>
      </c>
    </row>
    <row r="27" customFormat="false" ht="15" hidden="false" customHeight="false" outlineLevel="0" collapsed="false">
      <c r="A27" s="42" t="s">
        <v>258</v>
      </c>
      <c r="B27" s="30" t="n">
        <v>11</v>
      </c>
      <c r="C27" s="43" t="n">
        <v>0.01</v>
      </c>
      <c r="D27" s="43" t="n">
        <v>0.02</v>
      </c>
      <c r="E27" s="43" t="n">
        <v>0.01</v>
      </c>
      <c r="F27" s="43" t="n">
        <v>0.08</v>
      </c>
      <c r="G27" s="43" t="n">
        <v>0.01</v>
      </c>
      <c r="H27" s="43" t="n">
        <v>0.02</v>
      </c>
      <c r="I27" s="43" t="n">
        <v>0.06</v>
      </c>
      <c r="J27" s="43" t="n">
        <v>0.03</v>
      </c>
      <c r="K27" s="43" t="n">
        <v>0.05</v>
      </c>
      <c r="L27" s="43" t="n">
        <v>0.03</v>
      </c>
      <c r="M27" s="43" t="n">
        <v>0.05</v>
      </c>
      <c r="N27" s="43" t="n">
        <v>0.05</v>
      </c>
      <c r="O27" s="43" t="n">
        <v>0.02</v>
      </c>
    </row>
    <row r="28" customFormat="false" ht="15" hidden="false" customHeight="false" outlineLevel="0" collapsed="false">
      <c r="A28" s="44" t="s">
        <v>345</v>
      </c>
      <c r="B28" s="30" t="n">
        <v>10</v>
      </c>
      <c r="C28" s="43" t="n">
        <v>0.03</v>
      </c>
      <c r="D28" s="43" t="n">
        <v>0.15</v>
      </c>
      <c r="E28" s="43" t="n">
        <v>0.16</v>
      </c>
      <c r="F28" s="43" t="n">
        <v>0.13</v>
      </c>
      <c r="G28" s="43" t="n">
        <v>0.12</v>
      </c>
      <c r="H28" s="43" t="n">
        <v>0.05</v>
      </c>
      <c r="I28" s="43" t="n">
        <v>0.02</v>
      </c>
      <c r="J28" s="43" t="n">
        <v>0.02</v>
      </c>
      <c r="K28" s="43" t="n">
        <v>0.02</v>
      </c>
      <c r="L28" s="43" t="n">
        <v>0.02</v>
      </c>
      <c r="M28" s="43" t="n">
        <v>0.02</v>
      </c>
      <c r="N28" s="43" t="n">
        <v>0.02</v>
      </c>
      <c r="O28" s="43" t="n">
        <v>0.02</v>
      </c>
    </row>
    <row r="29" customFormat="false" ht="15" hidden="false" customHeight="false" outlineLevel="0" collapsed="false">
      <c r="A29" s="45" t="s">
        <v>297</v>
      </c>
      <c r="C29" s="46" t="n">
        <f aca="false">SUM(C13:C28)</f>
        <v>1</v>
      </c>
      <c r="D29" s="46" t="n">
        <f aca="false">SUM(D13:D28)</f>
        <v>1</v>
      </c>
      <c r="E29" s="46" t="n">
        <f aca="false">SUM(E13:E28)</f>
        <v>1</v>
      </c>
      <c r="F29" s="46" t="n">
        <f aca="false">SUM(F13:F28)</f>
        <v>1</v>
      </c>
      <c r="G29" s="46" t="n">
        <f aca="false">SUM(G13:G28)</f>
        <v>1</v>
      </c>
      <c r="H29" s="46" t="n">
        <f aca="false">SUM(H13:H28)</f>
        <v>1</v>
      </c>
      <c r="I29" s="46" t="n">
        <f aca="false">SUM(I13:I28)</f>
        <v>1</v>
      </c>
      <c r="J29" s="46" t="n">
        <f aca="false">SUM(J13:J28)</f>
        <v>1</v>
      </c>
      <c r="K29" s="46" t="n">
        <f aca="false">SUM(K13:K28)</f>
        <v>1</v>
      </c>
      <c r="L29" s="46" t="n">
        <f aca="false">SUM(L13:L28)</f>
        <v>1</v>
      </c>
      <c r="M29" s="46" t="n">
        <f aca="false">SUM(M13:M28)</f>
        <v>1</v>
      </c>
      <c r="N29" s="46" t="n">
        <f aca="false">SUM(N13:N28)</f>
        <v>1</v>
      </c>
      <c r="O29" s="46" t="n">
        <f aca="false">SUM(O13:O28)</f>
        <v>1</v>
      </c>
    </row>
    <row r="30" customFormat="false" ht="15" hidden="false" customHeight="false" outlineLevel="0" collapsed="false">
      <c r="A30" s="45" t="s">
        <v>346</v>
      </c>
      <c r="C30" s="47" t="str">
        <f aca="false">IF(ROUND(C29,4)=1,"OK","확인")</f>
        <v>OK</v>
      </c>
      <c r="D30" s="47" t="str">
        <f aca="false">IF(ROUND(D29,4)=1,"OK","확인")</f>
        <v>OK</v>
      </c>
      <c r="E30" s="47" t="str">
        <f aca="false">IF(ROUND(E29,4)=1,"OK","확인")</f>
        <v>OK</v>
      </c>
      <c r="F30" s="47" t="str">
        <f aca="false">IF(ROUND(F29,4)=1,"OK","확인")</f>
        <v>OK</v>
      </c>
      <c r="G30" s="47" t="str">
        <f aca="false">IF(ROUND(G29,4)=1,"OK","확인")</f>
        <v>OK</v>
      </c>
      <c r="H30" s="47" t="str">
        <f aca="false">IF(ROUND(H29,4)=1,"OK","확인")</f>
        <v>OK</v>
      </c>
      <c r="I30" s="47" t="str">
        <f aca="false">IF(ROUND(I29,4)=1,"OK","확인")</f>
        <v>OK</v>
      </c>
      <c r="J30" s="47" t="str">
        <f aca="false">IF(ROUND(J29,4)=1,"OK","확인")</f>
        <v>OK</v>
      </c>
      <c r="K30" s="47" t="str">
        <f aca="false">IF(ROUND(K29,4)=1,"OK","확인")</f>
        <v>OK</v>
      </c>
      <c r="L30" s="47" t="str">
        <f aca="false">IF(ROUND(L29,4)=1,"OK","확인")</f>
        <v>OK</v>
      </c>
      <c r="M30" s="47" t="str">
        <f aca="false">IF(ROUND(M29,4)=1,"OK","확인")</f>
        <v>OK</v>
      </c>
      <c r="N30" s="47" t="str">
        <f aca="false">IF(ROUND(N29,4)=1,"OK","확인")</f>
        <v>OK</v>
      </c>
      <c r="O30" s="47" t="str">
        <f aca="false">IF(ROUND(O29,4)=1,"OK","확인")</f>
        <v>OK</v>
      </c>
    </row>
    <row r="32" customFormat="false" ht="15" hidden="false" customHeight="false" outlineLevel="0" collapsed="false">
      <c r="A32" s="38" t="s">
        <v>347</v>
      </c>
    </row>
    <row r="33" customFormat="false" ht="31.5" hidden="false" customHeight="true" outlineLevel="0" collapsed="false">
      <c r="A33" s="23" t="s">
        <v>348</v>
      </c>
      <c r="B33" s="23" t="s">
        <v>349</v>
      </c>
      <c r="C33" s="23" t="s">
        <v>350</v>
      </c>
      <c r="D33" s="23" t="s">
        <v>351</v>
      </c>
      <c r="E33" s="23" t="s">
        <v>331</v>
      </c>
      <c r="F33" s="23" t="s">
        <v>352</v>
      </c>
      <c r="G33" s="23" t="s">
        <v>353</v>
      </c>
      <c r="H33" s="23" t="s">
        <v>354</v>
      </c>
      <c r="I33" s="23" t="s">
        <v>355</v>
      </c>
    </row>
    <row r="34" customFormat="false" ht="15" hidden="false" customHeight="false" outlineLevel="0" collapsed="false">
      <c r="A34" s="48" t="s">
        <v>356</v>
      </c>
      <c r="B34" s="49" t="n">
        <v>0.8</v>
      </c>
      <c r="C34" s="31" t="n">
        <f aca="false">$B$5</f>
        <v>120</v>
      </c>
      <c r="D34" s="31" t="n">
        <f aca="false">C34*개요!$C$6</f>
        <v>1440</v>
      </c>
      <c r="E34" s="31" t="n">
        <f aca="false">SUMPRODUCT(C$13:C$28,$B$13:$B$28)*B34</f>
        <v>8.128</v>
      </c>
      <c r="F34" s="31" t="n">
        <f aca="false">C34*E34</f>
        <v>975.36</v>
      </c>
      <c r="G34" s="31" t="n">
        <f aca="false">F34*개요!$C$6</f>
        <v>11704.32</v>
      </c>
      <c r="H34" s="31" t="n">
        <f aca="false">F34/$B$6</f>
        <v>7.50276923076923</v>
      </c>
      <c r="I34" s="50" t="n">
        <f aca="false">H34*개요!$C$6/60</f>
        <v>1.50055384615385</v>
      </c>
    </row>
    <row r="35" customFormat="false" ht="15" hidden="false" customHeight="false" outlineLevel="0" collapsed="false">
      <c r="A35" s="48" t="s">
        <v>357</v>
      </c>
      <c r="B35" s="49" t="n">
        <v>1</v>
      </c>
      <c r="C35" s="31" t="n">
        <f aca="false">$B$5</f>
        <v>120</v>
      </c>
      <c r="D35" s="31" t="n">
        <f aca="false">C35*개요!$C$6</f>
        <v>1440</v>
      </c>
      <c r="E35" s="31" t="n">
        <f aca="false">SUMPRODUCT(D$13:D$28,$B$13:$B$28)*B35</f>
        <v>11.39</v>
      </c>
      <c r="F35" s="31" t="n">
        <f aca="false">C35*E35</f>
        <v>1366.8</v>
      </c>
      <c r="G35" s="31" t="n">
        <f aca="false">F35*개요!$C$6</f>
        <v>16401.6</v>
      </c>
      <c r="H35" s="31" t="n">
        <f aca="false">F35/$B$6</f>
        <v>10.5138461538462</v>
      </c>
      <c r="I35" s="50" t="n">
        <f aca="false">H35*개요!$C$6/60</f>
        <v>2.10276923076923</v>
      </c>
    </row>
    <row r="36" customFormat="false" ht="15" hidden="false" customHeight="false" outlineLevel="0" collapsed="false">
      <c r="A36" s="48" t="s">
        <v>358</v>
      </c>
      <c r="B36" s="49" t="n">
        <v>1</v>
      </c>
      <c r="C36" s="31" t="n">
        <f aca="false">$B$5</f>
        <v>120</v>
      </c>
      <c r="D36" s="31" t="n">
        <f aca="false">C36*개요!$C$6</f>
        <v>1440</v>
      </c>
      <c r="E36" s="31" t="n">
        <f aca="false">SUMPRODUCT(E$13:E$28,$B$13:$B$28)*B36</f>
        <v>9.12</v>
      </c>
      <c r="F36" s="31" t="n">
        <f aca="false">C36*E36</f>
        <v>1094.4</v>
      </c>
      <c r="G36" s="31" t="n">
        <f aca="false">F36*개요!$C$6</f>
        <v>13132.8</v>
      </c>
      <c r="H36" s="31" t="n">
        <f aca="false">F36/$B$6</f>
        <v>8.41846153846154</v>
      </c>
      <c r="I36" s="50" t="n">
        <f aca="false">H36*개요!$C$6/60</f>
        <v>1.68369230769231</v>
      </c>
    </row>
    <row r="37" customFormat="false" ht="15" hidden="false" customHeight="false" outlineLevel="0" collapsed="false">
      <c r="A37" s="48" t="s">
        <v>359</v>
      </c>
      <c r="B37" s="49" t="n">
        <v>1</v>
      </c>
      <c r="C37" s="31" t="n">
        <f aca="false">$B$5</f>
        <v>120</v>
      </c>
      <c r="D37" s="31" t="n">
        <f aca="false">C37*개요!$C$6</f>
        <v>1440</v>
      </c>
      <c r="E37" s="31" t="n">
        <f aca="false">SUMPRODUCT(F$13:F$28,$B$13:$B$28)*B37</f>
        <v>10.44</v>
      </c>
      <c r="F37" s="31" t="n">
        <f aca="false">C37*E37</f>
        <v>1252.8</v>
      </c>
      <c r="G37" s="31" t="n">
        <f aca="false">F37*개요!$C$6</f>
        <v>15033.6</v>
      </c>
      <c r="H37" s="31" t="n">
        <f aca="false">F37/$B$6</f>
        <v>9.63692307692308</v>
      </c>
      <c r="I37" s="50" t="n">
        <f aca="false">H37*개요!$C$6/60</f>
        <v>1.92738461538462</v>
      </c>
    </row>
    <row r="38" customFormat="false" ht="15" hidden="false" customHeight="false" outlineLevel="0" collapsed="false">
      <c r="A38" s="48" t="s">
        <v>360</v>
      </c>
      <c r="B38" s="49" t="n">
        <v>1</v>
      </c>
      <c r="C38" s="31" t="n">
        <f aca="false">$B$5</f>
        <v>120</v>
      </c>
      <c r="D38" s="31" t="n">
        <f aca="false">C38*개요!$C$6</f>
        <v>1440</v>
      </c>
      <c r="E38" s="31" t="n">
        <f aca="false">SUMPRODUCT(G$13:G$28,$B$13:$B$28)*B38</f>
        <v>10.8</v>
      </c>
      <c r="F38" s="31" t="n">
        <f aca="false">C38*E38</f>
        <v>1296</v>
      </c>
      <c r="G38" s="31" t="n">
        <f aca="false">F38*개요!$C$6</f>
        <v>15552</v>
      </c>
      <c r="H38" s="31" t="n">
        <f aca="false">F38/$B$6</f>
        <v>9.96923076923077</v>
      </c>
      <c r="I38" s="50" t="n">
        <f aca="false">H38*개요!$C$6/60</f>
        <v>1.99384615384615</v>
      </c>
    </row>
    <row r="39" customFormat="false" ht="15" hidden="false" customHeight="false" outlineLevel="0" collapsed="false">
      <c r="A39" s="48" t="s">
        <v>361</v>
      </c>
      <c r="B39" s="49" t="n">
        <v>1</v>
      </c>
      <c r="C39" s="31" t="n">
        <f aca="false">$B$5</f>
        <v>120</v>
      </c>
      <c r="D39" s="31" t="n">
        <f aca="false">C39*개요!$C$6</f>
        <v>1440</v>
      </c>
      <c r="E39" s="31" t="n">
        <f aca="false">SUMPRODUCT(H$13:H$28,$B$13:$B$28)*B39</f>
        <v>10.18</v>
      </c>
      <c r="F39" s="31" t="n">
        <f aca="false">C39*E39</f>
        <v>1221.6</v>
      </c>
      <c r="G39" s="31" t="n">
        <f aca="false">F39*개요!$C$6</f>
        <v>14659.2</v>
      </c>
      <c r="H39" s="31" t="n">
        <f aca="false">F39/$B$6</f>
        <v>9.39692307692308</v>
      </c>
      <c r="I39" s="50" t="n">
        <f aca="false">H39*개요!$C$6/60</f>
        <v>1.87938461538462</v>
      </c>
    </row>
    <row r="40" customFormat="false" ht="15" hidden="false" customHeight="false" outlineLevel="0" collapsed="false">
      <c r="A40" s="48" t="s">
        <v>362</v>
      </c>
      <c r="B40" s="49" t="n">
        <v>1</v>
      </c>
      <c r="C40" s="31" t="n">
        <f aca="false">$B$5</f>
        <v>120</v>
      </c>
      <c r="D40" s="31" t="n">
        <f aca="false">C40*개요!$C$6</f>
        <v>1440</v>
      </c>
      <c r="E40" s="31" t="n">
        <f aca="false">SUMPRODUCT(I$13:I$28,$B$13:$B$28)*B40</f>
        <v>10.4</v>
      </c>
      <c r="F40" s="31" t="n">
        <f aca="false">C40*E40</f>
        <v>1248</v>
      </c>
      <c r="G40" s="31" t="n">
        <f aca="false">F40*개요!$C$6</f>
        <v>14976</v>
      </c>
      <c r="H40" s="31" t="n">
        <f aca="false">F40/$B$6</f>
        <v>9.6</v>
      </c>
      <c r="I40" s="50" t="n">
        <f aca="false">H40*개요!$C$6/60</f>
        <v>1.92</v>
      </c>
    </row>
    <row r="41" customFormat="false" ht="15" hidden="false" customHeight="false" outlineLevel="0" collapsed="false">
      <c r="A41" s="48" t="s">
        <v>363</v>
      </c>
      <c r="B41" s="49" t="n">
        <v>1.1</v>
      </c>
      <c r="C41" s="31" t="n">
        <f aca="false">$B$5</f>
        <v>120</v>
      </c>
      <c r="D41" s="31" t="n">
        <f aca="false">C41*개요!$C$6</f>
        <v>1440</v>
      </c>
      <c r="E41" s="31" t="n">
        <f aca="false">SUMPRODUCT(J$13:J$28,$B$13:$B$28)*B41</f>
        <v>11.418</v>
      </c>
      <c r="F41" s="31" t="n">
        <f aca="false">C41*E41</f>
        <v>1370.16</v>
      </c>
      <c r="G41" s="31" t="n">
        <f aca="false">F41*개요!$C$6</f>
        <v>16441.92</v>
      </c>
      <c r="H41" s="31" t="n">
        <f aca="false">F41/$B$6</f>
        <v>10.5396923076923</v>
      </c>
      <c r="I41" s="50" t="n">
        <f aca="false">H41*개요!$C$6/60</f>
        <v>2.10793846153846</v>
      </c>
    </row>
    <row r="42" customFormat="false" ht="15" hidden="false" customHeight="false" outlineLevel="0" collapsed="false">
      <c r="A42" s="48" t="s">
        <v>364</v>
      </c>
      <c r="B42" s="49" t="n">
        <v>1.1</v>
      </c>
      <c r="C42" s="31" t="n">
        <f aca="false">$B$5</f>
        <v>120</v>
      </c>
      <c r="D42" s="31" t="n">
        <f aca="false">C42*개요!$C$6</f>
        <v>1440</v>
      </c>
      <c r="E42" s="31" t="n">
        <f aca="false">SUMPRODUCT(K$13:K$28,$B$13:$B$28)*B42</f>
        <v>11.187</v>
      </c>
      <c r="F42" s="31" t="n">
        <f aca="false">C42*E42</f>
        <v>1342.44</v>
      </c>
      <c r="G42" s="31" t="n">
        <f aca="false">F42*개요!$C$6</f>
        <v>16109.28</v>
      </c>
      <c r="H42" s="31" t="n">
        <f aca="false">F42/$B$6</f>
        <v>10.3264615384615</v>
      </c>
      <c r="I42" s="50" t="n">
        <f aca="false">H42*개요!$C$6/60</f>
        <v>2.06529230769231</v>
      </c>
    </row>
    <row r="43" customFormat="false" ht="15" hidden="false" customHeight="false" outlineLevel="0" collapsed="false">
      <c r="A43" s="48" t="s">
        <v>365</v>
      </c>
      <c r="B43" s="49" t="n">
        <v>1.2</v>
      </c>
      <c r="C43" s="31" t="n">
        <f aca="false">$B$5</f>
        <v>120</v>
      </c>
      <c r="D43" s="31" t="n">
        <f aca="false">C43*개요!$C$6</f>
        <v>1440</v>
      </c>
      <c r="E43" s="31" t="n">
        <f aca="false">SUMPRODUCT(L$13:L$28,$B$13:$B$28)*B43</f>
        <v>12.708</v>
      </c>
      <c r="F43" s="31" t="n">
        <f aca="false">C43*E43</f>
        <v>1524.96</v>
      </c>
      <c r="G43" s="31" t="n">
        <f aca="false">F43*개요!$C$6</f>
        <v>18299.52</v>
      </c>
      <c r="H43" s="31" t="n">
        <f aca="false">F43/$B$6</f>
        <v>11.7304615384615</v>
      </c>
      <c r="I43" s="50" t="n">
        <f aca="false">H43*개요!$C$6/60</f>
        <v>2.34609230769231</v>
      </c>
    </row>
    <row r="44" customFormat="false" ht="15" hidden="false" customHeight="false" outlineLevel="0" collapsed="false">
      <c r="A44" s="48" t="s">
        <v>366</v>
      </c>
      <c r="B44" s="49" t="n">
        <v>1.2</v>
      </c>
      <c r="C44" s="31" t="n">
        <f aca="false">$B$5</f>
        <v>120</v>
      </c>
      <c r="D44" s="31" t="n">
        <f aca="false">C44*개요!$C$6</f>
        <v>1440</v>
      </c>
      <c r="E44" s="31" t="n">
        <f aca="false">SUMPRODUCT(M$13:M$28,$B$13:$B$28)*B44</f>
        <v>12.252</v>
      </c>
      <c r="F44" s="31" t="n">
        <f aca="false">C44*E44</f>
        <v>1470.24</v>
      </c>
      <c r="G44" s="31" t="n">
        <f aca="false">F44*개요!$C$6</f>
        <v>17642.88</v>
      </c>
      <c r="H44" s="31" t="n">
        <f aca="false">F44/$B$6</f>
        <v>11.3095384615385</v>
      </c>
      <c r="I44" s="50" t="n">
        <f aca="false">H44*개요!$C$6/60</f>
        <v>2.26190769230769</v>
      </c>
    </row>
    <row r="45" customFormat="false" ht="15" hidden="false" customHeight="false" outlineLevel="0" collapsed="false">
      <c r="A45" s="48" t="s">
        <v>367</v>
      </c>
      <c r="B45" s="49" t="n">
        <v>1.2</v>
      </c>
      <c r="C45" s="31" t="n">
        <f aca="false">$B$5</f>
        <v>120</v>
      </c>
      <c r="D45" s="31" t="n">
        <f aca="false">C45*개요!$C$6</f>
        <v>1440</v>
      </c>
      <c r="E45" s="31" t="n">
        <f aca="false">SUMPRODUCT(N$13:N$28,$B$13:$B$28)*B45</f>
        <v>12.132</v>
      </c>
      <c r="F45" s="31" t="n">
        <f aca="false">C45*E45</f>
        <v>1455.84</v>
      </c>
      <c r="G45" s="31" t="n">
        <f aca="false">F45*개요!$C$6</f>
        <v>17470.08</v>
      </c>
      <c r="H45" s="31" t="n">
        <f aca="false">F45/$B$6</f>
        <v>11.1987692307692</v>
      </c>
      <c r="I45" s="50" t="n">
        <f aca="false">H45*개요!$C$6/60</f>
        <v>2.23975384615385</v>
      </c>
    </row>
    <row r="46" customFormat="false" ht="15" hidden="false" customHeight="false" outlineLevel="0" collapsed="false">
      <c r="A46" s="48" t="s">
        <v>368</v>
      </c>
      <c r="B46" s="49" t="n">
        <v>0.8</v>
      </c>
      <c r="C46" s="31" t="n">
        <f aca="false">$B$5</f>
        <v>120</v>
      </c>
      <c r="D46" s="31" t="n">
        <f aca="false">C46*개요!$C$6</f>
        <v>1440</v>
      </c>
      <c r="E46" s="31" t="n">
        <f aca="false">SUMPRODUCT(O$13:O$28,$B$13:$B$28)*B46</f>
        <v>7.616</v>
      </c>
      <c r="F46" s="31" t="n">
        <f aca="false">C46*E46</f>
        <v>913.92</v>
      </c>
      <c r="G46" s="31" t="n">
        <f aca="false">F46*개요!$C$6</f>
        <v>10967.04</v>
      </c>
      <c r="H46" s="31" t="n">
        <f aca="false">F46/$B$6</f>
        <v>7.03015384615385</v>
      </c>
      <c r="I46" s="50" t="n">
        <f aca="false">H46*개요!$C$6/60</f>
        <v>1.40603076923077</v>
      </c>
    </row>
    <row r="47" customFormat="false" ht="15" hidden="false" customHeight="false" outlineLevel="0" collapsed="false">
      <c r="A47" s="51" t="s">
        <v>369</v>
      </c>
      <c r="B47" s="52"/>
      <c r="C47" s="52"/>
      <c r="D47" s="52" t="n">
        <f aca="false">SUM(D34:D46)</f>
        <v>18720</v>
      </c>
      <c r="E47" s="52" t="n">
        <f aca="false">G47/D47</f>
        <v>10.5977692307692</v>
      </c>
      <c r="F47" s="52" t="n">
        <f aca="false">AVERAGE(F34:F46)</f>
        <v>1271.73230769231</v>
      </c>
      <c r="G47" s="52" t="n">
        <f aca="false">SUM(G34:G46)</f>
        <v>198390.24</v>
      </c>
      <c r="H47" s="52" t="n">
        <f aca="false">AVERAGE(H34:H46)</f>
        <v>9.78255621301775</v>
      </c>
      <c r="I47" s="52" t="n">
        <f aca="false">SUM(I34:I46)</f>
        <v>25.4346461538462</v>
      </c>
    </row>
    <row r="48" customFormat="false" ht="15" hidden="false" customHeight="false" outlineLevel="0" collapsed="false">
      <c r="A48" s="20" t="s">
        <v>370</v>
      </c>
    </row>
    <row r="50" customFormat="false" ht="15" hidden="false" customHeight="false" outlineLevel="0" collapsed="false">
      <c r="A50" s="38" t="s">
        <v>371</v>
      </c>
    </row>
    <row r="51" customFormat="false" ht="15" hidden="false" customHeight="false" outlineLevel="0" collapsed="false">
      <c r="A51" s="23" t="s">
        <v>372</v>
      </c>
      <c r="B51" s="23" t="s">
        <v>373</v>
      </c>
      <c r="C51" s="23" t="s">
        <v>374</v>
      </c>
      <c r="D51" s="23" t="s">
        <v>375</v>
      </c>
      <c r="E51" s="23" t="s">
        <v>376</v>
      </c>
      <c r="F51" s="23" t="s">
        <v>377</v>
      </c>
      <c r="G51" s="23" t="s">
        <v>297</v>
      </c>
      <c r="H51" s="23" t="s">
        <v>346</v>
      </c>
      <c r="I51" s="23" t="s">
        <v>378</v>
      </c>
    </row>
    <row r="52" customFormat="false" ht="15" hidden="false" customHeight="true" outlineLevel="0" collapsed="false">
      <c r="A52" s="53" t="s">
        <v>379</v>
      </c>
      <c r="B52" s="54" t="n">
        <v>15</v>
      </c>
      <c r="C52" s="54" t="n">
        <v>35</v>
      </c>
      <c r="D52" s="54" t="n">
        <v>30</v>
      </c>
      <c r="E52" s="54" t="n">
        <v>25</v>
      </c>
      <c r="F52" s="54" t="n">
        <v>15</v>
      </c>
      <c r="G52" s="55" t="n">
        <f aca="false">SUM(B52:F52)</f>
        <v>120</v>
      </c>
      <c r="H52" s="55" t="str">
        <f aca="false">IF(G52=$B$5,"OK","확인")</f>
        <v>OK</v>
      </c>
      <c r="I52" s="56" t="s">
        <v>380</v>
      </c>
      <c r="J52" s="56"/>
      <c r="K52" s="56"/>
      <c r="L52" s="56"/>
      <c r="M52" s="56"/>
      <c r="N52" s="56"/>
      <c r="O52" s="56"/>
    </row>
    <row r="53" customFormat="false" ht="15" hidden="false" customHeight="true" outlineLevel="0" collapsed="false">
      <c r="A53" s="53" t="s">
        <v>381</v>
      </c>
      <c r="B53" s="54" t="n">
        <v>15</v>
      </c>
      <c r="C53" s="54" t="n">
        <v>30</v>
      </c>
      <c r="D53" s="54" t="n">
        <v>30</v>
      </c>
      <c r="E53" s="54" t="n">
        <v>25</v>
      </c>
      <c r="F53" s="54" t="n">
        <v>20</v>
      </c>
      <c r="G53" s="55" t="n">
        <f aca="false">SUM(B53:F53)</f>
        <v>120</v>
      </c>
      <c r="H53" s="55" t="str">
        <f aca="false">IF(G53=$B$5,"OK","확인")</f>
        <v>OK</v>
      </c>
      <c r="I53" s="57" t="s">
        <v>382</v>
      </c>
      <c r="J53" s="57"/>
      <c r="K53" s="57"/>
      <c r="L53" s="57"/>
      <c r="M53" s="57"/>
      <c r="N53" s="57"/>
      <c r="O53" s="57"/>
    </row>
    <row r="54" customFormat="false" ht="15" hidden="false" customHeight="true" outlineLevel="0" collapsed="false">
      <c r="A54" s="53" t="s">
        <v>383</v>
      </c>
      <c r="B54" s="54" t="n">
        <v>15</v>
      </c>
      <c r="C54" s="54" t="n">
        <v>30</v>
      </c>
      <c r="D54" s="54" t="n">
        <v>25</v>
      </c>
      <c r="E54" s="54" t="n">
        <v>35</v>
      </c>
      <c r="F54" s="54" t="n">
        <v>15</v>
      </c>
      <c r="G54" s="55" t="n">
        <f aca="false">SUM(B54:F54)</f>
        <v>120</v>
      </c>
      <c r="H54" s="55" t="str">
        <f aca="false">IF(G54=$B$5,"OK","확인")</f>
        <v>OK</v>
      </c>
      <c r="I54" s="57" t="s">
        <v>384</v>
      </c>
      <c r="J54" s="57"/>
      <c r="K54" s="57"/>
      <c r="L54" s="57"/>
      <c r="M54" s="57"/>
      <c r="N54" s="57"/>
      <c r="O54" s="57"/>
    </row>
    <row r="55" customFormat="false" ht="15" hidden="false" customHeight="true" outlineLevel="0" collapsed="false">
      <c r="A55" s="53" t="s">
        <v>385</v>
      </c>
      <c r="B55" s="54" t="n">
        <v>15</v>
      </c>
      <c r="C55" s="54" t="n">
        <v>30</v>
      </c>
      <c r="D55" s="54" t="n">
        <v>25</v>
      </c>
      <c r="E55" s="54" t="n">
        <v>35</v>
      </c>
      <c r="F55" s="54" t="n">
        <v>15</v>
      </c>
      <c r="G55" s="55" t="n">
        <f aca="false">SUM(B55:F55)</f>
        <v>120</v>
      </c>
      <c r="H55" s="55" t="str">
        <f aca="false">IF(G55=$B$5,"OK","확인")</f>
        <v>OK</v>
      </c>
      <c r="I55" s="57" t="s">
        <v>386</v>
      </c>
      <c r="J55" s="57"/>
      <c r="K55" s="57"/>
      <c r="L55" s="57"/>
      <c r="M55" s="57"/>
      <c r="N55" s="57"/>
      <c r="O55" s="57"/>
    </row>
    <row r="56" customFormat="false" ht="15" hidden="false" customHeight="true" outlineLevel="0" collapsed="false">
      <c r="A56" s="53" t="s">
        <v>387</v>
      </c>
      <c r="B56" s="54" t="n">
        <v>10</v>
      </c>
      <c r="C56" s="54" t="n">
        <v>30</v>
      </c>
      <c r="D56" s="54" t="n">
        <v>30</v>
      </c>
      <c r="E56" s="54" t="n">
        <v>40</v>
      </c>
      <c r="F56" s="54" t="n">
        <v>10</v>
      </c>
      <c r="G56" s="55" t="n">
        <f aca="false">SUM(B56:F56)</f>
        <v>120</v>
      </c>
      <c r="H56" s="55" t="str">
        <f aca="false">IF(G56=$B$5,"OK","확인")</f>
        <v>OK</v>
      </c>
      <c r="I56" s="57" t="s">
        <v>388</v>
      </c>
      <c r="J56" s="57"/>
      <c r="K56" s="57"/>
      <c r="L56" s="57"/>
      <c r="M56" s="57"/>
      <c r="N56" s="57"/>
      <c r="O56" s="57"/>
    </row>
    <row r="57" customFormat="false" ht="15" hidden="false" customHeight="true" outlineLevel="0" collapsed="false">
      <c r="A57" s="53" t="s">
        <v>389</v>
      </c>
      <c r="B57" s="54" t="n">
        <v>20</v>
      </c>
      <c r="C57" s="54" t="n">
        <v>25</v>
      </c>
      <c r="D57" s="54" t="n">
        <v>25</v>
      </c>
      <c r="E57" s="54" t="n">
        <v>25</v>
      </c>
      <c r="F57" s="54" t="n">
        <v>25</v>
      </c>
      <c r="G57" s="55" t="n">
        <f aca="false">SUM(B57:F57)</f>
        <v>120</v>
      </c>
      <c r="H57" s="55" t="str">
        <f aca="false">IF(G57=$B$5,"OK","확인")</f>
        <v>OK</v>
      </c>
      <c r="I57" s="57" t="s">
        <v>390</v>
      </c>
      <c r="J57" s="57"/>
      <c r="K57" s="57"/>
      <c r="L57" s="57"/>
      <c r="M57" s="57"/>
      <c r="N57" s="57"/>
      <c r="O57" s="57"/>
    </row>
    <row r="59" customFormat="false" ht="15" hidden="false" customHeight="false" outlineLevel="0" collapsed="false">
      <c r="A59" s="38" t="s">
        <v>391</v>
      </c>
    </row>
    <row r="60" customFormat="false" ht="16.5" hidden="false" customHeight="true" outlineLevel="0" collapsed="false">
      <c r="A60" s="37" t="s">
        <v>392</v>
      </c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</row>
    <row r="61" customFormat="false" ht="16.5" hidden="false" customHeight="true" outlineLevel="0" collapsed="false">
      <c r="A61" s="37" t="s">
        <v>393</v>
      </c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</row>
    <row r="62" customFormat="false" ht="16.5" hidden="false" customHeight="true" outlineLevel="0" collapsed="false">
      <c r="A62" s="37" t="s">
        <v>394</v>
      </c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</row>
    <row r="63" customFormat="false" ht="16.5" hidden="false" customHeight="true" outlineLevel="0" collapsed="false">
      <c r="A63" s="37" t="s">
        <v>395</v>
      </c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</row>
    <row r="64" customFormat="false" ht="16.5" hidden="false" customHeight="true" outlineLevel="0" collapsed="false">
      <c r="A64" s="37" t="s">
        <v>396</v>
      </c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</row>
    <row r="65" customFormat="false" ht="16.5" hidden="false" customHeight="true" outlineLevel="0" collapsed="false">
      <c r="A65" s="37" t="s">
        <v>397</v>
      </c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</row>
  </sheetData>
  <mergeCells count="12">
    <mergeCell ref="I52:O52"/>
    <mergeCell ref="I53:O53"/>
    <mergeCell ref="I54:O54"/>
    <mergeCell ref="I55:O55"/>
    <mergeCell ref="I56:O56"/>
    <mergeCell ref="I57:O57"/>
    <mergeCell ref="A60:O60"/>
    <mergeCell ref="A61:O61"/>
    <mergeCell ref="A62:O62"/>
    <mergeCell ref="A63:O63"/>
    <mergeCell ref="A64:O64"/>
    <mergeCell ref="A65:O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4" min="4" style="1" width="32"/>
    <col collapsed="false" customWidth="true" hidden="false" outlineLevel="0" max="5" min="5" style="1" width="56"/>
    <col collapsed="false" customWidth="true" hidden="false" outlineLevel="0" max="6" min="6" style="1" width="11"/>
    <col collapsed="false" customWidth="true" hidden="false" outlineLevel="0" max="7" min="7" style="1" width="48"/>
    <col collapsed="false" customWidth="true" hidden="false" outlineLevel="0" max="8" min="8" style="1" width="10"/>
  </cols>
  <sheetData>
    <row r="1" customFormat="false" ht="24" hidden="false" customHeight="true" outlineLevel="0" collapsed="false">
      <c r="A1" s="2" t="s">
        <v>398</v>
      </c>
    </row>
    <row r="2" customFormat="false" ht="15" hidden="false" customHeight="true" outlineLevel="0" collapsed="false">
      <c r="A2" s="20" t="s">
        <v>399</v>
      </c>
    </row>
    <row r="4" customFormat="false" ht="31.5" hidden="false" customHeight="true" outlineLevel="0" collapsed="false">
      <c r="A4" s="23" t="s">
        <v>348</v>
      </c>
      <c r="B4" s="23" t="s">
        <v>400</v>
      </c>
      <c r="C4" s="23" t="s">
        <v>401</v>
      </c>
      <c r="D4" s="23" t="s">
        <v>402</v>
      </c>
      <c r="E4" s="23" t="s">
        <v>403</v>
      </c>
      <c r="F4" s="23" t="s">
        <v>404</v>
      </c>
      <c r="G4" s="23" t="s">
        <v>405</v>
      </c>
      <c r="H4" s="23" t="s">
        <v>406</v>
      </c>
    </row>
    <row r="5" customFormat="false" ht="61.5" hidden="false" customHeight="true" outlineLevel="0" collapsed="false">
      <c r="A5" s="24" t="n">
        <v>1</v>
      </c>
      <c r="B5" s="8" t="s">
        <v>407</v>
      </c>
      <c r="C5" s="9" t="s">
        <v>408</v>
      </c>
      <c r="D5" s="8" t="s">
        <v>409</v>
      </c>
      <c r="E5" s="9" t="s">
        <v>410</v>
      </c>
      <c r="F5" s="24" t="s">
        <v>411</v>
      </c>
      <c r="G5" s="9" t="s">
        <v>412</v>
      </c>
      <c r="H5" s="26" t="s">
        <v>413</v>
      </c>
    </row>
    <row r="6" customFormat="false" ht="31.5" hidden="false" customHeight="true" outlineLevel="0" collapsed="false">
      <c r="A6" s="24" t="n">
        <v>2</v>
      </c>
      <c r="B6" s="8" t="s">
        <v>414</v>
      </c>
      <c r="C6" s="9" t="s">
        <v>415</v>
      </c>
      <c r="D6" s="8" t="s">
        <v>416</v>
      </c>
      <c r="E6" s="9" t="s">
        <v>417</v>
      </c>
      <c r="F6" s="24" t="s">
        <v>418</v>
      </c>
      <c r="G6" s="9" t="s">
        <v>419</v>
      </c>
      <c r="H6" s="26" t="s">
        <v>420</v>
      </c>
    </row>
    <row r="7" customFormat="false" ht="31.5" hidden="false" customHeight="true" outlineLevel="0" collapsed="false">
      <c r="A7" s="24" t="n">
        <v>3</v>
      </c>
      <c r="B7" s="8" t="s">
        <v>421</v>
      </c>
      <c r="C7" s="9" t="s">
        <v>422</v>
      </c>
      <c r="D7" s="8" t="s">
        <v>123</v>
      </c>
      <c r="E7" s="9" t="s">
        <v>423</v>
      </c>
      <c r="F7" s="24" t="s">
        <v>418</v>
      </c>
      <c r="G7" s="9" t="s">
        <v>424</v>
      </c>
      <c r="H7" s="26" t="s">
        <v>420</v>
      </c>
    </row>
    <row r="8" customFormat="false" ht="46.5" hidden="false" customHeight="true" outlineLevel="0" collapsed="false">
      <c r="A8" s="24" t="n">
        <v>4</v>
      </c>
      <c r="B8" s="8" t="s">
        <v>425</v>
      </c>
      <c r="C8" s="9" t="s">
        <v>426</v>
      </c>
      <c r="D8" s="8" t="s">
        <v>427</v>
      </c>
      <c r="E8" s="9" t="s">
        <v>428</v>
      </c>
      <c r="F8" s="24" t="s">
        <v>418</v>
      </c>
      <c r="G8" s="9" t="s">
        <v>429</v>
      </c>
      <c r="H8" s="26" t="s">
        <v>420</v>
      </c>
    </row>
    <row r="9" customFormat="false" ht="31.5" hidden="false" customHeight="true" outlineLevel="0" collapsed="false">
      <c r="A9" s="24" t="n">
        <v>5</v>
      </c>
      <c r="B9" s="8" t="s">
        <v>430</v>
      </c>
      <c r="C9" s="9" t="s">
        <v>431</v>
      </c>
      <c r="D9" s="8" t="s">
        <v>432</v>
      </c>
      <c r="E9" s="9" t="s">
        <v>433</v>
      </c>
      <c r="F9" s="24" t="s">
        <v>418</v>
      </c>
      <c r="G9" s="9" t="s">
        <v>434</v>
      </c>
      <c r="H9" s="26" t="s">
        <v>420</v>
      </c>
    </row>
    <row r="10" customFormat="false" ht="31.5" hidden="false" customHeight="true" outlineLevel="0" collapsed="false">
      <c r="A10" s="24" t="n">
        <v>6</v>
      </c>
      <c r="B10" s="8" t="s">
        <v>435</v>
      </c>
      <c r="C10" s="9" t="s">
        <v>436</v>
      </c>
      <c r="D10" s="8" t="s">
        <v>437</v>
      </c>
      <c r="E10" s="9" t="s">
        <v>438</v>
      </c>
      <c r="F10" s="24" t="s">
        <v>439</v>
      </c>
      <c r="G10" s="9" t="s">
        <v>440</v>
      </c>
      <c r="H10" s="26" t="s">
        <v>441</v>
      </c>
    </row>
    <row r="11" customFormat="false" ht="46.5" hidden="false" customHeight="true" outlineLevel="0" collapsed="false">
      <c r="A11" s="24" t="n">
        <v>7</v>
      </c>
      <c r="B11" s="8" t="s">
        <v>442</v>
      </c>
      <c r="C11" s="9" t="s">
        <v>443</v>
      </c>
      <c r="D11" s="9" t="s">
        <v>444</v>
      </c>
      <c r="E11" s="9" t="s">
        <v>445</v>
      </c>
      <c r="F11" s="24" t="s">
        <v>418</v>
      </c>
      <c r="G11" s="8" t="s">
        <v>446</v>
      </c>
      <c r="H11" s="26" t="s">
        <v>447</v>
      </c>
    </row>
    <row r="12" customFormat="false" ht="46.5" hidden="false" customHeight="true" outlineLevel="0" collapsed="false">
      <c r="A12" s="24" t="n">
        <v>8</v>
      </c>
      <c r="B12" s="8" t="s">
        <v>448</v>
      </c>
      <c r="C12" s="9" t="s">
        <v>449</v>
      </c>
      <c r="D12" s="8" t="s">
        <v>450</v>
      </c>
      <c r="E12" s="9" t="s">
        <v>451</v>
      </c>
      <c r="F12" s="24" t="s">
        <v>418</v>
      </c>
      <c r="G12" s="9" t="s">
        <v>452</v>
      </c>
      <c r="H12" s="26" t="s">
        <v>453</v>
      </c>
    </row>
    <row r="13" customFormat="false" ht="46.5" hidden="false" customHeight="true" outlineLevel="0" collapsed="false">
      <c r="A13" s="24" t="n">
        <v>9</v>
      </c>
      <c r="B13" s="8" t="s">
        <v>454</v>
      </c>
      <c r="C13" s="9" t="s">
        <v>455</v>
      </c>
      <c r="D13" s="8" t="s">
        <v>456</v>
      </c>
      <c r="E13" s="8" t="s">
        <v>457</v>
      </c>
      <c r="F13" s="24" t="s">
        <v>458</v>
      </c>
      <c r="G13" s="8" t="s">
        <v>459</v>
      </c>
      <c r="H13" s="26" t="s">
        <v>453</v>
      </c>
    </row>
    <row r="14" customFormat="false" ht="46.5" hidden="false" customHeight="true" outlineLevel="0" collapsed="false">
      <c r="A14" s="24" t="n">
        <v>10</v>
      </c>
      <c r="B14" s="8" t="s">
        <v>460</v>
      </c>
      <c r="C14" s="9" t="s">
        <v>461</v>
      </c>
      <c r="D14" s="8" t="s">
        <v>462</v>
      </c>
      <c r="E14" s="9" t="s">
        <v>463</v>
      </c>
      <c r="F14" s="24" t="s">
        <v>464</v>
      </c>
      <c r="G14" s="9" t="s">
        <v>465</v>
      </c>
      <c r="H14" s="26" t="s">
        <v>453</v>
      </c>
    </row>
    <row r="15" customFormat="false" ht="61.5" hidden="false" customHeight="true" outlineLevel="0" collapsed="false">
      <c r="A15" s="24" t="n">
        <v>11</v>
      </c>
      <c r="B15" s="8" t="s">
        <v>466</v>
      </c>
      <c r="C15" s="9" t="s">
        <v>467</v>
      </c>
      <c r="D15" s="8" t="s">
        <v>468</v>
      </c>
      <c r="E15" s="9" t="s">
        <v>469</v>
      </c>
      <c r="F15" s="24" t="s">
        <v>464</v>
      </c>
      <c r="G15" s="9" t="s">
        <v>470</v>
      </c>
      <c r="H15" s="26" t="s">
        <v>453</v>
      </c>
    </row>
    <row r="16" customFormat="false" ht="61.5" hidden="false" customHeight="true" outlineLevel="0" collapsed="false">
      <c r="A16" s="24" t="n">
        <v>12</v>
      </c>
      <c r="B16" s="8" t="s">
        <v>471</v>
      </c>
      <c r="C16" s="9" t="s">
        <v>472</v>
      </c>
      <c r="D16" s="8" t="s">
        <v>473</v>
      </c>
      <c r="E16" s="9" t="s">
        <v>474</v>
      </c>
      <c r="F16" s="24" t="s">
        <v>464</v>
      </c>
      <c r="G16" s="9" t="s">
        <v>475</v>
      </c>
      <c r="H16" s="26" t="s">
        <v>453</v>
      </c>
    </row>
    <row r="17" customFormat="false" ht="46.5" hidden="false" customHeight="true" outlineLevel="0" collapsed="false">
      <c r="A17" s="24" t="n">
        <v>13</v>
      </c>
      <c r="B17" s="8" t="s">
        <v>476</v>
      </c>
      <c r="C17" s="9" t="s">
        <v>477</v>
      </c>
      <c r="D17" s="8" t="s">
        <v>478</v>
      </c>
      <c r="E17" s="8" t="s">
        <v>479</v>
      </c>
      <c r="F17" s="24" t="s">
        <v>480</v>
      </c>
      <c r="G17" s="9" t="s">
        <v>481</v>
      </c>
      <c r="H17" s="26" t="s">
        <v>477</v>
      </c>
    </row>
    <row r="19" customFormat="false" ht="31.5" hidden="false" customHeight="true" outlineLevel="0" collapsed="false">
      <c r="A19" s="58" t="s">
        <v>482</v>
      </c>
      <c r="B19" s="58"/>
      <c r="C19" s="58"/>
      <c r="D19" s="58"/>
      <c r="E19" s="58"/>
      <c r="F19" s="58"/>
      <c r="G19" s="58"/>
      <c r="H19" s="58"/>
    </row>
  </sheetData>
  <mergeCells count="1"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B2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18"/>
  </cols>
  <sheetData>
    <row r="1" customFormat="false" ht="24" hidden="false" customHeight="true" outlineLevel="0" collapsed="false">
      <c r="A1" s="21" t="s">
        <v>483</v>
      </c>
    </row>
    <row r="2" customFormat="false" ht="15" hidden="false" customHeight="true" outlineLevel="0" collapsed="false">
      <c r="A2" s="20" t="s">
        <v>484</v>
      </c>
    </row>
    <row r="4" customFormat="false" ht="31.5" hidden="false" customHeight="true" outlineLevel="0" collapsed="false">
      <c r="A4" s="59" t="s">
        <v>332</v>
      </c>
      <c r="B4" s="60" t="s">
        <v>485</v>
      </c>
    </row>
    <row r="5" customFormat="false" ht="31.5" hidden="false" customHeight="true" outlineLevel="0" collapsed="false">
      <c r="A5" s="6" t="s">
        <v>486</v>
      </c>
      <c r="B5" s="9" t="s">
        <v>487</v>
      </c>
    </row>
    <row r="6" customFormat="false" ht="31.5" hidden="false" customHeight="true" outlineLevel="0" collapsed="false">
      <c r="A6" s="6" t="s">
        <v>488</v>
      </c>
      <c r="B6" s="9" t="s">
        <v>489</v>
      </c>
    </row>
    <row r="7" customFormat="false" ht="31.5" hidden="false" customHeight="true" outlineLevel="0" collapsed="false">
      <c r="A7" s="6" t="s">
        <v>490</v>
      </c>
      <c r="B7" s="8" t="s">
        <v>491</v>
      </c>
    </row>
    <row r="8" customFormat="false" ht="16.5" hidden="false" customHeight="true" outlineLevel="0" collapsed="false">
      <c r="A8" s="6" t="s">
        <v>492</v>
      </c>
      <c r="B8" s="9" t="s">
        <v>493</v>
      </c>
    </row>
    <row r="9" customFormat="false" ht="31.5" hidden="false" customHeight="true" outlineLevel="0" collapsed="false">
      <c r="A9" s="6" t="s">
        <v>494</v>
      </c>
      <c r="B9" s="9" t="s">
        <v>495</v>
      </c>
    </row>
    <row r="10" customFormat="false" ht="31.5" hidden="false" customHeight="true" outlineLevel="0" collapsed="false">
      <c r="A10" s="6" t="s">
        <v>496</v>
      </c>
      <c r="B10" s="9" t="s">
        <v>497</v>
      </c>
    </row>
    <row r="11" customFormat="false" ht="31.5" hidden="false" customHeight="true" outlineLevel="0" collapsed="false">
      <c r="A11" s="6" t="s">
        <v>498</v>
      </c>
      <c r="B11" s="9" t="s">
        <v>499</v>
      </c>
    </row>
    <row r="12" customFormat="false" ht="31.5" hidden="false" customHeight="true" outlineLevel="0" collapsed="false">
      <c r="A12" s="6" t="s">
        <v>500</v>
      </c>
      <c r="B12" s="9" t="s">
        <v>501</v>
      </c>
    </row>
    <row r="13" customFormat="false" ht="31.5" hidden="false" customHeight="true" outlineLevel="0" collapsed="false">
      <c r="A13" s="6" t="s">
        <v>502</v>
      </c>
      <c r="B13" s="9" t="s">
        <v>503</v>
      </c>
    </row>
    <row r="14" customFormat="false" ht="31.5" hidden="false" customHeight="true" outlineLevel="0" collapsed="false">
      <c r="A14" s="6" t="s">
        <v>504</v>
      </c>
      <c r="B14" s="9" t="s">
        <v>505</v>
      </c>
    </row>
    <row r="15" customFormat="false" ht="61.5" hidden="false" customHeight="true" outlineLevel="0" collapsed="false">
      <c r="A15" s="6" t="s">
        <v>506</v>
      </c>
      <c r="B15" s="8" t="s">
        <v>507</v>
      </c>
    </row>
    <row r="16" customFormat="false" ht="46.5" hidden="false" customHeight="true" outlineLevel="0" collapsed="false">
      <c r="A16" s="6" t="s">
        <v>508</v>
      </c>
      <c r="B16" s="8" t="s">
        <v>509</v>
      </c>
    </row>
    <row r="17" customFormat="false" ht="16.5" hidden="false" customHeight="true" outlineLevel="0" collapsed="false">
      <c r="A17" s="6" t="s">
        <v>510</v>
      </c>
      <c r="B17" s="8" t="s">
        <v>511</v>
      </c>
    </row>
    <row r="18" customFormat="false" ht="31.5" hidden="false" customHeight="true" outlineLevel="0" collapsed="false">
      <c r="A18" s="6" t="s">
        <v>512</v>
      </c>
      <c r="B18" s="9" t="s">
        <v>513</v>
      </c>
    </row>
    <row r="19" customFormat="false" ht="31.5" hidden="false" customHeight="true" outlineLevel="0" collapsed="false">
      <c r="A19" s="6" t="s">
        <v>514</v>
      </c>
      <c r="B19" s="8" t="s">
        <v>515</v>
      </c>
    </row>
    <row r="20" customFormat="false" ht="18" hidden="false" customHeight="true" outlineLevel="0" collapsed="false">
      <c r="A20" s="6" t="s">
        <v>516</v>
      </c>
      <c r="B20" s="8" t="str">
        <f aca="false">"화당 "&amp;턴_설계!$B$5&amp;"턴 · 부 총 "&amp;TEXT(턴_설계!D34,"#,##0")&amp;"턴 · 화당 약 "&amp;TEXT(턴_설계!F34,"#,##0")&amp;"단어 · 낭독 약 "&amp;TEXT(턴_설계!H34,"0.0")&amp;"분 (평균 "&amp;TEXT(턴_설계!E34,"0.0")&amp;"단어/턴)"</f>
        <v>화당 120턴 · 부 총 1,440턴 · 화당 약 975단어 · 낭독 약 7.5분 (평균 8.1단어/턴)</v>
      </c>
    </row>
    <row r="21" customFormat="false" ht="31.5" hidden="false" customHeight="true" outlineLevel="0" collapsed="false">
      <c r="A21" s="11" t="s">
        <v>517</v>
      </c>
      <c r="B21" s="8" t="s">
        <v>518</v>
      </c>
    </row>
    <row r="22" customFormat="false" ht="16.5" hidden="false" customHeight="true" outlineLevel="0" collapsed="false">
      <c r="A22" s="6" t="s">
        <v>519</v>
      </c>
      <c r="B22" s="8" t="s">
        <v>520</v>
      </c>
    </row>
    <row r="24" customFormat="false" ht="31.5" hidden="false" customHeight="true" outlineLevel="0" collapsed="false">
      <c r="A24" s="59" t="s">
        <v>333</v>
      </c>
      <c r="B24" s="60" t="s">
        <v>521</v>
      </c>
    </row>
    <row r="25" customFormat="false" ht="31.5" hidden="false" customHeight="true" outlineLevel="0" collapsed="false">
      <c r="A25" s="6" t="s">
        <v>486</v>
      </c>
      <c r="B25" s="9" t="s">
        <v>522</v>
      </c>
    </row>
    <row r="26" customFormat="false" ht="31.5" hidden="false" customHeight="true" outlineLevel="0" collapsed="false">
      <c r="A26" s="6" t="s">
        <v>488</v>
      </c>
      <c r="B26" s="9" t="s">
        <v>523</v>
      </c>
    </row>
    <row r="27" customFormat="false" ht="16.5" hidden="false" customHeight="true" outlineLevel="0" collapsed="false">
      <c r="A27" s="6" t="s">
        <v>490</v>
      </c>
      <c r="B27" s="9" t="s">
        <v>524</v>
      </c>
    </row>
    <row r="28" customFormat="false" ht="16.5" hidden="false" customHeight="true" outlineLevel="0" collapsed="false">
      <c r="A28" s="6" t="s">
        <v>492</v>
      </c>
      <c r="B28" s="9" t="s">
        <v>525</v>
      </c>
    </row>
    <row r="29" customFormat="false" ht="16.5" hidden="false" customHeight="true" outlineLevel="0" collapsed="false">
      <c r="A29" s="6" t="s">
        <v>494</v>
      </c>
      <c r="B29" s="9" t="s">
        <v>526</v>
      </c>
    </row>
    <row r="30" customFormat="false" ht="16.5" hidden="false" customHeight="true" outlineLevel="0" collapsed="false">
      <c r="A30" s="6" t="s">
        <v>496</v>
      </c>
      <c r="B30" s="9" t="s">
        <v>527</v>
      </c>
    </row>
    <row r="31" customFormat="false" ht="16.5" hidden="false" customHeight="true" outlineLevel="0" collapsed="false">
      <c r="A31" s="6" t="s">
        <v>498</v>
      </c>
      <c r="B31" s="9" t="s">
        <v>528</v>
      </c>
    </row>
    <row r="32" customFormat="false" ht="16.5" hidden="false" customHeight="true" outlineLevel="0" collapsed="false">
      <c r="A32" s="6" t="s">
        <v>500</v>
      </c>
      <c r="B32" s="9" t="s">
        <v>529</v>
      </c>
    </row>
    <row r="33" customFormat="false" ht="16.5" hidden="false" customHeight="true" outlineLevel="0" collapsed="false">
      <c r="A33" s="6" t="s">
        <v>502</v>
      </c>
      <c r="B33" s="9" t="s">
        <v>530</v>
      </c>
    </row>
    <row r="34" customFormat="false" ht="16.5" hidden="false" customHeight="true" outlineLevel="0" collapsed="false">
      <c r="A34" s="6" t="s">
        <v>504</v>
      </c>
      <c r="B34" s="9" t="s">
        <v>531</v>
      </c>
    </row>
    <row r="35" customFormat="false" ht="31.5" hidden="false" customHeight="true" outlineLevel="0" collapsed="false">
      <c r="A35" s="6" t="s">
        <v>506</v>
      </c>
      <c r="B35" s="8" t="s">
        <v>532</v>
      </c>
    </row>
    <row r="36" customFormat="false" ht="31.5" hidden="false" customHeight="true" outlineLevel="0" collapsed="false">
      <c r="A36" s="6" t="s">
        <v>508</v>
      </c>
      <c r="B36" s="8" t="s">
        <v>533</v>
      </c>
    </row>
    <row r="37" customFormat="false" ht="16.5" hidden="false" customHeight="true" outlineLevel="0" collapsed="false">
      <c r="A37" s="6" t="s">
        <v>510</v>
      </c>
      <c r="B37" s="8" t="s">
        <v>534</v>
      </c>
    </row>
    <row r="38" customFormat="false" ht="31.5" hidden="false" customHeight="true" outlineLevel="0" collapsed="false">
      <c r="A38" s="6" t="s">
        <v>512</v>
      </c>
      <c r="B38" s="9" t="s">
        <v>535</v>
      </c>
    </row>
    <row r="39" customFormat="false" ht="31.5" hidden="false" customHeight="true" outlineLevel="0" collapsed="false">
      <c r="A39" s="6" t="s">
        <v>514</v>
      </c>
      <c r="B39" s="8" t="s">
        <v>536</v>
      </c>
    </row>
    <row r="40" customFormat="false" ht="18" hidden="false" customHeight="true" outlineLevel="0" collapsed="false">
      <c r="A40" s="6" t="s">
        <v>516</v>
      </c>
      <c r="B40" s="8" t="str">
        <f aca="false">"화당 "&amp;턴_설계!$B$5&amp;"턴 · 부 총 "&amp;TEXT(턴_설계!D35,"#,##0")&amp;"턴 · 화당 약 "&amp;TEXT(턴_설계!F35,"#,##0")&amp;"단어 · 낭독 약 "&amp;TEXT(턴_설계!H35,"0.0")&amp;"분 (평균 "&amp;TEXT(턴_설계!E35,"0.0")&amp;"단어/턴)"</f>
        <v>화당 120턴 · 부 총 1,440턴 · 화당 약 1,367단어 · 낭독 약 10.5분 (평균 11.4단어/턴)</v>
      </c>
    </row>
    <row r="41" customFormat="false" ht="31.5" hidden="false" customHeight="true" outlineLevel="0" collapsed="false">
      <c r="A41" s="11" t="s">
        <v>517</v>
      </c>
      <c r="B41" s="8" t="s">
        <v>537</v>
      </c>
    </row>
    <row r="42" customFormat="false" ht="16.5" hidden="false" customHeight="true" outlineLevel="0" collapsed="false">
      <c r="A42" s="6" t="s">
        <v>519</v>
      </c>
      <c r="B42" s="8" t="s">
        <v>538</v>
      </c>
    </row>
    <row r="44" customFormat="false" ht="31.5" hidden="false" customHeight="true" outlineLevel="0" collapsed="false">
      <c r="A44" s="59" t="s">
        <v>334</v>
      </c>
      <c r="B44" s="60" t="s">
        <v>539</v>
      </c>
    </row>
    <row r="45" customFormat="false" ht="31.5" hidden="false" customHeight="true" outlineLevel="0" collapsed="false">
      <c r="A45" s="6" t="s">
        <v>486</v>
      </c>
      <c r="B45" s="9" t="s">
        <v>540</v>
      </c>
    </row>
    <row r="46" customFormat="false" ht="31.5" hidden="false" customHeight="true" outlineLevel="0" collapsed="false">
      <c r="A46" s="6" t="s">
        <v>488</v>
      </c>
      <c r="B46" s="9" t="s">
        <v>541</v>
      </c>
    </row>
    <row r="47" customFormat="false" ht="16.5" hidden="false" customHeight="true" outlineLevel="0" collapsed="false">
      <c r="A47" s="6" t="s">
        <v>490</v>
      </c>
      <c r="B47" s="9" t="s">
        <v>542</v>
      </c>
    </row>
    <row r="48" customFormat="false" ht="16.5" hidden="false" customHeight="true" outlineLevel="0" collapsed="false">
      <c r="A48" s="6" t="s">
        <v>492</v>
      </c>
      <c r="B48" s="9" t="s">
        <v>543</v>
      </c>
    </row>
    <row r="49" customFormat="false" ht="16.5" hidden="false" customHeight="true" outlineLevel="0" collapsed="false">
      <c r="A49" s="6" t="s">
        <v>494</v>
      </c>
      <c r="B49" s="9" t="s">
        <v>544</v>
      </c>
    </row>
    <row r="50" customFormat="false" ht="16.5" hidden="false" customHeight="true" outlineLevel="0" collapsed="false">
      <c r="A50" s="6" t="s">
        <v>496</v>
      </c>
      <c r="B50" s="9" t="s">
        <v>545</v>
      </c>
    </row>
    <row r="51" customFormat="false" ht="16.5" hidden="false" customHeight="true" outlineLevel="0" collapsed="false">
      <c r="A51" s="6" t="s">
        <v>498</v>
      </c>
      <c r="B51" s="9" t="s">
        <v>546</v>
      </c>
    </row>
    <row r="52" customFormat="false" ht="16.5" hidden="false" customHeight="true" outlineLevel="0" collapsed="false">
      <c r="A52" s="6" t="s">
        <v>500</v>
      </c>
      <c r="B52" s="9" t="s">
        <v>547</v>
      </c>
    </row>
    <row r="53" customFormat="false" ht="16.5" hidden="false" customHeight="true" outlineLevel="0" collapsed="false">
      <c r="A53" s="6" t="s">
        <v>502</v>
      </c>
      <c r="B53" s="9" t="s">
        <v>548</v>
      </c>
    </row>
    <row r="54" customFormat="false" ht="16.5" hidden="false" customHeight="true" outlineLevel="0" collapsed="false">
      <c r="A54" s="6" t="s">
        <v>504</v>
      </c>
      <c r="B54" s="9" t="s">
        <v>549</v>
      </c>
    </row>
    <row r="55" customFormat="false" ht="31.5" hidden="false" customHeight="true" outlineLevel="0" collapsed="false">
      <c r="A55" s="6" t="s">
        <v>506</v>
      </c>
      <c r="B55" s="8" t="s">
        <v>550</v>
      </c>
    </row>
    <row r="56" customFormat="false" ht="31.5" hidden="false" customHeight="true" outlineLevel="0" collapsed="false">
      <c r="A56" s="6" t="s">
        <v>508</v>
      </c>
      <c r="B56" s="8" t="s">
        <v>551</v>
      </c>
    </row>
    <row r="57" customFormat="false" ht="16.5" hidden="false" customHeight="true" outlineLevel="0" collapsed="false">
      <c r="A57" s="6" t="s">
        <v>510</v>
      </c>
      <c r="B57" s="8" t="s">
        <v>552</v>
      </c>
    </row>
    <row r="58" customFormat="false" ht="31.5" hidden="false" customHeight="true" outlineLevel="0" collapsed="false">
      <c r="A58" s="6" t="s">
        <v>512</v>
      </c>
      <c r="B58" s="9" t="s">
        <v>553</v>
      </c>
    </row>
    <row r="59" customFormat="false" ht="16.5" hidden="false" customHeight="true" outlineLevel="0" collapsed="false">
      <c r="A59" s="6" t="s">
        <v>514</v>
      </c>
      <c r="B59" s="8" t="s">
        <v>554</v>
      </c>
    </row>
    <row r="60" customFormat="false" ht="18" hidden="false" customHeight="true" outlineLevel="0" collapsed="false">
      <c r="A60" s="6" t="s">
        <v>516</v>
      </c>
      <c r="B60" s="8" t="str">
        <f aca="false">"화당 "&amp;턴_설계!$B$5&amp;"턴 · 부 총 "&amp;TEXT(턴_설계!D36,"#,##0")&amp;"턴 · 화당 약 "&amp;TEXT(턴_설계!F36,"#,##0")&amp;"단어 · 낭독 약 "&amp;TEXT(턴_설계!H36,"0.0")&amp;"분 (평균 "&amp;TEXT(턴_설계!E36,"0.0")&amp;"단어/턴)"</f>
        <v>화당 120턴 · 부 총 1,440턴 · 화당 약 1,094단어 · 낭독 약 8.4분 (평균 9.1단어/턴)</v>
      </c>
    </row>
    <row r="61" customFormat="false" ht="31.5" hidden="false" customHeight="true" outlineLevel="0" collapsed="false">
      <c r="A61" s="11" t="s">
        <v>517</v>
      </c>
      <c r="B61" s="8" t="s">
        <v>555</v>
      </c>
    </row>
    <row r="62" customFormat="false" ht="16.5" hidden="false" customHeight="true" outlineLevel="0" collapsed="false">
      <c r="A62" s="6" t="s">
        <v>519</v>
      </c>
      <c r="B62" s="8" t="s">
        <v>556</v>
      </c>
    </row>
    <row r="64" customFormat="false" ht="30" hidden="false" customHeight="true" outlineLevel="0" collapsed="false">
      <c r="A64" s="59" t="s">
        <v>335</v>
      </c>
      <c r="B64" s="60" t="s">
        <v>557</v>
      </c>
    </row>
    <row r="65" customFormat="false" ht="31.5" hidden="false" customHeight="true" outlineLevel="0" collapsed="false">
      <c r="A65" s="6" t="s">
        <v>486</v>
      </c>
      <c r="B65" s="9" t="s">
        <v>558</v>
      </c>
    </row>
    <row r="66" customFormat="false" ht="31.5" hidden="false" customHeight="true" outlineLevel="0" collapsed="false">
      <c r="A66" s="6" t="s">
        <v>488</v>
      </c>
      <c r="B66" s="9" t="s">
        <v>559</v>
      </c>
    </row>
    <row r="67" customFormat="false" ht="16.5" hidden="false" customHeight="true" outlineLevel="0" collapsed="false">
      <c r="A67" s="6" t="s">
        <v>490</v>
      </c>
      <c r="B67" s="9" t="s">
        <v>560</v>
      </c>
    </row>
    <row r="68" customFormat="false" ht="16.5" hidden="false" customHeight="true" outlineLevel="0" collapsed="false">
      <c r="A68" s="6" t="s">
        <v>492</v>
      </c>
      <c r="B68" s="9" t="s">
        <v>561</v>
      </c>
    </row>
    <row r="69" customFormat="false" ht="16.5" hidden="false" customHeight="true" outlineLevel="0" collapsed="false">
      <c r="A69" s="6" t="s">
        <v>494</v>
      </c>
      <c r="B69" s="9" t="s">
        <v>562</v>
      </c>
    </row>
    <row r="70" customFormat="false" ht="16.5" hidden="false" customHeight="true" outlineLevel="0" collapsed="false">
      <c r="A70" s="6" t="s">
        <v>496</v>
      </c>
      <c r="B70" s="9" t="s">
        <v>563</v>
      </c>
    </row>
    <row r="71" customFormat="false" ht="16.5" hidden="false" customHeight="true" outlineLevel="0" collapsed="false">
      <c r="A71" s="6" t="s">
        <v>498</v>
      </c>
      <c r="B71" s="9" t="s">
        <v>564</v>
      </c>
    </row>
    <row r="72" customFormat="false" ht="16.5" hidden="false" customHeight="true" outlineLevel="0" collapsed="false">
      <c r="A72" s="6" t="s">
        <v>500</v>
      </c>
      <c r="B72" s="9" t="s">
        <v>565</v>
      </c>
    </row>
    <row r="73" customFormat="false" ht="16.5" hidden="false" customHeight="true" outlineLevel="0" collapsed="false">
      <c r="A73" s="6" t="s">
        <v>502</v>
      </c>
      <c r="B73" s="9" t="s">
        <v>566</v>
      </c>
    </row>
    <row r="74" customFormat="false" ht="16.5" hidden="false" customHeight="true" outlineLevel="0" collapsed="false">
      <c r="A74" s="6" t="s">
        <v>504</v>
      </c>
      <c r="B74" s="9" t="s">
        <v>567</v>
      </c>
    </row>
    <row r="75" customFormat="false" ht="31.5" hidden="false" customHeight="true" outlineLevel="0" collapsed="false">
      <c r="A75" s="6" t="s">
        <v>506</v>
      </c>
      <c r="B75" s="8" t="s">
        <v>568</v>
      </c>
    </row>
    <row r="76" customFormat="false" ht="31.5" hidden="false" customHeight="true" outlineLevel="0" collapsed="false">
      <c r="A76" s="6" t="s">
        <v>508</v>
      </c>
      <c r="B76" s="9" t="s">
        <v>569</v>
      </c>
    </row>
    <row r="77" customFormat="false" ht="16.5" hidden="false" customHeight="true" outlineLevel="0" collapsed="false">
      <c r="A77" s="6" t="s">
        <v>510</v>
      </c>
      <c r="B77" s="8" t="s">
        <v>570</v>
      </c>
    </row>
    <row r="78" customFormat="false" ht="31.5" hidden="false" customHeight="true" outlineLevel="0" collapsed="false">
      <c r="A78" s="6" t="s">
        <v>512</v>
      </c>
      <c r="B78" s="9" t="s">
        <v>571</v>
      </c>
    </row>
    <row r="79" customFormat="false" ht="16.5" hidden="false" customHeight="true" outlineLevel="0" collapsed="false">
      <c r="A79" s="6" t="s">
        <v>514</v>
      </c>
      <c r="B79" s="8" t="s">
        <v>572</v>
      </c>
    </row>
    <row r="80" customFormat="false" ht="18" hidden="false" customHeight="true" outlineLevel="0" collapsed="false">
      <c r="A80" s="6" t="s">
        <v>516</v>
      </c>
      <c r="B80" s="8" t="str">
        <f aca="false">"화당 "&amp;턴_설계!$B$5&amp;"턴 · 부 총 "&amp;TEXT(턴_설계!D37,"#,##0")&amp;"턴 · 화당 약 "&amp;TEXT(턴_설계!F37,"#,##0")&amp;"단어 · 낭독 약 "&amp;TEXT(턴_설계!H37,"0.0")&amp;"분 (평균 "&amp;TEXT(턴_설계!E37,"0.0")&amp;"단어/턴)"</f>
        <v>화당 120턴 · 부 총 1,440턴 · 화당 약 1,253단어 · 낭독 약 9.6분 (평균 10.4단어/턴)</v>
      </c>
    </row>
    <row r="81" customFormat="false" ht="31.5" hidden="false" customHeight="true" outlineLevel="0" collapsed="false">
      <c r="A81" s="11" t="s">
        <v>517</v>
      </c>
      <c r="B81" s="8" t="s">
        <v>573</v>
      </c>
    </row>
    <row r="82" customFormat="false" ht="16.5" hidden="false" customHeight="true" outlineLevel="0" collapsed="false">
      <c r="A82" s="6" t="s">
        <v>519</v>
      </c>
      <c r="B82" s="8" t="s">
        <v>574</v>
      </c>
    </row>
    <row r="84" customFormat="false" ht="31.5" hidden="false" customHeight="true" outlineLevel="0" collapsed="false">
      <c r="A84" s="59" t="s">
        <v>336</v>
      </c>
      <c r="B84" s="60" t="s">
        <v>575</v>
      </c>
    </row>
    <row r="85" customFormat="false" ht="31.5" hidden="false" customHeight="true" outlineLevel="0" collapsed="false">
      <c r="A85" s="6" t="s">
        <v>486</v>
      </c>
      <c r="B85" s="9" t="s">
        <v>576</v>
      </c>
    </row>
    <row r="86" customFormat="false" ht="31.5" hidden="false" customHeight="true" outlineLevel="0" collapsed="false">
      <c r="A86" s="6" t="s">
        <v>488</v>
      </c>
      <c r="B86" s="9" t="s">
        <v>577</v>
      </c>
    </row>
    <row r="87" customFormat="false" ht="16.5" hidden="false" customHeight="true" outlineLevel="0" collapsed="false">
      <c r="A87" s="6" t="s">
        <v>490</v>
      </c>
      <c r="B87" s="8" t="s">
        <v>578</v>
      </c>
    </row>
    <row r="88" customFormat="false" ht="16.5" hidden="false" customHeight="true" outlineLevel="0" collapsed="false">
      <c r="A88" s="6" t="s">
        <v>492</v>
      </c>
      <c r="B88" s="9" t="s">
        <v>579</v>
      </c>
    </row>
    <row r="89" customFormat="false" ht="16.5" hidden="false" customHeight="true" outlineLevel="0" collapsed="false">
      <c r="A89" s="6" t="s">
        <v>494</v>
      </c>
      <c r="B89" s="9" t="s">
        <v>580</v>
      </c>
    </row>
    <row r="90" customFormat="false" ht="16.5" hidden="false" customHeight="true" outlineLevel="0" collapsed="false">
      <c r="A90" s="6" t="s">
        <v>496</v>
      </c>
      <c r="B90" s="9" t="s">
        <v>581</v>
      </c>
    </row>
    <row r="91" customFormat="false" ht="16.5" hidden="false" customHeight="true" outlineLevel="0" collapsed="false">
      <c r="A91" s="6" t="s">
        <v>498</v>
      </c>
      <c r="B91" s="9" t="s">
        <v>582</v>
      </c>
    </row>
    <row r="92" customFormat="false" ht="16.5" hidden="false" customHeight="true" outlineLevel="0" collapsed="false">
      <c r="A92" s="6" t="s">
        <v>500</v>
      </c>
      <c r="B92" s="9" t="s">
        <v>583</v>
      </c>
    </row>
    <row r="93" customFormat="false" ht="16.5" hidden="false" customHeight="true" outlineLevel="0" collapsed="false">
      <c r="A93" s="6" t="s">
        <v>502</v>
      </c>
      <c r="B93" s="9" t="s">
        <v>584</v>
      </c>
    </row>
    <row r="94" customFormat="false" ht="16.5" hidden="false" customHeight="true" outlineLevel="0" collapsed="false">
      <c r="A94" s="6" t="s">
        <v>504</v>
      </c>
      <c r="B94" s="9" t="s">
        <v>585</v>
      </c>
    </row>
    <row r="95" customFormat="false" ht="31.5" hidden="false" customHeight="true" outlineLevel="0" collapsed="false">
      <c r="A95" s="6" t="s">
        <v>506</v>
      </c>
      <c r="B95" s="8" t="s">
        <v>586</v>
      </c>
    </row>
    <row r="96" customFormat="false" ht="31.5" hidden="false" customHeight="true" outlineLevel="0" collapsed="false">
      <c r="A96" s="6" t="s">
        <v>508</v>
      </c>
      <c r="B96" s="8" t="s">
        <v>587</v>
      </c>
    </row>
    <row r="97" customFormat="false" ht="16.5" hidden="false" customHeight="true" outlineLevel="0" collapsed="false">
      <c r="A97" s="6" t="s">
        <v>510</v>
      </c>
      <c r="B97" s="8" t="s">
        <v>588</v>
      </c>
    </row>
    <row r="98" customFormat="false" ht="31.5" hidden="false" customHeight="true" outlineLevel="0" collapsed="false">
      <c r="A98" s="6" t="s">
        <v>512</v>
      </c>
      <c r="B98" s="9" t="s">
        <v>589</v>
      </c>
    </row>
    <row r="99" customFormat="false" ht="16.5" hidden="false" customHeight="true" outlineLevel="0" collapsed="false">
      <c r="A99" s="6" t="s">
        <v>514</v>
      </c>
      <c r="B99" s="8" t="s">
        <v>590</v>
      </c>
    </row>
    <row r="100" customFormat="false" ht="18" hidden="false" customHeight="true" outlineLevel="0" collapsed="false">
      <c r="A100" s="6" t="s">
        <v>516</v>
      </c>
      <c r="B100" s="8" t="str">
        <f aca="false">"화당 "&amp;턴_설계!$B$5&amp;"턴 · 부 총 "&amp;TEXT(턴_설계!D38,"#,##0")&amp;"턴 · 화당 약 "&amp;TEXT(턴_설계!F38,"#,##0")&amp;"단어 · 낭독 약 "&amp;TEXT(턴_설계!H38,"0.0")&amp;"분 (평균 "&amp;TEXT(턴_설계!E38,"0.0")&amp;"단어/턴)"</f>
        <v>화당 120턴 · 부 총 1,440턴 · 화당 약 1,296단어 · 낭독 약 10.0분 (평균 10.8단어/턴)</v>
      </c>
    </row>
    <row r="101" customFormat="false" ht="16.5" hidden="false" customHeight="true" outlineLevel="0" collapsed="false">
      <c r="A101" s="11" t="s">
        <v>517</v>
      </c>
      <c r="B101" s="8" t="s">
        <v>591</v>
      </c>
    </row>
    <row r="102" customFormat="false" ht="16.5" hidden="false" customHeight="true" outlineLevel="0" collapsed="false">
      <c r="A102" s="6" t="s">
        <v>519</v>
      </c>
      <c r="B102" s="8" t="s">
        <v>592</v>
      </c>
    </row>
    <row r="104" customFormat="false" ht="31.5" hidden="false" customHeight="true" outlineLevel="0" collapsed="false">
      <c r="A104" s="59" t="s">
        <v>337</v>
      </c>
      <c r="B104" s="60" t="s">
        <v>593</v>
      </c>
    </row>
    <row r="105" customFormat="false" ht="31.5" hidden="false" customHeight="true" outlineLevel="0" collapsed="false">
      <c r="A105" s="6" t="s">
        <v>486</v>
      </c>
      <c r="B105" s="9" t="s">
        <v>594</v>
      </c>
    </row>
    <row r="106" customFormat="false" ht="31.5" hidden="false" customHeight="true" outlineLevel="0" collapsed="false">
      <c r="A106" s="6" t="s">
        <v>488</v>
      </c>
      <c r="B106" s="9" t="s">
        <v>595</v>
      </c>
    </row>
    <row r="107" customFormat="false" ht="16.5" hidden="false" customHeight="true" outlineLevel="0" collapsed="false">
      <c r="A107" s="6" t="s">
        <v>490</v>
      </c>
      <c r="B107" s="9" t="s">
        <v>596</v>
      </c>
    </row>
    <row r="108" customFormat="false" ht="16.5" hidden="false" customHeight="true" outlineLevel="0" collapsed="false">
      <c r="A108" s="6" t="s">
        <v>492</v>
      </c>
      <c r="B108" s="9" t="s">
        <v>597</v>
      </c>
    </row>
    <row r="109" customFormat="false" ht="16.5" hidden="false" customHeight="true" outlineLevel="0" collapsed="false">
      <c r="A109" s="6" t="s">
        <v>494</v>
      </c>
      <c r="B109" s="9" t="s">
        <v>598</v>
      </c>
    </row>
    <row r="110" customFormat="false" ht="16.5" hidden="false" customHeight="true" outlineLevel="0" collapsed="false">
      <c r="A110" s="6" t="s">
        <v>496</v>
      </c>
      <c r="B110" s="9" t="s">
        <v>599</v>
      </c>
    </row>
    <row r="111" customFormat="false" ht="16.5" hidden="false" customHeight="true" outlineLevel="0" collapsed="false">
      <c r="A111" s="6" t="s">
        <v>498</v>
      </c>
      <c r="B111" s="9" t="s">
        <v>600</v>
      </c>
    </row>
    <row r="112" customFormat="false" ht="16.5" hidden="false" customHeight="true" outlineLevel="0" collapsed="false">
      <c r="A112" s="6" t="s">
        <v>500</v>
      </c>
      <c r="B112" s="9" t="s">
        <v>601</v>
      </c>
    </row>
    <row r="113" customFormat="false" ht="16.5" hidden="false" customHeight="true" outlineLevel="0" collapsed="false">
      <c r="A113" s="6" t="s">
        <v>502</v>
      </c>
      <c r="B113" s="9" t="s">
        <v>602</v>
      </c>
    </row>
    <row r="114" customFormat="false" ht="16.5" hidden="false" customHeight="true" outlineLevel="0" collapsed="false">
      <c r="A114" s="6" t="s">
        <v>504</v>
      </c>
      <c r="B114" s="9" t="s">
        <v>603</v>
      </c>
    </row>
    <row r="115" customFormat="false" ht="31.5" hidden="false" customHeight="true" outlineLevel="0" collapsed="false">
      <c r="A115" s="6" t="s">
        <v>506</v>
      </c>
      <c r="B115" s="9" t="s">
        <v>604</v>
      </c>
    </row>
    <row r="116" customFormat="false" ht="16.5" hidden="false" customHeight="true" outlineLevel="0" collapsed="false">
      <c r="A116" s="6" t="s">
        <v>508</v>
      </c>
      <c r="B116" s="9" t="s">
        <v>605</v>
      </c>
    </row>
    <row r="117" customFormat="false" ht="16.5" hidden="false" customHeight="true" outlineLevel="0" collapsed="false">
      <c r="A117" s="6" t="s">
        <v>510</v>
      </c>
      <c r="B117" s="8" t="s">
        <v>606</v>
      </c>
    </row>
    <row r="118" customFormat="false" ht="16.5" hidden="false" customHeight="true" outlineLevel="0" collapsed="false">
      <c r="A118" s="6" t="s">
        <v>512</v>
      </c>
      <c r="B118" s="9" t="s">
        <v>607</v>
      </c>
    </row>
    <row r="119" customFormat="false" ht="16.5" hidden="false" customHeight="true" outlineLevel="0" collapsed="false">
      <c r="A119" s="6" t="s">
        <v>514</v>
      </c>
      <c r="B119" s="8" t="s">
        <v>608</v>
      </c>
    </row>
    <row r="120" customFormat="false" ht="18" hidden="false" customHeight="true" outlineLevel="0" collapsed="false">
      <c r="A120" s="6" t="s">
        <v>516</v>
      </c>
      <c r="B120" s="8" t="str">
        <f aca="false">"화당 "&amp;턴_설계!$B$5&amp;"턴 · 부 총 "&amp;TEXT(턴_설계!D39,"#,##0")&amp;"턴 · 화당 약 "&amp;TEXT(턴_설계!F39,"#,##0")&amp;"단어 · 낭독 약 "&amp;TEXT(턴_설계!H39,"0.0")&amp;"분 (평균 "&amp;TEXT(턴_설계!E39,"0.0")&amp;"단어/턴)"</f>
        <v>화당 120턴 · 부 총 1,440턴 · 화당 약 1,222단어 · 낭독 약 9.4분 (평균 10.2단어/턴)</v>
      </c>
    </row>
    <row r="121" customFormat="false" ht="16.5" hidden="false" customHeight="true" outlineLevel="0" collapsed="false">
      <c r="A121" s="11" t="s">
        <v>517</v>
      </c>
      <c r="B121" s="8" t="s">
        <v>609</v>
      </c>
    </row>
    <row r="122" customFormat="false" ht="16.5" hidden="false" customHeight="true" outlineLevel="0" collapsed="false">
      <c r="A122" s="6" t="s">
        <v>519</v>
      </c>
      <c r="B122" s="8" t="s">
        <v>610</v>
      </c>
    </row>
    <row r="124" customFormat="false" ht="30" hidden="false" customHeight="true" outlineLevel="0" collapsed="false">
      <c r="A124" s="59" t="s">
        <v>338</v>
      </c>
      <c r="B124" s="60" t="s">
        <v>611</v>
      </c>
    </row>
    <row r="125" customFormat="false" ht="31.5" hidden="false" customHeight="true" outlineLevel="0" collapsed="false">
      <c r="A125" s="6" t="s">
        <v>486</v>
      </c>
      <c r="B125" s="9" t="s">
        <v>612</v>
      </c>
    </row>
    <row r="126" customFormat="false" ht="31.5" hidden="false" customHeight="true" outlineLevel="0" collapsed="false">
      <c r="A126" s="6" t="s">
        <v>488</v>
      </c>
      <c r="B126" s="9" t="s">
        <v>613</v>
      </c>
    </row>
    <row r="127" customFormat="false" ht="16.5" hidden="false" customHeight="true" outlineLevel="0" collapsed="false">
      <c r="A127" s="6" t="s">
        <v>490</v>
      </c>
      <c r="B127" s="9" t="s">
        <v>614</v>
      </c>
    </row>
    <row r="128" customFormat="false" ht="16.5" hidden="false" customHeight="true" outlineLevel="0" collapsed="false">
      <c r="A128" s="6" t="s">
        <v>492</v>
      </c>
      <c r="B128" s="9" t="s">
        <v>615</v>
      </c>
    </row>
    <row r="129" customFormat="false" ht="16.5" hidden="false" customHeight="true" outlineLevel="0" collapsed="false">
      <c r="A129" s="6" t="s">
        <v>494</v>
      </c>
      <c r="B129" s="9" t="s">
        <v>616</v>
      </c>
    </row>
    <row r="130" customFormat="false" ht="16.5" hidden="false" customHeight="true" outlineLevel="0" collapsed="false">
      <c r="A130" s="6" t="s">
        <v>496</v>
      </c>
      <c r="B130" s="9" t="s">
        <v>617</v>
      </c>
    </row>
    <row r="131" customFormat="false" ht="16.5" hidden="false" customHeight="true" outlineLevel="0" collapsed="false">
      <c r="A131" s="6" t="s">
        <v>498</v>
      </c>
      <c r="B131" s="9" t="s">
        <v>618</v>
      </c>
    </row>
    <row r="132" customFormat="false" ht="16.5" hidden="false" customHeight="true" outlineLevel="0" collapsed="false">
      <c r="A132" s="6" t="s">
        <v>500</v>
      </c>
      <c r="B132" s="9" t="s">
        <v>619</v>
      </c>
    </row>
    <row r="133" customFormat="false" ht="16.5" hidden="false" customHeight="true" outlineLevel="0" collapsed="false">
      <c r="A133" s="6" t="s">
        <v>502</v>
      </c>
      <c r="B133" s="9" t="s">
        <v>620</v>
      </c>
    </row>
    <row r="134" customFormat="false" ht="16.5" hidden="false" customHeight="true" outlineLevel="0" collapsed="false">
      <c r="A134" s="6" t="s">
        <v>504</v>
      </c>
      <c r="B134" s="9" t="s">
        <v>621</v>
      </c>
    </row>
    <row r="135" customFormat="false" ht="31.5" hidden="false" customHeight="true" outlineLevel="0" collapsed="false">
      <c r="A135" s="6" t="s">
        <v>506</v>
      </c>
      <c r="B135" s="8" t="s">
        <v>622</v>
      </c>
    </row>
    <row r="136" customFormat="false" ht="16.5" hidden="false" customHeight="true" outlineLevel="0" collapsed="false">
      <c r="A136" s="6" t="s">
        <v>508</v>
      </c>
      <c r="B136" s="8" t="s">
        <v>623</v>
      </c>
    </row>
    <row r="137" customFormat="false" ht="16.5" hidden="false" customHeight="true" outlineLevel="0" collapsed="false">
      <c r="A137" s="6" t="s">
        <v>510</v>
      </c>
      <c r="B137" s="8" t="s">
        <v>624</v>
      </c>
    </row>
    <row r="138" customFormat="false" ht="46.5" hidden="false" customHeight="true" outlineLevel="0" collapsed="false">
      <c r="A138" s="6" t="s">
        <v>512</v>
      </c>
      <c r="B138" s="9" t="s">
        <v>625</v>
      </c>
    </row>
    <row r="139" customFormat="false" ht="16.5" hidden="false" customHeight="true" outlineLevel="0" collapsed="false">
      <c r="A139" s="6" t="s">
        <v>514</v>
      </c>
      <c r="B139" s="8" t="s">
        <v>626</v>
      </c>
    </row>
    <row r="140" customFormat="false" ht="18" hidden="false" customHeight="true" outlineLevel="0" collapsed="false">
      <c r="A140" s="6" t="s">
        <v>516</v>
      </c>
      <c r="B140" s="8" t="str">
        <f aca="false">"화당 "&amp;턴_설계!$B$5&amp;"턴 · 부 총 "&amp;TEXT(턴_설계!D40,"#,##0")&amp;"턴 · 화당 약 "&amp;TEXT(턴_설계!F40,"#,##0")&amp;"단어 · 낭독 약 "&amp;TEXT(턴_설계!H40,"0.0")&amp;"분 (평균 "&amp;TEXT(턴_설계!E40,"0.0")&amp;"단어/턴)"</f>
        <v>화당 120턴 · 부 총 1,440턴 · 화당 약 1,248단어 · 낭독 약 9.6분 (평균 10.4단어/턴)</v>
      </c>
    </row>
    <row r="141" customFormat="false" ht="16.5" hidden="false" customHeight="true" outlineLevel="0" collapsed="false">
      <c r="A141" s="11" t="s">
        <v>517</v>
      </c>
      <c r="B141" s="8" t="s">
        <v>627</v>
      </c>
    </row>
    <row r="142" customFormat="false" ht="16.5" hidden="false" customHeight="true" outlineLevel="0" collapsed="false">
      <c r="A142" s="6" t="s">
        <v>519</v>
      </c>
      <c r="B142" s="8" t="s">
        <v>628</v>
      </c>
    </row>
    <row r="144" customFormat="false" ht="31.5" hidden="false" customHeight="true" outlineLevel="0" collapsed="false">
      <c r="A144" s="59" t="s">
        <v>339</v>
      </c>
      <c r="B144" s="60" t="s">
        <v>629</v>
      </c>
    </row>
    <row r="145" customFormat="false" ht="31.5" hidden="false" customHeight="true" outlineLevel="0" collapsed="false">
      <c r="A145" s="6" t="s">
        <v>486</v>
      </c>
      <c r="B145" s="9" t="s">
        <v>630</v>
      </c>
    </row>
    <row r="146" customFormat="false" ht="31.5" hidden="false" customHeight="true" outlineLevel="0" collapsed="false">
      <c r="A146" s="6" t="s">
        <v>488</v>
      </c>
      <c r="B146" s="9" t="s">
        <v>631</v>
      </c>
    </row>
    <row r="147" customFormat="false" ht="16.5" hidden="false" customHeight="true" outlineLevel="0" collapsed="false">
      <c r="A147" s="6" t="s">
        <v>490</v>
      </c>
      <c r="B147" s="9" t="s">
        <v>632</v>
      </c>
    </row>
    <row r="148" customFormat="false" ht="16.5" hidden="false" customHeight="true" outlineLevel="0" collapsed="false">
      <c r="A148" s="6" t="s">
        <v>492</v>
      </c>
      <c r="B148" s="9" t="s">
        <v>633</v>
      </c>
    </row>
    <row r="149" customFormat="false" ht="16.5" hidden="false" customHeight="true" outlineLevel="0" collapsed="false">
      <c r="A149" s="6" t="s">
        <v>494</v>
      </c>
      <c r="B149" s="9" t="s">
        <v>634</v>
      </c>
    </row>
    <row r="150" customFormat="false" ht="16.5" hidden="false" customHeight="true" outlineLevel="0" collapsed="false">
      <c r="A150" s="6" t="s">
        <v>496</v>
      </c>
      <c r="B150" s="9" t="s">
        <v>635</v>
      </c>
    </row>
    <row r="151" customFormat="false" ht="16.5" hidden="false" customHeight="true" outlineLevel="0" collapsed="false">
      <c r="A151" s="6" t="s">
        <v>498</v>
      </c>
      <c r="B151" s="9" t="s">
        <v>636</v>
      </c>
    </row>
    <row r="152" customFormat="false" ht="16.5" hidden="false" customHeight="true" outlineLevel="0" collapsed="false">
      <c r="A152" s="6" t="s">
        <v>500</v>
      </c>
      <c r="B152" s="9" t="s">
        <v>637</v>
      </c>
    </row>
    <row r="153" customFormat="false" ht="16.5" hidden="false" customHeight="true" outlineLevel="0" collapsed="false">
      <c r="A153" s="6" t="s">
        <v>502</v>
      </c>
      <c r="B153" s="9" t="s">
        <v>638</v>
      </c>
    </row>
    <row r="154" customFormat="false" ht="16.5" hidden="false" customHeight="true" outlineLevel="0" collapsed="false">
      <c r="A154" s="6" t="s">
        <v>504</v>
      </c>
      <c r="B154" s="9" t="s">
        <v>639</v>
      </c>
    </row>
    <row r="155" customFormat="false" ht="31.5" hidden="false" customHeight="true" outlineLevel="0" collapsed="false">
      <c r="A155" s="6" t="s">
        <v>506</v>
      </c>
      <c r="B155" s="8" t="s">
        <v>640</v>
      </c>
    </row>
    <row r="156" customFormat="false" ht="16.5" hidden="false" customHeight="true" outlineLevel="0" collapsed="false">
      <c r="A156" s="6" t="s">
        <v>508</v>
      </c>
      <c r="B156" s="8" t="s">
        <v>641</v>
      </c>
    </row>
    <row r="157" customFormat="false" ht="16.5" hidden="false" customHeight="true" outlineLevel="0" collapsed="false">
      <c r="A157" s="6" t="s">
        <v>510</v>
      </c>
      <c r="B157" s="8" t="s">
        <v>642</v>
      </c>
    </row>
    <row r="158" customFormat="false" ht="46.5" hidden="false" customHeight="true" outlineLevel="0" collapsed="false">
      <c r="A158" s="6" t="s">
        <v>512</v>
      </c>
      <c r="B158" s="9" t="s">
        <v>643</v>
      </c>
    </row>
    <row r="159" customFormat="false" ht="16.5" hidden="false" customHeight="true" outlineLevel="0" collapsed="false">
      <c r="A159" s="6" t="s">
        <v>514</v>
      </c>
      <c r="B159" s="8" t="s">
        <v>644</v>
      </c>
    </row>
    <row r="160" customFormat="false" ht="18" hidden="false" customHeight="true" outlineLevel="0" collapsed="false">
      <c r="A160" s="6" t="s">
        <v>516</v>
      </c>
      <c r="B160" s="8" t="str">
        <f aca="false">"화당 "&amp;턴_설계!$B$5&amp;"턴 · 부 총 "&amp;TEXT(턴_설계!D41,"#,##0")&amp;"턴 · 화당 약 "&amp;TEXT(턴_설계!F41,"#,##0")&amp;"단어 · 낭독 약 "&amp;TEXT(턴_설계!H41,"0.0")&amp;"분 (평균 "&amp;TEXT(턴_설계!E41,"0.0")&amp;"단어/턴)"</f>
        <v>화당 120턴 · 부 총 1,440턴 · 화당 약 1,370단어 · 낭독 약 10.5분 (평균 11.4단어/턴)</v>
      </c>
    </row>
    <row r="161" customFormat="false" ht="16.5" hidden="false" customHeight="true" outlineLevel="0" collapsed="false">
      <c r="A161" s="11" t="s">
        <v>517</v>
      </c>
      <c r="B161" s="8" t="s">
        <v>645</v>
      </c>
    </row>
    <row r="162" customFormat="false" ht="16.5" hidden="false" customHeight="true" outlineLevel="0" collapsed="false">
      <c r="A162" s="6" t="s">
        <v>519</v>
      </c>
      <c r="B162" s="8" t="s">
        <v>646</v>
      </c>
    </row>
    <row r="164" customFormat="false" ht="31.5" hidden="false" customHeight="true" outlineLevel="0" collapsed="false">
      <c r="A164" s="59" t="s">
        <v>340</v>
      </c>
      <c r="B164" s="60" t="s">
        <v>647</v>
      </c>
    </row>
    <row r="165" customFormat="false" ht="31.5" hidden="false" customHeight="true" outlineLevel="0" collapsed="false">
      <c r="A165" s="6" t="s">
        <v>486</v>
      </c>
      <c r="B165" s="9" t="s">
        <v>648</v>
      </c>
    </row>
    <row r="166" customFormat="false" ht="31.5" hidden="false" customHeight="true" outlineLevel="0" collapsed="false">
      <c r="A166" s="6" t="s">
        <v>488</v>
      </c>
      <c r="B166" s="9" t="s">
        <v>649</v>
      </c>
    </row>
    <row r="167" customFormat="false" ht="16.5" hidden="false" customHeight="true" outlineLevel="0" collapsed="false">
      <c r="A167" s="6" t="s">
        <v>490</v>
      </c>
      <c r="B167" s="9" t="s">
        <v>650</v>
      </c>
    </row>
    <row r="168" customFormat="false" ht="16.5" hidden="false" customHeight="true" outlineLevel="0" collapsed="false">
      <c r="A168" s="6" t="s">
        <v>492</v>
      </c>
      <c r="B168" s="9" t="s">
        <v>651</v>
      </c>
    </row>
    <row r="169" customFormat="false" ht="16.5" hidden="false" customHeight="true" outlineLevel="0" collapsed="false">
      <c r="A169" s="6" t="s">
        <v>494</v>
      </c>
      <c r="B169" s="9" t="s">
        <v>652</v>
      </c>
    </row>
    <row r="170" customFormat="false" ht="16.5" hidden="false" customHeight="true" outlineLevel="0" collapsed="false">
      <c r="A170" s="6" t="s">
        <v>496</v>
      </c>
      <c r="B170" s="9" t="s">
        <v>653</v>
      </c>
    </row>
    <row r="171" customFormat="false" ht="16.5" hidden="false" customHeight="true" outlineLevel="0" collapsed="false">
      <c r="A171" s="6" t="s">
        <v>498</v>
      </c>
      <c r="B171" s="9" t="s">
        <v>654</v>
      </c>
    </row>
    <row r="172" customFormat="false" ht="16.5" hidden="false" customHeight="true" outlineLevel="0" collapsed="false">
      <c r="A172" s="6" t="s">
        <v>500</v>
      </c>
      <c r="B172" s="9" t="s">
        <v>655</v>
      </c>
    </row>
    <row r="173" customFormat="false" ht="16.5" hidden="false" customHeight="true" outlineLevel="0" collapsed="false">
      <c r="A173" s="6" t="s">
        <v>502</v>
      </c>
      <c r="B173" s="9" t="s">
        <v>656</v>
      </c>
    </row>
    <row r="174" customFormat="false" ht="16.5" hidden="false" customHeight="true" outlineLevel="0" collapsed="false">
      <c r="A174" s="6" t="s">
        <v>504</v>
      </c>
      <c r="B174" s="9" t="s">
        <v>657</v>
      </c>
    </row>
    <row r="175" customFormat="false" ht="31.5" hidden="false" customHeight="true" outlineLevel="0" collapsed="false">
      <c r="A175" s="6" t="s">
        <v>506</v>
      </c>
      <c r="B175" s="8" t="s">
        <v>658</v>
      </c>
    </row>
    <row r="176" customFormat="false" ht="16.5" hidden="false" customHeight="true" outlineLevel="0" collapsed="false">
      <c r="A176" s="6" t="s">
        <v>508</v>
      </c>
      <c r="B176" s="8" t="s">
        <v>659</v>
      </c>
    </row>
    <row r="177" customFormat="false" ht="16.5" hidden="false" customHeight="true" outlineLevel="0" collapsed="false">
      <c r="A177" s="6" t="s">
        <v>510</v>
      </c>
      <c r="B177" s="8" t="s">
        <v>660</v>
      </c>
    </row>
    <row r="178" customFormat="false" ht="31.5" hidden="false" customHeight="true" outlineLevel="0" collapsed="false">
      <c r="A178" s="6" t="s">
        <v>512</v>
      </c>
      <c r="B178" s="8" t="s">
        <v>661</v>
      </c>
    </row>
    <row r="179" customFormat="false" ht="31.5" hidden="false" customHeight="true" outlineLevel="0" collapsed="false">
      <c r="A179" s="6" t="s">
        <v>514</v>
      </c>
      <c r="B179" s="8" t="s">
        <v>662</v>
      </c>
    </row>
    <row r="180" customFormat="false" ht="18" hidden="false" customHeight="true" outlineLevel="0" collapsed="false">
      <c r="A180" s="6" t="s">
        <v>516</v>
      </c>
      <c r="B180" s="8" t="str">
        <f aca="false">"화당 "&amp;턴_설계!$B$5&amp;"턴 · 부 총 "&amp;TEXT(턴_설계!D42,"#,##0")&amp;"턴 · 화당 약 "&amp;TEXT(턴_설계!F42,"#,##0")&amp;"단어 · 낭독 약 "&amp;TEXT(턴_설계!H42,"0.0")&amp;"분 (평균 "&amp;TEXT(턴_설계!E42,"0.0")&amp;"단어/턴)"</f>
        <v>화당 120턴 · 부 총 1,440턴 · 화당 약 1,342단어 · 낭독 약 10.3분 (평균 11.2단어/턴)</v>
      </c>
    </row>
    <row r="181" customFormat="false" ht="31.5" hidden="false" customHeight="true" outlineLevel="0" collapsed="false">
      <c r="A181" s="11" t="s">
        <v>517</v>
      </c>
      <c r="B181" s="8" t="s">
        <v>663</v>
      </c>
    </row>
    <row r="182" customFormat="false" ht="16.5" hidden="false" customHeight="true" outlineLevel="0" collapsed="false">
      <c r="A182" s="6" t="s">
        <v>519</v>
      </c>
      <c r="B182" s="8" t="s">
        <v>664</v>
      </c>
    </row>
    <row r="184" customFormat="false" ht="31.5" hidden="false" customHeight="true" outlineLevel="0" collapsed="false">
      <c r="A184" s="59" t="s">
        <v>341</v>
      </c>
      <c r="B184" s="60" t="s">
        <v>665</v>
      </c>
    </row>
    <row r="185" customFormat="false" ht="31.5" hidden="false" customHeight="true" outlineLevel="0" collapsed="false">
      <c r="A185" s="6" t="s">
        <v>486</v>
      </c>
      <c r="B185" s="9" t="s">
        <v>666</v>
      </c>
    </row>
    <row r="186" customFormat="false" ht="31.5" hidden="false" customHeight="true" outlineLevel="0" collapsed="false">
      <c r="A186" s="6" t="s">
        <v>488</v>
      </c>
      <c r="B186" s="9" t="s">
        <v>667</v>
      </c>
    </row>
    <row r="187" customFormat="false" ht="16.5" hidden="false" customHeight="true" outlineLevel="0" collapsed="false">
      <c r="A187" s="6" t="s">
        <v>490</v>
      </c>
      <c r="B187" s="9" t="s">
        <v>668</v>
      </c>
    </row>
    <row r="188" customFormat="false" ht="16.5" hidden="false" customHeight="true" outlineLevel="0" collapsed="false">
      <c r="A188" s="6" t="s">
        <v>492</v>
      </c>
      <c r="B188" s="9" t="s">
        <v>669</v>
      </c>
    </row>
    <row r="189" customFormat="false" ht="16.5" hidden="false" customHeight="true" outlineLevel="0" collapsed="false">
      <c r="A189" s="6" t="s">
        <v>494</v>
      </c>
      <c r="B189" s="9" t="s">
        <v>670</v>
      </c>
    </row>
    <row r="190" customFormat="false" ht="16.5" hidden="false" customHeight="true" outlineLevel="0" collapsed="false">
      <c r="A190" s="6" t="s">
        <v>496</v>
      </c>
      <c r="B190" s="9" t="s">
        <v>671</v>
      </c>
    </row>
    <row r="191" customFormat="false" ht="16.5" hidden="false" customHeight="true" outlineLevel="0" collapsed="false">
      <c r="A191" s="6" t="s">
        <v>498</v>
      </c>
      <c r="B191" s="9" t="s">
        <v>672</v>
      </c>
    </row>
    <row r="192" customFormat="false" ht="16.5" hidden="false" customHeight="true" outlineLevel="0" collapsed="false">
      <c r="A192" s="6" t="s">
        <v>500</v>
      </c>
      <c r="B192" s="9" t="s">
        <v>673</v>
      </c>
    </row>
    <row r="193" customFormat="false" ht="16.5" hidden="false" customHeight="true" outlineLevel="0" collapsed="false">
      <c r="A193" s="6" t="s">
        <v>502</v>
      </c>
      <c r="B193" s="9" t="s">
        <v>674</v>
      </c>
    </row>
    <row r="194" customFormat="false" ht="16.5" hidden="false" customHeight="true" outlineLevel="0" collapsed="false">
      <c r="A194" s="6" t="s">
        <v>504</v>
      </c>
      <c r="B194" s="9" t="s">
        <v>675</v>
      </c>
    </row>
    <row r="195" customFormat="false" ht="31.5" hidden="false" customHeight="true" outlineLevel="0" collapsed="false">
      <c r="A195" s="6" t="s">
        <v>506</v>
      </c>
      <c r="B195" s="8" t="s">
        <v>676</v>
      </c>
    </row>
    <row r="196" customFormat="false" ht="16.5" hidden="false" customHeight="true" outlineLevel="0" collapsed="false">
      <c r="A196" s="6" t="s">
        <v>508</v>
      </c>
      <c r="B196" s="8" t="s">
        <v>677</v>
      </c>
    </row>
    <row r="197" customFormat="false" ht="16.5" hidden="false" customHeight="true" outlineLevel="0" collapsed="false">
      <c r="A197" s="6" t="s">
        <v>510</v>
      </c>
      <c r="B197" s="8" t="s">
        <v>678</v>
      </c>
    </row>
    <row r="198" customFormat="false" ht="31.5" hidden="false" customHeight="true" outlineLevel="0" collapsed="false">
      <c r="A198" s="6" t="s">
        <v>512</v>
      </c>
      <c r="B198" s="9" t="s">
        <v>679</v>
      </c>
    </row>
    <row r="199" customFormat="false" ht="16.5" hidden="false" customHeight="true" outlineLevel="0" collapsed="false">
      <c r="A199" s="6" t="s">
        <v>514</v>
      </c>
      <c r="B199" s="8" t="s">
        <v>680</v>
      </c>
    </row>
    <row r="200" customFormat="false" ht="18" hidden="false" customHeight="true" outlineLevel="0" collapsed="false">
      <c r="A200" s="6" t="s">
        <v>516</v>
      </c>
      <c r="B200" s="8" t="str">
        <f aca="false">"화당 "&amp;턴_설계!$B$5&amp;"턴 · 부 총 "&amp;TEXT(턴_설계!D43,"#,##0")&amp;"턴 · 화당 약 "&amp;TEXT(턴_설계!F43,"#,##0")&amp;"단어 · 낭독 약 "&amp;TEXT(턴_설계!H43,"0.0")&amp;"분 (평균 "&amp;TEXT(턴_설계!E43,"0.0")&amp;"단어/턴)"</f>
        <v>화당 120턴 · 부 총 1,440턴 · 화당 약 1,525단어 · 낭독 약 11.7분 (평균 12.7단어/턴)</v>
      </c>
    </row>
    <row r="201" customFormat="false" ht="16.5" hidden="false" customHeight="true" outlineLevel="0" collapsed="false">
      <c r="A201" s="11" t="s">
        <v>517</v>
      </c>
      <c r="B201" s="8" t="s">
        <v>681</v>
      </c>
    </row>
    <row r="202" customFormat="false" ht="16.5" hidden="false" customHeight="true" outlineLevel="0" collapsed="false">
      <c r="A202" s="6" t="s">
        <v>519</v>
      </c>
      <c r="B202" s="8" t="s">
        <v>682</v>
      </c>
    </row>
    <row r="204" customFormat="false" ht="31.5" hidden="false" customHeight="true" outlineLevel="0" collapsed="false">
      <c r="A204" s="59" t="s">
        <v>342</v>
      </c>
      <c r="B204" s="60" t="s">
        <v>683</v>
      </c>
    </row>
    <row r="205" customFormat="false" ht="31.5" hidden="false" customHeight="true" outlineLevel="0" collapsed="false">
      <c r="A205" s="6" t="s">
        <v>486</v>
      </c>
      <c r="B205" s="9" t="s">
        <v>684</v>
      </c>
    </row>
    <row r="206" customFormat="false" ht="31.5" hidden="false" customHeight="true" outlineLevel="0" collapsed="false">
      <c r="A206" s="6" t="s">
        <v>488</v>
      </c>
      <c r="B206" s="9" t="s">
        <v>685</v>
      </c>
    </row>
    <row r="207" customFormat="false" ht="16.5" hidden="false" customHeight="true" outlineLevel="0" collapsed="false">
      <c r="A207" s="6" t="s">
        <v>490</v>
      </c>
      <c r="B207" s="9" t="s">
        <v>686</v>
      </c>
    </row>
    <row r="208" customFormat="false" ht="16.5" hidden="false" customHeight="true" outlineLevel="0" collapsed="false">
      <c r="A208" s="6" t="s">
        <v>492</v>
      </c>
      <c r="B208" s="9" t="s">
        <v>687</v>
      </c>
    </row>
    <row r="209" customFormat="false" ht="16.5" hidden="false" customHeight="true" outlineLevel="0" collapsed="false">
      <c r="A209" s="6" t="s">
        <v>494</v>
      </c>
      <c r="B209" s="9" t="s">
        <v>688</v>
      </c>
    </row>
    <row r="210" customFormat="false" ht="16.5" hidden="false" customHeight="true" outlineLevel="0" collapsed="false">
      <c r="A210" s="6" t="s">
        <v>496</v>
      </c>
      <c r="B210" s="9" t="s">
        <v>689</v>
      </c>
    </row>
    <row r="211" customFormat="false" ht="16.5" hidden="false" customHeight="true" outlineLevel="0" collapsed="false">
      <c r="A211" s="6" t="s">
        <v>498</v>
      </c>
      <c r="B211" s="9" t="s">
        <v>690</v>
      </c>
    </row>
    <row r="212" customFormat="false" ht="16.5" hidden="false" customHeight="true" outlineLevel="0" collapsed="false">
      <c r="A212" s="6" t="s">
        <v>500</v>
      </c>
      <c r="B212" s="9" t="s">
        <v>691</v>
      </c>
    </row>
    <row r="213" customFormat="false" ht="31.5" hidden="false" customHeight="true" outlineLevel="0" collapsed="false">
      <c r="A213" s="6" t="s">
        <v>502</v>
      </c>
      <c r="B213" s="9" t="s">
        <v>692</v>
      </c>
    </row>
    <row r="214" customFormat="false" ht="16.5" hidden="false" customHeight="true" outlineLevel="0" collapsed="false">
      <c r="A214" s="6" t="s">
        <v>504</v>
      </c>
      <c r="B214" s="9" t="s">
        <v>693</v>
      </c>
    </row>
    <row r="215" customFormat="false" ht="16.5" hidden="false" customHeight="true" outlineLevel="0" collapsed="false">
      <c r="A215" s="6" t="s">
        <v>694</v>
      </c>
      <c r="B215" s="9" t="s">
        <v>695</v>
      </c>
    </row>
    <row r="216" customFormat="false" ht="31.5" hidden="false" customHeight="true" outlineLevel="0" collapsed="false">
      <c r="A216" s="6" t="s">
        <v>506</v>
      </c>
      <c r="B216" s="8" t="s">
        <v>696</v>
      </c>
    </row>
    <row r="217" customFormat="false" ht="31.5" hidden="false" customHeight="true" outlineLevel="0" collapsed="false">
      <c r="A217" s="6" t="s">
        <v>508</v>
      </c>
      <c r="B217" s="8" t="s">
        <v>697</v>
      </c>
    </row>
    <row r="218" customFormat="false" ht="16.5" hidden="false" customHeight="true" outlineLevel="0" collapsed="false">
      <c r="A218" s="6" t="s">
        <v>510</v>
      </c>
      <c r="B218" s="8" t="s">
        <v>698</v>
      </c>
    </row>
    <row r="219" customFormat="false" ht="31.5" hidden="false" customHeight="true" outlineLevel="0" collapsed="false">
      <c r="A219" s="6" t="s">
        <v>512</v>
      </c>
      <c r="B219" s="9" t="s">
        <v>699</v>
      </c>
    </row>
    <row r="220" customFormat="false" ht="31.5" hidden="false" customHeight="true" outlineLevel="0" collapsed="false">
      <c r="A220" s="6" t="s">
        <v>514</v>
      </c>
      <c r="B220" s="8" t="s">
        <v>700</v>
      </c>
    </row>
    <row r="221" customFormat="false" ht="18" hidden="false" customHeight="true" outlineLevel="0" collapsed="false">
      <c r="A221" s="6" t="s">
        <v>516</v>
      </c>
      <c r="B221" s="8" t="str">
        <f aca="false">"화당 "&amp;턴_설계!$B$5&amp;"턴 · 부 총 "&amp;TEXT(턴_설계!D44,"#,##0")&amp;"턴 · 화당 약 "&amp;TEXT(턴_설계!F44,"#,##0")&amp;"단어 · 낭독 약 "&amp;TEXT(턴_설계!H44,"0.0")&amp;"분 (평균 "&amp;TEXT(턴_설계!E44,"0.0")&amp;"단어/턴)"</f>
        <v>화당 120턴 · 부 총 1,440턴 · 화당 약 1,470단어 · 낭독 약 11.3분 (평균 12.3단어/턴)</v>
      </c>
    </row>
    <row r="222" customFormat="false" ht="31.5" hidden="false" customHeight="true" outlineLevel="0" collapsed="false">
      <c r="A222" s="11" t="s">
        <v>517</v>
      </c>
      <c r="B222" s="8" t="s">
        <v>701</v>
      </c>
    </row>
    <row r="223" customFormat="false" ht="16.5" hidden="false" customHeight="true" outlineLevel="0" collapsed="false">
      <c r="A223" s="6" t="s">
        <v>519</v>
      </c>
      <c r="B223" s="8" t="s">
        <v>702</v>
      </c>
    </row>
    <row r="225" customFormat="false" ht="31.5" hidden="false" customHeight="true" outlineLevel="0" collapsed="false">
      <c r="A225" s="59" t="s">
        <v>343</v>
      </c>
      <c r="B225" s="60" t="s">
        <v>703</v>
      </c>
    </row>
    <row r="226" customFormat="false" ht="31.5" hidden="false" customHeight="true" outlineLevel="0" collapsed="false">
      <c r="A226" s="6" t="s">
        <v>486</v>
      </c>
      <c r="B226" s="9" t="s">
        <v>704</v>
      </c>
    </row>
    <row r="227" customFormat="false" ht="31.5" hidden="false" customHeight="true" outlineLevel="0" collapsed="false">
      <c r="A227" s="6" t="s">
        <v>488</v>
      </c>
      <c r="B227" s="9" t="s">
        <v>705</v>
      </c>
    </row>
    <row r="228" customFormat="false" ht="16.5" hidden="false" customHeight="true" outlineLevel="0" collapsed="false">
      <c r="A228" s="6" t="s">
        <v>490</v>
      </c>
      <c r="B228" s="9" t="s">
        <v>706</v>
      </c>
    </row>
    <row r="229" customFormat="false" ht="16.5" hidden="false" customHeight="true" outlineLevel="0" collapsed="false">
      <c r="A229" s="6" t="s">
        <v>492</v>
      </c>
      <c r="B229" s="9" t="s">
        <v>707</v>
      </c>
    </row>
    <row r="230" customFormat="false" ht="16.5" hidden="false" customHeight="true" outlineLevel="0" collapsed="false">
      <c r="A230" s="6" t="s">
        <v>494</v>
      </c>
      <c r="B230" s="9" t="s">
        <v>708</v>
      </c>
    </row>
    <row r="231" customFormat="false" ht="16.5" hidden="false" customHeight="true" outlineLevel="0" collapsed="false">
      <c r="A231" s="6" t="s">
        <v>496</v>
      </c>
      <c r="B231" s="9" t="s">
        <v>709</v>
      </c>
    </row>
    <row r="232" customFormat="false" ht="16.5" hidden="false" customHeight="true" outlineLevel="0" collapsed="false">
      <c r="A232" s="6" t="s">
        <v>498</v>
      </c>
      <c r="B232" s="9" t="s">
        <v>710</v>
      </c>
    </row>
    <row r="233" customFormat="false" ht="16.5" hidden="false" customHeight="true" outlineLevel="0" collapsed="false">
      <c r="A233" s="6" t="s">
        <v>500</v>
      </c>
      <c r="B233" s="9" t="s">
        <v>711</v>
      </c>
    </row>
    <row r="234" customFormat="false" ht="16.5" hidden="false" customHeight="true" outlineLevel="0" collapsed="false">
      <c r="A234" s="6" t="s">
        <v>502</v>
      </c>
      <c r="B234" s="9" t="s">
        <v>712</v>
      </c>
    </row>
    <row r="235" customFormat="false" ht="16.5" hidden="false" customHeight="true" outlineLevel="0" collapsed="false">
      <c r="A235" s="6" t="s">
        <v>504</v>
      </c>
      <c r="B235" s="9" t="s">
        <v>713</v>
      </c>
    </row>
    <row r="236" customFormat="false" ht="31.5" hidden="false" customHeight="true" outlineLevel="0" collapsed="false">
      <c r="A236" s="6" t="s">
        <v>506</v>
      </c>
      <c r="B236" s="8" t="s">
        <v>714</v>
      </c>
    </row>
    <row r="237" customFormat="false" ht="31.5" hidden="false" customHeight="true" outlineLevel="0" collapsed="false">
      <c r="A237" s="6" t="s">
        <v>508</v>
      </c>
      <c r="B237" s="8" t="s">
        <v>715</v>
      </c>
    </row>
    <row r="238" customFormat="false" ht="16.5" hidden="false" customHeight="true" outlineLevel="0" collapsed="false">
      <c r="A238" s="6" t="s">
        <v>510</v>
      </c>
      <c r="B238" s="8" t="s">
        <v>716</v>
      </c>
    </row>
    <row r="239" customFormat="false" ht="31.5" hidden="false" customHeight="true" outlineLevel="0" collapsed="false">
      <c r="A239" s="6" t="s">
        <v>512</v>
      </c>
      <c r="B239" s="9" t="s">
        <v>717</v>
      </c>
    </row>
    <row r="240" customFormat="false" ht="31.5" hidden="false" customHeight="true" outlineLevel="0" collapsed="false">
      <c r="A240" s="6" t="s">
        <v>514</v>
      </c>
      <c r="B240" s="8" t="s">
        <v>718</v>
      </c>
    </row>
    <row r="241" customFormat="false" ht="18" hidden="false" customHeight="true" outlineLevel="0" collapsed="false">
      <c r="A241" s="6" t="s">
        <v>516</v>
      </c>
      <c r="B241" s="8" t="str">
        <f aca="false">"화당 "&amp;턴_설계!$B$5&amp;"턴 · 부 총 "&amp;TEXT(턴_설계!D45,"#,##0")&amp;"턴 · 화당 약 "&amp;TEXT(턴_설계!F45,"#,##0")&amp;"단어 · 낭독 약 "&amp;TEXT(턴_설계!H45,"0.0")&amp;"분 (평균 "&amp;TEXT(턴_설계!E45,"0.0")&amp;"단어/턴)"</f>
        <v>화당 120턴 · 부 총 1,440턴 · 화당 약 1,456단어 · 낭독 약 11.2분 (평균 12.1단어/턴)</v>
      </c>
    </row>
    <row r="242" customFormat="false" ht="16.5" hidden="false" customHeight="true" outlineLevel="0" collapsed="false">
      <c r="A242" s="11" t="s">
        <v>517</v>
      </c>
      <c r="B242" s="8" t="s">
        <v>719</v>
      </c>
    </row>
    <row r="243" customFormat="false" ht="16.5" hidden="false" customHeight="true" outlineLevel="0" collapsed="false">
      <c r="A243" s="6" t="s">
        <v>519</v>
      </c>
      <c r="B243" s="8" t="s">
        <v>720</v>
      </c>
    </row>
    <row r="245" customFormat="false" ht="31.5" hidden="false" customHeight="true" outlineLevel="0" collapsed="false">
      <c r="A245" s="59" t="s">
        <v>344</v>
      </c>
      <c r="B245" s="60" t="s">
        <v>721</v>
      </c>
    </row>
    <row r="246" customFormat="false" ht="31.5" hidden="false" customHeight="true" outlineLevel="0" collapsed="false">
      <c r="A246" s="6" t="s">
        <v>486</v>
      </c>
      <c r="B246" s="9" t="s">
        <v>722</v>
      </c>
    </row>
    <row r="247" customFormat="false" ht="31.5" hidden="false" customHeight="true" outlineLevel="0" collapsed="false">
      <c r="A247" s="6" t="s">
        <v>488</v>
      </c>
      <c r="B247" s="9" t="s">
        <v>723</v>
      </c>
    </row>
    <row r="248" customFormat="false" ht="16.5" hidden="false" customHeight="true" outlineLevel="0" collapsed="false">
      <c r="A248" s="6" t="s">
        <v>490</v>
      </c>
      <c r="B248" s="9" t="s">
        <v>724</v>
      </c>
    </row>
    <row r="249" customFormat="false" ht="16.5" hidden="false" customHeight="true" outlineLevel="0" collapsed="false">
      <c r="A249" s="6" t="s">
        <v>492</v>
      </c>
      <c r="B249" s="9" t="s">
        <v>725</v>
      </c>
    </row>
    <row r="250" customFormat="false" ht="16.5" hidden="false" customHeight="true" outlineLevel="0" collapsed="false">
      <c r="A250" s="6" t="s">
        <v>494</v>
      </c>
      <c r="B250" s="9" t="s">
        <v>726</v>
      </c>
    </row>
    <row r="251" customFormat="false" ht="16.5" hidden="false" customHeight="true" outlineLevel="0" collapsed="false">
      <c r="A251" s="6" t="s">
        <v>496</v>
      </c>
      <c r="B251" s="9" t="s">
        <v>727</v>
      </c>
    </row>
    <row r="252" customFormat="false" ht="16.5" hidden="false" customHeight="true" outlineLevel="0" collapsed="false">
      <c r="A252" s="6" t="s">
        <v>498</v>
      </c>
      <c r="B252" s="9" t="s">
        <v>728</v>
      </c>
    </row>
    <row r="253" customFormat="false" ht="16.5" hidden="false" customHeight="true" outlineLevel="0" collapsed="false">
      <c r="A253" s="6" t="s">
        <v>500</v>
      </c>
      <c r="B253" s="9" t="s">
        <v>729</v>
      </c>
    </row>
    <row r="254" customFormat="false" ht="16.5" hidden="false" customHeight="true" outlineLevel="0" collapsed="false">
      <c r="A254" s="6" t="s">
        <v>502</v>
      </c>
      <c r="B254" s="9" t="s">
        <v>730</v>
      </c>
    </row>
    <row r="255" customFormat="false" ht="31.5" hidden="false" customHeight="true" outlineLevel="0" collapsed="false">
      <c r="A255" s="6" t="s">
        <v>504</v>
      </c>
      <c r="B255" s="9" t="s">
        <v>731</v>
      </c>
    </row>
    <row r="256" customFormat="false" ht="16.5" hidden="false" customHeight="true" outlineLevel="0" collapsed="false">
      <c r="A256" s="6" t="s">
        <v>506</v>
      </c>
      <c r="B256" s="8" t="s">
        <v>732</v>
      </c>
    </row>
    <row r="257" customFormat="false" ht="16.5" hidden="false" customHeight="true" outlineLevel="0" collapsed="false">
      <c r="A257" s="6" t="s">
        <v>508</v>
      </c>
      <c r="B257" s="8" t="s">
        <v>733</v>
      </c>
    </row>
    <row r="258" customFormat="false" ht="16.5" hidden="false" customHeight="true" outlineLevel="0" collapsed="false">
      <c r="A258" s="6" t="s">
        <v>510</v>
      </c>
      <c r="B258" s="8" t="s">
        <v>734</v>
      </c>
    </row>
    <row r="259" customFormat="false" ht="31.5" hidden="false" customHeight="true" outlineLevel="0" collapsed="false">
      <c r="A259" s="6" t="s">
        <v>512</v>
      </c>
      <c r="B259" s="9" t="s">
        <v>735</v>
      </c>
    </row>
    <row r="260" customFormat="false" ht="16.5" hidden="false" customHeight="true" outlineLevel="0" collapsed="false">
      <c r="A260" s="6" t="s">
        <v>514</v>
      </c>
      <c r="B260" s="8" t="s">
        <v>736</v>
      </c>
    </row>
    <row r="261" customFormat="false" ht="18" hidden="false" customHeight="true" outlineLevel="0" collapsed="false">
      <c r="A261" s="6" t="s">
        <v>516</v>
      </c>
      <c r="B261" s="8" t="str">
        <f aca="false">"화당 "&amp;턴_설계!$B$5&amp;"턴 · 부 총 "&amp;TEXT(턴_설계!D46,"#,##0")&amp;"턴 · 화당 약 "&amp;TEXT(턴_설계!F46,"#,##0")&amp;"단어 · 낭독 약 "&amp;TEXT(턴_설계!H46,"0.0")&amp;"분 (평균 "&amp;TEXT(턴_설계!E46,"0.0")&amp;"단어/턴)"</f>
        <v>화당 120턴 · 부 총 1,440턴 · 화당 약 914단어 · 낭독 약 7.0분 (평균 7.6단어/턴)</v>
      </c>
    </row>
    <row r="262" customFormat="false" ht="16.5" hidden="false" customHeight="true" outlineLevel="0" collapsed="false">
      <c r="A262" s="11" t="s">
        <v>517</v>
      </c>
      <c r="B262" s="8" t="s">
        <v>737</v>
      </c>
    </row>
    <row r="263" customFormat="false" ht="16.5" hidden="false" customHeight="true" outlineLevel="0" collapsed="false">
      <c r="A263" s="6" t="s">
        <v>519</v>
      </c>
      <c r="B263" s="9" t="s">
        <v>738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J1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6"/>
    <col collapsed="false" customWidth="true" hidden="false" outlineLevel="0" max="3" min="3" style="1" width="13"/>
    <col collapsed="false" customWidth="true" hidden="false" outlineLevel="0" max="4" min="4" style="1" width="32"/>
    <col collapsed="false" customWidth="true" hidden="false" outlineLevel="0" max="5" min="5" style="1" width="24"/>
    <col collapsed="false" customWidth="true" hidden="false" outlineLevel="0" max="6" min="6" style="1" width="62"/>
    <col collapsed="false" customWidth="true" hidden="false" outlineLevel="0" max="7" min="7" style="1" width="46"/>
    <col collapsed="false" customWidth="true" hidden="false" outlineLevel="0" max="8" min="8" style="1" width="28"/>
    <col collapsed="false" customWidth="true" hidden="false" outlineLevel="0" max="9" min="9" style="1" width="16"/>
    <col collapsed="false" customWidth="true" hidden="false" outlineLevel="0" max="10" min="10" style="1" width="8"/>
  </cols>
  <sheetData>
    <row r="1" customFormat="false" ht="24" hidden="false" customHeight="true" outlineLevel="0" collapsed="false">
      <c r="A1" s="21" t="s">
        <v>739</v>
      </c>
    </row>
    <row r="2" customFormat="false" ht="15" hidden="false" customHeight="true" outlineLevel="0" collapsed="false">
      <c r="A2" s="20" t="s">
        <v>740</v>
      </c>
    </row>
    <row r="4" customFormat="false" ht="31.5" hidden="false" customHeight="true" outlineLevel="0" collapsed="false">
      <c r="A4" s="23" t="s">
        <v>348</v>
      </c>
      <c r="B4" s="23" t="s">
        <v>741</v>
      </c>
      <c r="C4" s="23" t="s">
        <v>486</v>
      </c>
      <c r="D4" s="23" t="s">
        <v>400</v>
      </c>
      <c r="E4" s="23" t="s">
        <v>401</v>
      </c>
      <c r="F4" s="23" t="s">
        <v>742</v>
      </c>
      <c r="G4" s="23" t="s">
        <v>405</v>
      </c>
      <c r="H4" s="23" t="s">
        <v>743</v>
      </c>
      <c r="I4" s="23" t="s">
        <v>744</v>
      </c>
      <c r="J4" s="23" t="s">
        <v>745</v>
      </c>
    </row>
    <row r="5" customFormat="false" ht="76.5" hidden="false" customHeight="true" outlineLevel="0" collapsed="false">
      <c r="A5" s="24" t="n">
        <v>1</v>
      </c>
      <c r="B5" s="24" t="n">
        <v>1</v>
      </c>
      <c r="C5" s="26" t="s">
        <v>746</v>
      </c>
      <c r="D5" s="8" t="s">
        <v>747</v>
      </c>
      <c r="E5" s="9" t="s">
        <v>748</v>
      </c>
      <c r="F5" s="9" t="s">
        <v>749</v>
      </c>
      <c r="G5" s="9" t="s">
        <v>750</v>
      </c>
      <c r="H5" s="8" t="s">
        <v>751</v>
      </c>
      <c r="I5" s="24" t="s">
        <v>752</v>
      </c>
      <c r="J5" s="24" t="n">
        <f aca="false">턴_설계!$B$5</f>
        <v>120</v>
      </c>
    </row>
    <row r="6" customFormat="false" ht="76.5" hidden="false" customHeight="true" outlineLevel="0" collapsed="false">
      <c r="A6" s="24" t="n">
        <v>1</v>
      </c>
      <c r="B6" s="24" t="n">
        <v>2</v>
      </c>
      <c r="C6" s="26" t="s">
        <v>753</v>
      </c>
      <c r="D6" s="8" t="s">
        <v>754</v>
      </c>
      <c r="E6" s="9" t="s">
        <v>755</v>
      </c>
      <c r="F6" s="8" t="s">
        <v>756</v>
      </c>
      <c r="G6" s="9" t="s">
        <v>757</v>
      </c>
      <c r="H6" s="8" t="s">
        <v>758</v>
      </c>
      <c r="I6" s="24" t="s">
        <v>752</v>
      </c>
      <c r="J6" s="24" t="n">
        <f aca="false">턴_설계!$B$5</f>
        <v>120</v>
      </c>
    </row>
    <row r="7" customFormat="false" ht="76.5" hidden="false" customHeight="true" outlineLevel="0" collapsed="false">
      <c r="A7" s="24" t="n">
        <v>1</v>
      </c>
      <c r="B7" s="24" t="n">
        <v>3</v>
      </c>
      <c r="C7" s="26" t="s">
        <v>759</v>
      </c>
      <c r="D7" s="8" t="s">
        <v>760</v>
      </c>
      <c r="E7" s="9" t="s">
        <v>761</v>
      </c>
      <c r="F7" s="8" t="s">
        <v>762</v>
      </c>
      <c r="G7" s="9" t="s">
        <v>763</v>
      </c>
      <c r="H7" s="8" t="s">
        <v>764</v>
      </c>
      <c r="I7" s="24" t="s">
        <v>765</v>
      </c>
      <c r="J7" s="24" t="n">
        <f aca="false">턴_설계!$B$5</f>
        <v>120</v>
      </c>
    </row>
    <row r="8" customFormat="false" ht="76.5" hidden="false" customHeight="true" outlineLevel="0" collapsed="false">
      <c r="A8" s="24" t="n">
        <v>1</v>
      </c>
      <c r="B8" s="24" t="n">
        <v>4</v>
      </c>
      <c r="C8" s="26" t="s">
        <v>766</v>
      </c>
      <c r="D8" s="8" t="s">
        <v>767</v>
      </c>
      <c r="E8" s="9" t="s">
        <v>768</v>
      </c>
      <c r="F8" s="8" t="s">
        <v>769</v>
      </c>
      <c r="G8" s="9" t="s">
        <v>770</v>
      </c>
      <c r="H8" s="8" t="s">
        <v>764</v>
      </c>
      <c r="I8" s="24" t="s">
        <v>765</v>
      </c>
      <c r="J8" s="24" t="n">
        <f aca="false">턴_설계!$B$5</f>
        <v>120</v>
      </c>
    </row>
    <row r="9" customFormat="false" ht="46.5" hidden="false" customHeight="true" outlineLevel="0" collapsed="false">
      <c r="A9" s="24" t="n">
        <v>1</v>
      </c>
      <c r="B9" s="24" t="n">
        <v>5</v>
      </c>
      <c r="C9" s="26" t="s">
        <v>771</v>
      </c>
      <c r="D9" s="8" t="s">
        <v>772</v>
      </c>
      <c r="E9" s="9" t="s">
        <v>773</v>
      </c>
      <c r="F9" s="8" t="s">
        <v>774</v>
      </c>
      <c r="G9" s="9" t="s">
        <v>775</v>
      </c>
      <c r="H9" s="8" t="s">
        <v>776</v>
      </c>
      <c r="I9" s="24" t="s">
        <v>765</v>
      </c>
      <c r="J9" s="24" t="n">
        <f aca="false">턴_설계!$B$5</f>
        <v>120</v>
      </c>
    </row>
    <row r="10" customFormat="false" ht="76.5" hidden="false" customHeight="true" outlineLevel="0" collapsed="false">
      <c r="A10" s="24" t="n">
        <v>1</v>
      </c>
      <c r="B10" s="24" t="n">
        <v>6</v>
      </c>
      <c r="C10" s="26" t="s">
        <v>777</v>
      </c>
      <c r="D10" s="8" t="s">
        <v>778</v>
      </c>
      <c r="E10" s="9" t="s">
        <v>779</v>
      </c>
      <c r="F10" s="8" t="s">
        <v>780</v>
      </c>
      <c r="G10" s="9" t="s">
        <v>781</v>
      </c>
      <c r="H10" s="8" t="s">
        <v>782</v>
      </c>
      <c r="I10" s="24" t="s">
        <v>765</v>
      </c>
      <c r="J10" s="24" t="n">
        <f aca="false">턴_설계!$B$5</f>
        <v>120</v>
      </c>
    </row>
    <row r="11" customFormat="false" ht="91.5" hidden="false" customHeight="true" outlineLevel="0" collapsed="false">
      <c r="A11" s="24" t="n">
        <v>1</v>
      </c>
      <c r="B11" s="24" t="n">
        <v>7</v>
      </c>
      <c r="C11" s="26" t="s">
        <v>783</v>
      </c>
      <c r="D11" s="8" t="s">
        <v>784</v>
      </c>
      <c r="E11" s="9" t="s">
        <v>785</v>
      </c>
      <c r="F11" s="8" t="s">
        <v>786</v>
      </c>
      <c r="G11" s="9" t="s">
        <v>787</v>
      </c>
      <c r="H11" s="8" t="s">
        <v>788</v>
      </c>
      <c r="I11" s="24" t="s">
        <v>789</v>
      </c>
      <c r="J11" s="24" t="n">
        <f aca="false">턴_설계!$B$5</f>
        <v>120</v>
      </c>
    </row>
    <row r="12" customFormat="false" ht="61.5" hidden="false" customHeight="true" outlineLevel="0" collapsed="false">
      <c r="A12" s="24" t="n">
        <v>1</v>
      </c>
      <c r="B12" s="24" t="n">
        <v>8</v>
      </c>
      <c r="C12" s="26" t="s">
        <v>790</v>
      </c>
      <c r="D12" s="8" t="s">
        <v>791</v>
      </c>
      <c r="E12" s="27" t="s">
        <v>792</v>
      </c>
      <c r="F12" s="8" t="s">
        <v>793</v>
      </c>
      <c r="G12" s="9" t="s">
        <v>794</v>
      </c>
      <c r="H12" s="8" t="s">
        <v>795</v>
      </c>
      <c r="I12" s="24" t="s">
        <v>789</v>
      </c>
      <c r="J12" s="24" t="n">
        <f aca="false">턴_설계!$B$5</f>
        <v>120</v>
      </c>
    </row>
    <row r="13" customFormat="false" ht="76.5" hidden="false" customHeight="true" outlineLevel="0" collapsed="false">
      <c r="A13" s="24" t="n">
        <v>1</v>
      </c>
      <c r="B13" s="24" t="n">
        <v>9</v>
      </c>
      <c r="C13" s="26" t="s">
        <v>796</v>
      </c>
      <c r="D13" s="8" t="s">
        <v>797</v>
      </c>
      <c r="E13" s="8" t="s">
        <v>798</v>
      </c>
      <c r="F13" s="8" t="s">
        <v>799</v>
      </c>
      <c r="G13" s="9" t="s">
        <v>800</v>
      </c>
      <c r="H13" s="8" t="s">
        <v>801</v>
      </c>
      <c r="I13" s="24" t="s">
        <v>802</v>
      </c>
      <c r="J13" s="24" t="n">
        <f aca="false">턴_설계!$B$5</f>
        <v>120</v>
      </c>
    </row>
    <row r="14" customFormat="false" ht="61.5" hidden="false" customHeight="true" outlineLevel="0" collapsed="false">
      <c r="A14" s="24" t="n">
        <v>1</v>
      </c>
      <c r="B14" s="24" t="n">
        <v>10</v>
      </c>
      <c r="C14" s="26" t="s">
        <v>803</v>
      </c>
      <c r="D14" s="8" t="s">
        <v>804</v>
      </c>
      <c r="E14" s="9" t="s">
        <v>805</v>
      </c>
      <c r="F14" s="8" t="s">
        <v>806</v>
      </c>
      <c r="G14" s="9" t="s">
        <v>807</v>
      </c>
      <c r="H14" s="8" t="s">
        <v>808</v>
      </c>
      <c r="I14" s="24" t="s">
        <v>802</v>
      </c>
      <c r="J14" s="24" t="n">
        <f aca="false">턴_설계!$B$5</f>
        <v>120</v>
      </c>
    </row>
    <row r="15" customFormat="false" ht="61.5" hidden="false" customHeight="true" outlineLevel="0" collapsed="false">
      <c r="A15" s="24" t="n">
        <v>1</v>
      </c>
      <c r="B15" s="24" t="n">
        <v>11</v>
      </c>
      <c r="C15" s="26" t="s">
        <v>809</v>
      </c>
      <c r="D15" s="8" t="s">
        <v>810</v>
      </c>
      <c r="E15" s="9" t="s">
        <v>811</v>
      </c>
      <c r="F15" s="8" t="s">
        <v>812</v>
      </c>
      <c r="G15" s="9" t="s">
        <v>813</v>
      </c>
      <c r="H15" s="8" t="s">
        <v>814</v>
      </c>
      <c r="I15" s="24" t="s">
        <v>752</v>
      </c>
      <c r="J15" s="24" t="n">
        <f aca="false">턴_설계!$B$5</f>
        <v>120</v>
      </c>
    </row>
    <row r="16" customFormat="false" ht="76.5" hidden="false" customHeight="true" outlineLevel="0" collapsed="false">
      <c r="A16" s="24" t="n">
        <v>1</v>
      </c>
      <c r="B16" s="24" t="n">
        <v>12</v>
      </c>
      <c r="C16" s="26" t="s">
        <v>815</v>
      </c>
      <c r="D16" s="8" t="s">
        <v>816</v>
      </c>
      <c r="E16" s="9" t="s">
        <v>817</v>
      </c>
      <c r="F16" s="8" t="s">
        <v>818</v>
      </c>
      <c r="G16" s="9" t="s">
        <v>819</v>
      </c>
      <c r="H16" s="8" t="s">
        <v>820</v>
      </c>
      <c r="I16" s="24" t="s">
        <v>752</v>
      </c>
      <c r="J16" s="24" t="n">
        <f aca="false">턴_설계!$B$5</f>
        <v>120</v>
      </c>
    </row>
    <row r="17" customFormat="false" ht="61.5" hidden="false" customHeight="true" outlineLevel="0" collapsed="false">
      <c r="A17" s="24" t="n">
        <v>2</v>
      </c>
      <c r="B17" s="24" t="n">
        <v>1</v>
      </c>
      <c r="C17" s="26" t="s">
        <v>821</v>
      </c>
      <c r="D17" s="8" t="s">
        <v>822</v>
      </c>
      <c r="E17" s="9" t="s">
        <v>823</v>
      </c>
      <c r="F17" s="8" t="s">
        <v>824</v>
      </c>
      <c r="G17" s="9" t="s">
        <v>825</v>
      </c>
      <c r="H17" s="8" t="s">
        <v>826</v>
      </c>
      <c r="I17" s="24" t="s">
        <v>752</v>
      </c>
      <c r="J17" s="24" t="n">
        <f aca="false">턴_설계!$B$5</f>
        <v>120</v>
      </c>
    </row>
    <row r="18" customFormat="false" ht="46.5" hidden="false" customHeight="true" outlineLevel="0" collapsed="false">
      <c r="A18" s="24" t="n">
        <v>2</v>
      </c>
      <c r="B18" s="24" t="n">
        <v>2</v>
      </c>
      <c r="C18" s="26" t="s">
        <v>821</v>
      </c>
      <c r="D18" s="8" t="s">
        <v>827</v>
      </c>
      <c r="E18" s="9" t="s">
        <v>828</v>
      </c>
      <c r="F18" s="8" t="s">
        <v>829</v>
      </c>
      <c r="G18" s="9" t="s">
        <v>830</v>
      </c>
      <c r="H18" s="8" t="s">
        <v>831</v>
      </c>
      <c r="I18" s="24"/>
      <c r="J18" s="24" t="n">
        <f aca="false">턴_설계!$B$5</f>
        <v>120</v>
      </c>
    </row>
    <row r="19" customFormat="false" ht="46.5" hidden="false" customHeight="true" outlineLevel="0" collapsed="false">
      <c r="A19" s="24" t="n">
        <v>2</v>
      </c>
      <c r="B19" s="24" t="n">
        <v>3</v>
      </c>
      <c r="C19" s="26" t="s">
        <v>821</v>
      </c>
      <c r="D19" s="8" t="s">
        <v>832</v>
      </c>
      <c r="E19" s="8" t="s">
        <v>833</v>
      </c>
      <c r="F19" s="9" t="s">
        <v>834</v>
      </c>
      <c r="G19" s="9" t="s">
        <v>835</v>
      </c>
      <c r="H19" s="8" t="s">
        <v>836</v>
      </c>
      <c r="I19" s="24" t="s">
        <v>752</v>
      </c>
      <c r="J19" s="24" t="n">
        <f aca="false">턴_설계!$B$5</f>
        <v>120</v>
      </c>
    </row>
    <row r="20" customFormat="false" ht="61.5" hidden="false" customHeight="true" outlineLevel="0" collapsed="false">
      <c r="A20" s="24" t="n">
        <v>2</v>
      </c>
      <c r="B20" s="24" t="n">
        <v>4</v>
      </c>
      <c r="C20" s="26" t="s">
        <v>837</v>
      </c>
      <c r="D20" s="8" t="s">
        <v>838</v>
      </c>
      <c r="E20" s="9" t="s">
        <v>839</v>
      </c>
      <c r="F20" s="9" t="s">
        <v>840</v>
      </c>
      <c r="G20" s="9" t="s">
        <v>841</v>
      </c>
      <c r="H20" s="8" t="s">
        <v>842</v>
      </c>
      <c r="I20" s="24" t="s">
        <v>752</v>
      </c>
      <c r="J20" s="24" t="n">
        <f aca="false">턴_설계!$B$5</f>
        <v>120</v>
      </c>
    </row>
    <row r="21" customFormat="false" ht="46.5" hidden="false" customHeight="true" outlineLevel="0" collapsed="false">
      <c r="A21" s="24" t="n">
        <v>2</v>
      </c>
      <c r="B21" s="24" t="n">
        <v>5</v>
      </c>
      <c r="C21" s="26" t="s">
        <v>837</v>
      </c>
      <c r="D21" s="8" t="s">
        <v>843</v>
      </c>
      <c r="E21" s="9" t="s">
        <v>844</v>
      </c>
      <c r="F21" s="8" t="s">
        <v>845</v>
      </c>
      <c r="G21" s="9" t="s">
        <v>846</v>
      </c>
      <c r="H21" s="8" t="s">
        <v>847</v>
      </c>
      <c r="I21" s="24" t="s">
        <v>752</v>
      </c>
      <c r="J21" s="24" t="n">
        <f aca="false">턴_설계!$B$5</f>
        <v>120</v>
      </c>
    </row>
    <row r="22" customFormat="false" ht="61.5" hidden="false" customHeight="true" outlineLevel="0" collapsed="false">
      <c r="A22" s="24" t="n">
        <v>2</v>
      </c>
      <c r="B22" s="24" t="n">
        <v>6</v>
      </c>
      <c r="C22" s="26" t="s">
        <v>848</v>
      </c>
      <c r="D22" s="8" t="s">
        <v>849</v>
      </c>
      <c r="E22" s="9" t="s">
        <v>850</v>
      </c>
      <c r="F22" s="9" t="s">
        <v>851</v>
      </c>
      <c r="G22" s="9" t="s">
        <v>852</v>
      </c>
      <c r="H22" s="8" t="s">
        <v>853</v>
      </c>
      <c r="I22" s="24" t="s">
        <v>752</v>
      </c>
      <c r="J22" s="24" t="n">
        <f aca="false">턴_설계!$B$5</f>
        <v>120</v>
      </c>
    </row>
    <row r="23" customFormat="false" ht="46.5" hidden="false" customHeight="true" outlineLevel="0" collapsed="false">
      <c r="A23" s="24" t="n">
        <v>2</v>
      </c>
      <c r="B23" s="24" t="n">
        <v>7</v>
      </c>
      <c r="C23" s="26" t="s">
        <v>854</v>
      </c>
      <c r="D23" s="8" t="s">
        <v>855</v>
      </c>
      <c r="E23" s="9" t="s">
        <v>856</v>
      </c>
      <c r="F23" s="9" t="s">
        <v>857</v>
      </c>
      <c r="G23" s="9" t="s">
        <v>858</v>
      </c>
      <c r="H23" s="8" t="s">
        <v>859</v>
      </c>
      <c r="I23" s="24" t="s">
        <v>752</v>
      </c>
      <c r="J23" s="24" t="n">
        <f aca="false">턴_설계!$B$5</f>
        <v>120</v>
      </c>
    </row>
    <row r="24" customFormat="false" ht="46.5" hidden="false" customHeight="true" outlineLevel="0" collapsed="false">
      <c r="A24" s="24" t="n">
        <v>2</v>
      </c>
      <c r="B24" s="24" t="n">
        <v>8</v>
      </c>
      <c r="C24" s="26" t="s">
        <v>854</v>
      </c>
      <c r="D24" s="8" t="s">
        <v>860</v>
      </c>
      <c r="E24" s="9" t="s">
        <v>861</v>
      </c>
      <c r="F24" s="9" t="s">
        <v>862</v>
      </c>
      <c r="G24" s="9" t="s">
        <v>863</v>
      </c>
      <c r="H24" s="8" t="s">
        <v>864</v>
      </c>
      <c r="I24" s="24" t="s">
        <v>865</v>
      </c>
      <c r="J24" s="24" t="n">
        <f aca="false">턴_설계!$B$5</f>
        <v>120</v>
      </c>
    </row>
    <row r="25" customFormat="false" ht="46.5" hidden="false" customHeight="true" outlineLevel="0" collapsed="false">
      <c r="A25" s="24" t="n">
        <v>2</v>
      </c>
      <c r="B25" s="24" t="n">
        <v>9</v>
      </c>
      <c r="C25" s="26" t="s">
        <v>854</v>
      </c>
      <c r="D25" s="8" t="s">
        <v>866</v>
      </c>
      <c r="E25" s="9" t="s">
        <v>867</v>
      </c>
      <c r="F25" s="8" t="s">
        <v>868</v>
      </c>
      <c r="G25" s="9" t="s">
        <v>869</v>
      </c>
      <c r="H25" s="8" t="s">
        <v>870</v>
      </c>
      <c r="I25" s="24"/>
      <c r="J25" s="24" t="n">
        <f aca="false">턴_설계!$B$5</f>
        <v>120</v>
      </c>
    </row>
    <row r="26" customFormat="false" ht="31.5" hidden="false" customHeight="true" outlineLevel="0" collapsed="false">
      <c r="A26" s="24" t="n">
        <v>2</v>
      </c>
      <c r="B26" s="24" t="n">
        <v>10</v>
      </c>
      <c r="C26" s="26" t="s">
        <v>871</v>
      </c>
      <c r="D26" s="8" t="s">
        <v>872</v>
      </c>
      <c r="E26" s="27" t="s">
        <v>873</v>
      </c>
      <c r="F26" s="9" t="s">
        <v>874</v>
      </c>
      <c r="G26" s="9" t="s">
        <v>875</v>
      </c>
      <c r="H26" s="8" t="s">
        <v>876</v>
      </c>
      <c r="I26" s="24"/>
      <c r="J26" s="24" t="n">
        <f aca="false">턴_설계!$B$5</f>
        <v>120</v>
      </c>
    </row>
    <row r="27" customFormat="false" ht="46.5" hidden="false" customHeight="true" outlineLevel="0" collapsed="false">
      <c r="A27" s="24" t="n">
        <v>2</v>
      </c>
      <c r="B27" s="24" t="n">
        <v>11</v>
      </c>
      <c r="C27" s="26" t="s">
        <v>871</v>
      </c>
      <c r="D27" s="8" t="s">
        <v>877</v>
      </c>
      <c r="E27" s="8" t="s">
        <v>878</v>
      </c>
      <c r="F27" s="8" t="s">
        <v>879</v>
      </c>
      <c r="G27" s="9" t="s">
        <v>880</v>
      </c>
      <c r="H27" s="8" t="s">
        <v>881</v>
      </c>
      <c r="I27" s="24" t="s">
        <v>752</v>
      </c>
      <c r="J27" s="24" t="n">
        <f aca="false">턴_설계!$B$5</f>
        <v>120</v>
      </c>
    </row>
    <row r="28" customFormat="false" ht="46.5" hidden="false" customHeight="true" outlineLevel="0" collapsed="false">
      <c r="A28" s="24" t="n">
        <v>2</v>
      </c>
      <c r="B28" s="24" t="n">
        <v>12</v>
      </c>
      <c r="C28" s="26" t="s">
        <v>882</v>
      </c>
      <c r="D28" s="8" t="s">
        <v>883</v>
      </c>
      <c r="E28" s="9" t="s">
        <v>884</v>
      </c>
      <c r="F28" s="8" t="s">
        <v>885</v>
      </c>
      <c r="G28" s="9" t="s">
        <v>886</v>
      </c>
      <c r="H28" s="8" t="s">
        <v>887</v>
      </c>
      <c r="I28" s="24"/>
      <c r="J28" s="24" t="n">
        <f aca="false">턴_설계!$B$5</f>
        <v>120</v>
      </c>
    </row>
    <row r="29" customFormat="false" ht="46.5" hidden="false" customHeight="true" outlineLevel="0" collapsed="false">
      <c r="A29" s="24" t="n">
        <v>3</v>
      </c>
      <c r="B29" s="24" t="n">
        <v>1</v>
      </c>
      <c r="C29" s="26" t="s">
        <v>821</v>
      </c>
      <c r="D29" s="8" t="s">
        <v>888</v>
      </c>
      <c r="E29" s="9" t="s">
        <v>889</v>
      </c>
      <c r="F29" s="8" t="s">
        <v>890</v>
      </c>
      <c r="G29" s="9" t="s">
        <v>891</v>
      </c>
      <c r="H29" s="8" t="s">
        <v>892</v>
      </c>
      <c r="I29" s="24"/>
      <c r="J29" s="24" t="n">
        <f aca="false">턴_설계!$B$5</f>
        <v>120</v>
      </c>
    </row>
    <row r="30" customFormat="false" ht="46.5" hidden="false" customHeight="true" outlineLevel="0" collapsed="false">
      <c r="A30" s="24" t="n">
        <v>3</v>
      </c>
      <c r="B30" s="24" t="n">
        <v>2</v>
      </c>
      <c r="C30" s="26" t="s">
        <v>821</v>
      </c>
      <c r="D30" s="8" t="s">
        <v>893</v>
      </c>
      <c r="E30" s="9" t="s">
        <v>894</v>
      </c>
      <c r="F30" s="8" t="s">
        <v>895</v>
      </c>
      <c r="G30" s="8" t="s">
        <v>896</v>
      </c>
      <c r="H30" s="8" t="s">
        <v>897</v>
      </c>
      <c r="I30" s="24"/>
      <c r="J30" s="24" t="n">
        <f aca="false">턴_설계!$B$5</f>
        <v>120</v>
      </c>
    </row>
    <row r="31" customFormat="false" ht="31.5" hidden="false" customHeight="true" outlineLevel="0" collapsed="false">
      <c r="A31" s="24" t="n">
        <v>3</v>
      </c>
      <c r="B31" s="24" t="n">
        <v>3</v>
      </c>
      <c r="C31" s="26" t="s">
        <v>821</v>
      </c>
      <c r="D31" s="8" t="s">
        <v>898</v>
      </c>
      <c r="E31" s="9" t="s">
        <v>899</v>
      </c>
      <c r="F31" s="9" t="s">
        <v>900</v>
      </c>
      <c r="G31" s="9" t="s">
        <v>901</v>
      </c>
      <c r="H31" s="8" t="s">
        <v>902</v>
      </c>
      <c r="I31" s="24" t="s">
        <v>903</v>
      </c>
      <c r="J31" s="24" t="n">
        <f aca="false">턴_설계!$B$5</f>
        <v>120</v>
      </c>
    </row>
    <row r="32" customFormat="false" ht="46.5" hidden="false" customHeight="true" outlineLevel="0" collapsed="false">
      <c r="A32" s="24" t="n">
        <v>3</v>
      </c>
      <c r="B32" s="24" t="n">
        <v>4</v>
      </c>
      <c r="C32" s="26" t="s">
        <v>837</v>
      </c>
      <c r="D32" s="8" t="s">
        <v>904</v>
      </c>
      <c r="E32" s="9" t="s">
        <v>905</v>
      </c>
      <c r="F32" s="9" t="s">
        <v>906</v>
      </c>
      <c r="G32" s="9" t="s">
        <v>907</v>
      </c>
      <c r="H32" s="8" t="s">
        <v>908</v>
      </c>
      <c r="I32" s="24" t="s">
        <v>909</v>
      </c>
      <c r="J32" s="24" t="n">
        <f aca="false">턴_설계!$B$5</f>
        <v>120</v>
      </c>
    </row>
    <row r="33" customFormat="false" ht="61.5" hidden="false" customHeight="true" outlineLevel="0" collapsed="false">
      <c r="A33" s="24" t="n">
        <v>3</v>
      </c>
      <c r="B33" s="24" t="n">
        <v>5</v>
      </c>
      <c r="C33" s="26" t="s">
        <v>837</v>
      </c>
      <c r="D33" s="8" t="s">
        <v>910</v>
      </c>
      <c r="E33" s="9" t="s">
        <v>911</v>
      </c>
      <c r="F33" s="8" t="s">
        <v>912</v>
      </c>
      <c r="G33" s="9" t="s">
        <v>913</v>
      </c>
      <c r="H33" s="8" t="s">
        <v>914</v>
      </c>
      <c r="I33" s="24"/>
      <c r="J33" s="24" t="n">
        <f aca="false">턴_설계!$B$5</f>
        <v>120</v>
      </c>
    </row>
    <row r="34" customFormat="false" ht="46.5" hidden="false" customHeight="true" outlineLevel="0" collapsed="false">
      <c r="A34" s="24" t="n">
        <v>3</v>
      </c>
      <c r="B34" s="24" t="n">
        <v>6</v>
      </c>
      <c r="C34" s="26" t="s">
        <v>848</v>
      </c>
      <c r="D34" s="8" t="s">
        <v>915</v>
      </c>
      <c r="E34" s="9" t="s">
        <v>916</v>
      </c>
      <c r="F34" s="9" t="s">
        <v>917</v>
      </c>
      <c r="G34" s="9" t="s">
        <v>918</v>
      </c>
      <c r="H34" s="8" t="s">
        <v>919</v>
      </c>
      <c r="I34" s="24" t="s">
        <v>920</v>
      </c>
      <c r="J34" s="24" t="n">
        <f aca="false">턴_설계!$B$5</f>
        <v>120</v>
      </c>
    </row>
    <row r="35" customFormat="false" ht="46.5" hidden="false" customHeight="true" outlineLevel="0" collapsed="false">
      <c r="A35" s="24" t="n">
        <v>3</v>
      </c>
      <c r="B35" s="24" t="n">
        <v>7</v>
      </c>
      <c r="C35" s="26" t="s">
        <v>854</v>
      </c>
      <c r="D35" s="8" t="s">
        <v>921</v>
      </c>
      <c r="E35" s="9" t="s">
        <v>922</v>
      </c>
      <c r="F35" s="9" t="s">
        <v>923</v>
      </c>
      <c r="G35" s="9" t="s">
        <v>924</v>
      </c>
      <c r="H35" s="8" t="s">
        <v>925</v>
      </c>
      <c r="I35" s="24" t="s">
        <v>926</v>
      </c>
      <c r="J35" s="24" t="n">
        <f aca="false">턴_설계!$B$5</f>
        <v>120</v>
      </c>
    </row>
    <row r="36" customFormat="false" ht="31.5" hidden="false" customHeight="true" outlineLevel="0" collapsed="false">
      <c r="A36" s="24" t="n">
        <v>3</v>
      </c>
      <c r="B36" s="24" t="n">
        <v>8</v>
      </c>
      <c r="C36" s="26" t="s">
        <v>854</v>
      </c>
      <c r="D36" s="8" t="s">
        <v>927</v>
      </c>
      <c r="E36" s="9" t="s">
        <v>928</v>
      </c>
      <c r="F36" s="9" t="s">
        <v>929</v>
      </c>
      <c r="G36" s="9" t="s">
        <v>930</v>
      </c>
      <c r="H36" s="8" t="s">
        <v>931</v>
      </c>
      <c r="I36" s="24" t="s">
        <v>926</v>
      </c>
      <c r="J36" s="24" t="n">
        <f aca="false">턴_설계!$B$5</f>
        <v>120</v>
      </c>
    </row>
    <row r="37" customFormat="false" ht="46.5" hidden="false" customHeight="true" outlineLevel="0" collapsed="false">
      <c r="A37" s="24" t="n">
        <v>3</v>
      </c>
      <c r="B37" s="24" t="n">
        <v>9</v>
      </c>
      <c r="C37" s="26" t="s">
        <v>854</v>
      </c>
      <c r="D37" s="8" t="s">
        <v>932</v>
      </c>
      <c r="E37" s="9" t="s">
        <v>933</v>
      </c>
      <c r="F37" s="8" t="s">
        <v>934</v>
      </c>
      <c r="G37" s="9" t="s">
        <v>935</v>
      </c>
      <c r="H37" s="8" t="s">
        <v>936</v>
      </c>
      <c r="I37" s="24"/>
      <c r="J37" s="24" t="n">
        <f aca="false">턴_설계!$B$5</f>
        <v>120</v>
      </c>
    </row>
    <row r="38" customFormat="false" ht="46.5" hidden="false" customHeight="true" outlineLevel="0" collapsed="false">
      <c r="A38" s="24" t="n">
        <v>3</v>
      </c>
      <c r="B38" s="24" t="n">
        <v>10</v>
      </c>
      <c r="C38" s="26" t="s">
        <v>871</v>
      </c>
      <c r="D38" s="8" t="s">
        <v>937</v>
      </c>
      <c r="E38" s="9" t="s">
        <v>938</v>
      </c>
      <c r="F38" s="9" t="s">
        <v>939</v>
      </c>
      <c r="G38" s="9" t="s">
        <v>940</v>
      </c>
      <c r="H38" s="8" t="s">
        <v>902</v>
      </c>
      <c r="I38" s="24" t="s">
        <v>941</v>
      </c>
      <c r="J38" s="24" t="n">
        <f aca="false">턴_설계!$B$5</f>
        <v>120</v>
      </c>
    </row>
    <row r="39" customFormat="false" ht="31.5" hidden="false" customHeight="true" outlineLevel="0" collapsed="false">
      <c r="A39" s="24" t="n">
        <v>3</v>
      </c>
      <c r="B39" s="24" t="n">
        <v>11</v>
      </c>
      <c r="C39" s="26" t="s">
        <v>871</v>
      </c>
      <c r="D39" s="8" t="s">
        <v>942</v>
      </c>
      <c r="E39" s="9" t="s">
        <v>943</v>
      </c>
      <c r="F39" s="9" t="s">
        <v>944</v>
      </c>
      <c r="G39" s="9" t="s">
        <v>945</v>
      </c>
      <c r="H39" s="8" t="s">
        <v>919</v>
      </c>
      <c r="I39" s="24"/>
      <c r="J39" s="24" t="n">
        <f aca="false">턴_설계!$B$5</f>
        <v>120</v>
      </c>
    </row>
    <row r="40" customFormat="false" ht="31.5" hidden="false" customHeight="true" outlineLevel="0" collapsed="false">
      <c r="A40" s="24" t="n">
        <v>3</v>
      </c>
      <c r="B40" s="24" t="n">
        <v>12</v>
      </c>
      <c r="C40" s="26" t="s">
        <v>882</v>
      </c>
      <c r="D40" s="8" t="s">
        <v>946</v>
      </c>
      <c r="E40" s="9" t="s">
        <v>947</v>
      </c>
      <c r="F40" s="8" t="s">
        <v>948</v>
      </c>
      <c r="G40" s="9" t="s">
        <v>949</v>
      </c>
      <c r="H40" s="8" t="s">
        <v>950</v>
      </c>
      <c r="I40" s="24"/>
      <c r="J40" s="24" t="n">
        <f aca="false">턴_설계!$B$5</f>
        <v>120</v>
      </c>
    </row>
    <row r="41" customFormat="false" ht="46.5" hidden="false" customHeight="true" outlineLevel="0" collapsed="false">
      <c r="A41" s="24" t="n">
        <v>4</v>
      </c>
      <c r="B41" s="24" t="n">
        <v>1</v>
      </c>
      <c r="C41" s="26" t="s">
        <v>821</v>
      </c>
      <c r="D41" s="8" t="s">
        <v>951</v>
      </c>
      <c r="E41" s="9" t="s">
        <v>952</v>
      </c>
      <c r="F41" s="8" t="s">
        <v>953</v>
      </c>
      <c r="G41" s="9" t="s">
        <v>954</v>
      </c>
      <c r="H41" s="8" t="s">
        <v>955</v>
      </c>
      <c r="I41" s="24"/>
      <c r="J41" s="24" t="n">
        <f aca="false">턴_설계!$B$5</f>
        <v>120</v>
      </c>
    </row>
    <row r="42" customFormat="false" ht="46.5" hidden="false" customHeight="true" outlineLevel="0" collapsed="false">
      <c r="A42" s="24" t="n">
        <v>4</v>
      </c>
      <c r="B42" s="24" t="n">
        <v>2</v>
      </c>
      <c r="C42" s="26" t="s">
        <v>821</v>
      </c>
      <c r="D42" s="8" t="s">
        <v>956</v>
      </c>
      <c r="E42" s="9" t="s">
        <v>957</v>
      </c>
      <c r="F42" s="8" t="s">
        <v>958</v>
      </c>
      <c r="G42" s="9" t="s">
        <v>959</v>
      </c>
      <c r="H42" s="8" t="s">
        <v>960</v>
      </c>
      <c r="I42" s="24"/>
      <c r="J42" s="24" t="n">
        <f aca="false">턴_설계!$B$5</f>
        <v>120</v>
      </c>
    </row>
    <row r="43" customFormat="false" ht="46.5" hidden="false" customHeight="true" outlineLevel="0" collapsed="false">
      <c r="A43" s="24" t="n">
        <v>4</v>
      </c>
      <c r="B43" s="24" t="n">
        <v>3</v>
      </c>
      <c r="C43" s="26" t="s">
        <v>821</v>
      </c>
      <c r="D43" s="8" t="s">
        <v>961</v>
      </c>
      <c r="E43" s="9" t="s">
        <v>962</v>
      </c>
      <c r="F43" s="8" t="s">
        <v>963</v>
      </c>
      <c r="G43" s="9" t="s">
        <v>964</v>
      </c>
      <c r="H43" s="8" t="s">
        <v>965</v>
      </c>
      <c r="I43" s="24"/>
      <c r="J43" s="24" t="n">
        <f aca="false">턴_설계!$B$5</f>
        <v>120</v>
      </c>
    </row>
    <row r="44" customFormat="false" ht="31.5" hidden="false" customHeight="true" outlineLevel="0" collapsed="false">
      <c r="A44" s="24" t="n">
        <v>4</v>
      </c>
      <c r="B44" s="24" t="n">
        <v>4</v>
      </c>
      <c r="C44" s="26" t="s">
        <v>837</v>
      </c>
      <c r="D44" s="8" t="s">
        <v>966</v>
      </c>
      <c r="E44" s="9" t="s">
        <v>967</v>
      </c>
      <c r="F44" s="9" t="s">
        <v>968</v>
      </c>
      <c r="G44" s="9" t="s">
        <v>969</v>
      </c>
      <c r="H44" s="8" t="s">
        <v>970</v>
      </c>
      <c r="I44" s="24"/>
      <c r="J44" s="24" t="n">
        <f aca="false">턴_설계!$B$5</f>
        <v>120</v>
      </c>
    </row>
    <row r="45" customFormat="false" ht="31.5" hidden="false" customHeight="true" outlineLevel="0" collapsed="false">
      <c r="A45" s="24" t="n">
        <v>4</v>
      </c>
      <c r="B45" s="24" t="n">
        <v>5</v>
      </c>
      <c r="C45" s="26" t="s">
        <v>837</v>
      </c>
      <c r="D45" s="8" t="s">
        <v>971</v>
      </c>
      <c r="E45" s="9" t="s">
        <v>972</v>
      </c>
      <c r="F45" s="8" t="s">
        <v>973</v>
      </c>
      <c r="G45" s="9" t="s">
        <v>974</v>
      </c>
      <c r="H45" s="8" t="s">
        <v>975</v>
      </c>
      <c r="I45" s="24"/>
      <c r="J45" s="24" t="n">
        <f aca="false">턴_설계!$B$5</f>
        <v>120</v>
      </c>
    </row>
    <row r="46" customFormat="false" ht="46.5" hidden="false" customHeight="true" outlineLevel="0" collapsed="false">
      <c r="A46" s="24" t="n">
        <v>4</v>
      </c>
      <c r="B46" s="24" t="n">
        <v>6</v>
      </c>
      <c r="C46" s="26" t="s">
        <v>848</v>
      </c>
      <c r="D46" s="8" t="s">
        <v>976</v>
      </c>
      <c r="E46" s="9" t="s">
        <v>977</v>
      </c>
      <c r="F46" s="8" t="s">
        <v>978</v>
      </c>
      <c r="G46" s="9" t="s">
        <v>979</v>
      </c>
      <c r="H46" s="8" t="s">
        <v>980</v>
      </c>
      <c r="I46" s="24"/>
      <c r="J46" s="24" t="n">
        <f aca="false">턴_설계!$B$5</f>
        <v>120</v>
      </c>
    </row>
    <row r="47" customFormat="false" ht="31.5" hidden="false" customHeight="true" outlineLevel="0" collapsed="false">
      <c r="A47" s="24" t="n">
        <v>4</v>
      </c>
      <c r="B47" s="24" t="n">
        <v>7</v>
      </c>
      <c r="C47" s="26" t="s">
        <v>854</v>
      </c>
      <c r="D47" s="8" t="s">
        <v>981</v>
      </c>
      <c r="E47" s="9" t="s">
        <v>982</v>
      </c>
      <c r="F47" s="8" t="s">
        <v>983</v>
      </c>
      <c r="G47" s="9" t="s">
        <v>984</v>
      </c>
      <c r="H47" s="8" t="s">
        <v>985</v>
      </c>
      <c r="I47" s="24" t="s">
        <v>926</v>
      </c>
      <c r="J47" s="24" t="n">
        <f aca="false">턴_설계!$B$5</f>
        <v>120</v>
      </c>
    </row>
    <row r="48" customFormat="false" ht="31.5" hidden="false" customHeight="true" outlineLevel="0" collapsed="false">
      <c r="A48" s="24" t="n">
        <v>4</v>
      </c>
      <c r="B48" s="24" t="n">
        <v>8</v>
      </c>
      <c r="C48" s="26" t="s">
        <v>854</v>
      </c>
      <c r="D48" s="8" t="s">
        <v>986</v>
      </c>
      <c r="E48" s="27" t="s">
        <v>987</v>
      </c>
      <c r="F48" s="8" t="s">
        <v>988</v>
      </c>
      <c r="G48" s="9" t="s">
        <v>989</v>
      </c>
      <c r="H48" s="8" t="s">
        <v>990</v>
      </c>
      <c r="I48" s="24"/>
      <c r="J48" s="24" t="n">
        <f aca="false">턴_설계!$B$5</f>
        <v>120</v>
      </c>
    </row>
    <row r="49" customFormat="false" ht="61.5" hidden="false" customHeight="true" outlineLevel="0" collapsed="false">
      <c r="A49" s="24" t="n">
        <v>4</v>
      </c>
      <c r="B49" s="24" t="n">
        <v>9</v>
      </c>
      <c r="C49" s="26" t="s">
        <v>854</v>
      </c>
      <c r="D49" s="8" t="s">
        <v>991</v>
      </c>
      <c r="E49" s="9" t="s">
        <v>992</v>
      </c>
      <c r="F49" s="8" t="s">
        <v>993</v>
      </c>
      <c r="G49" s="9" t="s">
        <v>994</v>
      </c>
      <c r="H49" s="8" t="s">
        <v>995</v>
      </c>
      <c r="I49" s="24"/>
      <c r="J49" s="24" t="n">
        <f aca="false">턴_설계!$B$5</f>
        <v>120</v>
      </c>
    </row>
    <row r="50" customFormat="false" ht="31.5" hidden="false" customHeight="true" outlineLevel="0" collapsed="false">
      <c r="A50" s="24" t="n">
        <v>4</v>
      </c>
      <c r="B50" s="24" t="n">
        <v>10</v>
      </c>
      <c r="C50" s="26" t="s">
        <v>871</v>
      </c>
      <c r="D50" s="8" t="s">
        <v>996</v>
      </c>
      <c r="E50" s="9" t="s">
        <v>997</v>
      </c>
      <c r="F50" s="8" t="s">
        <v>998</v>
      </c>
      <c r="G50" s="9" t="s">
        <v>999</v>
      </c>
      <c r="H50" s="8" t="s">
        <v>965</v>
      </c>
      <c r="I50" s="24"/>
      <c r="J50" s="24" t="n">
        <f aca="false">턴_설계!$B$5</f>
        <v>120</v>
      </c>
    </row>
    <row r="51" customFormat="false" ht="46.5" hidden="false" customHeight="true" outlineLevel="0" collapsed="false">
      <c r="A51" s="24" t="n">
        <v>4</v>
      </c>
      <c r="B51" s="24" t="n">
        <v>11</v>
      </c>
      <c r="C51" s="26" t="s">
        <v>871</v>
      </c>
      <c r="D51" s="8" t="s">
        <v>1000</v>
      </c>
      <c r="E51" s="9" t="s">
        <v>1001</v>
      </c>
      <c r="F51" s="9" t="s">
        <v>1002</v>
      </c>
      <c r="G51" s="9" t="s">
        <v>1003</v>
      </c>
      <c r="H51" s="8" t="s">
        <v>1004</v>
      </c>
      <c r="I51" s="24"/>
      <c r="J51" s="24" t="n">
        <f aca="false">턴_설계!$B$5</f>
        <v>120</v>
      </c>
    </row>
    <row r="52" customFormat="false" ht="31.5" hidden="false" customHeight="true" outlineLevel="0" collapsed="false">
      <c r="A52" s="24" t="n">
        <v>4</v>
      </c>
      <c r="B52" s="24" t="n">
        <v>12</v>
      </c>
      <c r="C52" s="26" t="s">
        <v>882</v>
      </c>
      <c r="D52" s="8" t="s">
        <v>1005</v>
      </c>
      <c r="E52" s="9" t="s">
        <v>1006</v>
      </c>
      <c r="F52" s="8" t="s">
        <v>1007</v>
      </c>
      <c r="G52" s="9" t="s">
        <v>1008</v>
      </c>
      <c r="H52" s="8" t="s">
        <v>1009</v>
      </c>
      <c r="I52" s="24"/>
      <c r="J52" s="24" t="n">
        <f aca="false">턴_설계!$B$5</f>
        <v>120</v>
      </c>
    </row>
    <row r="53" customFormat="false" ht="31.5" hidden="false" customHeight="true" outlineLevel="0" collapsed="false">
      <c r="A53" s="24" t="n">
        <v>5</v>
      </c>
      <c r="B53" s="24" t="n">
        <v>1</v>
      </c>
      <c r="C53" s="26" t="s">
        <v>821</v>
      </c>
      <c r="D53" s="8" t="s">
        <v>1010</v>
      </c>
      <c r="E53" s="9" t="s">
        <v>1011</v>
      </c>
      <c r="F53" s="8" t="s">
        <v>1012</v>
      </c>
      <c r="G53" s="9" t="s">
        <v>1013</v>
      </c>
      <c r="H53" s="8" t="s">
        <v>1014</v>
      </c>
      <c r="I53" s="24"/>
      <c r="J53" s="24" t="n">
        <f aca="false">턴_설계!$B$5</f>
        <v>120</v>
      </c>
    </row>
    <row r="54" customFormat="false" ht="31.5" hidden="false" customHeight="true" outlineLevel="0" collapsed="false">
      <c r="A54" s="24" t="n">
        <v>5</v>
      </c>
      <c r="B54" s="24" t="n">
        <v>2</v>
      </c>
      <c r="C54" s="26" t="s">
        <v>821</v>
      </c>
      <c r="D54" s="8" t="s">
        <v>1015</v>
      </c>
      <c r="E54" s="8" t="s">
        <v>1016</v>
      </c>
      <c r="F54" s="8" t="s">
        <v>1017</v>
      </c>
      <c r="G54" s="8" t="s">
        <v>1018</v>
      </c>
      <c r="H54" s="8" t="s">
        <v>1019</v>
      </c>
      <c r="I54" s="24"/>
      <c r="J54" s="24" t="n">
        <f aca="false">턴_설계!$B$5</f>
        <v>120</v>
      </c>
    </row>
    <row r="55" customFormat="false" ht="46.5" hidden="false" customHeight="true" outlineLevel="0" collapsed="false">
      <c r="A55" s="24" t="n">
        <v>5</v>
      </c>
      <c r="B55" s="24" t="n">
        <v>3</v>
      </c>
      <c r="C55" s="26" t="s">
        <v>821</v>
      </c>
      <c r="D55" s="8" t="s">
        <v>1020</v>
      </c>
      <c r="E55" s="8" t="s">
        <v>1021</v>
      </c>
      <c r="F55" s="9" t="s">
        <v>1022</v>
      </c>
      <c r="G55" s="9" t="s">
        <v>1023</v>
      </c>
      <c r="H55" s="8" t="s">
        <v>1024</v>
      </c>
      <c r="I55" s="24" t="s">
        <v>1025</v>
      </c>
      <c r="J55" s="24" t="n">
        <f aca="false">턴_설계!$B$5</f>
        <v>120</v>
      </c>
    </row>
    <row r="56" customFormat="false" ht="31.5" hidden="false" customHeight="true" outlineLevel="0" collapsed="false">
      <c r="A56" s="24" t="n">
        <v>5</v>
      </c>
      <c r="B56" s="24" t="n">
        <v>4</v>
      </c>
      <c r="C56" s="26" t="s">
        <v>837</v>
      </c>
      <c r="D56" s="8" t="s">
        <v>1026</v>
      </c>
      <c r="E56" s="9" t="s">
        <v>1027</v>
      </c>
      <c r="F56" s="8" t="s">
        <v>1028</v>
      </c>
      <c r="G56" s="9" t="s">
        <v>1029</v>
      </c>
      <c r="H56" s="8" t="s">
        <v>1030</v>
      </c>
      <c r="I56" s="24"/>
      <c r="J56" s="24" t="n">
        <f aca="false">턴_설계!$B$5</f>
        <v>120</v>
      </c>
    </row>
    <row r="57" customFormat="false" ht="46.5" hidden="false" customHeight="true" outlineLevel="0" collapsed="false">
      <c r="A57" s="24" t="n">
        <v>5</v>
      </c>
      <c r="B57" s="24" t="n">
        <v>5</v>
      </c>
      <c r="C57" s="26" t="s">
        <v>837</v>
      </c>
      <c r="D57" s="8" t="s">
        <v>1031</v>
      </c>
      <c r="E57" s="9" t="s">
        <v>1032</v>
      </c>
      <c r="F57" s="8" t="s">
        <v>1033</v>
      </c>
      <c r="G57" s="9" t="s">
        <v>1034</v>
      </c>
      <c r="H57" s="8" t="s">
        <v>1035</v>
      </c>
      <c r="I57" s="24"/>
      <c r="J57" s="24" t="n">
        <f aca="false">턴_설계!$B$5</f>
        <v>120</v>
      </c>
    </row>
    <row r="58" customFormat="false" ht="31.5" hidden="false" customHeight="true" outlineLevel="0" collapsed="false">
      <c r="A58" s="24" t="n">
        <v>5</v>
      </c>
      <c r="B58" s="24" t="n">
        <v>6</v>
      </c>
      <c r="C58" s="26" t="s">
        <v>848</v>
      </c>
      <c r="D58" s="8" t="s">
        <v>1036</v>
      </c>
      <c r="E58" s="8" t="s">
        <v>1037</v>
      </c>
      <c r="F58" s="9" t="s">
        <v>1038</v>
      </c>
      <c r="G58" s="9" t="s">
        <v>1039</v>
      </c>
      <c r="H58" s="8" t="s">
        <v>1040</v>
      </c>
      <c r="I58" s="24" t="s">
        <v>765</v>
      </c>
      <c r="J58" s="24" t="n">
        <f aca="false">턴_설계!$B$5</f>
        <v>120</v>
      </c>
    </row>
    <row r="59" customFormat="false" ht="31.5" hidden="false" customHeight="true" outlineLevel="0" collapsed="false">
      <c r="A59" s="24" t="n">
        <v>5</v>
      </c>
      <c r="B59" s="24" t="n">
        <v>7</v>
      </c>
      <c r="C59" s="26" t="s">
        <v>854</v>
      </c>
      <c r="D59" s="8" t="s">
        <v>1041</v>
      </c>
      <c r="E59" s="9" t="s">
        <v>1042</v>
      </c>
      <c r="F59" s="9" t="s">
        <v>1043</v>
      </c>
      <c r="G59" s="8" t="s">
        <v>1044</v>
      </c>
      <c r="H59" s="8" t="s">
        <v>1045</v>
      </c>
      <c r="I59" s="24" t="s">
        <v>765</v>
      </c>
      <c r="J59" s="24" t="n">
        <f aca="false">턴_설계!$B$5</f>
        <v>120</v>
      </c>
    </row>
    <row r="60" customFormat="false" ht="46.5" hidden="false" customHeight="true" outlineLevel="0" collapsed="false">
      <c r="A60" s="24" t="n">
        <v>5</v>
      </c>
      <c r="B60" s="24" t="n">
        <v>8</v>
      </c>
      <c r="C60" s="26" t="s">
        <v>854</v>
      </c>
      <c r="D60" s="8" t="s">
        <v>1046</v>
      </c>
      <c r="E60" s="9" t="s">
        <v>1047</v>
      </c>
      <c r="F60" s="8" t="s">
        <v>1048</v>
      </c>
      <c r="G60" s="9" t="s">
        <v>1049</v>
      </c>
      <c r="H60" s="8" t="s">
        <v>1050</v>
      </c>
      <c r="I60" s="24" t="s">
        <v>765</v>
      </c>
      <c r="J60" s="24" t="n">
        <f aca="false">턴_설계!$B$5</f>
        <v>120</v>
      </c>
    </row>
    <row r="61" customFormat="false" ht="31.5" hidden="false" customHeight="true" outlineLevel="0" collapsed="false">
      <c r="A61" s="24" t="n">
        <v>5</v>
      </c>
      <c r="B61" s="24" t="n">
        <v>9</v>
      </c>
      <c r="C61" s="26" t="s">
        <v>854</v>
      </c>
      <c r="D61" s="8" t="s">
        <v>1051</v>
      </c>
      <c r="E61" s="9" t="s">
        <v>1052</v>
      </c>
      <c r="F61" s="8" t="s">
        <v>1053</v>
      </c>
      <c r="G61" s="9" t="s">
        <v>1054</v>
      </c>
      <c r="H61" s="8" t="s">
        <v>1014</v>
      </c>
      <c r="I61" s="24"/>
      <c r="J61" s="24" t="n">
        <f aca="false">턴_설계!$B$5</f>
        <v>120</v>
      </c>
    </row>
    <row r="62" customFormat="false" ht="46.5" hidden="false" customHeight="true" outlineLevel="0" collapsed="false">
      <c r="A62" s="24" t="n">
        <v>5</v>
      </c>
      <c r="B62" s="24" t="n">
        <v>10</v>
      </c>
      <c r="C62" s="26" t="s">
        <v>871</v>
      </c>
      <c r="D62" s="8" t="s">
        <v>1055</v>
      </c>
      <c r="E62" s="9" t="s">
        <v>1056</v>
      </c>
      <c r="F62" s="9" t="s">
        <v>1057</v>
      </c>
      <c r="G62" s="9" t="s">
        <v>1058</v>
      </c>
      <c r="H62" s="8" t="s">
        <v>1059</v>
      </c>
      <c r="I62" s="24" t="s">
        <v>765</v>
      </c>
      <c r="J62" s="24" t="n">
        <f aca="false">턴_설계!$B$5</f>
        <v>120</v>
      </c>
    </row>
    <row r="63" customFormat="false" ht="16.5" hidden="false" customHeight="true" outlineLevel="0" collapsed="false">
      <c r="A63" s="24" t="n">
        <v>5</v>
      </c>
      <c r="B63" s="24" t="n">
        <v>11</v>
      </c>
      <c r="C63" s="26" t="s">
        <v>871</v>
      </c>
      <c r="D63" s="8" t="s">
        <v>1060</v>
      </c>
      <c r="E63" s="9" t="s">
        <v>1061</v>
      </c>
      <c r="F63" s="9" t="s">
        <v>1062</v>
      </c>
      <c r="G63" s="9" t="s">
        <v>1063</v>
      </c>
      <c r="H63" s="8" t="s">
        <v>1019</v>
      </c>
      <c r="I63" s="24"/>
      <c r="J63" s="24" t="n">
        <f aca="false">턴_설계!$B$5</f>
        <v>120</v>
      </c>
    </row>
    <row r="64" customFormat="false" ht="31.5" hidden="false" customHeight="true" outlineLevel="0" collapsed="false">
      <c r="A64" s="24" t="n">
        <v>5</v>
      </c>
      <c r="B64" s="24" t="n">
        <v>12</v>
      </c>
      <c r="C64" s="26" t="s">
        <v>882</v>
      </c>
      <c r="D64" s="8" t="s">
        <v>1064</v>
      </c>
      <c r="E64" s="9" t="s">
        <v>1065</v>
      </c>
      <c r="F64" s="8" t="s">
        <v>1066</v>
      </c>
      <c r="G64" s="9" t="s">
        <v>1067</v>
      </c>
      <c r="H64" s="8" t="s">
        <v>1068</v>
      </c>
      <c r="I64" s="24"/>
      <c r="J64" s="24" t="n">
        <f aca="false">턴_설계!$B$5</f>
        <v>120</v>
      </c>
    </row>
    <row r="65" customFormat="false" ht="31.5" hidden="false" customHeight="true" outlineLevel="0" collapsed="false">
      <c r="A65" s="24" t="n">
        <v>6</v>
      </c>
      <c r="B65" s="24" t="n">
        <v>1</v>
      </c>
      <c r="C65" s="26" t="s">
        <v>821</v>
      </c>
      <c r="D65" s="8" t="s">
        <v>1069</v>
      </c>
      <c r="E65" s="9" t="s">
        <v>1070</v>
      </c>
      <c r="F65" s="9" t="s">
        <v>1071</v>
      </c>
      <c r="G65" s="9" t="s">
        <v>1072</v>
      </c>
      <c r="H65" s="8" t="s">
        <v>1073</v>
      </c>
      <c r="I65" s="24" t="s">
        <v>752</v>
      </c>
      <c r="J65" s="24" t="n">
        <f aca="false">턴_설계!$B$5</f>
        <v>120</v>
      </c>
    </row>
    <row r="66" customFormat="false" ht="31.5" hidden="false" customHeight="true" outlineLevel="0" collapsed="false">
      <c r="A66" s="24" t="n">
        <v>6</v>
      </c>
      <c r="B66" s="24" t="n">
        <v>2</v>
      </c>
      <c r="C66" s="26" t="s">
        <v>821</v>
      </c>
      <c r="D66" s="8" t="s">
        <v>1074</v>
      </c>
      <c r="E66" s="9" t="s">
        <v>1075</v>
      </c>
      <c r="F66" s="9" t="s">
        <v>1076</v>
      </c>
      <c r="G66" s="9" t="s">
        <v>1077</v>
      </c>
      <c r="H66" s="8" t="s">
        <v>1078</v>
      </c>
      <c r="I66" s="24"/>
      <c r="J66" s="24" t="n">
        <f aca="false">턴_설계!$B$5</f>
        <v>120</v>
      </c>
    </row>
    <row r="67" customFormat="false" ht="31.5" hidden="false" customHeight="true" outlineLevel="0" collapsed="false">
      <c r="A67" s="24" t="n">
        <v>6</v>
      </c>
      <c r="B67" s="24" t="n">
        <v>3</v>
      </c>
      <c r="C67" s="26" t="s">
        <v>821</v>
      </c>
      <c r="D67" s="8" t="s">
        <v>1079</v>
      </c>
      <c r="E67" s="8" t="s">
        <v>1080</v>
      </c>
      <c r="F67" s="9" t="s">
        <v>1081</v>
      </c>
      <c r="G67" s="9" t="s">
        <v>1082</v>
      </c>
      <c r="H67" s="8" t="s">
        <v>1083</v>
      </c>
      <c r="I67" s="24" t="s">
        <v>752</v>
      </c>
      <c r="J67" s="24" t="n">
        <f aca="false">턴_설계!$B$5</f>
        <v>120</v>
      </c>
    </row>
    <row r="68" customFormat="false" ht="46.5" hidden="false" customHeight="true" outlineLevel="0" collapsed="false">
      <c r="A68" s="24" t="n">
        <v>6</v>
      </c>
      <c r="B68" s="24" t="n">
        <v>4</v>
      </c>
      <c r="C68" s="26" t="s">
        <v>837</v>
      </c>
      <c r="D68" s="8" t="s">
        <v>1084</v>
      </c>
      <c r="E68" s="9" t="s">
        <v>1085</v>
      </c>
      <c r="F68" s="9" t="s">
        <v>1086</v>
      </c>
      <c r="G68" s="9" t="s">
        <v>1087</v>
      </c>
      <c r="H68" s="8" t="s">
        <v>1088</v>
      </c>
      <c r="I68" s="24"/>
      <c r="J68" s="24" t="n">
        <f aca="false">턴_설계!$B$5</f>
        <v>120</v>
      </c>
    </row>
    <row r="69" customFormat="false" ht="31.5" hidden="false" customHeight="true" outlineLevel="0" collapsed="false">
      <c r="A69" s="24" t="n">
        <v>6</v>
      </c>
      <c r="B69" s="24" t="n">
        <v>5</v>
      </c>
      <c r="C69" s="26" t="s">
        <v>837</v>
      </c>
      <c r="D69" s="8" t="s">
        <v>1089</v>
      </c>
      <c r="E69" s="8" t="s">
        <v>1090</v>
      </c>
      <c r="F69" s="8" t="s">
        <v>1091</v>
      </c>
      <c r="G69" s="9" t="s">
        <v>1092</v>
      </c>
      <c r="H69" s="8" t="s">
        <v>1093</v>
      </c>
      <c r="I69" s="24"/>
      <c r="J69" s="24" t="n">
        <f aca="false">턴_설계!$B$5</f>
        <v>120</v>
      </c>
    </row>
    <row r="70" customFormat="false" ht="46.5" hidden="false" customHeight="true" outlineLevel="0" collapsed="false">
      <c r="A70" s="24" t="n">
        <v>6</v>
      </c>
      <c r="B70" s="24" t="n">
        <v>6</v>
      </c>
      <c r="C70" s="26" t="s">
        <v>848</v>
      </c>
      <c r="D70" s="8" t="s">
        <v>1094</v>
      </c>
      <c r="E70" s="9" t="s">
        <v>1095</v>
      </c>
      <c r="F70" s="8" t="s">
        <v>1096</v>
      </c>
      <c r="G70" s="9" t="s">
        <v>1097</v>
      </c>
      <c r="H70" s="8" t="s">
        <v>1098</v>
      </c>
      <c r="I70" s="24" t="s">
        <v>752</v>
      </c>
      <c r="J70" s="24" t="n">
        <f aca="false">턴_설계!$B$5</f>
        <v>120</v>
      </c>
    </row>
    <row r="71" customFormat="false" ht="31.5" hidden="false" customHeight="true" outlineLevel="0" collapsed="false">
      <c r="A71" s="24" t="n">
        <v>6</v>
      </c>
      <c r="B71" s="24" t="n">
        <v>7</v>
      </c>
      <c r="C71" s="26" t="s">
        <v>854</v>
      </c>
      <c r="D71" s="8" t="s">
        <v>1099</v>
      </c>
      <c r="E71" s="9" t="s">
        <v>1100</v>
      </c>
      <c r="F71" s="9" t="s">
        <v>1101</v>
      </c>
      <c r="G71" s="9" t="s">
        <v>1102</v>
      </c>
      <c r="H71" s="8" t="s">
        <v>1078</v>
      </c>
      <c r="I71" s="24"/>
      <c r="J71" s="24" t="n">
        <f aca="false">턴_설계!$B$5</f>
        <v>120</v>
      </c>
    </row>
    <row r="72" customFormat="false" ht="61.5" hidden="false" customHeight="true" outlineLevel="0" collapsed="false">
      <c r="A72" s="24" t="n">
        <v>6</v>
      </c>
      <c r="B72" s="24" t="n">
        <v>8</v>
      </c>
      <c r="C72" s="26" t="s">
        <v>854</v>
      </c>
      <c r="D72" s="8" t="s">
        <v>1103</v>
      </c>
      <c r="E72" s="9" t="s">
        <v>1104</v>
      </c>
      <c r="F72" s="9" t="s">
        <v>1105</v>
      </c>
      <c r="G72" s="9" t="s">
        <v>1106</v>
      </c>
      <c r="H72" s="8" t="s">
        <v>1107</v>
      </c>
      <c r="I72" s="24" t="s">
        <v>234</v>
      </c>
      <c r="J72" s="24" t="n">
        <f aca="false">턴_설계!$B$5</f>
        <v>120</v>
      </c>
    </row>
    <row r="73" customFormat="false" ht="46.5" hidden="false" customHeight="true" outlineLevel="0" collapsed="false">
      <c r="A73" s="24" t="n">
        <v>6</v>
      </c>
      <c r="B73" s="24" t="n">
        <v>9</v>
      </c>
      <c r="C73" s="26" t="s">
        <v>854</v>
      </c>
      <c r="D73" s="8" t="s">
        <v>1108</v>
      </c>
      <c r="E73" s="9" t="s">
        <v>1109</v>
      </c>
      <c r="F73" s="9" t="s">
        <v>1110</v>
      </c>
      <c r="G73" s="9" t="s">
        <v>1111</v>
      </c>
      <c r="H73" s="8" t="s">
        <v>1112</v>
      </c>
      <c r="I73" s="24" t="s">
        <v>1113</v>
      </c>
      <c r="J73" s="24" t="n">
        <f aca="false">턴_설계!$B$5</f>
        <v>120</v>
      </c>
    </row>
    <row r="74" customFormat="false" ht="46.5" hidden="false" customHeight="true" outlineLevel="0" collapsed="false">
      <c r="A74" s="24" t="n">
        <v>6</v>
      </c>
      <c r="B74" s="24" t="n">
        <v>10</v>
      </c>
      <c r="C74" s="26" t="s">
        <v>871</v>
      </c>
      <c r="D74" s="8" t="s">
        <v>1114</v>
      </c>
      <c r="E74" s="9" t="s">
        <v>1115</v>
      </c>
      <c r="F74" s="9" t="s">
        <v>1116</v>
      </c>
      <c r="G74" s="9" t="s">
        <v>1117</v>
      </c>
      <c r="H74" s="8" t="s">
        <v>1118</v>
      </c>
      <c r="I74" s="24" t="s">
        <v>752</v>
      </c>
      <c r="J74" s="24" t="n">
        <f aca="false">턴_설계!$B$5</f>
        <v>120</v>
      </c>
    </row>
    <row r="75" customFormat="false" ht="46.5" hidden="false" customHeight="true" outlineLevel="0" collapsed="false">
      <c r="A75" s="24" t="n">
        <v>6</v>
      </c>
      <c r="B75" s="24" t="n">
        <v>11</v>
      </c>
      <c r="C75" s="26" t="s">
        <v>871</v>
      </c>
      <c r="D75" s="8" t="s">
        <v>1119</v>
      </c>
      <c r="E75" s="9" t="s">
        <v>1120</v>
      </c>
      <c r="F75" s="9" t="s">
        <v>1121</v>
      </c>
      <c r="G75" s="9" t="s">
        <v>1122</v>
      </c>
      <c r="H75" s="9" t="s">
        <v>1123</v>
      </c>
      <c r="I75" s="24" t="s">
        <v>765</v>
      </c>
      <c r="J75" s="24" t="n">
        <f aca="false">턴_설계!$B$5</f>
        <v>120</v>
      </c>
    </row>
    <row r="76" customFormat="false" ht="31.5" hidden="false" customHeight="true" outlineLevel="0" collapsed="false">
      <c r="A76" s="24" t="n">
        <v>6</v>
      </c>
      <c r="B76" s="24" t="n">
        <v>12</v>
      </c>
      <c r="C76" s="26" t="s">
        <v>882</v>
      </c>
      <c r="D76" s="8" t="s">
        <v>1124</v>
      </c>
      <c r="E76" s="9" t="s">
        <v>1125</v>
      </c>
      <c r="F76" s="9" t="s">
        <v>1126</v>
      </c>
      <c r="G76" s="9" t="s">
        <v>1127</v>
      </c>
      <c r="H76" s="9" t="s">
        <v>1123</v>
      </c>
      <c r="I76" s="24"/>
      <c r="J76" s="24" t="n">
        <f aca="false">턴_설계!$B$5</f>
        <v>120</v>
      </c>
    </row>
    <row r="77" customFormat="false" ht="61.5" hidden="false" customHeight="true" outlineLevel="0" collapsed="false">
      <c r="A77" s="24" t="n">
        <v>7</v>
      </c>
      <c r="B77" s="24" t="n">
        <v>1</v>
      </c>
      <c r="C77" s="26" t="s">
        <v>821</v>
      </c>
      <c r="D77" s="8" t="s">
        <v>1128</v>
      </c>
      <c r="E77" s="8" t="s">
        <v>1129</v>
      </c>
      <c r="F77" s="9" t="s">
        <v>1130</v>
      </c>
      <c r="G77" s="9" t="s">
        <v>1131</v>
      </c>
      <c r="H77" s="9" t="s">
        <v>1123</v>
      </c>
      <c r="I77" s="24"/>
      <c r="J77" s="24" t="n">
        <f aca="false">턴_설계!$B$5</f>
        <v>120</v>
      </c>
    </row>
    <row r="78" customFormat="false" ht="31.5" hidden="false" customHeight="true" outlineLevel="0" collapsed="false">
      <c r="A78" s="24" t="n">
        <v>7</v>
      </c>
      <c r="B78" s="24" t="n">
        <v>2</v>
      </c>
      <c r="C78" s="26" t="s">
        <v>821</v>
      </c>
      <c r="D78" s="8" t="s">
        <v>1132</v>
      </c>
      <c r="E78" s="9" t="s">
        <v>1133</v>
      </c>
      <c r="F78" s="9" t="s">
        <v>1134</v>
      </c>
      <c r="G78" s="9" t="s">
        <v>1135</v>
      </c>
      <c r="H78" s="8" t="s">
        <v>1136</v>
      </c>
      <c r="I78" s="24" t="s">
        <v>1137</v>
      </c>
      <c r="J78" s="24" t="n">
        <f aca="false">턴_설계!$B$5</f>
        <v>120</v>
      </c>
    </row>
    <row r="79" customFormat="false" ht="76.5" hidden="false" customHeight="true" outlineLevel="0" collapsed="false">
      <c r="A79" s="24" t="n">
        <v>7</v>
      </c>
      <c r="B79" s="24" t="n">
        <v>3</v>
      </c>
      <c r="C79" s="26" t="s">
        <v>821</v>
      </c>
      <c r="D79" s="8" t="s">
        <v>1138</v>
      </c>
      <c r="E79" s="9" t="s">
        <v>1139</v>
      </c>
      <c r="F79" s="9" t="s">
        <v>1140</v>
      </c>
      <c r="G79" s="9" t="s">
        <v>1141</v>
      </c>
      <c r="H79" s="8" t="s">
        <v>1142</v>
      </c>
      <c r="I79" s="24" t="s">
        <v>1143</v>
      </c>
      <c r="J79" s="24" t="n">
        <f aca="false">턴_설계!$B$5</f>
        <v>120</v>
      </c>
    </row>
    <row r="80" customFormat="false" ht="46.5" hidden="false" customHeight="true" outlineLevel="0" collapsed="false">
      <c r="A80" s="24" t="n">
        <v>7</v>
      </c>
      <c r="B80" s="24" t="n">
        <v>4</v>
      </c>
      <c r="C80" s="26" t="s">
        <v>837</v>
      </c>
      <c r="D80" s="8" t="s">
        <v>1144</v>
      </c>
      <c r="E80" s="9" t="s">
        <v>1145</v>
      </c>
      <c r="F80" s="8" t="s">
        <v>1146</v>
      </c>
      <c r="G80" s="9" t="s">
        <v>1147</v>
      </c>
      <c r="H80" s="8" t="s">
        <v>1148</v>
      </c>
      <c r="I80" s="24" t="s">
        <v>789</v>
      </c>
      <c r="J80" s="24" t="n">
        <f aca="false">턴_설계!$B$5</f>
        <v>120</v>
      </c>
    </row>
    <row r="81" customFormat="false" ht="46.5" hidden="false" customHeight="true" outlineLevel="0" collapsed="false">
      <c r="A81" s="24" t="n">
        <v>7</v>
      </c>
      <c r="B81" s="24" t="n">
        <v>5</v>
      </c>
      <c r="C81" s="26" t="s">
        <v>837</v>
      </c>
      <c r="D81" s="8" t="s">
        <v>1149</v>
      </c>
      <c r="E81" s="8" t="s">
        <v>1150</v>
      </c>
      <c r="F81" s="9" t="s">
        <v>1151</v>
      </c>
      <c r="G81" s="9" t="s">
        <v>1152</v>
      </c>
      <c r="H81" s="8" t="s">
        <v>1153</v>
      </c>
      <c r="I81" s="24" t="s">
        <v>926</v>
      </c>
      <c r="J81" s="24" t="n">
        <f aca="false">턴_설계!$B$5</f>
        <v>120</v>
      </c>
    </row>
    <row r="82" customFormat="false" ht="46.5" hidden="false" customHeight="true" outlineLevel="0" collapsed="false">
      <c r="A82" s="24" t="n">
        <v>7</v>
      </c>
      <c r="B82" s="24" t="n">
        <v>6</v>
      </c>
      <c r="C82" s="26" t="s">
        <v>848</v>
      </c>
      <c r="D82" s="8" t="s">
        <v>1154</v>
      </c>
      <c r="E82" s="9" t="s">
        <v>1155</v>
      </c>
      <c r="F82" s="8" t="s">
        <v>1156</v>
      </c>
      <c r="G82" s="9" t="s">
        <v>1157</v>
      </c>
      <c r="H82" s="8" t="s">
        <v>1158</v>
      </c>
      <c r="I82" s="24" t="s">
        <v>926</v>
      </c>
      <c r="J82" s="24" t="n">
        <f aca="false">턴_설계!$B$5</f>
        <v>120</v>
      </c>
    </row>
    <row r="83" customFormat="false" ht="31.5" hidden="false" customHeight="true" outlineLevel="0" collapsed="false">
      <c r="A83" s="24" t="n">
        <v>7</v>
      </c>
      <c r="B83" s="24" t="n">
        <v>7</v>
      </c>
      <c r="C83" s="26" t="s">
        <v>854</v>
      </c>
      <c r="D83" s="8" t="s">
        <v>1159</v>
      </c>
      <c r="E83" s="9" t="s">
        <v>1160</v>
      </c>
      <c r="F83" s="9" t="s">
        <v>1161</v>
      </c>
      <c r="G83" s="9" t="s">
        <v>1162</v>
      </c>
      <c r="H83" s="8" t="s">
        <v>1163</v>
      </c>
      <c r="I83" s="24" t="s">
        <v>926</v>
      </c>
      <c r="J83" s="24" t="n">
        <f aca="false">턴_설계!$B$5</f>
        <v>120</v>
      </c>
    </row>
    <row r="84" customFormat="false" ht="31.5" hidden="false" customHeight="true" outlineLevel="0" collapsed="false">
      <c r="A84" s="24" t="n">
        <v>7</v>
      </c>
      <c r="B84" s="24" t="n">
        <v>8</v>
      </c>
      <c r="C84" s="26" t="s">
        <v>854</v>
      </c>
      <c r="D84" s="8" t="s">
        <v>1164</v>
      </c>
      <c r="E84" s="9" t="s">
        <v>1165</v>
      </c>
      <c r="F84" s="8" t="s">
        <v>1166</v>
      </c>
      <c r="G84" s="9" t="s">
        <v>1167</v>
      </c>
      <c r="H84" s="8" t="s">
        <v>1168</v>
      </c>
      <c r="I84" s="24" t="s">
        <v>926</v>
      </c>
      <c r="J84" s="24" t="n">
        <f aca="false">턴_설계!$B$5</f>
        <v>120</v>
      </c>
    </row>
    <row r="85" customFormat="false" ht="31.5" hidden="false" customHeight="true" outlineLevel="0" collapsed="false">
      <c r="A85" s="24" t="n">
        <v>7</v>
      </c>
      <c r="B85" s="24" t="n">
        <v>9</v>
      </c>
      <c r="C85" s="26" t="s">
        <v>854</v>
      </c>
      <c r="D85" s="8" t="s">
        <v>1169</v>
      </c>
      <c r="E85" s="9" t="s">
        <v>1170</v>
      </c>
      <c r="F85" s="9" t="s">
        <v>1171</v>
      </c>
      <c r="G85" s="9" t="s">
        <v>1172</v>
      </c>
      <c r="H85" s="8" t="s">
        <v>1173</v>
      </c>
      <c r="I85" s="24"/>
      <c r="J85" s="24" t="n">
        <f aca="false">턴_설계!$B$5</f>
        <v>120</v>
      </c>
    </row>
    <row r="86" customFormat="false" ht="31.5" hidden="false" customHeight="true" outlineLevel="0" collapsed="false">
      <c r="A86" s="24" t="n">
        <v>7</v>
      </c>
      <c r="B86" s="24" t="n">
        <v>10</v>
      </c>
      <c r="C86" s="26" t="s">
        <v>871</v>
      </c>
      <c r="D86" s="8" t="s">
        <v>1174</v>
      </c>
      <c r="E86" s="9" t="s">
        <v>1175</v>
      </c>
      <c r="F86" s="9" t="s">
        <v>1176</v>
      </c>
      <c r="G86" s="9" t="s">
        <v>1177</v>
      </c>
      <c r="H86" s="8" t="s">
        <v>1178</v>
      </c>
      <c r="I86" s="24" t="s">
        <v>926</v>
      </c>
      <c r="J86" s="24" t="n">
        <f aca="false">턴_설계!$B$5</f>
        <v>120</v>
      </c>
    </row>
    <row r="87" customFormat="false" ht="46.5" hidden="false" customHeight="true" outlineLevel="0" collapsed="false">
      <c r="A87" s="24" t="n">
        <v>7</v>
      </c>
      <c r="B87" s="24" t="n">
        <v>11</v>
      </c>
      <c r="C87" s="26" t="s">
        <v>871</v>
      </c>
      <c r="D87" s="8" t="s">
        <v>1179</v>
      </c>
      <c r="E87" s="9" t="s">
        <v>1180</v>
      </c>
      <c r="F87" s="8" t="s">
        <v>1181</v>
      </c>
      <c r="G87" s="9" t="s">
        <v>1182</v>
      </c>
      <c r="H87" s="8" t="s">
        <v>1183</v>
      </c>
      <c r="I87" s="24" t="s">
        <v>1184</v>
      </c>
      <c r="J87" s="24" t="n">
        <f aca="false">턴_설계!$B$5</f>
        <v>120</v>
      </c>
    </row>
    <row r="88" customFormat="false" ht="31.5" hidden="false" customHeight="true" outlineLevel="0" collapsed="false">
      <c r="A88" s="24" t="n">
        <v>7</v>
      </c>
      <c r="B88" s="24" t="n">
        <v>12</v>
      </c>
      <c r="C88" s="26" t="s">
        <v>882</v>
      </c>
      <c r="D88" s="8" t="s">
        <v>1185</v>
      </c>
      <c r="E88" s="9" t="s">
        <v>1186</v>
      </c>
      <c r="F88" s="8" t="s">
        <v>1187</v>
      </c>
      <c r="G88" s="9" t="s">
        <v>1188</v>
      </c>
      <c r="H88" s="9" t="s">
        <v>1123</v>
      </c>
      <c r="I88" s="24" t="s">
        <v>1189</v>
      </c>
      <c r="J88" s="24" t="n">
        <f aca="false">턴_설계!$B$5</f>
        <v>120</v>
      </c>
    </row>
    <row r="89" customFormat="false" ht="46.5" hidden="false" customHeight="true" outlineLevel="0" collapsed="false">
      <c r="A89" s="24" t="n">
        <v>8</v>
      </c>
      <c r="B89" s="24" t="n">
        <v>1</v>
      </c>
      <c r="C89" s="26" t="s">
        <v>821</v>
      </c>
      <c r="D89" s="8" t="s">
        <v>1190</v>
      </c>
      <c r="E89" s="9" t="s">
        <v>1191</v>
      </c>
      <c r="F89" s="9" t="s">
        <v>1192</v>
      </c>
      <c r="G89" s="9" t="s">
        <v>1193</v>
      </c>
      <c r="H89" s="8" t="s">
        <v>1194</v>
      </c>
      <c r="I89" s="24" t="s">
        <v>234</v>
      </c>
      <c r="J89" s="24" t="n">
        <f aca="false">턴_설계!$B$5</f>
        <v>120</v>
      </c>
    </row>
    <row r="90" customFormat="false" ht="46.5" hidden="false" customHeight="true" outlineLevel="0" collapsed="false">
      <c r="A90" s="24" t="n">
        <v>8</v>
      </c>
      <c r="B90" s="24" t="n">
        <v>2</v>
      </c>
      <c r="C90" s="26" t="s">
        <v>821</v>
      </c>
      <c r="D90" s="8" t="s">
        <v>1195</v>
      </c>
      <c r="E90" s="9" t="s">
        <v>1196</v>
      </c>
      <c r="F90" s="8" t="s">
        <v>1197</v>
      </c>
      <c r="G90" s="9" t="s">
        <v>1198</v>
      </c>
      <c r="H90" s="8" t="s">
        <v>1199</v>
      </c>
      <c r="I90" s="24"/>
      <c r="J90" s="24" t="n">
        <f aca="false">턴_설계!$B$5</f>
        <v>120</v>
      </c>
    </row>
    <row r="91" customFormat="false" ht="31.5" hidden="false" customHeight="true" outlineLevel="0" collapsed="false">
      <c r="A91" s="24" t="n">
        <v>8</v>
      </c>
      <c r="B91" s="24" t="n">
        <v>3</v>
      </c>
      <c r="C91" s="26" t="s">
        <v>821</v>
      </c>
      <c r="D91" s="8" t="s">
        <v>1200</v>
      </c>
      <c r="E91" s="8" t="s">
        <v>1201</v>
      </c>
      <c r="F91" s="9" t="s">
        <v>1202</v>
      </c>
      <c r="G91" s="9" t="s">
        <v>1203</v>
      </c>
      <c r="H91" s="8" t="s">
        <v>1204</v>
      </c>
      <c r="I91" s="24" t="s">
        <v>1205</v>
      </c>
      <c r="J91" s="24" t="n">
        <f aca="false">턴_설계!$B$5</f>
        <v>120</v>
      </c>
    </row>
    <row r="92" customFormat="false" ht="31.5" hidden="false" customHeight="true" outlineLevel="0" collapsed="false">
      <c r="A92" s="24" t="n">
        <v>8</v>
      </c>
      <c r="B92" s="24" t="n">
        <v>4</v>
      </c>
      <c r="C92" s="26" t="s">
        <v>1206</v>
      </c>
      <c r="D92" s="8" t="s">
        <v>1207</v>
      </c>
      <c r="E92" s="9" t="s">
        <v>1208</v>
      </c>
      <c r="F92" s="9" t="s">
        <v>1209</v>
      </c>
      <c r="G92" s="9" t="s">
        <v>1210</v>
      </c>
      <c r="H92" s="8" t="s">
        <v>1211</v>
      </c>
      <c r="I92" s="24"/>
      <c r="J92" s="24" t="n">
        <f aca="false">턴_설계!$B$5</f>
        <v>120</v>
      </c>
    </row>
    <row r="93" customFormat="false" ht="46.5" hidden="false" customHeight="true" outlineLevel="0" collapsed="false">
      <c r="A93" s="24" t="n">
        <v>8</v>
      </c>
      <c r="B93" s="24" t="n">
        <v>5</v>
      </c>
      <c r="C93" s="26" t="s">
        <v>848</v>
      </c>
      <c r="D93" s="8" t="s">
        <v>1212</v>
      </c>
      <c r="E93" s="9" t="s">
        <v>1213</v>
      </c>
      <c r="F93" s="9" t="s">
        <v>1214</v>
      </c>
      <c r="G93" s="9" t="s">
        <v>1215</v>
      </c>
      <c r="H93" s="8" t="s">
        <v>1216</v>
      </c>
      <c r="I93" s="24"/>
      <c r="J93" s="24" t="n">
        <f aca="false">턴_설계!$B$5</f>
        <v>120</v>
      </c>
    </row>
    <row r="94" customFormat="false" ht="46.5" hidden="false" customHeight="true" outlineLevel="0" collapsed="false">
      <c r="A94" s="24" t="n">
        <v>8</v>
      </c>
      <c r="B94" s="24" t="n">
        <v>6</v>
      </c>
      <c r="C94" s="26" t="s">
        <v>854</v>
      </c>
      <c r="D94" s="8" t="s">
        <v>1217</v>
      </c>
      <c r="E94" s="9" t="s">
        <v>1218</v>
      </c>
      <c r="F94" s="9" t="s">
        <v>1219</v>
      </c>
      <c r="G94" s="9" t="s">
        <v>1220</v>
      </c>
      <c r="H94" s="8" t="s">
        <v>1221</v>
      </c>
      <c r="I94" s="24" t="s">
        <v>1189</v>
      </c>
      <c r="J94" s="24" t="n">
        <f aca="false">턴_설계!$B$5</f>
        <v>120</v>
      </c>
    </row>
    <row r="95" customFormat="false" ht="46.5" hidden="false" customHeight="true" outlineLevel="0" collapsed="false">
      <c r="A95" s="24" t="n">
        <v>8</v>
      </c>
      <c r="B95" s="24" t="n">
        <v>7</v>
      </c>
      <c r="C95" s="26" t="s">
        <v>854</v>
      </c>
      <c r="D95" s="8" t="s">
        <v>1222</v>
      </c>
      <c r="E95" s="9" t="s">
        <v>1223</v>
      </c>
      <c r="F95" s="9" t="s">
        <v>1224</v>
      </c>
      <c r="G95" s="9" t="s">
        <v>1225</v>
      </c>
      <c r="H95" s="8" t="s">
        <v>970</v>
      </c>
      <c r="I95" s="24"/>
      <c r="J95" s="24" t="n">
        <f aca="false">턴_설계!$B$5</f>
        <v>120</v>
      </c>
    </row>
    <row r="96" customFormat="false" ht="31.5" hidden="false" customHeight="true" outlineLevel="0" collapsed="false">
      <c r="A96" s="24" t="n">
        <v>8</v>
      </c>
      <c r="B96" s="24" t="n">
        <v>8</v>
      </c>
      <c r="C96" s="26" t="s">
        <v>854</v>
      </c>
      <c r="D96" s="8" t="s">
        <v>1226</v>
      </c>
      <c r="E96" s="9" t="s">
        <v>1227</v>
      </c>
      <c r="F96" s="8" t="s">
        <v>1228</v>
      </c>
      <c r="G96" s="9" t="s">
        <v>1229</v>
      </c>
      <c r="H96" s="8" t="s">
        <v>1230</v>
      </c>
      <c r="I96" s="24" t="s">
        <v>1231</v>
      </c>
      <c r="J96" s="24" t="n">
        <f aca="false">턴_설계!$B$5</f>
        <v>120</v>
      </c>
    </row>
    <row r="97" customFormat="false" ht="31.5" hidden="false" customHeight="true" outlineLevel="0" collapsed="false">
      <c r="A97" s="24" t="n">
        <v>8</v>
      </c>
      <c r="B97" s="24" t="n">
        <v>9</v>
      </c>
      <c r="C97" s="26" t="s">
        <v>854</v>
      </c>
      <c r="D97" s="8" t="s">
        <v>1232</v>
      </c>
      <c r="E97" s="9" t="s">
        <v>1233</v>
      </c>
      <c r="F97" s="8" t="s">
        <v>1234</v>
      </c>
      <c r="G97" s="9" t="s">
        <v>1235</v>
      </c>
      <c r="H97" s="8" t="s">
        <v>1236</v>
      </c>
      <c r="I97" s="24" t="s">
        <v>1237</v>
      </c>
      <c r="J97" s="24" t="n">
        <f aca="false">턴_설계!$B$5</f>
        <v>120</v>
      </c>
    </row>
    <row r="98" customFormat="false" ht="31.5" hidden="false" customHeight="true" outlineLevel="0" collapsed="false">
      <c r="A98" s="24" t="n">
        <v>8</v>
      </c>
      <c r="B98" s="24" t="n">
        <v>10</v>
      </c>
      <c r="C98" s="26" t="s">
        <v>871</v>
      </c>
      <c r="D98" s="8" t="s">
        <v>1238</v>
      </c>
      <c r="E98" s="9" t="s">
        <v>1239</v>
      </c>
      <c r="F98" s="9" t="s">
        <v>1240</v>
      </c>
      <c r="G98" s="9" t="s">
        <v>1241</v>
      </c>
      <c r="H98" s="8" t="s">
        <v>1242</v>
      </c>
      <c r="I98" s="24"/>
      <c r="J98" s="24" t="n">
        <f aca="false">턴_설계!$B$5</f>
        <v>120</v>
      </c>
    </row>
    <row r="99" customFormat="false" ht="31.5" hidden="false" customHeight="true" outlineLevel="0" collapsed="false">
      <c r="A99" s="24" t="n">
        <v>8</v>
      </c>
      <c r="B99" s="24" t="n">
        <v>11</v>
      </c>
      <c r="C99" s="26" t="s">
        <v>871</v>
      </c>
      <c r="D99" s="8" t="s">
        <v>1243</v>
      </c>
      <c r="E99" s="9" t="s">
        <v>1244</v>
      </c>
      <c r="F99" s="9" t="s">
        <v>1245</v>
      </c>
      <c r="G99" s="9" t="s">
        <v>1246</v>
      </c>
      <c r="H99" s="8" t="s">
        <v>1247</v>
      </c>
      <c r="I99" s="24"/>
      <c r="J99" s="24" t="n">
        <f aca="false">턴_설계!$B$5</f>
        <v>120</v>
      </c>
    </row>
    <row r="100" customFormat="false" ht="31.5" hidden="false" customHeight="true" outlineLevel="0" collapsed="false">
      <c r="A100" s="24" t="n">
        <v>8</v>
      </c>
      <c r="B100" s="24" t="n">
        <v>12</v>
      </c>
      <c r="C100" s="26" t="s">
        <v>882</v>
      </c>
      <c r="D100" s="8" t="s">
        <v>1248</v>
      </c>
      <c r="E100" s="9" t="s">
        <v>1249</v>
      </c>
      <c r="F100" s="9" t="s">
        <v>1250</v>
      </c>
      <c r="G100" s="27" t="s">
        <v>1251</v>
      </c>
      <c r="H100" s="9" t="s">
        <v>1123</v>
      </c>
      <c r="I100" s="24"/>
      <c r="J100" s="24" t="n">
        <f aca="false">턴_설계!$B$5</f>
        <v>120</v>
      </c>
    </row>
    <row r="101" customFormat="false" ht="46.5" hidden="false" customHeight="true" outlineLevel="0" collapsed="false">
      <c r="A101" s="24" t="n">
        <v>9</v>
      </c>
      <c r="B101" s="24" t="n">
        <v>1</v>
      </c>
      <c r="C101" s="26" t="s">
        <v>821</v>
      </c>
      <c r="D101" s="8" t="s">
        <v>1252</v>
      </c>
      <c r="E101" s="9" t="s">
        <v>1253</v>
      </c>
      <c r="F101" s="9" t="s">
        <v>1254</v>
      </c>
      <c r="G101" s="9" t="s">
        <v>1255</v>
      </c>
      <c r="H101" s="8" t="s">
        <v>1256</v>
      </c>
      <c r="I101" s="24"/>
      <c r="J101" s="24" t="n">
        <f aca="false">턴_설계!$B$5</f>
        <v>120</v>
      </c>
    </row>
    <row r="102" customFormat="false" ht="31.5" hidden="false" customHeight="true" outlineLevel="0" collapsed="false">
      <c r="A102" s="24" t="n">
        <v>9</v>
      </c>
      <c r="B102" s="24" t="n">
        <v>2</v>
      </c>
      <c r="C102" s="26" t="s">
        <v>821</v>
      </c>
      <c r="D102" s="8" t="s">
        <v>1257</v>
      </c>
      <c r="E102" s="9" t="s">
        <v>1258</v>
      </c>
      <c r="F102" s="9" t="s">
        <v>1259</v>
      </c>
      <c r="G102" s="8" t="s">
        <v>1260</v>
      </c>
      <c r="H102" s="8" t="s">
        <v>1261</v>
      </c>
      <c r="I102" s="24"/>
      <c r="J102" s="24" t="n">
        <f aca="false">턴_설계!$B$5</f>
        <v>120</v>
      </c>
    </row>
    <row r="103" customFormat="false" ht="31.5" hidden="false" customHeight="true" outlineLevel="0" collapsed="false">
      <c r="A103" s="24" t="n">
        <v>9</v>
      </c>
      <c r="B103" s="24" t="n">
        <v>3</v>
      </c>
      <c r="C103" s="26" t="s">
        <v>821</v>
      </c>
      <c r="D103" s="8" t="s">
        <v>1262</v>
      </c>
      <c r="E103" s="9" t="s">
        <v>1263</v>
      </c>
      <c r="F103" s="8" t="s">
        <v>1264</v>
      </c>
      <c r="G103" s="9" t="s">
        <v>1265</v>
      </c>
      <c r="H103" s="8" t="s">
        <v>970</v>
      </c>
      <c r="I103" s="24"/>
      <c r="J103" s="24" t="n">
        <f aca="false">턴_설계!$B$5</f>
        <v>120</v>
      </c>
    </row>
    <row r="104" customFormat="false" ht="46.5" hidden="false" customHeight="true" outlineLevel="0" collapsed="false">
      <c r="A104" s="24" t="n">
        <v>9</v>
      </c>
      <c r="B104" s="24" t="n">
        <v>4</v>
      </c>
      <c r="C104" s="26" t="s">
        <v>837</v>
      </c>
      <c r="D104" s="8" t="s">
        <v>1266</v>
      </c>
      <c r="E104" s="9" t="s">
        <v>1267</v>
      </c>
      <c r="F104" s="9" t="s">
        <v>1268</v>
      </c>
      <c r="G104" s="9" t="s">
        <v>1269</v>
      </c>
      <c r="H104" s="8" t="s">
        <v>1270</v>
      </c>
      <c r="I104" s="24" t="s">
        <v>1271</v>
      </c>
      <c r="J104" s="24" t="n">
        <f aca="false">턴_설계!$B$5</f>
        <v>120</v>
      </c>
    </row>
    <row r="105" customFormat="false" ht="31.5" hidden="false" customHeight="true" outlineLevel="0" collapsed="false">
      <c r="A105" s="24" t="n">
        <v>9</v>
      </c>
      <c r="B105" s="24" t="n">
        <v>5</v>
      </c>
      <c r="C105" s="26" t="s">
        <v>837</v>
      </c>
      <c r="D105" s="8" t="s">
        <v>1272</v>
      </c>
      <c r="E105" s="9" t="s">
        <v>1273</v>
      </c>
      <c r="F105" s="9" t="s">
        <v>1274</v>
      </c>
      <c r="G105" s="9" t="s">
        <v>1275</v>
      </c>
      <c r="H105" s="8" t="s">
        <v>1059</v>
      </c>
      <c r="I105" s="24" t="s">
        <v>1189</v>
      </c>
      <c r="J105" s="24" t="n">
        <f aca="false">턴_설계!$B$5</f>
        <v>120</v>
      </c>
    </row>
    <row r="106" customFormat="false" ht="61.5" hidden="false" customHeight="true" outlineLevel="0" collapsed="false">
      <c r="A106" s="24" t="n">
        <v>9</v>
      </c>
      <c r="B106" s="24" t="n">
        <v>6</v>
      </c>
      <c r="C106" s="26" t="s">
        <v>848</v>
      </c>
      <c r="D106" s="8" t="s">
        <v>1276</v>
      </c>
      <c r="E106" s="9" t="s">
        <v>1277</v>
      </c>
      <c r="F106" s="9" t="s">
        <v>1278</v>
      </c>
      <c r="G106" s="9" t="s">
        <v>1279</v>
      </c>
      <c r="H106" s="8" t="s">
        <v>1280</v>
      </c>
      <c r="I106" s="24" t="s">
        <v>752</v>
      </c>
      <c r="J106" s="24" t="n">
        <f aca="false">턴_설계!$B$5</f>
        <v>120</v>
      </c>
    </row>
    <row r="107" customFormat="false" ht="46.5" hidden="false" customHeight="true" outlineLevel="0" collapsed="false">
      <c r="A107" s="24" t="n">
        <v>9</v>
      </c>
      <c r="B107" s="24" t="n">
        <v>7</v>
      </c>
      <c r="C107" s="26" t="s">
        <v>854</v>
      </c>
      <c r="D107" s="8" t="s">
        <v>1281</v>
      </c>
      <c r="E107" s="9" t="s">
        <v>1282</v>
      </c>
      <c r="F107" s="9" t="s">
        <v>1283</v>
      </c>
      <c r="G107" s="9" t="s">
        <v>1284</v>
      </c>
      <c r="H107" s="8" t="s">
        <v>1285</v>
      </c>
      <c r="I107" s="24" t="s">
        <v>909</v>
      </c>
      <c r="J107" s="24" t="n">
        <f aca="false">턴_설계!$B$5</f>
        <v>120</v>
      </c>
    </row>
    <row r="108" customFormat="false" ht="31.5" hidden="false" customHeight="true" outlineLevel="0" collapsed="false">
      <c r="A108" s="24" t="n">
        <v>9</v>
      </c>
      <c r="B108" s="24" t="n">
        <v>8</v>
      </c>
      <c r="C108" s="26" t="s">
        <v>854</v>
      </c>
      <c r="D108" s="8" t="s">
        <v>1286</v>
      </c>
      <c r="E108" s="9" t="s">
        <v>1287</v>
      </c>
      <c r="F108" s="9" t="s">
        <v>1288</v>
      </c>
      <c r="G108" s="9" t="s">
        <v>1289</v>
      </c>
      <c r="H108" s="8" t="s">
        <v>1290</v>
      </c>
      <c r="I108" s="24"/>
      <c r="J108" s="24" t="n">
        <f aca="false">턴_설계!$B$5</f>
        <v>120</v>
      </c>
    </row>
    <row r="109" customFormat="false" ht="31.5" hidden="false" customHeight="true" outlineLevel="0" collapsed="false">
      <c r="A109" s="24" t="n">
        <v>9</v>
      </c>
      <c r="B109" s="24" t="n">
        <v>9</v>
      </c>
      <c r="C109" s="26" t="s">
        <v>854</v>
      </c>
      <c r="D109" s="8" t="s">
        <v>1291</v>
      </c>
      <c r="E109" s="9" t="s">
        <v>1292</v>
      </c>
      <c r="F109" s="9" t="s">
        <v>1293</v>
      </c>
      <c r="G109" s="9" t="s">
        <v>1294</v>
      </c>
      <c r="H109" s="8" t="s">
        <v>1211</v>
      </c>
      <c r="I109" s="24" t="s">
        <v>926</v>
      </c>
      <c r="J109" s="24" t="n">
        <f aca="false">턴_설계!$B$5</f>
        <v>120</v>
      </c>
    </row>
    <row r="110" customFormat="false" ht="31.5" hidden="false" customHeight="true" outlineLevel="0" collapsed="false">
      <c r="A110" s="24" t="n">
        <v>9</v>
      </c>
      <c r="B110" s="24" t="n">
        <v>10</v>
      </c>
      <c r="C110" s="26" t="s">
        <v>871</v>
      </c>
      <c r="D110" s="8" t="s">
        <v>1295</v>
      </c>
      <c r="E110" s="9" t="s">
        <v>1296</v>
      </c>
      <c r="F110" s="9" t="s">
        <v>1297</v>
      </c>
      <c r="G110" s="9" t="s">
        <v>1298</v>
      </c>
      <c r="H110" s="8" t="s">
        <v>1299</v>
      </c>
      <c r="I110" s="24"/>
      <c r="J110" s="24" t="n">
        <f aca="false">턴_설계!$B$5</f>
        <v>120</v>
      </c>
    </row>
    <row r="111" customFormat="false" ht="16.5" hidden="false" customHeight="true" outlineLevel="0" collapsed="false">
      <c r="A111" s="24" t="n">
        <v>9</v>
      </c>
      <c r="B111" s="24" t="n">
        <v>11</v>
      </c>
      <c r="C111" s="26" t="s">
        <v>871</v>
      </c>
      <c r="D111" s="8" t="s">
        <v>1300</v>
      </c>
      <c r="E111" s="9" t="s">
        <v>1301</v>
      </c>
      <c r="F111" s="9" t="s">
        <v>1302</v>
      </c>
      <c r="G111" s="9" t="s">
        <v>1303</v>
      </c>
      <c r="H111" s="8" t="s">
        <v>1304</v>
      </c>
      <c r="I111" s="24"/>
      <c r="J111" s="24" t="n">
        <f aca="false">턴_설계!$B$5</f>
        <v>120</v>
      </c>
    </row>
    <row r="112" customFormat="false" ht="46.5" hidden="false" customHeight="true" outlineLevel="0" collapsed="false">
      <c r="A112" s="24" t="n">
        <v>9</v>
      </c>
      <c r="B112" s="24" t="n">
        <v>12</v>
      </c>
      <c r="C112" s="26" t="s">
        <v>882</v>
      </c>
      <c r="D112" s="8" t="s">
        <v>1305</v>
      </c>
      <c r="E112" s="9" t="s">
        <v>1306</v>
      </c>
      <c r="F112" s="9" t="s">
        <v>1307</v>
      </c>
      <c r="G112" s="9" t="s">
        <v>1308</v>
      </c>
      <c r="H112" s="8" t="s">
        <v>1309</v>
      </c>
      <c r="I112" s="24"/>
      <c r="J112" s="24" t="n">
        <f aca="false">턴_설계!$B$5</f>
        <v>120</v>
      </c>
    </row>
    <row r="113" customFormat="false" ht="46.5" hidden="false" customHeight="true" outlineLevel="0" collapsed="false">
      <c r="A113" s="24" t="n">
        <v>10</v>
      </c>
      <c r="B113" s="24" t="n">
        <v>1</v>
      </c>
      <c r="C113" s="26" t="s">
        <v>821</v>
      </c>
      <c r="D113" s="8" t="s">
        <v>1310</v>
      </c>
      <c r="E113" s="9" t="s">
        <v>1311</v>
      </c>
      <c r="F113" s="9" t="s">
        <v>1312</v>
      </c>
      <c r="G113" s="9" t="s">
        <v>1313</v>
      </c>
      <c r="H113" s="8" t="s">
        <v>1314</v>
      </c>
      <c r="I113" s="24"/>
      <c r="J113" s="24" t="n">
        <f aca="false">턴_설계!$B$5</f>
        <v>120</v>
      </c>
    </row>
    <row r="114" customFormat="false" ht="46.5" hidden="false" customHeight="true" outlineLevel="0" collapsed="false">
      <c r="A114" s="24" t="n">
        <v>10</v>
      </c>
      <c r="B114" s="24" t="n">
        <v>2</v>
      </c>
      <c r="C114" s="26" t="s">
        <v>821</v>
      </c>
      <c r="D114" s="8" t="s">
        <v>1315</v>
      </c>
      <c r="E114" s="9" t="s">
        <v>1316</v>
      </c>
      <c r="F114" s="9" t="s">
        <v>1317</v>
      </c>
      <c r="G114" s="9" t="s">
        <v>1318</v>
      </c>
      <c r="H114" s="8" t="s">
        <v>1319</v>
      </c>
      <c r="I114" s="24" t="s">
        <v>1320</v>
      </c>
      <c r="J114" s="24" t="n">
        <f aca="false">턴_설계!$B$5</f>
        <v>120</v>
      </c>
    </row>
    <row r="115" customFormat="false" ht="31.5" hidden="false" customHeight="true" outlineLevel="0" collapsed="false">
      <c r="A115" s="24" t="n">
        <v>10</v>
      </c>
      <c r="B115" s="24" t="n">
        <v>3</v>
      </c>
      <c r="C115" s="26" t="s">
        <v>821</v>
      </c>
      <c r="D115" s="8" t="s">
        <v>1321</v>
      </c>
      <c r="E115" s="9" t="s">
        <v>1322</v>
      </c>
      <c r="F115" s="8" t="s">
        <v>1323</v>
      </c>
      <c r="G115" s="9" t="s">
        <v>1324</v>
      </c>
      <c r="H115" s="8" t="s">
        <v>1325</v>
      </c>
      <c r="I115" s="24" t="s">
        <v>1326</v>
      </c>
      <c r="J115" s="24" t="n">
        <f aca="false">턴_설계!$B$5</f>
        <v>120</v>
      </c>
    </row>
    <row r="116" customFormat="false" ht="31.5" hidden="false" customHeight="true" outlineLevel="0" collapsed="false">
      <c r="A116" s="24" t="n">
        <v>10</v>
      </c>
      <c r="B116" s="24" t="n">
        <v>4</v>
      </c>
      <c r="C116" s="26" t="s">
        <v>1206</v>
      </c>
      <c r="D116" s="8" t="s">
        <v>1327</v>
      </c>
      <c r="E116" s="27" t="s">
        <v>1328</v>
      </c>
      <c r="F116" s="8" t="s">
        <v>1329</v>
      </c>
      <c r="G116" s="8" t="s">
        <v>1330</v>
      </c>
      <c r="H116" s="9" t="s">
        <v>1123</v>
      </c>
      <c r="I116" s="24"/>
      <c r="J116" s="24" t="n">
        <f aca="false">턴_설계!$B$5</f>
        <v>120</v>
      </c>
    </row>
    <row r="117" customFormat="false" ht="31.5" hidden="false" customHeight="true" outlineLevel="0" collapsed="false">
      <c r="A117" s="24" t="n">
        <v>10</v>
      </c>
      <c r="B117" s="24" t="n">
        <v>5</v>
      </c>
      <c r="C117" s="26" t="s">
        <v>837</v>
      </c>
      <c r="D117" s="8" t="s">
        <v>1331</v>
      </c>
      <c r="E117" s="9" t="s">
        <v>1332</v>
      </c>
      <c r="F117" s="9" t="s">
        <v>1333</v>
      </c>
      <c r="G117" s="9" t="s">
        <v>1334</v>
      </c>
      <c r="H117" s="8" t="s">
        <v>1335</v>
      </c>
      <c r="I117" s="24" t="s">
        <v>1189</v>
      </c>
      <c r="J117" s="24" t="n">
        <f aca="false">턴_설계!$B$5</f>
        <v>120</v>
      </c>
    </row>
    <row r="118" customFormat="false" ht="31.5" hidden="false" customHeight="true" outlineLevel="0" collapsed="false">
      <c r="A118" s="24" t="n">
        <v>10</v>
      </c>
      <c r="B118" s="24" t="n">
        <v>6</v>
      </c>
      <c r="C118" s="26" t="s">
        <v>837</v>
      </c>
      <c r="D118" s="8" t="s">
        <v>1336</v>
      </c>
      <c r="E118" s="9" t="s">
        <v>1337</v>
      </c>
      <c r="F118" s="9" t="s">
        <v>1338</v>
      </c>
      <c r="G118" s="9" t="s">
        <v>1339</v>
      </c>
      <c r="H118" s="8" t="s">
        <v>1340</v>
      </c>
      <c r="I118" s="24" t="s">
        <v>1341</v>
      </c>
      <c r="J118" s="24" t="n">
        <f aca="false">턴_설계!$B$5</f>
        <v>120</v>
      </c>
    </row>
    <row r="119" customFormat="false" ht="31.5" hidden="false" customHeight="true" outlineLevel="0" collapsed="false">
      <c r="A119" s="24" t="n">
        <v>10</v>
      </c>
      <c r="B119" s="24" t="n">
        <v>7</v>
      </c>
      <c r="C119" s="26" t="s">
        <v>848</v>
      </c>
      <c r="D119" s="8" t="s">
        <v>1342</v>
      </c>
      <c r="E119" s="9" t="s">
        <v>1343</v>
      </c>
      <c r="F119" s="8" t="s">
        <v>1344</v>
      </c>
      <c r="G119" s="9" t="s">
        <v>1345</v>
      </c>
      <c r="H119" s="9" t="s">
        <v>1123</v>
      </c>
      <c r="I119" s="24"/>
      <c r="J119" s="24" t="n">
        <f aca="false">턴_설계!$B$5</f>
        <v>120</v>
      </c>
    </row>
    <row r="120" customFormat="false" ht="46.5" hidden="false" customHeight="true" outlineLevel="0" collapsed="false">
      <c r="A120" s="24" t="n">
        <v>10</v>
      </c>
      <c r="B120" s="24" t="n">
        <v>8</v>
      </c>
      <c r="C120" s="26" t="s">
        <v>837</v>
      </c>
      <c r="D120" s="8" t="s">
        <v>1346</v>
      </c>
      <c r="E120" s="9" t="s">
        <v>1347</v>
      </c>
      <c r="F120" s="9" t="s">
        <v>1348</v>
      </c>
      <c r="G120" s="9" t="s">
        <v>1349</v>
      </c>
      <c r="H120" s="8" t="s">
        <v>1350</v>
      </c>
      <c r="I120" s="24"/>
      <c r="J120" s="24" t="n">
        <f aca="false">턴_설계!$B$5</f>
        <v>120</v>
      </c>
    </row>
    <row r="121" customFormat="false" ht="31.5" hidden="false" customHeight="true" outlineLevel="0" collapsed="false">
      <c r="A121" s="24" t="n">
        <v>10</v>
      </c>
      <c r="B121" s="24" t="n">
        <v>9</v>
      </c>
      <c r="C121" s="26" t="s">
        <v>854</v>
      </c>
      <c r="D121" s="8" t="s">
        <v>1351</v>
      </c>
      <c r="E121" s="9" t="s">
        <v>1352</v>
      </c>
      <c r="F121" s="9" t="s">
        <v>1353</v>
      </c>
      <c r="G121" s="9" t="s">
        <v>1354</v>
      </c>
      <c r="H121" s="8" t="s">
        <v>1355</v>
      </c>
      <c r="I121" s="24" t="s">
        <v>1189</v>
      </c>
      <c r="J121" s="24" t="n">
        <f aca="false">턴_설계!$B$5</f>
        <v>120</v>
      </c>
    </row>
    <row r="122" customFormat="false" ht="31.5" hidden="false" customHeight="true" outlineLevel="0" collapsed="false">
      <c r="A122" s="24" t="n">
        <v>10</v>
      </c>
      <c r="B122" s="24" t="n">
        <v>10</v>
      </c>
      <c r="C122" s="26" t="s">
        <v>1206</v>
      </c>
      <c r="D122" s="8" t="s">
        <v>1356</v>
      </c>
      <c r="E122" s="9" t="s">
        <v>1357</v>
      </c>
      <c r="F122" s="8" t="s">
        <v>1358</v>
      </c>
      <c r="G122" s="9" t="s">
        <v>1359</v>
      </c>
      <c r="H122" s="9" t="s">
        <v>1123</v>
      </c>
      <c r="I122" s="24"/>
      <c r="J122" s="24" t="n">
        <f aca="false">턴_설계!$B$5</f>
        <v>120</v>
      </c>
    </row>
    <row r="123" customFormat="false" ht="61.5" hidden="false" customHeight="true" outlineLevel="0" collapsed="false">
      <c r="A123" s="24" t="n">
        <v>10</v>
      </c>
      <c r="B123" s="24" t="n">
        <v>11</v>
      </c>
      <c r="C123" s="26" t="s">
        <v>871</v>
      </c>
      <c r="D123" s="8" t="s">
        <v>1360</v>
      </c>
      <c r="E123" s="9" t="s">
        <v>1361</v>
      </c>
      <c r="F123" s="9" t="s">
        <v>1362</v>
      </c>
      <c r="G123" s="9" t="s">
        <v>1363</v>
      </c>
      <c r="H123" s="8" t="s">
        <v>1364</v>
      </c>
      <c r="I123" s="24" t="s">
        <v>1365</v>
      </c>
      <c r="J123" s="24" t="n">
        <f aca="false">턴_설계!$B$5</f>
        <v>120</v>
      </c>
    </row>
    <row r="124" customFormat="false" ht="46.5" hidden="false" customHeight="true" outlineLevel="0" collapsed="false">
      <c r="A124" s="24" t="n">
        <v>10</v>
      </c>
      <c r="B124" s="24" t="n">
        <v>12</v>
      </c>
      <c r="C124" s="26" t="s">
        <v>882</v>
      </c>
      <c r="D124" s="8" t="s">
        <v>1366</v>
      </c>
      <c r="E124" s="9" t="s">
        <v>1367</v>
      </c>
      <c r="F124" s="8" t="s">
        <v>1368</v>
      </c>
      <c r="G124" s="9" t="s">
        <v>1369</v>
      </c>
      <c r="H124" s="8" t="s">
        <v>1370</v>
      </c>
      <c r="I124" s="24"/>
      <c r="J124" s="24" t="n">
        <f aca="false">턴_설계!$B$5</f>
        <v>120</v>
      </c>
    </row>
    <row r="125" customFormat="false" ht="31.5" hidden="false" customHeight="true" outlineLevel="0" collapsed="false">
      <c r="A125" s="24" t="n">
        <v>11</v>
      </c>
      <c r="B125" s="24" t="n">
        <v>1</v>
      </c>
      <c r="C125" s="26" t="s">
        <v>821</v>
      </c>
      <c r="D125" s="8" t="s">
        <v>1371</v>
      </c>
      <c r="E125" s="9" t="s">
        <v>1372</v>
      </c>
      <c r="F125" s="9" t="s">
        <v>1373</v>
      </c>
      <c r="G125" s="9" t="s">
        <v>1374</v>
      </c>
      <c r="H125" s="8" t="s">
        <v>1375</v>
      </c>
      <c r="I125" s="24" t="s">
        <v>1376</v>
      </c>
      <c r="J125" s="24" t="n">
        <f aca="false">턴_설계!$B$5</f>
        <v>120</v>
      </c>
    </row>
    <row r="126" customFormat="false" ht="31.5" hidden="false" customHeight="true" outlineLevel="0" collapsed="false">
      <c r="A126" s="24" t="n">
        <v>11</v>
      </c>
      <c r="B126" s="24" t="n">
        <v>2</v>
      </c>
      <c r="C126" s="26" t="s">
        <v>837</v>
      </c>
      <c r="D126" s="8" t="s">
        <v>1377</v>
      </c>
      <c r="E126" s="9" t="s">
        <v>1378</v>
      </c>
      <c r="F126" s="8" t="s">
        <v>1379</v>
      </c>
      <c r="G126" s="9" t="s">
        <v>1380</v>
      </c>
      <c r="H126" s="8" t="s">
        <v>970</v>
      </c>
      <c r="I126" s="24" t="s">
        <v>752</v>
      </c>
      <c r="J126" s="24" t="n">
        <f aca="false">턴_설계!$B$5</f>
        <v>120</v>
      </c>
    </row>
    <row r="127" customFormat="false" ht="46.5" hidden="false" customHeight="true" outlineLevel="0" collapsed="false">
      <c r="A127" s="24" t="n">
        <v>11</v>
      </c>
      <c r="B127" s="24" t="n">
        <v>3</v>
      </c>
      <c r="C127" s="26" t="s">
        <v>837</v>
      </c>
      <c r="D127" s="8" t="s">
        <v>1381</v>
      </c>
      <c r="E127" s="9" t="s">
        <v>1382</v>
      </c>
      <c r="F127" s="9" t="s">
        <v>1383</v>
      </c>
      <c r="G127" s="9" t="s">
        <v>1384</v>
      </c>
      <c r="H127" s="8" t="s">
        <v>1385</v>
      </c>
      <c r="I127" s="24" t="s">
        <v>752</v>
      </c>
      <c r="J127" s="24" t="n">
        <f aca="false">턴_설계!$B$5</f>
        <v>120</v>
      </c>
    </row>
    <row r="128" customFormat="false" ht="46.5" hidden="false" customHeight="true" outlineLevel="0" collapsed="false">
      <c r="A128" s="24" t="n">
        <v>11</v>
      </c>
      <c r="B128" s="24" t="n">
        <v>4</v>
      </c>
      <c r="C128" s="26" t="s">
        <v>854</v>
      </c>
      <c r="D128" s="8" t="s">
        <v>1386</v>
      </c>
      <c r="E128" s="9" t="s">
        <v>1387</v>
      </c>
      <c r="F128" s="9" t="s">
        <v>1388</v>
      </c>
      <c r="G128" s="9" t="s">
        <v>1389</v>
      </c>
      <c r="H128" s="8" t="s">
        <v>1390</v>
      </c>
      <c r="I128" s="24" t="s">
        <v>1391</v>
      </c>
      <c r="J128" s="24" t="n">
        <f aca="false">턴_설계!$B$5</f>
        <v>120</v>
      </c>
    </row>
    <row r="129" customFormat="false" ht="61.5" hidden="false" customHeight="true" outlineLevel="0" collapsed="false">
      <c r="A129" s="24" t="n">
        <v>11</v>
      </c>
      <c r="B129" s="24" t="n">
        <v>5</v>
      </c>
      <c r="C129" s="26" t="s">
        <v>854</v>
      </c>
      <c r="D129" s="8" t="s">
        <v>1392</v>
      </c>
      <c r="E129" s="9" t="s">
        <v>1393</v>
      </c>
      <c r="F129" s="9" t="s">
        <v>1394</v>
      </c>
      <c r="G129" s="9" t="s">
        <v>1395</v>
      </c>
      <c r="H129" s="8" t="s">
        <v>1396</v>
      </c>
      <c r="I129" s="24" t="s">
        <v>789</v>
      </c>
      <c r="J129" s="24" t="n">
        <f aca="false">턴_설계!$B$5</f>
        <v>120</v>
      </c>
    </row>
    <row r="130" customFormat="false" ht="46.5" hidden="false" customHeight="true" outlineLevel="0" collapsed="false">
      <c r="A130" s="24" t="n">
        <v>11</v>
      </c>
      <c r="B130" s="24" t="n">
        <v>6</v>
      </c>
      <c r="C130" s="26" t="s">
        <v>837</v>
      </c>
      <c r="D130" s="8" t="s">
        <v>1397</v>
      </c>
      <c r="E130" s="9" t="s">
        <v>1398</v>
      </c>
      <c r="F130" s="9" t="s">
        <v>1399</v>
      </c>
      <c r="G130" s="9" t="s">
        <v>1400</v>
      </c>
      <c r="H130" s="8" t="s">
        <v>1401</v>
      </c>
      <c r="I130" s="24" t="s">
        <v>765</v>
      </c>
      <c r="J130" s="24" t="n">
        <f aca="false">턴_설계!$B$5</f>
        <v>120</v>
      </c>
    </row>
    <row r="131" customFormat="false" ht="61.5" hidden="false" customHeight="true" outlineLevel="0" collapsed="false">
      <c r="A131" s="24" t="n">
        <v>11</v>
      </c>
      <c r="B131" s="24" t="n">
        <v>7</v>
      </c>
      <c r="C131" s="26" t="s">
        <v>854</v>
      </c>
      <c r="D131" s="8" t="s">
        <v>1402</v>
      </c>
      <c r="E131" s="9" t="s">
        <v>1403</v>
      </c>
      <c r="F131" s="9" t="s">
        <v>1404</v>
      </c>
      <c r="G131" s="9" t="s">
        <v>1405</v>
      </c>
      <c r="H131" s="8" t="s">
        <v>1406</v>
      </c>
      <c r="I131" s="24"/>
      <c r="J131" s="24" t="n">
        <f aca="false">턴_설계!$B$5</f>
        <v>120</v>
      </c>
    </row>
    <row r="132" customFormat="false" ht="54.75" hidden="false" customHeight="true" outlineLevel="0" collapsed="false">
      <c r="A132" s="24" t="n">
        <v>11</v>
      </c>
      <c r="B132" s="24" t="n">
        <v>8</v>
      </c>
      <c r="C132" s="26" t="s">
        <v>854</v>
      </c>
      <c r="D132" s="8" t="s">
        <v>1407</v>
      </c>
      <c r="E132" s="9" t="s">
        <v>1408</v>
      </c>
      <c r="F132" s="9" t="s">
        <v>1409</v>
      </c>
      <c r="G132" s="9" t="s">
        <v>1410</v>
      </c>
      <c r="H132" s="8" t="s">
        <v>1411</v>
      </c>
      <c r="I132" s="24" t="s">
        <v>1412</v>
      </c>
      <c r="J132" s="24" t="n">
        <f aca="false">턴_설계!$B$5</f>
        <v>120</v>
      </c>
    </row>
    <row r="133" customFormat="false" ht="121.5" hidden="false" customHeight="true" outlineLevel="0" collapsed="false">
      <c r="A133" s="24" t="n">
        <v>11</v>
      </c>
      <c r="B133" s="24" t="n">
        <v>9</v>
      </c>
      <c r="C133" s="26" t="s">
        <v>1206</v>
      </c>
      <c r="D133" s="8" t="s">
        <v>1413</v>
      </c>
      <c r="E133" s="9" t="s">
        <v>1414</v>
      </c>
      <c r="F133" s="8" t="s">
        <v>1415</v>
      </c>
      <c r="G133" s="8" t="s">
        <v>1416</v>
      </c>
      <c r="H133" s="8" t="s">
        <v>1417</v>
      </c>
      <c r="I133" s="24" t="s">
        <v>1418</v>
      </c>
      <c r="J133" s="24" t="n">
        <f aca="false">턴_설계!$B$5</f>
        <v>120</v>
      </c>
    </row>
    <row r="134" customFormat="false" ht="76.5" hidden="false" customHeight="true" outlineLevel="0" collapsed="false">
      <c r="A134" s="24" t="n">
        <v>11</v>
      </c>
      <c r="B134" s="24" t="n">
        <v>10</v>
      </c>
      <c r="C134" s="26" t="s">
        <v>871</v>
      </c>
      <c r="D134" s="8" t="s">
        <v>1419</v>
      </c>
      <c r="E134" s="9" t="s">
        <v>1420</v>
      </c>
      <c r="F134" s="9" t="s">
        <v>1421</v>
      </c>
      <c r="G134" s="9" t="s">
        <v>1422</v>
      </c>
      <c r="H134" s="8" t="s">
        <v>1423</v>
      </c>
      <c r="I134" s="24" t="s">
        <v>165</v>
      </c>
      <c r="J134" s="24" t="n">
        <f aca="false">턴_설계!$B$5</f>
        <v>120</v>
      </c>
    </row>
    <row r="135" customFormat="false" ht="46.5" hidden="false" customHeight="true" outlineLevel="0" collapsed="false">
      <c r="A135" s="24" t="n">
        <v>11</v>
      </c>
      <c r="B135" s="24" t="n">
        <v>11</v>
      </c>
      <c r="C135" s="26" t="s">
        <v>871</v>
      </c>
      <c r="D135" s="8" t="s">
        <v>1424</v>
      </c>
      <c r="E135" s="9" t="s">
        <v>1425</v>
      </c>
      <c r="F135" s="9" t="s">
        <v>1426</v>
      </c>
      <c r="G135" s="9" t="s">
        <v>1427</v>
      </c>
      <c r="H135" s="8" t="s">
        <v>1428</v>
      </c>
      <c r="I135" s="24" t="s">
        <v>165</v>
      </c>
      <c r="J135" s="24" t="n">
        <f aca="false">턴_설계!$B$5</f>
        <v>120</v>
      </c>
    </row>
    <row r="136" customFormat="false" ht="61.5" hidden="false" customHeight="true" outlineLevel="0" collapsed="false">
      <c r="A136" s="24" t="n">
        <v>11</v>
      </c>
      <c r="B136" s="24" t="n">
        <v>12</v>
      </c>
      <c r="C136" s="26" t="s">
        <v>1429</v>
      </c>
      <c r="D136" s="8" t="s">
        <v>1430</v>
      </c>
      <c r="E136" s="9" t="s">
        <v>1431</v>
      </c>
      <c r="F136" s="9" t="s">
        <v>1432</v>
      </c>
      <c r="G136" s="9" t="s">
        <v>1433</v>
      </c>
      <c r="H136" s="8" t="s">
        <v>1434</v>
      </c>
      <c r="I136" s="24" t="s">
        <v>1418</v>
      </c>
      <c r="J136" s="24" t="n">
        <f aca="false">턴_설계!$B$5</f>
        <v>120</v>
      </c>
    </row>
    <row r="137" customFormat="false" ht="61.5" hidden="false" customHeight="true" outlineLevel="0" collapsed="false">
      <c r="A137" s="24" t="n">
        <v>12</v>
      </c>
      <c r="B137" s="24" t="n">
        <v>1</v>
      </c>
      <c r="C137" s="26" t="s">
        <v>1435</v>
      </c>
      <c r="D137" s="8" t="s">
        <v>1436</v>
      </c>
      <c r="E137" s="9" t="s">
        <v>1437</v>
      </c>
      <c r="F137" s="8" t="s">
        <v>1438</v>
      </c>
      <c r="G137" s="8" t="s">
        <v>1439</v>
      </c>
      <c r="H137" s="8" t="s">
        <v>1440</v>
      </c>
      <c r="I137" s="24"/>
      <c r="J137" s="24" t="n">
        <f aca="false">턴_설계!$B$5</f>
        <v>120</v>
      </c>
    </row>
    <row r="138" customFormat="false" ht="31.5" hidden="false" customHeight="true" outlineLevel="0" collapsed="false">
      <c r="A138" s="24" t="n">
        <v>12</v>
      </c>
      <c r="B138" s="24" t="n">
        <v>2</v>
      </c>
      <c r="C138" s="26" t="s">
        <v>837</v>
      </c>
      <c r="D138" s="8" t="s">
        <v>1441</v>
      </c>
      <c r="E138" s="9" t="s">
        <v>1442</v>
      </c>
      <c r="F138" s="8" t="s">
        <v>1443</v>
      </c>
      <c r="G138" s="9" t="s">
        <v>1444</v>
      </c>
      <c r="H138" s="8" t="s">
        <v>1445</v>
      </c>
      <c r="I138" s="24"/>
      <c r="J138" s="24" t="n">
        <f aca="false">턴_설계!$B$5</f>
        <v>120</v>
      </c>
    </row>
    <row r="139" customFormat="false" ht="46.5" hidden="false" customHeight="true" outlineLevel="0" collapsed="false">
      <c r="A139" s="24" t="n">
        <v>12</v>
      </c>
      <c r="B139" s="24" t="n">
        <v>3</v>
      </c>
      <c r="C139" s="26" t="s">
        <v>837</v>
      </c>
      <c r="D139" s="8" t="s">
        <v>1446</v>
      </c>
      <c r="E139" s="9" t="s">
        <v>1447</v>
      </c>
      <c r="F139" s="8" t="s">
        <v>1448</v>
      </c>
      <c r="G139" s="9" t="s">
        <v>1449</v>
      </c>
      <c r="H139" s="8" t="s">
        <v>1450</v>
      </c>
      <c r="I139" s="24" t="s">
        <v>165</v>
      </c>
      <c r="J139" s="24" t="n">
        <f aca="false">턴_설계!$B$5</f>
        <v>120</v>
      </c>
    </row>
    <row r="140" customFormat="false" ht="46.5" hidden="false" customHeight="true" outlineLevel="0" collapsed="false">
      <c r="A140" s="24" t="n">
        <v>12</v>
      </c>
      <c r="B140" s="24" t="n">
        <v>4</v>
      </c>
      <c r="C140" s="26" t="s">
        <v>837</v>
      </c>
      <c r="D140" s="8" t="s">
        <v>1451</v>
      </c>
      <c r="E140" s="9" t="s">
        <v>1452</v>
      </c>
      <c r="F140" s="9" t="s">
        <v>1453</v>
      </c>
      <c r="G140" s="27" t="s">
        <v>1454</v>
      </c>
      <c r="H140" s="8" t="s">
        <v>1455</v>
      </c>
      <c r="I140" s="24" t="s">
        <v>1456</v>
      </c>
      <c r="J140" s="24" t="n">
        <f aca="false">턴_설계!$B$5</f>
        <v>120</v>
      </c>
    </row>
    <row r="141" customFormat="false" ht="46.5" hidden="false" customHeight="true" outlineLevel="0" collapsed="false">
      <c r="A141" s="24" t="n">
        <v>12</v>
      </c>
      <c r="B141" s="24" t="n">
        <v>5</v>
      </c>
      <c r="C141" s="26" t="s">
        <v>837</v>
      </c>
      <c r="D141" s="8" t="s">
        <v>1457</v>
      </c>
      <c r="E141" s="9" t="s">
        <v>1458</v>
      </c>
      <c r="F141" s="9" t="s">
        <v>1459</v>
      </c>
      <c r="G141" s="9" t="s">
        <v>1460</v>
      </c>
      <c r="H141" s="8" t="s">
        <v>1461</v>
      </c>
      <c r="I141" s="24" t="s">
        <v>1462</v>
      </c>
      <c r="J141" s="24" t="n">
        <f aca="false">턴_설계!$B$5</f>
        <v>120</v>
      </c>
    </row>
    <row r="142" customFormat="false" ht="46.5" hidden="false" customHeight="true" outlineLevel="0" collapsed="false">
      <c r="A142" s="24" t="n">
        <v>12</v>
      </c>
      <c r="B142" s="24" t="n">
        <v>6</v>
      </c>
      <c r="C142" s="26" t="s">
        <v>837</v>
      </c>
      <c r="D142" s="8" t="s">
        <v>1463</v>
      </c>
      <c r="E142" s="9" t="s">
        <v>1464</v>
      </c>
      <c r="F142" s="9" t="s">
        <v>1465</v>
      </c>
      <c r="G142" s="9" t="s">
        <v>1466</v>
      </c>
      <c r="H142" s="8" t="s">
        <v>1467</v>
      </c>
      <c r="I142" s="24" t="s">
        <v>1468</v>
      </c>
      <c r="J142" s="24" t="n">
        <f aca="false">턴_설계!$B$5</f>
        <v>120</v>
      </c>
    </row>
    <row r="143" customFormat="false" ht="61.5" hidden="false" customHeight="true" outlineLevel="0" collapsed="false">
      <c r="A143" s="24" t="n">
        <v>12</v>
      </c>
      <c r="B143" s="24" t="n">
        <v>7</v>
      </c>
      <c r="C143" s="26" t="s">
        <v>854</v>
      </c>
      <c r="D143" s="8" t="s">
        <v>1469</v>
      </c>
      <c r="E143" s="9" t="s">
        <v>1470</v>
      </c>
      <c r="F143" s="9" t="s">
        <v>1471</v>
      </c>
      <c r="G143" s="9" t="s">
        <v>1472</v>
      </c>
      <c r="H143" s="8" t="s">
        <v>1473</v>
      </c>
      <c r="I143" s="24" t="s">
        <v>1474</v>
      </c>
      <c r="J143" s="24" t="n">
        <f aca="false">턴_설계!$B$5</f>
        <v>120</v>
      </c>
    </row>
    <row r="144" customFormat="false" ht="61.5" hidden="false" customHeight="true" outlineLevel="0" collapsed="false">
      <c r="A144" s="24" t="n">
        <v>12</v>
      </c>
      <c r="B144" s="24" t="n">
        <v>8</v>
      </c>
      <c r="C144" s="26" t="s">
        <v>854</v>
      </c>
      <c r="D144" s="8" t="s">
        <v>1475</v>
      </c>
      <c r="E144" s="9" t="s">
        <v>1476</v>
      </c>
      <c r="F144" s="9" t="s">
        <v>1477</v>
      </c>
      <c r="G144" s="27" t="s">
        <v>1478</v>
      </c>
      <c r="H144" s="8" t="s">
        <v>1479</v>
      </c>
      <c r="I144" s="24" t="s">
        <v>1480</v>
      </c>
      <c r="J144" s="24" t="n">
        <f aca="false">턴_설계!$B$5</f>
        <v>120</v>
      </c>
    </row>
    <row r="145" customFormat="false" ht="31.5" hidden="false" customHeight="true" outlineLevel="0" collapsed="false">
      <c r="A145" s="24" t="n">
        <v>12</v>
      </c>
      <c r="B145" s="24" t="n">
        <v>9</v>
      </c>
      <c r="C145" s="26" t="s">
        <v>871</v>
      </c>
      <c r="D145" s="8" t="s">
        <v>1481</v>
      </c>
      <c r="E145" s="9" t="s">
        <v>1482</v>
      </c>
      <c r="F145" s="9" t="s">
        <v>1483</v>
      </c>
      <c r="G145" s="9" t="s">
        <v>1484</v>
      </c>
      <c r="H145" s="8" t="s">
        <v>1485</v>
      </c>
      <c r="I145" s="24" t="s">
        <v>1486</v>
      </c>
      <c r="J145" s="24" t="n">
        <f aca="false">턴_설계!$B$5</f>
        <v>120</v>
      </c>
    </row>
    <row r="146" customFormat="false" ht="46.5" hidden="false" customHeight="true" outlineLevel="0" collapsed="false">
      <c r="A146" s="24" t="n">
        <v>12</v>
      </c>
      <c r="B146" s="24" t="n">
        <v>10</v>
      </c>
      <c r="C146" s="26" t="s">
        <v>837</v>
      </c>
      <c r="D146" s="8" t="s">
        <v>1487</v>
      </c>
      <c r="E146" s="9" t="s">
        <v>1488</v>
      </c>
      <c r="F146" s="8" t="s">
        <v>1489</v>
      </c>
      <c r="G146" s="8" t="s">
        <v>301</v>
      </c>
      <c r="H146" s="8" t="s">
        <v>1490</v>
      </c>
      <c r="I146" s="24"/>
      <c r="J146" s="24" t="n">
        <f aca="false">턴_설계!$B$5</f>
        <v>120</v>
      </c>
    </row>
    <row r="147" customFormat="false" ht="46.5" hidden="false" customHeight="true" outlineLevel="0" collapsed="false">
      <c r="A147" s="24" t="n">
        <v>12</v>
      </c>
      <c r="B147" s="24" t="n">
        <v>11</v>
      </c>
      <c r="C147" s="26" t="s">
        <v>854</v>
      </c>
      <c r="D147" s="8" t="s">
        <v>1491</v>
      </c>
      <c r="E147" s="9" t="s">
        <v>1492</v>
      </c>
      <c r="F147" s="9" t="s">
        <v>1493</v>
      </c>
      <c r="G147" s="9" t="s">
        <v>1494</v>
      </c>
      <c r="H147" s="8" t="s">
        <v>1495</v>
      </c>
      <c r="I147" s="24"/>
      <c r="J147" s="24" t="n">
        <f aca="false">턴_설계!$B$5</f>
        <v>120</v>
      </c>
    </row>
    <row r="148" customFormat="false" ht="46.5" hidden="false" customHeight="true" outlineLevel="0" collapsed="false">
      <c r="A148" s="24" t="n">
        <v>12</v>
      </c>
      <c r="B148" s="24" t="n">
        <v>12</v>
      </c>
      <c r="C148" s="26" t="s">
        <v>882</v>
      </c>
      <c r="D148" s="8" t="s">
        <v>1496</v>
      </c>
      <c r="E148" s="9" t="s">
        <v>1497</v>
      </c>
      <c r="F148" s="9" t="s">
        <v>1498</v>
      </c>
      <c r="G148" s="9" t="s">
        <v>1499</v>
      </c>
      <c r="H148" s="8" t="s">
        <v>1500</v>
      </c>
      <c r="I148" s="24"/>
      <c r="J148" s="24" t="n">
        <f aca="false">턴_설계!$B$5</f>
        <v>120</v>
      </c>
    </row>
    <row r="149" customFormat="false" ht="31.5" hidden="false" customHeight="true" outlineLevel="0" collapsed="false">
      <c r="A149" s="24" t="n">
        <v>13</v>
      </c>
      <c r="B149" s="24" t="n">
        <v>1</v>
      </c>
      <c r="C149" s="26" t="s">
        <v>821</v>
      </c>
      <c r="D149" s="8" t="s">
        <v>1501</v>
      </c>
      <c r="E149" s="9" t="s">
        <v>1502</v>
      </c>
      <c r="F149" s="8" t="s">
        <v>1503</v>
      </c>
      <c r="G149" s="9" t="s">
        <v>1504</v>
      </c>
      <c r="H149" s="8" t="s">
        <v>1505</v>
      </c>
      <c r="I149" s="24"/>
      <c r="J149" s="24" t="n">
        <f aca="false">턴_설계!$B$5</f>
        <v>120</v>
      </c>
    </row>
    <row r="150" customFormat="false" ht="31.5" hidden="false" customHeight="true" outlineLevel="0" collapsed="false">
      <c r="A150" s="24" t="n">
        <v>13</v>
      </c>
      <c r="B150" s="24" t="n">
        <v>2</v>
      </c>
      <c r="C150" s="26" t="s">
        <v>821</v>
      </c>
      <c r="D150" s="8" t="s">
        <v>1506</v>
      </c>
      <c r="E150" s="9" t="s">
        <v>1507</v>
      </c>
      <c r="F150" s="8" t="s">
        <v>1508</v>
      </c>
      <c r="G150" s="9" t="s">
        <v>1509</v>
      </c>
      <c r="H150" s="8" t="s">
        <v>1510</v>
      </c>
      <c r="I150" s="24"/>
      <c r="J150" s="24" t="n">
        <f aca="false">턴_설계!$B$5</f>
        <v>120</v>
      </c>
    </row>
    <row r="151" customFormat="false" ht="31.5" hidden="false" customHeight="true" outlineLevel="0" collapsed="false">
      <c r="A151" s="24" t="n">
        <v>13</v>
      </c>
      <c r="B151" s="24" t="n">
        <v>3</v>
      </c>
      <c r="C151" s="26" t="s">
        <v>821</v>
      </c>
      <c r="D151" s="8" t="s">
        <v>1511</v>
      </c>
      <c r="E151" s="9" t="s">
        <v>1512</v>
      </c>
      <c r="F151" s="9" t="s">
        <v>1513</v>
      </c>
      <c r="G151" s="8" t="s">
        <v>301</v>
      </c>
      <c r="H151" s="8" t="s">
        <v>1514</v>
      </c>
      <c r="I151" s="24"/>
      <c r="J151" s="24" t="n">
        <f aca="false">턴_설계!$B$5</f>
        <v>120</v>
      </c>
    </row>
    <row r="152" customFormat="false" ht="31.5" hidden="false" customHeight="true" outlineLevel="0" collapsed="false">
      <c r="A152" s="24" t="n">
        <v>13</v>
      </c>
      <c r="B152" s="24" t="n">
        <v>4</v>
      </c>
      <c r="C152" s="26" t="s">
        <v>837</v>
      </c>
      <c r="D152" s="8" t="s">
        <v>1515</v>
      </c>
      <c r="E152" s="9" t="s">
        <v>1516</v>
      </c>
      <c r="F152" s="9" t="s">
        <v>1517</v>
      </c>
      <c r="G152" s="9" t="s">
        <v>1518</v>
      </c>
      <c r="H152" s="8" t="s">
        <v>1519</v>
      </c>
      <c r="I152" s="24"/>
      <c r="J152" s="24" t="n">
        <f aca="false">턴_설계!$B$5</f>
        <v>120</v>
      </c>
    </row>
    <row r="153" customFormat="false" ht="31.5" hidden="false" customHeight="true" outlineLevel="0" collapsed="false">
      <c r="A153" s="24" t="n">
        <v>13</v>
      </c>
      <c r="B153" s="24" t="n">
        <v>5</v>
      </c>
      <c r="C153" s="26" t="s">
        <v>837</v>
      </c>
      <c r="D153" s="8" t="s">
        <v>1520</v>
      </c>
      <c r="E153" s="9" t="s">
        <v>1521</v>
      </c>
      <c r="F153" s="9" t="s">
        <v>1522</v>
      </c>
      <c r="G153" s="8" t="s">
        <v>301</v>
      </c>
      <c r="H153" s="8" t="s">
        <v>1523</v>
      </c>
      <c r="I153" s="24" t="s">
        <v>765</v>
      </c>
      <c r="J153" s="24" t="n">
        <f aca="false">턴_설계!$B$5</f>
        <v>120</v>
      </c>
    </row>
    <row r="154" customFormat="false" ht="31.5" hidden="false" customHeight="true" outlineLevel="0" collapsed="false">
      <c r="A154" s="24" t="n">
        <v>13</v>
      </c>
      <c r="B154" s="24" t="n">
        <v>6</v>
      </c>
      <c r="C154" s="26" t="s">
        <v>848</v>
      </c>
      <c r="D154" s="8" t="s">
        <v>1524</v>
      </c>
      <c r="E154" s="8" t="s">
        <v>1525</v>
      </c>
      <c r="F154" s="8" t="s">
        <v>1526</v>
      </c>
      <c r="G154" s="8" t="s">
        <v>301</v>
      </c>
      <c r="H154" s="8" t="s">
        <v>1527</v>
      </c>
      <c r="I154" s="24" t="s">
        <v>765</v>
      </c>
      <c r="J154" s="24" t="n">
        <f aca="false">턴_설계!$B$5</f>
        <v>120</v>
      </c>
    </row>
    <row r="155" customFormat="false" ht="31.5" hidden="false" customHeight="true" outlineLevel="0" collapsed="false">
      <c r="A155" s="24" t="n">
        <v>13</v>
      </c>
      <c r="B155" s="24" t="n">
        <v>7</v>
      </c>
      <c r="C155" s="26" t="s">
        <v>837</v>
      </c>
      <c r="D155" s="8" t="s">
        <v>1528</v>
      </c>
      <c r="E155" s="27" t="s">
        <v>1529</v>
      </c>
      <c r="F155" s="8" t="s">
        <v>1530</v>
      </c>
      <c r="G155" s="9" t="s">
        <v>1531</v>
      </c>
      <c r="H155" s="8" t="s">
        <v>1532</v>
      </c>
      <c r="I155" s="24" t="s">
        <v>1533</v>
      </c>
      <c r="J155" s="24" t="n">
        <f aca="false">턴_설계!$B$5</f>
        <v>120</v>
      </c>
    </row>
    <row r="156" customFormat="false" ht="16.5" hidden="false" customHeight="true" outlineLevel="0" collapsed="false">
      <c r="A156" s="24" t="n">
        <v>13</v>
      </c>
      <c r="B156" s="24" t="n">
        <v>8</v>
      </c>
      <c r="C156" s="26" t="s">
        <v>837</v>
      </c>
      <c r="D156" s="8" t="s">
        <v>1534</v>
      </c>
      <c r="E156" s="9" t="s">
        <v>1535</v>
      </c>
      <c r="F156" s="8" t="s">
        <v>1536</v>
      </c>
      <c r="G156" s="8" t="s">
        <v>301</v>
      </c>
      <c r="H156" s="8" t="s">
        <v>1537</v>
      </c>
      <c r="I156" s="24"/>
      <c r="J156" s="24" t="n">
        <f aca="false">턴_설계!$B$5</f>
        <v>120</v>
      </c>
    </row>
    <row r="157" customFormat="false" ht="16.5" hidden="false" customHeight="true" outlineLevel="0" collapsed="false">
      <c r="A157" s="24" t="n">
        <v>13</v>
      </c>
      <c r="B157" s="24" t="n">
        <v>9</v>
      </c>
      <c r="C157" s="26" t="s">
        <v>854</v>
      </c>
      <c r="D157" s="8" t="s">
        <v>1538</v>
      </c>
      <c r="E157" s="9" t="s">
        <v>1539</v>
      </c>
      <c r="F157" s="8" t="s">
        <v>1540</v>
      </c>
      <c r="G157" s="8" t="s">
        <v>301</v>
      </c>
      <c r="H157" s="8" t="s">
        <v>1541</v>
      </c>
      <c r="I157" s="24"/>
      <c r="J157" s="24" t="n">
        <f aca="false">턴_설계!$B$5</f>
        <v>120</v>
      </c>
    </row>
    <row r="158" customFormat="false" ht="31.5" hidden="false" customHeight="true" outlineLevel="0" collapsed="false">
      <c r="A158" s="24" t="n">
        <v>13</v>
      </c>
      <c r="B158" s="24" t="n">
        <v>10</v>
      </c>
      <c r="C158" s="26" t="s">
        <v>871</v>
      </c>
      <c r="D158" s="8" t="s">
        <v>1542</v>
      </c>
      <c r="E158" s="9" t="s">
        <v>1543</v>
      </c>
      <c r="F158" s="9" t="s">
        <v>1544</v>
      </c>
      <c r="G158" s="8" t="s">
        <v>301</v>
      </c>
      <c r="H158" s="8" t="s">
        <v>1545</v>
      </c>
      <c r="I158" s="24"/>
      <c r="J158" s="24" t="n">
        <f aca="false">턴_설계!$B$5</f>
        <v>120</v>
      </c>
    </row>
    <row r="159" customFormat="false" ht="31.5" hidden="false" customHeight="true" outlineLevel="0" collapsed="false">
      <c r="A159" s="24" t="n">
        <v>13</v>
      </c>
      <c r="B159" s="24" t="n">
        <v>11</v>
      </c>
      <c r="C159" s="26" t="s">
        <v>871</v>
      </c>
      <c r="D159" s="8" t="s">
        <v>1546</v>
      </c>
      <c r="E159" s="9" t="s">
        <v>1547</v>
      </c>
      <c r="F159" s="8" t="s">
        <v>1548</v>
      </c>
      <c r="G159" s="8" t="s">
        <v>301</v>
      </c>
      <c r="H159" s="9" t="s">
        <v>1123</v>
      </c>
      <c r="I159" s="24"/>
      <c r="J159" s="24" t="n">
        <f aca="false">턴_설계!$B$5</f>
        <v>120</v>
      </c>
    </row>
    <row r="160" customFormat="false" ht="31.5" hidden="false" customHeight="true" outlineLevel="0" collapsed="false">
      <c r="A160" s="24" t="n">
        <v>13</v>
      </c>
      <c r="B160" s="24" t="n">
        <v>12</v>
      </c>
      <c r="C160" s="26" t="s">
        <v>1549</v>
      </c>
      <c r="D160" s="8" t="s">
        <v>1550</v>
      </c>
      <c r="E160" s="9" t="s">
        <v>1551</v>
      </c>
      <c r="F160" s="9" t="s">
        <v>1552</v>
      </c>
      <c r="G160" s="8" t="s">
        <v>301</v>
      </c>
      <c r="H160" s="8" t="s">
        <v>1553</v>
      </c>
      <c r="I160" s="24"/>
      <c r="J160" s="24" t="n">
        <f aca="false">턴_설계!$B$5</f>
        <v>120</v>
      </c>
    </row>
    <row r="161" customFormat="false" ht="15" hidden="false" customHeight="true" outlineLevel="0" collapsed="false">
      <c r="I161" s="61" t="s">
        <v>297</v>
      </c>
      <c r="J161" s="62" t="n">
        <f aca="false">SUM(J5:J160)</f>
        <v>18720</v>
      </c>
    </row>
  </sheetData>
  <autoFilter ref="A4:J16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12"/>
    <col collapsed="false" customWidth="true" hidden="false" outlineLevel="0" max="4" min="4" style="1" width="8"/>
    <col collapsed="false" customWidth="true" hidden="false" outlineLevel="0" max="5" min="5" style="1" width="16"/>
    <col collapsed="false" customWidth="true" hidden="false" outlineLevel="0" max="7" min="6" style="1" width="8"/>
    <col collapsed="false" customWidth="true" hidden="false" outlineLevel="0" max="8" min="8" style="1" width="42"/>
    <col collapsed="false" customWidth="true" hidden="false" outlineLevel="0" max="9" min="9" style="1" width="20"/>
  </cols>
  <sheetData>
    <row r="1" customFormat="false" ht="24" hidden="false" customHeight="true" outlineLevel="0" collapsed="false">
      <c r="A1" s="21" t="s">
        <v>1554</v>
      </c>
    </row>
    <row r="2" customFormat="false" ht="15" hidden="false" customHeight="true" outlineLevel="0" collapsed="false">
      <c r="A2" s="20" t="s">
        <v>1555</v>
      </c>
    </row>
    <row r="4" customFormat="false" ht="31.5" hidden="false" customHeight="true" outlineLevel="0" collapsed="false">
      <c r="A4" s="22" t="s">
        <v>86</v>
      </c>
      <c r="B4" s="23" t="s">
        <v>1556</v>
      </c>
      <c r="C4" s="23" t="s">
        <v>1557</v>
      </c>
      <c r="D4" s="23" t="s">
        <v>1558</v>
      </c>
      <c r="E4" s="23" t="s">
        <v>1559</v>
      </c>
      <c r="F4" s="23" t="s">
        <v>1560</v>
      </c>
      <c r="G4" s="23" t="s">
        <v>1561</v>
      </c>
      <c r="H4" s="23" t="s">
        <v>1562</v>
      </c>
      <c r="I4" s="23" t="s">
        <v>1563</v>
      </c>
    </row>
    <row r="5" customFormat="false" ht="31.5" hidden="false" customHeight="true" outlineLevel="0" collapsed="false">
      <c r="A5" s="24" t="n">
        <v>1</v>
      </c>
      <c r="B5" s="8" t="s">
        <v>1564</v>
      </c>
      <c r="C5" s="26" t="s">
        <v>1565</v>
      </c>
      <c r="D5" s="25" t="n">
        <v>1</v>
      </c>
      <c r="E5" s="8" t="s">
        <v>1566</v>
      </c>
      <c r="F5" s="25" t="n">
        <v>11</v>
      </c>
      <c r="G5" s="24" t="n">
        <f aca="false">F5-D5</f>
        <v>10</v>
      </c>
      <c r="H5" s="8" t="s">
        <v>1567</v>
      </c>
      <c r="I5" s="8" t="s">
        <v>155</v>
      </c>
    </row>
    <row r="6" customFormat="false" ht="31.5" hidden="false" customHeight="true" outlineLevel="0" collapsed="false">
      <c r="A6" s="24" t="n">
        <v>2</v>
      </c>
      <c r="B6" s="8" t="s">
        <v>1568</v>
      </c>
      <c r="C6" s="26" t="s">
        <v>1569</v>
      </c>
      <c r="D6" s="25" t="n">
        <v>1</v>
      </c>
      <c r="E6" s="8" t="s">
        <v>1566</v>
      </c>
      <c r="F6" s="25" t="n">
        <v>13</v>
      </c>
      <c r="G6" s="24" t="n">
        <f aca="false">F6-D6</f>
        <v>12</v>
      </c>
      <c r="H6" s="8" t="s">
        <v>1570</v>
      </c>
      <c r="I6" s="8" t="s">
        <v>1571</v>
      </c>
    </row>
    <row r="7" customFormat="false" ht="31.5" hidden="false" customHeight="true" outlineLevel="0" collapsed="false">
      <c r="A7" s="24" t="n">
        <v>3</v>
      </c>
      <c r="B7" s="8" t="s">
        <v>1572</v>
      </c>
      <c r="C7" s="26" t="s">
        <v>1573</v>
      </c>
      <c r="D7" s="25" t="n">
        <v>3</v>
      </c>
      <c r="E7" s="8" t="s">
        <v>1574</v>
      </c>
      <c r="F7" s="25" t="n">
        <v>11</v>
      </c>
      <c r="G7" s="24" t="n">
        <f aca="false">F7-D7</f>
        <v>8</v>
      </c>
      <c r="H7" s="8" t="s">
        <v>1575</v>
      </c>
      <c r="I7" s="8" t="s">
        <v>1576</v>
      </c>
    </row>
    <row r="8" customFormat="false" ht="31.5" hidden="false" customHeight="true" outlineLevel="0" collapsed="false">
      <c r="A8" s="24" t="n">
        <v>4</v>
      </c>
      <c r="B8" s="8" t="s">
        <v>1577</v>
      </c>
      <c r="C8" s="26" t="s">
        <v>1565</v>
      </c>
      <c r="D8" s="25" t="n">
        <v>1</v>
      </c>
      <c r="E8" s="8" t="s">
        <v>1578</v>
      </c>
      <c r="F8" s="25" t="n">
        <v>11</v>
      </c>
      <c r="G8" s="24" t="n">
        <f aca="false">F8-D8</f>
        <v>10</v>
      </c>
      <c r="H8" s="8" t="s">
        <v>1579</v>
      </c>
      <c r="I8" s="8" t="s">
        <v>1571</v>
      </c>
    </row>
    <row r="9" customFormat="false" ht="31.5" hidden="false" customHeight="true" outlineLevel="0" collapsed="false">
      <c r="A9" s="24" t="n">
        <v>5</v>
      </c>
      <c r="B9" s="8" t="s">
        <v>1580</v>
      </c>
      <c r="C9" s="26" t="s">
        <v>1581</v>
      </c>
      <c r="D9" s="25" t="n">
        <v>1</v>
      </c>
      <c r="E9" s="8" t="s">
        <v>1582</v>
      </c>
      <c r="F9" s="25" t="n">
        <v>9</v>
      </c>
      <c r="G9" s="24" t="n">
        <f aca="false">F9-D9</f>
        <v>8</v>
      </c>
      <c r="H9" s="8" t="s">
        <v>1583</v>
      </c>
      <c r="I9" s="8" t="s">
        <v>247</v>
      </c>
    </row>
    <row r="10" customFormat="false" ht="31.5" hidden="false" customHeight="true" outlineLevel="0" collapsed="false">
      <c r="A10" s="24" t="n">
        <v>6</v>
      </c>
      <c r="B10" s="8" t="s">
        <v>1584</v>
      </c>
      <c r="C10" s="26" t="s">
        <v>1585</v>
      </c>
      <c r="D10" s="25" t="n">
        <v>1</v>
      </c>
      <c r="E10" s="8" t="s">
        <v>1566</v>
      </c>
      <c r="F10" s="25" t="n">
        <v>12</v>
      </c>
      <c r="G10" s="24" t="n">
        <f aca="false">F10-D10</f>
        <v>11</v>
      </c>
      <c r="H10" s="8" t="s">
        <v>1586</v>
      </c>
      <c r="I10" s="8" t="s">
        <v>1587</v>
      </c>
    </row>
    <row r="11" customFormat="false" ht="31.5" hidden="false" customHeight="true" outlineLevel="0" collapsed="false">
      <c r="A11" s="24" t="n">
        <v>7</v>
      </c>
      <c r="B11" s="8" t="s">
        <v>1588</v>
      </c>
      <c r="C11" s="26" t="s">
        <v>1565</v>
      </c>
      <c r="D11" s="25" t="n">
        <v>1</v>
      </c>
      <c r="E11" s="8" t="s">
        <v>1589</v>
      </c>
      <c r="F11" s="25" t="n">
        <v>13</v>
      </c>
      <c r="G11" s="24" t="n">
        <f aca="false">F11-D11</f>
        <v>12</v>
      </c>
      <c r="H11" s="8" t="s">
        <v>1590</v>
      </c>
      <c r="I11" s="8" t="s">
        <v>1545</v>
      </c>
    </row>
    <row r="12" customFormat="false" ht="31.5" hidden="false" customHeight="true" outlineLevel="0" collapsed="false">
      <c r="A12" s="24" t="n">
        <v>8</v>
      </c>
      <c r="B12" s="8" t="s">
        <v>1591</v>
      </c>
      <c r="C12" s="26" t="s">
        <v>1581</v>
      </c>
      <c r="D12" s="25" t="n">
        <v>2</v>
      </c>
      <c r="E12" s="8" t="s">
        <v>1592</v>
      </c>
      <c r="F12" s="25" t="n">
        <v>11</v>
      </c>
      <c r="G12" s="24" t="n">
        <f aca="false">F12-D12</f>
        <v>9</v>
      </c>
      <c r="H12" s="8" t="s">
        <v>1593</v>
      </c>
      <c r="I12" s="8" t="s">
        <v>107</v>
      </c>
    </row>
    <row r="13" customFormat="false" ht="31.5" hidden="false" customHeight="true" outlineLevel="0" collapsed="false">
      <c r="A13" s="24" t="n">
        <v>9</v>
      </c>
      <c r="B13" s="8" t="s">
        <v>1594</v>
      </c>
      <c r="C13" s="26" t="s">
        <v>1565</v>
      </c>
      <c r="D13" s="25" t="n">
        <v>2</v>
      </c>
      <c r="E13" s="8" t="s">
        <v>1595</v>
      </c>
      <c r="F13" s="25" t="n">
        <v>4</v>
      </c>
      <c r="G13" s="24" t="n">
        <f aca="false">F13-D13</f>
        <v>2</v>
      </c>
      <c r="H13" s="8" t="s">
        <v>1596</v>
      </c>
      <c r="I13" s="8" t="s">
        <v>132</v>
      </c>
    </row>
    <row r="14" customFormat="false" ht="31.5" hidden="false" customHeight="true" outlineLevel="0" collapsed="false">
      <c r="A14" s="24" t="n">
        <v>10</v>
      </c>
      <c r="B14" s="8" t="s">
        <v>1597</v>
      </c>
      <c r="C14" s="26" t="s">
        <v>1569</v>
      </c>
      <c r="D14" s="25" t="n">
        <v>4</v>
      </c>
      <c r="E14" s="8" t="s">
        <v>1598</v>
      </c>
      <c r="F14" s="25" t="n">
        <v>7</v>
      </c>
      <c r="G14" s="24" t="n">
        <f aca="false">F14-D14</f>
        <v>3</v>
      </c>
      <c r="H14" s="8" t="s">
        <v>1599</v>
      </c>
      <c r="I14" s="8" t="s">
        <v>1256</v>
      </c>
    </row>
    <row r="15" customFormat="false" ht="46.5" hidden="false" customHeight="true" outlineLevel="0" collapsed="false">
      <c r="A15" s="24" t="n">
        <v>11</v>
      </c>
      <c r="B15" s="8" t="s">
        <v>1600</v>
      </c>
      <c r="C15" s="26" t="s">
        <v>330</v>
      </c>
      <c r="D15" s="25" t="n">
        <v>4</v>
      </c>
      <c r="E15" s="8" t="s">
        <v>1601</v>
      </c>
      <c r="F15" s="25" t="n">
        <v>11</v>
      </c>
      <c r="G15" s="24" t="n">
        <f aca="false">F15-D15</f>
        <v>7</v>
      </c>
      <c r="H15" s="8" t="s">
        <v>1602</v>
      </c>
      <c r="I15" s="8" t="s">
        <v>132</v>
      </c>
    </row>
    <row r="16" customFormat="false" ht="31.5" hidden="false" customHeight="true" outlineLevel="0" collapsed="false">
      <c r="A16" s="24" t="n">
        <v>12</v>
      </c>
      <c r="B16" s="8" t="s">
        <v>1603</v>
      </c>
      <c r="C16" s="26" t="s">
        <v>1569</v>
      </c>
      <c r="D16" s="25" t="n">
        <v>5</v>
      </c>
      <c r="E16" s="8" t="s">
        <v>1604</v>
      </c>
      <c r="F16" s="25" t="n">
        <v>11</v>
      </c>
      <c r="G16" s="24" t="n">
        <f aca="false">F16-D16</f>
        <v>6</v>
      </c>
      <c r="H16" s="8" t="s">
        <v>1605</v>
      </c>
      <c r="I16" s="8" t="s">
        <v>143</v>
      </c>
    </row>
    <row r="17" customFormat="false" ht="31.5" hidden="false" customHeight="true" outlineLevel="0" collapsed="false">
      <c r="A17" s="24" t="n">
        <v>13</v>
      </c>
      <c r="B17" s="8" t="s">
        <v>1606</v>
      </c>
      <c r="C17" s="26" t="s">
        <v>1565</v>
      </c>
      <c r="D17" s="25" t="n">
        <v>1</v>
      </c>
      <c r="E17" s="8" t="s">
        <v>1566</v>
      </c>
      <c r="F17" s="25" t="n">
        <v>13</v>
      </c>
      <c r="G17" s="24" t="n">
        <f aca="false">F17-D17</f>
        <v>12</v>
      </c>
      <c r="H17" s="8" t="s">
        <v>1607</v>
      </c>
      <c r="I17" s="8" t="s">
        <v>143</v>
      </c>
    </row>
    <row r="18" customFormat="false" ht="31.5" hidden="false" customHeight="true" outlineLevel="0" collapsed="false">
      <c r="A18" s="24" t="n">
        <v>14</v>
      </c>
      <c r="B18" s="8" t="s">
        <v>1608</v>
      </c>
      <c r="C18" s="26" t="s">
        <v>1569</v>
      </c>
      <c r="D18" s="25" t="n">
        <v>3</v>
      </c>
      <c r="E18" s="8" t="s">
        <v>1609</v>
      </c>
      <c r="F18" s="25" t="n">
        <v>13</v>
      </c>
      <c r="G18" s="24" t="n">
        <f aca="false">F18-D18</f>
        <v>10</v>
      </c>
      <c r="H18" s="8" t="s">
        <v>1610</v>
      </c>
      <c r="I18" s="8" t="s">
        <v>120</v>
      </c>
    </row>
    <row r="19" customFormat="false" ht="31.5" hidden="false" customHeight="true" outlineLevel="0" collapsed="false">
      <c r="A19" s="24" t="n">
        <v>15</v>
      </c>
      <c r="B19" s="8" t="s">
        <v>1611</v>
      </c>
      <c r="C19" s="26" t="s">
        <v>1612</v>
      </c>
      <c r="D19" s="25" t="n">
        <v>5</v>
      </c>
      <c r="E19" s="8" t="s">
        <v>1613</v>
      </c>
      <c r="F19" s="25" t="n">
        <v>10</v>
      </c>
      <c r="G19" s="24" t="n">
        <f aca="false">F19-D19</f>
        <v>5</v>
      </c>
      <c r="H19" s="8" t="s">
        <v>1614</v>
      </c>
      <c r="I19" s="8" t="s">
        <v>1615</v>
      </c>
    </row>
    <row r="20" customFormat="false" ht="31.5" hidden="false" customHeight="true" outlineLevel="0" collapsed="false">
      <c r="A20" s="24" t="n">
        <v>16</v>
      </c>
      <c r="B20" s="8" t="s">
        <v>1616</v>
      </c>
      <c r="C20" s="26" t="s">
        <v>330</v>
      </c>
      <c r="D20" s="25" t="n">
        <v>1</v>
      </c>
      <c r="E20" s="8" t="s">
        <v>1617</v>
      </c>
      <c r="F20" s="25" t="n">
        <v>9</v>
      </c>
      <c r="G20" s="24" t="n">
        <f aca="false">F20-D20</f>
        <v>8</v>
      </c>
      <c r="H20" s="8" t="s">
        <v>1618</v>
      </c>
      <c r="I20" s="8" t="s">
        <v>258</v>
      </c>
    </row>
    <row r="21" customFormat="false" ht="31.5" hidden="false" customHeight="true" outlineLevel="0" collapsed="false">
      <c r="A21" s="24" t="n">
        <v>17</v>
      </c>
      <c r="B21" s="8" t="s">
        <v>1619</v>
      </c>
      <c r="C21" s="26" t="s">
        <v>1573</v>
      </c>
      <c r="D21" s="25" t="n">
        <v>2</v>
      </c>
      <c r="E21" s="8" t="s">
        <v>1620</v>
      </c>
      <c r="F21" s="25" t="n">
        <v>13</v>
      </c>
      <c r="G21" s="24" t="n">
        <f aca="false">F21-D21</f>
        <v>11</v>
      </c>
      <c r="H21" s="8" t="s">
        <v>1621</v>
      </c>
      <c r="I21" s="9" t="s">
        <v>1123</v>
      </c>
    </row>
    <row r="22" customFormat="false" ht="31.5" hidden="false" customHeight="true" outlineLevel="0" collapsed="false">
      <c r="A22" s="24" t="n">
        <v>18</v>
      </c>
      <c r="B22" s="8" t="s">
        <v>1622</v>
      </c>
      <c r="C22" s="26" t="s">
        <v>1565</v>
      </c>
      <c r="D22" s="25" t="n">
        <v>1</v>
      </c>
      <c r="E22" s="8" t="s">
        <v>1623</v>
      </c>
      <c r="F22" s="25" t="n">
        <v>12</v>
      </c>
      <c r="G22" s="24" t="n">
        <f aca="false">F22-D22</f>
        <v>11</v>
      </c>
      <c r="H22" s="8" t="s">
        <v>1624</v>
      </c>
      <c r="I22" s="8" t="s">
        <v>201</v>
      </c>
    </row>
    <row r="23" customFormat="false" ht="31.5" hidden="false" customHeight="true" outlineLevel="0" collapsed="false">
      <c r="A23" s="24" t="n">
        <v>19</v>
      </c>
      <c r="B23" s="8" t="s">
        <v>1625</v>
      </c>
      <c r="C23" s="26" t="s">
        <v>1581</v>
      </c>
      <c r="D23" s="25" t="n">
        <v>6</v>
      </c>
      <c r="E23" s="8" t="s">
        <v>1626</v>
      </c>
      <c r="F23" s="25" t="n">
        <v>10</v>
      </c>
      <c r="G23" s="24" t="n">
        <f aca="false">F23-D23</f>
        <v>4</v>
      </c>
      <c r="H23" s="8" t="s">
        <v>1627</v>
      </c>
      <c r="I23" s="8" t="s">
        <v>271</v>
      </c>
    </row>
    <row r="24" customFormat="false" ht="31.5" hidden="false" customHeight="true" outlineLevel="0" collapsed="false">
      <c r="A24" s="24" t="n">
        <v>20</v>
      </c>
      <c r="B24" s="8" t="s">
        <v>1628</v>
      </c>
      <c r="C24" s="26" t="s">
        <v>1565</v>
      </c>
      <c r="D24" s="25" t="n">
        <v>1</v>
      </c>
      <c r="E24" s="8" t="s">
        <v>1629</v>
      </c>
      <c r="F24" s="25" t="n">
        <v>12</v>
      </c>
      <c r="G24" s="24" t="n">
        <f aca="false">F24-D24</f>
        <v>11</v>
      </c>
      <c r="H24" s="8" t="s">
        <v>1630</v>
      </c>
      <c r="I24" s="8" t="s">
        <v>190</v>
      </c>
    </row>
    <row r="25" customFormat="false" ht="46.5" hidden="false" customHeight="true" outlineLevel="0" collapsed="false">
      <c r="A25" s="24" t="n">
        <v>21</v>
      </c>
      <c r="B25" s="8" t="s">
        <v>1631</v>
      </c>
      <c r="C25" s="26" t="s">
        <v>1569</v>
      </c>
      <c r="D25" s="25" t="n">
        <v>1</v>
      </c>
      <c r="E25" s="8" t="s">
        <v>1632</v>
      </c>
      <c r="F25" s="25" t="n">
        <v>13</v>
      </c>
      <c r="G25" s="24" t="n">
        <f aca="false">F25-D25</f>
        <v>12</v>
      </c>
      <c r="H25" s="8" t="s">
        <v>1633</v>
      </c>
      <c r="I25" s="8" t="s">
        <v>225</v>
      </c>
    </row>
    <row r="26" customFormat="false" ht="31.5" hidden="false" customHeight="true" outlineLevel="0" collapsed="false">
      <c r="A26" s="24" t="n">
        <v>22</v>
      </c>
      <c r="B26" s="8" t="s">
        <v>1634</v>
      </c>
      <c r="C26" s="26" t="s">
        <v>1565</v>
      </c>
      <c r="D26" s="25" t="n">
        <v>6</v>
      </c>
      <c r="E26" s="8" t="s">
        <v>1635</v>
      </c>
      <c r="F26" s="25" t="n">
        <v>13</v>
      </c>
      <c r="G26" s="24" t="n">
        <f aca="false">F26-D26</f>
        <v>7</v>
      </c>
      <c r="H26" s="8" t="s">
        <v>1636</v>
      </c>
      <c r="I26" s="8" t="s">
        <v>1553</v>
      </c>
    </row>
    <row r="27" customFormat="false" ht="31.5" hidden="false" customHeight="true" outlineLevel="0" collapsed="false">
      <c r="A27" s="24" t="n">
        <v>23</v>
      </c>
      <c r="B27" s="8" t="s">
        <v>1637</v>
      </c>
      <c r="C27" s="26" t="s">
        <v>453</v>
      </c>
      <c r="D27" s="25" t="n">
        <v>10</v>
      </c>
      <c r="E27" s="8" t="s">
        <v>1638</v>
      </c>
      <c r="F27" s="25" t="n">
        <v>12</v>
      </c>
      <c r="G27" s="24" t="n">
        <f aca="false">F27-D27</f>
        <v>2</v>
      </c>
      <c r="H27" s="8" t="s">
        <v>1639</v>
      </c>
      <c r="I27" s="8" t="s">
        <v>1640</v>
      </c>
    </row>
    <row r="28" customFormat="false" ht="31.5" hidden="false" customHeight="true" outlineLevel="0" collapsed="false">
      <c r="A28" s="24" t="n">
        <v>24</v>
      </c>
      <c r="B28" s="9" t="s">
        <v>1641</v>
      </c>
      <c r="C28" s="26" t="s">
        <v>453</v>
      </c>
      <c r="D28" s="25" t="n">
        <v>7</v>
      </c>
      <c r="E28" s="8" t="s">
        <v>1642</v>
      </c>
      <c r="F28" s="25" t="n">
        <v>8</v>
      </c>
      <c r="G28" s="24" t="n">
        <f aca="false">F28-D28</f>
        <v>1</v>
      </c>
      <c r="H28" s="8" t="s">
        <v>1643</v>
      </c>
      <c r="I28" s="8" t="s">
        <v>1644</v>
      </c>
    </row>
    <row r="29" customFormat="false" ht="31.5" hidden="false" customHeight="true" outlineLevel="0" collapsed="false">
      <c r="A29" s="24" t="n">
        <v>25</v>
      </c>
      <c r="B29" s="8" t="s">
        <v>1645</v>
      </c>
      <c r="C29" s="26" t="s">
        <v>1581</v>
      </c>
      <c r="D29" s="25" t="n">
        <v>11</v>
      </c>
      <c r="E29" s="8" t="s">
        <v>1646</v>
      </c>
      <c r="F29" s="25" t="n">
        <v>12</v>
      </c>
      <c r="G29" s="24" t="n">
        <f aca="false">F29-D29</f>
        <v>1</v>
      </c>
      <c r="H29" s="8" t="s">
        <v>1647</v>
      </c>
      <c r="I29" s="8" t="s">
        <v>1423</v>
      </c>
    </row>
    <row r="30" customFormat="false" ht="31.5" hidden="false" customHeight="true" outlineLevel="0" collapsed="false">
      <c r="A30" s="24" t="n">
        <v>26</v>
      </c>
      <c r="B30" s="8" t="s">
        <v>1648</v>
      </c>
      <c r="C30" s="26" t="s">
        <v>1565</v>
      </c>
      <c r="D30" s="25" t="n">
        <v>11</v>
      </c>
      <c r="E30" s="8" t="s">
        <v>1649</v>
      </c>
      <c r="F30" s="25" t="n">
        <v>12</v>
      </c>
      <c r="G30" s="24" t="n">
        <f aca="false">F30-D30</f>
        <v>1</v>
      </c>
      <c r="H30" s="8" t="s">
        <v>1650</v>
      </c>
      <c r="I30" s="8" t="s">
        <v>1651</v>
      </c>
    </row>
    <row r="31" customFormat="false" ht="31.5" hidden="false" customHeight="true" outlineLevel="0" collapsed="false">
      <c r="A31" s="24" t="n">
        <v>27</v>
      </c>
      <c r="B31" s="8" t="s">
        <v>1652</v>
      </c>
      <c r="C31" s="26" t="s">
        <v>1581</v>
      </c>
      <c r="D31" s="25" t="n">
        <v>7</v>
      </c>
      <c r="E31" s="8" t="s">
        <v>1653</v>
      </c>
      <c r="F31" s="25" t="n">
        <v>12</v>
      </c>
      <c r="G31" s="24" t="n">
        <f aca="false">F31-D31</f>
        <v>5</v>
      </c>
      <c r="H31" s="8" t="s">
        <v>1654</v>
      </c>
      <c r="I31" s="8" t="s">
        <v>1655</v>
      </c>
    </row>
    <row r="32" customFormat="false" ht="31.5" hidden="false" customHeight="true" outlineLevel="0" collapsed="false">
      <c r="A32" s="24" t="n">
        <v>28</v>
      </c>
      <c r="B32" s="8" t="s">
        <v>1656</v>
      </c>
      <c r="C32" s="26" t="s">
        <v>1565</v>
      </c>
      <c r="D32" s="25" t="n">
        <v>1</v>
      </c>
      <c r="E32" s="8" t="s">
        <v>1657</v>
      </c>
      <c r="F32" s="25" t="n">
        <v>9</v>
      </c>
      <c r="G32" s="24" t="n">
        <f aca="false">F32-D32</f>
        <v>8</v>
      </c>
      <c r="H32" s="8" t="s">
        <v>1658</v>
      </c>
      <c r="I32" s="8" t="s">
        <v>1659</v>
      </c>
    </row>
    <row r="34" customFormat="false" ht="15" hidden="false" customHeight="true" outlineLevel="0" collapsed="false">
      <c r="B34" s="61" t="s">
        <v>1660</v>
      </c>
      <c r="G34" s="63" t="n">
        <f aca="false">AVERAGE(G5:G32)</f>
        <v>7.39285714285714</v>
      </c>
    </row>
    <row r="35" customFormat="false" ht="15" hidden="false" customHeight="true" outlineLevel="0" collapsed="false">
      <c r="B35" s="61" t="s">
        <v>1661</v>
      </c>
      <c r="G35" s="61" t="n">
        <f aca="false">MAX(G5:G32)</f>
        <v>12</v>
      </c>
    </row>
    <row r="36" customFormat="false" ht="15" hidden="false" customHeight="true" outlineLevel="0" collapsed="false">
      <c r="B36" s="61" t="s">
        <v>1662</v>
      </c>
      <c r="G36" s="61" t="n">
        <f aca="false">COUNTA(B5:B32)</f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M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9"/>
    <col collapsed="false" customWidth="true" hidden="false" outlineLevel="0" max="3" min="3" style="1" width="22"/>
    <col collapsed="false" customWidth="true" hidden="false" outlineLevel="0" max="4" min="4" style="1" width="26"/>
    <col collapsed="false" customWidth="true" hidden="false" outlineLevel="0" max="5" min="5" style="1" width="46"/>
    <col collapsed="false" customWidth="true" hidden="false" outlineLevel="0" max="6" min="6" style="1" width="36"/>
    <col collapsed="false" customWidth="true" hidden="false" outlineLevel="0" max="7" min="7" style="1" width="32"/>
    <col collapsed="false" customWidth="true" hidden="false" outlineLevel="0" max="9" min="8" style="1" width="24"/>
    <col collapsed="false" customWidth="true" hidden="false" outlineLevel="0" max="10" min="10" style="1" width="42"/>
    <col collapsed="false" customWidth="true" hidden="false" outlineLevel="0" max="11" min="11" style="1" width="34"/>
    <col collapsed="false" customWidth="true" hidden="false" outlineLevel="0" max="12" min="12" style="1" width="38"/>
    <col collapsed="false" customWidth="true" hidden="false" outlineLevel="0" max="13" min="13" style="1" width="36"/>
  </cols>
  <sheetData>
    <row r="1" customFormat="false" ht="24" hidden="false" customHeight="true" outlineLevel="0" collapsed="false">
      <c r="A1" s="21" t="s">
        <v>1663</v>
      </c>
    </row>
    <row r="2" customFormat="false" ht="15" hidden="false" customHeight="true" outlineLevel="0" collapsed="false">
      <c r="A2" s="20" t="s">
        <v>1664</v>
      </c>
    </row>
    <row r="4" customFormat="false" ht="19.5" hidden="false" customHeight="true" outlineLevel="0" collapsed="false">
      <c r="A4" s="22" t="s">
        <v>1665</v>
      </c>
      <c r="B4" s="23" t="s">
        <v>1666</v>
      </c>
      <c r="C4" s="23" t="s">
        <v>50</v>
      </c>
      <c r="D4" s="23" t="s">
        <v>1667</v>
      </c>
      <c r="E4" s="23" t="s">
        <v>1668</v>
      </c>
      <c r="F4" s="23" t="s">
        <v>1669</v>
      </c>
      <c r="G4" s="23" t="s">
        <v>1670</v>
      </c>
      <c r="H4" s="23" t="s">
        <v>743</v>
      </c>
      <c r="I4" s="23" t="s">
        <v>1671</v>
      </c>
      <c r="J4" s="23" t="s">
        <v>1672</v>
      </c>
      <c r="K4" s="23" t="s">
        <v>1673</v>
      </c>
      <c r="L4" s="23" t="s">
        <v>1674</v>
      </c>
      <c r="M4" s="23" t="s">
        <v>1675</v>
      </c>
    </row>
    <row r="5" customFormat="false" ht="61.5" hidden="false" customHeight="true" outlineLevel="0" collapsed="false">
      <c r="A5" s="64" t="s">
        <v>1189</v>
      </c>
      <c r="B5" s="26" t="s">
        <v>453</v>
      </c>
      <c r="C5" s="9" t="s">
        <v>1676</v>
      </c>
      <c r="D5" s="8" t="s">
        <v>1677</v>
      </c>
      <c r="E5" s="27" t="s">
        <v>1678</v>
      </c>
      <c r="F5" s="8" t="s">
        <v>1679</v>
      </c>
      <c r="G5" s="8" t="s">
        <v>1680</v>
      </c>
      <c r="H5" s="8" t="s">
        <v>1681</v>
      </c>
      <c r="I5" s="9" t="s">
        <v>1682</v>
      </c>
      <c r="J5" s="9" t="s">
        <v>1683</v>
      </c>
      <c r="K5" s="8" t="s">
        <v>1684</v>
      </c>
      <c r="L5" s="9" t="s">
        <v>1685</v>
      </c>
      <c r="M5" s="9" t="s">
        <v>1686</v>
      </c>
    </row>
    <row r="6" customFormat="false" ht="106.5" hidden="false" customHeight="true" outlineLevel="0" collapsed="false">
      <c r="A6" s="64" t="s">
        <v>1687</v>
      </c>
      <c r="B6" s="26" t="s">
        <v>453</v>
      </c>
      <c r="C6" s="9" t="s">
        <v>1688</v>
      </c>
      <c r="D6" s="8" t="s">
        <v>1689</v>
      </c>
      <c r="E6" s="9" t="s">
        <v>1690</v>
      </c>
      <c r="F6" s="8" t="s">
        <v>1691</v>
      </c>
      <c r="G6" s="8" t="s">
        <v>1692</v>
      </c>
      <c r="H6" s="8" t="s">
        <v>1693</v>
      </c>
      <c r="I6" s="9" t="s">
        <v>1694</v>
      </c>
      <c r="J6" s="9" t="s">
        <v>1695</v>
      </c>
      <c r="K6" s="8" t="s">
        <v>1696</v>
      </c>
      <c r="L6" s="9" t="s">
        <v>1697</v>
      </c>
      <c r="M6" s="9" t="s">
        <v>1698</v>
      </c>
    </row>
    <row r="7" customFormat="false" ht="61.5" hidden="false" customHeight="true" outlineLevel="0" collapsed="false">
      <c r="A7" s="64" t="s">
        <v>926</v>
      </c>
      <c r="B7" s="26" t="s">
        <v>453</v>
      </c>
      <c r="C7" s="9" t="s">
        <v>1699</v>
      </c>
      <c r="D7" s="8" t="s">
        <v>1700</v>
      </c>
      <c r="E7" s="9" t="s">
        <v>1701</v>
      </c>
      <c r="F7" s="8" t="s">
        <v>1702</v>
      </c>
      <c r="G7" s="8" t="s">
        <v>1703</v>
      </c>
      <c r="H7" s="8" t="s">
        <v>1704</v>
      </c>
      <c r="I7" s="9" t="s">
        <v>1705</v>
      </c>
      <c r="J7" s="9" t="s">
        <v>1706</v>
      </c>
      <c r="K7" s="8" t="s">
        <v>1707</v>
      </c>
      <c r="L7" s="9" t="s">
        <v>1708</v>
      </c>
      <c r="M7" s="9" t="s">
        <v>1709</v>
      </c>
    </row>
    <row r="8" customFormat="false" ht="91.5" hidden="false" customHeight="true" outlineLevel="0" collapsed="false">
      <c r="A8" s="64" t="s">
        <v>752</v>
      </c>
      <c r="B8" s="26" t="s">
        <v>1710</v>
      </c>
      <c r="C8" s="9" t="s">
        <v>1711</v>
      </c>
      <c r="D8" s="8" t="s">
        <v>1712</v>
      </c>
      <c r="E8" s="9" t="s">
        <v>1713</v>
      </c>
      <c r="F8" s="8" t="s">
        <v>1714</v>
      </c>
      <c r="G8" s="8" t="s">
        <v>1715</v>
      </c>
      <c r="H8" s="8" t="s">
        <v>1716</v>
      </c>
      <c r="I8" s="9" t="s">
        <v>1717</v>
      </c>
      <c r="J8" s="8" t="s">
        <v>1718</v>
      </c>
      <c r="K8" s="8" t="s">
        <v>1719</v>
      </c>
      <c r="L8" s="9" t="s">
        <v>1720</v>
      </c>
      <c r="M8" s="9" t="s">
        <v>1721</v>
      </c>
    </row>
    <row r="9" customFormat="false" ht="61.5" hidden="false" customHeight="true" outlineLevel="0" collapsed="false">
      <c r="A9" s="64" t="s">
        <v>1025</v>
      </c>
      <c r="B9" s="26" t="s">
        <v>1710</v>
      </c>
      <c r="C9" s="9" t="s">
        <v>1722</v>
      </c>
      <c r="D9" s="8" t="s">
        <v>1723</v>
      </c>
      <c r="E9" s="8" t="s">
        <v>1724</v>
      </c>
      <c r="F9" s="8" t="s">
        <v>1725</v>
      </c>
      <c r="G9" s="8" t="s">
        <v>1726</v>
      </c>
      <c r="H9" s="8" t="s">
        <v>1727</v>
      </c>
      <c r="I9" s="9" t="s">
        <v>1728</v>
      </c>
      <c r="J9" s="9" t="s">
        <v>1729</v>
      </c>
      <c r="K9" s="8" t="s">
        <v>1730</v>
      </c>
      <c r="L9" s="8" t="s">
        <v>1731</v>
      </c>
      <c r="M9" s="9" t="s">
        <v>1732</v>
      </c>
    </row>
    <row r="10" customFormat="false" ht="46.5" hidden="false" customHeight="true" outlineLevel="0" collapsed="false">
      <c r="A10" s="64" t="s">
        <v>802</v>
      </c>
      <c r="B10" s="26" t="s">
        <v>1710</v>
      </c>
      <c r="C10" s="9" t="s">
        <v>1733</v>
      </c>
      <c r="D10" s="8" t="s">
        <v>1734</v>
      </c>
      <c r="E10" s="9" t="s">
        <v>1735</v>
      </c>
      <c r="F10" s="8" t="s">
        <v>1736</v>
      </c>
      <c r="G10" s="8" t="s">
        <v>1737</v>
      </c>
      <c r="H10" s="8" t="s">
        <v>1738</v>
      </c>
      <c r="I10" s="9" t="s">
        <v>1739</v>
      </c>
      <c r="J10" s="9" t="s">
        <v>1740</v>
      </c>
      <c r="K10" s="8" t="s">
        <v>1741</v>
      </c>
      <c r="L10" s="9" t="s">
        <v>1742</v>
      </c>
      <c r="M10" s="9" t="s">
        <v>1743</v>
      </c>
    </row>
    <row r="11" customFormat="false" ht="46.5" hidden="false" customHeight="true" outlineLevel="0" collapsed="false">
      <c r="A11" s="64" t="s">
        <v>765</v>
      </c>
      <c r="B11" s="26" t="s">
        <v>1744</v>
      </c>
      <c r="C11" s="9" t="s">
        <v>1745</v>
      </c>
      <c r="D11" s="8" t="s">
        <v>1746</v>
      </c>
      <c r="E11" s="9" t="s">
        <v>1747</v>
      </c>
      <c r="F11" s="8" t="s">
        <v>1748</v>
      </c>
      <c r="G11" s="8" t="s">
        <v>1749</v>
      </c>
      <c r="H11" s="8" t="s">
        <v>1750</v>
      </c>
      <c r="I11" s="9" t="s">
        <v>1751</v>
      </c>
      <c r="J11" s="9" t="s">
        <v>1752</v>
      </c>
      <c r="K11" s="8" t="s">
        <v>1753</v>
      </c>
      <c r="L11" s="9" t="s">
        <v>1754</v>
      </c>
      <c r="M11" s="8" t="s">
        <v>1755</v>
      </c>
    </row>
    <row r="12" customFormat="false" ht="61.5" hidden="false" customHeight="true" outlineLevel="0" collapsed="false">
      <c r="A12" s="64" t="s">
        <v>789</v>
      </c>
      <c r="B12" s="26" t="s">
        <v>1744</v>
      </c>
      <c r="C12" s="9" t="s">
        <v>1756</v>
      </c>
      <c r="D12" s="8" t="s">
        <v>1757</v>
      </c>
      <c r="E12" s="8" t="s">
        <v>1758</v>
      </c>
      <c r="F12" s="8" t="s">
        <v>1759</v>
      </c>
      <c r="G12" s="8" t="s">
        <v>1760</v>
      </c>
      <c r="H12" s="8" t="s">
        <v>1761</v>
      </c>
      <c r="I12" s="9" t="s">
        <v>1762</v>
      </c>
      <c r="J12" s="8" t="s">
        <v>1763</v>
      </c>
      <c r="K12" s="8" t="s">
        <v>1764</v>
      </c>
      <c r="L12" s="9" t="s">
        <v>1765</v>
      </c>
      <c r="M12" s="9" t="s">
        <v>1766</v>
      </c>
    </row>
    <row r="13" customFormat="false" ht="76.5" hidden="false" customHeight="true" outlineLevel="0" collapsed="false">
      <c r="A13" s="64" t="s">
        <v>909</v>
      </c>
      <c r="B13" s="26" t="s">
        <v>1744</v>
      </c>
      <c r="C13" s="9" t="s">
        <v>1767</v>
      </c>
      <c r="D13" s="8" t="s">
        <v>1768</v>
      </c>
      <c r="E13" s="9" t="s">
        <v>1769</v>
      </c>
      <c r="F13" s="8" t="s">
        <v>1770</v>
      </c>
      <c r="G13" s="8" t="s">
        <v>1771</v>
      </c>
      <c r="H13" s="8" t="s">
        <v>1772</v>
      </c>
      <c r="I13" s="9" t="s">
        <v>1773</v>
      </c>
      <c r="J13" s="9" t="s">
        <v>1774</v>
      </c>
      <c r="K13" s="8" t="s">
        <v>1775</v>
      </c>
      <c r="L13" s="8" t="s">
        <v>1776</v>
      </c>
      <c r="M13" s="9" t="s">
        <v>1777</v>
      </c>
    </row>
    <row r="14" customFormat="false" ht="46.5" hidden="false" customHeight="true" outlineLevel="0" collapsed="false">
      <c r="A14" s="64" t="s">
        <v>941</v>
      </c>
      <c r="B14" s="26" t="s">
        <v>1744</v>
      </c>
      <c r="C14" s="9" t="s">
        <v>1778</v>
      </c>
      <c r="D14" s="8" t="s">
        <v>1779</v>
      </c>
      <c r="E14" s="9" t="s">
        <v>1780</v>
      </c>
      <c r="F14" s="8" t="s">
        <v>1781</v>
      </c>
      <c r="G14" s="8" t="s">
        <v>1782</v>
      </c>
      <c r="H14" s="8" t="s">
        <v>1783</v>
      </c>
      <c r="I14" s="9" t="s">
        <v>1784</v>
      </c>
      <c r="J14" s="9" t="s">
        <v>1785</v>
      </c>
      <c r="K14" s="8" t="s">
        <v>1786</v>
      </c>
      <c r="L14" s="9" t="s">
        <v>1787</v>
      </c>
      <c r="M14" s="9" t="s">
        <v>1788</v>
      </c>
    </row>
    <row r="15" customFormat="false" ht="61.5" hidden="false" customHeight="true" outlineLevel="0" collapsed="false">
      <c r="A15" s="64" t="s">
        <v>1789</v>
      </c>
      <c r="B15" s="26" t="s">
        <v>1790</v>
      </c>
      <c r="C15" s="9" t="s">
        <v>1791</v>
      </c>
      <c r="D15" s="8" t="s">
        <v>1792</v>
      </c>
      <c r="E15" s="9" t="s">
        <v>1793</v>
      </c>
      <c r="F15" s="8" t="s">
        <v>1794</v>
      </c>
      <c r="G15" s="8" t="s">
        <v>1795</v>
      </c>
      <c r="H15" s="8" t="s">
        <v>1479</v>
      </c>
      <c r="I15" s="9" t="s">
        <v>1796</v>
      </c>
      <c r="J15" s="9" t="s">
        <v>1797</v>
      </c>
      <c r="K15" s="8" t="s">
        <v>1798</v>
      </c>
      <c r="L15" s="9" t="s">
        <v>1799</v>
      </c>
      <c r="M15" s="9" t="s">
        <v>1800</v>
      </c>
    </row>
    <row r="16" customFormat="false" ht="46.5" hidden="false" customHeight="true" outlineLevel="0" collapsed="false">
      <c r="A16" s="64" t="s">
        <v>1271</v>
      </c>
      <c r="B16" s="24" t="s">
        <v>1801</v>
      </c>
      <c r="C16" s="27" t="s">
        <v>1802</v>
      </c>
      <c r="D16" s="8" t="s">
        <v>1803</v>
      </c>
      <c r="E16" s="9" t="s">
        <v>1804</v>
      </c>
      <c r="F16" s="8" t="s">
        <v>1805</v>
      </c>
      <c r="G16" s="8" t="s">
        <v>1806</v>
      </c>
      <c r="H16" s="8" t="s">
        <v>1807</v>
      </c>
      <c r="I16" s="9" t="s">
        <v>1808</v>
      </c>
      <c r="J16" s="8" t="s">
        <v>1809</v>
      </c>
      <c r="K16" s="8" t="s">
        <v>1810</v>
      </c>
      <c r="L16" s="8" t="s">
        <v>1811</v>
      </c>
      <c r="M16" s="9" t="s">
        <v>1812</v>
      </c>
    </row>
    <row r="17" customFormat="false" ht="91.5" hidden="false" customHeight="true" outlineLevel="0" collapsed="false">
      <c r="A17" s="64" t="s">
        <v>1418</v>
      </c>
      <c r="B17" s="24" t="s">
        <v>1813</v>
      </c>
      <c r="C17" s="9" t="s">
        <v>1814</v>
      </c>
      <c r="D17" s="8" t="s">
        <v>1815</v>
      </c>
      <c r="E17" s="8" t="s">
        <v>1816</v>
      </c>
      <c r="F17" s="8" t="s">
        <v>1817</v>
      </c>
      <c r="G17" s="8" t="s">
        <v>1818</v>
      </c>
      <c r="H17" s="8" t="s">
        <v>1819</v>
      </c>
      <c r="I17" s="9" t="s">
        <v>1820</v>
      </c>
      <c r="J17" s="8" t="s">
        <v>1821</v>
      </c>
      <c r="K17" s="8" t="s">
        <v>1822</v>
      </c>
      <c r="L17" s="9" t="s">
        <v>1823</v>
      </c>
      <c r="M17" s="8" t="s">
        <v>1824</v>
      </c>
    </row>
    <row r="18" customFormat="false" ht="76.5" hidden="false" customHeight="true" outlineLevel="0" collapsed="false">
      <c r="A18" s="64" t="s">
        <v>1143</v>
      </c>
      <c r="B18" s="26" t="s">
        <v>1825</v>
      </c>
      <c r="C18" s="9" t="s">
        <v>1826</v>
      </c>
      <c r="D18" s="8" t="s">
        <v>1827</v>
      </c>
      <c r="E18" s="8" t="s">
        <v>1828</v>
      </c>
      <c r="F18" s="8" t="s">
        <v>1829</v>
      </c>
      <c r="G18" s="8" t="s">
        <v>1830</v>
      </c>
      <c r="H18" s="8" t="s">
        <v>1831</v>
      </c>
      <c r="I18" s="9" t="s">
        <v>1832</v>
      </c>
      <c r="J18" s="8" t="s">
        <v>1833</v>
      </c>
      <c r="K18" s="8" t="s">
        <v>1834</v>
      </c>
      <c r="L18" s="9" t="s">
        <v>1835</v>
      </c>
      <c r="M18" s="9" t="s">
        <v>1836</v>
      </c>
    </row>
    <row r="19" customFormat="false" ht="61.5" hidden="false" customHeight="true" outlineLevel="0" collapsed="false">
      <c r="A19" s="64" t="s">
        <v>1837</v>
      </c>
      <c r="B19" s="26" t="s">
        <v>1838</v>
      </c>
      <c r="C19" s="9" t="s">
        <v>1839</v>
      </c>
      <c r="D19" s="8" t="s">
        <v>1840</v>
      </c>
      <c r="E19" s="9" t="s">
        <v>1841</v>
      </c>
      <c r="F19" s="8" t="s">
        <v>1842</v>
      </c>
      <c r="G19" s="8" t="s">
        <v>1843</v>
      </c>
      <c r="H19" s="8" t="s">
        <v>1844</v>
      </c>
      <c r="I19" s="9" t="s">
        <v>1845</v>
      </c>
      <c r="J19" s="8" t="s">
        <v>1846</v>
      </c>
      <c r="K19" s="8" t="s">
        <v>1847</v>
      </c>
      <c r="L19" s="9" t="s">
        <v>1848</v>
      </c>
      <c r="M19" s="9" t="s">
        <v>1849</v>
      </c>
    </row>
    <row r="20" customFormat="false" ht="61.5" hidden="false" customHeight="true" outlineLevel="0" collapsed="false">
      <c r="A20" s="64" t="s">
        <v>1456</v>
      </c>
      <c r="B20" s="26" t="s">
        <v>1850</v>
      </c>
      <c r="C20" s="9" t="s">
        <v>1851</v>
      </c>
      <c r="D20" s="8" t="s">
        <v>1852</v>
      </c>
      <c r="E20" s="9" t="s">
        <v>1853</v>
      </c>
      <c r="F20" s="8" t="s">
        <v>1854</v>
      </c>
      <c r="G20" s="8" t="s">
        <v>1855</v>
      </c>
      <c r="H20" s="8" t="s">
        <v>1455</v>
      </c>
      <c r="I20" s="9" t="s">
        <v>1856</v>
      </c>
      <c r="J20" s="8" t="s">
        <v>1857</v>
      </c>
      <c r="K20" s="8" t="s">
        <v>1858</v>
      </c>
      <c r="L20" s="9" t="s">
        <v>1859</v>
      </c>
      <c r="M20" s="9" t="s">
        <v>1860</v>
      </c>
    </row>
    <row r="21" customFormat="false" ht="61.5" hidden="false" customHeight="true" outlineLevel="0" collapsed="false">
      <c r="A21" s="64" t="s">
        <v>1462</v>
      </c>
      <c r="B21" s="26" t="s">
        <v>1861</v>
      </c>
      <c r="C21" s="9" t="s">
        <v>1862</v>
      </c>
      <c r="D21" s="8" t="s">
        <v>1863</v>
      </c>
      <c r="E21" s="9" t="s">
        <v>1864</v>
      </c>
      <c r="F21" s="8" t="s">
        <v>1865</v>
      </c>
      <c r="G21" s="8" t="s">
        <v>1866</v>
      </c>
      <c r="H21" s="8" t="s">
        <v>1461</v>
      </c>
      <c r="I21" s="9" t="s">
        <v>1867</v>
      </c>
      <c r="J21" s="8" t="s">
        <v>1868</v>
      </c>
      <c r="K21" s="8" t="s">
        <v>1869</v>
      </c>
      <c r="L21" s="9" t="s">
        <v>1870</v>
      </c>
      <c r="M21" s="9" t="s">
        <v>1871</v>
      </c>
    </row>
    <row r="22" customFormat="false" ht="61.5" hidden="false" customHeight="true" outlineLevel="0" collapsed="false">
      <c r="A22" s="64" t="s">
        <v>1468</v>
      </c>
      <c r="B22" s="26" t="s">
        <v>1744</v>
      </c>
      <c r="C22" s="9" t="s">
        <v>1872</v>
      </c>
      <c r="D22" s="8" t="s">
        <v>1873</v>
      </c>
      <c r="E22" s="9" t="s">
        <v>1874</v>
      </c>
      <c r="F22" s="8" t="s">
        <v>1875</v>
      </c>
      <c r="G22" s="8" t="s">
        <v>1876</v>
      </c>
      <c r="H22" s="8" t="s">
        <v>1467</v>
      </c>
      <c r="I22" s="9" t="s">
        <v>1877</v>
      </c>
      <c r="J22" s="9" t="s">
        <v>1878</v>
      </c>
      <c r="K22" s="8" t="s">
        <v>1879</v>
      </c>
      <c r="L22" s="9" t="s">
        <v>1880</v>
      </c>
      <c r="M22" s="9" t="s">
        <v>1881</v>
      </c>
    </row>
    <row r="24" customFormat="false" ht="18" hidden="false" customHeight="true" outlineLevel="0" collapsed="false">
      <c r="A24" s="4" t="s">
        <v>1882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customFormat="false" ht="19.5" hidden="false" customHeight="true" outlineLevel="0" collapsed="false">
      <c r="A25" s="22" t="s">
        <v>86</v>
      </c>
      <c r="B25" s="23" t="s">
        <v>1883</v>
      </c>
      <c r="C25" s="23" t="s">
        <v>1884</v>
      </c>
      <c r="D25" s="23" t="s">
        <v>1885</v>
      </c>
      <c r="E25" s="23" t="s">
        <v>1886</v>
      </c>
    </row>
    <row r="26" customFormat="false" ht="31.5" hidden="false" customHeight="true" outlineLevel="0" collapsed="false">
      <c r="A26" s="24" t="n">
        <v>1</v>
      </c>
      <c r="B26" s="9" t="s">
        <v>1710</v>
      </c>
      <c r="C26" s="9" t="s">
        <v>1887</v>
      </c>
      <c r="D26" s="27" t="s">
        <v>1888</v>
      </c>
      <c r="E26" s="27" t="s">
        <v>1889</v>
      </c>
    </row>
    <row r="27" customFormat="false" ht="31.5" hidden="false" customHeight="true" outlineLevel="0" collapsed="false">
      <c r="A27" s="24" t="n">
        <v>2</v>
      </c>
      <c r="B27" s="9" t="s">
        <v>1744</v>
      </c>
      <c r="C27" s="8" t="s">
        <v>1890</v>
      </c>
      <c r="D27" s="8" t="s">
        <v>1891</v>
      </c>
      <c r="E27" s="8" t="s">
        <v>1892</v>
      </c>
    </row>
    <row r="28" customFormat="false" ht="31.5" hidden="false" customHeight="true" outlineLevel="0" collapsed="false">
      <c r="A28" s="24" t="n">
        <v>3</v>
      </c>
      <c r="B28" s="9" t="s">
        <v>453</v>
      </c>
      <c r="C28" s="9" t="s">
        <v>1893</v>
      </c>
      <c r="D28" s="9" t="s">
        <v>1894</v>
      </c>
      <c r="E28" s="9" t="s">
        <v>1895</v>
      </c>
    </row>
    <row r="29" customFormat="false" ht="61.5" hidden="false" customHeight="true" outlineLevel="0" collapsed="false">
      <c r="A29" s="24" t="n">
        <v>4</v>
      </c>
      <c r="B29" s="9" t="s">
        <v>1896</v>
      </c>
      <c r="C29" s="9" t="s">
        <v>1897</v>
      </c>
      <c r="D29" s="9" t="s">
        <v>1898</v>
      </c>
      <c r="E29" s="9" t="s">
        <v>1899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Q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15" min="3" style="1" width="6"/>
    <col collapsed="false" customWidth="true" hidden="false" outlineLevel="0" max="17" min="16" style="1" width="10"/>
  </cols>
  <sheetData>
    <row r="1" customFormat="false" ht="24" hidden="false" customHeight="true" outlineLevel="0" collapsed="false">
      <c r="A1" s="21" t="s">
        <v>1900</v>
      </c>
    </row>
    <row r="2" customFormat="false" ht="15" hidden="false" customHeight="true" outlineLevel="0" collapsed="false">
      <c r="A2" s="3" t="s">
        <v>1901</v>
      </c>
    </row>
    <row r="4" customFormat="false" ht="21.75" hidden="false" customHeight="true" outlineLevel="0" collapsed="false">
      <c r="A4" s="22" t="s">
        <v>1665</v>
      </c>
      <c r="B4" s="23" t="s">
        <v>50</v>
      </c>
      <c r="C4" s="22" t="s">
        <v>332</v>
      </c>
      <c r="D4" s="22" t="s">
        <v>333</v>
      </c>
      <c r="E4" s="22" t="s">
        <v>334</v>
      </c>
      <c r="F4" s="22" t="s">
        <v>335</v>
      </c>
      <c r="G4" s="22" t="s">
        <v>336</v>
      </c>
      <c r="H4" s="22" t="s">
        <v>337</v>
      </c>
      <c r="I4" s="22" t="s">
        <v>338</v>
      </c>
      <c r="J4" s="22" t="s">
        <v>339</v>
      </c>
      <c r="K4" s="22" t="s">
        <v>340</v>
      </c>
      <c r="L4" s="22" t="s">
        <v>341</v>
      </c>
      <c r="M4" s="22" t="s">
        <v>342</v>
      </c>
      <c r="N4" s="22" t="s">
        <v>343</v>
      </c>
      <c r="O4" s="22" t="s">
        <v>344</v>
      </c>
      <c r="P4" s="23" t="s">
        <v>1902</v>
      </c>
      <c r="Q4" s="23" t="s">
        <v>1903</v>
      </c>
    </row>
    <row r="5" customFormat="false" ht="15" hidden="false" customHeight="true" outlineLevel="0" collapsed="false">
      <c r="A5" s="48" t="s">
        <v>1189</v>
      </c>
      <c r="B5" s="65" t="s">
        <v>1904</v>
      </c>
      <c r="C5" s="30"/>
      <c r="D5" s="30"/>
      <c r="E5" s="30"/>
      <c r="F5" s="30"/>
      <c r="G5" s="30"/>
      <c r="H5" s="30"/>
      <c r="I5" s="30" t="s">
        <v>1905</v>
      </c>
      <c r="J5" s="30" t="s">
        <v>1905</v>
      </c>
      <c r="K5" s="30" t="s">
        <v>1906</v>
      </c>
      <c r="L5" s="30" t="s">
        <v>1906</v>
      </c>
      <c r="M5" s="30" t="s">
        <v>1905</v>
      </c>
      <c r="N5" s="30" t="s">
        <v>1906</v>
      </c>
      <c r="O5" s="30"/>
      <c r="P5" s="31" t="n">
        <f aca="false">COUNTIF(C5:O5,"●")</f>
        <v>3</v>
      </c>
      <c r="Q5" s="31" t="n">
        <f aca="false">COUNTIF(C5:O5,"○")</f>
        <v>3</v>
      </c>
    </row>
    <row r="6" customFormat="false" ht="15" hidden="false" customHeight="true" outlineLevel="0" collapsed="false">
      <c r="A6" s="48" t="s">
        <v>1687</v>
      </c>
      <c r="B6" s="65" t="s">
        <v>1907</v>
      </c>
      <c r="C6" s="30"/>
      <c r="D6" s="30"/>
      <c r="E6" s="30"/>
      <c r="F6" s="30"/>
      <c r="G6" s="30"/>
      <c r="H6" s="30"/>
      <c r="I6" s="30"/>
      <c r="J6" s="30"/>
      <c r="K6" s="30"/>
      <c r="L6" s="30" t="s">
        <v>1906</v>
      </c>
      <c r="M6" s="30"/>
      <c r="N6" s="30" t="s">
        <v>1905</v>
      </c>
      <c r="O6" s="30"/>
      <c r="P6" s="31" t="n">
        <f aca="false">COUNTIF(C6:O6,"●")</f>
        <v>1</v>
      </c>
      <c r="Q6" s="31" t="n">
        <f aca="false">COUNTIF(C6:O6,"○")</f>
        <v>1</v>
      </c>
    </row>
    <row r="7" customFormat="false" ht="15" hidden="false" customHeight="true" outlineLevel="0" collapsed="false">
      <c r="A7" s="48" t="s">
        <v>926</v>
      </c>
      <c r="B7" s="65" t="s">
        <v>1908</v>
      </c>
      <c r="C7" s="30"/>
      <c r="D7" s="30" t="s">
        <v>1905</v>
      </c>
      <c r="E7" s="30" t="s">
        <v>1905</v>
      </c>
      <c r="F7" s="30" t="s">
        <v>1905</v>
      </c>
      <c r="G7" s="30"/>
      <c r="H7" s="30"/>
      <c r="I7" s="30" t="s">
        <v>1906</v>
      </c>
      <c r="J7" s="30"/>
      <c r="K7" s="30" t="s">
        <v>1906</v>
      </c>
      <c r="L7" s="30" t="s">
        <v>1905</v>
      </c>
      <c r="M7" s="30"/>
      <c r="N7" s="30" t="s">
        <v>1905</v>
      </c>
      <c r="O7" s="30"/>
      <c r="P7" s="31" t="n">
        <f aca="false">COUNTIF(C7:O7,"●")</f>
        <v>2</v>
      </c>
      <c r="Q7" s="31" t="n">
        <f aca="false">COUNTIF(C7:O7,"○")</f>
        <v>5</v>
      </c>
    </row>
    <row r="8" customFormat="false" ht="15" hidden="false" customHeight="true" outlineLevel="0" collapsed="false">
      <c r="A8" s="48" t="s">
        <v>752</v>
      </c>
      <c r="B8" s="65" t="s">
        <v>1909</v>
      </c>
      <c r="C8" s="30" t="s">
        <v>1906</v>
      </c>
      <c r="D8" s="30" t="s">
        <v>1906</v>
      </c>
      <c r="E8" s="30"/>
      <c r="F8" s="30"/>
      <c r="G8" s="30"/>
      <c r="H8" s="30" t="s">
        <v>1906</v>
      </c>
      <c r="I8" s="30"/>
      <c r="J8" s="30" t="s">
        <v>1905</v>
      </c>
      <c r="K8" s="30" t="s">
        <v>1906</v>
      </c>
      <c r="L8" s="30"/>
      <c r="M8" s="30" t="s">
        <v>1906</v>
      </c>
      <c r="N8" s="30"/>
      <c r="O8" s="30" t="s">
        <v>1905</v>
      </c>
      <c r="P8" s="31" t="n">
        <f aca="false">COUNTIF(C8:O8,"●")</f>
        <v>5</v>
      </c>
      <c r="Q8" s="31" t="n">
        <f aca="false">COUNTIF(C8:O8,"○")</f>
        <v>2</v>
      </c>
    </row>
    <row r="9" customFormat="false" ht="15" hidden="false" customHeight="true" outlineLevel="0" collapsed="false">
      <c r="A9" s="48" t="s">
        <v>1025</v>
      </c>
      <c r="B9" s="65" t="s">
        <v>1910</v>
      </c>
      <c r="C9" s="30"/>
      <c r="D9" s="30"/>
      <c r="E9" s="30"/>
      <c r="F9" s="30"/>
      <c r="G9" s="30" t="s">
        <v>1906</v>
      </c>
      <c r="H9" s="30"/>
      <c r="I9" s="30"/>
      <c r="J9" s="30" t="s">
        <v>1905</v>
      </c>
      <c r="K9" s="30"/>
      <c r="L9" s="30"/>
      <c r="M9" s="30" t="s">
        <v>1905</v>
      </c>
      <c r="N9" s="30"/>
      <c r="O9" s="30" t="s">
        <v>1905</v>
      </c>
      <c r="P9" s="31" t="n">
        <f aca="false">COUNTIF(C9:O9,"●")</f>
        <v>1</v>
      </c>
      <c r="Q9" s="31" t="n">
        <f aca="false">COUNTIF(C9:O9,"○")</f>
        <v>3</v>
      </c>
    </row>
    <row r="10" customFormat="false" ht="15" hidden="false" customHeight="true" outlineLevel="0" collapsed="false">
      <c r="A10" s="48" t="s">
        <v>802</v>
      </c>
      <c r="B10" s="65" t="s">
        <v>1911</v>
      </c>
      <c r="C10" s="30"/>
      <c r="D10" s="30"/>
      <c r="E10" s="30"/>
      <c r="F10" s="30"/>
      <c r="G10" s="30"/>
      <c r="H10" s="30"/>
      <c r="I10" s="30"/>
      <c r="J10" s="30"/>
      <c r="K10" s="30"/>
      <c r="L10" s="30" t="s">
        <v>1905</v>
      </c>
      <c r="M10" s="30" t="s">
        <v>1906</v>
      </c>
      <c r="N10" s="30" t="s">
        <v>1906</v>
      </c>
      <c r="O10" s="30" t="s">
        <v>1905</v>
      </c>
      <c r="P10" s="31" t="n">
        <f aca="false">COUNTIF(C10:O10,"●")</f>
        <v>2</v>
      </c>
      <c r="Q10" s="31" t="n">
        <f aca="false">COUNTIF(C10:O10,"○")</f>
        <v>2</v>
      </c>
    </row>
    <row r="11" customFormat="false" ht="15" hidden="false" customHeight="true" outlineLevel="0" collapsed="false">
      <c r="A11" s="48" t="s">
        <v>765</v>
      </c>
      <c r="B11" s="65" t="s">
        <v>1745</v>
      </c>
      <c r="C11" s="30" t="s">
        <v>1906</v>
      </c>
      <c r="D11" s="30"/>
      <c r="E11" s="30"/>
      <c r="F11" s="30"/>
      <c r="G11" s="30" t="s">
        <v>1905</v>
      </c>
      <c r="H11" s="30" t="s">
        <v>1905</v>
      </c>
      <c r="I11" s="30" t="s">
        <v>1905</v>
      </c>
      <c r="J11" s="30" t="s">
        <v>1905</v>
      </c>
      <c r="K11" s="30"/>
      <c r="L11" s="30" t="s">
        <v>1905</v>
      </c>
      <c r="M11" s="30" t="s">
        <v>1906</v>
      </c>
      <c r="N11" s="30"/>
      <c r="O11" s="30" t="s">
        <v>1906</v>
      </c>
      <c r="P11" s="31" t="n">
        <f aca="false">COUNTIF(C11:O11,"●")</f>
        <v>3</v>
      </c>
      <c r="Q11" s="31" t="n">
        <f aca="false">COUNTIF(C11:O11,"○")</f>
        <v>5</v>
      </c>
    </row>
    <row r="12" customFormat="false" ht="15" hidden="false" customHeight="true" outlineLevel="0" collapsed="false">
      <c r="A12" s="48" t="s">
        <v>789</v>
      </c>
      <c r="B12" s="65" t="s">
        <v>1912</v>
      </c>
      <c r="C12" s="30" t="s">
        <v>1906</v>
      </c>
      <c r="D12" s="30"/>
      <c r="E12" s="30" t="s">
        <v>1905</v>
      </c>
      <c r="F12" s="30"/>
      <c r="G12" s="30"/>
      <c r="H12" s="30" t="s">
        <v>1906</v>
      </c>
      <c r="I12" s="30" t="s">
        <v>1906</v>
      </c>
      <c r="J12" s="30" t="s">
        <v>1905</v>
      </c>
      <c r="K12" s="30"/>
      <c r="L12" s="30" t="s">
        <v>1905</v>
      </c>
      <c r="M12" s="30" t="s">
        <v>1906</v>
      </c>
      <c r="N12" s="30"/>
      <c r="O12" s="30"/>
      <c r="P12" s="31" t="n">
        <f aca="false">COUNTIF(C12:O12,"●")</f>
        <v>4</v>
      </c>
      <c r="Q12" s="31" t="n">
        <f aca="false">COUNTIF(C12:O12,"○")</f>
        <v>3</v>
      </c>
    </row>
    <row r="13" customFormat="false" ht="15" hidden="false" customHeight="true" outlineLevel="0" collapsed="false">
      <c r="A13" s="48" t="s">
        <v>909</v>
      </c>
      <c r="B13" s="65" t="s">
        <v>1767</v>
      </c>
      <c r="C13" s="30"/>
      <c r="D13" s="30"/>
      <c r="E13" s="30" t="s">
        <v>1905</v>
      </c>
      <c r="F13" s="30"/>
      <c r="G13" s="30"/>
      <c r="H13" s="30"/>
      <c r="I13" s="30"/>
      <c r="J13" s="30"/>
      <c r="K13" s="30" t="s">
        <v>1906</v>
      </c>
      <c r="L13" s="30" t="s">
        <v>1905</v>
      </c>
      <c r="M13" s="30" t="s">
        <v>1905</v>
      </c>
      <c r="N13" s="30"/>
      <c r="O13" s="30" t="s">
        <v>1905</v>
      </c>
      <c r="P13" s="31" t="n">
        <f aca="false">COUNTIF(C13:O13,"●")</f>
        <v>1</v>
      </c>
      <c r="Q13" s="31" t="n">
        <f aca="false">COUNTIF(C13:O13,"○")</f>
        <v>4</v>
      </c>
    </row>
    <row r="14" customFormat="false" ht="15" hidden="false" customHeight="true" outlineLevel="0" collapsed="false">
      <c r="A14" s="48" t="s">
        <v>941</v>
      </c>
      <c r="B14" s="65" t="s">
        <v>1913</v>
      </c>
      <c r="C14" s="30"/>
      <c r="D14" s="30"/>
      <c r="E14" s="30" t="s">
        <v>1906</v>
      </c>
      <c r="F14" s="30"/>
      <c r="G14" s="30"/>
      <c r="H14" s="30"/>
      <c r="I14" s="30"/>
      <c r="J14" s="30"/>
      <c r="K14" s="30"/>
      <c r="L14" s="30" t="s">
        <v>1905</v>
      </c>
      <c r="M14" s="30" t="s">
        <v>1905</v>
      </c>
      <c r="N14" s="30" t="s">
        <v>1905</v>
      </c>
      <c r="O14" s="30"/>
      <c r="P14" s="31" t="n">
        <f aca="false">COUNTIF(C14:O14,"●")</f>
        <v>1</v>
      </c>
      <c r="Q14" s="31" t="n">
        <f aca="false">COUNTIF(C14:O14,"○")</f>
        <v>3</v>
      </c>
    </row>
    <row r="15" customFormat="false" ht="15" hidden="false" customHeight="true" outlineLevel="0" collapsed="false">
      <c r="A15" s="48" t="s">
        <v>1789</v>
      </c>
      <c r="B15" s="65" t="s">
        <v>1914</v>
      </c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 t="s">
        <v>1906</v>
      </c>
      <c r="O15" s="30" t="s">
        <v>1905</v>
      </c>
      <c r="P15" s="31" t="n">
        <f aca="false">COUNTIF(C15:O15,"●")</f>
        <v>1</v>
      </c>
      <c r="Q15" s="31" t="n">
        <f aca="false">COUNTIF(C15:O15,"○")</f>
        <v>1</v>
      </c>
    </row>
    <row r="16" customFormat="false" ht="15" hidden="false" customHeight="true" outlineLevel="0" collapsed="false">
      <c r="A16" s="48" t="s">
        <v>1271</v>
      </c>
      <c r="B16" s="66" t="s">
        <v>1802</v>
      </c>
      <c r="C16" s="30"/>
      <c r="D16" s="30"/>
      <c r="E16" s="30"/>
      <c r="F16" s="30"/>
      <c r="G16" s="30"/>
      <c r="H16" s="30"/>
      <c r="I16" s="30"/>
      <c r="J16" s="30"/>
      <c r="K16" s="30" t="s">
        <v>1906</v>
      </c>
      <c r="L16" s="30"/>
      <c r="M16" s="30" t="s">
        <v>1905</v>
      </c>
      <c r="N16" s="30"/>
      <c r="O16" s="30" t="s">
        <v>1905</v>
      </c>
      <c r="P16" s="31" t="n">
        <f aca="false">COUNTIF(C16:O16,"●")</f>
        <v>1</v>
      </c>
      <c r="Q16" s="31" t="n">
        <f aca="false">COUNTIF(C16:O16,"○")</f>
        <v>2</v>
      </c>
    </row>
    <row r="17" customFormat="false" ht="15" hidden="false" customHeight="true" outlineLevel="0" collapsed="false">
      <c r="A17" s="48" t="s">
        <v>1418</v>
      </c>
      <c r="B17" s="65" t="s">
        <v>1915</v>
      </c>
      <c r="C17" s="30"/>
      <c r="D17" s="30"/>
      <c r="E17" s="30"/>
      <c r="F17" s="30"/>
      <c r="G17" s="30"/>
      <c r="H17" s="30"/>
      <c r="I17" s="30"/>
      <c r="J17" s="30"/>
      <c r="K17" s="30"/>
      <c r="L17" s="30" t="s">
        <v>1905</v>
      </c>
      <c r="M17" s="30" t="s">
        <v>1906</v>
      </c>
      <c r="N17" s="30" t="s">
        <v>1906</v>
      </c>
      <c r="O17" s="30"/>
      <c r="P17" s="31" t="n">
        <f aca="false">COUNTIF(C17:O17,"●")</f>
        <v>2</v>
      </c>
      <c r="Q17" s="31" t="n">
        <f aca="false">COUNTIF(C17:O17,"○")</f>
        <v>1</v>
      </c>
    </row>
    <row r="18" customFormat="false" ht="15" hidden="false" customHeight="true" outlineLevel="0" collapsed="false">
      <c r="A18" s="48" t="s">
        <v>1143</v>
      </c>
      <c r="B18" s="65" t="s">
        <v>1916</v>
      </c>
      <c r="C18" s="30"/>
      <c r="D18" s="30"/>
      <c r="E18" s="30"/>
      <c r="F18" s="30"/>
      <c r="G18" s="30"/>
      <c r="H18" s="30"/>
      <c r="I18" s="30" t="s">
        <v>1906</v>
      </c>
      <c r="J18" s="30" t="s">
        <v>1905</v>
      </c>
      <c r="K18" s="30"/>
      <c r="L18" s="30" t="s">
        <v>1905</v>
      </c>
      <c r="M18" s="30"/>
      <c r="N18" s="30"/>
      <c r="O18" s="30"/>
      <c r="P18" s="31" t="n">
        <f aca="false">COUNTIF(C18:O18,"●")</f>
        <v>1</v>
      </c>
      <c r="Q18" s="31" t="n">
        <f aca="false">COUNTIF(C18:O18,"○")</f>
        <v>2</v>
      </c>
    </row>
    <row r="19" customFormat="false" ht="15" hidden="false" customHeight="true" outlineLevel="0" collapsed="false">
      <c r="A19" s="48" t="s">
        <v>1837</v>
      </c>
      <c r="B19" s="65" t="s">
        <v>1917</v>
      </c>
      <c r="C19" s="30"/>
      <c r="D19" s="30"/>
      <c r="E19" s="30"/>
      <c r="F19" s="30"/>
      <c r="G19" s="30"/>
      <c r="H19" s="30"/>
      <c r="I19" s="30"/>
      <c r="J19" s="30"/>
      <c r="K19" s="30"/>
      <c r="L19" s="30" t="s">
        <v>1906</v>
      </c>
      <c r="M19" s="30" t="s">
        <v>1905</v>
      </c>
      <c r="N19" s="30" t="s">
        <v>1905</v>
      </c>
      <c r="O19" s="30" t="s">
        <v>1905</v>
      </c>
      <c r="P19" s="31" t="n">
        <f aca="false">COUNTIF(C19:O19,"●")</f>
        <v>1</v>
      </c>
      <c r="Q19" s="31" t="n">
        <f aca="false">COUNTIF(C19:O19,"○")</f>
        <v>3</v>
      </c>
    </row>
    <row r="20" customFormat="false" ht="15" hidden="false" customHeight="true" outlineLevel="0" collapsed="false">
      <c r="A20" s="48" t="s">
        <v>1456</v>
      </c>
      <c r="B20" s="65" t="s">
        <v>1918</v>
      </c>
      <c r="C20" s="30"/>
      <c r="D20" s="30"/>
      <c r="E20" s="30"/>
      <c r="F20" s="30"/>
      <c r="G20" s="30" t="s">
        <v>1905</v>
      </c>
      <c r="H20" s="30"/>
      <c r="I20" s="30"/>
      <c r="J20" s="30"/>
      <c r="K20" s="30"/>
      <c r="L20" s="30"/>
      <c r="M20" s="30"/>
      <c r="N20" s="30" t="s">
        <v>1906</v>
      </c>
      <c r="O20" s="30"/>
      <c r="P20" s="31" t="n">
        <f aca="false">COUNTIF(C20:O20,"●")</f>
        <v>1</v>
      </c>
      <c r="Q20" s="31" t="n">
        <f aca="false">COUNTIF(C20:O20,"○")</f>
        <v>1</v>
      </c>
    </row>
    <row r="21" customFormat="false" ht="15" hidden="false" customHeight="true" outlineLevel="0" collapsed="false">
      <c r="A21" s="48" t="s">
        <v>1462</v>
      </c>
      <c r="B21" s="65" t="s">
        <v>1919</v>
      </c>
      <c r="C21" s="30"/>
      <c r="D21" s="30"/>
      <c r="E21" s="30"/>
      <c r="F21" s="30"/>
      <c r="G21" s="30"/>
      <c r="H21" s="30"/>
      <c r="I21" s="30" t="s">
        <v>1905</v>
      </c>
      <c r="J21" s="30"/>
      <c r="K21" s="30"/>
      <c r="L21" s="30"/>
      <c r="M21" s="30"/>
      <c r="N21" s="30" t="s">
        <v>1906</v>
      </c>
      <c r="O21" s="30"/>
      <c r="P21" s="31" t="n">
        <f aca="false">COUNTIF(C21:O21,"●")</f>
        <v>1</v>
      </c>
      <c r="Q21" s="31" t="n">
        <f aca="false">COUNTIF(C21:O21,"○")</f>
        <v>1</v>
      </c>
    </row>
    <row r="22" customFormat="false" ht="15" hidden="false" customHeight="true" outlineLevel="0" collapsed="false">
      <c r="A22" s="48" t="s">
        <v>1468</v>
      </c>
      <c r="B22" s="65" t="s">
        <v>1920</v>
      </c>
      <c r="C22" s="30" t="s">
        <v>1905</v>
      </c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 t="s">
        <v>1906</v>
      </c>
      <c r="O22" s="30"/>
      <c r="P22" s="31" t="n">
        <f aca="false">COUNTIF(C22:O22,"●")</f>
        <v>1</v>
      </c>
      <c r="Q22" s="31" t="n">
        <f aca="false">COUNTIF(C22:O22,"○")</f>
        <v>1</v>
      </c>
    </row>
    <row r="23" customFormat="false" ht="15" hidden="false" customHeight="true" outlineLevel="0" collapsed="false">
      <c r="A23" s="67"/>
      <c r="B23" s="45" t="s">
        <v>1921</v>
      </c>
      <c r="C23" s="51" t="n">
        <f aca="false">COUNTIF(C5:C22,"●")</f>
        <v>3</v>
      </c>
      <c r="D23" s="51" t="n">
        <f aca="false">COUNTIF(D5:D22,"●")</f>
        <v>1</v>
      </c>
      <c r="E23" s="51" t="n">
        <f aca="false">COUNTIF(E5:E22,"●")</f>
        <v>1</v>
      </c>
      <c r="F23" s="51" t="n">
        <f aca="false">COUNTIF(F5:F22,"●")</f>
        <v>0</v>
      </c>
      <c r="G23" s="51" t="n">
        <f aca="false">COUNTIF(G5:G22,"●")</f>
        <v>1</v>
      </c>
      <c r="H23" s="51" t="n">
        <f aca="false">COUNTIF(H5:H22,"●")</f>
        <v>2</v>
      </c>
      <c r="I23" s="51" t="n">
        <f aca="false">COUNTIF(I5:I22,"●")</f>
        <v>3</v>
      </c>
      <c r="J23" s="51" t="n">
        <f aca="false">COUNTIF(J5:J22,"●")</f>
        <v>0</v>
      </c>
      <c r="K23" s="51" t="n">
        <f aca="false">COUNTIF(K5:K22,"●")</f>
        <v>5</v>
      </c>
      <c r="L23" s="51" t="n">
        <f aca="false">COUNTIF(L5:L22,"●")</f>
        <v>3</v>
      </c>
      <c r="M23" s="51" t="n">
        <f aca="false">COUNTIF(M5:M22,"●")</f>
        <v>5</v>
      </c>
      <c r="N23" s="51" t="n">
        <f aca="false">COUNTIF(N5:N22,"●")</f>
        <v>7</v>
      </c>
      <c r="O23" s="51" t="n">
        <f aca="false">COUNTIF(O5:O22,"●")</f>
        <v>1</v>
      </c>
      <c r="P23" s="51" t="n">
        <f aca="false">SUM(P5:P22)</f>
        <v>32</v>
      </c>
      <c r="Q23" s="67"/>
    </row>
    <row r="24" customFormat="false" ht="15" hidden="false" customHeight="true" outlineLevel="0" collapsed="false">
      <c r="A24" s="67"/>
      <c r="B24" s="45" t="s">
        <v>1922</v>
      </c>
      <c r="C24" s="51" t="n">
        <f aca="false">COUNTIF(C5:C22,"○")</f>
        <v>1</v>
      </c>
      <c r="D24" s="51" t="n">
        <f aca="false">COUNTIF(D5:D22,"○")</f>
        <v>1</v>
      </c>
      <c r="E24" s="51" t="n">
        <f aca="false">COUNTIF(E5:E22,"○")</f>
        <v>3</v>
      </c>
      <c r="F24" s="51" t="n">
        <f aca="false">COUNTIF(F5:F22,"○")</f>
        <v>1</v>
      </c>
      <c r="G24" s="51" t="n">
        <f aca="false">COUNTIF(G5:G22,"○")</f>
        <v>2</v>
      </c>
      <c r="H24" s="51" t="n">
        <f aca="false">COUNTIF(H5:H22,"○")</f>
        <v>1</v>
      </c>
      <c r="I24" s="51" t="n">
        <f aca="false">COUNTIF(I5:I22,"○")</f>
        <v>3</v>
      </c>
      <c r="J24" s="51" t="n">
        <f aca="false">COUNTIF(J5:J22,"○")</f>
        <v>6</v>
      </c>
      <c r="K24" s="51" t="n">
        <f aca="false">COUNTIF(K5:K22,"○")</f>
        <v>0</v>
      </c>
      <c r="L24" s="51" t="n">
        <f aca="false">COUNTIF(L5:L22,"○")</f>
        <v>8</v>
      </c>
      <c r="M24" s="51" t="n">
        <f aca="false">COUNTIF(M5:M22,"○")</f>
        <v>6</v>
      </c>
      <c r="N24" s="51" t="n">
        <f aca="false">COUNTIF(N5:N22,"○")</f>
        <v>4</v>
      </c>
      <c r="O24" s="51" t="n">
        <f aca="false">COUNTIF(O5:O22,"○")</f>
        <v>7</v>
      </c>
      <c r="P24" s="67"/>
      <c r="Q24" s="51" t="n">
        <f aca="false">SUM(Q5:Q22)</f>
        <v>43</v>
      </c>
    </row>
    <row r="26" customFormat="false" ht="29.25" hidden="false" customHeight="true" outlineLevel="0" collapsed="false">
      <c r="A26" s="58" t="s">
        <v>1923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</row>
    <row r="27" customFormat="false" ht="16.5" hidden="false" customHeight="true" outlineLevel="0" collapsed="false">
      <c r="A27" s="58" t="s">
        <v>1924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</row>
  </sheetData>
  <mergeCells count="2">
    <mergeCell ref="A26:Q26"/>
    <mergeCell ref="A27:Q27"/>
  </mergeCells>
  <conditionalFormatting sqref="C5:O22">
    <cfRule type="cellIs" priority="2" operator="equal" aboveAverage="0" equalAverage="0" bottom="0" percent="0" rank="0" text="" dxfId="3">
      <formula>"●"</formula>
    </cfRule>
    <cfRule type="cellIs" priority="3" operator="equal" aboveAverage="0" equalAverage="0" bottom="0" percent="0" rank="0" text="" dxfId="4">
      <formula>"○"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G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6"/>
    <col collapsed="false" customWidth="true" hidden="false" outlineLevel="0" max="3" min="3" style="1" width="62"/>
    <col collapsed="false" customWidth="true" hidden="false" outlineLevel="0" max="4" min="4" style="1" width="34"/>
    <col collapsed="false" customWidth="true" hidden="false" outlineLevel="0" max="5" min="5" style="1" width="20"/>
    <col collapsed="false" customWidth="true" hidden="false" outlineLevel="0" max="6" min="6" style="1" width="38"/>
    <col collapsed="false" customWidth="true" hidden="false" outlineLevel="0" max="7" min="7" style="1" width="18"/>
  </cols>
  <sheetData>
    <row r="1" customFormat="false" ht="24" hidden="false" customHeight="true" outlineLevel="0" collapsed="false">
      <c r="A1" s="21" t="s">
        <v>1925</v>
      </c>
    </row>
    <row r="2" customFormat="false" ht="15" hidden="false" customHeight="true" outlineLevel="0" collapsed="false">
      <c r="A2" s="3" t="s">
        <v>1926</v>
      </c>
    </row>
    <row r="4" customFormat="false" ht="19.5" hidden="false" customHeight="true" outlineLevel="0" collapsed="false">
      <c r="A4" s="23" t="s">
        <v>1927</v>
      </c>
      <c r="B4" s="23" t="s">
        <v>1928</v>
      </c>
      <c r="C4" s="23" t="s">
        <v>403</v>
      </c>
      <c r="D4" s="23" t="s">
        <v>1929</v>
      </c>
      <c r="E4" s="23" t="s">
        <v>1930</v>
      </c>
      <c r="F4" s="23" t="s">
        <v>1673</v>
      </c>
      <c r="G4" s="23" t="s">
        <v>1931</v>
      </c>
    </row>
    <row r="5" customFormat="false" ht="61.5" hidden="false" customHeight="true" outlineLevel="0" collapsed="false">
      <c r="A5" s="6" t="s">
        <v>1932</v>
      </c>
      <c r="B5" s="9" t="s">
        <v>1933</v>
      </c>
      <c r="C5" s="9" t="s">
        <v>1934</v>
      </c>
      <c r="D5" s="9" t="s">
        <v>1935</v>
      </c>
      <c r="E5" s="8" t="s">
        <v>1936</v>
      </c>
      <c r="F5" s="8" t="s">
        <v>1937</v>
      </c>
      <c r="G5" s="9" t="s">
        <v>1938</v>
      </c>
    </row>
    <row r="6" customFormat="false" ht="46.5" hidden="false" customHeight="true" outlineLevel="0" collapsed="false">
      <c r="A6" s="6" t="s">
        <v>1932</v>
      </c>
      <c r="B6" s="9" t="s">
        <v>1939</v>
      </c>
      <c r="C6" s="9" t="s">
        <v>1940</v>
      </c>
      <c r="D6" s="9" t="s">
        <v>1941</v>
      </c>
      <c r="E6" s="8" t="s">
        <v>1942</v>
      </c>
      <c r="F6" s="8" t="s">
        <v>1943</v>
      </c>
      <c r="G6" s="9" t="s">
        <v>1938</v>
      </c>
    </row>
    <row r="7" customFormat="false" ht="46.5" hidden="false" customHeight="true" outlineLevel="0" collapsed="false">
      <c r="A7" s="6" t="s">
        <v>1932</v>
      </c>
      <c r="B7" s="9" t="s">
        <v>1944</v>
      </c>
      <c r="C7" s="9" t="s">
        <v>1945</v>
      </c>
      <c r="D7" s="27" t="s">
        <v>1946</v>
      </c>
      <c r="E7" s="8" t="s">
        <v>1947</v>
      </c>
      <c r="F7" s="8" t="s">
        <v>1948</v>
      </c>
      <c r="G7" s="9" t="s">
        <v>1938</v>
      </c>
    </row>
    <row r="8" customFormat="false" ht="46.5" hidden="false" customHeight="true" outlineLevel="0" collapsed="false">
      <c r="A8" s="6" t="s">
        <v>1932</v>
      </c>
      <c r="B8" s="9" t="s">
        <v>1949</v>
      </c>
      <c r="C8" s="9" t="s">
        <v>1950</v>
      </c>
      <c r="D8" s="9" t="s">
        <v>1951</v>
      </c>
      <c r="E8" s="8" t="s">
        <v>1947</v>
      </c>
      <c r="F8" s="8" t="s">
        <v>1952</v>
      </c>
      <c r="G8" s="9" t="s">
        <v>1938</v>
      </c>
    </row>
    <row r="9" customFormat="false" ht="46.5" hidden="false" customHeight="true" outlineLevel="0" collapsed="false">
      <c r="A9" s="6" t="s">
        <v>1932</v>
      </c>
      <c r="B9" s="9" t="s">
        <v>1953</v>
      </c>
      <c r="C9" s="9" t="s">
        <v>1954</v>
      </c>
      <c r="D9" s="9" t="s">
        <v>1955</v>
      </c>
      <c r="E9" s="8" t="s">
        <v>1956</v>
      </c>
      <c r="F9" s="8" t="s">
        <v>1957</v>
      </c>
      <c r="G9" s="9" t="s">
        <v>1938</v>
      </c>
    </row>
    <row r="10" customFormat="false" ht="46.5" hidden="false" customHeight="true" outlineLevel="0" collapsed="false">
      <c r="A10" s="6" t="s">
        <v>1932</v>
      </c>
      <c r="B10" s="9" t="s">
        <v>1958</v>
      </c>
      <c r="C10" s="9" t="s">
        <v>1959</v>
      </c>
      <c r="D10" s="9" t="s">
        <v>1960</v>
      </c>
      <c r="E10" s="8" t="s">
        <v>1961</v>
      </c>
      <c r="F10" s="8" t="s">
        <v>1962</v>
      </c>
      <c r="G10" s="9" t="s">
        <v>1938</v>
      </c>
    </row>
    <row r="11" customFormat="false" ht="46.5" hidden="false" customHeight="true" outlineLevel="0" collapsed="false">
      <c r="A11" s="6" t="s">
        <v>1932</v>
      </c>
      <c r="B11" s="9" t="s">
        <v>1963</v>
      </c>
      <c r="C11" s="9" t="s">
        <v>1964</v>
      </c>
      <c r="D11" s="9" t="s">
        <v>1965</v>
      </c>
      <c r="E11" s="8" t="s">
        <v>1966</v>
      </c>
      <c r="F11" s="8" t="s">
        <v>1967</v>
      </c>
      <c r="G11" s="9" t="s">
        <v>1938</v>
      </c>
    </row>
    <row r="12" customFormat="false" ht="46.5" hidden="false" customHeight="true" outlineLevel="0" collapsed="false">
      <c r="A12" s="6" t="s">
        <v>1932</v>
      </c>
      <c r="B12" s="9" t="s">
        <v>1968</v>
      </c>
      <c r="C12" s="27" t="s">
        <v>1969</v>
      </c>
      <c r="D12" s="9" t="s">
        <v>1970</v>
      </c>
      <c r="E12" s="8" t="s">
        <v>1971</v>
      </c>
      <c r="F12" s="8" t="s">
        <v>1972</v>
      </c>
      <c r="G12" s="9" t="s">
        <v>1938</v>
      </c>
    </row>
    <row r="13" customFormat="false" ht="46.5" hidden="false" customHeight="true" outlineLevel="0" collapsed="false">
      <c r="A13" s="6" t="s">
        <v>1932</v>
      </c>
      <c r="B13" s="9" t="s">
        <v>1973</v>
      </c>
      <c r="C13" s="9" t="s">
        <v>1974</v>
      </c>
      <c r="D13" s="27" t="s">
        <v>1975</v>
      </c>
      <c r="E13" s="8" t="s">
        <v>1976</v>
      </c>
      <c r="F13" s="8" t="s">
        <v>1977</v>
      </c>
      <c r="G13" s="9" t="s">
        <v>1938</v>
      </c>
    </row>
    <row r="14" customFormat="false" ht="46.5" hidden="false" customHeight="true" outlineLevel="0" collapsed="false">
      <c r="A14" s="6" t="s">
        <v>1932</v>
      </c>
      <c r="B14" s="9" t="s">
        <v>1978</v>
      </c>
      <c r="C14" s="9" t="s">
        <v>1979</v>
      </c>
      <c r="D14" s="9" t="s">
        <v>1980</v>
      </c>
      <c r="E14" s="8" t="s">
        <v>1981</v>
      </c>
      <c r="F14" s="8" t="s">
        <v>1982</v>
      </c>
      <c r="G14" s="9" t="s">
        <v>1938</v>
      </c>
    </row>
    <row r="15" customFormat="false" ht="46.5" hidden="false" customHeight="true" outlineLevel="0" collapsed="false">
      <c r="A15" s="6" t="s">
        <v>1932</v>
      </c>
      <c r="B15" s="9" t="s">
        <v>1347</v>
      </c>
      <c r="C15" s="9" t="s">
        <v>1983</v>
      </c>
      <c r="D15" s="9" t="s">
        <v>1984</v>
      </c>
      <c r="E15" s="8" t="s">
        <v>1985</v>
      </c>
      <c r="F15" s="8" t="s">
        <v>1986</v>
      </c>
      <c r="G15" s="9" t="s">
        <v>1938</v>
      </c>
    </row>
    <row r="16" customFormat="false" ht="46.5" hidden="false" customHeight="true" outlineLevel="0" collapsed="false">
      <c r="A16" s="6" t="s">
        <v>1932</v>
      </c>
      <c r="B16" s="9" t="s">
        <v>1357</v>
      </c>
      <c r="C16" s="9" t="s">
        <v>1987</v>
      </c>
      <c r="D16" s="9" t="s">
        <v>1988</v>
      </c>
      <c r="E16" s="8" t="s">
        <v>1989</v>
      </c>
      <c r="F16" s="8" t="s">
        <v>1990</v>
      </c>
      <c r="G16" s="9" t="s">
        <v>1938</v>
      </c>
    </row>
    <row r="17" customFormat="false" ht="46.5" hidden="false" customHeight="true" outlineLevel="0" collapsed="false">
      <c r="A17" s="6" t="s">
        <v>1932</v>
      </c>
      <c r="B17" s="9" t="s">
        <v>1991</v>
      </c>
      <c r="C17" s="27" t="s">
        <v>1992</v>
      </c>
      <c r="D17" s="27" t="s">
        <v>1993</v>
      </c>
      <c r="E17" s="8" t="s">
        <v>1994</v>
      </c>
      <c r="F17" s="8" t="s">
        <v>1995</v>
      </c>
      <c r="G17" s="9" t="s">
        <v>1996</v>
      </c>
    </row>
    <row r="18" customFormat="false" ht="46.5" hidden="false" customHeight="true" outlineLevel="0" collapsed="false">
      <c r="A18" s="6" t="s">
        <v>1932</v>
      </c>
      <c r="B18" s="9" t="s">
        <v>1997</v>
      </c>
      <c r="C18" s="9" t="s">
        <v>1998</v>
      </c>
      <c r="D18" s="9" t="s">
        <v>1999</v>
      </c>
      <c r="E18" s="8" t="s">
        <v>2000</v>
      </c>
      <c r="F18" s="8" t="s">
        <v>2001</v>
      </c>
      <c r="G18" s="9" t="s">
        <v>1938</v>
      </c>
    </row>
    <row r="19" customFormat="false" ht="46.5" hidden="false" customHeight="true" outlineLevel="0" collapsed="false">
      <c r="A19" s="6" t="s">
        <v>1932</v>
      </c>
      <c r="B19" s="9" t="s">
        <v>2002</v>
      </c>
      <c r="C19" s="9" t="s">
        <v>2003</v>
      </c>
      <c r="D19" s="9" t="s">
        <v>2004</v>
      </c>
      <c r="E19" s="8" t="s">
        <v>2005</v>
      </c>
      <c r="F19" s="8" t="s">
        <v>2006</v>
      </c>
      <c r="G19" s="9" t="s">
        <v>1938</v>
      </c>
    </row>
    <row r="20" customFormat="false" ht="46.5" hidden="false" customHeight="true" outlineLevel="0" collapsed="false">
      <c r="A20" s="6" t="s">
        <v>1932</v>
      </c>
      <c r="B20" s="9" t="s">
        <v>2007</v>
      </c>
      <c r="C20" s="9" t="s">
        <v>2008</v>
      </c>
      <c r="D20" s="27" t="s">
        <v>2009</v>
      </c>
      <c r="E20" s="8" t="s">
        <v>2010</v>
      </c>
      <c r="F20" s="8" t="s">
        <v>2011</v>
      </c>
      <c r="G20" s="9" t="s">
        <v>1938</v>
      </c>
    </row>
    <row r="21" customFormat="false" ht="46.5" hidden="false" customHeight="true" outlineLevel="0" collapsed="false">
      <c r="A21" s="6" t="s">
        <v>1932</v>
      </c>
      <c r="B21" s="9" t="s">
        <v>2012</v>
      </c>
      <c r="C21" s="9" t="s">
        <v>2013</v>
      </c>
      <c r="D21" s="9" t="s">
        <v>2014</v>
      </c>
      <c r="E21" s="8" t="s">
        <v>2015</v>
      </c>
      <c r="F21" s="8" t="s">
        <v>2016</v>
      </c>
      <c r="G21" s="9" t="s">
        <v>1938</v>
      </c>
    </row>
    <row r="22" customFormat="false" ht="46.5" hidden="false" customHeight="true" outlineLevel="0" collapsed="false">
      <c r="A22" s="6" t="s">
        <v>2017</v>
      </c>
      <c r="B22" s="9" t="s">
        <v>2018</v>
      </c>
      <c r="C22" s="9" t="s">
        <v>2019</v>
      </c>
      <c r="D22" s="9" t="s">
        <v>2020</v>
      </c>
      <c r="E22" s="8" t="s">
        <v>2021</v>
      </c>
      <c r="F22" s="8" t="s">
        <v>2022</v>
      </c>
      <c r="G22" s="9" t="s">
        <v>1938</v>
      </c>
    </row>
    <row r="23" customFormat="false" ht="46.5" hidden="false" customHeight="true" outlineLevel="0" collapsed="false">
      <c r="A23" s="6" t="s">
        <v>2017</v>
      </c>
      <c r="B23" s="9" t="s">
        <v>2023</v>
      </c>
      <c r="C23" s="9" t="s">
        <v>2024</v>
      </c>
      <c r="D23" s="9" t="s">
        <v>2025</v>
      </c>
      <c r="E23" s="8" t="s">
        <v>2026</v>
      </c>
      <c r="F23" s="8" t="s">
        <v>2027</v>
      </c>
      <c r="G23" s="9" t="s">
        <v>1938</v>
      </c>
    </row>
    <row r="24" customFormat="false" ht="46.5" hidden="false" customHeight="true" outlineLevel="0" collapsed="false">
      <c r="A24" s="6" t="s">
        <v>2017</v>
      </c>
      <c r="B24" s="9" t="s">
        <v>2028</v>
      </c>
      <c r="C24" s="9" t="s">
        <v>2029</v>
      </c>
      <c r="D24" s="9" t="s">
        <v>2030</v>
      </c>
      <c r="E24" s="8" t="s">
        <v>2031</v>
      </c>
      <c r="F24" s="8" t="s">
        <v>2032</v>
      </c>
      <c r="G24" s="9" t="s">
        <v>1938</v>
      </c>
    </row>
    <row r="25" customFormat="false" ht="46.5" hidden="false" customHeight="true" outlineLevel="0" collapsed="false">
      <c r="A25" s="6" t="s">
        <v>2017</v>
      </c>
      <c r="B25" s="9" t="s">
        <v>2033</v>
      </c>
      <c r="C25" s="9" t="s">
        <v>2034</v>
      </c>
      <c r="D25" s="9" t="s">
        <v>2033</v>
      </c>
      <c r="E25" s="8" t="s">
        <v>2035</v>
      </c>
      <c r="F25" s="8" t="s">
        <v>2036</v>
      </c>
      <c r="G25" s="9" t="s">
        <v>1938</v>
      </c>
    </row>
    <row r="26" customFormat="false" ht="46.5" hidden="false" customHeight="true" outlineLevel="0" collapsed="false">
      <c r="A26" s="6" t="s">
        <v>2017</v>
      </c>
      <c r="B26" s="9" t="s">
        <v>2037</v>
      </c>
      <c r="C26" s="9" t="s">
        <v>2038</v>
      </c>
      <c r="D26" s="9" t="s">
        <v>2039</v>
      </c>
      <c r="E26" s="8" t="s">
        <v>2040</v>
      </c>
      <c r="F26" s="8" t="s">
        <v>2041</v>
      </c>
      <c r="G26" s="9" t="s">
        <v>1938</v>
      </c>
    </row>
    <row r="27" customFormat="false" ht="46.5" hidden="false" customHeight="true" outlineLevel="0" collapsed="false">
      <c r="A27" s="6" t="s">
        <v>2017</v>
      </c>
      <c r="B27" s="9" t="s">
        <v>2042</v>
      </c>
      <c r="C27" s="9" t="s">
        <v>2043</v>
      </c>
      <c r="D27" s="9" t="s">
        <v>2044</v>
      </c>
      <c r="E27" s="8" t="s">
        <v>2045</v>
      </c>
      <c r="F27" s="8" t="s">
        <v>2046</v>
      </c>
      <c r="G27" s="9" t="s">
        <v>1938</v>
      </c>
    </row>
    <row r="28" customFormat="false" ht="46.5" hidden="false" customHeight="true" outlineLevel="0" collapsed="false">
      <c r="A28" s="6" t="s">
        <v>2017</v>
      </c>
      <c r="B28" s="9" t="s">
        <v>2047</v>
      </c>
      <c r="C28" s="9" t="s">
        <v>2048</v>
      </c>
      <c r="D28" s="9" t="s">
        <v>2049</v>
      </c>
      <c r="E28" s="8" t="s">
        <v>2021</v>
      </c>
      <c r="F28" s="8" t="s">
        <v>2050</v>
      </c>
      <c r="G28" s="9" t="s">
        <v>1938</v>
      </c>
    </row>
    <row r="29" customFormat="false" ht="46.5" hidden="false" customHeight="true" outlineLevel="0" collapsed="false">
      <c r="A29" s="6" t="s">
        <v>2017</v>
      </c>
      <c r="B29" s="9" t="s">
        <v>2051</v>
      </c>
      <c r="C29" s="9" t="s">
        <v>2052</v>
      </c>
      <c r="D29" s="9" t="s">
        <v>2053</v>
      </c>
      <c r="E29" s="8" t="s">
        <v>2054</v>
      </c>
      <c r="F29" s="8" t="s">
        <v>2055</v>
      </c>
      <c r="G29" s="9" t="s">
        <v>1938</v>
      </c>
    </row>
    <row r="30" customFormat="false" ht="46.5" hidden="false" customHeight="true" outlineLevel="0" collapsed="false">
      <c r="A30" s="6" t="s">
        <v>2056</v>
      </c>
      <c r="B30" s="9" t="s">
        <v>2057</v>
      </c>
      <c r="C30" s="9" t="s">
        <v>2058</v>
      </c>
      <c r="D30" s="9" t="s">
        <v>2059</v>
      </c>
      <c r="E30" s="8" t="s">
        <v>2060</v>
      </c>
      <c r="F30" s="8" t="s">
        <v>2061</v>
      </c>
      <c r="G30" s="9" t="s">
        <v>1938</v>
      </c>
    </row>
    <row r="31" customFormat="false" ht="46.5" hidden="false" customHeight="true" outlineLevel="0" collapsed="false">
      <c r="A31" s="6" t="s">
        <v>2056</v>
      </c>
      <c r="B31" s="9" t="s">
        <v>2062</v>
      </c>
      <c r="C31" s="9" t="s">
        <v>2063</v>
      </c>
      <c r="D31" s="9" t="s">
        <v>2064</v>
      </c>
      <c r="E31" s="8" t="s">
        <v>2065</v>
      </c>
      <c r="F31" s="8" t="s">
        <v>2066</v>
      </c>
      <c r="G31" s="9" t="s">
        <v>1938</v>
      </c>
    </row>
    <row r="32" customFormat="false" ht="46.5" hidden="false" customHeight="true" outlineLevel="0" collapsed="false">
      <c r="A32" s="6" t="s">
        <v>2056</v>
      </c>
      <c r="B32" s="9" t="s">
        <v>2067</v>
      </c>
      <c r="C32" s="9" t="s">
        <v>2068</v>
      </c>
      <c r="D32" s="9" t="s">
        <v>2069</v>
      </c>
      <c r="E32" s="8" t="s">
        <v>2070</v>
      </c>
      <c r="F32" s="8" t="s">
        <v>2071</v>
      </c>
      <c r="G32" s="9" t="s">
        <v>1938</v>
      </c>
    </row>
    <row r="33" customFormat="false" ht="46.5" hidden="false" customHeight="true" outlineLevel="0" collapsed="false">
      <c r="A33" s="6" t="s">
        <v>2056</v>
      </c>
      <c r="B33" s="9" t="s">
        <v>2072</v>
      </c>
      <c r="C33" s="9" t="s">
        <v>2073</v>
      </c>
      <c r="D33" s="9" t="s">
        <v>2074</v>
      </c>
      <c r="E33" s="8" t="s">
        <v>2060</v>
      </c>
      <c r="F33" s="8" t="s">
        <v>2075</v>
      </c>
      <c r="G33" s="9" t="s">
        <v>1938</v>
      </c>
    </row>
    <row r="34" customFormat="false" ht="61.5" hidden="false" customHeight="true" outlineLevel="0" collapsed="false">
      <c r="A34" s="6" t="s">
        <v>2056</v>
      </c>
      <c r="B34" s="9" t="s">
        <v>2076</v>
      </c>
      <c r="C34" s="9" t="s">
        <v>2077</v>
      </c>
      <c r="D34" s="9" t="s">
        <v>2078</v>
      </c>
      <c r="E34" s="8" t="s">
        <v>2079</v>
      </c>
      <c r="F34" s="8" t="s">
        <v>2080</v>
      </c>
      <c r="G34" s="9" t="s">
        <v>1938</v>
      </c>
    </row>
    <row r="35" customFormat="false" ht="46.5" hidden="false" customHeight="true" outlineLevel="0" collapsed="false">
      <c r="A35" s="6" t="s">
        <v>2056</v>
      </c>
      <c r="B35" s="9" t="s">
        <v>2081</v>
      </c>
      <c r="C35" s="9" t="s">
        <v>2082</v>
      </c>
      <c r="D35" s="9" t="s">
        <v>2083</v>
      </c>
      <c r="E35" s="8" t="s">
        <v>2084</v>
      </c>
      <c r="F35" s="8" t="s">
        <v>2085</v>
      </c>
      <c r="G35" s="9" t="s">
        <v>1938</v>
      </c>
    </row>
    <row r="36" customFormat="false" ht="46.5" hidden="false" customHeight="true" outlineLevel="0" collapsed="false">
      <c r="A36" s="6" t="s">
        <v>2056</v>
      </c>
      <c r="B36" s="9" t="s">
        <v>2086</v>
      </c>
      <c r="C36" s="9" t="s">
        <v>2087</v>
      </c>
      <c r="D36" s="9" t="s">
        <v>2088</v>
      </c>
      <c r="E36" s="8" t="s">
        <v>2089</v>
      </c>
      <c r="F36" s="8" t="s">
        <v>2090</v>
      </c>
      <c r="G36" s="9" t="s">
        <v>1938</v>
      </c>
    </row>
    <row r="37" customFormat="false" ht="46.5" hidden="false" customHeight="true" outlineLevel="0" collapsed="false">
      <c r="A37" s="6" t="s">
        <v>2056</v>
      </c>
      <c r="B37" s="9" t="s">
        <v>2091</v>
      </c>
      <c r="C37" s="9" t="s">
        <v>2092</v>
      </c>
      <c r="D37" s="9" t="s">
        <v>2093</v>
      </c>
      <c r="E37" s="8" t="s">
        <v>2094</v>
      </c>
      <c r="F37" s="8" t="s">
        <v>2095</v>
      </c>
      <c r="G37" s="9" t="s">
        <v>1938</v>
      </c>
    </row>
    <row r="38" customFormat="false" ht="61.5" hidden="false" customHeight="true" outlineLevel="0" collapsed="false">
      <c r="A38" s="6" t="s">
        <v>2056</v>
      </c>
      <c r="B38" s="9" t="s">
        <v>2096</v>
      </c>
      <c r="C38" s="27" t="s">
        <v>2097</v>
      </c>
      <c r="D38" s="27" t="s">
        <v>2098</v>
      </c>
      <c r="E38" s="8" t="s">
        <v>2040</v>
      </c>
      <c r="F38" s="8" t="s">
        <v>2099</v>
      </c>
      <c r="G38" s="9" t="s">
        <v>2100</v>
      </c>
    </row>
    <row r="39" customFormat="false" ht="46.5" hidden="false" customHeight="true" outlineLevel="0" collapsed="false">
      <c r="A39" s="6" t="s">
        <v>2101</v>
      </c>
      <c r="B39" s="9" t="s">
        <v>2102</v>
      </c>
      <c r="C39" s="9" t="s">
        <v>2103</v>
      </c>
      <c r="D39" s="9" t="s">
        <v>2104</v>
      </c>
      <c r="E39" s="8" t="s">
        <v>2105</v>
      </c>
      <c r="F39" s="8" t="s">
        <v>2106</v>
      </c>
      <c r="G39" s="9" t="s">
        <v>1938</v>
      </c>
    </row>
    <row r="40" customFormat="false" ht="46.5" hidden="false" customHeight="true" outlineLevel="0" collapsed="false">
      <c r="A40" s="6" t="s">
        <v>2101</v>
      </c>
      <c r="B40" s="9" t="s">
        <v>455</v>
      </c>
      <c r="C40" s="27" t="s">
        <v>2107</v>
      </c>
      <c r="D40" s="9" t="s">
        <v>2108</v>
      </c>
      <c r="E40" s="8" t="s">
        <v>2109</v>
      </c>
      <c r="F40" s="8" t="s">
        <v>2110</v>
      </c>
      <c r="G40" s="9" t="s">
        <v>1938</v>
      </c>
    </row>
    <row r="41" customFormat="false" ht="46.5" hidden="false" customHeight="true" outlineLevel="0" collapsed="false">
      <c r="A41" s="6" t="s">
        <v>2101</v>
      </c>
      <c r="B41" s="9" t="s">
        <v>2111</v>
      </c>
      <c r="C41" s="9" t="s">
        <v>2112</v>
      </c>
      <c r="D41" s="9" t="s">
        <v>2113</v>
      </c>
      <c r="E41" s="8" t="s">
        <v>2114</v>
      </c>
      <c r="F41" s="8" t="s">
        <v>2115</v>
      </c>
      <c r="G41" s="9" t="s">
        <v>1938</v>
      </c>
    </row>
    <row r="42" customFormat="false" ht="46.5" hidden="false" customHeight="true" outlineLevel="0" collapsed="false">
      <c r="A42" s="6" t="s">
        <v>2101</v>
      </c>
      <c r="B42" s="9" t="s">
        <v>2116</v>
      </c>
      <c r="C42" s="9" t="s">
        <v>2117</v>
      </c>
      <c r="D42" s="9" t="s">
        <v>2118</v>
      </c>
      <c r="E42" s="8" t="s">
        <v>2119</v>
      </c>
      <c r="F42" s="8" t="s">
        <v>2120</v>
      </c>
      <c r="G42" s="9" t="s">
        <v>1938</v>
      </c>
    </row>
    <row r="43" customFormat="false" ht="46.5" hidden="false" customHeight="true" outlineLevel="0" collapsed="false">
      <c r="A43" s="6" t="s">
        <v>2101</v>
      </c>
      <c r="B43" s="9" t="s">
        <v>2121</v>
      </c>
      <c r="C43" s="9" t="s">
        <v>2122</v>
      </c>
      <c r="D43" s="27" t="s">
        <v>2123</v>
      </c>
      <c r="E43" s="8" t="s">
        <v>2124</v>
      </c>
      <c r="F43" s="8" t="s">
        <v>2125</v>
      </c>
      <c r="G43" s="9" t="s">
        <v>1938</v>
      </c>
    </row>
    <row r="44" customFormat="false" ht="46.5" hidden="false" customHeight="true" outlineLevel="0" collapsed="false">
      <c r="A44" s="6" t="s">
        <v>2101</v>
      </c>
      <c r="B44" s="9" t="s">
        <v>2126</v>
      </c>
      <c r="C44" s="9" t="s">
        <v>2127</v>
      </c>
      <c r="D44" s="9" t="s">
        <v>2128</v>
      </c>
      <c r="E44" s="8" t="s">
        <v>2129</v>
      </c>
      <c r="F44" s="8" t="s">
        <v>2130</v>
      </c>
      <c r="G44" s="9" t="s">
        <v>1938</v>
      </c>
    </row>
    <row r="45" customFormat="false" ht="46.5" hidden="false" customHeight="true" outlineLevel="0" collapsed="false">
      <c r="A45" s="6" t="s">
        <v>2101</v>
      </c>
      <c r="B45" s="9" t="s">
        <v>2131</v>
      </c>
      <c r="C45" s="9" t="s">
        <v>2132</v>
      </c>
      <c r="D45" s="9" t="s">
        <v>2133</v>
      </c>
      <c r="E45" s="8" t="s">
        <v>2134</v>
      </c>
      <c r="F45" s="8" t="s">
        <v>2135</v>
      </c>
      <c r="G45" s="9" t="s">
        <v>1938</v>
      </c>
    </row>
    <row r="46" customFormat="false" ht="61.5" hidden="false" customHeight="true" outlineLevel="0" collapsed="false">
      <c r="A46" s="6" t="s">
        <v>2101</v>
      </c>
      <c r="B46" s="9" t="s">
        <v>2136</v>
      </c>
      <c r="C46" s="9" t="s">
        <v>2137</v>
      </c>
      <c r="D46" s="9" t="s">
        <v>2138</v>
      </c>
      <c r="E46" s="8" t="s">
        <v>2139</v>
      </c>
      <c r="F46" s="8" t="s">
        <v>2140</v>
      </c>
      <c r="G46" s="9" t="s">
        <v>1938</v>
      </c>
    </row>
    <row r="47" customFormat="false" ht="46.5" hidden="false" customHeight="true" outlineLevel="0" collapsed="false">
      <c r="A47" s="6" t="s">
        <v>2141</v>
      </c>
      <c r="B47" s="9" t="s">
        <v>2142</v>
      </c>
      <c r="C47" s="9" t="s">
        <v>2143</v>
      </c>
      <c r="D47" s="9" t="s">
        <v>2144</v>
      </c>
      <c r="E47" s="8" t="s">
        <v>2145</v>
      </c>
      <c r="F47" s="8" t="s">
        <v>2146</v>
      </c>
      <c r="G47" s="9" t="s">
        <v>1938</v>
      </c>
    </row>
    <row r="48" customFormat="false" ht="46.5" hidden="false" customHeight="true" outlineLevel="0" collapsed="false">
      <c r="A48" s="6" t="s">
        <v>2141</v>
      </c>
      <c r="B48" s="9" t="s">
        <v>2147</v>
      </c>
      <c r="C48" s="9" t="s">
        <v>2148</v>
      </c>
      <c r="D48" s="9" t="s">
        <v>2149</v>
      </c>
      <c r="E48" s="8" t="s">
        <v>2150</v>
      </c>
      <c r="F48" s="8" t="s">
        <v>2151</v>
      </c>
      <c r="G48" s="9" t="s">
        <v>1938</v>
      </c>
    </row>
    <row r="49" customFormat="false" ht="46.5" hidden="false" customHeight="true" outlineLevel="0" collapsed="false">
      <c r="A49" s="6" t="s">
        <v>2141</v>
      </c>
      <c r="B49" s="9" t="s">
        <v>2152</v>
      </c>
      <c r="C49" s="9" t="s">
        <v>2153</v>
      </c>
      <c r="D49" s="27" t="s">
        <v>2154</v>
      </c>
      <c r="E49" s="8" t="s">
        <v>2155</v>
      </c>
      <c r="F49" s="8" t="s">
        <v>2156</v>
      </c>
      <c r="G49" s="9" t="s">
        <v>1938</v>
      </c>
    </row>
    <row r="50" customFormat="false" ht="46.5" hidden="false" customHeight="true" outlineLevel="0" collapsed="false">
      <c r="A50" s="6" t="s">
        <v>2141</v>
      </c>
      <c r="B50" s="9" t="s">
        <v>2157</v>
      </c>
      <c r="C50" s="9" t="s">
        <v>2158</v>
      </c>
      <c r="D50" s="9" t="s">
        <v>2159</v>
      </c>
      <c r="E50" s="8" t="s">
        <v>2160</v>
      </c>
      <c r="F50" s="8" t="s">
        <v>2161</v>
      </c>
      <c r="G50" s="9" t="s">
        <v>1938</v>
      </c>
    </row>
    <row r="51" customFormat="false" ht="46.5" hidden="false" customHeight="true" outlineLevel="0" collapsed="false">
      <c r="A51" s="6" t="s">
        <v>2141</v>
      </c>
      <c r="B51" s="9" t="s">
        <v>2162</v>
      </c>
      <c r="C51" s="9" t="s">
        <v>2163</v>
      </c>
      <c r="D51" s="9" t="s">
        <v>2164</v>
      </c>
      <c r="E51" s="8" t="s">
        <v>2165</v>
      </c>
      <c r="F51" s="8" t="s">
        <v>2166</v>
      </c>
      <c r="G51" s="9" t="s">
        <v>1938</v>
      </c>
    </row>
    <row r="52" customFormat="false" ht="46.5" hidden="false" customHeight="true" outlineLevel="0" collapsed="false">
      <c r="A52" s="6" t="s">
        <v>2141</v>
      </c>
      <c r="B52" s="9" t="s">
        <v>2167</v>
      </c>
      <c r="C52" s="9" t="s">
        <v>2168</v>
      </c>
      <c r="D52" s="9" t="s">
        <v>2169</v>
      </c>
      <c r="E52" s="8" t="s">
        <v>2035</v>
      </c>
      <c r="F52" s="8" t="s">
        <v>2170</v>
      </c>
      <c r="G52" s="9" t="s">
        <v>1938</v>
      </c>
    </row>
    <row r="53" customFormat="false" ht="46.5" hidden="false" customHeight="true" outlineLevel="0" collapsed="false">
      <c r="A53" s="6" t="s">
        <v>1744</v>
      </c>
      <c r="B53" s="9" t="s">
        <v>2171</v>
      </c>
      <c r="C53" s="27" t="s">
        <v>2172</v>
      </c>
      <c r="D53" s="27" t="s">
        <v>2173</v>
      </c>
      <c r="E53" s="8" t="s">
        <v>2174</v>
      </c>
      <c r="F53" s="8" t="s">
        <v>2175</v>
      </c>
      <c r="G53" s="9" t="s">
        <v>1996</v>
      </c>
    </row>
    <row r="54" customFormat="false" ht="61.5" hidden="false" customHeight="true" outlineLevel="0" collapsed="false">
      <c r="A54" s="6" t="s">
        <v>1744</v>
      </c>
      <c r="B54" s="9" t="s">
        <v>2176</v>
      </c>
      <c r="C54" s="9" t="s">
        <v>2177</v>
      </c>
      <c r="D54" s="27" t="s">
        <v>2178</v>
      </c>
      <c r="E54" s="8" t="s">
        <v>2179</v>
      </c>
      <c r="F54" s="8" t="s">
        <v>2180</v>
      </c>
      <c r="G54" s="9" t="s">
        <v>2181</v>
      </c>
    </row>
    <row r="55" customFormat="false" ht="46.5" hidden="false" customHeight="true" outlineLevel="0" collapsed="false">
      <c r="A55" s="68" t="s">
        <v>1801</v>
      </c>
      <c r="B55" s="27" t="s">
        <v>2182</v>
      </c>
      <c r="C55" s="27" t="s">
        <v>2183</v>
      </c>
      <c r="D55" s="27" t="s">
        <v>2184</v>
      </c>
      <c r="E55" s="8" t="s">
        <v>2185</v>
      </c>
      <c r="F55" s="8" t="s">
        <v>2186</v>
      </c>
      <c r="G55" s="9" t="s">
        <v>1938</v>
      </c>
    </row>
    <row r="56" customFormat="false" ht="46.5" hidden="false" customHeight="true" outlineLevel="0" collapsed="false">
      <c r="A56" s="68" t="s">
        <v>1801</v>
      </c>
      <c r="B56" s="9" t="s">
        <v>2187</v>
      </c>
      <c r="C56" s="9" t="s">
        <v>2188</v>
      </c>
      <c r="D56" s="27" t="s">
        <v>2189</v>
      </c>
      <c r="E56" s="8" t="s">
        <v>2119</v>
      </c>
      <c r="F56" s="8" t="s">
        <v>2190</v>
      </c>
      <c r="G56" s="9" t="s">
        <v>1938</v>
      </c>
    </row>
    <row r="57" customFormat="false" ht="61.5" hidden="false" customHeight="true" outlineLevel="0" collapsed="false">
      <c r="A57" s="68" t="s">
        <v>1813</v>
      </c>
      <c r="B57" s="9" t="s">
        <v>2191</v>
      </c>
      <c r="C57" s="27" t="s">
        <v>2192</v>
      </c>
      <c r="D57" s="27" t="s">
        <v>2193</v>
      </c>
      <c r="E57" s="8" t="s">
        <v>2194</v>
      </c>
      <c r="F57" s="8" t="s">
        <v>2195</v>
      </c>
      <c r="G57" s="9" t="s">
        <v>2196</v>
      </c>
    </row>
    <row r="58" customFormat="false" ht="46.5" hidden="false" customHeight="true" outlineLevel="0" collapsed="false">
      <c r="A58" s="6" t="s">
        <v>2101</v>
      </c>
      <c r="B58" s="9" t="s">
        <v>2197</v>
      </c>
      <c r="C58" s="9" t="s">
        <v>2198</v>
      </c>
      <c r="D58" s="9" t="s">
        <v>2199</v>
      </c>
      <c r="E58" s="8" t="s">
        <v>2200</v>
      </c>
      <c r="F58" s="8" t="s">
        <v>2201</v>
      </c>
      <c r="G58" s="9" t="s">
        <v>1938</v>
      </c>
    </row>
    <row r="59" customFormat="false" ht="46.5" hidden="false" customHeight="true" outlineLevel="0" collapsed="false">
      <c r="A59" s="6" t="s">
        <v>1744</v>
      </c>
      <c r="B59" s="9" t="s">
        <v>1918</v>
      </c>
      <c r="C59" s="27" t="s">
        <v>2202</v>
      </c>
      <c r="D59" s="27" t="s">
        <v>2203</v>
      </c>
      <c r="E59" s="8" t="s">
        <v>2204</v>
      </c>
      <c r="F59" s="8" t="s">
        <v>2205</v>
      </c>
      <c r="G59" s="9" t="s">
        <v>1938</v>
      </c>
    </row>
    <row r="61" customFormat="false" ht="15" hidden="false" customHeight="true" outlineLevel="0" collapsed="false">
      <c r="A61" s="58" t="s">
        <v>2206</v>
      </c>
      <c r="B61" s="58"/>
      <c r="C61" s="58"/>
      <c r="D61" s="58"/>
      <c r="E61" s="58"/>
      <c r="F61" s="58"/>
      <c r="G61" s="58"/>
    </row>
  </sheetData>
  <mergeCells count="1">
    <mergeCell ref="A61:G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F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6"/>
    <col collapsed="false" customWidth="true" hidden="false" outlineLevel="0" max="3" min="3" style="1" width="46"/>
    <col collapsed="false" customWidth="true" hidden="false" outlineLevel="0" max="4" min="4" style="1" width="54"/>
    <col collapsed="false" customWidth="true" hidden="false" outlineLevel="0" max="5" min="5" style="1" width="26"/>
    <col collapsed="false" customWidth="true" hidden="false" outlineLevel="0" max="6" min="6" style="1" width="22"/>
  </cols>
  <sheetData>
    <row r="1" customFormat="false" ht="24" hidden="false" customHeight="true" outlineLevel="0" collapsed="false">
      <c r="A1" s="21" t="s">
        <v>2207</v>
      </c>
    </row>
    <row r="2" customFormat="false" ht="15" hidden="false" customHeight="true" outlineLevel="0" collapsed="false">
      <c r="A2" s="20" t="s">
        <v>2208</v>
      </c>
    </row>
    <row r="4" customFormat="false" ht="15" hidden="false" customHeight="false" outlineLevel="0" collapsed="false">
      <c r="A4" s="38" t="s">
        <v>2209</v>
      </c>
    </row>
    <row r="5" customFormat="false" ht="15" hidden="false" customHeight="false" outlineLevel="0" collapsed="false">
      <c r="A5" s="23" t="s">
        <v>2210</v>
      </c>
      <c r="B5" s="23" t="s">
        <v>2211</v>
      </c>
      <c r="C5" s="23" t="s">
        <v>2212</v>
      </c>
      <c r="D5" s="23" t="s">
        <v>1928</v>
      </c>
      <c r="E5" s="23" t="s">
        <v>1931</v>
      </c>
    </row>
    <row r="6" customFormat="false" ht="31.5" hidden="false" customHeight="true" outlineLevel="0" collapsed="false">
      <c r="A6" s="24" t="n">
        <v>1</v>
      </c>
      <c r="B6" s="24" t="s">
        <v>2213</v>
      </c>
      <c r="C6" s="26" t="s">
        <v>2214</v>
      </c>
      <c r="D6" s="26" t="s">
        <v>2215</v>
      </c>
      <c r="E6" s="26" t="s">
        <v>2216</v>
      </c>
    </row>
    <row r="7" customFormat="false" ht="31.5" hidden="false" customHeight="true" outlineLevel="0" collapsed="false">
      <c r="A7" s="24" t="n">
        <v>2</v>
      </c>
      <c r="B7" s="24" t="s">
        <v>2217</v>
      </c>
      <c r="C7" s="26" t="s">
        <v>2218</v>
      </c>
      <c r="D7" s="24" t="s">
        <v>2219</v>
      </c>
      <c r="E7" s="26" t="s">
        <v>2216</v>
      </c>
    </row>
    <row r="8" customFormat="false" ht="31.5" hidden="false" customHeight="true" outlineLevel="0" collapsed="false">
      <c r="A8" s="24" t="n">
        <v>3</v>
      </c>
      <c r="B8" s="24" t="s">
        <v>2220</v>
      </c>
      <c r="C8" s="26" t="s">
        <v>2221</v>
      </c>
      <c r="D8" s="24" t="s">
        <v>2222</v>
      </c>
      <c r="E8" s="26" t="s">
        <v>2223</v>
      </c>
    </row>
    <row r="9" customFormat="false" ht="31.5" hidden="false" customHeight="true" outlineLevel="0" collapsed="false">
      <c r="A9" s="24" t="n">
        <v>4</v>
      </c>
      <c r="B9" s="24" t="s">
        <v>2000</v>
      </c>
      <c r="C9" s="26" t="s">
        <v>2224</v>
      </c>
      <c r="D9" s="24" t="s">
        <v>2225</v>
      </c>
      <c r="E9" s="26" t="s">
        <v>2216</v>
      </c>
    </row>
    <row r="10" customFormat="false" ht="46.5" hidden="false" customHeight="true" outlineLevel="0" collapsed="false">
      <c r="A10" s="24" t="n">
        <v>5</v>
      </c>
      <c r="B10" s="24" t="s">
        <v>2226</v>
      </c>
      <c r="C10" s="24" t="s">
        <v>2227</v>
      </c>
      <c r="D10" s="26" t="s">
        <v>2228</v>
      </c>
      <c r="E10" s="26" t="s">
        <v>2216</v>
      </c>
    </row>
    <row r="11" customFormat="false" ht="31.5" hidden="false" customHeight="true" outlineLevel="0" collapsed="false">
      <c r="A11" s="24" t="n">
        <v>6</v>
      </c>
      <c r="B11" s="24" t="s">
        <v>2229</v>
      </c>
      <c r="C11" s="26" t="s">
        <v>2230</v>
      </c>
      <c r="D11" s="26" t="s">
        <v>2231</v>
      </c>
      <c r="E11" s="26" t="s">
        <v>2216</v>
      </c>
    </row>
    <row r="12" customFormat="false" ht="31.5" hidden="false" customHeight="true" outlineLevel="0" collapsed="false">
      <c r="A12" s="24" t="n">
        <v>7</v>
      </c>
      <c r="B12" s="24" t="s">
        <v>2232</v>
      </c>
      <c r="C12" s="26" t="s">
        <v>2233</v>
      </c>
      <c r="D12" s="26" t="s">
        <v>2234</v>
      </c>
      <c r="E12" s="26" t="s">
        <v>2216</v>
      </c>
    </row>
    <row r="13" customFormat="false" ht="31.5" hidden="false" customHeight="true" outlineLevel="0" collapsed="false">
      <c r="A13" s="24" t="n">
        <v>8</v>
      </c>
      <c r="B13" s="24" t="s">
        <v>2235</v>
      </c>
      <c r="C13" s="24" t="s">
        <v>2236</v>
      </c>
      <c r="D13" s="26" t="s">
        <v>2237</v>
      </c>
      <c r="E13" s="26" t="s">
        <v>2216</v>
      </c>
    </row>
    <row r="14" customFormat="false" ht="31.5" hidden="false" customHeight="true" outlineLevel="0" collapsed="false">
      <c r="A14" s="24" t="n">
        <v>9</v>
      </c>
      <c r="B14" s="24" t="s">
        <v>2238</v>
      </c>
      <c r="C14" s="26" t="s">
        <v>2239</v>
      </c>
      <c r="D14" s="26" t="s">
        <v>2240</v>
      </c>
      <c r="E14" s="26" t="s">
        <v>2216</v>
      </c>
    </row>
    <row r="15" customFormat="false" ht="15" hidden="false" customHeight="false" outlineLevel="0" collapsed="false">
      <c r="A15" s="24" t="n">
        <v>10</v>
      </c>
      <c r="B15" s="24" t="s">
        <v>1985</v>
      </c>
      <c r="C15" s="26" t="s">
        <v>2241</v>
      </c>
      <c r="D15" s="26" t="s">
        <v>2242</v>
      </c>
      <c r="E15" s="26" t="s">
        <v>2216</v>
      </c>
    </row>
    <row r="16" customFormat="false" ht="31.5" hidden="false" customHeight="true" outlineLevel="0" collapsed="false">
      <c r="A16" s="24" t="n">
        <v>11</v>
      </c>
      <c r="B16" s="24" t="s">
        <v>2243</v>
      </c>
      <c r="C16" s="26" t="s">
        <v>2244</v>
      </c>
      <c r="D16" s="26" t="s">
        <v>2245</v>
      </c>
      <c r="E16" s="26" t="s">
        <v>2216</v>
      </c>
    </row>
    <row r="17" customFormat="false" ht="31.5" hidden="false" customHeight="true" outlineLevel="0" collapsed="false">
      <c r="A17" s="24" t="n">
        <v>12</v>
      </c>
      <c r="B17" s="24" t="s">
        <v>1989</v>
      </c>
      <c r="C17" s="26" t="s">
        <v>2246</v>
      </c>
      <c r="D17" s="24" t="s">
        <v>2247</v>
      </c>
      <c r="E17" s="26" t="s">
        <v>2248</v>
      </c>
    </row>
    <row r="18" customFormat="false" ht="31.5" hidden="false" customHeight="true" outlineLevel="0" collapsed="false">
      <c r="A18" s="24" t="n">
        <v>13</v>
      </c>
      <c r="B18" s="24" t="s">
        <v>2249</v>
      </c>
      <c r="C18" s="26" t="s">
        <v>2250</v>
      </c>
      <c r="D18" s="26" t="s">
        <v>2251</v>
      </c>
      <c r="E18" s="24" t="s">
        <v>301</v>
      </c>
    </row>
    <row r="19" customFormat="false" ht="31.5" hidden="false" customHeight="true" outlineLevel="0" collapsed="false">
      <c r="A19" s="24" t="n">
        <v>14</v>
      </c>
      <c r="B19" s="24" t="s">
        <v>2252</v>
      </c>
      <c r="C19" s="26" t="s">
        <v>2253</v>
      </c>
      <c r="D19" s="26" t="s">
        <v>2254</v>
      </c>
      <c r="E19" s="26" t="s">
        <v>2216</v>
      </c>
    </row>
    <row r="20" customFormat="false" ht="15" hidden="false" customHeight="false" outlineLevel="0" collapsed="false">
      <c r="A20" s="24" t="n">
        <v>15</v>
      </c>
      <c r="B20" s="24" t="s">
        <v>2070</v>
      </c>
      <c r="C20" s="26" t="s">
        <v>2255</v>
      </c>
      <c r="D20" s="26" t="s">
        <v>2256</v>
      </c>
      <c r="E20" s="26" t="s">
        <v>2216</v>
      </c>
    </row>
    <row r="21" customFormat="false" ht="31.5" hidden="false" customHeight="true" outlineLevel="0" collapsed="false">
      <c r="A21" s="24" t="n">
        <v>16</v>
      </c>
      <c r="B21" s="24" t="s">
        <v>2257</v>
      </c>
      <c r="C21" s="26" t="s">
        <v>2258</v>
      </c>
      <c r="D21" s="26" t="s">
        <v>2259</v>
      </c>
      <c r="E21" s="26" t="s">
        <v>2216</v>
      </c>
    </row>
    <row r="22" customFormat="false" ht="31.5" hidden="false" customHeight="true" outlineLevel="0" collapsed="false">
      <c r="A22" s="24" t="n">
        <v>17</v>
      </c>
      <c r="B22" s="24" t="s">
        <v>2260</v>
      </c>
      <c r="C22" s="26" t="s">
        <v>2261</v>
      </c>
      <c r="D22" s="26" t="s">
        <v>2262</v>
      </c>
      <c r="E22" s="26" t="s">
        <v>2216</v>
      </c>
    </row>
    <row r="23" customFormat="false" ht="31.5" hidden="false" customHeight="true" outlineLevel="0" collapsed="false">
      <c r="A23" s="24" t="n">
        <v>18</v>
      </c>
      <c r="B23" s="24" t="s">
        <v>2035</v>
      </c>
      <c r="C23" s="26" t="s">
        <v>2263</v>
      </c>
      <c r="D23" s="26" t="s">
        <v>2264</v>
      </c>
      <c r="E23" s="26" t="s">
        <v>2216</v>
      </c>
    </row>
    <row r="24" customFormat="false" ht="31.5" hidden="false" customHeight="true" outlineLevel="0" collapsed="false">
      <c r="A24" s="24" t="n">
        <v>19</v>
      </c>
      <c r="B24" s="24" t="s">
        <v>2139</v>
      </c>
      <c r="C24" s="26" t="s">
        <v>2265</v>
      </c>
      <c r="D24" s="26" t="s">
        <v>2266</v>
      </c>
      <c r="E24" s="26" t="s">
        <v>2216</v>
      </c>
    </row>
    <row r="25" customFormat="false" ht="31.5" hidden="false" customHeight="true" outlineLevel="0" collapsed="false">
      <c r="A25" s="24" t="n">
        <v>20</v>
      </c>
      <c r="B25" s="24" t="s">
        <v>2040</v>
      </c>
      <c r="C25" s="26" t="s">
        <v>2267</v>
      </c>
      <c r="D25" s="26" t="s">
        <v>2268</v>
      </c>
      <c r="E25" s="26" t="s">
        <v>2216</v>
      </c>
    </row>
    <row r="26" customFormat="false" ht="15" hidden="false" customHeight="false" outlineLevel="0" collapsed="false">
      <c r="A26" s="24" t="n">
        <v>21</v>
      </c>
      <c r="B26" s="24" t="s">
        <v>2269</v>
      </c>
      <c r="C26" s="26" t="s">
        <v>2270</v>
      </c>
      <c r="D26" s="26" t="s">
        <v>2271</v>
      </c>
      <c r="E26" s="26" t="s">
        <v>2216</v>
      </c>
    </row>
    <row r="28" customFormat="false" ht="15" hidden="false" customHeight="false" outlineLevel="0" collapsed="false">
      <c r="A28" s="38" t="s">
        <v>2272</v>
      </c>
    </row>
    <row r="29" customFormat="false" ht="15" hidden="false" customHeight="false" outlineLevel="0" collapsed="false">
      <c r="A29" s="23" t="s">
        <v>89</v>
      </c>
      <c r="B29" s="23" t="s">
        <v>2273</v>
      </c>
      <c r="C29" s="23" t="s">
        <v>2274</v>
      </c>
      <c r="D29" s="23" t="s">
        <v>2275</v>
      </c>
    </row>
    <row r="30" customFormat="false" ht="31.5" hidden="false" customHeight="true" outlineLevel="0" collapsed="false">
      <c r="A30" s="11" t="s">
        <v>2276</v>
      </c>
      <c r="B30" s="8" t="s">
        <v>2277</v>
      </c>
      <c r="C30" s="9" t="s">
        <v>2278</v>
      </c>
      <c r="D30" s="9" t="s">
        <v>2279</v>
      </c>
    </row>
    <row r="31" customFormat="false" ht="31.5" hidden="false" customHeight="true" outlineLevel="0" collapsed="false">
      <c r="A31" s="11" t="s">
        <v>2280</v>
      </c>
      <c r="B31" s="8" t="s">
        <v>2281</v>
      </c>
      <c r="C31" s="9" t="s">
        <v>2282</v>
      </c>
      <c r="D31" s="9" t="s">
        <v>2283</v>
      </c>
    </row>
    <row r="32" customFormat="false" ht="15" hidden="false" customHeight="false" outlineLevel="0" collapsed="false">
      <c r="A32" s="11" t="s">
        <v>2284</v>
      </c>
      <c r="B32" s="8" t="s">
        <v>2285</v>
      </c>
      <c r="C32" s="9" t="s">
        <v>2286</v>
      </c>
      <c r="D32" s="9" t="s">
        <v>2287</v>
      </c>
    </row>
    <row r="33" customFormat="false" ht="31.5" hidden="false" customHeight="true" outlineLevel="0" collapsed="false">
      <c r="A33" s="11" t="s">
        <v>2288</v>
      </c>
      <c r="B33" s="8" t="s">
        <v>2289</v>
      </c>
      <c r="C33" s="9" t="s">
        <v>2290</v>
      </c>
      <c r="D33" s="9" t="s">
        <v>2291</v>
      </c>
    </row>
    <row r="34" customFormat="false" ht="15" hidden="false" customHeight="false" outlineLevel="0" collapsed="false">
      <c r="A34" s="11" t="s">
        <v>2292</v>
      </c>
      <c r="B34" s="8" t="s">
        <v>2293</v>
      </c>
      <c r="C34" s="9" t="s">
        <v>2294</v>
      </c>
      <c r="D34" s="9" t="s">
        <v>2295</v>
      </c>
    </row>
    <row r="35" customFormat="false" ht="31.5" hidden="false" customHeight="true" outlineLevel="0" collapsed="false">
      <c r="A35" s="11" t="s">
        <v>2296</v>
      </c>
      <c r="B35" s="8" t="s">
        <v>2297</v>
      </c>
      <c r="C35" s="9" t="s">
        <v>2298</v>
      </c>
      <c r="D35" s="9" t="s">
        <v>2299</v>
      </c>
    </row>
    <row r="37" customFormat="false" ht="15" hidden="false" customHeight="false" outlineLevel="0" collapsed="false">
      <c r="A37" s="38" t="s">
        <v>2300</v>
      </c>
    </row>
    <row r="38" customFormat="false" ht="31.5" hidden="false" customHeight="true" outlineLevel="0" collapsed="false">
      <c r="A38" s="23" t="s">
        <v>2301</v>
      </c>
      <c r="B38" s="69" t="s">
        <v>2302</v>
      </c>
      <c r="C38" s="23" t="s">
        <v>2303</v>
      </c>
      <c r="D38" s="69" t="s">
        <v>2304</v>
      </c>
      <c r="E38" s="23" t="s">
        <v>2305</v>
      </c>
      <c r="F38" s="23" t="s">
        <v>2306</v>
      </c>
    </row>
    <row r="39" customFormat="false" ht="15" hidden="false" customHeight="false" outlineLevel="0" collapsed="false">
      <c r="A39" s="48" t="s">
        <v>2307</v>
      </c>
      <c r="B39" s="70" t="n">
        <v>0.223</v>
      </c>
      <c r="C39" s="71" t="n">
        <f aca="false">RANK(B39,$B$39:$B$44)</f>
        <v>2</v>
      </c>
      <c r="D39" s="72" t="str">
        <f aca="false">IF(C39&lt;=2,"결선 진출","탈락")</f>
        <v>결선 진출</v>
      </c>
      <c r="E39" s="43" t="n">
        <v>1</v>
      </c>
      <c r="F39" s="43" t="n">
        <v>0</v>
      </c>
    </row>
    <row r="40" customFormat="false" ht="15" hidden="false" customHeight="false" outlineLevel="0" collapsed="false">
      <c r="A40" s="48" t="s">
        <v>2308</v>
      </c>
      <c r="B40" s="70" t="n">
        <v>0.241</v>
      </c>
      <c r="C40" s="71" t="n">
        <f aca="false">RANK(B40,$B$39:$B$44)</f>
        <v>1</v>
      </c>
      <c r="D40" s="72" t="str">
        <f aca="false">IF(C40&lt;=2,"결선 진출","탈락")</f>
        <v>결선 진출</v>
      </c>
      <c r="E40" s="43" t="n">
        <v>0</v>
      </c>
      <c r="F40" s="43" t="n">
        <v>0.97</v>
      </c>
    </row>
    <row r="41" customFormat="false" ht="15" hidden="false" customHeight="false" outlineLevel="0" collapsed="false">
      <c r="A41" s="48" t="s">
        <v>2309</v>
      </c>
      <c r="B41" s="70" t="n">
        <v>0.215</v>
      </c>
      <c r="C41" s="71" t="n">
        <f aca="false">RANK(B41,$B$39:$B$44)</f>
        <v>3</v>
      </c>
      <c r="D41" s="72" t="str">
        <f aca="false">IF(C41&lt;=2,"결선 진출","탈락")</f>
        <v>탈락</v>
      </c>
      <c r="E41" s="43" t="n">
        <v>0.3</v>
      </c>
      <c r="F41" s="43" t="n">
        <v>0.5</v>
      </c>
    </row>
    <row r="42" customFormat="false" ht="15" hidden="false" customHeight="false" outlineLevel="0" collapsed="false">
      <c r="A42" s="48" t="s">
        <v>2310</v>
      </c>
      <c r="B42" s="70" t="n">
        <v>0.152</v>
      </c>
      <c r="C42" s="71" t="n">
        <f aca="false">RANK(B42,$B$39:$B$44)</f>
        <v>4</v>
      </c>
      <c r="D42" s="72" t="str">
        <f aca="false">IF(C42&lt;=2,"결선 진출","탈락")</f>
        <v>탈락</v>
      </c>
      <c r="E42" s="43" t="n">
        <v>0.7</v>
      </c>
      <c r="F42" s="43" t="n">
        <v>0.1</v>
      </c>
    </row>
    <row r="43" customFormat="false" ht="15" hidden="false" customHeight="false" outlineLevel="0" collapsed="false">
      <c r="A43" s="48" t="s">
        <v>2311</v>
      </c>
      <c r="B43" s="70" t="n">
        <v>0.064</v>
      </c>
      <c r="C43" s="71" t="n">
        <f aca="false">RANK(B43,$B$39:$B$44)</f>
        <v>6</v>
      </c>
      <c r="D43" s="72" t="str">
        <f aca="false">IF(C43&lt;=2,"결선 진출","탈락")</f>
        <v>탈락</v>
      </c>
      <c r="E43" s="43" t="n">
        <v>0.7</v>
      </c>
      <c r="F43" s="43" t="n">
        <v>0.05</v>
      </c>
    </row>
    <row r="44" customFormat="false" ht="15" hidden="false" customHeight="false" outlineLevel="0" collapsed="false">
      <c r="A44" s="73" t="s">
        <v>2312</v>
      </c>
      <c r="B44" s="70" t="n">
        <v>0.105</v>
      </c>
      <c r="C44" s="71" t="n">
        <f aca="false">RANK(B44,$B$39:$B$44)</f>
        <v>5</v>
      </c>
      <c r="D44" s="72" t="str">
        <f aca="false">IF(C44&lt;=2,"결선 진출","탈락")</f>
        <v>탈락</v>
      </c>
      <c r="E44" s="43" t="n">
        <v>0.25</v>
      </c>
      <c r="F44" s="43" t="n">
        <v>0.45</v>
      </c>
    </row>
    <row r="45" customFormat="false" ht="15" hidden="false" customHeight="false" outlineLevel="0" collapsed="false">
      <c r="A45" s="74" t="s">
        <v>297</v>
      </c>
      <c r="B45" s="75" t="n">
        <f aca="false">SUM(B39:B44)</f>
        <v>1</v>
      </c>
      <c r="D45" s="72" t="str">
        <f aca="false">IF(ROUND(B45,4)=1,"100% OK","100%와 불일치")</f>
        <v>100% OK</v>
      </c>
    </row>
    <row r="46" customFormat="false" ht="15" hidden="false" customHeight="false" outlineLevel="0" collapsed="false">
      <c r="A46" s="71" t="s">
        <v>2313</v>
      </c>
      <c r="D46" s="72" t="str">
        <f aca="false">IF(MAX(B39:B44)&gt;0.5,"1차 당선","결선 필요")</f>
        <v>결선 필요</v>
      </c>
    </row>
    <row r="47" customFormat="false" ht="31.5" hidden="false" customHeight="true" outlineLevel="0" collapsed="false">
      <c r="A47" s="74" t="s">
        <v>2314</v>
      </c>
      <c r="E47" s="75" t="n">
        <f aca="false">SUMPRODUCT($B$39:$B$44,E39:E44)</f>
        <v>0.46495</v>
      </c>
      <c r="F47" s="75" t="n">
        <f aca="false">SUMPRODUCT($B$39:$B$44,F39:F44)</f>
        <v>0.40692</v>
      </c>
    </row>
    <row r="48" customFormat="false" ht="15" hidden="false" customHeight="false" outlineLevel="0" collapsed="false">
      <c r="A48" s="74" t="s">
        <v>2315</v>
      </c>
      <c r="E48" s="75" t="n">
        <f aca="false">E47/(E47+F47)</f>
        <v>0.533279043894159</v>
      </c>
      <c r="F48" s="75" t="n">
        <f aca="false">F47/(E47+F47)</f>
        <v>0.466720956105842</v>
      </c>
    </row>
    <row r="49" customFormat="false" ht="15" hidden="false" customHeight="false" outlineLevel="0" collapsed="false">
      <c r="A49" s="74" t="s">
        <v>2316</v>
      </c>
      <c r="E49" s="72" t="str">
        <f aca="false">IF(E48&gt;0.5,"Nicolas 당선","FS 후보 당선")</f>
        <v>Nicolas 당선</v>
      </c>
    </row>
    <row r="50" customFormat="false" ht="31.5" hidden="false" customHeight="true" outlineLevel="0" collapsed="false">
      <c r="A50" s="74" t="s">
        <v>2317</v>
      </c>
      <c r="E50" s="75" t="n">
        <f aca="false">1-E47-F47</f>
        <v>0.12813</v>
      </c>
    </row>
    <row r="51" customFormat="false" ht="31.5" hidden="false" customHeight="true" outlineLevel="0" collapsed="false">
      <c r="A51" s="58" t="s">
        <v>2318</v>
      </c>
      <c r="B51" s="58"/>
      <c r="C51" s="58"/>
      <c r="D51" s="58"/>
      <c r="E51" s="58"/>
      <c r="F51" s="58"/>
    </row>
    <row r="53" customFormat="false" ht="15" hidden="false" customHeight="false" outlineLevel="0" collapsed="false">
      <c r="A53" s="38" t="s">
        <v>2319</v>
      </c>
    </row>
    <row r="54" customFormat="false" ht="15" hidden="false" customHeight="false" outlineLevel="0" collapsed="false">
      <c r="A54" s="23" t="s">
        <v>2320</v>
      </c>
      <c r="B54" s="23" t="s">
        <v>2321</v>
      </c>
      <c r="C54" s="23" t="s">
        <v>2322</v>
      </c>
      <c r="D54" s="23"/>
      <c r="E54" s="23" t="s">
        <v>2323</v>
      </c>
    </row>
    <row r="55" customFormat="false" ht="15" hidden="false" customHeight="false" outlineLevel="0" collapsed="false">
      <c r="A55" s="48" t="s">
        <v>2276</v>
      </c>
      <c r="B55" s="30" t="n">
        <v>198</v>
      </c>
      <c r="C55" s="30" t="s">
        <v>301</v>
      </c>
    </row>
    <row r="56" customFormat="false" ht="15" hidden="false" customHeight="false" outlineLevel="0" collapsed="false">
      <c r="A56" s="48" t="s">
        <v>2280</v>
      </c>
      <c r="B56" s="30" t="n">
        <v>158</v>
      </c>
      <c r="C56" s="76" t="s">
        <v>2324</v>
      </c>
    </row>
    <row r="57" customFormat="false" ht="15" hidden="false" customHeight="false" outlineLevel="0" collapsed="false">
      <c r="A57" s="48" t="s">
        <v>2284</v>
      </c>
      <c r="B57" s="30" t="n">
        <v>96</v>
      </c>
      <c r="C57" s="76" t="s">
        <v>2324</v>
      </c>
    </row>
    <row r="58" customFormat="false" ht="15" hidden="false" customHeight="false" outlineLevel="0" collapsed="false">
      <c r="A58" s="48" t="s">
        <v>2288</v>
      </c>
      <c r="B58" s="30" t="n">
        <v>71</v>
      </c>
      <c r="C58" s="30" t="s">
        <v>301</v>
      </c>
    </row>
    <row r="59" customFormat="false" ht="15" hidden="false" customHeight="false" outlineLevel="0" collapsed="false">
      <c r="A59" s="48" t="s">
        <v>2292</v>
      </c>
      <c r="B59" s="30" t="n">
        <v>20</v>
      </c>
      <c r="C59" s="30" t="s">
        <v>301</v>
      </c>
    </row>
    <row r="60" customFormat="false" ht="15" hidden="false" customHeight="false" outlineLevel="0" collapsed="false">
      <c r="A60" s="48" t="s">
        <v>2296</v>
      </c>
      <c r="B60" s="30" t="n">
        <v>34</v>
      </c>
      <c r="C60" s="76" t="s">
        <v>2324</v>
      </c>
    </row>
    <row r="61" customFormat="false" ht="15" hidden="false" customHeight="false" outlineLevel="0" collapsed="false">
      <c r="A61" s="74" t="s">
        <v>2325</v>
      </c>
      <c r="B61" s="72" t="n">
        <f aca="false">SUM(B55:B60)</f>
        <v>577</v>
      </c>
      <c r="E61" s="72" t="str">
        <f aca="false">IF(B61=577,"577석 OK","577석과 불일치")</f>
        <v>577석 OK</v>
      </c>
    </row>
    <row r="62" customFormat="false" ht="15" hidden="false" customHeight="false" outlineLevel="0" collapsed="false">
      <c r="A62" s="74" t="s">
        <v>2326</v>
      </c>
      <c r="B62" s="72" t="n">
        <f aca="false">INT(B61/2)+1</f>
        <v>289</v>
      </c>
    </row>
    <row r="63" customFormat="false" ht="31.5" hidden="false" customHeight="true" outlineLevel="0" collapsed="false">
      <c r="A63" s="71" t="s">
        <v>2327</v>
      </c>
      <c r="B63" s="72" t="n">
        <f aca="false">MAX(B62-B55,0)</f>
        <v>91</v>
      </c>
    </row>
    <row r="64" customFormat="false" ht="15" hidden="false" customHeight="false" outlineLevel="0" collapsed="false">
      <c r="A64" s="74" t="s">
        <v>2328</v>
      </c>
      <c r="C64" s="72" t="n">
        <f aca="false">SUMIF(C55:C60,"찬성",$B$55:$B$60)</f>
        <v>288</v>
      </c>
    </row>
    <row r="65" customFormat="false" ht="31.5" hidden="false" customHeight="true" outlineLevel="0" collapsed="false">
      <c r="A65" s="74" t="s">
        <v>2329</v>
      </c>
      <c r="C65" s="72" t="str">
        <f aca="false">IF(C64&gt;=$B$62,"가결 — 정부 총사퇴","부결 — 정부 존속")</f>
        <v>부결 — 정부 존속</v>
      </c>
      <c r="E65" s="72" t="s">
        <v>2330</v>
      </c>
    </row>
    <row r="66" customFormat="false" ht="15" hidden="false" customHeight="false" outlineLevel="0" collapsed="false">
      <c r="A66" s="74" t="s">
        <v>2331</v>
      </c>
      <c r="C66" s="72" t="n">
        <f aca="false">MAX($B$62-C64,0)</f>
        <v>1</v>
      </c>
    </row>
    <row r="67" customFormat="false" ht="31.5" hidden="false" customHeight="true" outlineLevel="0" collapsed="false">
      <c r="A67" s="74" t="s">
        <v>2332</v>
      </c>
      <c r="C67" s="72" t="n">
        <f aca="false">ROUNDUP(B61/10,0)</f>
        <v>58</v>
      </c>
      <c r="E67" s="72" t="str">
        <f aca="false">IF(B56&gt;=C67,"UCN 단독 발의 가능","미달")</f>
        <v>UCN 단독 발의 가능</v>
      </c>
    </row>
    <row r="68" customFormat="false" ht="31.5" hidden="false" customHeight="true" outlineLevel="0" collapsed="false">
      <c r="A68" s="58" t="s">
        <v>2333</v>
      </c>
      <c r="B68" s="58"/>
      <c r="C68" s="58"/>
      <c r="D68" s="58"/>
      <c r="E68" s="58"/>
      <c r="F68" s="58"/>
    </row>
    <row r="70" customFormat="false" ht="15" hidden="false" customHeight="false" outlineLevel="0" collapsed="false">
      <c r="A70" s="38" t="s">
        <v>2334</v>
      </c>
    </row>
    <row r="71" customFormat="false" ht="15" hidden="false" customHeight="false" outlineLevel="0" collapsed="false">
      <c r="A71" s="23" t="s">
        <v>2320</v>
      </c>
      <c r="B71" s="23" t="s">
        <v>2321</v>
      </c>
      <c r="C71" s="23" t="s">
        <v>2322</v>
      </c>
      <c r="D71" s="23"/>
      <c r="E71" s="23" t="s">
        <v>2323</v>
      </c>
    </row>
    <row r="72" customFormat="false" ht="15" hidden="false" customHeight="false" outlineLevel="0" collapsed="false">
      <c r="A72" s="48" t="s">
        <v>2276</v>
      </c>
      <c r="B72" s="72" t="n">
        <f aca="false">B55</f>
        <v>198</v>
      </c>
      <c r="C72" s="30" t="s">
        <v>301</v>
      </c>
    </row>
    <row r="73" customFormat="false" ht="15" hidden="false" customHeight="false" outlineLevel="0" collapsed="false">
      <c r="A73" s="48" t="s">
        <v>2280</v>
      </c>
      <c r="B73" s="72" t="n">
        <f aca="false">B56</f>
        <v>158</v>
      </c>
      <c r="C73" s="76" t="s">
        <v>2324</v>
      </c>
    </row>
    <row r="74" customFormat="false" ht="15" hidden="false" customHeight="false" outlineLevel="0" collapsed="false">
      <c r="A74" s="48" t="s">
        <v>2284</v>
      </c>
      <c r="B74" s="72" t="n">
        <f aca="false">B57</f>
        <v>96</v>
      </c>
      <c r="C74" s="76" t="s">
        <v>2324</v>
      </c>
    </row>
    <row r="75" customFormat="false" ht="15" hidden="false" customHeight="false" outlineLevel="0" collapsed="false">
      <c r="A75" s="48" t="s">
        <v>2288</v>
      </c>
      <c r="B75" s="72" t="n">
        <f aca="false">B58</f>
        <v>71</v>
      </c>
      <c r="C75" s="30" t="s">
        <v>301</v>
      </c>
    </row>
    <row r="76" customFormat="false" ht="15" hidden="false" customHeight="false" outlineLevel="0" collapsed="false">
      <c r="A76" s="48" t="s">
        <v>2292</v>
      </c>
      <c r="B76" s="72" t="n">
        <f aca="false">B59</f>
        <v>20</v>
      </c>
      <c r="C76" s="30" t="s">
        <v>301</v>
      </c>
    </row>
    <row r="77" customFormat="false" ht="31.5" hidden="false" customHeight="true" outlineLevel="0" collapsed="false">
      <c r="A77" s="48" t="s">
        <v>2296</v>
      </c>
      <c r="B77" s="72" t="n">
        <f aca="false">B60</f>
        <v>34</v>
      </c>
      <c r="C77" s="76" t="s">
        <v>2335</v>
      </c>
      <c r="E77" s="26" t="s">
        <v>2336</v>
      </c>
    </row>
    <row r="78" customFormat="false" ht="15" hidden="false" customHeight="false" outlineLevel="0" collapsed="false">
      <c r="A78" s="74" t="s">
        <v>2325</v>
      </c>
      <c r="B78" s="72" t="n">
        <f aca="false">SUM(B72:B77)</f>
        <v>577</v>
      </c>
    </row>
    <row r="79" customFormat="false" ht="15" hidden="false" customHeight="false" outlineLevel="0" collapsed="false">
      <c r="A79" s="74" t="s">
        <v>2326</v>
      </c>
      <c r="B79" s="72" t="n">
        <f aca="false">INT(B78/2)+1</f>
        <v>289</v>
      </c>
    </row>
    <row r="80" customFormat="false" ht="15" hidden="false" customHeight="false" outlineLevel="0" collapsed="false">
      <c r="A80" s="74" t="s">
        <v>2328</v>
      </c>
      <c r="C80" s="72" t="n">
        <f aca="false">SUMIF(C72:C77,"찬성",$B$72:$B$77)</f>
        <v>254</v>
      </c>
    </row>
    <row r="81" customFormat="false" ht="15" hidden="false" customHeight="false" outlineLevel="0" collapsed="false">
      <c r="A81" s="74" t="s">
        <v>2329</v>
      </c>
      <c r="C81" s="72" t="str">
        <f aca="false">IF(C80&gt;=$B$79,"가결 — 정부 총사퇴","부결 — 법안 채택")</f>
        <v>부결 — 법안 채택</v>
      </c>
    </row>
    <row r="82" customFormat="false" ht="15" hidden="false" customHeight="false" outlineLevel="0" collapsed="false">
      <c r="A82" s="74" t="s">
        <v>2331</v>
      </c>
      <c r="C82" s="72" t="n">
        <f aca="false">MAX($B$79-C80,0)</f>
        <v>35</v>
      </c>
    </row>
    <row r="83" customFormat="false" ht="31.5" hidden="false" customHeight="true" outlineLevel="0" collapsed="false">
      <c r="A83" s="58" t="s">
        <v>2337</v>
      </c>
      <c r="B83" s="58"/>
      <c r="C83" s="58"/>
      <c r="D83" s="58"/>
      <c r="E83" s="58"/>
      <c r="F83" s="58"/>
    </row>
    <row r="85" customFormat="false" ht="15" hidden="false" customHeight="false" outlineLevel="0" collapsed="false">
      <c r="A85" s="38" t="s">
        <v>2338</v>
      </c>
    </row>
    <row r="86" customFormat="false" ht="31.5" hidden="false" customHeight="true" outlineLevel="0" collapsed="false">
      <c r="A86" s="37" t="s">
        <v>2339</v>
      </c>
      <c r="B86" s="37"/>
      <c r="C86" s="37"/>
      <c r="D86" s="37"/>
      <c r="E86" s="37"/>
      <c r="F86" s="37"/>
    </row>
  </sheetData>
  <mergeCells count="4">
    <mergeCell ref="A51:F51"/>
    <mergeCell ref="A68:F68"/>
    <mergeCell ref="A83:F83"/>
    <mergeCell ref="A86:F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26"/>
    <col collapsed="false" customWidth="true" hidden="false" outlineLevel="0" max="4" min="4" style="1" width="34"/>
    <col collapsed="false" customWidth="true" hidden="false" outlineLevel="0" max="5" min="5" style="1" width="52"/>
  </cols>
  <sheetData>
    <row r="1" customFormat="false" ht="24" hidden="false" customHeight="true" outlineLevel="0" collapsed="false">
      <c r="A1" s="21" t="s">
        <v>2340</v>
      </c>
    </row>
    <row r="2" customFormat="false" ht="15" hidden="false" customHeight="true" outlineLevel="0" collapsed="false">
      <c r="A2" s="20" t="s">
        <v>2341</v>
      </c>
    </row>
    <row r="4" customFormat="false" ht="19.5" hidden="false" customHeight="true" outlineLevel="0" collapsed="false">
      <c r="A4" s="23" t="s">
        <v>2342</v>
      </c>
      <c r="B4" s="22" t="s">
        <v>2343</v>
      </c>
      <c r="C4" s="22" t="s">
        <v>2344</v>
      </c>
      <c r="D4" s="22" t="s">
        <v>2345</v>
      </c>
      <c r="E4" s="23" t="s">
        <v>2323</v>
      </c>
    </row>
    <row r="5" customFormat="false" ht="31.5" hidden="false" customHeight="true" outlineLevel="0" collapsed="false">
      <c r="A5" s="6" t="s">
        <v>2346</v>
      </c>
      <c r="B5" s="8" t="s">
        <v>2347</v>
      </c>
      <c r="C5" s="8" t="s">
        <v>2348</v>
      </c>
      <c r="D5" s="8" t="s">
        <v>2347</v>
      </c>
      <c r="E5" s="8" t="s">
        <v>2349</v>
      </c>
    </row>
    <row r="6" customFormat="false" ht="16.5" hidden="false" customHeight="true" outlineLevel="0" collapsed="false">
      <c r="A6" s="6" t="s">
        <v>2350</v>
      </c>
      <c r="B6" s="8" t="s">
        <v>2347</v>
      </c>
      <c r="C6" s="8" t="s">
        <v>2351</v>
      </c>
      <c r="D6" s="8" t="s">
        <v>2347</v>
      </c>
      <c r="E6" s="8"/>
    </row>
    <row r="7" customFormat="false" ht="61.5" hidden="false" customHeight="true" outlineLevel="0" collapsed="false">
      <c r="A7" s="11" t="s">
        <v>2352</v>
      </c>
      <c r="B7" s="8" t="s">
        <v>2353</v>
      </c>
      <c r="C7" s="8" t="s">
        <v>2354</v>
      </c>
      <c r="D7" s="8" t="s">
        <v>2355</v>
      </c>
      <c r="E7" s="8" t="s">
        <v>2356</v>
      </c>
    </row>
    <row r="8" customFormat="false" ht="76.5" hidden="false" customHeight="true" outlineLevel="0" collapsed="false">
      <c r="A8" s="11" t="s">
        <v>2357</v>
      </c>
      <c r="B8" s="8" t="s">
        <v>2353</v>
      </c>
      <c r="C8" s="8" t="s">
        <v>2353</v>
      </c>
      <c r="D8" s="8" t="s">
        <v>2358</v>
      </c>
      <c r="E8" s="8" t="s">
        <v>2359</v>
      </c>
    </row>
    <row r="9" customFormat="false" ht="16.5" hidden="false" customHeight="true" outlineLevel="0" collapsed="false">
      <c r="A9" s="11" t="s">
        <v>2360</v>
      </c>
      <c r="B9" s="8" t="s">
        <v>2353</v>
      </c>
      <c r="C9" s="9" t="s">
        <v>2361</v>
      </c>
      <c r="D9" s="8" t="s">
        <v>2362</v>
      </c>
      <c r="E9" s="8"/>
    </row>
    <row r="10" customFormat="false" ht="31.5" hidden="false" customHeight="true" outlineLevel="0" collapsed="false">
      <c r="A10" s="11" t="s">
        <v>2363</v>
      </c>
      <c r="B10" s="8" t="s">
        <v>2364</v>
      </c>
      <c r="C10" s="9" t="s">
        <v>2361</v>
      </c>
      <c r="D10" s="8" t="s">
        <v>2347</v>
      </c>
      <c r="E10" s="9" t="s">
        <v>2365</v>
      </c>
    </row>
    <row r="11" customFormat="false" ht="46.5" hidden="false" customHeight="true" outlineLevel="0" collapsed="false">
      <c r="A11" s="11" t="s">
        <v>2366</v>
      </c>
      <c r="B11" s="8" t="s">
        <v>2367</v>
      </c>
      <c r="C11" s="9" t="s">
        <v>2368</v>
      </c>
      <c r="D11" s="9" t="s">
        <v>2368</v>
      </c>
      <c r="E11" s="9" t="s">
        <v>2369</v>
      </c>
    </row>
    <row r="12" customFormat="false" ht="16.5" hidden="false" customHeight="true" outlineLevel="0" collapsed="false">
      <c r="A12" s="11" t="s">
        <v>2370</v>
      </c>
      <c r="B12" s="8" t="s">
        <v>2353</v>
      </c>
      <c r="C12" s="8" t="s">
        <v>2353</v>
      </c>
      <c r="D12" s="9" t="s">
        <v>2371</v>
      </c>
      <c r="E12" s="8" t="s">
        <v>2372</v>
      </c>
    </row>
    <row r="13" customFormat="false" ht="16.5" hidden="false" customHeight="true" outlineLevel="0" collapsed="false">
      <c r="A13" s="11" t="s">
        <v>2373</v>
      </c>
      <c r="B13" s="8" t="s">
        <v>2374</v>
      </c>
      <c r="C13" s="8" t="s">
        <v>2375</v>
      </c>
      <c r="D13" s="9" t="s">
        <v>2376</v>
      </c>
      <c r="E13" s="8"/>
    </row>
    <row r="14" customFormat="false" ht="31.5" hidden="false" customHeight="true" outlineLevel="0" collapsed="false">
      <c r="A14" s="11" t="s">
        <v>2377</v>
      </c>
      <c r="B14" s="8" t="s">
        <v>2347</v>
      </c>
      <c r="C14" s="8" t="s">
        <v>2347</v>
      </c>
      <c r="D14" s="8" t="s">
        <v>2347</v>
      </c>
      <c r="E14" s="9" t="s">
        <v>2378</v>
      </c>
    </row>
    <row r="15" customFormat="false" ht="16.5" hidden="false" customHeight="true" outlineLevel="0" collapsed="false">
      <c r="A15" s="11" t="s">
        <v>2379</v>
      </c>
      <c r="B15" s="8" t="s">
        <v>2347</v>
      </c>
      <c r="C15" s="8" t="s">
        <v>2347</v>
      </c>
      <c r="D15" s="8" t="s">
        <v>2347</v>
      </c>
      <c r="E15" s="8" t="s">
        <v>2380</v>
      </c>
    </row>
    <row r="16" customFormat="false" ht="16.5" hidden="false" customHeight="true" outlineLevel="0" collapsed="false">
      <c r="A16" s="11" t="s">
        <v>2381</v>
      </c>
      <c r="B16" s="8" t="s">
        <v>2382</v>
      </c>
      <c r="C16" s="8" t="s">
        <v>2353</v>
      </c>
      <c r="D16" s="9" t="s">
        <v>2383</v>
      </c>
      <c r="E16" s="8"/>
    </row>
    <row r="17" customFormat="false" ht="46.5" hidden="false" customHeight="true" outlineLevel="0" collapsed="false">
      <c r="A17" s="6" t="s">
        <v>2384</v>
      </c>
      <c r="B17" s="8" t="s">
        <v>2385</v>
      </c>
      <c r="C17" s="8" t="s">
        <v>2385</v>
      </c>
      <c r="D17" s="8" t="s">
        <v>2385</v>
      </c>
      <c r="E17" s="9" t="s">
        <v>2386</v>
      </c>
    </row>
    <row r="18" customFormat="false" ht="29.25" hidden="false" customHeight="true" outlineLevel="0" collapsed="false">
      <c r="A18" s="6" t="s">
        <v>2387</v>
      </c>
      <c r="B18" s="8" t="s">
        <v>301</v>
      </c>
      <c r="C18" s="8" t="s">
        <v>301</v>
      </c>
      <c r="D18" s="8" t="s">
        <v>2388</v>
      </c>
      <c r="E18" s="8" t="s">
        <v>2389</v>
      </c>
    </row>
    <row r="19" customFormat="false" ht="46.5" hidden="false" customHeight="true" outlineLevel="0" collapsed="false">
      <c r="A19" s="6" t="s">
        <v>2390</v>
      </c>
      <c r="B19" s="8" t="s">
        <v>301</v>
      </c>
      <c r="C19" s="8" t="s">
        <v>301</v>
      </c>
      <c r="D19" s="8" t="s">
        <v>2391</v>
      </c>
      <c r="E19" s="9" t="s">
        <v>2392</v>
      </c>
    </row>
    <row r="20" customFormat="false" ht="31.5" hidden="false" customHeight="true" outlineLevel="0" collapsed="false">
      <c r="A20" s="6" t="s">
        <v>2393</v>
      </c>
      <c r="B20" s="8" t="s">
        <v>301</v>
      </c>
      <c r="C20" s="8" t="s">
        <v>301</v>
      </c>
      <c r="D20" s="8" t="s">
        <v>2394</v>
      </c>
      <c r="E20" s="9" t="s">
        <v>2395</v>
      </c>
    </row>
    <row r="21" customFormat="false" ht="46.5" hidden="false" customHeight="true" outlineLevel="0" collapsed="false">
      <c r="A21" s="6" t="s">
        <v>2396</v>
      </c>
      <c r="B21" s="8" t="s">
        <v>301</v>
      </c>
      <c r="C21" s="8" t="s">
        <v>301</v>
      </c>
      <c r="D21" s="8" t="s">
        <v>2397</v>
      </c>
      <c r="E21" s="9" t="s">
        <v>2398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6"/>
    <col collapsed="false" customWidth="true" hidden="false" outlineLevel="0" max="3" min="3" style="1" width="32"/>
    <col collapsed="false" customWidth="true" hidden="false" outlineLevel="0" max="4" min="4" style="1" width="34"/>
    <col collapsed="false" customWidth="true" hidden="false" outlineLevel="0" max="5" min="5" style="1" width="48"/>
  </cols>
  <sheetData>
    <row r="1" customFormat="false" ht="24" hidden="false" customHeight="true" outlineLevel="0" collapsed="false">
      <c r="A1" s="2" t="s">
        <v>2399</v>
      </c>
    </row>
    <row r="2" customFormat="false" ht="15" hidden="false" customHeight="true" outlineLevel="0" collapsed="false">
      <c r="A2" s="20" t="s">
        <v>2400</v>
      </c>
    </row>
    <row r="4" customFormat="false" ht="18" hidden="false" customHeight="true" outlineLevel="0" collapsed="false">
      <c r="A4" s="38" t="s">
        <v>2401</v>
      </c>
      <c r="B4" s="5"/>
      <c r="C4" s="5"/>
      <c r="D4" s="5"/>
      <c r="E4" s="5"/>
    </row>
    <row r="5" customFormat="false" ht="19.5" hidden="false" customHeight="true" outlineLevel="0" collapsed="false">
      <c r="A5" s="23" t="s">
        <v>2402</v>
      </c>
      <c r="B5" s="23" t="s">
        <v>2403</v>
      </c>
      <c r="C5" s="23" t="s">
        <v>2274</v>
      </c>
      <c r="D5" s="23" t="s">
        <v>2404</v>
      </c>
      <c r="E5" s="23" t="s">
        <v>2405</v>
      </c>
    </row>
    <row r="6" customFormat="false" ht="61.5" hidden="false" customHeight="true" outlineLevel="0" collapsed="false">
      <c r="A6" s="11" t="s">
        <v>2406</v>
      </c>
      <c r="B6" s="8" t="s">
        <v>2407</v>
      </c>
      <c r="C6" s="9" t="s">
        <v>2408</v>
      </c>
      <c r="D6" s="8" t="s">
        <v>2409</v>
      </c>
      <c r="E6" s="9" t="s">
        <v>2410</v>
      </c>
    </row>
    <row r="7" customFormat="false" ht="61.5" hidden="false" customHeight="true" outlineLevel="0" collapsed="false">
      <c r="A7" s="11" t="s">
        <v>2411</v>
      </c>
      <c r="B7" s="8" t="s">
        <v>2412</v>
      </c>
      <c r="C7" s="9" t="s">
        <v>2413</v>
      </c>
      <c r="D7" s="8" t="s">
        <v>2414</v>
      </c>
      <c r="E7" s="9" t="s">
        <v>2415</v>
      </c>
    </row>
    <row r="8" customFormat="false" ht="31.5" hidden="false" customHeight="true" outlineLevel="0" collapsed="false">
      <c r="A8" s="6" t="s">
        <v>2416</v>
      </c>
      <c r="B8" s="8" t="s">
        <v>2417</v>
      </c>
      <c r="C8" s="9" t="s">
        <v>2418</v>
      </c>
      <c r="D8" s="8" t="s">
        <v>2419</v>
      </c>
      <c r="E8" s="9" t="s">
        <v>2420</v>
      </c>
    </row>
    <row r="10" customFormat="false" ht="18" hidden="false" customHeight="true" outlineLevel="0" collapsed="false">
      <c r="A10" s="38" t="s">
        <v>2421</v>
      </c>
      <c r="B10" s="5"/>
      <c r="C10" s="5"/>
      <c r="D10" s="5"/>
      <c r="E10" s="5"/>
    </row>
    <row r="11" customFormat="false" ht="19.5" hidden="false" customHeight="true" outlineLevel="0" collapsed="false">
      <c r="A11" s="23" t="s">
        <v>2210</v>
      </c>
      <c r="B11" s="23" t="s">
        <v>2422</v>
      </c>
      <c r="C11" s="23" t="s">
        <v>401</v>
      </c>
      <c r="D11" s="23" t="s">
        <v>2423</v>
      </c>
      <c r="E11" s="23" t="s">
        <v>2424</v>
      </c>
    </row>
    <row r="12" customFormat="false" ht="16.5" hidden="false" customHeight="true" outlineLevel="0" collapsed="false">
      <c r="A12" s="11" t="s">
        <v>2425</v>
      </c>
      <c r="B12" s="8" t="s">
        <v>2426</v>
      </c>
      <c r="C12" s="9" t="s">
        <v>2427</v>
      </c>
      <c r="D12" s="9" t="s">
        <v>2428</v>
      </c>
      <c r="E12" s="9" t="s">
        <v>2429</v>
      </c>
    </row>
    <row r="13" customFormat="false" ht="31.5" hidden="false" customHeight="true" outlineLevel="0" collapsed="false">
      <c r="A13" s="11" t="s">
        <v>2430</v>
      </c>
      <c r="B13" s="8" t="s">
        <v>2431</v>
      </c>
      <c r="C13" s="9" t="s">
        <v>2432</v>
      </c>
      <c r="D13" s="9" t="s">
        <v>2433</v>
      </c>
      <c r="E13" s="8" t="s">
        <v>2434</v>
      </c>
    </row>
    <row r="14" customFormat="false" ht="16.5" hidden="false" customHeight="true" outlineLevel="0" collapsed="false">
      <c r="A14" s="11" t="s">
        <v>2435</v>
      </c>
      <c r="B14" s="8" t="s">
        <v>2436</v>
      </c>
      <c r="C14" s="9" t="s">
        <v>2437</v>
      </c>
      <c r="D14" s="9" t="s">
        <v>2438</v>
      </c>
      <c r="E14" s="8" t="s">
        <v>2439</v>
      </c>
    </row>
    <row r="16" customFormat="false" ht="18" hidden="false" customHeight="true" outlineLevel="0" collapsed="false">
      <c r="A16" s="38" t="s">
        <v>2440</v>
      </c>
      <c r="B16" s="5"/>
      <c r="C16" s="5"/>
      <c r="D16" s="5"/>
      <c r="E16" s="5"/>
    </row>
    <row r="17" customFormat="false" ht="19.5" hidden="false" customHeight="true" outlineLevel="0" collapsed="false">
      <c r="A17" s="23" t="s">
        <v>330</v>
      </c>
      <c r="B17" s="23" t="s">
        <v>2441</v>
      </c>
      <c r="C17" s="23" t="s">
        <v>401</v>
      </c>
      <c r="D17" s="23" t="s">
        <v>2442</v>
      </c>
      <c r="E17" s="23" t="s">
        <v>2323</v>
      </c>
    </row>
    <row r="18" customFormat="false" ht="31.5" hidden="false" customHeight="true" outlineLevel="0" collapsed="false">
      <c r="A18" s="11" t="s">
        <v>120</v>
      </c>
      <c r="B18" s="8" t="s">
        <v>2443</v>
      </c>
      <c r="C18" s="9" t="s">
        <v>2444</v>
      </c>
      <c r="D18" s="8" t="s">
        <v>301</v>
      </c>
      <c r="E18" s="8" t="s">
        <v>2445</v>
      </c>
    </row>
    <row r="19" customFormat="false" ht="31.5" hidden="false" customHeight="true" outlineLevel="0" collapsed="false">
      <c r="A19" s="11" t="s">
        <v>225</v>
      </c>
      <c r="B19" s="8" t="s">
        <v>2446</v>
      </c>
      <c r="C19" s="9" t="s">
        <v>2447</v>
      </c>
      <c r="D19" s="9" t="s">
        <v>2448</v>
      </c>
      <c r="E19" s="9" t="s">
        <v>2449</v>
      </c>
    </row>
    <row r="20" customFormat="false" ht="31.5" hidden="false" customHeight="true" outlineLevel="0" collapsed="false">
      <c r="A20" s="11" t="s">
        <v>190</v>
      </c>
      <c r="B20" s="8" t="s">
        <v>2450</v>
      </c>
      <c r="C20" s="9" t="s">
        <v>2451</v>
      </c>
      <c r="D20" s="8" t="s">
        <v>2452</v>
      </c>
      <c r="E20" s="8"/>
    </row>
    <row r="21" customFormat="false" ht="31.5" hidden="false" customHeight="true" outlineLevel="0" collapsed="false">
      <c r="A21" s="11" t="s">
        <v>213</v>
      </c>
      <c r="B21" s="8" t="s">
        <v>2453</v>
      </c>
      <c r="C21" s="9" t="s">
        <v>2454</v>
      </c>
      <c r="D21" s="9" t="s">
        <v>2455</v>
      </c>
      <c r="E21" s="9" t="s">
        <v>2456</v>
      </c>
    </row>
    <row r="23" customFormat="false" ht="18" hidden="false" customHeight="true" outlineLevel="0" collapsed="false">
      <c r="A23" s="38" t="s">
        <v>2457</v>
      </c>
      <c r="B23" s="5"/>
      <c r="C23" s="5"/>
      <c r="D23" s="5"/>
      <c r="E23" s="5"/>
    </row>
    <row r="24" customFormat="false" ht="19.5" hidden="false" customHeight="true" outlineLevel="0" collapsed="false">
      <c r="A24" s="23" t="s">
        <v>330</v>
      </c>
      <c r="B24" s="23" t="s">
        <v>2458</v>
      </c>
      <c r="C24" s="23" t="s">
        <v>2459</v>
      </c>
      <c r="D24" s="23" t="s">
        <v>2460</v>
      </c>
      <c r="E24" s="23" t="s">
        <v>2323</v>
      </c>
    </row>
    <row r="25" customFormat="false" ht="31.5" hidden="false" customHeight="true" outlineLevel="0" collapsed="false">
      <c r="A25" s="11" t="s">
        <v>155</v>
      </c>
      <c r="B25" s="8" t="s">
        <v>2461</v>
      </c>
      <c r="C25" s="9" t="s">
        <v>2462</v>
      </c>
      <c r="D25" s="8" t="s">
        <v>2463</v>
      </c>
      <c r="E25" s="8" t="s">
        <v>2464</v>
      </c>
    </row>
    <row r="26" customFormat="false" ht="31.5" hidden="false" customHeight="true" outlineLevel="0" collapsed="false">
      <c r="A26" s="11" t="s">
        <v>190</v>
      </c>
      <c r="B26" s="8" t="s">
        <v>2465</v>
      </c>
      <c r="C26" s="9" t="s">
        <v>2466</v>
      </c>
      <c r="D26" s="8" t="s">
        <v>2467</v>
      </c>
      <c r="E26" s="8" t="s">
        <v>2468</v>
      </c>
    </row>
    <row r="27" customFormat="false" ht="16.5" hidden="false" customHeight="true" outlineLevel="0" collapsed="false">
      <c r="A27" s="11" t="s">
        <v>236</v>
      </c>
      <c r="B27" s="8" t="s">
        <v>2469</v>
      </c>
      <c r="C27" s="9" t="s">
        <v>2470</v>
      </c>
      <c r="D27" s="8" t="s">
        <v>2471</v>
      </c>
      <c r="E27" s="8" t="s">
        <v>2472</v>
      </c>
    </row>
    <row r="28" customFormat="false" ht="16.5" hidden="false" customHeight="true" outlineLevel="0" collapsed="false">
      <c r="A28" s="11" t="s">
        <v>225</v>
      </c>
      <c r="B28" s="8" t="s">
        <v>2473</v>
      </c>
      <c r="C28" s="9" t="s">
        <v>2474</v>
      </c>
      <c r="D28" s="8" t="s">
        <v>2467</v>
      </c>
      <c r="E28" s="8"/>
    </row>
    <row r="29" customFormat="false" ht="16.5" hidden="false" customHeight="true" outlineLevel="0" collapsed="false">
      <c r="A29" s="11" t="s">
        <v>213</v>
      </c>
      <c r="B29" s="9" t="s">
        <v>2475</v>
      </c>
      <c r="C29" s="9" t="s">
        <v>2476</v>
      </c>
      <c r="D29" s="8" t="s">
        <v>301</v>
      </c>
      <c r="E29" s="8" t="s">
        <v>2477</v>
      </c>
    </row>
    <row r="31" customFormat="false" ht="18" hidden="false" customHeight="true" outlineLevel="0" collapsed="false">
      <c r="A31" s="38" t="s">
        <v>2478</v>
      </c>
      <c r="B31" s="5"/>
      <c r="C31" s="5"/>
      <c r="D31" s="5"/>
      <c r="E31" s="5"/>
    </row>
    <row r="32" customFormat="false" ht="31.5" hidden="false" customHeight="true" outlineLevel="0" collapsed="false">
      <c r="A32" s="37" t="s">
        <v>2479</v>
      </c>
      <c r="B32" s="37"/>
      <c r="C32" s="37"/>
      <c r="D32" s="37"/>
      <c r="E32" s="37"/>
    </row>
    <row r="33" customFormat="false" ht="31.5" hidden="false" customHeight="true" outlineLevel="0" collapsed="false">
      <c r="A33" s="37" t="s">
        <v>2480</v>
      </c>
      <c r="B33" s="37"/>
      <c r="C33" s="37"/>
      <c r="D33" s="37"/>
      <c r="E33" s="37"/>
    </row>
    <row r="34" customFormat="false" ht="31.5" hidden="false" customHeight="true" outlineLevel="0" collapsed="false">
      <c r="A34" s="37" t="s">
        <v>2481</v>
      </c>
      <c r="B34" s="37"/>
      <c r="C34" s="37"/>
      <c r="D34" s="37"/>
      <c r="E34" s="37"/>
    </row>
    <row r="35" customFormat="false" ht="16.5" hidden="false" customHeight="true" outlineLevel="0" collapsed="false">
      <c r="A35" s="37" t="s">
        <v>2482</v>
      </c>
      <c r="B35" s="37"/>
      <c r="C35" s="37"/>
      <c r="D35" s="37"/>
      <c r="E35" s="37"/>
    </row>
  </sheetData>
  <mergeCells count="4">
    <mergeCell ref="A32:E32"/>
    <mergeCell ref="A33:E33"/>
    <mergeCell ref="A34:E34"/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6"/>
    <col collapsed="false" customWidth="true" hidden="false" outlineLevel="0" max="3" min="3" style="1" width="38"/>
    <col collapsed="false" customWidth="true" hidden="false" outlineLevel="0" max="4" min="4" style="1" width="40"/>
    <col collapsed="false" customWidth="true" hidden="false" outlineLevel="0" max="5" min="5" style="1" width="34"/>
  </cols>
  <sheetData>
    <row r="1" customFormat="false" ht="24" hidden="false" customHeight="true" outlineLevel="0" collapsed="false">
      <c r="A1" s="2" t="s">
        <v>2483</v>
      </c>
    </row>
    <row r="2" customFormat="false" ht="15" hidden="false" customHeight="true" outlineLevel="0" collapsed="false">
      <c r="A2" s="3" t="s">
        <v>2484</v>
      </c>
    </row>
    <row r="4" customFormat="false" ht="18" hidden="false" customHeight="true" outlineLevel="0" collapsed="false">
      <c r="A4" s="38" t="s">
        <v>323</v>
      </c>
      <c r="B4" s="5"/>
      <c r="C4" s="5"/>
      <c r="D4" s="5"/>
      <c r="E4" s="5"/>
    </row>
    <row r="5" customFormat="false" ht="19.5" hidden="false" customHeight="true" outlineLevel="0" collapsed="false">
      <c r="A5" s="23" t="s">
        <v>1884</v>
      </c>
      <c r="B5" s="23" t="s">
        <v>2485</v>
      </c>
      <c r="C5" s="23"/>
      <c r="D5" s="23"/>
      <c r="E5" s="23"/>
    </row>
    <row r="6" customFormat="false" ht="29.25" hidden="false" customHeight="true" outlineLevel="0" collapsed="false">
      <c r="A6" s="6" t="s">
        <v>2486</v>
      </c>
      <c r="B6" s="8" t="str">
        <f aca="false">"1부 "&amp;INDEX(캐릭터!$E$5:$E$19,MATCH("Napoléon",캐릭터!$D$5:$D$19,0))&amp;"세 → 11부 약 "&amp;INDEX(캐릭터!$F$5:$F$19,MATCH("Napoléon",캐릭터!$D$5:$D$19,0))&amp;"세 (부활 후 외형 나이, 경과 연수 가정 "&amp;개요!$C$11&amp;"년)"</f>
        <v>1부 51세 → 11부 약 57세 (부활 후 외형 나이, 경과 연수 가정 6년)</v>
      </c>
      <c r="C6" s="8"/>
      <c r="D6" s="8"/>
      <c r="E6" s="8"/>
    </row>
    <row r="7" customFormat="false" ht="31.5" hidden="false" customHeight="true" outlineLevel="0" collapsed="false">
      <c r="A7" s="6" t="s">
        <v>2274</v>
      </c>
      <c r="B7" s="9" t="s">
        <v>2487</v>
      </c>
      <c r="C7" s="9"/>
      <c r="D7" s="9"/>
      <c r="E7" s="9"/>
    </row>
    <row r="8" customFormat="false" ht="31.5" hidden="false" customHeight="true" outlineLevel="0" collapsed="false">
      <c r="A8" s="6" t="s">
        <v>2488</v>
      </c>
      <c r="B8" s="9" t="s">
        <v>2489</v>
      </c>
      <c r="C8" s="9"/>
      <c r="D8" s="9"/>
      <c r="E8" s="9"/>
    </row>
    <row r="9" customFormat="false" ht="31.5" hidden="false" customHeight="true" outlineLevel="0" collapsed="false">
      <c r="A9" s="6" t="s">
        <v>2490</v>
      </c>
      <c r="B9" s="9" t="s">
        <v>2491</v>
      </c>
      <c r="C9" s="9"/>
      <c r="D9" s="9"/>
      <c r="E9" s="9"/>
    </row>
    <row r="10" customFormat="false" ht="16.5" hidden="false" customHeight="true" outlineLevel="0" collapsed="false">
      <c r="A10" s="6" t="s">
        <v>2492</v>
      </c>
      <c r="B10" s="9" t="s">
        <v>2493</v>
      </c>
      <c r="C10" s="9"/>
      <c r="D10" s="9"/>
      <c r="E10" s="9"/>
    </row>
    <row r="11" customFormat="false" ht="16.5" hidden="false" customHeight="true" outlineLevel="0" collapsed="false">
      <c r="A11" s="6" t="s">
        <v>2494</v>
      </c>
      <c r="B11" s="9" t="s">
        <v>2495</v>
      </c>
      <c r="C11" s="9"/>
      <c r="D11" s="9"/>
      <c r="E11" s="9"/>
    </row>
    <row r="12" customFormat="false" ht="31.5" hidden="false" customHeight="true" outlineLevel="0" collapsed="false">
      <c r="A12" s="11" t="s">
        <v>2496</v>
      </c>
      <c r="B12" s="9" t="s">
        <v>2497</v>
      </c>
      <c r="C12" s="9"/>
      <c r="D12" s="9"/>
      <c r="E12" s="9"/>
    </row>
    <row r="13" customFormat="false" ht="16.5" hidden="false" customHeight="true" outlineLevel="0" collapsed="false">
      <c r="A13" s="6" t="s">
        <v>2498</v>
      </c>
      <c r="B13" s="8" t="s">
        <v>2499</v>
      </c>
      <c r="C13" s="8"/>
      <c r="D13" s="8"/>
      <c r="E13" s="8"/>
    </row>
    <row r="14" customFormat="false" ht="16.5" hidden="false" customHeight="true" outlineLevel="0" collapsed="false">
      <c r="A14" s="6" t="s">
        <v>2500</v>
      </c>
      <c r="B14" s="9" t="s">
        <v>2501</v>
      </c>
      <c r="C14" s="9"/>
      <c r="D14" s="9"/>
      <c r="E14" s="9"/>
    </row>
    <row r="15" customFormat="false" ht="31.5" hidden="false" customHeight="true" outlineLevel="0" collapsed="false">
      <c r="A15" s="6" t="s">
        <v>2502</v>
      </c>
      <c r="B15" s="8" t="s">
        <v>2503</v>
      </c>
      <c r="C15" s="8"/>
      <c r="D15" s="8"/>
      <c r="E15" s="8"/>
    </row>
    <row r="17" customFormat="false" ht="18" hidden="false" customHeight="true" outlineLevel="0" collapsed="false">
      <c r="A17" s="38" t="s">
        <v>2504</v>
      </c>
      <c r="B17" s="5"/>
      <c r="C17" s="5"/>
      <c r="D17" s="5"/>
      <c r="E17" s="5"/>
    </row>
    <row r="18" customFormat="false" ht="19.5" hidden="false" customHeight="true" outlineLevel="0" collapsed="false">
      <c r="A18" s="23" t="s">
        <v>2211</v>
      </c>
      <c r="B18" s="23" t="s">
        <v>1581</v>
      </c>
      <c r="C18" s="23" t="s">
        <v>2505</v>
      </c>
      <c r="D18" s="23" t="s">
        <v>2506</v>
      </c>
      <c r="E18" s="23" t="s">
        <v>2507</v>
      </c>
    </row>
    <row r="19" customFormat="false" ht="46.5" hidden="false" customHeight="true" outlineLevel="0" collapsed="false">
      <c r="A19" s="11" t="s">
        <v>2508</v>
      </c>
      <c r="B19" s="8" t="s">
        <v>2509</v>
      </c>
      <c r="C19" s="9" t="s">
        <v>2510</v>
      </c>
      <c r="D19" s="8" t="s">
        <v>2511</v>
      </c>
      <c r="E19" s="8" t="s">
        <v>2512</v>
      </c>
    </row>
    <row r="20" customFormat="false" ht="31.5" hidden="false" customHeight="true" outlineLevel="0" collapsed="false">
      <c r="A20" s="11" t="s">
        <v>2513</v>
      </c>
      <c r="B20" s="9" t="s">
        <v>2514</v>
      </c>
      <c r="C20" s="8" t="s">
        <v>2515</v>
      </c>
      <c r="D20" s="8" t="s">
        <v>2516</v>
      </c>
      <c r="E20" s="8" t="s">
        <v>2517</v>
      </c>
    </row>
    <row r="21" customFormat="false" ht="31.5" hidden="false" customHeight="true" outlineLevel="0" collapsed="false">
      <c r="A21" s="11" t="s">
        <v>362</v>
      </c>
      <c r="B21" s="8" t="s">
        <v>2518</v>
      </c>
      <c r="C21" s="9" t="s">
        <v>2519</v>
      </c>
      <c r="D21" s="8" t="s">
        <v>2520</v>
      </c>
      <c r="E21" s="8" t="s">
        <v>2521</v>
      </c>
    </row>
    <row r="22" customFormat="false" ht="31.5" hidden="false" customHeight="true" outlineLevel="0" collapsed="false">
      <c r="A22" s="11" t="s">
        <v>364</v>
      </c>
      <c r="B22" s="8" t="s">
        <v>2522</v>
      </c>
      <c r="C22" s="9" t="s">
        <v>2523</v>
      </c>
      <c r="D22" s="8" t="s">
        <v>2524</v>
      </c>
      <c r="E22" s="8" t="s">
        <v>2525</v>
      </c>
    </row>
    <row r="23" customFormat="false" ht="46.5" hidden="false" customHeight="true" outlineLevel="0" collapsed="false">
      <c r="A23" s="11" t="s">
        <v>2526</v>
      </c>
      <c r="B23" s="9" t="s">
        <v>2527</v>
      </c>
      <c r="C23" s="8" t="s">
        <v>2528</v>
      </c>
      <c r="D23" s="8" t="s">
        <v>2529</v>
      </c>
      <c r="E23" s="8" t="s">
        <v>2530</v>
      </c>
    </row>
    <row r="24" customFormat="false" ht="91.5" hidden="false" customHeight="true" outlineLevel="0" collapsed="false">
      <c r="A24" s="11" t="s">
        <v>2531</v>
      </c>
      <c r="B24" s="9" t="s">
        <v>2532</v>
      </c>
      <c r="C24" s="9" t="s">
        <v>2533</v>
      </c>
      <c r="D24" s="8" t="s">
        <v>2534</v>
      </c>
      <c r="E24" s="8" t="s">
        <v>2535</v>
      </c>
    </row>
    <row r="25" customFormat="false" ht="46.5" hidden="false" customHeight="true" outlineLevel="0" collapsed="false">
      <c r="A25" s="11" t="s">
        <v>2536</v>
      </c>
      <c r="B25" s="9" t="s">
        <v>2537</v>
      </c>
      <c r="C25" s="8" t="s">
        <v>2538</v>
      </c>
      <c r="D25" s="8" t="s">
        <v>2539</v>
      </c>
      <c r="E25" s="8" t="s">
        <v>2540</v>
      </c>
    </row>
    <row r="26" customFormat="false" ht="31.5" hidden="false" customHeight="true" outlineLevel="0" collapsed="false">
      <c r="A26" s="11" t="s">
        <v>2541</v>
      </c>
      <c r="B26" s="9" t="s">
        <v>2542</v>
      </c>
      <c r="C26" s="9" t="s">
        <v>2543</v>
      </c>
      <c r="D26" s="8" t="s">
        <v>2544</v>
      </c>
      <c r="E26" s="8" t="s">
        <v>2545</v>
      </c>
    </row>
    <row r="27" customFormat="false" ht="46.5" hidden="false" customHeight="true" outlineLevel="0" collapsed="false">
      <c r="A27" s="11" t="s">
        <v>2546</v>
      </c>
      <c r="B27" s="9" t="s">
        <v>2547</v>
      </c>
      <c r="C27" s="9" t="s">
        <v>2548</v>
      </c>
      <c r="D27" s="8" t="s">
        <v>2549</v>
      </c>
      <c r="E27" s="8" t="s">
        <v>2550</v>
      </c>
    </row>
    <row r="28" customFormat="false" ht="61.5" hidden="false" customHeight="true" outlineLevel="0" collapsed="false">
      <c r="A28" s="11" t="s">
        <v>2551</v>
      </c>
      <c r="B28" s="9" t="s">
        <v>2552</v>
      </c>
      <c r="C28" s="9" t="s">
        <v>2553</v>
      </c>
      <c r="D28" s="8" t="s">
        <v>2554</v>
      </c>
      <c r="E28" s="8" t="s">
        <v>1439</v>
      </c>
    </row>
    <row r="29" customFormat="false" ht="46.5" hidden="false" customHeight="true" outlineLevel="0" collapsed="false">
      <c r="A29" s="11" t="s">
        <v>2555</v>
      </c>
      <c r="B29" s="9" t="s">
        <v>2556</v>
      </c>
      <c r="C29" s="8" t="s">
        <v>2557</v>
      </c>
      <c r="D29" s="8" t="s">
        <v>2558</v>
      </c>
      <c r="E29" s="8" t="s">
        <v>2559</v>
      </c>
    </row>
    <row r="30" customFormat="false" ht="46.5" hidden="false" customHeight="true" outlineLevel="0" collapsed="false">
      <c r="A30" s="11" t="s">
        <v>2560</v>
      </c>
      <c r="B30" s="8" t="s">
        <v>2561</v>
      </c>
      <c r="C30" s="9" t="s">
        <v>2562</v>
      </c>
      <c r="D30" s="8" t="s">
        <v>2563</v>
      </c>
      <c r="E30" s="8" t="s">
        <v>2564</v>
      </c>
    </row>
    <row r="31" customFormat="false" ht="61.5" hidden="false" customHeight="true" outlineLevel="0" collapsed="false">
      <c r="A31" s="11" t="s">
        <v>2565</v>
      </c>
      <c r="B31" s="9" t="s">
        <v>2566</v>
      </c>
      <c r="C31" s="9" t="s">
        <v>2567</v>
      </c>
      <c r="D31" s="8" t="s">
        <v>2568</v>
      </c>
      <c r="E31" s="8" t="s">
        <v>2569</v>
      </c>
    </row>
    <row r="32" customFormat="false" ht="46.5" hidden="false" customHeight="true" outlineLevel="0" collapsed="false">
      <c r="A32" s="11" t="s">
        <v>2570</v>
      </c>
      <c r="B32" s="8" t="s">
        <v>2571</v>
      </c>
      <c r="C32" s="9" t="s">
        <v>2572</v>
      </c>
      <c r="D32" s="8" t="s">
        <v>2573</v>
      </c>
      <c r="E32" s="8" t="s">
        <v>2574</v>
      </c>
    </row>
  </sheetData>
  <mergeCells count="11"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true"/>
  </sheetPr>
  <dimension ref="A1:F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3" min="3" style="1" width="42"/>
    <col collapsed="false" customWidth="true" hidden="false" outlineLevel="0" max="4" min="4" style="1" width="46"/>
    <col collapsed="false" customWidth="true" hidden="false" outlineLevel="0" max="5" min="5" style="1" width="40"/>
    <col collapsed="false" customWidth="true" hidden="false" outlineLevel="0" max="6" min="6" style="1" width="18"/>
  </cols>
  <sheetData>
    <row r="1" customFormat="false" ht="24" hidden="false" customHeight="true" outlineLevel="0" collapsed="false">
      <c r="A1" s="2" t="s">
        <v>2575</v>
      </c>
    </row>
    <row r="2" customFormat="false" ht="15" hidden="false" customHeight="true" outlineLevel="0" collapsed="false">
      <c r="A2" s="20" t="s">
        <v>2576</v>
      </c>
    </row>
    <row r="4" customFormat="false" ht="18" hidden="false" customHeight="true" outlineLevel="0" collapsed="false">
      <c r="A4" s="38" t="s">
        <v>2577</v>
      </c>
      <c r="B4" s="5"/>
      <c r="C4" s="5"/>
      <c r="D4" s="5"/>
      <c r="E4" s="5"/>
      <c r="F4" s="5"/>
    </row>
    <row r="5" customFormat="false" ht="19.5" hidden="false" customHeight="true" outlineLevel="0" collapsed="false">
      <c r="A5" s="23" t="s">
        <v>1884</v>
      </c>
      <c r="B5" s="23" t="s">
        <v>2485</v>
      </c>
      <c r="C5" s="23"/>
      <c r="D5" s="23"/>
      <c r="E5" s="23"/>
      <c r="F5" s="23"/>
    </row>
    <row r="6" customFormat="false" ht="16.5" hidden="false" customHeight="true" outlineLevel="0" collapsed="false">
      <c r="A6" s="6" t="s">
        <v>2578</v>
      </c>
      <c r="B6" s="9" t="s">
        <v>2579</v>
      </c>
      <c r="C6" s="9"/>
      <c r="D6" s="9"/>
      <c r="E6" s="9"/>
      <c r="F6" s="9"/>
    </row>
    <row r="7" customFormat="false" ht="16.5" hidden="false" customHeight="true" outlineLevel="0" collapsed="false">
      <c r="A7" s="6" t="s">
        <v>2580</v>
      </c>
      <c r="B7" s="8" t="s">
        <v>2581</v>
      </c>
      <c r="C7" s="8"/>
      <c r="D7" s="8"/>
      <c r="E7" s="8"/>
      <c r="F7" s="8"/>
    </row>
    <row r="8" customFormat="false" ht="16.5" hidden="false" customHeight="true" outlineLevel="0" collapsed="false">
      <c r="A8" s="6" t="s">
        <v>2582</v>
      </c>
      <c r="B8" s="9" t="s">
        <v>2583</v>
      </c>
      <c r="C8" s="9"/>
      <c r="D8" s="9"/>
      <c r="E8" s="9"/>
      <c r="F8" s="9"/>
    </row>
    <row r="9" customFormat="false" ht="16.5" hidden="false" customHeight="true" outlineLevel="0" collapsed="false">
      <c r="A9" s="6" t="s">
        <v>1585</v>
      </c>
      <c r="B9" s="9" t="s">
        <v>2584</v>
      </c>
      <c r="C9" s="9"/>
      <c r="D9" s="9"/>
      <c r="E9" s="9"/>
      <c r="F9" s="9"/>
    </row>
    <row r="10" customFormat="false" ht="16.5" hidden="false" customHeight="true" outlineLevel="0" collapsed="false">
      <c r="A10" s="11" t="s">
        <v>2585</v>
      </c>
      <c r="B10" s="8" t="s">
        <v>2586</v>
      </c>
      <c r="C10" s="8"/>
      <c r="D10" s="8"/>
      <c r="E10" s="8"/>
      <c r="F10" s="8"/>
    </row>
    <row r="11" customFormat="false" ht="31.5" hidden="false" customHeight="true" outlineLevel="0" collapsed="false">
      <c r="A11" s="6" t="s">
        <v>2587</v>
      </c>
      <c r="B11" s="9" t="s">
        <v>2588</v>
      </c>
      <c r="C11" s="9"/>
      <c r="D11" s="9"/>
      <c r="E11" s="9"/>
      <c r="F11" s="9"/>
    </row>
    <row r="12" customFormat="false" ht="16.5" hidden="false" customHeight="true" outlineLevel="0" collapsed="false">
      <c r="A12" s="6" t="s">
        <v>2589</v>
      </c>
      <c r="B12" s="9" t="s">
        <v>2590</v>
      </c>
      <c r="C12" s="9"/>
      <c r="D12" s="9"/>
      <c r="E12" s="9"/>
      <c r="F12" s="9"/>
    </row>
    <row r="14" customFormat="false" ht="18" hidden="false" customHeight="true" outlineLevel="0" collapsed="false">
      <c r="A14" s="38" t="s">
        <v>2591</v>
      </c>
      <c r="B14" s="5"/>
      <c r="C14" s="5"/>
      <c r="D14" s="5"/>
      <c r="E14" s="5"/>
      <c r="F14" s="5"/>
    </row>
    <row r="15" customFormat="false" ht="19.5" hidden="false" customHeight="true" outlineLevel="0" collapsed="false">
      <c r="A15" s="23" t="s">
        <v>2592</v>
      </c>
      <c r="B15" s="23" t="s">
        <v>2485</v>
      </c>
      <c r="C15" s="23" t="s">
        <v>2593</v>
      </c>
    </row>
    <row r="16" customFormat="false" ht="31.5" hidden="false" customHeight="true" outlineLevel="0" collapsed="false">
      <c r="A16" s="6" t="s">
        <v>2594</v>
      </c>
      <c r="B16" s="9" t="s">
        <v>2595</v>
      </c>
      <c r="C16" s="8" t="s">
        <v>2596</v>
      </c>
    </row>
    <row r="17" customFormat="false" ht="46.5" hidden="false" customHeight="true" outlineLevel="0" collapsed="false">
      <c r="A17" s="6" t="s">
        <v>2597</v>
      </c>
      <c r="B17" s="9" t="s">
        <v>2598</v>
      </c>
      <c r="C17" s="9" t="s">
        <v>2599</v>
      </c>
    </row>
    <row r="18" customFormat="false" ht="31.5" hidden="false" customHeight="true" outlineLevel="0" collapsed="false">
      <c r="A18" s="6" t="s">
        <v>2600</v>
      </c>
      <c r="B18" s="9" t="s">
        <v>2601</v>
      </c>
      <c r="C18" s="27" t="s">
        <v>2602</v>
      </c>
    </row>
    <row r="19" customFormat="false" ht="46.5" hidden="false" customHeight="true" outlineLevel="0" collapsed="false">
      <c r="A19" s="6" t="s">
        <v>2603</v>
      </c>
      <c r="B19" s="9" t="s">
        <v>2604</v>
      </c>
      <c r="C19" s="9" t="s">
        <v>2605</v>
      </c>
    </row>
    <row r="21" customFormat="false" ht="18" hidden="false" customHeight="true" outlineLevel="0" collapsed="false">
      <c r="A21" s="38" t="s">
        <v>2606</v>
      </c>
      <c r="B21" s="5"/>
      <c r="C21" s="5"/>
      <c r="D21" s="5"/>
      <c r="E21" s="5"/>
      <c r="F21" s="5"/>
    </row>
    <row r="22" customFormat="false" ht="19.5" hidden="false" customHeight="true" outlineLevel="0" collapsed="false">
      <c r="A22" s="23" t="s">
        <v>2607</v>
      </c>
      <c r="B22" s="23" t="s">
        <v>2608</v>
      </c>
      <c r="C22" s="22" t="s">
        <v>2609</v>
      </c>
      <c r="D22" s="23" t="s">
        <v>2610</v>
      </c>
      <c r="E22" s="23" t="s">
        <v>2611</v>
      </c>
      <c r="F22" s="23" t="s">
        <v>2612</v>
      </c>
    </row>
    <row r="23" customFormat="false" ht="31.5" hidden="false" customHeight="true" outlineLevel="0" collapsed="false">
      <c r="A23" s="6" t="s">
        <v>2162</v>
      </c>
      <c r="B23" s="8" t="s">
        <v>2165</v>
      </c>
      <c r="C23" s="8" t="s">
        <v>2613</v>
      </c>
      <c r="D23" s="9" t="s">
        <v>2614</v>
      </c>
      <c r="E23" s="8" t="s">
        <v>2615</v>
      </c>
      <c r="F23" s="9" t="s">
        <v>2594</v>
      </c>
    </row>
    <row r="24" customFormat="false" ht="46.5" hidden="false" customHeight="true" outlineLevel="0" collapsed="false">
      <c r="A24" s="6" t="s">
        <v>2616</v>
      </c>
      <c r="B24" s="8" t="s">
        <v>2160</v>
      </c>
      <c r="C24" s="8" t="s">
        <v>2617</v>
      </c>
      <c r="D24" s="9" t="s">
        <v>2618</v>
      </c>
      <c r="E24" s="8" t="s">
        <v>2619</v>
      </c>
      <c r="F24" s="9" t="s">
        <v>2594</v>
      </c>
    </row>
    <row r="25" customFormat="false" ht="42" hidden="false" customHeight="true" outlineLevel="0" collapsed="false">
      <c r="A25" s="6" t="s">
        <v>2620</v>
      </c>
      <c r="B25" s="27" t="s">
        <v>2621</v>
      </c>
      <c r="C25" s="8" t="s">
        <v>2622</v>
      </c>
      <c r="D25" s="9" t="s">
        <v>2623</v>
      </c>
      <c r="E25" s="8" t="s">
        <v>2624</v>
      </c>
      <c r="F25" s="9" t="s">
        <v>2625</v>
      </c>
    </row>
    <row r="26" customFormat="false" ht="42" hidden="false" customHeight="true" outlineLevel="0" collapsed="false">
      <c r="A26" s="6" t="s">
        <v>2626</v>
      </c>
      <c r="B26" s="8" t="s">
        <v>2627</v>
      </c>
      <c r="C26" s="8" t="s">
        <v>2628</v>
      </c>
      <c r="D26" s="9" t="s">
        <v>2629</v>
      </c>
      <c r="E26" s="8" t="s">
        <v>2630</v>
      </c>
      <c r="F26" s="9" t="s">
        <v>2594</v>
      </c>
    </row>
    <row r="27" customFormat="false" ht="42" hidden="false" customHeight="true" outlineLevel="0" collapsed="false">
      <c r="A27" s="6" t="s">
        <v>2631</v>
      </c>
      <c r="B27" s="8" t="s">
        <v>2632</v>
      </c>
      <c r="C27" s="8" t="s">
        <v>2633</v>
      </c>
      <c r="D27" s="9" t="s">
        <v>2634</v>
      </c>
      <c r="E27" s="8" t="s">
        <v>2635</v>
      </c>
      <c r="F27" s="9" t="s">
        <v>2636</v>
      </c>
    </row>
    <row r="28" customFormat="false" ht="42" hidden="false" customHeight="true" outlineLevel="0" collapsed="false">
      <c r="A28" s="6" t="s">
        <v>2637</v>
      </c>
      <c r="B28" s="8" t="s">
        <v>2638</v>
      </c>
      <c r="C28" s="8" t="s">
        <v>2639</v>
      </c>
      <c r="D28" s="8" t="s">
        <v>2640</v>
      </c>
      <c r="E28" s="8" t="s">
        <v>2641</v>
      </c>
      <c r="F28" s="9" t="s">
        <v>2594</v>
      </c>
    </row>
    <row r="29" customFormat="false" ht="31.5" hidden="false" customHeight="true" outlineLevel="0" collapsed="false">
      <c r="A29" s="6" t="s">
        <v>2642</v>
      </c>
      <c r="B29" s="8" t="s">
        <v>2643</v>
      </c>
      <c r="C29" s="8" t="s">
        <v>2644</v>
      </c>
      <c r="D29" s="9" t="s">
        <v>2645</v>
      </c>
      <c r="E29" s="8" t="s">
        <v>2646</v>
      </c>
      <c r="F29" s="9" t="s">
        <v>2647</v>
      </c>
    </row>
    <row r="30" customFormat="false" ht="46.5" hidden="false" customHeight="true" outlineLevel="0" collapsed="false">
      <c r="A30" s="6" t="s">
        <v>2648</v>
      </c>
      <c r="B30" s="8" t="s">
        <v>2031</v>
      </c>
      <c r="C30" s="8" t="s">
        <v>2649</v>
      </c>
      <c r="D30" s="8" t="s">
        <v>2650</v>
      </c>
      <c r="E30" s="8" t="s">
        <v>2651</v>
      </c>
      <c r="F30" s="9" t="s">
        <v>2594</v>
      </c>
    </row>
    <row r="31" customFormat="false" ht="31.5" hidden="false" customHeight="true" outlineLevel="0" collapsed="false">
      <c r="A31" s="11" t="s">
        <v>2652</v>
      </c>
      <c r="B31" s="8" t="s">
        <v>1649</v>
      </c>
      <c r="C31" s="8" t="s">
        <v>2653</v>
      </c>
      <c r="D31" s="27" t="s">
        <v>2654</v>
      </c>
      <c r="E31" s="8" t="s">
        <v>2655</v>
      </c>
      <c r="F31" s="9" t="s">
        <v>2594</v>
      </c>
    </row>
    <row r="32" customFormat="false" ht="31.5" hidden="false" customHeight="true" outlineLevel="0" collapsed="false">
      <c r="A32" s="6" t="s">
        <v>2656</v>
      </c>
      <c r="B32" s="8" t="s">
        <v>2657</v>
      </c>
      <c r="C32" s="8" t="s">
        <v>2658</v>
      </c>
      <c r="D32" s="27" t="s">
        <v>2659</v>
      </c>
      <c r="E32" s="8" t="s">
        <v>2660</v>
      </c>
      <c r="F32" s="9" t="s">
        <v>2600</v>
      </c>
    </row>
    <row r="33" customFormat="false" ht="31.5" hidden="false" customHeight="true" outlineLevel="0" collapsed="false">
      <c r="A33" s="6" t="s">
        <v>2661</v>
      </c>
      <c r="B33" s="8" t="s">
        <v>2109</v>
      </c>
      <c r="C33" s="8" t="s">
        <v>2662</v>
      </c>
      <c r="D33" s="9" t="s">
        <v>2663</v>
      </c>
      <c r="E33" s="8" t="s">
        <v>2664</v>
      </c>
      <c r="F33" s="9" t="s">
        <v>2597</v>
      </c>
    </row>
    <row r="34" customFormat="false" ht="31.5" hidden="false" customHeight="true" outlineLevel="0" collapsed="false">
      <c r="A34" s="6" t="s">
        <v>2665</v>
      </c>
      <c r="B34" s="8" t="s">
        <v>2666</v>
      </c>
      <c r="C34" s="8" t="s">
        <v>2667</v>
      </c>
      <c r="D34" s="8" t="s">
        <v>2668</v>
      </c>
      <c r="E34" s="8" t="s">
        <v>2669</v>
      </c>
      <c r="F34" s="9" t="s">
        <v>2647</v>
      </c>
    </row>
    <row r="35" customFormat="false" ht="31.5" hidden="false" customHeight="true" outlineLevel="0" collapsed="false">
      <c r="A35" s="6" t="s">
        <v>1944</v>
      </c>
      <c r="B35" s="8" t="s">
        <v>1947</v>
      </c>
      <c r="C35" s="8" t="s">
        <v>2670</v>
      </c>
      <c r="D35" s="8" t="s">
        <v>2671</v>
      </c>
      <c r="E35" s="8" t="s">
        <v>2672</v>
      </c>
      <c r="F35" s="9" t="s">
        <v>2594</v>
      </c>
    </row>
    <row r="36" customFormat="false" ht="31.5" hidden="false" customHeight="true" outlineLevel="0" collapsed="false">
      <c r="A36" s="6" t="s">
        <v>2673</v>
      </c>
      <c r="B36" s="8" t="s">
        <v>2674</v>
      </c>
      <c r="C36" s="8" t="s">
        <v>2675</v>
      </c>
      <c r="D36" s="9" t="s">
        <v>2676</v>
      </c>
      <c r="E36" s="8" t="s">
        <v>2677</v>
      </c>
      <c r="F36" s="9" t="s">
        <v>2594</v>
      </c>
    </row>
    <row r="37" customFormat="false" ht="31.5" hidden="false" customHeight="true" outlineLevel="0" collapsed="false">
      <c r="A37" s="6" t="s">
        <v>2678</v>
      </c>
      <c r="B37" s="8" t="s">
        <v>1971</v>
      </c>
      <c r="C37" s="8" t="s">
        <v>2679</v>
      </c>
      <c r="D37" s="9" t="s">
        <v>2680</v>
      </c>
      <c r="E37" s="8" t="s">
        <v>2681</v>
      </c>
      <c r="F37" s="9" t="s">
        <v>2594</v>
      </c>
    </row>
    <row r="38" customFormat="false" ht="31.5" hidden="false" customHeight="true" outlineLevel="0" collapsed="false">
      <c r="A38" s="6" t="s">
        <v>2682</v>
      </c>
      <c r="B38" s="8" t="s">
        <v>2683</v>
      </c>
      <c r="C38" s="8" t="s">
        <v>2684</v>
      </c>
      <c r="D38" s="9" t="s">
        <v>2685</v>
      </c>
      <c r="E38" s="8" t="s">
        <v>2686</v>
      </c>
      <c r="F38" s="9" t="s">
        <v>2594</v>
      </c>
    </row>
    <row r="39" customFormat="false" ht="31.5" hidden="false" customHeight="true" outlineLevel="0" collapsed="false">
      <c r="A39" s="6" t="s">
        <v>2152</v>
      </c>
      <c r="B39" s="8" t="s">
        <v>2687</v>
      </c>
      <c r="C39" s="8" t="s">
        <v>2688</v>
      </c>
      <c r="D39" s="8" t="s">
        <v>2689</v>
      </c>
      <c r="E39" s="8" t="s">
        <v>2690</v>
      </c>
      <c r="F39" s="9" t="s">
        <v>2594</v>
      </c>
    </row>
    <row r="40" customFormat="false" ht="31.5" hidden="false" customHeight="true" outlineLevel="0" collapsed="false">
      <c r="A40" s="6" t="s">
        <v>2691</v>
      </c>
      <c r="B40" s="8" t="s">
        <v>2252</v>
      </c>
      <c r="C40" s="8" t="s">
        <v>2692</v>
      </c>
      <c r="D40" s="9" t="s">
        <v>2693</v>
      </c>
      <c r="E40" s="8" t="s">
        <v>2694</v>
      </c>
      <c r="F40" s="9" t="s">
        <v>2597</v>
      </c>
    </row>
    <row r="41" customFormat="false" ht="31.5" hidden="false" customHeight="true" outlineLevel="0" collapsed="false">
      <c r="A41" s="6" t="s">
        <v>2695</v>
      </c>
      <c r="B41" s="9" t="s">
        <v>2696</v>
      </c>
      <c r="C41" s="8" t="s">
        <v>2697</v>
      </c>
      <c r="D41" s="9" t="s">
        <v>2698</v>
      </c>
      <c r="E41" s="8" t="s">
        <v>301</v>
      </c>
      <c r="F41" s="9" t="s">
        <v>2603</v>
      </c>
    </row>
    <row r="42" customFormat="false" ht="31.5" hidden="false" customHeight="true" outlineLevel="0" collapsed="false">
      <c r="A42" s="58" t="s">
        <v>2699</v>
      </c>
      <c r="B42" s="58"/>
      <c r="C42" s="58"/>
      <c r="D42" s="58"/>
      <c r="E42" s="58"/>
      <c r="F42" s="58"/>
    </row>
    <row r="44" customFormat="false" ht="18" hidden="false" customHeight="true" outlineLevel="0" collapsed="false">
      <c r="A44" s="38" t="s">
        <v>2700</v>
      </c>
      <c r="B44" s="5"/>
      <c r="C44" s="5"/>
      <c r="D44" s="5"/>
      <c r="E44" s="5"/>
      <c r="F44" s="5"/>
    </row>
    <row r="45" customFormat="false" ht="19.5" hidden="false" customHeight="true" outlineLevel="0" collapsed="false">
      <c r="A45" s="23" t="s">
        <v>2701</v>
      </c>
      <c r="B45" s="23" t="s">
        <v>2702</v>
      </c>
      <c r="C45" s="23" t="s">
        <v>2422</v>
      </c>
      <c r="D45" s="23" t="s">
        <v>401</v>
      </c>
    </row>
    <row r="46" customFormat="false" ht="16.5" hidden="false" customHeight="true" outlineLevel="0" collapsed="false">
      <c r="A46" s="11" t="s">
        <v>2703</v>
      </c>
      <c r="B46" s="9" t="s">
        <v>2704</v>
      </c>
      <c r="C46" s="8" t="s">
        <v>2705</v>
      </c>
      <c r="D46" s="9" t="s">
        <v>2706</v>
      </c>
    </row>
    <row r="47" customFormat="false" ht="16.5" hidden="false" customHeight="true" outlineLevel="0" collapsed="false">
      <c r="A47" s="11" t="s">
        <v>2707</v>
      </c>
      <c r="B47" s="9" t="s">
        <v>2708</v>
      </c>
      <c r="C47" s="8" t="s">
        <v>2709</v>
      </c>
      <c r="D47" s="9" t="s">
        <v>2710</v>
      </c>
    </row>
    <row r="48" customFormat="false" ht="29.25" hidden="false" customHeight="true" outlineLevel="0" collapsed="false">
      <c r="A48" s="11" t="s">
        <v>2703</v>
      </c>
      <c r="B48" s="9" t="s">
        <v>2711</v>
      </c>
      <c r="C48" s="8" t="s">
        <v>2712</v>
      </c>
      <c r="D48" s="9" t="s">
        <v>2713</v>
      </c>
    </row>
    <row r="49" customFormat="false" ht="16.5" hidden="false" customHeight="true" outlineLevel="0" collapsed="false">
      <c r="A49" s="11" t="s">
        <v>2707</v>
      </c>
      <c r="B49" s="9" t="s">
        <v>2714</v>
      </c>
      <c r="C49" s="8" t="s">
        <v>2715</v>
      </c>
      <c r="D49" s="9" t="s">
        <v>2716</v>
      </c>
    </row>
    <row r="50" customFormat="false" ht="31.5" hidden="false" customHeight="true" outlineLevel="0" collapsed="false">
      <c r="A50" s="11" t="s">
        <v>2703</v>
      </c>
      <c r="B50" s="9" t="s">
        <v>2717</v>
      </c>
      <c r="C50" s="8" t="s">
        <v>2718</v>
      </c>
      <c r="D50" s="9" t="s">
        <v>2719</v>
      </c>
    </row>
    <row r="51" customFormat="false" ht="16.5" hidden="false" customHeight="true" outlineLevel="0" collapsed="false">
      <c r="A51" s="11" t="s">
        <v>2707</v>
      </c>
      <c r="B51" s="8" t="s">
        <v>2720</v>
      </c>
      <c r="C51" s="8" t="s">
        <v>2721</v>
      </c>
      <c r="D51" s="9" t="s">
        <v>2722</v>
      </c>
    </row>
    <row r="52" customFormat="false" ht="31.5" hidden="false" customHeight="true" outlineLevel="0" collapsed="false">
      <c r="A52" s="11" t="s">
        <v>2703</v>
      </c>
      <c r="B52" s="9" t="s">
        <v>2723</v>
      </c>
      <c r="C52" s="8" t="s">
        <v>2724</v>
      </c>
      <c r="D52" s="9" t="s">
        <v>2725</v>
      </c>
    </row>
    <row r="53" customFormat="false" ht="16.5" hidden="false" customHeight="true" outlineLevel="0" collapsed="false">
      <c r="A53" s="58" t="s">
        <v>2726</v>
      </c>
      <c r="B53" s="58"/>
      <c r="C53" s="58"/>
      <c r="D53" s="58"/>
      <c r="E53" s="58"/>
      <c r="F53" s="58"/>
    </row>
  </sheetData>
  <mergeCells count="10">
    <mergeCell ref="B5:F5"/>
    <mergeCell ref="B6:F6"/>
    <mergeCell ref="B7:F7"/>
    <mergeCell ref="B8:F8"/>
    <mergeCell ref="B9:F9"/>
    <mergeCell ref="B10:F10"/>
    <mergeCell ref="B11:F11"/>
    <mergeCell ref="B12:F12"/>
    <mergeCell ref="A42:F42"/>
    <mergeCell ref="A53:F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66"/>
    <col collapsed="false" customWidth="true" hidden="false" outlineLevel="0" max="4" min="4" style="1" width="52"/>
    <col collapsed="false" customWidth="true" hidden="false" outlineLevel="0" max="5" min="5" style="1" width="13"/>
  </cols>
  <sheetData>
    <row r="1" customFormat="false" ht="24" hidden="false" customHeight="true" outlineLevel="0" collapsed="false">
      <c r="A1" s="21" t="s">
        <v>2727</v>
      </c>
    </row>
    <row r="2" customFormat="false" ht="15" hidden="false" customHeight="true" outlineLevel="0" collapsed="false">
      <c r="A2" s="20" t="s">
        <v>2728</v>
      </c>
    </row>
    <row r="4" customFormat="false" ht="18" hidden="false" customHeight="true" outlineLevel="0" collapsed="false">
      <c r="A4" s="38" t="s">
        <v>2729</v>
      </c>
      <c r="B4" s="5"/>
      <c r="C4" s="5"/>
      <c r="D4" s="5"/>
    </row>
    <row r="5" customFormat="false" ht="19.5" hidden="false" customHeight="true" outlineLevel="0" collapsed="false">
      <c r="A5" s="22" t="s">
        <v>86</v>
      </c>
      <c r="B5" s="23" t="s">
        <v>60</v>
      </c>
      <c r="C5" s="23" t="s">
        <v>2485</v>
      </c>
      <c r="D5" s="23" t="s">
        <v>2730</v>
      </c>
    </row>
    <row r="6" customFormat="false" ht="31.5" hidden="false" customHeight="true" outlineLevel="0" collapsed="false">
      <c r="A6" s="24" t="n">
        <v>1</v>
      </c>
      <c r="B6" s="9" t="s">
        <v>2731</v>
      </c>
      <c r="C6" s="9" t="s">
        <v>2732</v>
      </c>
      <c r="D6" s="8" t="s">
        <v>2733</v>
      </c>
    </row>
    <row r="7" customFormat="false" ht="31.5" hidden="false" customHeight="true" outlineLevel="0" collapsed="false">
      <c r="A7" s="24" t="n">
        <v>2</v>
      </c>
      <c r="B7" s="9" t="s">
        <v>2734</v>
      </c>
      <c r="C7" s="9" t="s">
        <v>2735</v>
      </c>
      <c r="D7" s="8" t="s">
        <v>2736</v>
      </c>
    </row>
    <row r="8" customFormat="false" ht="31.5" hidden="false" customHeight="true" outlineLevel="0" collapsed="false">
      <c r="A8" s="24" t="n">
        <v>3</v>
      </c>
      <c r="B8" s="9" t="s">
        <v>2737</v>
      </c>
      <c r="C8" s="9" t="s">
        <v>2738</v>
      </c>
      <c r="D8" s="8" t="s">
        <v>2739</v>
      </c>
    </row>
    <row r="9" customFormat="false" ht="31.5" hidden="false" customHeight="true" outlineLevel="0" collapsed="false">
      <c r="A9" s="24" t="n">
        <v>4</v>
      </c>
      <c r="B9" s="9" t="s">
        <v>2740</v>
      </c>
      <c r="C9" s="9" t="s">
        <v>2741</v>
      </c>
      <c r="D9" s="8" t="s">
        <v>2742</v>
      </c>
    </row>
    <row r="10" customFormat="false" ht="31.5" hidden="false" customHeight="true" outlineLevel="0" collapsed="false">
      <c r="A10" s="24" t="n">
        <v>5</v>
      </c>
      <c r="B10" s="9" t="s">
        <v>2743</v>
      </c>
      <c r="C10" s="9" t="s">
        <v>2744</v>
      </c>
      <c r="D10" s="8" t="s">
        <v>2745</v>
      </c>
    </row>
    <row r="11" customFormat="false" ht="46.5" hidden="false" customHeight="true" outlineLevel="0" collapsed="false">
      <c r="A11" s="24" t="n">
        <v>6</v>
      </c>
      <c r="B11" s="9" t="s">
        <v>2746</v>
      </c>
      <c r="C11" s="9" t="s">
        <v>2747</v>
      </c>
      <c r="D11" s="8" t="s">
        <v>2748</v>
      </c>
    </row>
    <row r="12" customFormat="false" ht="31.5" hidden="false" customHeight="true" outlineLevel="0" collapsed="false">
      <c r="A12" s="24" t="n">
        <v>7</v>
      </c>
      <c r="B12" s="9" t="s">
        <v>2749</v>
      </c>
      <c r="C12" s="9" t="s">
        <v>2750</v>
      </c>
      <c r="D12" s="8" t="s">
        <v>2751</v>
      </c>
    </row>
    <row r="13" customFormat="false" ht="31.5" hidden="false" customHeight="true" outlineLevel="0" collapsed="false">
      <c r="A13" s="24" t="n">
        <v>8</v>
      </c>
      <c r="B13" s="9" t="s">
        <v>2752</v>
      </c>
      <c r="C13" s="9" t="s">
        <v>2753</v>
      </c>
      <c r="D13" s="8" t="s">
        <v>2754</v>
      </c>
    </row>
    <row r="14" customFormat="false" ht="46.5" hidden="false" customHeight="true" outlineLevel="0" collapsed="false">
      <c r="A14" s="24" t="n">
        <v>9</v>
      </c>
      <c r="B14" s="9" t="s">
        <v>2755</v>
      </c>
      <c r="C14" s="8" t="s">
        <v>2756</v>
      </c>
      <c r="D14" s="8" t="s">
        <v>2757</v>
      </c>
    </row>
    <row r="15" customFormat="false" ht="61.5" hidden="false" customHeight="true" outlineLevel="0" collapsed="false">
      <c r="A15" s="24" t="n">
        <v>10</v>
      </c>
      <c r="B15" s="9" t="s">
        <v>2758</v>
      </c>
      <c r="C15" s="9" t="s">
        <v>2759</v>
      </c>
      <c r="D15" s="8" t="s">
        <v>2760</v>
      </c>
    </row>
    <row r="16" customFormat="false" ht="16.5" hidden="false" customHeight="true" outlineLevel="0" collapsed="false">
      <c r="A16" s="24" t="n">
        <v>11</v>
      </c>
      <c r="B16" s="9" t="s">
        <v>97</v>
      </c>
      <c r="C16" s="9" t="s">
        <v>2761</v>
      </c>
      <c r="D16" s="8"/>
    </row>
    <row r="17" customFormat="false" ht="31.5" hidden="false" customHeight="true" outlineLevel="0" collapsed="false">
      <c r="A17" s="24" t="n">
        <v>12</v>
      </c>
      <c r="B17" s="8" t="s">
        <v>2762</v>
      </c>
      <c r="C17" s="9" t="s">
        <v>2763</v>
      </c>
      <c r="D17" s="8" t="s">
        <v>2764</v>
      </c>
    </row>
    <row r="18" customFormat="false" ht="16.5" hidden="false" customHeight="true" outlineLevel="0" collapsed="false">
      <c r="A18" s="24" t="n">
        <v>13</v>
      </c>
      <c r="B18" s="8" t="s">
        <v>2765</v>
      </c>
      <c r="C18" s="9" t="s">
        <v>2766</v>
      </c>
      <c r="D18" s="8" t="s">
        <v>2767</v>
      </c>
    </row>
    <row r="19" customFormat="false" ht="31.5" hidden="false" customHeight="true" outlineLevel="0" collapsed="false">
      <c r="A19" s="24" t="n">
        <v>14</v>
      </c>
      <c r="B19" s="9" t="s">
        <v>2768</v>
      </c>
      <c r="C19" s="8" t="s">
        <v>2769</v>
      </c>
      <c r="D19" s="8"/>
    </row>
    <row r="20" customFormat="false" ht="16.5" hidden="false" customHeight="true" outlineLevel="0" collapsed="false">
      <c r="A20" s="24" t="n">
        <v>15</v>
      </c>
      <c r="B20" s="9" t="s">
        <v>2770</v>
      </c>
      <c r="C20" s="8" t="s">
        <v>2771</v>
      </c>
      <c r="D20" s="8" t="s">
        <v>2772</v>
      </c>
    </row>
    <row r="21" customFormat="false" ht="46.5" hidden="false" customHeight="true" outlineLevel="0" collapsed="false">
      <c r="A21" s="24" t="n">
        <v>16</v>
      </c>
      <c r="B21" s="9" t="s">
        <v>2773</v>
      </c>
      <c r="C21" s="9" t="s">
        <v>2774</v>
      </c>
      <c r="D21" s="8" t="s">
        <v>2775</v>
      </c>
    </row>
    <row r="22" customFormat="false" ht="61.5" hidden="false" customHeight="true" outlineLevel="0" collapsed="false">
      <c r="A22" s="24" t="n">
        <v>17</v>
      </c>
      <c r="B22" s="9" t="s">
        <v>2776</v>
      </c>
      <c r="C22" s="9" t="s">
        <v>2777</v>
      </c>
      <c r="D22" s="8" t="s">
        <v>2778</v>
      </c>
    </row>
    <row r="23" customFormat="false" ht="46.5" hidden="false" customHeight="true" outlineLevel="0" collapsed="false">
      <c r="A23" s="24" t="n">
        <v>18</v>
      </c>
      <c r="B23" s="9" t="s">
        <v>2779</v>
      </c>
      <c r="C23" s="9" t="s">
        <v>2780</v>
      </c>
      <c r="D23" s="8" t="s">
        <v>2781</v>
      </c>
    </row>
    <row r="24" customFormat="false" ht="61.5" hidden="false" customHeight="true" outlineLevel="0" collapsed="false">
      <c r="A24" s="24" t="n">
        <v>19</v>
      </c>
      <c r="B24" s="9" t="s">
        <v>2782</v>
      </c>
      <c r="C24" s="9" t="s">
        <v>2783</v>
      </c>
      <c r="D24" s="8" t="s">
        <v>2784</v>
      </c>
    </row>
    <row r="26" customFormat="false" ht="18" hidden="false" customHeight="true" outlineLevel="0" collapsed="false">
      <c r="A26" s="38" t="s">
        <v>2785</v>
      </c>
      <c r="B26" s="5"/>
      <c r="C26" s="5"/>
      <c r="D26" s="5"/>
    </row>
    <row r="27" customFormat="false" ht="61.5" hidden="false" customHeight="true" outlineLevel="0" collapsed="false">
      <c r="A27" s="77" t="s">
        <v>2786</v>
      </c>
      <c r="B27" s="77"/>
      <c r="C27" s="77"/>
      <c r="D27" s="77"/>
    </row>
    <row r="28" customFormat="false" ht="31.5" hidden="false" customHeight="true" outlineLevel="0" collapsed="false">
      <c r="A28" s="24" t="n">
        <v>1</v>
      </c>
      <c r="B28" s="8" t="s">
        <v>2787</v>
      </c>
      <c r="C28" s="8" t="s">
        <v>2788</v>
      </c>
      <c r="D28" s="8" t="s">
        <v>225</v>
      </c>
    </row>
    <row r="29" customFormat="false" ht="19.5" hidden="false" customHeight="true" outlineLevel="0" collapsed="false">
      <c r="A29" s="23" t="s">
        <v>330</v>
      </c>
      <c r="B29" s="23" t="s">
        <v>2789</v>
      </c>
      <c r="C29" s="23" t="s">
        <v>2790</v>
      </c>
      <c r="D29" s="23" t="s">
        <v>2791</v>
      </c>
      <c r="E29" s="23" t="s">
        <v>2792</v>
      </c>
    </row>
    <row r="30" customFormat="false" ht="31.5" hidden="false" customHeight="true" outlineLevel="0" collapsed="false">
      <c r="A30" s="11" t="s">
        <v>225</v>
      </c>
      <c r="B30" s="9" t="s">
        <v>2793</v>
      </c>
      <c r="C30" s="9" t="s">
        <v>2794</v>
      </c>
      <c r="D30" s="8" t="s">
        <v>2795</v>
      </c>
      <c r="E30" s="9" t="s">
        <v>2796</v>
      </c>
    </row>
    <row r="31" customFormat="false" ht="61.5" hidden="false" customHeight="true" outlineLevel="0" collapsed="false">
      <c r="A31" s="11" t="s">
        <v>155</v>
      </c>
      <c r="B31" s="9" t="s">
        <v>2797</v>
      </c>
      <c r="C31" s="9" t="s">
        <v>2798</v>
      </c>
      <c r="D31" s="8" t="s">
        <v>2799</v>
      </c>
      <c r="E31" s="8" t="s">
        <v>2800</v>
      </c>
    </row>
    <row r="32" customFormat="false" ht="46.5" hidden="false" customHeight="true" outlineLevel="0" collapsed="false">
      <c r="A32" s="11" t="s">
        <v>213</v>
      </c>
      <c r="B32" s="9" t="s">
        <v>2801</v>
      </c>
      <c r="C32" s="9" t="s">
        <v>2802</v>
      </c>
      <c r="D32" s="8" t="s">
        <v>2803</v>
      </c>
      <c r="E32" s="8" t="s">
        <v>2804</v>
      </c>
    </row>
    <row r="33" customFormat="false" ht="46.5" hidden="false" customHeight="true" outlineLevel="0" collapsed="false">
      <c r="A33" s="11" t="s">
        <v>271</v>
      </c>
      <c r="B33" s="9" t="s">
        <v>2805</v>
      </c>
      <c r="C33" s="9" t="s">
        <v>2806</v>
      </c>
      <c r="D33" s="8" t="s">
        <v>2807</v>
      </c>
      <c r="E33" s="8" t="s">
        <v>2808</v>
      </c>
    </row>
    <row r="34" customFormat="false" ht="31.5" hidden="false" customHeight="true" outlineLevel="0" collapsed="false">
      <c r="A34" s="11" t="s">
        <v>107</v>
      </c>
      <c r="B34" s="27" t="s">
        <v>2809</v>
      </c>
      <c r="C34" s="9" t="s">
        <v>2810</v>
      </c>
      <c r="D34" s="8" t="s">
        <v>2811</v>
      </c>
      <c r="E34" s="8" t="s">
        <v>2812</v>
      </c>
    </row>
    <row r="35" customFormat="false" ht="16.5" hidden="false" customHeight="true" outlineLevel="0" collapsed="false">
      <c r="A35" s="24" t="n">
        <v>8</v>
      </c>
      <c r="B35" s="9" t="s">
        <v>2813</v>
      </c>
      <c r="C35" s="8" t="s">
        <v>2814</v>
      </c>
      <c r="D35" s="8" t="s">
        <v>2815</v>
      </c>
    </row>
    <row r="36" customFormat="false" ht="16.5" hidden="false" customHeight="true" outlineLevel="0" collapsed="false">
      <c r="A36" s="24" t="n">
        <v>9</v>
      </c>
      <c r="B36" s="9" t="s">
        <v>2816</v>
      </c>
      <c r="C36" s="8" t="s">
        <v>2817</v>
      </c>
      <c r="D36" s="8" t="s">
        <v>166</v>
      </c>
    </row>
    <row r="37" customFormat="false" ht="16.5" hidden="false" customHeight="true" outlineLevel="0" collapsed="false">
      <c r="A37" s="24" t="n">
        <v>10</v>
      </c>
      <c r="B37" s="9" t="s">
        <v>2818</v>
      </c>
      <c r="C37" s="8" t="s">
        <v>2819</v>
      </c>
      <c r="D37" s="8" t="s">
        <v>2820</v>
      </c>
    </row>
    <row r="38" customFormat="false" ht="46.5" hidden="false" customHeight="true" outlineLevel="0" collapsed="false">
      <c r="A38" s="24" t="n">
        <v>11</v>
      </c>
      <c r="B38" s="9" t="s">
        <v>2821</v>
      </c>
      <c r="C38" s="9" t="s">
        <v>2822</v>
      </c>
      <c r="D38" s="8" t="s">
        <v>2823</v>
      </c>
    </row>
    <row r="39" customFormat="false" ht="31.5" hidden="false" customHeight="true" outlineLevel="0" collapsed="false">
      <c r="A39" s="24" t="n">
        <v>12</v>
      </c>
      <c r="B39" s="9" t="s">
        <v>2824</v>
      </c>
      <c r="C39" s="9" t="s">
        <v>2825</v>
      </c>
      <c r="D39" s="8" t="s">
        <v>2826</v>
      </c>
    </row>
  </sheetData>
  <mergeCells count="1"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2"/>
    <col collapsed="false" customWidth="true" hidden="false" outlineLevel="0" max="3" min="3" style="1" width="60"/>
    <col collapsed="false" customWidth="true" hidden="false" outlineLevel="0" max="4" min="4" style="1" width="44"/>
    <col collapsed="false" customWidth="true" hidden="false" outlineLevel="0" max="5" min="5" style="1" width="40"/>
    <col collapsed="false" customWidth="true" hidden="false" outlineLevel="0" max="7" min="6" style="1" width="10"/>
  </cols>
  <sheetData>
    <row r="1" customFormat="false" ht="24" hidden="false" customHeight="true" outlineLevel="0" collapsed="false">
      <c r="A1" s="2" t="s">
        <v>2827</v>
      </c>
    </row>
    <row r="2" customFormat="false" ht="15" hidden="false" customHeight="true" outlineLevel="0" collapsed="false">
      <c r="A2" s="20" t="s">
        <v>2828</v>
      </c>
    </row>
    <row r="4" customFormat="false" ht="15" hidden="false" customHeight="true" outlineLevel="0" collapsed="false">
      <c r="C4" s="78" t="s">
        <v>2829</v>
      </c>
      <c r="D4" s="79" t="n">
        <v>15</v>
      </c>
      <c r="E4" s="20" t="s">
        <v>2830</v>
      </c>
    </row>
    <row r="5" customFormat="false" ht="15" hidden="false" customHeight="true" outlineLevel="0" collapsed="false">
      <c r="C5" s="61" t="s">
        <v>2831</v>
      </c>
      <c r="D5" s="80" t="n">
        <f aca="false">COUNTA(B8:B29)</f>
        <v>22</v>
      </c>
    </row>
    <row r="6" customFormat="false" ht="15" hidden="false" customHeight="true" outlineLevel="0" collapsed="false">
      <c r="C6" s="61" t="s">
        <v>2832</v>
      </c>
      <c r="D6" s="80" t="n">
        <f aca="false">COUNTIF(G8:G29,"초과")</f>
        <v>0</v>
      </c>
    </row>
    <row r="7" customFormat="false" ht="21.75" hidden="false" customHeight="true" outlineLevel="0" collapsed="false">
      <c r="A7" s="22" t="s">
        <v>86</v>
      </c>
      <c r="B7" s="23" t="s">
        <v>2701</v>
      </c>
      <c r="C7" s="23" t="s">
        <v>2422</v>
      </c>
      <c r="D7" s="23" t="s">
        <v>2833</v>
      </c>
      <c r="E7" s="23" t="s">
        <v>2834</v>
      </c>
      <c r="F7" s="23" t="s">
        <v>2835</v>
      </c>
      <c r="G7" s="23" t="s">
        <v>2836</v>
      </c>
    </row>
    <row r="8" customFormat="false" ht="29.25" hidden="false" customHeight="true" outlineLevel="0" collapsed="false">
      <c r="A8" s="24" t="n">
        <v>1</v>
      </c>
      <c r="B8" s="11" t="s">
        <v>2837</v>
      </c>
      <c r="C8" s="8" t="s">
        <v>2838</v>
      </c>
      <c r="D8" s="9" t="s">
        <v>2839</v>
      </c>
      <c r="E8" s="9" t="s">
        <v>2840</v>
      </c>
      <c r="F8" s="24" t="n">
        <f aca="false">LEN(TRIM(C8))-LEN(SUBSTITUTE(TRIM(C8)," ",""))+1</f>
        <v>15</v>
      </c>
      <c r="G8" s="24" t="str">
        <f aca="false">IF(F8&lt;=$D$4,"OK","초과")</f>
        <v>OK</v>
      </c>
    </row>
    <row r="9" customFormat="false" ht="29.25" hidden="false" customHeight="true" outlineLevel="0" collapsed="false">
      <c r="A9" s="24" t="n">
        <v>2</v>
      </c>
      <c r="B9" s="11" t="s">
        <v>2841</v>
      </c>
      <c r="C9" s="8" t="s">
        <v>2842</v>
      </c>
      <c r="D9" s="9" t="s">
        <v>2843</v>
      </c>
      <c r="E9" s="9" t="s">
        <v>2844</v>
      </c>
      <c r="F9" s="24" t="n">
        <f aca="false">LEN(TRIM(C9))-LEN(SUBSTITUTE(TRIM(C9)," ",""))+1</f>
        <v>11</v>
      </c>
      <c r="G9" s="24" t="str">
        <f aca="false">IF(F9&lt;=$D$4,"OK","초과")</f>
        <v>OK</v>
      </c>
    </row>
    <row r="10" customFormat="false" ht="16.5" hidden="false" customHeight="true" outlineLevel="0" collapsed="false">
      <c r="A10" s="24" t="n">
        <v>3</v>
      </c>
      <c r="B10" s="11" t="s">
        <v>2707</v>
      </c>
      <c r="C10" s="8" t="s">
        <v>2845</v>
      </c>
      <c r="D10" s="9" t="s">
        <v>2427</v>
      </c>
      <c r="E10" s="8" t="s">
        <v>2846</v>
      </c>
      <c r="F10" s="24" t="n">
        <f aca="false">LEN(TRIM(C10))-LEN(SUBSTITUTE(TRIM(C10)," ",""))+1</f>
        <v>5</v>
      </c>
      <c r="G10" s="24" t="str">
        <f aca="false">IF(F10&lt;=$D$4,"OK","초과")</f>
        <v>OK</v>
      </c>
    </row>
    <row r="11" customFormat="false" ht="29.25" hidden="false" customHeight="true" outlineLevel="0" collapsed="false">
      <c r="A11" s="24" t="n">
        <v>4</v>
      </c>
      <c r="B11" s="11" t="s">
        <v>2841</v>
      </c>
      <c r="C11" s="8" t="s">
        <v>2847</v>
      </c>
      <c r="D11" s="9" t="s">
        <v>2848</v>
      </c>
      <c r="E11" s="9" t="s">
        <v>2849</v>
      </c>
      <c r="F11" s="24" t="n">
        <f aca="false">LEN(TRIM(C11))-LEN(SUBSTITUTE(TRIM(C11)," ",""))+1</f>
        <v>10</v>
      </c>
      <c r="G11" s="24" t="str">
        <f aca="false">IF(F11&lt;=$D$4,"OK","초과")</f>
        <v>OK</v>
      </c>
    </row>
    <row r="12" customFormat="false" ht="16.5" hidden="false" customHeight="true" outlineLevel="0" collapsed="false">
      <c r="A12" s="24" t="n">
        <v>5</v>
      </c>
      <c r="B12" s="11" t="s">
        <v>2707</v>
      </c>
      <c r="C12" s="8" t="s">
        <v>2850</v>
      </c>
      <c r="D12" s="9" t="s">
        <v>2432</v>
      </c>
      <c r="E12" s="8" t="s">
        <v>2851</v>
      </c>
      <c r="F12" s="24" t="n">
        <f aca="false">LEN(TRIM(C12))-LEN(SUBSTITUTE(TRIM(C12)," ",""))+1</f>
        <v>8</v>
      </c>
      <c r="G12" s="24" t="str">
        <f aca="false">IF(F12&lt;=$D$4,"OK","초과")</f>
        <v>OK</v>
      </c>
    </row>
    <row r="13" customFormat="false" ht="29.25" hidden="false" customHeight="true" outlineLevel="0" collapsed="false">
      <c r="A13" s="24" t="n">
        <v>6</v>
      </c>
      <c r="B13" s="11" t="s">
        <v>2841</v>
      </c>
      <c r="C13" s="8" t="s">
        <v>2852</v>
      </c>
      <c r="D13" s="9" t="s">
        <v>2853</v>
      </c>
      <c r="E13" s="9" t="s">
        <v>2854</v>
      </c>
      <c r="F13" s="24" t="n">
        <f aca="false">LEN(TRIM(C13))-LEN(SUBSTITUTE(TRIM(C13)," ",""))+1</f>
        <v>13</v>
      </c>
      <c r="G13" s="24" t="str">
        <f aca="false">IF(F13&lt;=$D$4,"OK","초과")</f>
        <v>OK</v>
      </c>
    </row>
    <row r="14" customFormat="false" ht="29.25" hidden="false" customHeight="true" outlineLevel="0" collapsed="false">
      <c r="A14" s="24" t="n">
        <v>7</v>
      </c>
      <c r="B14" s="11" t="s">
        <v>2707</v>
      </c>
      <c r="C14" s="8" t="s">
        <v>2855</v>
      </c>
      <c r="D14" s="9" t="s">
        <v>2856</v>
      </c>
      <c r="E14" s="8" t="s">
        <v>2857</v>
      </c>
      <c r="F14" s="24" t="n">
        <f aca="false">LEN(TRIM(C14))-LEN(SUBSTITUTE(TRIM(C14)," ",""))+1</f>
        <v>12</v>
      </c>
      <c r="G14" s="24" t="str">
        <f aca="false">IF(F14&lt;=$D$4,"OK","초과")</f>
        <v>OK</v>
      </c>
    </row>
    <row r="15" customFormat="false" ht="29.25" hidden="false" customHeight="true" outlineLevel="0" collapsed="false">
      <c r="A15" s="24" t="n">
        <v>8</v>
      </c>
      <c r="B15" s="11" t="s">
        <v>2837</v>
      </c>
      <c r="C15" s="8" t="s">
        <v>2446</v>
      </c>
      <c r="D15" s="9" t="s">
        <v>2447</v>
      </c>
      <c r="E15" s="9" t="s">
        <v>2858</v>
      </c>
      <c r="F15" s="24" t="n">
        <f aca="false">LEN(TRIM(C15))-LEN(SUBSTITUTE(TRIM(C15)," ",""))+1</f>
        <v>9</v>
      </c>
      <c r="G15" s="24" t="str">
        <f aca="false">IF(F15&lt;=$D$4,"OK","초과")</f>
        <v>OK</v>
      </c>
    </row>
    <row r="16" customFormat="false" ht="16.5" hidden="false" customHeight="true" outlineLevel="0" collapsed="false">
      <c r="A16" s="24" t="n">
        <v>9</v>
      </c>
      <c r="B16" s="11" t="s">
        <v>2859</v>
      </c>
      <c r="C16" s="8" t="s">
        <v>2443</v>
      </c>
      <c r="D16" s="9" t="s">
        <v>2444</v>
      </c>
      <c r="E16" s="8" t="s">
        <v>2860</v>
      </c>
      <c r="F16" s="24" t="n">
        <f aca="false">LEN(TRIM(C16))-LEN(SUBSTITUTE(TRIM(C16)," ",""))+1</f>
        <v>2</v>
      </c>
      <c r="G16" s="24" t="str">
        <f aca="false">IF(F16&lt;=$D$4,"OK","초과")</f>
        <v>OK</v>
      </c>
    </row>
    <row r="17" customFormat="false" ht="16.5" hidden="false" customHeight="true" outlineLevel="0" collapsed="false">
      <c r="A17" s="24" t="n">
        <v>10</v>
      </c>
      <c r="B17" s="11" t="s">
        <v>2707</v>
      </c>
      <c r="C17" s="8" t="s">
        <v>2861</v>
      </c>
      <c r="D17" s="8" t="s">
        <v>2862</v>
      </c>
      <c r="E17" s="8" t="s">
        <v>2863</v>
      </c>
      <c r="F17" s="24" t="n">
        <f aca="false">LEN(TRIM(C17))-LEN(SUBSTITUTE(TRIM(C17)," ",""))+1</f>
        <v>5</v>
      </c>
      <c r="G17" s="24" t="str">
        <f aca="false">IF(F17&lt;=$D$4,"OK","초과")</f>
        <v>OK</v>
      </c>
    </row>
    <row r="18" customFormat="false" ht="16.5" hidden="false" customHeight="true" outlineLevel="0" collapsed="false">
      <c r="A18" s="24" t="n">
        <v>11</v>
      </c>
      <c r="B18" s="11" t="s">
        <v>2864</v>
      </c>
      <c r="C18" s="8" t="s">
        <v>2450</v>
      </c>
      <c r="D18" s="9" t="s">
        <v>2451</v>
      </c>
      <c r="E18" s="8" t="s">
        <v>2865</v>
      </c>
      <c r="F18" s="24" t="n">
        <f aca="false">LEN(TRIM(C18))-LEN(SUBSTITUTE(TRIM(C18)," ",""))+1</f>
        <v>10</v>
      </c>
      <c r="G18" s="24" t="str">
        <f aca="false">IF(F18&lt;=$D$4,"OK","초과")</f>
        <v>OK</v>
      </c>
    </row>
    <row r="19" customFormat="false" ht="29.25" hidden="false" customHeight="true" outlineLevel="0" collapsed="false">
      <c r="A19" s="24" t="n">
        <v>12</v>
      </c>
      <c r="B19" s="11" t="s">
        <v>2703</v>
      </c>
      <c r="C19" s="8" t="s">
        <v>2453</v>
      </c>
      <c r="D19" s="9" t="s">
        <v>2454</v>
      </c>
      <c r="E19" s="8" t="s">
        <v>2866</v>
      </c>
      <c r="F19" s="24" t="n">
        <f aca="false">LEN(TRIM(C19))-LEN(SUBSTITUTE(TRIM(C19)," ",""))+1</f>
        <v>4</v>
      </c>
      <c r="G19" s="24" t="str">
        <f aca="false">IF(F19&lt;=$D$4,"OK","초과")</f>
        <v>OK</v>
      </c>
    </row>
    <row r="20" customFormat="false" ht="29.25" hidden="false" customHeight="true" outlineLevel="0" collapsed="false">
      <c r="A20" s="24" t="n">
        <v>13</v>
      </c>
      <c r="B20" s="11" t="s">
        <v>2867</v>
      </c>
      <c r="C20" s="8" t="s">
        <v>2868</v>
      </c>
      <c r="D20" s="9" t="s">
        <v>2869</v>
      </c>
      <c r="E20" s="9" t="s">
        <v>2870</v>
      </c>
      <c r="F20" s="24" t="n">
        <f aca="false">LEN(TRIM(C20))-LEN(SUBSTITUTE(TRIM(C20)," ",""))+1</f>
        <v>9</v>
      </c>
      <c r="G20" s="24" t="str">
        <f aca="false">IF(F20&lt;=$D$4,"OK","초과")</f>
        <v>OK</v>
      </c>
    </row>
    <row r="21" customFormat="false" ht="16.5" hidden="false" customHeight="true" outlineLevel="0" collapsed="false">
      <c r="A21" s="24" t="n">
        <v>14</v>
      </c>
      <c r="B21" s="11" t="s">
        <v>2707</v>
      </c>
      <c r="C21" s="8" t="s">
        <v>2871</v>
      </c>
      <c r="D21" s="9" t="s">
        <v>2872</v>
      </c>
      <c r="E21" s="9" t="s">
        <v>2873</v>
      </c>
      <c r="F21" s="24" t="n">
        <f aca="false">LEN(TRIM(C21))-LEN(SUBSTITUTE(TRIM(C21)," ",""))+1</f>
        <v>4</v>
      </c>
      <c r="G21" s="24" t="str">
        <f aca="false">IF(F21&lt;=$D$4,"OK","초과")</f>
        <v>OK</v>
      </c>
    </row>
    <row r="22" customFormat="false" ht="16.5" hidden="false" customHeight="true" outlineLevel="0" collapsed="false">
      <c r="A22" s="24" t="n">
        <v>15</v>
      </c>
      <c r="B22" s="11" t="s">
        <v>2867</v>
      </c>
      <c r="C22" s="8" t="s">
        <v>2874</v>
      </c>
      <c r="D22" s="9" t="s">
        <v>2875</v>
      </c>
      <c r="E22" s="8" t="s">
        <v>2876</v>
      </c>
      <c r="F22" s="24" t="n">
        <f aca="false">LEN(TRIM(C22))-LEN(SUBSTITUTE(TRIM(C22)," ",""))+1</f>
        <v>8</v>
      </c>
      <c r="G22" s="24" t="str">
        <f aca="false">IF(F22&lt;=$D$4,"OK","초과")</f>
        <v>OK</v>
      </c>
    </row>
    <row r="23" customFormat="false" ht="29.25" hidden="false" customHeight="true" outlineLevel="0" collapsed="false">
      <c r="A23" s="24" t="n">
        <v>16</v>
      </c>
      <c r="B23" s="11" t="s">
        <v>2877</v>
      </c>
      <c r="C23" s="8" t="s">
        <v>2878</v>
      </c>
      <c r="D23" s="9" t="s">
        <v>2879</v>
      </c>
      <c r="E23" s="9" t="s">
        <v>2880</v>
      </c>
      <c r="F23" s="24" t="n">
        <f aca="false">LEN(TRIM(C23))-LEN(SUBSTITUTE(TRIM(C23)," ",""))+1</f>
        <v>10</v>
      </c>
      <c r="G23" s="24" t="str">
        <f aca="false">IF(F23&lt;=$D$4,"OK","초과")</f>
        <v>OK</v>
      </c>
    </row>
    <row r="24" customFormat="false" ht="16.5" hidden="false" customHeight="true" outlineLevel="0" collapsed="false">
      <c r="A24" s="24" t="n">
        <v>17</v>
      </c>
      <c r="B24" s="11" t="s">
        <v>2841</v>
      </c>
      <c r="C24" s="8" t="s">
        <v>2881</v>
      </c>
      <c r="D24" s="9" t="s">
        <v>2882</v>
      </c>
      <c r="E24" s="8"/>
      <c r="F24" s="24" t="n">
        <f aca="false">LEN(TRIM(C24))-LEN(SUBSTITUTE(TRIM(C24)," ",""))+1</f>
        <v>8</v>
      </c>
      <c r="G24" s="24" t="str">
        <f aca="false">IF(F24&lt;=$D$4,"OK","초과")</f>
        <v>OK</v>
      </c>
    </row>
    <row r="25" customFormat="false" ht="16.5" hidden="false" customHeight="true" outlineLevel="0" collapsed="false">
      <c r="A25" s="24" t="n">
        <v>18</v>
      </c>
      <c r="B25" s="11" t="s">
        <v>2877</v>
      </c>
      <c r="C25" s="8" t="s">
        <v>2883</v>
      </c>
      <c r="D25" s="9" t="s">
        <v>2884</v>
      </c>
      <c r="E25" s="9" t="s">
        <v>2885</v>
      </c>
      <c r="F25" s="24" t="n">
        <f aca="false">LEN(TRIM(C25))-LEN(SUBSTITUTE(TRIM(C25)," ",""))+1</f>
        <v>7</v>
      </c>
      <c r="G25" s="24" t="str">
        <f aca="false">IF(F25&lt;=$D$4,"OK","초과")</f>
        <v>OK</v>
      </c>
    </row>
    <row r="26" customFormat="false" ht="29.25" hidden="false" customHeight="true" outlineLevel="0" collapsed="false">
      <c r="A26" s="24" t="n">
        <v>19</v>
      </c>
      <c r="B26" s="11" t="s">
        <v>2707</v>
      </c>
      <c r="C26" s="8" t="s">
        <v>2886</v>
      </c>
      <c r="D26" s="9" t="s">
        <v>2887</v>
      </c>
      <c r="E26" s="8" t="s">
        <v>2888</v>
      </c>
      <c r="F26" s="24" t="n">
        <f aca="false">LEN(TRIM(C26))-LEN(SUBSTITUTE(TRIM(C26)," ",""))+1</f>
        <v>7</v>
      </c>
      <c r="G26" s="24" t="str">
        <f aca="false">IF(F26&lt;=$D$4,"OK","초과")</f>
        <v>OK</v>
      </c>
    </row>
    <row r="27" customFormat="false" ht="16.5" hidden="false" customHeight="true" outlineLevel="0" collapsed="false">
      <c r="A27" s="24" t="n">
        <v>20</v>
      </c>
      <c r="B27" s="11" t="s">
        <v>2841</v>
      </c>
      <c r="C27" s="8" t="s">
        <v>2889</v>
      </c>
      <c r="D27" s="9" t="s">
        <v>2890</v>
      </c>
      <c r="E27" s="8" t="s">
        <v>2891</v>
      </c>
      <c r="F27" s="24" t="n">
        <f aca="false">LEN(TRIM(C27))-LEN(SUBSTITUTE(TRIM(C27)," ",""))+1</f>
        <v>3</v>
      </c>
      <c r="G27" s="24" t="str">
        <f aca="false">IF(F27&lt;=$D$4,"OK","초과")</f>
        <v>OK</v>
      </c>
    </row>
    <row r="28" customFormat="false" ht="29.25" hidden="false" customHeight="true" outlineLevel="0" collapsed="false">
      <c r="A28" s="24" t="n">
        <v>21</v>
      </c>
      <c r="B28" s="11" t="s">
        <v>2837</v>
      </c>
      <c r="C28" s="8" t="s">
        <v>2892</v>
      </c>
      <c r="D28" s="9" t="s">
        <v>2893</v>
      </c>
      <c r="E28" s="8" t="s">
        <v>2894</v>
      </c>
      <c r="F28" s="24" t="n">
        <f aca="false">LEN(TRIM(C28))-LEN(SUBSTITUTE(TRIM(C28)," ",""))+1</f>
        <v>14</v>
      </c>
      <c r="G28" s="24" t="str">
        <f aca="false">IF(F28&lt;=$D$4,"OK","초과")</f>
        <v>OK</v>
      </c>
    </row>
    <row r="29" customFormat="false" ht="29.25" hidden="false" customHeight="true" outlineLevel="0" collapsed="false">
      <c r="A29" s="24" t="n">
        <v>22</v>
      </c>
      <c r="B29" s="11" t="s">
        <v>2707</v>
      </c>
      <c r="C29" s="8" t="s">
        <v>2895</v>
      </c>
      <c r="D29" s="9" t="s">
        <v>2896</v>
      </c>
      <c r="E29" s="8"/>
      <c r="F29" s="24" t="n">
        <f aca="false">LEN(TRIM(C29))-LEN(SUBSTITUTE(TRIM(C29)," ",""))+1</f>
        <v>9</v>
      </c>
      <c r="G29" s="24" t="str">
        <f aca="false">IF(F29&lt;=$D$4,"OK","초과")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E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4" min="3" style="1" width="46"/>
    <col collapsed="false" customWidth="true" hidden="false" outlineLevel="0" max="5" min="5" style="1" width="24"/>
  </cols>
  <sheetData>
    <row r="1" customFormat="false" ht="24" hidden="false" customHeight="true" outlineLevel="0" collapsed="false">
      <c r="A1" s="21" t="s">
        <v>2897</v>
      </c>
    </row>
    <row r="3" customFormat="false" ht="18" hidden="false" customHeight="true" outlineLevel="0" collapsed="false">
      <c r="A3" s="38" t="s">
        <v>2898</v>
      </c>
      <c r="B3" s="5"/>
      <c r="C3" s="5"/>
      <c r="D3" s="5"/>
      <c r="E3" s="5"/>
    </row>
    <row r="4" customFormat="false" ht="19.5" hidden="false" customHeight="true" outlineLevel="0" collapsed="false">
      <c r="A4" s="22" t="s">
        <v>86</v>
      </c>
      <c r="B4" s="23" t="s">
        <v>1884</v>
      </c>
      <c r="C4" s="23" t="s">
        <v>2899</v>
      </c>
      <c r="D4" s="23" t="s">
        <v>2900</v>
      </c>
      <c r="E4" s="23" t="s">
        <v>2901</v>
      </c>
    </row>
    <row r="5" customFormat="false" ht="196.5" hidden="false" customHeight="true" outlineLevel="0" collapsed="false">
      <c r="A5" s="24" t="n">
        <v>1</v>
      </c>
      <c r="B5" s="9" t="s">
        <v>2902</v>
      </c>
      <c r="C5" s="8" t="s">
        <v>2903</v>
      </c>
      <c r="D5" s="8" t="s">
        <v>2904</v>
      </c>
      <c r="E5" s="9" t="s">
        <v>2905</v>
      </c>
    </row>
    <row r="6" customFormat="false" ht="76.5" hidden="false" customHeight="true" outlineLevel="0" collapsed="false">
      <c r="A6" s="24" t="n">
        <v>2</v>
      </c>
      <c r="B6" s="9" t="s">
        <v>2906</v>
      </c>
      <c r="C6" s="8" t="s">
        <v>2907</v>
      </c>
      <c r="D6" s="9" t="s">
        <v>2908</v>
      </c>
      <c r="E6" s="9" t="s">
        <v>31</v>
      </c>
    </row>
    <row r="7" customFormat="false" ht="76.5" hidden="false" customHeight="true" outlineLevel="0" collapsed="false">
      <c r="A7" s="24" t="n">
        <v>3</v>
      </c>
      <c r="B7" s="9" t="s">
        <v>2909</v>
      </c>
      <c r="C7" s="9" t="s">
        <v>2910</v>
      </c>
      <c r="D7" s="8" t="s">
        <v>2911</v>
      </c>
      <c r="E7" s="9" t="s">
        <v>31</v>
      </c>
    </row>
    <row r="8" customFormat="false" ht="121.5" hidden="false" customHeight="true" outlineLevel="0" collapsed="false">
      <c r="A8" s="24" t="n">
        <v>4</v>
      </c>
      <c r="B8" s="9" t="s">
        <v>2912</v>
      </c>
      <c r="C8" s="9" t="s">
        <v>2913</v>
      </c>
      <c r="D8" s="8" t="s">
        <v>2914</v>
      </c>
      <c r="E8" s="9" t="s">
        <v>31</v>
      </c>
    </row>
    <row r="9" customFormat="false" ht="151.5" hidden="false" customHeight="true" outlineLevel="0" collapsed="false">
      <c r="A9" s="24" t="n">
        <v>5</v>
      </c>
      <c r="B9" s="8" t="s">
        <v>155</v>
      </c>
      <c r="C9" s="9" t="s">
        <v>2915</v>
      </c>
      <c r="D9" s="9" t="s">
        <v>2916</v>
      </c>
      <c r="E9" s="8" t="s">
        <v>2917</v>
      </c>
    </row>
    <row r="10" customFormat="false" ht="61.5" hidden="false" customHeight="true" outlineLevel="0" collapsed="false">
      <c r="A10" s="24" t="n">
        <v>6</v>
      </c>
      <c r="B10" s="8" t="s">
        <v>2918</v>
      </c>
      <c r="C10" s="9" t="s">
        <v>2919</v>
      </c>
      <c r="D10" s="9" t="s">
        <v>2920</v>
      </c>
      <c r="E10" s="8" t="s">
        <v>2921</v>
      </c>
    </row>
    <row r="11" customFormat="false" ht="76.5" hidden="false" customHeight="true" outlineLevel="0" collapsed="false">
      <c r="A11" s="24" t="n">
        <v>7</v>
      </c>
      <c r="B11" s="8" t="s">
        <v>213</v>
      </c>
      <c r="C11" s="9" t="s">
        <v>2922</v>
      </c>
      <c r="D11" s="9" t="s">
        <v>2923</v>
      </c>
      <c r="E11" s="8" t="s">
        <v>2924</v>
      </c>
    </row>
    <row r="12" customFormat="false" ht="151.5" hidden="false" customHeight="true" outlineLevel="0" collapsed="false">
      <c r="A12" s="24" t="n">
        <v>8</v>
      </c>
      <c r="B12" s="8" t="s">
        <v>2925</v>
      </c>
      <c r="C12" s="8" t="s">
        <v>2926</v>
      </c>
      <c r="D12" s="8" t="s">
        <v>2927</v>
      </c>
      <c r="E12" s="8" t="s">
        <v>2924</v>
      </c>
    </row>
    <row r="13" customFormat="false" ht="61.5" hidden="false" customHeight="true" outlineLevel="0" collapsed="false">
      <c r="A13" s="24" t="n">
        <v>9</v>
      </c>
      <c r="B13" s="9" t="s">
        <v>2928</v>
      </c>
      <c r="C13" s="9" t="s">
        <v>2929</v>
      </c>
      <c r="D13" s="9" t="s">
        <v>2930</v>
      </c>
      <c r="E13" s="8" t="s">
        <v>2924</v>
      </c>
    </row>
    <row r="14" customFormat="false" ht="46.5" hidden="false" customHeight="true" outlineLevel="0" collapsed="false">
      <c r="A14" s="24" t="n">
        <v>10</v>
      </c>
      <c r="B14" s="9" t="s">
        <v>19</v>
      </c>
      <c r="C14" s="9" t="s">
        <v>2931</v>
      </c>
      <c r="D14" s="9" t="s">
        <v>2932</v>
      </c>
      <c r="E14" s="9" t="s">
        <v>69</v>
      </c>
    </row>
    <row r="15" customFormat="false" ht="46.5" hidden="false" customHeight="true" outlineLevel="0" collapsed="false">
      <c r="A15" s="24" t="n">
        <v>11</v>
      </c>
      <c r="B15" s="8" t="s">
        <v>2933</v>
      </c>
      <c r="C15" s="8" t="s">
        <v>2934</v>
      </c>
      <c r="D15" s="9" t="s">
        <v>2935</v>
      </c>
      <c r="E15" s="8" t="s">
        <v>2936</v>
      </c>
    </row>
    <row r="16" customFormat="false" ht="76.5" hidden="false" customHeight="true" outlineLevel="0" collapsed="false">
      <c r="A16" s="24" t="n">
        <v>12</v>
      </c>
      <c r="B16" s="9" t="s">
        <v>3</v>
      </c>
      <c r="C16" s="8" t="s">
        <v>2937</v>
      </c>
      <c r="D16" s="8" t="s">
        <v>2938</v>
      </c>
      <c r="E16" s="9" t="s">
        <v>2939</v>
      </c>
    </row>
    <row r="17" customFormat="false" ht="91.5" hidden="false" customHeight="true" outlineLevel="0" collapsed="false">
      <c r="A17" s="24" t="n">
        <v>13</v>
      </c>
      <c r="B17" s="9" t="s">
        <v>2940</v>
      </c>
      <c r="C17" s="8" t="s">
        <v>2941</v>
      </c>
      <c r="D17" s="8" t="s">
        <v>2942</v>
      </c>
      <c r="E17" s="8" t="s">
        <v>2943</v>
      </c>
    </row>
    <row r="18" customFormat="false" ht="151.5" hidden="false" customHeight="true" outlineLevel="0" collapsed="false">
      <c r="A18" s="24" t="n">
        <v>14</v>
      </c>
      <c r="B18" s="9" t="s">
        <v>2944</v>
      </c>
      <c r="C18" s="8" t="s">
        <v>2945</v>
      </c>
      <c r="D18" s="9" t="s">
        <v>2946</v>
      </c>
      <c r="E18" s="9" t="s">
        <v>2947</v>
      </c>
    </row>
    <row r="19" customFormat="false" ht="151.5" hidden="false" customHeight="true" outlineLevel="0" collapsed="false">
      <c r="A19" s="24" t="n">
        <v>15</v>
      </c>
      <c r="B19" s="9" t="s">
        <v>2948</v>
      </c>
      <c r="C19" s="9" t="s">
        <v>2949</v>
      </c>
      <c r="D19" s="9" t="s">
        <v>2950</v>
      </c>
      <c r="E19" s="9" t="s">
        <v>2951</v>
      </c>
    </row>
    <row r="20" customFormat="false" ht="76.5" hidden="false" customHeight="true" outlineLevel="0" collapsed="false">
      <c r="A20" s="24" t="n">
        <v>16</v>
      </c>
      <c r="B20" s="9" t="s">
        <v>2952</v>
      </c>
      <c r="C20" s="9" t="s">
        <v>2953</v>
      </c>
      <c r="D20" s="9" t="s">
        <v>2954</v>
      </c>
      <c r="E20" s="9" t="s">
        <v>2955</v>
      </c>
    </row>
    <row r="21" customFormat="false" ht="121.5" hidden="false" customHeight="true" outlineLevel="0" collapsed="false">
      <c r="A21" s="24" t="n">
        <v>17</v>
      </c>
      <c r="B21" s="9" t="s">
        <v>2956</v>
      </c>
      <c r="C21" s="8" t="s">
        <v>2957</v>
      </c>
      <c r="D21" s="9" t="s">
        <v>2958</v>
      </c>
      <c r="E21" s="9" t="s">
        <v>31</v>
      </c>
    </row>
    <row r="22" customFormat="false" ht="91.5" hidden="false" customHeight="true" outlineLevel="0" collapsed="false">
      <c r="A22" s="24" t="n">
        <v>18</v>
      </c>
      <c r="B22" s="9" t="s">
        <v>2773</v>
      </c>
      <c r="C22" s="8" t="s">
        <v>301</v>
      </c>
      <c r="D22" s="9" t="s">
        <v>2959</v>
      </c>
      <c r="E22" s="9" t="s">
        <v>2960</v>
      </c>
    </row>
    <row r="23" customFormat="false" ht="106.5" hidden="false" customHeight="true" outlineLevel="0" collapsed="false">
      <c r="A23" s="24" t="n">
        <v>19</v>
      </c>
      <c r="B23" s="9" t="s">
        <v>2961</v>
      </c>
      <c r="C23" s="9" t="s">
        <v>2962</v>
      </c>
      <c r="D23" s="8" t="s">
        <v>2963</v>
      </c>
      <c r="E23" s="9" t="s">
        <v>34</v>
      </c>
    </row>
    <row r="24" customFormat="false" ht="61.5" hidden="false" customHeight="true" outlineLevel="0" collapsed="false">
      <c r="A24" s="24" t="n">
        <v>20</v>
      </c>
      <c r="B24" s="8" t="s">
        <v>2964</v>
      </c>
      <c r="C24" s="8" t="s">
        <v>2965</v>
      </c>
      <c r="D24" s="8" t="s">
        <v>2966</v>
      </c>
      <c r="E24" s="8" t="s">
        <v>2917</v>
      </c>
    </row>
    <row r="25" customFormat="false" ht="91.5" hidden="false" customHeight="true" outlineLevel="0" collapsed="false">
      <c r="A25" s="24" t="n">
        <v>21</v>
      </c>
      <c r="B25" s="9" t="s">
        <v>2967</v>
      </c>
      <c r="C25" s="8" t="s">
        <v>2968</v>
      </c>
      <c r="D25" s="9" t="s">
        <v>2969</v>
      </c>
      <c r="E25" s="9" t="s">
        <v>2970</v>
      </c>
    </row>
    <row r="26" customFormat="false" ht="151.5" hidden="false" customHeight="true" outlineLevel="0" collapsed="false">
      <c r="A26" s="24" t="n">
        <v>22</v>
      </c>
      <c r="B26" s="8" t="s">
        <v>2971</v>
      </c>
      <c r="C26" s="8" t="s">
        <v>2972</v>
      </c>
      <c r="D26" s="8" t="s">
        <v>2973</v>
      </c>
      <c r="E26" s="9" t="s">
        <v>2974</v>
      </c>
    </row>
    <row r="27" customFormat="false" ht="121.5" hidden="false" customHeight="true" outlineLevel="0" collapsed="false">
      <c r="A27" s="24" t="n">
        <v>23</v>
      </c>
      <c r="B27" s="8" t="s">
        <v>2975</v>
      </c>
      <c r="C27" s="8" t="s">
        <v>2976</v>
      </c>
      <c r="D27" s="9" t="s">
        <v>2977</v>
      </c>
      <c r="E27" s="9" t="s">
        <v>2974</v>
      </c>
    </row>
    <row r="28" customFormat="false" ht="46.5" hidden="false" customHeight="true" outlineLevel="0" collapsed="false">
      <c r="A28" s="24" t="n">
        <v>24</v>
      </c>
      <c r="B28" s="9" t="s">
        <v>2978</v>
      </c>
      <c r="C28" s="9" t="s">
        <v>2979</v>
      </c>
      <c r="D28" s="9" t="s">
        <v>2980</v>
      </c>
      <c r="E28" s="9" t="s">
        <v>2981</v>
      </c>
    </row>
    <row r="29" customFormat="false" ht="61.5" hidden="false" customHeight="true" outlineLevel="0" collapsed="false">
      <c r="A29" s="24" t="n">
        <v>25</v>
      </c>
      <c r="B29" s="9" t="s">
        <v>31</v>
      </c>
      <c r="C29" s="9" t="s">
        <v>2982</v>
      </c>
      <c r="D29" s="9" t="s">
        <v>2983</v>
      </c>
      <c r="E29" s="9" t="s">
        <v>31</v>
      </c>
    </row>
    <row r="30" customFormat="false" ht="121.5" hidden="false" customHeight="true" outlineLevel="0" collapsed="false">
      <c r="A30" s="24" t="n">
        <v>26</v>
      </c>
      <c r="B30" s="9" t="s">
        <v>2984</v>
      </c>
      <c r="C30" s="8" t="s">
        <v>301</v>
      </c>
      <c r="D30" s="8" t="s">
        <v>2985</v>
      </c>
      <c r="E30" s="9" t="s">
        <v>2986</v>
      </c>
    </row>
    <row r="31" customFormat="false" ht="76.5" hidden="false" customHeight="true" outlineLevel="0" collapsed="false">
      <c r="A31" s="24" t="n">
        <v>27</v>
      </c>
      <c r="B31" s="9" t="s">
        <v>2987</v>
      </c>
      <c r="C31" s="8" t="s">
        <v>2988</v>
      </c>
      <c r="D31" s="8" t="s">
        <v>2989</v>
      </c>
      <c r="E31" s="9" t="s">
        <v>2974</v>
      </c>
    </row>
    <row r="32" customFormat="false" ht="151.5" hidden="false" customHeight="true" outlineLevel="0" collapsed="false">
      <c r="A32" s="24" t="n">
        <v>28</v>
      </c>
      <c r="B32" s="9" t="s">
        <v>2990</v>
      </c>
      <c r="C32" s="8" t="s">
        <v>301</v>
      </c>
      <c r="D32" s="8" t="s">
        <v>2991</v>
      </c>
      <c r="E32" s="9" t="s">
        <v>2986</v>
      </c>
    </row>
    <row r="33" customFormat="false" ht="136.5" hidden="false" customHeight="true" outlineLevel="0" collapsed="false">
      <c r="A33" s="24" t="n">
        <v>29</v>
      </c>
      <c r="B33" s="9" t="s">
        <v>2992</v>
      </c>
      <c r="C33" s="8" t="s">
        <v>301</v>
      </c>
      <c r="D33" s="8" t="s">
        <v>2993</v>
      </c>
      <c r="E33" s="9" t="s">
        <v>2986</v>
      </c>
    </row>
    <row r="34" customFormat="false" ht="61.5" hidden="false" customHeight="true" outlineLevel="0" collapsed="false">
      <c r="A34" s="24" t="n">
        <v>30</v>
      </c>
      <c r="B34" s="9" t="s">
        <v>2994</v>
      </c>
      <c r="C34" s="8" t="s">
        <v>301</v>
      </c>
      <c r="D34" s="9" t="s">
        <v>2995</v>
      </c>
      <c r="E34" s="9" t="s">
        <v>2996</v>
      </c>
    </row>
    <row r="35" customFormat="false" ht="166.5" hidden="false" customHeight="true" outlineLevel="0" collapsed="false">
      <c r="A35" s="24" t="n">
        <v>31</v>
      </c>
      <c r="B35" s="9" t="s">
        <v>2997</v>
      </c>
      <c r="C35" s="9" t="s">
        <v>2998</v>
      </c>
      <c r="D35" s="9" t="s">
        <v>2999</v>
      </c>
      <c r="E35" s="9" t="s">
        <v>2981</v>
      </c>
    </row>
    <row r="36" customFormat="false" ht="46.5" hidden="false" customHeight="true" outlineLevel="0" collapsed="false">
      <c r="A36" s="24" t="n">
        <v>32</v>
      </c>
      <c r="B36" s="9" t="s">
        <v>3000</v>
      </c>
      <c r="C36" s="8" t="s">
        <v>3001</v>
      </c>
      <c r="D36" s="8" t="s">
        <v>3002</v>
      </c>
      <c r="E36" s="8" t="s">
        <v>2921</v>
      </c>
    </row>
    <row r="37" customFormat="false" ht="106.5" hidden="false" customHeight="true" outlineLevel="0" collapsed="false">
      <c r="A37" s="24" t="n">
        <v>33</v>
      </c>
      <c r="B37" s="9" t="s">
        <v>3003</v>
      </c>
      <c r="C37" s="9" t="s">
        <v>3004</v>
      </c>
      <c r="D37" s="9" t="s">
        <v>3005</v>
      </c>
      <c r="E37" s="9" t="s">
        <v>3006</v>
      </c>
    </row>
    <row r="38" customFormat="false" ht="136.5" hidden="false" customHeight="true" outlineLevel="0" collapsed="false">
      <c r="A38" s="24" t="n">
        <v>34</v>
      </c>
      <c r="B38" s="9" t="s">
        <v>3007</v>
      </c>
      <c r="C38" s="8" t="s">
        <v>301</v>
      </c>
      <c r="D38" s="9" t="s">
        <v>3008</v>
      </c>
      <c r="E38" s="9" t="s">
        <v>3009</v>
      </c>
    </row>
    <row r="39" customFormat="false" ht="76.5" hidden="false" customHeight="true" outlineLevel="0" collapsed="false">
      <c r="A39" s="24" t="n">
        <v>35</v>
      </c>
      <c r="B39" s="9" t="s">
        <v>2987</v>
      </c>
      <c r="C39" s="9" t="s">
        <v>3010</v>
      </c>
      <c r="D39" s="9" t="s">
        <v>3011</v>
      </c>
      <c r="E39" s="9" t="s">
        <v>2974</v>
      </c>
    </row>
    <row r="40" customFormat="false" ht="181.5" hidden="false" customHeight="true" outlineLevel="0" collapsed="false">
      <c r="A40" s="24" t="n">
        <v>36</v>
      </c>
      <c r="B40" s="8" t="s">
        <v>3012</v>
      </c>
      <c r="C40" s="9" t="s">
        <v>3013</v>
      </c>
      <c r="D40" s="8" t="s">
        <v>3014</v>
      </c>
      <c r="E40" s="9" t="s">
        <v>2974</v>
      </c>
    </row>
    <row r="41" customFormat="false" ht="301.5" hidden="false" customHeight="true" outlineLevel="0" collapsed="false">
      <c r="A41" s="24" t="n">
        <v>37</v>
      </c>
      <c r="B41" s="8" t="s">
        <v>3015</v>
      </c>
      <c r="C41" s="8" t="s">
        <v>3016</v>
      </c>
      <c r="D41" s="8" t="s">
        <v>3017</v>
      </c>
      <c r="E41" s="9" t="s">
        <v>3018</v>
      </c>
    </row>
    <row r="42" customFormat="false" ht="151.5" hidden="false" customHeight="true" outlineLevel="0" collapsed="false">
      <c r="A42" s="24" t="n">
        <v>38</v>
      </c>
      <c r="B42" s="8" t="s">
        <v>3019</v>
      </c>
      <c r="C42" s="8" t="s">
        <v>301</v>
      </c>
      <c r="D42" s="9" t="s">
        <v>3020</v>
      </c>
      <c r="E42" s="9" t="s">
        <v>3021</v>
      </c>
    </row>
    <row r="43" customFormat="false" ht="211.5" hidden="false" customHeight="true" outlineLevel="0" collapsed="false">
      <c r="A43" s="24" t="n">
        <v>39</v>
      </c>
      <c r="B43" s="9" t="s">
        <v>3022</v>
      </c>
      <c r="C43" s="9" t="s">
        <v>3023</v>
      </c>
      <c r="D43" s="9" t="s">
        <v>3024</v>
      </c>
      <c r="E43" s="9" t="s">
        <v>34</v>
      </c>
    </row>
    <row r="44" customFormat="false" ht="121.5" hidden="false" customHeight="true" outlineLevel="0" collapsed="false">
      <c r="A44" s="24" t="n">
        <v>40</v>
      </c>
      <c r="B44" s="9" t="s">
        <v>3025</v>
      </c>
      <c r="C44" s="8" t="s">
        <v>3026</v>
      </c>
      <c r="D44" s="8" t="s">
        <v>3027</v>
      </c>
      <c r="E44" s="9" t="s">
        <v>3028</v>
      </c>
    </row>
    <row r="45" customFormat="false" ht="211.5" hidden="false" customHeight="true" outlineLevel="0" collapsed="false">
      <c r="A45" s="24" t="n">
        <v>41</v>
      </c>
      <c r="B45" s="8" t="s">
        <v>3029</v>
      </c>
      <c r="C45" s="8" t="s">
        <v>3030</v>
      </c>
      <c r="D45" s="8" t="s">
        <v>3031</v>
      </c>
      <c r="E45" s="9" t="s">
        <v>3032</v>
      </c>
    </row>
    <row r="46" customFormat="false" ht="286.5" hidden="false" customHeight="true" outlineLevel="0" collapsed="false">
      <c r="A46" s="24" t="n">
        <v>42</v>
      </c>
      <c r="B46" s="9" t="s">
        <v>3033</v>
      </c>
      <c r="C46" s="8" t="s">
        <v>301</v>
      </c>
      <c r="D46" s="9" t="s">
        <v>3034</v>
      </c>
      <c r="E46" s="9" t="s">
        <v>3035</v>
      </c>
    </row>
    <row r="47" customFormat="false" ht="211.5" hidden="false" customHeight="true" outlineLevel="0" collapsed="false">
      <c r="A47" s="24" t="n">
        <v>43</v>
      </c>
      <c r="B47" s="8" t="s">
        <v>3036</v>
      </c>
      <c r="C47" s="9" t="s">
        <v>3037</v>
      </c>
      <c r="D47" s="8" t="s">
        <v>3038</v>
      </c>
      <c r="E47" s="9" t="s">
        <v>54</v>
      </c>
    </row>
    <row r="48" customFormat="false" ht="151.5" hidden="false" customHeight="true" outlineLevel="0" collapsed="false">
      <c r="A48" s="24" t="n">
        <v>44</v>
      </c>
      <c r="B48" s="9" t="s">
        <v>3039</v>
      </c>
      <c r="C48" s="8" t="s">
        <v>3040</v>
      </c>
      <c r="D48" s="8" t="s">
        <v>3041</v>
      </c>
      <c r="E48" s="9" t="s">
        <v>2970</v>
      </c>
    </row>
    <row r="49" customFormat="false" ht="226.5" hidden="false" customHeight="true" outlineLevel="0" collapsed="false">
      <c r="A49" s="24" t="n">
        <v>45</v>
      </c>
      <c r="B49" s="9" t="s">
        <v>3042</v>
      </c>
      <c r="C49" s="8" t="s">
        <v>301</v>
      </c>
      <c r="D49" s="9" t="s">
        <v>3043</v>
      </c>
      <c r="E49" s="9" t="s">
        <v>3044</v>
      </c>
    </row>
    <row r="50" customFormat="false" ht="121.5" hidden="false" customHeight="true" outlineLevel="0" collapsed="false">
      <c r="A50" s="24" t="n">
        <v>46</v>
      </c>
      <c r="B50" s="9" t="s">
        <v>3045</v>
      </c>
      <c r="C50" s="9" t="s">
        <v>3046</v>
      </c>
      <c r="D50" s="9" t="s">
        <v>3047</v>
      </c>
      <c r="E50" s="9" t="s">
        <v>3048</v>
      </c>
    </row>
    <row r="51" customFormat="false" ht="316.5" hidden="false" customHeight="true" outlineLevel="0" collapsed="false">
      <c r="A51" s="24" t="n">
        <v>47</v>
      </c>
      <c r="B51" s="8" t="s">
        <v>3049</v>
      </c>
      <c r="C51" s="8" t="s">
        <v>301</v>
      </c>
      <c r="D51" s="9" t="s">
        <v>3050</v>
      </c>
      <c r="E51" s="9" t="s">
        <v>3051</v>
      </c>
    </row>
    <row r="52" customFormat="false" ht="226.5" hidden="false" customHeight="true" outlineLevel="0" collapsed="false">
      <c r="A52" s="24" t="n">
        <v>48</v>
      </c>
      <c r="B52" s="9" t="s">
        <v>3052</v>
      </c>
      <c r="C52" s="9" t="s">
        <v>3053</v>
      </c>
      <c r="D52" s="9" t="s">
        <v>3054</v>
      </c>
      <c r="E52" s="9" t="s">
        <v>3055</v>
      </c>
    </row>
    <row r="53" customFormat="false" ht="241.5" hidden="false" customHeight="true" outlineLevel="0" collapsed="false">
      <c r="A53" s="24" t="n">
        <v>49</v>
      </c>
      <c r="B53" s="9" t="s">
        <v>3056</v>
      </c>
      <c r="C53" s="8" t="s">
        <v>3057</v>
      </c>
      <c r="D53" s="8" t="s">
        <v>3058</v>
      </c>
      <c r="E53" s="9" t="s">
        <v>3055</v>
      </c>
    </row>
    <row r="54" customFormat="false" ht="181.5" hidden="false" customHeight="true" outlineLevel="0" collapsed="false">
      <c r="A54" s="24" t="n">
        <v>50</v>
      </c>
      <c r="B54" s="9" t="s">
        <v>54</v>
      </c>
      <c r="C54" s="9" t="s">
        <v>3059</v>
      </c>
      <c r="D54" s="9" t="s">
        <v>3060</v>
      </c>
      <c r="E54" s="9" t="s">
        <v>3061</v>
      </c>
    </row>
    <row r="55" customFormat="false" ht="151.5" hidden="false" customHeight="true" outlineLevel="0" collapsed="false">
      <c r="A55" s="24" t="n">
        <v>51</v>
      </c>
      <c r="B55" s="9" t="s">
        <v>3062</v>
      </c>
      <c r="C55" s="9" t="s">
        <v>3063</v>
      </c>
      <c r="D55" s="9" t="s">
        <v>3064</v>
      </c>
      <c r="E55" s="9" t="s">
        <v>3065</v>
      </c>
    </row>
    <row r="56" customFormat="false" ht="181.5" hidden="false" customHeight="true" outlineLevel="0" collapsed="false">
      <c r="A56" s="24" t="n">
        <v>52</v>
      </c>
      <c r="B56" s="9" t="s">
        <v>3066</v>
      </c>
      <c r="C56" s="9" t="s">
        <v>3067</v>
      </c>
      <c r="D56" s="9" t="s">
        <v>3068</v>
      </c>
      <c r="E56" s="8" t="s">
        <v>2109</v>
      </c>
    </row>
    <row r="57" customFormat="false" ht="196.5" hidden="false" customHeight="true" outlineLevel="0" collapsed="false">
      <c r="A57" s="24" t="n">
        <v>53</v>
      </c>
      <c r="B57" s="9" t="s">
        <v>3069</v>
      </c>
      <c r="C57" s="9" t="s">
        <v>3070</v>
      </c>
      <c r="D57" s="9" t="s">
        <v>3071</v>
      </c>
      <c r="E57" s="9" t="s">
        <v>3072</v>
      </c>
    </row>
    <row r="58" customFormat="false" ht="106.5" hidden="false" customHeight="true" outlineLevel="0" collapsed="false">
      <c r="A58" s="24" t="n">
        <v>54</v>
      </c>
      <c r="B58" s="9" t="s">
        <v>3073</v>
      </c>
      <c r="C58" s="8" t="s">
        <v>3074</v>
      </c>
      <c r="D58" s="8" t="s">
        <v>3075</v>
      </c>
      <c r="E58" s="9" t="s">
        <v>31</v>
      </c>
    </row>
    <row r="59" customFormat="false" ht="166.5" hidden="false" customHeight="true" outlineLevel="0" collapsed="false">
      <c r="A59" s="24" t="n">
        <v>55</v>
      </c>
      <c r="B59" s="8" t="s">
        <v>3076</v>
      </c>
      <c r="C59" s="9" t="s">
        <v>3077</v>
      </c>
      <c r="D59" s="9" t="s">
        <v>3078</v>
      </c>
      <c r="E59" s="8" t="s">
        <v>3079</v>
      </c>
    </row>
    <row r="60" customFormat="false" ht="121.5" hidden="false" customHeight="true" outlineLevel="0" collapsed="false">
      <c r="A60" s="24" t="n">
        <v>56</v>
      </c>
      <c r="B60" s="8" t="s">
        <v>3080</v>
      </c>
      <c r="C60" s="9" t="s">
        <v>3081</v>
      </c>
      <c r="D60" s="9" t="s">
        <v>3082</v>
      </c>
      <c r="E60" s="9" t="s">
        <v>3021</v>
      </c>
    </row>
    <row r="61" customFormat="false" ht="91.5" hidden="false" customHeight="true" outlineLevel="0" collapsed="false">
      <c r="A61" s="24" t="n">
        <v>57</v>
      </c>
      <c r="B61" s="9" t="s">
        <v>3083</v>
      </c>
      <c r="C61" s="8" t="s">
        <v>3084</v>
      </c>
      <c r="D61" s="8" t="s">
        <v>3085</v>
      </c>
      <c r="E61" s="9" t="s">
        <v>3086</v>
      </c>
    </row>
    <row r="62" customFormat="false" ht="106.5" hidden="false" customHeight="true" outlineLevel="0" collapsed="false">
      <c r="A62" s="24" t="n">
        <v>58</v>
      </c>
      <c r="B62" s="9" t="s">
        <v>3087</v>
      </c>
      <c r="C62" s="8" t="s">
        <v>3088</v>
      </c>
      <c r="D62" s="8" t="s">
        <v>3089</v>
      </c>
      <c r="E62" s="9" t="s">
        <v>3090</v>
      </c>
    </row>
    <row r="63" customFormat="false" ht="151.5" hidden="false" customHeight="true" outlineLevel="0" collapsed="false">
      <c r="A63" s="24" t="n">
        <v>59</v>
      </c>
      <c r="B63" s="9" t="s">
        <v>2978</v>
      </c>
      <c r="C63" s="9" t="s">
        <v>3091</v>
      </c>
      <c r="D63" s="9" t="s">
        <v>3092</v>
      </c>
      <c r="E63" s="9" t="s">
        <v>3093</v>
      </c>
    </row>
    <row r="64" customFormat="false" ht="29.25" hidden="false" customHeight="true" outlineLevel="0" collapsed="false"/>
    <row r="65" customFormat="false" ht="29.25" hidden="false" customHeight="true" outlineLevel="0" collapsed="false">
      <c r="A65" s="38" t="s">
        <v>3094</v>
      </c>
      <c r="B65" s="5"/>
      <c r="C65" s="5"/>
      <c r="D65" s="5"/>
      <c r="E65" s="5"/>
    </row>
    <row r="66" customFormat="false" ht="16.5" hidden="false" customHeight="true" outlineLevel="0" collapsed="false">
      <c r="A66" s="22" t="s">
        <v>86</v>
      </c>
      <c r="B66" s="23" t="s">
        <v>1884</v>
      </c>
      <c r="C66" s="23" t="s">
        <v>2485</v>
      </c>
      <c r="D66" s="23" t="s">
        <v>3095</v>
      </c>
      <c r="E66" s="23" t="s">
        <v>3096</v>
      </c>
    </row>
    <row r="67" customFormat="false" ht="46.5" hidden="false" customHeight="true" outlineLevel="0" collapsed="false">
      <c r="A67" s="24" t="n">
        <v>1</v>
      </c>
      <c r="B67" s="9" t="s">
        <v>3097</v>
      </c>
      <c r="C67" s="8" t="s">
        <v>3098</v>
      </c>
      <c r="D67" s="9" t="s">
        <v>3099</v>
      </c>
      <c r="E67" s="9" t="s">
        <v>3100</v>
      </c>
    </row>
    <row r="68" customFormat="false" ht="121.5" hidden="false" customHeight="true" outlineLevel="0" collapsed="false">
      <c r="A68" s="24" t="n">
        <v>2</v>
      </c>
      <c r="B68" s="8" t="s">
        <v>3101</v>
      </c>
      <c r="C68" s="9" t="s">
        <v>3102</v>
      </c>
      <c r="D68" s="9" t="s">
        <v>3103</v>
      </c>
      <c r="E68" s="8" t="s">
        <v>2924</v>
      </c>
    </row>
    <row r="69" customFormat="false" ht="91.5" hidden="false" customHeight="true" outlineLevel="0" collapsed="false">
      <c r="A69" s="24" t="n">
        <v>3</v>
      </c>
      <c r="B69" s="8" t="s">
        <v>3104</v>
      </c>
      <c r="C69" s="8" t="s">
        <v>3105</v>
      </c>
      <c r="D69" s="8" t="s">
        <v>3106</v>
      </c>
      <c r="E69" s="9" t="s">
        <v>59</v>
      </c>
    </row>
    <row r="70" customFormat="false" ht="91.5" hidden="false" customHeight="true" outlineLevel="0" collapsed="false">
      <c r="A70" s="24" t="n">
        <v>4</v>
      </c>
      <c r="B70" s="9" t="s">
        <v>3107</v>
      </c>
      <c r="C70" s="8" t="s">
        <v>3108</v>
      </c>
      <c r="D70" s="9" t="s">
        <v>3109</v>
      </c>
      <c r="E70" s="9" t="s">
        <v>3090</v>
      </c>
    </row>
    <row r="71" customFormat="false" ht="121.5" hidden="false" customHeight="true" outlineLevel="0" collapsed="false">
      <c r="A71" s="24" t="n">
        <v>5</v>
      </c>
      <c r="B71" s="9" t="s">
        <v>3110</v>
      </c>
      <c r="C71" s="8" t="s">
        <v>3111</v>
      </c>
      <c r="D71" s="8" t="s">
        <v>3112</v>
      </c>
      <c r="E71" s="9" t="s">
        <v>3113</v>
      </c>
    </row>
    <row r="72" customFormat="false" ht="91.5" hidden="false" customHeight="true" outlineLevel="0" collapsed="false">
      <c r="A72" s="24" t="n">
        <v>6</v>
      </c>
      <c r="B72" s="9" t="s">
        <v>3114</v>
      </c>
      <c r="C72" s="9" t="s">
        <v>3115</v>
      </c>
      <c r="D72" s="9" t="s">
        <v>3116</v>
      </c>
      <c r="E72" s="8" t="s">
        <v>3117</v>
      </c>
    </row>
    <row r="73" customFormat="false" ht="106.5" hidden="false" customHeight="true" outlineLevel="0" collapsed="false">
      <c r="A73" s="24" t="n">
        <v>7</v>
      </c>
      <c r="B73" s="9" t="s">
        <v>3118</v>
      </c>
      <c r="C73" s="9" t="s">
        <v>3119</v>
      </c>
      <c r="D73" s="8" t="s">
        <v>3120</v>
      </c>
      <c r="E73" s="9" t="s">
        <v>3083</v>
      </c>
    </row>
    <row r="74" customFormat="false" ht="106.5" hidden="false" customHeight="true" outlineLevel="0" collapsed="false">
      <c r="A74" s="24" t="n">
        <v>8</v>
      </c>
      <c r="B74" s="8" t="s">
        <v>3121</v>
      </c>
      <c r="C74" s="8" t="s">
        <v>3122</v>
      </c>
      <c r="D74" s="8" t="s">
        <v>3123</v>
      </c>
      <c r="E74" s="9" t="s">
        <v>3124</v>
      </c>
    </row>
    <row r="75" customFormat="false" ht="61.5" hidden="false" customHeight="true" outlineLevel="0" collapsed="false">
      <c r="A75" s="24" t="n">
        <v>9</v>
      </c>
      <c r="B75" s="9" t="s">
        <v>3125</v>
      </c>
      <c r="C75" s="8" t="s">
        <v>3126</v>
      </c>
      <c r="D75" s="8" t="s">
        <v>3127</v>
      </c>
      <c r="E75" s="9" t="s">
        <v>3128</v>
      </c>
    </row>
    <row r="76" customFormat="false" ht="46.5" hidden="false" customHeight="true" outlineLevel="0" collapsed="false">
      <c r="A76" s="24" t="n">
        <v>10</v>
      </c>
      <c r="B76" s="9" t="s">
        <v>3129</v>
      </c>
      <c r="C76" s="8" t="s">
        <v>3130</v>
      </c>
      <c r="D76" s="9" t="s">
        <v>3131</v>
      </c>
      <c r="E76" s="9" t="s">
        <v>54</v>
      </c>
    </row>
    <row r="77" customFormat="false" ht="76.5" hidden="false" customHeight="true" outlineLevel="0" collapsed="false">
      <c r="A77" s="24" t="n">
        <v>11</v>
      </c>
      <c r="B77" s="9" t="s">
        <v>2248</v>
      </c>
      <c r="C77" s="9" t="s">
        <v>3132</v>
      </c>
      <c r="D77" s="9" t="s">
        <v>3133</v>
      </c>
      <c r="E77" s="9" t="s">
        <v>3128</v>
      </c>
    </row>
    <row r="78" customFormat="false" ht="46.5" hidden="false" customHeight="true" outlineLevel="0" collapsed="false">
      <c r="A78" s="24" t="n">
        <v>12</v>
      </c>
      <c r="B78" s="9" t="s">
        <v>3134</v>
      </c>
      <c r="C78" s="9" t="s">
        <v>3135</v>
      </c>
      <c r="D78" s="9" t="s">
        <v>3136</v>
      </c>
      <c r="E78" s="9" t="s">
        <v>69</v>
      </c>
    </row>
    <row r="79" customFormat="false" ht="61.5" hidden="false" customHeight="true" outlineLevel="0" collapsed="false">
      <c r="A79" s="24" t="n">
        <v>13</v>
      </c>
      <c r="B79" s="9" t="s">
        <v>3137</v>
      </c>
      <c r="C79" s="8" t="s">
        <v>3138</v>
      </c>
      <c r="D79" s="8" t="s">
        <v>3139</v>
      </c>
      <c r="E79" s="9" t="s">
        <v>54</v>
      </c>
    </row>
    <row r="80" customFormat="false" ht="76.5" hidden="false" customHeight="true" outlineLevel="0" collapsed="false">
      <c r="A80" s="24" t="n">
        <v>14</v>
      </c>
      <c r="B80" s="9" t="s">
        <v>3140</v>
      </c>
      <c r="C80" s="8" t="s">
        <v>3141</v>
      </c>
      <c r="D80" s="9" t="s">
        <v>3142</v>
      </c>
      <c r="E80" s="9" t="s">
        <v>3143</v>
      </c>
    </row>
    <row r="81" customFormat="false" ht="61.5" hidden="false" customHeight="true" outlineLevel="0" collapsed="false">
      <c r="A81" s="24" t="n">
        <v>15</v>
      </c>
      <c r="B81" s="9" t="s">
        <v>3144</v>
      </c>
      <c r="C81" s="8" t="s">
        <v>3145</v>
      </c>
      <c r="D81" s="9" t="s">
        <v>3146</v>
      </c>
      <c r="E81" s="9" t="s">
        <v>3100</v>
      </c>
    </row>
    <row r="82" customFormat="false" ht="61.5" hidden="false" customHeight="true" outlineLevel="0" collapsed="false">
      <c r="A82" s="24" t="n">
        <v>16</v>
      </c>
      <c r="B82" s="8" t="s">
        <v>3147</v>
      </c>
      <c r="C82" s="8" t="s">
        <v>3148</v>
      </c>
      <c r="D82" s="9" t="s">
        <v>3149</v>
      </c>
      <c r="E82" s="9" t="s">
        <v>3150</v>
      </c>
    </row>
    <row r="83" customFormat="false" ht="46.5" hidden="false" customHeight="true" outlineLevel="0" collapsed="false">
      <c r="A83" s="24" t="n">
        <v>17</v>
      </c>
      <c r="B83" s="8" t="s">
        <v>3151</v>
      </c>
      <c r="C83" s="9" t="s">
        <v>3152</v>
      </c>
      <c r="D83" s="9" t="s">
        <v>3153</v>
      </c>
      <c r="E83" s="9" t="s">
        <v>3093</v>
      </c>
    </row>
    <row r="84" customFormat="false" ht="106.5" hidden="false" customHeight="true" outlineLevel="0" collapsed="false">
      <c r="A84" s="24" t="n">
        <v>18</v>
      </c>
      <c r="B84" s="9" t="s">
        <v>3154</v>
      </c>
      <c r="C84" s="9" t="s">
        <v>3155</v>
      </c>
      <c r="D84" s="9" t="s">
        <v>3156</v>
      </c>
      <c r="E84" s="9" t="s">
        <v>3021</v>
      </c>
    </row>
    <row r="85" customFormat="false" ht="46.5" hidden="false" customHeight="true" outlineLevel="0" collapsed="false">
      <c r="A85" s="24" t="n">
        <v>19</v>
      </c>
      <c r="B85" s="9" t="s">
        <v>3157</v>
      </c>
      <c r="C85" s="8" t="s">
        <v>3158</v>
      </c>
      <c r="D85" s="9" t="s">
        <v>3159</v>
      </c>
      <c r="E85" s="9" t="s">
        <v>3100</v>
      </c>
    </row>
    <row r="86" customFormat="false" ht="61.5" hidden="false" customHeight="true" outlineLevel="0" collapsed="false">
      <c r="A86" s="24" t="n">
        <v>20</v>
      </c>
      <c r="B86" s="8" t="s">
        <v>3160</v>
      </c>
      <c r="C86" s="8" t="s">
        <v>3161</v>
      </c>
      <c r="D86" s="9" t="s">
        <v>3162</v>
      </c>
      <c r="E86" s="9" t="s">
        <v>3021</v>
      </c>
    </row>
    <row r="87" customFormat="false" ht="106.5" hidden="false" customHeight="true" outlineLevel="0" collapsed="false">
      <c r="A87" s="24" t="n">
        <v>21</v>
      </c>
      <c r="B87" s="9" t="s">
        <v>3163</v>
      </c>
      <c r="C87" s="9" t="s">
        <v>3164</v>
      </c>
      <c r="D87" s="9" t="s">
        <v>3165</v>
      </c>
      <c r="E87" s="9" t="s">
        <v>3166</v>
      </c>
    </row>
    <row r="88" customFormat="false" ht="106.5" hidden="false" customHeight="true" outlineLevel="0" collapsed="false">
      <c r="A88" s="24" t="n">
        <v>22</v>
      </c>
      <c r="B88" s="8" t="s">
        <v>3167</v>
      </c>
      <c r="C88" s="8" t="s">
        <v>3168</v>
      </c>
      <c r="D88" s="8" t="s">
        <v>3169</v>
      </c>
      <c r="E88" s="9" t="s">
        <v>3072</v>
      </c>
    </row>
    <row r="89" customFormat="false" ht="136.5" hidden="false" customHeight="true" outlineLevel="0" collapsed="false">
      <c r="A89" s="24" t="n">
        <v>23</v>
      </c>
      <c r="B89" s="9" t="s">
        <v>3170</v>
      </c>
      <c r="C89" s="9" t="s">
        <v>3171</v>
      </c>
      <c r="D89" s="9" t="s">
        <v>3172</v>
      </c>
      <c r="E89" s="9" t="s">
        <v>31</v>
      </c>
    </row>
    <row r="90" customFormat="false" ht="76.5" hidden="false" customHeight="true" outlineLevel="0" collapsed="false">
      <c r="A90" s="24" t="n">
        <v>24</v>
      </c>
      <c r="B90" s="9" t="s">
        <v>3173</v>
      </c>
      <c r="C90" s="8" t="s">
        <v>3174</v>
      </c>
      <c r="D90" s="8" t="s">
        <v>3175</v>
      </c>
      <c r="E90" s="8" t="s">
        <v>2917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2026-09-22T22:55:55Z</dcterms:created>
  <dc:creator>openpyxl</dc:creator>
  <dc:description/>
  <dc:language>en-US</dc:language>
  <cp:lastModifiedBy/>
  <dcterms:modified xsi:type="dcterms:W3CDTF">2026-09-25T00:56:35Z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