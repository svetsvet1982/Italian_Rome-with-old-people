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7.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개요" sheetId="1" state="visible" r:id="rId3"/>
    <sheet name="캐릭터" sheetId="2" state="visible" r:id="rId4"/>
    <sheet name="등장비중" sheetId="3" state="visible" r:id="rId5"/>
    <sheet name="턴_설계" sheetId="4" state="visible" r:id="rId6"/>
    <sheet name="13부_구성" sheetId="5" state="visible" r:id="rId7"/>
    <sheet name="아크_구성계획" sheetId="6" state="visible" r:id="rId8"/>
    <sheet name="화별목차_전체" sheetId="7" state="visible" r:id="rId9"/>
    <sheet name="복선_회수" sheetId="8" state="visible" r:id="rId10"/>
    <sheet name="현안_배치" sheetId="9" state="visible" r:id="rId11"/>
    <sheet name="현안_분포" sheetId="10" state="visible" r:id="rId12"/>
    <sheet name="정치제도" sheetId="11" state="visible" r:id="rId13"/>
    <sheet name="정치경로_의석" sheetId="12" state="visible" r:id="rId14"/>
    <sheet name="호칭규칙" sheetId="13" state="visible" r:id="rId15"/>
    <sheet name="Manon_폭발과욕" sheetId="14" state="visible" r:id="rId16"/>
    <sheet name="Napoléon_죽음" sheetId="15" state="visible" r:id="rId17"/>
    <sheet name="Curie_출처" sheetId="16" state="visible" r:id="rId18"/>
    <sheet name="대화문규칙" sheetId="17" state="visible" r:id="rId19"/>
    <sheet name="변경이력_미결" sheetId="18" state="visible" r:id="rId20"/>
  </sheets>
  <definedNames>
    <definedName function="false" hidden="true" localSheetId="6" name="_xlnm._FilterDatabase" vbProcedure="false">화별목차_전체!$A$4:$J$160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<sst xmlns="http://schemas.openxmlformats.org/spreadsheetml/2006/main" count="4201" uniqueCount="3087">
  <si>
    <r>
      <rPr>
        <b val="true"/>
        <sz val="14"/>
        <color rgb="FF1F3864"/>
        <rFont val="Arial"/>
        <family val="0"/>
        <charset val="1"/>
      </rPr>
      <t xml:space="preserve">Paris </t>
    </r>
    <r>
      <rPr>
        <b val="true"/>
        <sz val="14"/>
        <color rgb="FF1F3864"/>
        <rFont val="WenQuanYi Zen Hei"/>
        <family val="2"/>
      </rPr>
      <t xml:space="preserve">프랑스어 낭독 교재 — 캐릭터 바이블 </t>
    </r>
    <r>
      <rPr>
        <b val="true"/>
        <sz val="14"/>
        <color rgb="FF1F3864"/>
        <rFont val="Arial"/>
        <family val="0"/>
        <charset val="1"/>
      </rPr>
      <t xml:space="preserve">(</t>
    </r>
    <r>
      <rPr>
        <b val="true"/>
        <sz val="14"/>
        <color rgb="FF1F3864"/>
        <rFont val="WenQuanYi Zen Hei"/>
        <family val="2"/>
      </rPr>
      <t xml:space="preserve">부활자 특별편</t>
    </r>
    <r>
      <rPr>
        <b val="true"/>
        <sz val="14"/>
        <color rgb="FF1F3864"/>
        <rFont val="Arial"/>
        <family val="0"/>
        <charset val="1"/>
      </rPr>
      <t xml:space="preserve">)</t>
    </r>
  </si>
  <si>
    <r>
      <rPr>
        <i val="true"/>
        <sz val="9"/>
        <color rgb="FF595959"/>
        <rFont val="Arial"/>
        <family val="0"/>
        <charset val="1"/>
      </rPr>
      <t xml:space="preserve">v1.0 · </t>
    </r>
    <r>
      <rPr>
        <i val="true"/>
        <sz val="9"/>
        <color rgb="FF595959"/>
        <rFont val="WenQuanYi Zen Hei"/>
        <family val="2"/>
      </rPr>
      <t xml:space="preserve">파리 배경 </t>
    </r>
    <r>
      <rPr>
        <i val="true"/>
        <sz val="9"/>
        <color rgb="FF595959"/>
        <rFont val="Arial"/>
        <family val="0"/>
        <charset val="1"/>
      </rPr>
      <t xml:space="preserve">13</t>
    </r>
    <r>
      <rPr>
        <i val="true"/>
        <sz val="9"/>
        <color rgb="FF595959"/>
        <rFont val="WenQuanYi Zen Hei"/>
        <family val="2"/>
      </rPr>
      <t xml:space="preserve">부작 옴니버스</t>
    </r>
    <r>
      <rPr>
        <i val="true"/>
        <sz val="9"/>
        <color rgb="FF595959"/>
        <rFont val="Arial"/>
        <family val="0"/>
        <charset val="1"/>
      </rPr>
      <t xml:space="preserve">(156</t>
    </r>
    <r>
      <rPr>
        <i val="true"/>
        <sz val="9"/>
        <color rgb="FF595959"/>
        <rFont val="WenQuanYi Zen Hei"/>
        <family val="2"/>
      </rPr>
      <t xml:space="preserve">화</t>
    </r>
    <r>
      <rPr>
        <i val="true"/>
        <sz val="9"/>
        <color rgb="FF595959"/>
        <rFont val="Arial"/>
        <family val="0"/>
        <charset val="1"/>
      </rPr>
      <t xml:space="preserve">) · </t>
    </r>
    <r>
      <rPr>
        <i val="true"/>
        <sz val="9"/>
        <color rgb="FF595959"/>
        <rFont val="WenQuanYi Zen Hei"/>
        <family val="2"/>
      </rPr>
      <t xml:space="preserve">부활 </t>
    </r>
    <r>
      <rPr>
        <i val="true"/>
        <sz val="9"/>
        <color rgb="FF595959"/>
        <rFont val="Arial"/>
        <family val="0"/>
        <charset val="1"/>
      </rPr>
      <t xml:space="preserve">7</t>
    </r>
    <r>
      <rPr>
        <i val="true"/>
        <sz val="9"/>
        <color rgb="FF595959"/>
        <rFont val="WenQuanYi Zen Hei"/>
        <family val="2"/>
      </rPr>
      <t xml:space="preserve">인 </t>
    </r>
    <r>
      <rPr>
        <i val="true"/>
        <sz val="9"/>
        <color rgb="FF595959"/>
        <rFont val="Arial"/>
        <family val="0"/>
        <charset val="1"/>
      </rPr>
      <t xml:space="preserve">= Napoléon·Voltaire·Olympe·Jeanne·Sartre·Curie·Hugo</t>
    </r>
  </si>
  <si>
    <t xml:space="preserve">기본 설정</t>
  </si>
  <si>
    <t xml:space="preserve">부 수</t>
  </si>
  <si>
    <r>
      <rPr>
        <sz val="10"/>
        <rFont val="Arial"/>
        <family val="0"/>
        <charset val="1"/>
      </rPr>
      <t xml:space="preserve">1 </t>
    </r>
    <r>
      <rPr>
        <sz val="10"/>
        <rFont val="WenQuanYi Zen Hei"/>
        <family val="2"/>
      </rPr>
      <t xml:space="preserve">사무소</t>
    </r>
    <r>
      <rPr>
        <sz val="10"/>
        <rFont val="Arial"/>
        <family val="0"/>
        <charset val="1"/>
      </rPr>
      <t xml:space="preserve">(Belleville, </t>
    </r>
    <r>
      <rPr>
        <sz val="10"/>
        <rFont val="WenQuanYi Zen Hei"/>
        <family val="2"/>
      </rPr>
      <t xml:space="preserve">개소 </t>
    </r>
    <r>
      <rPr>
        <sz val="10"/>
        <rFont val="Arial"/>
        <family val="0"/>
        <charset val="1"/>
      </rPr>
      <t xml:space="preserve">1</t>
    </r>
    <r>
      <rPr>
        <sz val="10"/>
        <rFont val="WenQuanYi Zen Hei"/>
        <family val="2"/>
      </rPr>
      <t xml:space="preserve">개월 후</t>
    </r>
    <r>
      <rPr>
        <sz val="10"/>
        <rFont val="Arial"/>
        <family val="0"/>
        <charset val="1"/>
      </rPr>
      <t xml:space="preserve">, 6</t>
    </r>
    <r>
      <rPr>
        <sz val="10"/>
        <rFont val="WenQuanYi Zen Hei"/>
        <family val="2"/>
      </rPr>
      <t xml:space="preserve">사건</t>
    </r>
    <r>
      <rPr>
        <sz val="10"/>
        <rFont val="Arial"/>
        <family val="0"/>
        <charset val="1"/>
      </rPr>
      <t xml:space="preserve">×2</t>
    </r>
    <r>
      <rPr>
        <sz val="10"/>
        <rFont val="WenQuanYi Zen Hei"/>
        <family val="2"/>
      </rPr>
      <t xml:space="preserve">화</t>
    </r>
    <r>
      <rPr>
        <sz val="10"/>
        <rFont val="Arial"/>
        <family val="0"/>
        <charset val="1"/>
      </rPr>
      <t xml:space="preserve">) → 2~5 </t>
    </r>
    <r>
      <rPr>
        <sz val="10"/>
        <rFont val="WenQuanYi Zen Hei"/>
        <family val="2"/>
      </rPr>
      <t xml:space="preserve">각자의 과거 → </t>
    </r>
    <r>
      <rPr>
        <sz val="10"/>
        <rFont val="Arial"/>
        <family val="0"/>
        <charset val="1"/>
      </rPr>
      <t xml:space="preserve">6 </t>
    </r>
    <r>
      <rPr>
        <sz val="10"/>
        <rFont val="WenQuanYi Zen Hei"/>
        <family val="2"/>
      </rPr>
      <t xml:space="preserve">만남 → </t>
    </r>
    <r>
      <rPr>
        <sz val="10"/>
        <rFont val="Arial"/>
        <family val="0"/>
        <charset val="1"/>
      </rPr>
      <t xml:space="preserve">7 </t>
    </r>
    <r>
      <rPr>
        <sz val="10"/>
        <rFont val="WenQuanYi Zen Hei"/>
        <family val="2"/>
      </rPr>
      <t xml:space="preserve">전면전 → </t>
    </r>
    <r>
      <rPr>
        <sz val="10"/>
        <rFont val="Arial"/>
        <family val="0"/>
        <charset val="1"/>
      </rPr>
      <t xml:space="preserve">8 </t>
    </r>
    <r>
      <rPr>
        <sz val="10"/>
        <rFont val="WenQuanYi Zen Hei"/>
        <family val="2"/>
      </rPr>
      <t xml:space="preserve">창당</t>
    </r>
    <r>
      <rPr>
        <sz val="10"/>
        <rFont val="Arial"/>
        <family val="0"/>
        <charset val="1"/>
      </rPr>
      <t xml:space="preserve">·</t>
    </r>
    <r>
      <rPr>
        <sz val="10"/>
        <rFont val="WenQuanYi Zen Hei"/>
        <family val="2"/>
      </rPr>
      <t xml:space="preserve">파리 시의회 선거 → </t>
    </r>
    <r>
      <rPr>
        <sz val="10"/>
        <rFont val="Arial"/>
        <family val="0"/>
        <charset val="1"/>
      </rPr>
      <t xml:space="preserve">9 </t>
    </r>
    <r>
      <rPr>
        <sz val="10"/>
        <rFont val="WenQuanYi Zen Hei"/>
        <family val="2"/>
      </rPr>
      <t xml:space="preserve">파리 시의회</t>
    </r>
    <r>
      <rPr>
        <sz val="10"/>
        <rFont val="Arial"/>
        <family val="0"/>
        <charset val="1"/>
      </rPr>
      <t xml:space="preserve">(Hôtel de Ville) → 10 </t>
    </r>
    <r>
      <rPr>
        <sz val="10"/>
        <rFont val="WenQuanYi Zen Hei"/>
        <family val="2"/>
      </rPr>
      <t xml:space="preserve">대선</t>
    </r>
    <r>
      <rPr>
        <sz val="10"/>
        <rFont val="Arial"/>
        <family val="0"/>
        <charset val="1"/>
      </rPr>
      <t xml:space="preserve">·</t>
    </r>
    <r>
      <rPr>
        <sz val="10"/>
        <rFont val="WenQuanYi Zen Hei"/>
        <family val="2"/>
      </rPr>
      <t xml:space="preserve">대통령 취임</t>
    </r>
    <r>
      <rPr>
        <sz val="10"/>
        <rFont val="Arial"/>
        <family val="0"/>
        <charset val="1"/>
      </rPr>
      <t xml:space="preserve">·</t>
    </r>
    <r>
      <rPr>
        <sz val="10"/>
        <rFont val="WenQuanYi Zen Hei"/>
        <family val="2"/>
      </rPr>
      <t xml:space="preserve">총선</t>
    </r>
    <r>
      <rPr>
        <sz val="10"/>
        <rFont val="Arial"/>
        <family val="0"/>
        <charset val="1"/>
      </rPr>
      <t xml:space="preserve">(Élysée) → 11 </t>
    </r>
    <r>
      <rPr>
        <sz val="10"/>
        <rFont val="WenQuanYi Zen Hei"/>
        <family val="2"/>
      </rPr>
      <t xml:space="preserve">국정 </t>
    </r>
    <r>
      <rPr>
        <sz val="10"/>
        <rFont val="Arial"/>
        <family val="0"/>
        <charset val="1"/>
      </rPr>
      <t xml:space="preserve">I(EU </t>
    </r>
    <r>
      <rPr>
        <sz val="10"/>
        <rFont val="WenQuanYi Zen Hei"/>
        <family val="2"/>
      </rPr>
      <t xml:space="preserve">협상</t>
    </r>
    <r>
      <rPr>
        <sz val="10"/>
        <rFont val="Arial"/>
        <family val="0"/>
        <charset val="1"/>
      </rPr>
      <t xml:space="preserve">·Napoléon </t>
    </r>
    <r>
      <rPr>
        <sz val="10"/>
        <rFont val="WenQuanYi Zen Hei"/>
        <family val="2"/>
      </rPr>
      <t xml:space="preserve">사망</t>
    </r>
    <r>
      <rPr>
        <sz val="10"/>
        <rFont val="Arial"/>
        <family val="0"/>
        <charset val="1"/>
      </rPr>
      <t xml:space="preserve">) → 12 </t>
    </r>
    <r>
      <rPr>
        <sz val="10"/>
        <rFont val="WenQuanYi Zen Hei"/>
        <family val="2"/>
      </rPr>
      <t xml:space="preserve">국정 </t>
    </r>
    <r>
      <rPr>
        <sz val="10"/>
        <rFont val="Arial"/>
        <family val="0"/>
        <charset val="1"/>
      </rPr>
      <t xml:space="preserve">II(</t>
    </r>
    <r>
      <rPr>
        <sz val="10"/>
        <rFont val="WenQuanYi Zen Hei"/>
        <family val="2"/>
      </rPr>
      <t xml:space="preserve">장례</t>
    </r>
    <r>
      <rPr>
        <sz val="10"/>
        <rFont val="Arial"/>
        <family val="0"/>
        <charset val="1"/>
      </rPr>
      <t xml:space="preserve">·</t>
    </r>
    <r>
      <rPr>
        <sz val="10"/>
        <rFont val="WenQuanYi Zen Hei"/>
        <family val="2"/>
      </rPr>
      <t xml:space="preserve">유작 메모 승계</t>
    </r>
    <r>
      <rPr>
        <sz val="10"/>
        <rFont val="Arial"/>
        <family val="0"/>
        <charset val="1"/>
      </rPr>
      <t xml:space="preserve">) → 13 </t>
    </r>
    <r>
      <rPr>
        <sz val="10"/>
        <rFont val="WenQuanYi Zen Hei"/>
        <family val="2"/>
      </rPr>
      <t xml:space="preserve">귀환</t>
    </r>
    <r>
      <rPr>
        <sz val="10"/>
        <rFont val="Arial"/>
        <family val="0"/>
        <charset val="1"/>
      </rPr>
      <t xml:space="preserve">(</t>
    </r>
    <r>
      <rPr>
        <sz val="10"/>
        <rFont val="WenQuanYi Zen Hei"/>
        <family val="2"/>
      </rPr>
      <t xml:space="preserve">원형 구조</t>
    </r>
    <r>
      <rPr>
        <sz val="10"/>
        <rFont val="Arial"/>
        <family val="0"/>
        <charset val="1"/>
      </rPr>
      <t xml:space="preserve">)</t>
    </r>
  </si>
  <si>
    <t xml:space="preserve">부당 화 수</t>
  </si>
  <si>
    <t xml:space="preserve">각 부 12화</t>
  </si>
  <si>
    <t xml:space="preserve">총 화 수</t>
  </si>
  <si>
    <t xml:space="preserve">부 수 × 부당 화 수 (자동 계산)</t>
  </si>
  <si>
    <t xml:space="preserve">등장인물 수</t>
  </si>
  <si>
    <t xml:space="preserve">캐릭터 시트의 약칭 개수</t>
  </si>
  <si>
    <t xml:space="preserve">남성 인물 수</t>
  </si>
  <si>
    <t xml:space="preserve">음색이 다양할수록 화자 구분이 쉬워 남 8 : 여 7로 배분 (Olympe 포함)</t>
  </si>
  <si>
    <t xml:space="preserve">여성 인물 수</t>
  </si>
  <si>
    <r>
      <rPr>
        <b val="true"/>
        <sz val="10"/>
        <rFont val="Arial"/>
        <family val="0"/>
        <charset val="1"/>
      </rPr>
      <t xml:space="preserve">1</t>
    </r>
    <r>
      <rPr>
        <b val="true"/>
        <sz val="10"/>
        <rFont val="WenQuanYi Zen Hei"/>
        <family val="2"/>
      </rPr>
      <t xml:space="preserve">부→</t>
    </r>
    <r>
      <rPr>
        <b val="true"/>
        <sz val="10"/>
        <rFont val="Arial"/>
        <family val="0"/>
        <charset val="1"/>
      </rPr>
      <t xml:space="preserve">11</t>
    </r>
    <r>
      <rPr>
        <b val="true"/>
        <sz val="10"/>
        <rFont val="WenQuanYi Zen Hei"/>
        <family val="2"/>
      </rPr>
      <t xml:space="preserve">부 경과 연수 </t>
    </r>
    <r>
      <rPr>
        <b val="true"/>
        <sz val="10"/>
        <rFont val="Arial"/>
        <family val="0"/>
        <charset val="1"/>
      </rPr>
      <t xml:space="preserve">(</t>
    </r>
    <r>
      <rPr>
        <b val="true"/>
        <sz val="10"/>
        <rFont val="WenQuanYi Zen Hei"/>
        <family val="2"/>
      </rPr>
      <t xml:space="preserve">가정</t>
    </r>
    <r>
      <rPr>
        <b val="true"/>
        <sz val="10"/>
        <rFont val="Arial"/>
        <family val="0"/>
        <charset val="1"/>
      </rPr>
      <t xml:space="preserve">)</t>
    </r>
  </si>
  <si>
    <t xml:space="preserve">가정값: Napoléon이 1부 51세(부활 시 외형 나이) → 11부 약 57세가 되도록 잡음. 확정 시 이 셀만 수정하면 캐릭터 시트의 나이가 자동 갱신. (캐릭터 시트 '나이(11부)' 열)</t>
  </si>
  <si>
    <t xml:space="preserve">배경·언어</t>
  </si>
  <si>
    <t xml:space="preserve">파리 (벨빌)</t>
  </si>
  <si>
    <t xml:space="preserve">표준 프랑스어: 친한 사이 tu, 공식 석상은 vous/공식 호칭.</t>
  </si>
  <si>
    <t xml:space="preserve">형식</t>
  </si>
  <si>
    <t xml:space="preserve">전 화 100% 대화문, 화당 120턴</t>
  </si>
  <si>
    <t xml:space="preserve">그룹별 인원</t>
  </si>
  <si>
    <t xml:space="preserve">주력 4인</t>
  </si>
  <si>
    <r>
      <rPr>
        <sz val="10"/>
        <rFont val="Arial"/>
        <family val="0"/>
        <charset val="1"/>
      </rPr>
      <t xml:space="preserve">Nicolas(</t>
    </r>
    <r>
      <rPr>
        <sz val="10"/>
        <rFont val="WenQuanYi Zen Hei"/>
        <family val="2"/>
      </rPr>
      <t xml:space="preserve">변호사</t>
    </r>
    <r>
      <rPr>
        <sz val="10"/>
        <rFont val="Arial"/>
        <family val="0"/>
        <charset val="1"/>
      </rPr>
      <t xml:space="preserve">)·Camille(</t>
    </r>
    <r>
      <rPr>
        <sz val="10"/>
        <rFont val="WenQuanYi Zen Hei"/>
        <family val="2"/>
      </rPr>
      <t xml:space="preserve">의사</t>
    </r>
    <r>
      <rPr>
        <sz val="10"/>
        <rFont val="Arial"/>
        <family val="0"/>
        <charset val="1"/>
      </rPr>
      <t xml:space="preserve">)·Julien(</t>
    </r>
    <r>
      <rPr>
        <sz val="10"/>
        <rFont val="WenQuanYi Zen Hei"/>
        <family val="2"/>
      </rPr>
      <t xml:space="preserve">회계사</t>
    </r>
    <r>
      <rPr>
        <sz val="10"/>
        <rFont val="Arial"/>
        <family val="0"/>
        <charset val="1"/>
      </rPr>
      <t xml:space="preserve">)·Léa(</t>
    </r>
    <r>
      <rPr>
        <sz val="10"/>
        <rFont val="WenQuanYi Zen Hei"/>
        <family val="2"/>
      </rPr>
      <t xml:space="preserve">컨설턴트</t>
    </r>
    <r>
      <rPr>
        <sz val="10"/>
        <rFont val="Arial"/>
        <family val="0"/>
        <charset val="1"/>
      </rPr>
      <t xml:space="preserve">)</t>
    </r>
  </si>
  <si>
    <t xml:space="preserve">부활 7인</t>
  </si>
  <si>
    <r>
      <rPr>
        <sz val="10"/>
        <rFont val="Arial"/>
        <family val="0"/>
        <charset val="1"/>
      </rPr>
      <t xml:space="preserve">Napoléon(</t>
    </r>
    <r>
      <rPr>
        <sz val="10"/>
        <rFont val="WenQuanYi Zen Hei"/>
        <family val="2"/>
      </rPr>
      <t xml:space="preserve">전 황제</t>
    </r>
    <r>
      <rPr>
        <sz val="10"/>
        <rFont val="Arial"/>
        <family val="0"/>
        <charset val="1"/>
      </rPr>
      <t xml:space="preserve">)·Voltaire(</t>
    </r>
    <r>
      <rPr>
        <sz val="10"/>
        <rFont val="WenQuanYi Zen Hei"/>
        <family val="2"/>
      </rPr>
      <t xml:space="preserve">계몽사상가</t>
    </r>
    <r>
      <rPr>
        <sz val="10"/>
        <rFont val="Arial"/>
        <family val="0"/>
        <charset val="1"/>
      </rPr>
      <t xml:space="preserve">)·Olympe(</t>
    </r>
    <r>
      <rPr>
        <sz val="10"/>
        <rFont val="WenQuanYi Zen Hei"/>
        <family val="2"/>
      </rPr>
      <t xml:space="preserve">여성인권가</t>
    </r>
    <r>
      <rPr>
        <sz val="10"/>
        <rFont val="Arial"/>
        <family val="0"/>
        <charset val="1"/>
      </rPr>
      <t xml:space="preserve">)·Jeanne(</t>
    </r>
    <r>
      <rPr>
        <sz val="10"/>
        <rFont val="WenQuanYi Zen Hei"/>
        <family val="2"/>
      </rPr>
      <t xml:space="preserve">전사</t>
    </r>
    <r>
      <rPr>
        <sz val="10"/>
        <rFont val="Arial"/>
        <family val="0"/>
        <charset val="1"/>
      </rPr>
      <t xml:space="preserve">)·Sartre(</t>
    </r>
    <r>
      <rPr>
        <sz val="10"/>
        <rFont val="WenQuanYi Zen Hei"/>
        <family val="2"/>
      </rPr>
      <t xml:space="preserve">철학자</t>
    </r>
    <r>
      <rPr>
        <sz val="10"/>
        <rFont val="Arial"/>
        <family val="0"/>
        <charset val="1"/>
      </rPr>
      <t xml:space="preserve">)·Curie(</t>
    </r>
    <r>
      <rPr>
        <sz val="10"/>
        <rFont val="WenQuanYi Zen Hei"/>
        <family val="2"/>
      </rPr>
      <t xml:space="preserve">과학자</t>
    </r>
    <r>
      <rPr>
        <sz val="10"/>
        <rFont val="Arial"/>
        <family val="0"/>
        <charset val="1"/>
      </rPr>
      <t xml:space="preserve">)·Hugo(</t>
    </r>
    <r>
      <rPr>
        <sz val="10"/>
        <rFont val="WenQuanYi Zen Hei"/>
        <family val="2"/>
      </rPr>
      <t xml:space="preserve">문호</t>
    </r>
    <r>
      <rPr>
        <sz val="10"/>
        <rFont val="Arial"/>
        <family val="0"/>
        <charset val="1"/>
      </rPr>
      <t xml:space="preserve">) ※ </t>
    </r>
    <r>
      <rPr>
        <sz val="10"/>
        <rFont val="WenQuanYi Zen Hei"/>
        <family val="2"/>
      </rPr>
      <t xml:space="preserve">각자의 시대에 죽었다가 이유 없이 현재 파리에 되살아나 사무소에 합류 </t>
    </r>
    <r>
      <rPr>
        <sz val="10"/>
        <rFont val="Arial"/>
        <family val="0"/>
        <charset val="1"/>
      </rPr>
      <t xml:space="preserve">(</t>
    </r>
    <r>
      <rPr>
        <sz val="10"/>
        <rFont val="WenQuanYi Zen Hei"/>
        <family val="2"/>
      </rPr>
      <t xml:space="preserve">부활 시점은 인물마다 다름 — </t>
    </r>
    <r>
      <rPr>
        <sz val="10"/>
        <rFont val="Arial"/>
        <family val="0"/>
        <charset val="1"/>
      </rPr>
      <t xml:space="preserve">2~5</t>
    </r>
    <r>
      <rPr>
        <sz val="10"/>
        <rFont val="WenQuanYi Zen Hei"/>
        <family val="2"/>
      </rPr>
      <t xml:space="preserve">부 과거 장면에 카메오로 나오는 인물은 그때 이미 파리에 살고 있음</t>
    </r>
    <r>
      <rPr>
        <sz val="10"/>
        <rFont val="Arial"/>
        <family val="0"/>
        <charset val="1"/>
      </rPr>
      <t xml:space="preserve">)</t>
    </r>
  </si>
  <si>
    <t xml:space="preserve">서민·청년</t>
  </si>
  <si>
    <r>
      <rPr>
        <sz val="10"/>
        <rFont val="Arial"/>
        <family val="0"/>
        <charset val="1"/>
      </rPr>
      <t xml:space="preserve">Monique(</t>
    </r>
    <r>
      <rPr>
        <sz val="10"/>
        <rFont val="WenQuanYi Zen Hei"/>
        <family val="2"/>
      </rPr>
      <t xml:space="preserve">비스트로 사장</t>
    </r>
    <r>
      <rPr>
        <sz val="10"/>
        <rFont val="Arial"/>
        <family val="0"/>
        <charset val="1"/>
      </rPr>
      <t xml:space="preserve">)·Karim(</t>
    </r>
    <r>
      <rPr>
        <sz val="10"/>
        <rFont val="WenQuanYi Zen Hei"/>
        <family val="2"/>
      </rPr>
      <t xml:space="preserve">노조위원장</t>
    </r>
    <r>
      <rPr>
        <sz val="10"/>
        <rFont val="Arial"/>
        <family val="0"/>
        <charset val="1"/>
      </rPr>
      <t xml:space="preserve">)·Manon(</t>
    </r>
    <r>
      <rPr>
        <sz val="10"/>
        <rFont val="WenQuanYi Zen Hei"/>
        <family val="2"/>
      </rPr>
      <t xml:space="preserve">인턴</t>
    </r>
    <r>
      <rPr>
        <sz val="10"/>
        <rFont val="Arial"/>
        <family val="0"/>
        <charset val="1"/>
      </rPr>
      <t xml:space="preserve">)</t>
    </r>
  </si>
  <si>
    <t xml:space="preserve">금융</t>
  </si>
  <si>
    <r>
      <rPr>
        <sz val="10"/>
        <rFont val="Arial"/>
        <family val="0"/>
        <charset val="1"/>
      </rPr>
      <t xml:space="preserve">Philippe(</t>
    </r>
    <r>
      <rPr>
        <sz val="10"/>
        <rFont val="WenQuanYi Zen Hei"/>
        <family val="2"/>
      </rPr>
      <t xml:space="preserve">전 은행 지점장</t>
    </r>
    <r>
      <rPr>
        <sz val="10"/>
        <rFont val="Arial"/>
        <family val="0"/>
        <charset val="1"/>
      </rPr>
      <t xml:space="preserve">)</t>
    </r>
  </si>
  <si>
    <t xml:space="preserve">시트 안내 (클릭하면 이동)</t>
  </si>
  <si>
    <t xml:space="preserve">캐릭터</t>
  </si>
  <si>
    <t xml:space="preserve">기준표</t>
  </si>
  <si>
    <r>
      <rPr>
        <sz val="10"/>
        <rFont val="Arial"/>
        <family val="0"/>
        <charset val="1"/>
      </rPr>
      <t xml:space="preserve">14</t>
    </r>
    <r>
      <rPr>
        <sz val="10"/>
        <rFont val="WenQuanYi Zen Hei"/>
        <family val="2"/>
      </rPr>
      <t xml:space="preserve">인의 이름</t>
    </r>
    <r>
      <rPr>
        <sz val="10"/>
        <rFont val="Arial"/>
        <family val="0"/>
        <charset val="1"/>
      </rPr>
      <t xml:space="preserve">·</t>
    </r>
    <r>
      <rPr>
        <sz val="10"/>
        <rFont val="WenQuanYi Zen Hei"/>
        <family val="2"/>
      </rPr>
      <t xml:space="preserve">나이</t>
    </r>
    <r>
      <rPr>
        <sz val="10"/>
        <rFont val="Arial"/>
        <family val="0"/>
        <charset val="1"/>
      </rPr>
      <t xml:space="preserve">·</t>
    </r>
    <r>
      <rPr>
        <sz val="10"/>
        <rFont val="WenQuanYi Zen Hei"/>
        <family val="2"/>
      </rPr>
      <t xml:space="preserve">결핍</t>
    </r>
    <r>
      <rPr>
        <sz val="10"/>
        <rFont val="Arial"/>
        <family val="0"/>
        <charset val="1"/>
      </rPr>
      <t xml:space="preserve">·</t>
    </r>
    <r>
      <rPr>
        <sz val="10"/>
        <rFont val="WenQuanYi Zen Hei"/>
        <family val="2"/>
      </rPr>
      <t xml:space="preserve">말투</t>
    </r>
    <r>
      <rPr>
        <sz val="10"/>
        <rFont val="Arial"/>
        <family val="0"/>
        <charset val="1"/>
      </rPr>
      <t xml:space="preserve">·</t>
    </r>
    <r>
      <rPr>
        <sz val="10"/>
        <rFont val="WenQuanYi Zen Hei"/>
        <family val="2"/>
      </rPr>
      <t xml:space="preserve">시그니처</t>
    </r>
    <r>
      <rPr>
        <sz val="10"/>
        <rFont val="Arial"/>
        <family val="0"/>
        <charset val="1"/>
      </rPr>
      <t xml:space="preserve">·</t>
    </r>
    <r>
      <rPr>
        <sz val="10"/>
        <rFont val="WenQuanYi Zen Hei"/>
        <family val="2"/>
      </rPr>
      <t xml:space="preserve">낭독 포인트</t>
    </r>
    <r>
      <rPr>
        <sz val="10"/>
        <rFont val="Arial"/>
        <family val="0"/>
        <charset val="1"/>
      </rPr>
      <t xml:space="preserve">·</t>
    </r>
    <r>
      <rPr>
        <sz val="10"/>
        <rFont val="WenQuanYi Zen Hei"/>
        <family val="2"/>
      </rPr>
      <t xml:space="preserve">대화문 장치</t>
    </r>
    <r>
      <rPr>
        <sz val="10"/>
        <rFont val="Arial"/>
        <family val="0"/>
        <charset val="1"/>
      </rPr>
      <t xml:space="preserve">·</t>
    </r>
    <r>
      <rPr>
        <sz val="10"/>
        <rFont val="WenQuanYi Zen Hei"/>
        <family val="2"/>
      </rPr>
      <t xml:space="preserve">직책</t>
    </r>
    <r>
      <rPr>
        <sz val="10"/>
        <rFont val="Arial"/>
        <family val="0"/>
        <charset val="1"/>
      </rPr>
      <t xml:space="preserve">·</t>
    </r>
    <r>
      <rPr>
        <sz val="10"/>
        <rFont val="WenQuanYi Zen Hei"/>
        <family val="2"/>
      </rPr>
      <t xml:space="preserve">현안 담당</t>
    </r>
  </si>
  <si>
    <t xml:space="preserve">등장비중</t>
  </si>
  <si>
    <r>
      <rPr>
        <sz val="10"/>
        <rFont val="Arial"/>
        <family val="0"/>
        <charset val="1"/>
      </rPr>
      <t xml:space="preserve">13</t>
    </r>
    <r>
      <rPr>
        <sz val="10"/>
        <rFont val="WenQuanYi Zen Hei"/>
        <family val="2"/>
      </rPr>
      <t xml:space="preserve">부 배분표</t>
    </r>
    <r>
      <rPr>
        <sz val="10"/>
        <rFont val="Arial"/>
        <family val="0"/>
        <charset val="1"/>
      </rPr>
      <t xml:space="preserve">, </t>
    </r>
    <r>
      <rPr>
        <sz val="10"/>
        <rFont val="WenQuanYi Zen Hei"/>
        <family val="2"/>
      </rPr>
      <t xml:space="preserve">합계</t>
    </r>
    <r>
      <rPr>
        <sz val="10"/>
        <rFont val="Arial"/>
        <family val="0"/>
        <charset val="1"/>
      </rPr>
      <t xml:space="preserve">·</t>
    </r>
    <r>
      <rPr>
        <sz val="10"/>
        <rFont val="WenQuanYi Zen Hei"/>
        <family val="2"/>
      </rPr>
      <t xml:space="preserve">비중</t>
    </r>
    <r>
      <rPr>
        <sz val="10"/>
        <rFont val="Arial"/>
        <family val="0"/>
        <charset val="1"/>
      </rPr>
      <t xml:space="preserve">·</t>
    </r>
    <r>
      <rPr>
        <sz val="10"/>
        <rFont val="WenQuanYi Zen Hei"/>
        <family val="2"/>
      </rPr>
      <t xml:space="preserve">등급</t>
    </r>
    <r>
      <rPr>
        <sz val="10"/>
        <rFont val="Arial"/>
        <family val="0"/>
        <charset val="1"/>
      </rPr>
      <t xml:space="preserve">(</t>
    </r>
    <r>
      <rPr>
        <sz val="10"/>
        <rFont val="WenQuanYi Zen Hei"/>
        <family val="2"/>
      </rPr>
      <t xml:space="preserve">수식</t>
    </r>
    <r>
      <rPr>
        <sz val="10"/>
        <rFont val="Arial"/>
        <family val="0"/>
        <charset val="1"/>
      </rPr>
      <t xml:space="preserve">), </t>
    </r>
    <r>
      <rPr>
        <sz val="10"/>
        <rFont val="WenQuanYi Zen Hei"/>
        <family val="2"/>
      </rPr>
      <t xml:space="preserve">조연 단독 중심 화 목표</t>
    </r>
  </si>
  <si>
    <t xml:space="preserve">턴_설계</t>
  </si>
  <si>
    <t xml:space="preserve">화당 120턴 설계: 부별 화자 점유율(턴 기준), 평균 단어/턴, 화당 단어·낭독 시간(수식), 화 유형별 턴 구성, 집필 규칙</t>
  </si>
  <si>
    <t xml:space="preserve">13부_구성</t>
  </si>
  <si>
    <t xml:space="preserve">구조</t>
  </si>
  <si>
    <r>
      <rPr>
        <sz val="10"/>
        <rFont val="Arial"/>
        <family val="0"/>
        <charset val="1"/>
      </rPr>
      <t xml:space="preserve">13</t>
    </r>
    <r>
      <rPr>
        <sz val="10"/>
        <rFont val="WenQuanYi Zen Hei"/>
        <family val="2"/>
      </rPr>
      <t xml:space="preserve">부 한눈에 보기</t>
    </r>
    <r>
      <rPr>
        <sz val="10"/>
        <rFont val="Arial"/>
        <family val="0"/>
        <charset val="1"/>
      </rPr>
      <t xml:space="preserve">: </t>
    </r>
    <r>
      <rPr>
        <sz val="10"/>
        <rFont val="WenQuanYi Zen Hei"/>
        <family val="2"/>
      </rPr>
      <t xml:space="preserve">배경</t>
    </r>
    <r>
      <rPr>
        <sz val="10"/>
        <rFont val="Arial"/>
        <family val="0"/>
        <charset val="1"/>
      </rPr>
      <t xml:space="preserve">·</t>
    </r>
    <r>
      <rPr>
        <sz val="10"/>
        <rFont val="WenQuanYi Zen Hei"/>
        <family val="2"/>
      </rPr>
      <t xml:space="preserve">핵심 내용</t>
    </r>
    <r>
      <rPr>
        <sz val="10"/>
        <rFont val="Arial"/>
        <family val="0"/>
        <charset val="1"/>
      </rPr>
      <t xml:space="preserve">·</t>
    </r>
    <r>
      <rPr>
        <sz val="10"/>
        <rFont val="WenQuanYi Zen Hei"/>
        <family val="2"/>
      </rPr>
      <t xml:space="preserve">난이도</t>
    </r>
    <r>
      <rPr>
        <sz val="10"/>
        <rFont val="Arial"/>
        <family val="0"/>
        <charset val="1"/>
      </rPr>
      <t xml:space="preserve">(CEFR)·</t>
    </r>
    <r>
      <rPr>
        <sz val="10"/>
        <rFont val="WenQuanYi Zen Hei"/>
        <family val="2"/>
      </rPr>
      <t xml:space="preserve">반영 제도</t>
    </r>
  </si>
  <si>
    <t xml:space="preserve">아크_구성계획</t>
  </si>
  <si>
    <t xml:space="preserve">구성 계획</t>
  </si>
  <si>
    <r>
      <rPr>
        <sz val="10"/>
        <rFont val="Arial"/>
        <family val="0"/>
        <charset val="1"/>
      </rPr>
      <t xml:space="preserve">1~13</t>
    </r>
    <r>
      <rPr>
        <sz val="10"/>
        <rFont val="WenQuanYi Zen Hei"/>
        <family val="2"/>
      </rPr>
      <t xml:space="preserve">부 아크별 구성 계획</t>
    </r>
    <r>
      <rPr>
        <sz val="10"/>
        <rFont val="Arial"/>
        <family val="0"/>
        <charset val="1"/>
      </rPr>
      <t xml:space="preserve">: </t>
    </r>
    <r>
      <rPr>
        <sz val="10"/>
        <rFont val="WenQuanYi Zen Hei"/>
        <family val="2"/>
      </rPr>
      <t xml:space="preserve">서사 기능</t>
    </r>
    <r>
      <rPr>
        <sz val="10"/>
        <rFont val="Arial"/>
        <family val="0"/>
        <charset val="1"/>
      </rPr>
      <t xml:space="preserve">·</t>
    </r>
    <r>
      <rPr>
        <sz val="10"/>
        <rFont val="WenQuanYi Zen Hei"/>
        <family val="2"/>
      </rPr>
      <t xml:space="preserve">로그라인</t>
    </r>
    <r>
      <rPr>
        <sz val="10"/>
        <rFont val="Arial"/>
        <family val="0"/>
        <charset val="1"/>
      </rPr>
      <t xml:space="preserve">·</t>
    </r>
    <r>
      <rPr>
        <sz val="10"/>
        <rFont val="WenQuanYi Zen Hei"/>
        <family val="2"/>
      </rPr>
      <t xml:space="preserve">비트</t>
    </r>
    <r>
      <rPr>
        <sz val="10"/>
        <rFont val="Arial"/>
        <family val="0"/>
        <charset val="1"/>
      </rPr>
      <t xml:space="preserve">·</t>
    </r>
    <r>
      <rPr>
        <sz val="10"/>
        <rFont val="WenQuanYi Zen Hei"/>
        <family val="2"/>
      </rPr>
      <t xml:space="preserve">인물 아크</t>
    </r>
    <r>
      <rPr>
        <sz val="10"/>
        <rFont val="Arial"/>
        <family val="0"/>
        <charset val="1"/>
      </rPr>
      <t xml:space="preserve">·</t>
    </r>
    <r>
      <rPr>
        <sz val="10"/>
        <rFont val="WenQuanYi Zen Hei"/>
        <family val="2"/>
      </rPr>
      <t xml:space="preserve">복선</t>
    </r>
    <r>
      <rPr>
        <sz val="10"/>
        <rFont val="Arial"/>
        <family val="0"/>
        <charset val="1"/>
      </rPr>
      <t xml:space="preserve">·</t>
    </r>
    <r>
      <rPr>
        <sz val="10"/>
        <rFont val="WenQuanYi Zen Hei"/>
        <family val="2"/>
      </rPr>
      <t xml:space="preserve">현안</t>
    </r>
    <r>
      <rPr>
        <sz val="10"/>
        <rFont val="Arial"/>
        <family val="0"/>
        <charset val="1"/>
      </rPr>
      <t xml:space="preserve">·</t>
    </r>
    <r>
      <rPr>
        <sz val="10"/>
        <rFont val="WenQuanYi Zen Hei"/>
        <family val="2"/>
      </rPr>
      <t xml:space="preserve">언어 설계</t>
    </r>
  </si>
  <si>
    <t xml:space="preserve">화별목차_전체</t>
  </si>
  <si>
    <t xml:space="preserve">목차</t>
  </si>
  <si>
    <r>
      <rPr>
        <sz val="10"/>
        <rFont val="Arial"/>
        <family val="0"/>
        <charset val="1"/>
      </rPr>
      <t xml:space="preserve">1~13</t>
    </r>
    <r>
      <rPr>
        <sz val="10"/>
        <rFont val="WenQuanYi Zen Hei"/>
        <family val="2"/>
      </rPr>
      <t xml:space="preserve">부 </t>
    </r>
    <r>
      <rPr>
        <sz val="10"/>
        <rFont val="Arial"/>
        <family val="0"/>
        <charset val="1"/>
      </rPr>
      <t xml:space="preserve">156</t>
    </r>
    <r>
      <rPr>
        <sz val="10"/>
        <rFont val="WenQuanYi Zen Hei"/>
        <family val="2"/>
      </rPr>
      <t xml:space="preserve">화의 서사 기능</t>
    </r>
    <r>
      <rPr>
        <sz val="10"/>
        <rFont val="Arial"/>
        <family val="0"/>
        <charset val="1"/>
      </rPr>
      <t xml:space="preserve">·</t>
    </r>
    <r>
      <rPr>
        <sz val="10"/>
        <rFont val="WenQuanYi Zen Hei"/>
        <family val="2"/>
      </rPr>
      <t xml:space="preserve">제목</t>
    </r>
    <r>
      <rPr>
        <sz val="10"/>
        <rFont val="Arial"/>
        <family val="0"/>
        <charset val="1"/>
      </rPr>
      <t xml:space="preserve">(FR)·</t>
    </r>
    <r>
      <rPr>
        <sz val="10"/>
        <rFont val="WenQuanYi Zen Hei"/>
        <family val="2"/>
      </rPr>
      <t xml:space="preserve">핵심 사건</t>
    </r>
    <r>
      <rPr>
        <sz val="10"/>
        <rFont val="Arial"/>
        <family val="0"/>
        <charset val="1"/>
      </rPr>
      <t xml:space="preserve">·</t>
    </r>
    <r>
      <rPr>
        <sz val="10"/>
        <rFont val="WenQuanYi Zen Hei"/>
        <family val="2"/>
      </rPr>
      <t xml:space="preserve">반영 제도</t>
    </r>
    <r>
      <rPr>
        <sz val="10"/>
        <rFont val="Arial"/>
        <family val="0"/>
        <charset val="1"/>
      </rPr>
      <t xml:space="preserve">·</t>
    </r>
    <r>
      <rPr>
        <sz val="10"/>
        <rFont val="WenQuanYi Zen Hei"/>
        <family val="2"/>
      </rPr>
      <t xml:space="preserve">인물</t>
    </r>
    <r>
      <rPr>
        <sz val="10"/>
        <rFont val="Arial"/>
        <family val="0"/>
        <charset val="1"/>
      </rPr>
      <t xml:space="preserve">·</t>
    </r>
    <r>
      <rPr>
        <sz val="10"/>
        <rFont val="WenQuanYi Zen Hei"/>
        <family val="2"/>
      </rPr>
      <t xml:space="preserve">현안 </t>
    </r>
    <r>
      <rPr>
        <sz val="10"/>
        <rFont val="Arial"/>
        <family val="0"/>
        <charset val="1"/>
      </rPr>
      <t xml:space="preserve">(</t>
    </r>
    <r>
      <rPr>
        <sz val="10"/>
        <rFont val="WenQuanYi Zen Hei"/>
        <family val="2"/>
      </rPr>
      <t xml:space="preserve">필터 가능</t>
    </r>
    <r>
      <rPr>
        <sz val="10"/>
        <rFont val="Arial"/>
        <family val="0"/>
        <charset val="1"/>
      </rPr>
      <t xml:space="preserve">)</t>
    </r>
  </si>
  <si>
    <t xml:space="preserve">복선_회수</t>
  </si>
  <si>
    <t xml:space="preserve">복선 설치→회수 28건과 간격(부)을 수식으로 계산</t>
  </si>
  <si>
    <t xml:space="preserve">현안_배치</t>
  </si>
  <si>
    <t xml:space="preserve">현안</t>
  </si>
  <si>
    <t xml:space="preserve">프랑스 현안 18개를 어느 화에 어떻게 녹일지 배치, 균형 유의, 현실 기준값</t>
  </si>
  <si>
    <t xml:space="preserve">현안_분포</t>
  </si>
  <si>
    <t xml:space="preserve">부 × 현안 분포표: 전용 화(●)와 곁가지(○)를 수식으로 집계</t>
  </si>
  <si>
    <t xml:space="preserve">정치제도</t>
  </si>
  <si>
    <t xml:space="preserve">현실 제도</t>
  </si>
  <si>
    <t xml:space="preserve">제5공화국 제도 기준표: 정당·선거·대통령·의회·정부·지방자치·사법·EU (확인 상태 표시)</t>
  </si>
  <si>
    <t xml:space="preserve">정치경로_의석</t>
  </si>
  <si>
    <t xml:space="preserve">창당→대통령 경로와 가상 득표·의석·표결 시뮬레이션(수식): 대선 1차·결선, 총선 577석, 불신임안(motion de censure)</t>
  </si>
  <si>
    <t xml:space="preserve">호칭규칙</t>
  </si>
  <si>
    <t xml:space="preserve">규칙</t>
  </si>
  <si>
    <r>
      <rPr>
        <sz val="10"/>
        <rFont val="Arial"/>
        <family val="0"/>
        <charset val="1"/>
      </rPr>
      <t xml:space="preserve">tu / vous(</t>
    </r>
    <r>
      <rPr>
        <sz val="10"/>
        <rFont val="WenQuanYi Zen Hei"/>
        <family val="2"/>
      </rPr>
      <t xml:space="preserve">단수 존칭</t>
    </r>
    <r>
      <rPr>
        <sz val="10"/>
        <rFont val="Arial"/>
        <family val="0"/>
        <charset val="1"/>
      </rPr>
      <t xml:space="preserve">) / vous(</t>
    </r>
    <r>
      <rPr>
        <sz val="10"/>
        <rFont val="WenQuanYi Zen Hei"/>
        <family val="2"/>
      </rPr>
      <t xml:space="preserve">복수</t>
    </r>
    <r>
      <rPr>
        <sz val="10"/>
        <rFont val="Arial"/>
        <family val="0"/>
        <charset val="1"/>
      </rPr>
      <t xml:space="preserve">), </t>
    </r>
    <r>
      <rPr>
        <sz val="10"/>
        <rFont val="WenQuanYi Zen Hei"/>
        <family val="2"/>
      </rPr>
      <t xml:space="preserve">의회</t>
    </r>
    <r>
      <rPr>
        <sz val="10"/>
        <rFont val="Arial"/>
        <family val="0"/>
        <charset val="1"/>
      </rPr>
      <t xml:space="preserve">·</t>
    </r>
    <r>
      <rPr>
        <sz val="10"/>
        <rFont val="WenQuanYi Zen Hei"/>
        <family val="2"/>
      </rPr>
      <t xml:space="preserve">대통령</t>
    </r>
    <r>
      <rPr>
        <sz val="10"/>
        <rFont val="Arial"/>
        <family val="0"/>
        <charset val="1"/>
      </rPr>
      <t xml:space="preserve">·</t>
    </r>
    <r>
      <rPr>
        <sz val="10"/>
        <rFont val="WenQuanYi Zen Hei"/>
        <family val="2"/>
      </rPr>
      <t xml:space="preserve">시의회 공식 호칭</t>
    </r>
  </si>
  <si>
    <t xml:space="preserve">Manon_폭발과욕</t>
  </si>
  <si>
    <t xml:space="preserve">폭발 2회 배치, 3단계 계단, 폭발 직후 반응(대사판), 욕 배정</t>
  </si>
  <si>
    <t xml:space="preserve">Napoléon_죽음</t>
  </si>
  <si>
    <t xml:space="preserve">스토리</t>
  </si>
  <si>
    <t xml:space="preserve">부활한 황제 + 두 번째 시한부 설정, 복선 타임라인 (11부 12화 사망, 12부 장례, 13부 유언장)</t>
  </si>
  <si>
    <t xml:space="preserve">Curie_출처</t>
  </si>
  <si>
    <t xml:space="preserve">결론 대신 '출처 안내' — 서가 4칸, 주제별 출처표, 카드 구술 템플릿</t>
  </si>
  <si>
    <t xml:space="preserve">대화문규칙</t>
  </si>
  <si>
    <t xml:space="preserve">전 화 100% 대화문 원칙, 지문 → 대사 대체표, 현안을 다루는 법, 문장 길이·분량 기준</t>
  </si>
  <si>
    <t xml:space="preserve">변경이력_미결</t>
  </si>
  <si>
    <t xml:space="preserve">관리</t>
  </si>
  <si>
    <t xml:space="preserve">지금까지의 변경 이력과 확정이 필요한 미결 사항</t>
  </si>
  <si>
    <t xml:space="preserve">범례</t>
  </si>
  <si>
    <t xml:space="preserve">파란 글씨</t>
  </si>
  <si>
    <t xml:space="preserve">직접 입력한 값 (수정 가능)</t>
  </si>
  <si>
    <t xml:space="preserve">노란 배경</t>
  </si>
  <si>
    <t xml:space="preserve">가정 · 확정이 필요한 값</t>
  </si>
  <si>
    <t xml:space="preserve">검정 글씨</t>
  </si>
  <si>
    <t xml:space="preserve">수식으로 계산되는 값 (직접 수정하지 말 것)</t>
  </si>
  <si>
    <t xml:space="preserve">주의: 성별·나이·기관명은 기획용 가상 설정입니다. 법령 번호·조항은 교재에 넣기 전에 Légifrance(legifrance.gouv.fr)의 현행 텍스트(version en vigueur)로 확인하세요.</t>
  </si>
  <si>
    <t xml:space="preserve">캐릭터 바이블 — 15인 (Paris 프랑스어 낭독 교재 — 캐릭터 바이블 (부활자 특별편))</t>
  </si>
  <si>
    <t xml:space="preserve">No</t>
  </si>
  <si>
    <t xml:space="preserve">그룹</t>
  </si>
  <si>
    <t xml:space="preserve">이름</t>
  </si>
  <si>
    <t xml:space="preserve">약칭</t>
  </si>
  <si>
    <t xml:space="preserve">나이
(1부)</t>
  </si>
  <si>
    <t xml:space="preserve">나이
(11부)</t>
  </si>
  <si>
    <t xml:space="preserve">성별</t>
  </si>
  <si>
    <t xml:space="preserve">직업·신분</t>
  </si>
  <si>
    <t xml:space="preserve">전 소속 (가상)</t>
  </si>
  <si>
    <t xml:space="preserve">결핍 (Blessure)</t>
  </si>
  <si>
    <t xml:space="preserve">말투</t>
  </si>
  <si>
    <t xml:space="preserve">시그니처 표현</t>
  </si>
  <si>
    <t xml:space="preserve">낭독 포인트</t>
  </si>
  <si>
    <t xml:space="preserve">대화문 장치 (지문 대체)</t>
  </si>
  <si>
    <t xml:space="preserve">정치 직책 (8~13부, 제안)</t>
  </si>
  <si>
    <r>
      <rPr>
        <b val="true"/>
        <sz val="10"/>
        <color rgb="FFFFFFFF"/>
        <rFont val="Arial"/>
        <family val="0"/>
        <charset val="1"/>
      </rPr>
      <t xml:space="preserve">1</t>
    </r>
    <r>
      <rPr>
        <b val="true"/>
        <sz val="10"/>
        <color rgb="FFFFFFFF"/>
        <rFont val="WenQuanYi Zen Hei"/>
        <family val="2"/>
      </rPr>
      <t xml:space="preserve">부 등장 방식</t>
    </r>
  </si>
  <si>
    <t xml:space="preserve">등장
화 수</t>
  </si>
  <si>
    <t xml:space="preserve">등급</t>
  </si>
  <si>
    <t xml:space="preserve">현안 담당
(ID)</t>
  </si>
  <si>
    <t xml:space="preserve">Nicolas Lefevre</t>
  </si>
  <si>
    <t xml:space="preserve">Nicolas</t>
  </si>
  <si>
    <t xml:space="preserve">남</t>
  </si>
  <si>
    <t xml:space="preserve">변호사 (기업·규제 전문)</t>
  </si>
  <si>
    <r>
      <rPr>
        <sz val="10"/>
        <rFont val="Arial"/>
        <family val="0"/>
        <charset val="1"/>
      </rPr>
      <t xml:space="preserve">Vasseur &amp; Delorme Avocats (</t>
    </r>
    <r>
      <rPr>
        <sz val="10"/>
        <rFont val="WenQuanYi Zen Hei"/>
        <family val="2"/>
      </rPr>
      <t xml:space="preserve">전 파트너 후보</t>
    </r>
    <r>
      <rPr>
        <sz val="10"/>
        <rFont val="Arial"/>
        <family val="0"/>
        <charset val="1"/>
      </rPr>
      <t xml:space="preserve">)</t>
    </r>
  </si>
  <si>
    <t xml:space="preserve">승소율은 높지만, 강제퇴거 소송에서 이긴 사건 하나가 계속 마음에 걸린다.</t>
  </si>
  <si>
    <t xml:space="preserve">문장이 완결되고 격식체(접속법 사용). 초반엔 차갑게 조항을 인용, 후반엔 연설가로 성장.</t>
  </si>
  <si>
    <r>
      <rPr>
        <sz val="10"/>
        <rFont val="Arial"/>
        <family val="0"/>
        <charset val="1"/>
      </rPr>
      <t xml:space="preserve">Procédons dans l'ordre.\nAvec tout le respect que je vous dois, ce n'est pas ce que dit la loi.\n(</t>
    </r>
    <r>
      <rPr>
        <sz val="10"/>
        <rFont val="WenQuanYi Zen Hei"/>
        <family val="2"/>
      </rPr>
      <t xml:space="preserve">후반</t>
    </r>
    <r>
      <rPr>
        <sz val="10"/>
        <rFont val="Arial"/>
        <family val="0"/>
        <charset val="1"/>
      </rPr>
      <t xml:space="preserve">) Je ne vous demande pas de me croire. Je vous demande de lire le texte.</t>
    </r>
  </si>
  <si>
    <t xml:space="preserve">또박또박, 중저음.</t>
  </si>
  <si>
    <t xml:space="preserve">법조문을 소리 내어 읽어 상황을 설명한다.</t>
  </si>
  <si>
    <t xml:space="preserve">당 대표(8부) → 대선 후보(9부 12화) → 대통령(10부 8화 취임)</t>
  </si>
  <si>
    <t xml:space="preserve">본격</t>
  </si>
  <si>
    <t xml:space="preserve">P1·P3·E1</t>
  </si>
  <si>
    <t xml:space="preserve">Camille Girard</t>
  </si>
  <si>
    <t xml:space="preserve">Camille</t>
  </si>
  <si>
    <t xml:space="preserve">여</t>
  </si>
  <si>
    <t xml:space="preserve">응급의학과 전문의</t>
  </si>
  <si>
    <r>
      <rPr>
        <sz val="10"/>
        <rFont val="Arial"/>
        <family val="0"/>
        <charset val="1"/>
      </rPr>
      <t xml:space="preserve">Hôpital Saint-Bernard </t>
    </r>
    <r>
      <rPr>
        <sz val="10"/>
        <rFont val="WenQuanYi Zen Hei"/>
        <family val="2"/>
      </rPr>
      <t xml:space="preserve">응급실 </t>
    </r>
    <r>
      <rPr>
        <sz val="10"/>
        <rFont val="Arial"/>
        <family val="0"/>
        <charset val="1"/>
      </rPr>
      <t xml:space="preserve">(</t>
    </r>
    <r>
      <rPr>
        <sz val="10"/>
        <rFont val="WenQuanYi Zen Hei"/>
        <family val="2"/>
      </rPr>
      <t xml:space="preserve">가상</t>
    </r>
    <r>
      <rPr>
        <sz val="10"/>
        <rFont val="Arial"/>
        <family val="0"/>
        <charset val="1"/>
      </rPr>
      <t xml:space="preserve">)</t>
    </r>
  </si>
  <si>
    <t xml:space="preserve">살리지 못한 환자의 이름을 전부 외우고 있다.</t>
  </si>
  <si>
    <t xml:space="preserve">짧고 명령형, 블랙유머.</t>
  </si>
  <si>
    <t xml:space="preserve">Ce n'est pas une statistique, c'est une personne.\nD'abord, respire.\nJ'ai vu pire un mardi ordinaire.</t>
  </si>
  <si>
    <t xml:space="preserve">빠른 템포, 짧은 호흡.</t>
  </si>
  <si>
    <t xml:space="preserve">명령형으로 행동을 말하며 진행한다.</t>
  </si>
  <si>
    <t xml:space="preserve">파리 시의원·AP-HP 감독위원(9부) → 보건부 장관(11부~)</t>
  </si>
  <si>
    <t xml:space="preserve">S3·S4·N8</t>
  </si>
  <si>
    <t xml:space="preserve">Julien Moreau</t>
  </si>
  <si>
    <t xml:space="preserve">Julien</t>
  </si>
  <si>
    <t xml:space="preserve">공인회계사 (감사)</t>
  </si>
  <si>
    <r>
      <rPr>
        <sz val="10"/>
        <rFont val="Arial"/>
        <family val="0"/>
        <charset val="1"/>
      </rPr>
      <t xml:space="preserve">Bertin &amp; Roux Audit (</t>
    </r>
    <r>
      <rPr>
        <sz val="10"/>
        <rFont val="WenQuanYi Zen Hei"/>
        <family val="2"/>
      </rPr>
      <t xml:space="preserve">가상</t>
    </r>
    <r>
      <rPr>
        <sz val="10"/>
        <rFont val="Arial"/>
        <family val="0"/>
        <charset val="1"/>
      </rPr>
      <t xml:space="preserve">, </t>
    </r>
    <r>
      <rPr>
        <sz val="10"/>
        <rFont val="WenQuanYi Zen Hei"/>
        <family val="2"/>
      </rPr>
      <t xml:space="preserve">전 시니어 파트너</t>
    </r>
    <r>
      <rPr>
        <sz val="10"/>
        <rFont val="Arial"/>
        <family val="0"/>
        <charset val="1"/>
      </rPr>
      <t xml:space="preserve">)</t>
    </r>
  </si>
  <si>
    <t xml:space="preserve">부정을 발견하고도 서명했던 기억.</t>
  </si>
  <si>
    <t xml:space="preserve">건조하고 정확, 비꼬는 유머.</t>
  </si>
  <si>
    <t xml:space="preserve">Montrez-moi les documents.\nÇa ne colle pas.\nMontrez-moi les chiffres, je vous dirai qui vous êtes.</t>
  </si>
  <si>
    <t xml:space="preserve">일정한 속도, 결론에서 톤을 낮춘다.</t>
  </si>
  <si>
    <t xml:space="preserve">숫자를 소리 내어 읽는다.</t>
  </si>
  <si>
    <t xml:space="preserve">파리 시의원·예산 담당(9부) → 경제·재정부 장관(Bercy, 11부~)</t>
  </si>
  <si>
    <t xml:space="preserve">E3·N2</t>
  </si>
  <si>
    <t xml:space="preserve">Léa Dubois</t>
  </si>
  <si>
    <t xml:space="preserve">Léa</t>
  </si>
  <si>
    <t xml:space="preserve">전략 컨설턴트</t>
  </si>
  <si>
    <r>
      <rPr>
        <sz val="10"/>
        <rFont val="Arial"/>
        <family val="0"/>
        <charset val="1"/>
      </rPr>
      <t xml:space="preserve">Zénith Consulting (</t>
    </r>
    <r>
      <rPr>
        <sz val="10"/>
        <rFont val="WenQuanYi Zen Hei"/>
        <family val="2"/>
      </rPr>
      <t xml:space="preserve">가상</t>
    </r>
    <r>
      <rPr>
        <sz val="10"/>
        <rFont val="Arial"/>
        <family val="0"/>
        <charset val="1"/>
      </rPr>
      <t xml:space="preserve">, La Défense)</t>
    </r>
  </si>
  <si>
    <t xml:space="preserve">구조조정 표 한 칸이 수백 명의 해고였음을 뒤늦게 안다.</t>
  </si>
  <si>
    <t xml:space="preserve">영어식 경영 용어가 섞인 빠른 말투, 후반 쉬운 말로 성장.</t>
  </si>
  <si>
    <r>
      <rPr>
        <sz val="10"/>
        <rFont val="Arial"/>
        <family val="0"/>
        <charset val="1"/>
      </rPr>
      <t xml:space="preserve">Mettons ça dans une matrice.\n(</t>
    </r>
    <r>
      <rPr>
        <sz val="10"/>
        <rFont val="WenQuanYi Zen Hei"/>
        <family val="2"/>
      </rPr>
      <t xml:space="preserve">후반</t>
    </r>
    <r>
      <rPr>
        <sz val="10"/>
        <rFont val="Arial"/>
        <family val="0"/>
        <charset val="1"/>
      </rPr>
      <t xml:space="preserve">) Bon, sans slides : de quoi tu as vraiment besoin ?</t>
    </r>
  </si>
  <si>
    <t xml:space="preserve">초반 숨 가쁜 톤, 후반 솔직한 톤.</t>
  </si>
  <si>
    <t xml:space="preserve">프레젠테이션식 브리핑.</t>
  </si>
  <si>
    <t xml:space="preserve">선거캠프 총괄 참모(8~10부) → 엘리제궁 비서실장(secrétaire générale de l'Élysée)</t>
  </si>
  <si>
    <t xml:space="preserve">E2·P1</t>
  </si>
  <si>
    <t xml:space="preserve">Napoléon Bonaparte</t>
  </si>
  <si>
    <t xml:space="preserve">Napoléon</t>
  </si>
  <si>
    <t xml:space="preserve">부활한 황제·전략가 (1769–1821)</t>
  </si>
  <si>
    <t xml:space="preserve">프랑스 제1제국 황제, 세인트헬레나 유배지에서 사망</t>
  </si>
  <si>
    <t xml:space="preserve">자신의 몰락까지 전략적으로 복기하는 버릇이 있다 — 패배조차 전술적으로 설명하려 든다. 세인트헬레나에서 자신을 죽인 위(胃)의 병이 되살아났다는 것만은 숨긴다.</t>
  </si>
  <si>
    <t xml:space="preserve">단호하고 명령조, 짧고 강한 문장. 자신의 전투를 예시로 모든 걸 설명한다.</t>
  </si>
  <si>
    <r>
      <rPr>
        <sz val="10"/>
        <rFont val="Arial"/>
        <family val="0"/>
        <charset val="1"/>
      </rPr>
      <t xml:space="preserve">Impossible n'est pas français — enfin, plus maintenant, apparemment.\n(</t>
    </r>
    <r>
      <rPr>
        <sz val="10"/>
        <rFont val="WenQuanYi Zen Hei"/>
        <family val="2"/>
      </rPr>
      <t xml:space="preserve">현대 용어 오해</t>
    </r>
    <r>
      <rPr>
        <sz val="10"/>
        <rFont val="Arial"/>
        <family val="0"/>
        <charset val="1"/>
      </rPr>
      <t xml:space="preserve">) Un « serveur » ? Un valet qui ne dort jamais. Très impérial.\n« Pare-feu » ? Nous appelions ça un siège.</t>
    </r>
  </si>
  <si>
    <t xml:space="preserve">짧고 단호한 톤, 명령형.</t>
  </si>
  <si>
    <t xml:space="preserve">자신의 옛 전투와 현재 상황을 비교해 설명한다.</t>
  </si>
  <si>
    <t xml:space="preserve">대통령 특사(외교·안보) — 11부 9~11화 브뤼셀 협상, 11부 12화 두 번째 죽음</t>
  </si>
  <si>
    <t xml:space="preserve">준본격 (겨울 복선)</t>
  </si>
  <si>
    <t xml:space="preserve">N3·E3</t>
  </si>
  <si>
    <t xml:space="preserve">Voltaire</t>
  </si>
  <si>
    <t xml:space="preserve">부활한 계몽사상가·풍자가 (1694–1778)</t>
  </si>
  <si>
    <t xml:space="preserve">『캉디드』 저자, 바스티유 투옥 경험</t>
  </si>
  <si>
    <t xml:space="preserve">자신이 그렇게 싸운 관용과 이성이 오늘날에도 여전히 부족하다는 걸 매일 확인하며 냉소로 버틴다.</t>
  </si>
  <si>
    <t xml:space="preserve">신랄하고 재치 있는 풍자, 팜플렛 문체.</t>
  </si>
  <si>
    <r>
      <rPr>
        <sz val="10"/>
        <rFont val="Arial"/>
        <family val="0"/>
        <charset val="1"/>
      </rPr>
      <t xml:space="preserve">(</t>
    </r>
    <r>
      <rPr>
        <sz val="10"/>
        <rFont val="WenQuanYi Zen Hei"/>
        <family val="2"/>
      </rPr>
      <t xml:space="preserve">고전 인용</t>
    </r>
    <r>
      <rPr>
        <sz val="10"/>
        <rFont val="Arial"/>
        <family val="0"/>
        <charset val="1"/>
      </rPr>
      <t xml:space="preserve">) Il faut cultiver notre jardin.\n(</t>
    </r>
    <r>
      <rPr>
        <sz val="10"/>
        <rFont val="WenQuanYi Zen Hei"/>
        <family val="2"/>
      </rPr>
      <t xml:space="preserve">현대 용어 재해석</t>
    </r>
    <r>
      <rPr>
        <sz val="10"/>
        <rFont val="Arial"/>
        <family val="0"/>
        <charset val="1"/>
      </rPr>
      <t xml:space="preserve">) « Fake news » ? Nous appelions ça la censure royale — au moins, aujourd'hui, tout le monde peut mentir également.</t>
    </r>
  </si>
  <si>
    <t xml:space="preserve">빠르고 재치있는 톤.</t>
  </si>
  <si>
    <t xml:space="preserve">현재 사안을 풍자적 우화로 요약해 설명한다.</t>
  </si>
  <si>
    <t xml:space="preserve">엘리제궁 공보·메시지 자문</t>
  </si>
  <si>
    <t xml:space="preserve">카메오</t>
  </si>
  <si>
    <t xml:space="preserve">P3·N7</t>
  </si>
  <si>
    <t xml:space="preserve">Olympe de Gouges</t>
  </si>
  <si>
    <t xml:space="preserve">Olympe</t>
  </si>
  <si>
    <t xml:space="preserve">부활한 여성인권 운동가 (1748–1793)</t>
  </si>
  <si>
    <t xml:space="preserve">『여성과 여성시민의 권리선언』 저자, 단두대에서 처형</t>
  </si>
  <si>
    <t xml:space="preserve">자신이 요구한 권리들이 200년이 지나서야 겨우 이뤄지는 걸 보며 조급해한다 — '이번엔 기다리지 않는다'.</t>
  </si>
  <si>
    <t xml:space="preserve">열정적이고 논리적, 선언문 낭독하듯 말한다.</t>
  </si>
  <si>
    <r>
      <rPr>
        <sz val="10"/>
        <rFont val="Arial"/>
        <family val="0"/>
        <charset val="1"/>
      </rPr>
      <t xml:space="preserve">La femme a le droit de monter à l'échafaud, elle doit avoir également celui de monter à la tribune.\n(</t>
    </r>
    <r>
      <rPr>
        <sz val="10"/>
        <rFont val="WenQuanYi Zen Hei"/>
        <family val="2"/>
      </rPr>
      <t xml:space="preserve">현대 용어 오해</t>
    </r>
    <r>
      <rPr>
        <sz val="10"/>
        <rFont val="Arial"/>
        <family val="0"/>
        <charset val="1"/>
      </rPr>
      <t xml:space="preserve">) « Cancel culture » ? Enfin — qui déchoit-on en premier ?</t>
    </r>
  </si>
  <si>
    <t xml:space="preserve">빠르고 격정적, 선언문 낭독조.</t>
  </si>
  <si>
    <t xml:space="preserve">선언문 형식으로 상황과 요구사항을 정리해 전달한다.</t>
  </si>
  <si>
    <t xml:space="preserve">창당 전략가(8부) → 총리(Première ministre, 10부 11화 임명)</t>
  </si>
  <si>
    <r>
      <rPr>
        <sz val="10"/>
        <rFont val="Noto Sans CJK SC"/>
        <family val="2"/>
        <charset val="1"/>
      </rPr>
      <t xml:space="preserve">7</t>
    </r>
    <r>
      <rPr>
        <sz val="10"/>
        <rFont val="WenQuanYi Zen Hei"/>
        <family val="2"/>
      </rPr>
      <t xml:space="preserve">부 </t>
    </r>
    <r>
      <rPr>
        <sz val="10"/>
        <rFont val="Noto Sans CJK SC"/>
        <family val="2"/>
        <charset val="1"/>
      </rPr>
      <t xml:space="preserve">1</t>
    </r>
    <r>
      <rPr>
        <sz val="10"/>
        <rFont val="WenQuanYi Zen Hei"/>
        <family val="2"/>
      </rPr>
      <t xml:space="preserve">화 합류 </t>
    </r>
    <r>
      <rPr>
        <sz val="10"/>
        <rFont val="Noto Sans CJK SC"/>
        <family val="2"/>
        <charset val="1"/>
      </rPr>
      <t xml:space="preserve">(1</t>
    </r>
    <r>
      <rPr>
        <sz val="10"/>
        <rFont val="WenQuanYi Zen Hei"/>
        <family val="2"/>
      </rPr>
      <t xml:space="preserve">부 미등장</t>
    </r>
    <r>
      <rPr>
        <sz val="10"/>
        <rFont val="Noto Sans CJK SC"/>
        <family val="2"/>
        <charset val="1"/>
      </rPr>
      <t xml:space="preserve">)</t>
    </r>
  </si>
  <si>
    <t xml:space="preserve">N4·P2</t>
  </si>
  <si>
    <t xml:space="preserve">Jeanne d'Arc</t>
  </si>
  <si>
    <t xml:space="preserve">Jeanne</t>
  </si>
  <si>
    <t xml:space="preserve">부활한 전사·신비주의자 (1412–1431)</t>
  </si>
  <si>
    <t xml:space="preserve">백년전쟁 프랑스군 지휘, 화형으로 처형</t>
  </si>
  <si>
    <t xml:space="preserve">아무도 믿어주지 않았던 목소리를 들었던 소녀 — 지금도 자기 확신을 의심받으면 참지 못한다.</t>
  </si>
  <si>
    <t xml:space="preserve">단순하고 확신에 찬 문장, 나이답지 않게 단호하다.</t>
  </si>
  <si>
    <r>
      <rPr>
        <sz val="10"/>
        <rFont val="Arial"/>
        <family val="0"/>
        <charset val="1"/>
      </rPr>
      <t xml:space="preserve">(</t>
    </r>
    <r>
      <rPr>
        <sz val="10"/>
        <rFont val="WenQuanYi Zen Hei"/>
        <family val="2"/>
      </rPr>
      <t xml:space="preserve">현대 용어 오해</t>
    </r>
    <r>
      <rPr>
        <sz val="10"/>
        <rFont val="Arial"/>
        <family val="0"/>
        <charset val="1"/>
      </rPr>
      <t xml:space="preserve">) Une notification sur le téléphone ? Est-ce... une nouvelle voix ?\nJ'ai déjà mené une armée à dix-neuf ans. Une réunion, je peux gérer.</t>
    </r>
  </si>
  <si>
    <t xml:space="preserve">맑고 단호한 톤, 어린 목소리지만 흔들림 없다.</t>
  </si>
  <si>
    <t xml:space="preserve">확신에 찬 짧은 선언으로 상황을 정리한다.</t>
  </si>
  <si>
    <t xml:space="preserve">현장 조직(7부) → 대선 캠프 로지스틱스 총괄(10부) → 대통령 특별참모(위기 대응)</t>
  </si>
  <si>
    <t xml:space="preserve">S3·N1</t>
  </si>
  <si>
    <t xml:space="preserve">Jean-Paul Sartre</t>
  </si>
  <si>
    <t xml:space="preserve">Sartre</t>
  </si>
  <si>
    <t xml:space="preserve">부활한 실존주의 철학자 (1905–1980)</t>
  </si>
  <si>
    <t xml:space="preserve">레지스탕스 참여, 『존재와 무』 저자</t>
  </si>
  <si>
    <t xml:space="preserve">자유가 무겁다는 걸 누구보다 잘 알아서, 선택을 회피하는 사람을 보면 참지 못한다.</t>
  </si>
  <si>
    <t xml:space="preserve">낮고 분석적, 인간의 자유와 책임으로 모든 상황을 재해석한다.</t>
  </si>
  <si>
    <r>
      <rPr>
        <sz val="10"/>
        <rFont val="Arial"/>
        <family val="0"/>
        <charset val="1"/>
      </rPr>
      <t xml:space="preserve">(</t>
    </r>
    <r>
      <rPr>
        <sz val="10"/>
        <rFont val="WenQuanYi Zen Hei"/>
        <family val="2"/>
      </rPr>
      <t xml:space="preserve">고전 인용</t>
    </r>
    <r>
      <rPr>
        <sz val="10"/>
        <rFont val="Arial"/>
        <family val="0"/>
        <charset val="1"/>
      </rPr>
      <t xml:space="preserve">) L'homme est condamné à être libre.\n(</t>
    </r>
    <r>
      <rPr>
        <sz val="10"/>
        <rFont val="WenQuanYi Zen Hei"/>
        <family val="2"/>
      </rPr>
      <t xml:space="preserve">현대 용어 재해석</t>
    </r>
    <r>
      <rPr>
        <sz val="10"/>
        <rFont val="Arial"/>
        <family val="0"/>
        <charset val="1"/>
      </rPr>
      <t xml:space="preserve">) « Algorithme » ? Une nouvelle mauvaise foi — on choisit, mais on prétend que la machine a choisi.</t>
    </r>
  </si>
  <si>
    <t xml:space="preserve">느리고 낮은 톤, 담배 연기처럼 여운이 길다.</t>
  </si>
  <si>
    <t xml:space="preserve">상황을 '누가 자유를 회피하고 있는가'로 짚어 설명한다.</t>
  </si>
  <si>
    <t xml:space="preserve">사회·문화 정책 자문 (청년 정신건강 담당)</t>
  </si>
  <si>
    <t xml:space="preserve">카메오 (카페 단골)</t>
  </si>
  <si>
    <t xml:space="preserve">N8·S2</t>
  </si>
  <si>
    <t xml:space="preserve">Marie Curie</t>
  </si>
  <si>
    <t xml:space="preserve">Curie</t>
  </si>
  <si>
    <t xml:space="preserve">부활한 물리·화학자 (1867–1934)</t>
  </si>
  <si>
    <t xml:space="preserve">노벨상 2회 수상, 방사선 연구 중 피폭으로 사망</t>
  </si>
  <si>
    <t xml:space="preserve">자신을 죽인 바로 그 연구를 후회하지 않는다는 게 주변을 불편하게 한다 — 위험을 대수롭지 않게 여긴다.</t>
  </si>
  <si>
    <t xml:space="preserve">차분하고 정확, 겸손하지만 권위에 굴하지 않는다.</t>
  </si>
  <si>
    <r>
      <rPr>
        <sz val="10"/>
        <rFont val="Arial"/>
        <family val="0"/>
        <charset val="1"/>
      </rPr>
      <t xml:space="preserve">(</t>
    </r>
    <r>
      <rPr>
        <sz val="10"/>
        <rFont val="WenQuanYi Zen Hei"/>
        <family val="2"/>
      </rPr>
      <t xml:space="preserve">현대 용어 오해</t>
    </r>
    <r>
      <rPr>
        <sz val="10"/>
        <rFont val="Arial"/>
        <family val="0"/>
        <charset val="1"/>
      </rPr>
      <t xml:space="preserve">) « Radiation Wi-Fi » ? Non, non — laissez-moi vous expliquer la vraie radioactivité.\nOn n'a rien à craindre dans la vie, il faut seulement comprendre.</t>
    </r>
  </si>
  <si>
    <t xml:space="preserve">차분하고 신중한 톤.</t>
  </si>
  <si>
    <t xml:space="preserve">정확한 데이터와 실험으로 상황을 설명한다.</t>
  </si>
  <si>
    <t xml:space="preserve">과학·교육 정책 자문 (12부 사찰 스캔들 기술 검증)</t>
  </si>
  <si>
    <t xml:space="preserve">N7·N5</t>
  </si>
  <si>
    <t xml:space="preserve">Monique Rousseau</t>
  </si>
  <si>
    <t xml:space="preserve">Monique</t>
  </si>
  <si>
    <t xml:space="preserve">비스트로 사장 (Chez Monique, 30년 운영)</t>
  </si>
  <si>
    <r>
      <rPr>
        <sz val="10"/>
        <rFont val="Noto Sans CJK SC"/>
        <family val="2"/>
        <charset val="1"/>
      </rPr>
      <t xml:space="preserve">Chez Monique, Belleville → </t>
    </r>
    <r>
      <rPr>
        <sz val="10"/>
        <rFont val="WenQuanYi Zen Hei"/>
        <family val="2"/>
      </rPr>
      <t xml:space="preserve">사무소 </t>
    </r>
    <r>
      <rPr>
        <sz val="10"/>
        <rFont val="Noto Sans CJK SC"/>
        <family val="2"/>
        <charset val="1"/>
      </rPr>
      <t xml:space="preserve">1</t>
    </r>
    <r>
      <rPr>
        <sz val="10"/>
        <rFont val="WenQuanYi Zen Hei"/>
        <family val="2"/>
      </rPr>
      <t xml:space="preserve">층으로 이전</t>
    </r>
  </si>
  <si>
    <t xml:space="preserve">임대료 폭등으로 가게를 잃었다.</t>
  </si>
  <si>
    <t xml:space="preserve">파리 서민 구어체, 누구에게나 tu, 'mon/ma petit(e)'.</t>
  </si>
  <si>
    <t xml:space="preserve">Asseyez-vous, je vous apporte quelque chose.\nLe ventre vide, on ne réfléchit pas bien.\nC'est la maison qui offre.</t>
  </si>
  <si>
    <t xml:space="preserve">따뜻하고 넉넉한 톤.</t>
  </si>
  <si>
    <t xml:space="preserve">시간·장소·식사를 말로 알린다.</t>
  </si>
  <si>
    <t xml:space="preserve">소상공인 정책 자문 (비공식)</t>
  </si>
  <si>
    <t xml:space="preserve">E1·S2</t>
  </si>
  <si>
    <t xml:space="preserve">Karim Belkacem</t>
  </si>
  <si>
    <t xml:space="preserve">Karim</t>
  </si>
  <si>
    <t xml:space="preserve">전 대중교통 노조위원장</t>
  </si>
  <si>
    <r>
      <rPr>
        <sz val="10"/>
        <rFont val="Noto Sans CJK SC"/>
        <family val="2"/>
        <charset val="1"/>
      </rPr>
      <t xml:space="preserve">RATP </t>
    </r>
    <r>
      <rPr>
        <sz val="10"/>
        <rFont val="WenQuanYi Zen Hei"/>
        <family val="2"/>
      </rPr>
      <t xml:space="preserve">버스 노조 → 노선 경쟁 입찰로 이관된 </t>
    </r>
    <r>
      <rPr>
        <sz val="10"/>
        <rFont val="Noto Sans CJK SC"/>
        <family val="2"/>
        <charset val="1"/>
      </rPr>
      <t xml:space="preserve">Méridien Mobilité(</t>
    </r>
    <r>
      <rPr>
        <sz val="10"/>
        <rFont val="WenQuanYi Zen Hei"/>
        <family val="2"/>
      </rPr>
      <t xml:space="preserve">가상</t>
    </r>
    <r>
      <rPr>
        <sz val="10"/>
        <rFont val="Noto Sans CJK SC"/>
        <family val="2"/>
        <charset val="1"/>
      </rPr>
      <t xml:space="preserve">) </t>
    </r>
    <r>
      <rPr>
        <sz val="10"/>
        <rFont val="WenQuanYi Zen Hei"/>
        <family val="2"/>
      </rPr>
      <t xml:space="preserve">노조 대표</t>
    </r>
    <r>
      <rPr>
        <sz val="10"/>
        <rFont val="Noto Sans CJK SC"/>
        <family val="2"/>
        <charset val="1"/>
      </rPr>
      <t xml:space="preserve">, </t>
    </r>
    <r>
      <rPr>
        <sz val="10"/>
        <rFont val="WenQuanYi Zen Hei"/>
        <family val="2"/>
      </rPr>
      <t xml:space="preserve">파업 책임으로 해고</t>
    </r>
  </si>
  <si>
    <t xml:space="preserve">파업 책임으로 해고되어 블랙리스트에 올랐지만 후회하지 않는다.</t>
  </si>
  <si>
    <t xml:space="preserve">거칠고 직설적, 구호형 문장.</t>
  </si>
  <si>
    <t xml:space="preserve">Ici, personne ne se rend !\nÇa se règle dans la rue.\nÇa suffit, là.</t>
  </si>
  <si>
    <t xml:space="preserve">큰 볼륨, 강한 억양.</t>
  </si>
  <si>
    <t xml:space="preserve">구호와 함성으로 현장 분위기를 전달한다.</t>
  </si>
  <si>
    <t xml:space="preserve">사회적 대화 자문</t>
  </si>
  <si>
    <t xml:space="preserve">S1·N6</t>
  </si>
  <si>
    <t xml:space="preserve">Manon Petit</t>
  </si>
  <si>
    <t xml:space="preserve">Manon</t>
  </si>
  <si>
    <t xml:space="preserve">신입 인턴 (독자의 대리인)</t>
  </si>
  <si>
    <t xml:space="preserve">대기업 인턴 출신 (부당 해고)</t>
  </si>
  <si>
    <t xml:space="preserve">대기업 인턴에서 부당하게 쫓겨났고 월세가 밀려 있다.</t>
  </si>
  <si>
    <r>
      <rPr>
        <sz val="10"/>
        <rFont val="Arial"/>
        <family val="0"/>
        <charset val="1"/>
      </rPr>
      <t xml:space="preserve">Z</t>
    </r>
    <r>
      <rPr>
        <sz val="10"/>
        <rFont val="WenQuanYi Zen Hei"/>
        <family val="2"/>
      </rPr>
      <t xml:space="preserve">세대 구어체 </t>
    </r>
    <r>
      <rPr>
        <sz val="10"/>
        <rFont val="Arial"/>
        <family val="0"/>
        <charset val="1"/>
      </rPr>
      <t xml:space="preserve">(genre, grave, c'est chelou). </t>
    </r>
    <r>
      <rPr>
        <sz val="10"/>
        <rFont val="WenQuanYi Zen Hei"/>
        <family val="2"/>
      </rPr>
      <t xml:space="preserve">어른들에겐 </t>
    </r>
    <r>
      <rPr>
        <sz val="10"/>
        <rFont val="Arial"/>
        <family val="0"/>
        <charset val="1"/>
      </rPr>
      <t xml:space="preserve">vous, </t>
    </r>
    <r>
      <rPr>
        <sz val="10"/>
        <rFont val="WenQuanYi Zen Hei"/>
        <family val="2"/>
      </rPr>
      <t xml:space="preserve">성장하며 </t>
    </r>
    <r>
      <rPr>
        <sz val="10"/>
        <rFont val="Arial"/>
        <family val="0"/>
        <charset val="1"/>
      </rPr>
      <t xml:space="preserve">tu</t>
    </r>
    <r>
      <rPr>
        <sz val="10"/>
        <rFont val="WenQuanYi Zen Hei"/>
        <family val="2"/>
      </rPr>
      <t xml:space="preserve">로</t>
    </r>
    <r>
      <rPr>
        <sz val="10"/>
        <rFont val="Arial"/>
        <family val="0"/>
        <charset val="1"/>
      </rPr>
      <t xml:space="preserve">.</t>
    </r>
  </si>
  <si>
    <r>
      <rPr>
        <sz val="10"/>
        <rFont val="Arial"/>
        <family val="0"/>
        <charset val="1"/>
      </rPr>
      <t xml:space="preserve">Pardon, ça veut dire quoi ?\nVous pouvez m'expliquer comme si j'avais cinq ans ?\nÇA SUFFIT ! Je comprends rien ! (</t>
    </r>
    <r>
      <rPr>
        <sz val="10"/>
        <rFont val="WenQuanYi Zen Hei"/>
        <family val="2"/>
      </rPr>
      <t xml:space="preserve">폭발 — </t>
    </r>
    <r>
      <rPr>
        <sz val="10"/>
        <rFont val="Arial"/>
        <family val="0"/>
        <charset val="1"/>
      </rPr>
      <t xml:space="preserve">1</t>
    </r>
    <r>
      <rPr>
        <sz val="10"/>
        <rFont val="WenQuanYi Zen Hei"/>
        <family val="2"/>
      </rPr>
      <t xml:space="preserve">부</t>
    </r>
    <r>
      <rPr>
        <sz val="10"/>
        <rFont val="Arial"/>
        <family val="0"/>
        <charset val="1"/>
      </rPr>
      <t xml:space="preserve">·9</t>
    </r>
    <r>
      <rPr>
        <sz val="10"/>
        <rFont val="WenQuanYi Zen Hei"/>
        <family val="2"/>
      </rPr>
      <t xml:space="preserve">부</t>
    </r>
    <r>
      <rPr>
        <sz val="10"/>
        <rFont val="Arial"/>
        <family val="0"/>
        <charset val="1"/>
      </rPr>
      <t xml:space="preserve">)</t>
    </r>
  </si>
  <si>
    <t xml:space="preserve">빠르고 밝은 톤.</t>
  </si>
  <si>
    <t xml:space="preserve">질문으로 용어와 배경을 끌어낸다.</t>
  </si>
  <si>
    <t xml:space="preserve">파리 시의원 보좌(9부) → 청년정책 자문관</t>
  </si>
  <si>
    <t xml:space="preserve">S1·N8</t>
  </si>
  <si>
    <t xml:space="preserve">Philippe Renard</t>
  </si>
  <si>
    <t xml:space="preserve">Philippe</t>
  </si>
  <si>
    <t xml:space="preserve">전 은행 지점장</t>
  </si>
  <si>
    <r>
      <rPr>
        <sz val="10"/>
        <rFont val="Arial"/>
        <family val="0"/>
        <charset val="1"/>
      </rPr>
      <t xml:space="preserve">Banque Atlantique (25</t>
    </r>
    <r>
      <rPr>
        <sz val="10"/>
        <rFont val="WenQuanYi Zen Hei"/>
        <family val="2"/>
      </rPr>
      <t xml:space="preserve">년 근속</t>
    </r>
    <r>
      <rPr>
        <sz val="10"/>
        <rFont val="Arial"/>
        <family val="0"/>
        <charset val="1"/>
      </rPr>
      <t xml:space="preserve">)</t>
    </r>
  </si>
  <si>
    <t xml:space="preserve">불법 대출 공모를 내부 고발하다 해고되었다.</t>
  </si>
  <si>
    <t xml:space="preserve">정중하고 조심스러운 은행원식 완곡어법.</t>
  </si>
  <si>
    <t xml:space="preserve">Suivez l'argent.\nL'argent laisse toujours une trace.\nQuand je dirigeais l'agence…</t>
  </si>
  <si>
    <t xml:space="preserve">차분하고 신중하게.</t>
  </si>
  <si>
    <t xml:space="preserve">돈의 경로를 «De A à B…»식으로 그려준다.</t>
  </si>
  <si>
    <t xml:space="preserve">금융 개혁 자문</t>
  </si>
  <si>
    <t xml:space="preserve">카메오 (의뢰인)</t>
  </si>
  <si>
    <t xml:space="preserve">E1·N2</t>
  </si>
  <si>
    <t xml:space="preserve">Victor Hugo</t>
  </si>
  <si>
    <t xml:space="preserve">Hugo</t>
  </si>
  <si>
    <t xml:space="preserve">부활한 문호 (1802–1885)</t>
  </si>
  <si>
    <t xml:space="preserve">『레미제라블』 저자, 망명 경험</t>
  </si>
  <si>
    <t xml:space="preserve">자신이 그린 빈곤과 불의가 150년 뒤에도 형태만 바뀐 채 그대로라는 걸 보며 분노를 감추지 못한다.</t>
  </si>
  <si>
    <t xml:space="preserve">장엄하고 도덕적 열변, 사회정의 이야기만 나오면 톤이 올라간다.</t>
  </si>
  <si>
    <r>
      <rPr>
        <sz val="11"/>
        <color theme="1"/>
        <rFont val="Calibri"/>
        <family val="2"/>
        <charset val="1"/>
      </rPr>
      <t xml:space="preserve">(</t>
    </r>
    <r>
      <rPr>
        <sz val="11"/>
        <color theme="1"/>
        <rFont val="WenQuanYi Zen Hei"/>
        <family val="2"/>
      </rPr>
      <t xml:space="preserve">고전 인용</t>
    </r>
    <r>
      <rPr>
        <sz val="11"/>
        <color theme="1"/>
        <rFont val="Calibri"/>
        <family val="2"/>
        <charset val="1"/>
      </rPr>
      <t xml:space="preserve">) Rien n'est plus puissant qu'une idée dont le temps est venu.\n(</t>
    </r>
    <r>
      <rPr>
        <sz val="11"/>
        <color theme="1"/>
        <rFont val="WenQuanYi Zen Hei"/>
        <family val="2"/>
      </rPr>
      <t xml:space="preserve">현대 용어 오해</t>
    </r>
    <r>
      <rPr>
        <sz val="11"/>
        <color theme="1"/>
        <rFont val="Calibri"/>
        <family val="2"/>
        <charset val="1"/>
      </rPr>
      <t xml:space="preserve">) « Influenceur » ? On dirait un nouveau vendeur d'indulgences — j'en ai déjà mis un dans mes romans.</t>
    </r>
  </si>
  <si>
    <t xml:space="preserve">느리고 웅장한 톤, 감정이 격해지면 목소리가 커진다.</t>
  </si>
  <si>
    <t xml:space="preserve">사회 부조리를 목격한 이야기로 현재 상황을 은유한다.</t>
  </si>
  <si>
    <t xml:space="preserve">연설·메시지 자문 (대통령 연설문 담당)</t>
  </si>
  <si>
    <t xml:space="preserve">N5·N1</t>
  </si>
  <si>
    <t xml:space="preserve">인물별 등장 비중 (부별 등장 화 수)</t>
  </si>
  <si>
    <t xml:space="preserve">등장 화 = 대사가 있는 화 수 (기획용 초안). 파란 숫자는 직접 입력값이며 수정하면 합계·비중·등급이 자동 갱신됩니다.</t>
  </si>
  <si>
    <t xml:space="preserve">인물 (약칭)</t>
  </si>
  <si>
    <r>
      <rPr>
        <b val="true"/>
        <sz val="10"/>
        <color rgb="FFFFFFFF"/>
        <rFont val="Arial"/>
        <family val="0"/>
        <charset val="1"/>
      </rPr>
      <t xml:space="preserve">1</t>
    </r>
    <r>
      <rPr>
        <b val="true"/>
        <sz val="10"/>
        <color rgb="FFFFFFFF"/>
        <rFont val="WenQuanYi Zen Hei"/>
        <family val="2"/>
      </rPr>
      <t xml:space="preserve">부
사무소</t>
    </r>
  </si>
  <si>
    <r>
      <rPr>
        <b val="true"/>
        <sz val="10"/>
        <color rgb="FFFFFFFF"/>
        <rFont val="Arial"/>
        <family val="0"/>
        <charset val="1"/>
      </rPr>
      <t xml:space="preserve">2</t>
    </r>
    <r>
      <rPr>
        <b val="true"/>
        <sz val="10"/>
        <color rgb="FFFFFFFF"/>
        <rFont val="WenQuanYi Zen Hei"/>
        <family val="2"/>
      </rPr>
      <t xml:space="preserve">부
</t>
    </r>
    <r>
      <rPr>
        <b val="true"/>
        <sz val="10"/>
        <color rgb="FFFFFFFF"/>
        <rFont val="Arial"/>
        <family val="0"/>
        <charset val="1"/>
      </rPr>
      <t xml:space="preserve">Nicolas</t>
    </r>
  </si>
  <si>
    <r>
      <rPr>
        <b val="true"/>
        <sz val="10"/>
        <color rgb="FFFFFFFF"/>
        <rFont val="Arial"/>
        <family val="0"/>
        <charset val="1"/>
      </rPr>
      <t xml:space="preserve">3</t>
    </r>
    <r>
      <rPr>
        <b val="true"/>
        <sz val="10"/>
        <color rgb="FFFFFFFF"/>
        <rFont val="WenQuanYi Zen Hei"/>
        <family val="2"/>
      </rPr>
      <t xml:space="preserve">부
</t>
    </r>
    <r>
      <rPr>
        <b val="true"/>
        <sz val="10"/>
        <color rgb="FFFFFFFF"/>
        <rFont val="Arial"/>
        <family val="0"/>
        <charset val="1"/>
      </rPr>
      <t xml:space="preserve">Camille</t>
    </r>
  </si>
  <si>
    <r>
      <rPr>
        <b val="true"/>
        <sz val="10"/>
        <color rgb="FFFFFFFF"/>
        <rFont val="Arial"/>
        <family val="0"/>
        <charset val="1"/>
      </rPr>
      <t xml:space="preserve">4</t>
    </r>
    <r>
      <rPr>
        <b val="true"/>
        <sz val="10"/>
        <color rgb="FFFFFFFF"/>
        <rFont val="WenQuanYi Zen Hei"/>
        <family val="2"/>
      </rPr>
      <t xml:space="preserve">부
</t>
    </r>
    <r>
      <rPr>
        <b val="true"/>
        <sz val="10"/>
        <color rgb="FFFFFFFF"/>
        <rFont val="Arial"/>
        <family val="0"/>
        <charset val="1"/>
      </rPr>
      <t xml:space="preserve">Julien</t>
    </r>
  </si>
  <si>
    <r>
      <rPr>
        <b val="true"/>
        <sz val="10"/>
        <color rgb="FFFFFFFF"/>
        <rFont val="Arial"/>
        <family val="0"/>
        <charset val="1"/>
      </rPr>
      <t xml:space="preserve">5</t>
    </r>
    <r>
      <rPr>
        <b val="true"/>
        <sz val="10"/>
        <color rgb="FFFFFFFF"/>
        <rFont val="WenQuanYi Zen Hei"/>
        <family val="2"/>
      </rPr>
      <t xml:space="preserve">부
</t>
    </r>
    <r>
      <rPr>
        <b val="true"/>
        <sz val="10"/>
        <color rgb="FFFFFFFF"/>
        <rFont val="Arial"/>
        <family val="0"/>
        <charset val="1"/>
      </rPr>
      <t xml:space="preserve">Léa</t>
    </r>
  </si>
  <si>
    <r>
      <rPr>
        <b val="true"/>
        <sz val="10"/>
        <color rgb="FFFFFFFF"/>
        <rFont val="Arial"/>
        <family val="0"/>
        <charset val="1"/>
      </rPr>
      <t xml:space="preserve">6</t>
    </r>
    <r>
      <rPr>
        <b val="true"/>
        <sz val="10"/>
        <color rgb="FFFFFFFF"/>
        <rFont val="WenQuanYi Zen Hei"/>
        <family val="2"/>
      </rPr>
      <t xml:space="preserve">부
만남</t>
    </r>
  </si>
  <si>
    <r>
      <rPr>
        <b val="true"/>
        <sz val="10"/>
        <color rgb="FFFFFFFF"/>
        <rFont val="Arial"/>
        <family val="0"/>
        <charset val="1"/>
      </rPr>
      <t xml:space="preserve">7</t>
    </r>
    <r>
      <rPr>
        <b val="true"/>
        <sz val="10"/>
        <color rgb="FFFFFFFF"/>
        <rFont val="WenQuanYi Zen Hei"/>
        <family val="2"/>
      </rPr>
      <t xml:space="preserve">부
전면전</t>
    </r>
  </si>
  <si>
    <r>
      <rPr>
        <b val="true"/>
        <sz val="10"/>
        <color rgb="FFFFFFFF"/>
        <rFont val="Arial"/>
        <family val="0"/>
        <charset val="1"/>
      </rPr>
      <t xml:space="preserve">8</t>
    </r>
    <r>
      <rPr>
        <b val="true"/>
        <sz val="10"/>
        <color rgb="FFFFFFFF"/>
        <rFont val="WenQuanYi Zen Hei"/>
        <family val="2"/>
      </rPr>
      <t xml:space="preserve">부
창당</t>
    </r>
  </si>
  <si>
    <r>
      <rPr>
        <b val="true"/>
        <sz val="10"/>
        <color rgb="FFFFFFFF"/>
        <rFont val="Arial"/>
        <family val="0"/>
        <charset val="1"/>
      </rPr>
      <t xml:space="preserve">9</t>
    </r>
    <r>
      <rPr>
        <b val="true"/>
        <sz val="10"/>
        <color rgb="FFFFFFFF"/>
        <rFont val="WenQuanYi Zen Hei"/>
        <family val="2"/>
      </rPr>
      <t xml:space="preserve">부
파리 시의회</t>
    </r>
  </si>
  <si>
    <r>
      <rPr>
        <b val="true"/>
        <sz val="10"/>
        <color rgb="FFFFFFFF"/>
        <rFont val="Arial"/>
        <family val="0"/>
        <charset val="1"/>
      </rPr>
      <t xml:space="preserve">10</t>
    </r>
    <r>
      <rPr>
        <b val="true"/>
        <sz val="10"/>
        <color rgb="FFFFFFFF"/>
        <rFont val="WenQuanYi Zen Hei"/>
        <family val="2"/>
      </rPr>
      <t xml:space="preserve">부
대선</t>
    </r>
    <r>
      <rPr>
        <b val="true"/>
        <sz val="10"/>
        <color rgb="FFFFFFFF"/>
        <rFont val="Arial"/>
        <family val="0"/>
        <charset val="1"/>
      </rPr>
      <t xml:space="preserve">·</t>
    </r>
    <r>
      <rPr>
        <b val="true"/>
        <sz val="10"/>
        <color rgb="FFFFFFFF"/>
        <rFont val="WenQuanYi Zen Hei"/>
        <family val="2"/>
      </rPr>
      <t xml:space="preserve">대통령</t>
    </r>
  </si>
  <si>
    <r>
      <rPr>
        <b val="true"/>
        <sz val="10"/>
        <color rgb="FFFFFFFF"/>
        <rFont val="Arial"/>
        <family val="0"/>
        <charset val="1"/>
      </rPr>
      <t xml:space="preserve">11</t>
    </r>
    <r>
      <rPr>
        <b val="true"/>
        <sz val="10"/>
        <color rgb="FFFFFFFF"/>
        <rFont val="WenQuanYi Zen Hei"/>
        <family val="2"/>
      </rPr>
      <t xml:space="preserve">부
국정 </t>
    </r>
    <r>
      <rPr>
        <b val="true"/>
        <sz val="10"/>
        <color rgb="FFFFFFFF"/>
        <rFont val="Arial"/>
        <family val="0"/>
        <charset val="1"/>
      </rPr>
      <t xml:space="preserve">I</t>
    </r>
  </si>
  <si>
    <r>
      <rPr>
        <b val="true"/>
        <sz val="10"/>
        <color rgb="FFFFFFFF"/>
        <rFont val="Arial"/>
        <family val="0"/>
        <charset val="1"/>
      </rPr>
      <t xml:space="preserve">12</t>
    </r>
    <r>
      <rPr>
        <b val="true"/>
        <sz val="10"/>
        <color rgb="FFFFFFFF"/>
        <rFont val="WenQuanYi Zen Hei"/>
        <family val="2"/>
      </rPr>
      <t xml:space="preserve">부
국정 </t>
    </r>
    <r>
      <rPr>
        <b val="true"/>
        <sz val="10"/>
        <color rgb="FFFFFFFF"/>
        <rFont val="Arial"/>
        <family val="0"/>
        <charset val="1"/>
      </rPr>
      <t xml:space="preserve">II</t>
    </r>
  </si>
  <si>
    <r>
      <rPr>
        <b val="true"/>
        <sz val="10"/>
        <color rgb="FFFFFFFF"/>
        <rFont val="Arial"/>
        <family val="0"/>
        <charset val="1"/>
      </rPr>
      <t xml:space="preserve">13</t>
    </r>
    <r>
      <rPr>
        <b val="true"/>
        <sz val="10"/>
        <color rgb="FFFFFFFF"/>
        <rFont val="WenQuanYi Zen Hei"/>
        <family val="2"/>
      </rPr>
      <t xml:space="preserve">부
귀환</t>
    </r>
  </si>
  <si>
    <t xml:space="preserve">합계</t>
  </si>
  <si>
    <t xml:space="preserve">비중</t>
  </si>
  <si>
    <t xml:space="preserve">검증
(≤부당 화 수)</t>
  </si>
  <si>
    <t xml:space="preserve">단독 중심 화
목표 (조연)</t>
  </si>
  <si>
    <t xml:space="preserve">—</t>
  </si>
  <si>
    <t xml:space="preserve">부별 연인원 (합계)</t>
  </si>
  <si>
    <t xml:space="preserve">주연</t>
  </si>
  <si>
    <t xml:space="preserve">← 기준값은 제안값입니다. 인원 재배정(총리 Olympe 신설) 후 등급은 수식이 자동 계산합니다.</t>
  </si>
  <si>
    <t xml:space="preserve">준주연</t>
  </si>
  <si>
    <t xml:space="preserve">핵심 조연</t>
  </si>
  <si>
    <t xml:space="preserve">조연</t>
  </si>
  <si>
    <t xml:space="preserve">그 미만</t>
  </si>
  <si>
    <t xml:space="preserve">배분 원칙</t>
  </si>
  <si>
    <r>
      <rPr>
        <sz val="10"/>
        <rFont val="Arial"/>
        <family val="0"/>
        <charset val="1"/>
      </rPr>
      <t xml:space="preserve">1. 1</t>
    </r>
    <r>
      <rPr>
        <sz val="10"/>
        <rFont val="WenQuanYi Zen Hei"/>
        <family val="2"/>
      </rPr>
      <t xml:space="preserve">부는 개소 </t>
    </r>
    <r>
      <rPr>
        <sz val="10"/>
        <rFont val="Arial"/>
        <family val="0"/>
        <charset val="1"/>
      </rPr>
      <t xml:space="preserve">1</t>
    </r>
    <r>
      <rPr>
        <sz val="10"/>
        <rFont val="WenQuanYi Zen Hei"/>
        <family val="2"/>
      </rPr>
      <t xml:space="preserve">개월 후 시점</t>
    </r>
    <r>
      <rPr>
        <sz val="10"/>
        <rFont val="Arial"/>
        <family val="0"/>
        <charset val="1"/>
      </rPr>
      <t xml:space="preserve">: Manon·Monique</t>
    </r>
    <r>
      <rPr>
        <sz val="10"/>
        <rFont val="WenQuanYi Zen Hei"/>
        <family val="2"/>
      </rPr>
      <t xml:space="preserve">가 전 화에</t>
    </r>
    <r>
      <rPr>
        <sz val="10"/>
        <rFont val="Arial"/>
        <family val="0"/>
        <charset val="1"/>
      </rPr>
      <t xml:space="preserve">, </t>
    </r>
    <r>
      <rPr>
        <sz val="10"/>
        <rFont val="WenQuanYi Zen Hei"/>
        <family val="2"/>
      </rPr>
      <t xml:space="preserve">주력 </t>
    </r>
    <r>
      <rPr>
        <sz val="10"/>
        <rFont val="Arial"/>
        <family val="0"/>
        <charset val="1"/>
      </rPr>
      <t xml:space="preserve">4</t>
    </r>
    <r>
      <rPr>
        <sz val="10"/>
        <rFont val="WenQuanYi Zen Hei"/>
        <family val="2"/>
      </rPr>
      <t xml:space="preserve">인은 사건별로 </t>
    </r>
    <r>
      <rPr>
        <sz val="10"/>
        <rFont val="Arial"/>
        <family val="0"/>
        <charset val="1"/>
      </rPr>
      <t xml:space="preserve">2~3</t>
    </r>
    <r>
      <rPr>
        <sz val="10"/>
        <rFont val="WenQuanYi Zen Hei"/>
        <family val="2"/>
      </rPr>
      <t xml:space="preserve">인씩 교대 등장</t>
    </r>
    <r>
      <rPr>
        <sz val="10"/>
        <rFont val="Arial"/>
        <family val="0"/>
        <charset val="1"/>
      </rPr>
      <t xml:space="preserve">(</t>
    </r>
    <r>
      <rPr>
        <sz val="10"/>
        <rFont val="WenQuanYi Zen Hei"/>
        <family val="2"/>
      </rPr>
      <t xml:space="preserve">전원 겹치지 않음</t>
    </r>
    <r>
      <rPr>
        <sz val="10"/>
        <rFont val="Arial"/>
        <family val="0"/>
        <charset val="1"/>
      </rPr>
      <t xml:space="preserve">). Napoléon 4</t>
    </r>
    <r>
      <rPr>
        <sz val="10"/>
        <rFont val="WenQuanYi Zen Hei"/>
        <family val="2"/>
      </rPr>
      <t xml:space="preserve">화</t>
    </r>
    <r>
      <rPr>
        <sz val="10"/>
        <rFont val="Arial"/>
        <family val="0"/>
        <charset val="1"/>
      </rPr>
      <t xml:space="preserve">, Curie 3</t>
    </r>
    <r>
      <rPr>
        <sz val="10"/>
        <rFont val="WenQuanYi Zen Hei"/>
        <family val="2"/>
      </rPr>
      <t xml:space="preserve">화</t>
    </r>
    <r>
      <rPr>
        <sz val="10"/>
        <rFont val="Arial"/>
        <family val="0"/>
        <charset val="1"/>
      </rPr>
      <t xml:space="preserve">(1·2·6</t>
    </r>
    <r>
      <rPr>
        <sz val="10"/>
        <rFont val="WenQuanYi Zen Hei"/>
        <family val="2"/>
      </rPr>
      <t xml:space="preserve">화</t>
    </r>
    <r>
      <rPr>
        <sz val="10"/>
        <rFont val="Arial"/>
        <family val="0"/>
        <charset val="1"/>
      </rPr>
      <t xml:space="preserve">)</t>
    </r>
    <r>
      <rPr>
        <sz val="10"/>
        <rFont val="WenQuanYi Zen Hei"/>
        <family val="2"/>
      </rPr>
      <t xml:space="preserve">로 자주 얼굴을 비추고 </t>
    </r>
    <r>
      <rPr>
        <sz val="10"/>
        <rFont val="Arial"/>
        <family val="0"/>
        <charset val="1"/>
      </rPr>
      <t xml:space="preserve">'</t>
    </r>
    <r>
      <rPr>
        <sz val="10"/>
        <rFont val="WenQuanYi Zen Hei"/>
        <family val="2"/>
      </rPr>
      <t xml:space="preserve">이번 겨울이 마지막</t>
    </r>
    <r>
      <rPr>
        <sz val="10"/>
        <rFont val="Arial"/>
        <family val="0"/>
        <charset val="1"/>
      </rPr>
      <t xml:space="preserve">' </t>
    </r>
    <r>
      <rPr>
        <sz val="10"/>
        <rFont val="WenQuanYi Zen Hei"/>
        <family val="2"/>
      </rPr>
      <t xml:space="preserve">복선을 </t>
    </r>
    <r>
      <rPr>
        <sz val="10"/>
        <rFont val="Arial"/>
        <family val="0"/>
        <charset val="1"/>
      </rPr>
      <t xml:space="preserve">1</t>
    </r>
    <r>
      <rPr>
        <sz val="10"/>
        <rFont val="WenQuanYi Zen Hei"/>
        <family val="2"/>
      </rPr>
      <t xml:space="preserve">화부터 깐다</t>
    </r>
    <r>
      <rPr>
        <sz val="10"/>
        <rFont val="Arial"/>
        <family val="0"/>
        <charset val="1"/>
      </rPr>
      <t xml:space="preserve">. </t>
    </r>
    <r>
      <rPr>
        <sz val="10"/>
        <rFont val="WenQuanYi Zen Hei"/>
        <family val="2"/>
      </rPr>
      <t xml:space="preserve">나머지는 사건마다 다른 조합으로 카메오</t>
    </r>
    <r>
      <rPr>
        <sz val="10"/>
        <rFont val="Arial"/>
        <family val="0"/>
        <charset val="1"/>
      </rPr>
      <t xml:space="preserve">.</t>
    </r>
  </si>
  <si>
    <r>
      <rPr>
        <sz val="10"/>
        <rFont val="Arial"/>
        <family val="0"/>
        <charset val="1"/>
      </rPr>
      <t xml:space="preserve">2. 2~5</t>
    </r>
    <r>
      <rPr>
        <sz val="10"/>
        <rFont val="WenQuanYi Zen Hei"/>
        <family val="2"/>
      </rPr>
      <t xml:space="preserve">부</t>
    </r>
    <r>
      <rPr>
        <sz val="10"/>
        <rFont val="Arial"/>
        <family val="0"/>
        <charset val="1"/>
      </rPr>
      <t xml:space="preserve">: </t>
    </r>
    <r>
      <rPr>
        <sz val="10"/>
        <rFont val="WenQuanYi Zen Hei"/>
        <family val="2"/>
      </rPr>
      <t xml:space="preserve">각 주인공이 자기 부 </t>
    </r>
    <r>
      <rPr>
        <sz val="10"/>
        <rFont val="Arial"/>
        <family val="0"/>
        <charset val="1"/>
      </rPr>
      <t xml:space="preserve">12</t>
    </r>
    <r>
      <rPr>
        <sz val="10"/>
        <rFont val="WenQuanYi Zen Hei"/>
        <family val="2"/>
      </rPr>
      <t xml:space="preserve">화 전부에 나오고</t>
    </r>
    <r>
      <rPr>
        <sz val="10"/>
        <rFont val="Arial"/>
        <family val="0"/>
        <charset val="1"/>
      </rPr>
      <t xml:space="preserve">, </t>
    </r>
    <r>
      <rPr>
        <sz val="10"/>
        <rFont val="WenQuanYi Zen Hei"/>
        <family val="2"/>
      </rPr>
      <t xml:space="preserve">다른 주력 </t>
    </r>
    <r>
      <rPr>
        <sz val="10"/>
        <rFont val="Arial"/>
        <family val="0"/>
        <charset val="1"/>
      </rPr>
      <t xml:space="preserve">3</t>
    </r>
    <r>
      <rPr>
        <sz val="10"/>
        <rFont val="WenQuanYi Zen Hei"/>
        <family val="2"/>
      </rPr>
      <t xml:space="preserve">인은 </t>
    </r>
    <r>
      <rPr>
        <sz val="10"/>
        <rFont val="Arial"/>
        <family val="0"/>
        <charset val="1"/>
      </rPr>
      <t xml:space="preserve">3</t>
    </r>
    <r>
      <rPr>
        <sz val="10"/>
        <rFont val="WenQuanYi Zen Hei"/>
        <family val="2"/>
      </rPr>
      <t xml:space="preserve">화씩 스쳐 지나가며 </t>
    </r>
    <r>
      <rPr>
        <sz val="10"/>
        <rFont val="Arial"/>
        <family val="0"/>
        <charset val="1"/>
      </rPr>
      <t xml:space="preserve">6</t>
    </r>
    <r>
      <rPr>
        <sz val="10"/>
        <rFont val="WenQuanYi Zen Hei"/>
        <family val="2"/>
      </rPr>
      <t xml:space="preserve">부 만남을 예고</t>
    </r>
    <r>
      <rPr>
        <sz val="10"/>
        <rFont val="Arial"/>
        <family val="0"/>
        <charset val="1"/>
      </rPr>
      <t xml:space="preserve">. Manon</t>
    </r>
    <r>
      <rPr>
        <sz val="10"/>
        <rFont val="WenQuanYi Zen Hei"/>
        <family val="2"/>
      </rPr>
      <t xml:space="preserve">은 </t>
    </r>
    <r>
      <rPr>
        <sz val="10"/>
        <rFont val="Arial"/>
        <family val="0"/>
        <charset val="1"/>
      </rPr>
      <t xml:space="preserve">4</t>
    </r>
    <r>
      <rPr>
        <sz val="10"/>
        <rFont val="WenQuanYi Zen Hei"/>
        <family val="2"/>
      </rPr>
      <t xml:space="preserve">화씩 </t>
    </r>
    <r>
      <rPr>
        <sz val="10"/>
        <rFont val="Arial"/>
        <family val="0"/>
        <charset val="1"/>
      </rPr>
      <t xml:space="preserve">'</t>
    </r>
    <r>
      <rPr>
        <sz val="10"/>
        <rFont val="WenQuanYi Zen Hei"/>
        <family val="2"/>
      </rPr>
      <t xml:space="preserve">사무소에서 이야기를 듣는 프레임</t>
    </r>
    <r>
      <rPr>
        <sz val="10"/>
        <rFont val="Arial"/>
        <family val="0"/>
        <charset val="1"/>
      </rPr>
      <t xml:space="preserve">'</t>
    </r>
    <r>
      <rPr>
        <sz val="10"/>
        <rFont val="WenQuanYi Zen Hei"/>
        <family val="2"/>
      </rPr>
      <t xml:space="preserve">으로 등장해 회상을 잇는다</t>
    </r>
    <r>
      <rPr>
        <sz val="10"/>
        <rFont val="Arial"/>
        <family val="0"/>
        <charset val="1"/>
      </rPr>
      <t xml:space="preserve">.</t>
    </r>
  </si>
  <si>
    <r>
      <rPr>
        <sz val="10"/>
        <rFont val="Arial"/>
        <family val="0"/>
        <charset val="1"/>
      </rPr>
      <t xml:space="preserve">3. </t>
    </r>
    <r>
      <rPr>
        <sz val="10"/>
        <rFont val="WenQuanYi Zen Hei"/>
        <family val="2"/>
      </rPr>
      <t xml:space="preserve">조연은 과거와 겹치는 곳에만 배치</t>
    </r>
    <r>
      <rPr>
        <sz val="10"/>
        <rFont val="Arial"/>
        <family val="0"/>
        <charset val="1"/>
      </rPr>
      <t xml:space="preserve">: Karim-5</t>
    </r>
    <r>
      <rPr>
        <sz val="10"/>
        <rFont val="WenQuanYi Zen Hei"/>
        <family val="2"/>
      </rPr>
      <t xml:space="preserve">부</t>
    </r>
    <r>
      <rPr>
        <sz val="10"/>
        <rFont val="Arial"/>
        <family val="0"/>
        <charset val="1"/>
      </rPr>
      <t xml:space="preserve">(Léa</t>
    </r>
    <r>
      <rPr>
        <sz val="10"/>
        <rFont val="WenQuanYi Zen Hei"/>
        <family val="2"/>
      </rPr>
      <t xml:space="preserve">의 구조조정 현장</t>
    </r>
    <r>
      <rPr>
        <sz val="10"/>
        <rFont val="Arial"/>
        <family val="0"/>
        <charset val="1"/>
      </rPr>
      <t xml:space="preserve">), Philippe·Voltaire-4</t>
    </r>
    <r>
      <rPr>
        <sz val="10"/>
        <rFont val="WenQuanYi Zen Hei"/>
        <family val="2"/>
      </rPr>
      <t xml:space="preserve">부</t>
    </r>
    <r>
      <rPr>
        <sz val="10"/>
        <rFont val="Arial"/>
        <family val="0"/>
        <charset val="1"/>
      </rPr>
      <t xml:space="preserve">(Julien</t>
    </r>
    <r>
      <rPr>
        <sz val="10"/>
        <rFont val="WenQuanYi Zen Hei"/>
        <family val="2"/>
      </rPr>
      <t xml:space="preserve">의 감사 사건</t>
    </r>
    <r>
      <rPr>
        <sz val="10"/>
        <rFont val="Arial"/>
        <family val="0"/>
        <charset val="1"/>
      </rPr>
      <t xml:space="preserve">), Sartre-3</t>
    </r>
    <r>
      <rPr>
        <sz val="10"/>
        <rFont val="WenQuanYi Zen Hei"/>
        <family val="2"/>
      </rPr>
      <t xml:space="preserve">부</t>
    </r>
    <r>
      <rPr>
        <sz val="10"/>
        <rFont val="Arial"/>
        <family val="0"/>
        <charset val="1"/>
      </rPr>
      <t xml:space="preserve">·5</t>
    </r>
    <r>
      <rPr>
        <sz val="10"/>
        <rFont val="WenQuanYi Zen Hei"/>
        <family val="2"/>
      </rPr>
      <t xml:space="preserve">부</t>
    </r>
    <r>
      <rPr>
        <sz val="10"/>
        <rFont val="Arial"/>
        <family val="0"/>
        <charset val="1"/>
      </rPr>
      <t xml:space="preserve">(</t>
    </r>
    <r>
      <rPr>
        <sz val="10"/>
        <rFont val="WenQuanYi Zen Hei"/>
        <family val="2"/>
      </rPr>
      <t xml:space="preserve">카페에서의 되묻기</t>
    </r>
    <r>
      <rPr>
        <sz val="10"/>
        <rFont val="Arial"/>
        <family val="0"/>
        <charset val="1"/>
      </rPr>
      <t xml:space="preserve">).</t>
    </r>
  </si>
  <si>
    <r>
      <rPr>
        <sz val="10"/>
        <rFont val="Arial"/>
        <family val="0"/>
        <charset val="1"/>
      </rPr>
      <t xml:space="preserve">4. </t>
    </r>
    <r>
      <rPr>
        <sz val="10"/>
        <rFont val="WenQuanYi Zen Hei"/>
        <family val="2"/>
      </rPr>
      <t xml:space="preserve">조연 본격 비중은 </t>
    </r>
    <r>
      <rPr>
        <sz val="10"/>
        <rFont val="Arial"/>
        <family val="0"/>
        <charset val="1"/>
      </rPr>
      <t xml:space="preserve">7~10</t>
    </r>
    <r>
      <rPr>
        <sz val="10"/>
        <rFont val="WenQuanYi Zen Hei"/>
        <family val="2"/>
      </rPr>
      <t xml:space="preserve">부에서 최고치</t>
    </r>
    <r>
      <rPr>
        <sz val="10"/>
        <rFont val="Arial"/>
        <family val="0"/>
        <charset val="1"/>
      </rPr>
      <t xml:space="preserve">: 7</t>
    </r>
    <r>
      <rPr>
        <sz val="10"/>
        <rFont val="WenQuanYi Zen Hei"/>
        <family val="2"/>
      </rPr>
      <t xml:space="preserve">부 </t>
    </r>
    <r>
      <rPr>
        <sz val="10"/>
        <rFont val="Arial"/>
        <family val="0"/>
        <charset val="1"/>
      </rPr>
      <t xml:space="preserve">Voltaire·Karim·Olympe(</t>
    </r>
    <r>
      <rPr>
        <sz val="10"/>
        <rFont val="WenQuanYi Zen Hei"/>
        <family val="2"/>
      </rPr>
      <t xml:space="preserve">공론화</t>
    </r>
    <r>
      <rPr>
        <sz val="10"/>
        <rFont val="Arial"/>
        <family val="0"/>
        <charset val="1"/>
      </rPr>
      <t xml:space="preserve">·</t>
    </r>
    <r>
      <rPr>
        <sz val="10"/>
        <rFont val="WenQuanYi Zen Hei"/>
        <family val="2"/>
      </rPr>
      <t xml:space="preserve">현장 조직</t>
    </r>
    <r>
      <rPr>
        <sz val="10"/>
        <rFont val="Arial"/>
        <family val="0"/>
        <charset val="1"/>
      </rPr>
      <t xml:space="preserve">·</t>
    </r>
    <r>
      <rPr>
        <sz val="10"/>
        <rFont val="WenQuanYi Zen Hei"/>
        <family val="2"/>
      </rPr>
      <t xml:space="preserve">피해자 사건</t>
    </r>
    <r>
      <rPr>
        <sz val="10"/>
        <rFont val="Arial"/>
        <family val="0"/>
        <charset val="1"/>
      </rPr>
      <t xml:space="preserve">), 8</t>
    </r>
    <r>
      <rPr>
        <sz val="10"/>
        <rFont val="WenQuanYi Zen Hei"/>
        <family val="2"/>
      </rPr>
      <t xml:space="preserve">부 </t>
    </r>
    <r>
      <rPr>
        <sz val="10"/>
        <rFont val="Arial"/>
        <family val="0"/>
        <charset val="1"/>
      </rPr>
      <t xml:space="preserve">Hugo·Sartre·Jeanne·Olympe(</t>
    </r>
    <r>
      <rPr>
        <sz val="10"/>
        <rFont val="WenQuanYi Zen Hei"/>
        <family val="2"/>
      </rPr>
      <t xml:space="preserve">선언문</t>
    </r>
    <r>
      <rPr>
        <sz val="10"/>
        <rFont val="Arial"/>
        <family val="0"/>
        <charset val="1"/>
      </rPr>
      <t xml:space="preserve">·</t>
    </r>
    <r>
      <rPr>
        <sz val="10"/>
        <rFont val="WenQuanYi Zen Hei"/>
        <family val="2"/>
      </rPr>
      <t xml:space="preserve">메시지</t>
    </r>
    <r>
      <rPr>
        <sz val="10"/>
        <rFont val="Arial"/>
        <family val="0"/>
        <charset val="1"/>
      </rPr>
      <t xml:space="preserve">·</t>
    </r>
    <r>
      <rPr>
        <sz val="10"/>
        <rFont val="WenQuanYi Zen Hei"/>
        <family val="2"/>
      </rPr>
      <t xml:space="preserve">캠프</t>
    </r>
    <r>
      <rPr>
        <sz val="10"/>
        <rFont val="Arial"/>
        <family val="0"/>
        <charset val="1"/>
      </rPr>
      <t xml:space="preserve">·</t>
    </r>
    <r>
      <rPr>
        <sz val="10"/>
        <rFont val="WenQuanYi Zen Hei"/>
        <family val="2"/>
      </rPr>
      <t xml:space="preserve">창당</t>
    </r>
    <r>
      <rPr>
        <sz val="10"/>
        <rFont val="Arial"/>
        <family val="0"/>
        <charset val="1"/>
      </rPr>
      <t xml:space="preserve">), 10</t>
    </r>
    <r>
      <rPr>
        <sz val="10"/>
        <rFont val="WenQuanYi Zen Hei"/>
        <family val="2"/>
      </rPr>
      <t xml:space="preserve">부 </t>
    </r>
    <r>
      <rPr>
        <sz val="10"/>
        <rFont val="Arial"/>
        <family val="0"/>
        <charset val="1"/>
      </rPr>
      <t xml:space="preserve">Hugo·Voltaire·Curie(</t>
    </r>
    <r>
      <rPr>
        <sz val="10"/>
        <rFont val="WenQuanYi Zen Hei"/>
        <family val="2"/>
      </rPr>
      <t xml:space="preserve">취임 연설</t>
    </r>
    <r>
      <rPr>
        <sz val="10"/>
        <rFont val="Arial"/>
        <family val="0"/>
        <charset val="1"/>
      </rPr>
      <t xml:space="preserve">·</t>
    </r>
    <r>
      <rPr>
        <sz val="10"/>
        <rFont val="WenQuanYi Zen Hei"/>
        <family val="2"/>
      </rPr>
      <t xml:space="preserve">공보</t>
    </r>
    <r>
      <rPr>
        <sz val="10"/>
        <rFont val="Arial"/>
        <family val="0"/>
        <charset val="1"/>
      </rPr>
      <t xml:space="preserve">·</t>
    </r>
    <r>
      <rPr>
        <sz val="10"/>
        <rFont val="WenQuanYi Zen Hei"/>
        <family val="2"/>
      </rPr>
      <t xml:space="preserve">출처</t>
    </r>
    <r>
      <rPr>
        <sz val="10"/>
        <rFont val="Arial"/>
        <family val="0"/>
        <charset val="1"/>
      </rPr>
      <t xml:space="preserve">).</t>
    </r>
  </si>
  <si>
    <r>
      <rPr>
        <sz val="10"/>
        <rFont val="Arial"/>
        <family val="0"/>
        <charset val="1"/>
      </rPr>
      <t xml:space="preserve">5. 11</t>
    </r>
    <r>
      <rPr>
        <sz val="10"/>
        <rFont val="WenQuanYi Zen Hei"/>
        <family val="2"/>
      </rPr>
      <t xml:space="preserve">부</t>
    </r>
    <r>
      <rPr>
        <sz val="10"/>
        <rFont val="Arial"/>
        <family val="0"/>
        <charset val="1"/>
      </rPr>
      <t xml:space="preserve">(</t>
    </r>
    <r>
      <rPr>
        <sz val="10"/>
        <rFont val="WenQuanYi Zen Hei"/>
        <family val="2"/>
      </rPr>
      <t xml:space="preserve">국정 </t>
    </r>
    <r>
      <rPr>
        <sz val="10"/>
        <rFont val="Arial"/>
        <family val="0"/>
        <charset val="1"/>
      </rPr>
      <t xml:space="preserve">I)</t>
    </r>
    <r>
      <rPr>
        <sz val="10"/>
        <rFont val="WenQuanYi Zen Hei"/>
        <family val="2"/>
      </rPr>
      <t xml:space="preserve">는 </t>
    </r>
    <r>
      <rPr>
        <sz val="10"/>
        <rFont val="Arial"/>
        <family val="0"/>
        <charset val="1"/>
      </rPr>
      <t xml:space="preserve">Napoléon</t>
    </r>
    <r>
      <rPr>
        <sz val="10"/>
        <rFont val="WenQuanYi Zen Hei"/>
        <family val="2"/>
      </rPr>
      <t xml:space="preserve">이 </t>
    </r>
    <r>
      <rPr>
        <sz val="10"/>
        <rFont val="Arial"/>
        <family val="0"/>
        <charset val="1"/>
      </rPr>
      <t xml:space="preserve">9~12</t>
    </r>
    <r>
      <rPr>
        <sz val="10"/>
        <rFont val="WenQuanYi Zen Hei"/>
        <family val="2"/>
      </rPr>
      <t xml:space="preserve">화에서 브뤼셀 직접 협상을 이끌며 최고치</t>
    </r>
    <r>
      <rPr>
        <sz val="10"/>
        <rFont val="Arial"/>
        <family val="0"/>
        <charset val="1"/>
      </rPr>
      <t xml:space="preserve">(9</t>
    </r>
    <r>
      <rPr>
        <sz val="10"/>
        <rFont val="WenQuanYi Zen Hei"/>
        <family val="2"/>
      </rPr>
      <t xml:space="preserve">화</t>
    </r>
    <r>
      <rPr>
        <sz val="10"/>
        <rFont val="Arial"/>
        <family val="0"/>
        <charset val="1"/>
      </rPr>
      <t xml:space="preserve">)</t>
    </r>
    <r>
      <rPr>
        <sz val="10"/>
        <rFont val="WenQuanYi Zen Hei"/>
        <family val="2"/>
      </rPr>
      <t xml:space="preserve">를 찍고 </t>
    </r>
    <r>
      <rPr>
        <sz val="10"/>
        <rFont val="Arial"/>
        <family val="0"/>
        <charset val="1"/>
      </rPr>
      <t xml:space="preserve">12</t>
    </r>
    <r>
      <rPr>
        <sz val="10"/>
        <rFont val="WenQuanYi Zen Hei"/>
        <family val="2"/>
      </rPr>
      <t xml:space="preserve">화에서 사망한다</t>
    </r>
    <r>
      <rPr>
        <sz val="10"/>
        <rFont val="Arial"/>
        <family val="0"/>
        <charset val="1"/>
      </rPr>
      <t xml:space="preserve">. Philippe</t>
    </r>
    <r>
      <rPr>
        <sz val="10"/>
        <rFont val="WenQuanYi Zen Hei"/>
        <family val="2"/>
      </rPr>
      <t xml:space="preserve">는 앞선 주거</t>
    </r>
    <r>
      <rPr>
        <sz val="10"/>
        <rFont val="Arial"/>
        <family val="0"/>
        <charset val="1"/>
      </rPr>
      <t xml:space="preserve">·</t>
    </r>
    <r>
      <rPr>
        <sz val="10"/>
        <rFont val="WenQuanYi Zen Hei"/>
        <family val="2"/>
      </rPr>
      <t xml:space="preserve">금융 국내 현안 화에서 정점</t>
    </r>
    <r>
      <rPr>
        <sz val="10"/>
        <rFont val="Arial"/>
        <family val="0"/>
        <charset val="1"/>
      </rPr>
      <t xml:space="preserve">. </t>
    </r>
    <r>
      <rPr>
        <sz val="10"/>
        <rFont val="WenQuanYi Zen Hei"/>
        <family val="2"/>
      </rPr>
      <t xml:space="preserve">총리 </t>
    </r>
    <r>
      <rPr>
        <sz val="10"/>
        <rFont val="Arial"/>
        <family val="0"/>
        <charset val="1"/>
      </rPr>
      <t xml:space="preserve">Olympe</t>
    </r>
    <r>
      <rPr>
        <sz val="10"/>
        <rFont val="WenQuanYi Zen Hei"/>
        <family val="2"/>
      </rPr>
      <t xml:space="preserve">는 </t>
    </r>
    <r>
      <rPr>
        <sz val="10"/>
        <rFont val="Arial"/>
        <family val="0"/>
        <charset val="1"/>
      </rPr>
      <t xml:space="preserve">11~12</t>
    </r>
    <r>
      <rPr>
        <sz val="10"/>
        <rFont val="WenQuanYi Zen Hei"/>
        <family val="2"/>
      </rPr>
      <t xml:space="preserve">부 내내 의회 전선을 맡는다</t>
    </r>
    <r>
      <rPr>
        <sz val="10"/>
        <rFont val="Arial"/>
        <family val="0"/>
        <charset val="1"/>
      </rPr>
      <t xml:space="preserve">.</t>
    </r>
  </si>
  <si>
    <r>
      <rPr>
        <sz val="10"/>
        <rFont val="Arial"/>
        <family val="0"/>
        <charset val="1"/>
      </rPr>
      <t xml:space="preserve">6. 12</t>
    </r>
    <r>
      <rPr>
        <sz val="10"/>
        <rFont val="WenQuanYi Zen Hei"/>
        <family val="2"/>
      </rPr>
      <t xml:space="preserve">부</t>
    </r>
    <r>
      <rPr>
        <sz val="10"/>
        <rFont val="Arial"/>
        <family val="0"/>
        <charset val="1"/>
      </rPr>
      <t xml:space="preserve">(</t>
    </r>
    <r>
      <rPr>
        <sz val="10"/>
        <rFont val="WenQuanYi Zen Hei"/>
        <family val="2"/>
      </rPr>
      <t xml:space="preserve">국정 </t>
    </r>
    <r>
      <rPr>
        <sz val="10"/>
        <rFont val="Arial"/>
        <family val="0"/>
        <charset val="1"/>
      </rPr>
      <t xml:space="preserve">II)</t>
    </r>
    <r>
      <rPr>
        <sz val="10"/>
        <rFont val="WenQuanYi Zen Hei"/>
        <family val="2"/>
      </rPr>
      <t xml:space="preserve">는 </t>
    </r>
    <r>
      <rPr>
        <sz val="10"/>
        <rFont val="Arial"/>
        <family val="0"/>
        <charset val="1"/>
      </rPr>
      <t xml:space="preserve">Napoléon </t>
    </r>
    <r>
      <rPr>
        <sz val="10"/>
        <rFont val="WenQuanYi Zen Hei"/>
        <family val="2"/>
      </rPr>
      <t xml:space="preserve">사후</t>
    </r>
    <r>
      <rPr>
        <sz val="10"/>
        <rFont val="Arial"/>
        <family val="0"/>
        <charset val="1"/>
      </rPr>
      <t xml:space="preserve">: 1</t>
    </r>
    <r>
      <rPr>
        <sz val="10"/>
        <rFont val="WenQuanYi Zen Hei"/>
        <family val="2"/>
      </rPr>
      <t xml:space="preserve">화 장례식에서 </t>
    </r>
    <r>
      <rPr>
        <sz val="10"/>
        <rFont val="Arial"/>
        <family val="0"/>
        <charset val="1"/>
      </rPr>
      <t xml:space="preserve">Jeanne·Curie·Camille</t>
    </r>
    <r>
      <rPr>
        <sz val="10"/>
        <rFont val="WenQuanYi Zen Hei"/>
        <family val="2"/>
      </rPr>
      <t xml:space="preserve">가 몰리고</t>
    </r>
    <r>
      <rPr>
        <sz val="10"/>
        <rFont val="Arial"/>
        <family val="0"/>
        <charset val="1"/>
      </rPr>
      <t xml:space="preserve">, Julien·Hugo</t>
    </r>
    <r>
      <rPr>
        <sz val="10"/>
        <rFont val="WenQuanYi Zen Hei"/>
        <family val="2"/>
      </rPr>
      <t xml:space="preserve">가 유작 메모를 이어받는 </t>
    </r>
    <r>
      <rPr>
        <sz val="10"/>
        <rFont val="Arial"/>
        <family val="0"/>
        <charset val="1"/>
      </rPr>
      <t xml:space="preserve">3</t>
    </r>
    <r>
      <rPr>
        <sz val="10"/>
        <rFont val="WenQuanYi Zen Hei"/>
        <family val="2"/>
      </rPr>
      <t xml:space="preserve">화에서 비중이 오른다</t>
    </r>
    <r>
      <rPr>
        <sz val="10"/>
        <rFont val="Arial"/>
        <family val="0"/>
        <charset val="1"/>
      </rPr>
      <t xml:space="preserve">.</t>
    </r>
  </si>
  <si>
    <r>
      <rPr>
        <sz val="10"/>
        <rFont val="Arial"/>
        <family val="0"/>
        <charset val="1"/>
      </rPr>
      <t xml:space="preserve">7. 13</t>
    </r>
    <r>
      <rPr>
        <sz val="10"/>
        <rFont val="WenQuanYi Zen Hei"/>
        <family val="2"/>
      </rPr>
      <t xml:space="preserve">부</t>
    </r>
    <r>
      <rPr>
        <sz val="10"/>
        <rFont val="Arial"/>
        <family val="0"/>
        <charset val="1"/>
      </rPr>
      <t xml:space="preserve">(</t>
    </r>
    <r>
      <rPr>
        <sz val="10"/>
        <rFont val="WenQuanYi Zen Hei"/>
        <family val="2"/>
      </rPr>
      <t xml:space="preserve">귀환</t>
    </r>
    <r>
      <rPr>
        <sz val="10"/>
        <rFont val="Arial"/>
        <family val="0"/>
        <charset val="1"/>
      </rPr>
      <t xml:space="preserve">)</t>
    </r>
    <r>
      <rPr>
        <sz val="10"/>
        <rFont val="WenQuanYi Zen Hei"/>
        <family val="2"/>
      </rPr>
      <t xml:space="preserve">는 원형 구조</t>
    </r>
    <r>
      <rPr>
        <sz val="10"/>
        <rFont val="Arial"/>
        <family val="0"/>
        <charset val="1"/>
      </rPr>
      <t xml:space="preserve">: Manon 12</t>
    </r>
    <r>
      <rPr>
        <sz val="10"/>
        <rFont val="WenQuanYi Zen Hei"/>
        <family val="2"/>
      </rPr>
      <t xml:space="preserve">화 전부</t>
    </r>
    <r>
      <rPr>
        <sz val="10"/>
        <rFont val="Arial"/>
        <family val="0"/>
        <charset val="1"/>
      </rPr>
      <t xml:space="preserve">, Monique 10</t>
    </r>
    <r>
      <rPr>
        <sz val="10"/>
        <rFont val="WenQuanYi Zen Hei"/>
        <family val="2"/>
      </rPr>
      <t xml:space="preserve">화</t>
    </r>
    <r>
      <rPr>
        <sz val="10"/>
        <rFont val="Arial"/>
        <family val="0"/>
        <charset val="1"/>
      </rPr>
      <t xml:space="preserve">. Napoléon</t>
    </r>
    <r>
      <rPr>
        <sz val="10"/>
        <rFont val="WenQuanYi Zen Hei"/>
        <family val="2"/>
      </rPr>
      <t xml:space="preserve">은 유언장</t>
    </r>
    <r>
      <rPr>
        <sz val="10"/>
        <rFont val="Arial"/>
        <family val="0"/>
        <charset val="1"/>
      </rPr>
      <t xml:space="preserve">·</t>
    </r>
    <r>
      <rPr>
        <sz val="10"/>
        <rFont val="WenQuanYi Zen Hei"/>
        <family val="2"/>
      </rPr>
      <t xml:space="preserve">회상으로 </t>
    </r>
    <r>
      <rPr>
        <sz val="10"/>
        <rFont val="Arial"/>
        <family val="0"/>
        <charset val="1"/>
      </rPr>
      <t xml:space="preserve">3</t>
    </r>
    <r>
      <rPr>
        <sz val="10"/>
        <rFont val="WenQuanYi Zen Hei"/>
        <family val="2"/>
      </rPr>
      <t xml:space="preserve">화</t>
    </r>
    <r>
      <rPr>
        <sz val="10"/>
        <rFont val="Arial"/>
        <family val="0"/>
        <charset val="1"/>
      </rPr>
      <t xml:space="preserve">, Nicolas·Camille·Julien·Léa</t>
    </r>
    <r>
      <rPr>
        <sz val="10"/>
        <rFont val="WenQuanYi Zen Hei"/>
        <family val="2"/>
      </rPr>
      <t xml:space="preserve">는 사무소의 손님으로 </t>
    </r>
    <r>
      <rPr>
        <sz val="10"/>
        <rFont val="Arial"/>
        <family val="0"/>
        <charset val="1"/>
      </rPr>
      <t xml:space="preserve">9~10</t>
    </r>
    <r>
      <rPr>
        <sz val="10"/>
        <rFont val="WenQuanYi Zen Hei"/>
        <family val="2"/>
      </rPr>
      <t xml:space="preserve">화 등장</t>
    </r>
    <r>
      <rPr>
        <sz val="10"/>
        <rFont val="Arial"/>
        <family val="0"/>
        <charset val="1"/>
      </rPr>
      <t xml:space="preserve">.</t>
    </r>
  </si>
  <si>
    <r>
      <rPr>
        <sz val="10"/>
        <rFont val="Arial"/>
        <family val="0"/>
        <charset val="1"/>
      </rPr>
      <t xml:space="preserve">8. Napoléon</t>
    </r>
    <r>
      <rPr>
        <sz val="10"/>
        <rFont val="WenQuanYi Zen Hei"/>
        <family val="2"/>
      </rPr>
      <t xml:space="preserve">은 </t>
    </r>
    <r>
      <rPr>
        <sz val="10"/>
        <rFont val="Arial"/>
        <family val="0"/>
        <charset val="1"/>
      </rPr>
      <t xml:space="preserve">11</t>
    </r>
    <r>
      <rPr>
        <sz val="10"/>
        <rFont val="WenQuanYi Zen Hei"/>
        <family val="2"/>
      </rPr>
      <t xml:space="preserve">부 </t>
    </r>
    <r>
      <rPr>
        <sz val="10"/>
        <rFont val="Arial"/>
        <family val="0"/>
        <charset val="1"/>
      </rPr>
      <t xml:space="preserve">12</t>
    </r>
    <r>
      <rPr>
        <sz val="10"/>
        <rFont val="WenQuanYi Zen Hei"/>
        <family val="2"/>
      </rPr>
      <t xml:space="preserve">화</t>
    </r>
    <r>
      <rPr>
        <sz val="10"/>
        <rFont val="Arial"/>
        <family val="0"/>
        <charset val="1"/>
      </rPr>
      <t xml:space="preserve">(</t>
    </r>
    <r>
      <rPr>
        <sz val="10"/>
        <rFont val="WenQuanYi Zen Hei"/>
        <family val="2"/>
      </rPr>
      <t xml:space="preserve">브뤼셀 승리 직후</t>
    </r>
    <r>
      <rPr>
        <sz val="10"/>
        <rFont val="Arial"/>
        <family val="0"/>
        <charset val="1"/>
      </rPr>
      <t xml:space="preserve">)</t>
    </r>
    <r>
      <rPr>
        <sz val="10"/>
        <rFont val="WenQuanYi Zen Hei"/>
        <family val="2"/>
      </rPr>
      <t xml:space="preserve">에서 사망한다</t>
    </r>
    <r>
      <rPr>
        <sz val="10"/>
        <rFont val="Arial"/>
        <family val="0"/>
        <charset val="1"/>
      </rPr>
      <t xml:space="preserve">. 12</t>
    </r>
    <r>
      <rPr>
        <sz val="10"/>
        <rFont val="WenQuanYi Zen Hei"/>
        <family val="2"/>
      </rPr>
      <t xml:space="preserve">부 </t>
    </r>
    <r>
      <rPr>
        <sz val="10"/>
        <rFont val="Arial"/>
        <family val="0"/>
        <charset val="1"/>
      </rPr>
      <t xml:space="preserve">1</t>
    </r>
    <r>
      <rPr>
        <sz val="10"/>
        <rFont val="WenQuanYi Zen Hei"/>
        <family val="2"/>
      </rPr>
      <t xml:space="preserve">화 장례식</t>
    </r>
    <r>
      <rPr>
        <sz val="10"/>
        <rFont val="Arial"/>
        <family val="0"/>
        <charset val="1"/>
      </rPr>
      <t xml:space="preserve">, 2·3</t>
    </r>
    <r>
      <rPr>
        <sz val="10"/>
        <rFont val="WenQuanYi Zen Hei"/>
        <family val="2"/>
      </rPr>
      <t xml:space="preserve">화 유작 메모 승계</t>
    </r>
    <r>
      <rPr>
        <sz val="10"/>
        <rFont val="Arial"/>
        <family val="0"/>
        <charset val="1"/>
      </rPr>
      <t xml:space="preserve">, 13</t>
    </r>
    <r>
      <rPr>
        <sz val="10"/>
        <rFont val="WenQuanYi Zen Hei"/>
        <family val="2"/>
      </rPr>
      <t xml:space="preserve">부 </t>
    </r>
    <r>
      <rPr>
        <sz val="10"/>
        <rFont val="Arial"/>
        <family val="0"/>
        <charset val="1"/>
      </rPr>
      <t xml:space="preserve">2</t>
    </r>
    <r>
      <rPr>
        <sz val="10"/>
        <rFont val="WenQuanYi Zen Hei"/>
        <family val="2"/>
      </rPr>
      <t xml:space="preserve">화 유언장까지 이어진다</t>
    </r>
    <r>
      <rPr>
        <sz val="10"/>
        <rFont val="Arial"/>
        <family val="0"/>
        <charset val="1"/>
      </rPr>
      <t xml:space="preserve">.</t>
    </r>
  </si>
  <si>
    <r>
      <rPr>
        <sz val="10"/>
        <rFont val="Arial"/>
        <family val="0"/>
        <charset val="1"/>
      </rPr>
      <t xml:space="preserve">9. </t>
    </r>
    <r>
      <rPr>
        <sz val="10"/>
        <rFont val="WenQuanYi Zen Hei"/>
        <family val="2"/>
      </rPr>
      <t xml:space="preserve">등장 화 수와 대사량은 다르다</t>
    </r>
    <r>
      <rPr>
        <sz val="10"/>
        <rFont val="Arial"/>
        <family val="0"/>
        <charset val="1"/>
      </rPr>
      <t xml:space="preserve">: Manon</t>
    </r>
    <r>
      <rPr>
        <sz val="10"/>
        <rFont val="WenQuanYi Zen Hei"/>
        <family val="2"/>
      </rPr>
      <t xml:space="preserve">은 등장이 많지만 문장이 짧아 대사량은 </t>
    </r>
    <r>
      <rPr>
        <sz val="10"/>
        <rFont val="Arial"/>
        <family val="0"/>
        <charset val="1"/>
      </rPr>
      <t xml:space="preserve">Nicolas</t>
    </r>
    <r>
      <rPr>
        <sz val="10"/>
        <rFont val="WenQuanYi Zen Hei"/>
        <family val="2"/>
      </rPr>
      <t xml:space="preserve">의 절반 이하가 되게 하고</t>
    </r>
    <r>
      <rPr>
        <sz val="10"/>
        <rFont val="Arial"/>
        <family val="0"/>
        <charset val="1"/>
      </rPr>
      <t xml:space="preserve">, Napoléon·Hugo</t>
    </r>
    <r>
      <rPr>
        <sz val="10"/>
        <rFont val="WenQuanYi Zen Hei"/>
        <family val="2"/>
      </rPr>
      <t xml:space="preserve">는 화당 대사가 길어도 된다</t>
    </r>
    <r>
      <rPr>
        <sz val="10"/>
        <rFont val="Arial"/>
        <family val="0"/>
        <charset val="1"/>
      </rPr>
      <t xml:space="preserve">.</t>
    </r>
  </si>
  <si>
    <r>
      <rPr>
        <sz val="10"/>
        <rFont val="Arial"/>
        <family val="0"/>
        <charset val="1"/>
      </rPr>
      <t xml:space="preserve">10. </t>
    </r>
    <r>
      <rPr>
        <sz val="10"/>
        <rFont val="WenQuanYi Zen Hei"/>
        <family val="2"/>
      </rPr>
      <t xml:space="preserve">조연은 화 전체의 중심이 되는 에피소드를 각자 </t>
    </r>
    <r>
      <rPr>
        <sz val="10"/>
        <rFont val="Arial"/>
        <family val="0"/>
        <charset val="1"/>
      </rPr>
      <t xml:space="preserve">2</t>
    </r>
    <r>
      <rPr>
        <sz val="10"/>
        <rFont val="WenQuanYi Zen Hei"/>
        <family val="2"/>
      </rPr>
      <t xml:space="preserve">개 이상 배정</t>
    </r>
    <r>
      <rPr>
        <sz val="10"/>
        <rFont val="Arial"/>
        <family val="0"/>
        <charset val="1"/>
      </rPr>
      <t xml:space="preserve">(S</t>
    </r>
    <r>
      <rPr>
        <sz val="10"/>
        <rFont val="WenQuanYi Zen Hei"/>
        <family val="2"/>
      </rPr>
      <t xml:space="preserve">열 목표</t>
    </r>
    <r>
      <rPr>
        <sz val="10"/>
        <rFont val="Arial"/>
        <family val="0"/>
        <charset val="1"/>
      </rPr>
      <t xml:space="preserve">). </t>
    </r>
    <r>
      <rPr>
        <sz val="10"/>
        <rFont val="WenQuanYi Zen Hei"/>
        <family val="2"/>
      </rPr>
      <t xml:space="preserve">자기 이야기가 한 번도 없으면 얇은 인물이 된다</t>
    </r>
    <r>
      <rPr>
        <sz val="10"/>
        <rFont val="Arial"/>
        <family val="0"/>
        <charset val="1"/>
      </rPr>
      <t xml:space="preserve">.</t>
    </r>
  </si>
  <si>
    <r>
      <rPr>
        <sz val="10"/>
        <rFont val="Arial"/>
        <family val="0"/>
        <charset val="1"/>
      </rPr>
      <t xml:space="preserve">11. Sartre</t>
    </r>
    <r>
      <rPr>
        <sz val="10"/>
        <rFont val="WenQuanYi Zen Hei"/>
        <family val="2"/>
      </rPr>
      <t xml:space="preserve">가 가장 얇다</t>
    </r>
    <r>
      <rPr>
        <sz val="10"/>
        <rFont val="Arial"/>
        <family val="0"/>
        <charset val="1"/>
      </rPr>
      <t xml:space="preserve">: 3·5</t>
    </r>
    <r>
      <rPr>
        <sz val="10"/>
        <rFont val="WenQuanYi Zen Hei"/>
        <family val="2"/>
      </rPr>
      <t xml:space="preserve">부 카페 장면을 늘리거나</t>
    </r>
    <r>
      <rPr>
        <sz val="10"/>
        <rFont val="Arial"/>
        <family val="0"/>
        <charset val="1"/>
      </rPr>
      <t xml:space="preserve">, 12</t>
    </r>
    <r>
      <rPr>
        <sz val="10"/>
        <rFont val="WenQuanYi Zen Hei"/>
        <family val="2"/>
      </rPr>
      <t xml:space="preserve">부 </t>
    </r>
    <r>
      <rPr>
        <sz val="10"/>
        <rFont val="Arial"/>
        <family val="0"/>
        <charset val="1"/>
      </rPr>
      <t xml:space="preserve">Napoléon </t>
    </r>
    <r>
      <rPr>
        <sz val="10"/>
        <rFont val="WenQuanYi Zen Hei"/>
        <family val="2"/>
      </rPr>
      <t xml:space="preserve">애도 장면을 맡겨 서사를 넓히는 안을 검토</t>
    </r>
    <r>
      <rPr>
        <sz val="10"/>
        <rFont val="Arial"/>
        <family val="0"/>
        <charset val="1"/>
      </rPr>
      <t xml:space="preserve">.</t>
    </r>
  </si>
  <si>
    <t xml:space="preserve">대화량 설계: 화당 120턴</t>
  </si>
  <si>
    <t xml:space="preserve">한 화 = 대화 120턴, 전체 156화 = 18,720턴. 점유율·평균 단어/턴·배율·낭독 속도는 가정값(파란 숫자)이며 수정하면 아래 표가 자동 갱신됩니다.</t>
  </si>
  <si>
    <r>
      <rPr>
        <b val="true"/>
        <sz val="10"/>
        <rFont val="Arial"/>
        <family val="0"/>
        <charset val="1"/>
      </rPr>
      <t xml:space="preserve">1. </t>
    </r>
    <r>
      <rPr>
        <b val="true"/>
        <sz val="10"/>
        <rFont val="WenQuanYi Zen Hei"/>
        <family val="2"/>
      </rPr>
      <t xml:space="preserve">기본 설정</t>
    </r>
  </si>
  <si>
    <t xml:space="preserve">화당 대화 턴</t>
  </si>
  <si>
    <t xml:space="preserve">낭독 속도 (단어/분, 가정)</t>
  </si>
  <si>
    <t xml:space="preserve">총 대화 턴</t>
  </si>
  <si>
    <t xml:space="preserve">턴 정의</t>
  </si>
  <si>
    <t xml:space="preserve">화자 표기 한 줄 = 1턴 (화자가 바뀌면 새 턴). 연설·조항·기사 낭독처럼 긴 발화도 1턴으로 센다.</t>
  </si>
  <si>
    <r>
      <rPr>
        <b val="true"/>
        <sz val="10"/>
        <rFont val="Arial"/>
        <family val="0"/>
        <charset val="1"/>
      </rPr>
      <t xml:space="preserve">2. </t>
    </r>
    <r>
      <rPr>
        <b val="true"/>
        <sz val="10"/>
        <rFont val="WenQuanYi Zen Hei"/>
        <family val="2"/>
      </rPr>
      <t xml:space="preserve">부별 화자 점유율 </t>
    </r>
    <r>
      <rPr>
        <b val="true"/>
        <sz val="10"/>
        <rFont val="Arial"/>
        <family val="0"/>
        <charset val="1"/>
      </rPr>
      <t xml:space="preserve">(</t>
    </r>
    <r>
      <rPr>
        <b val="true"/>
        <sz val="10"/>
        <rFont val="WenQuanYi Zen Hei"/>
        <family val="2"/>
      </rPr>
      <t xml:space="preserve">턴 기준</t>
    </r>
    <r>
      <rPr>
        <b val="true"/>
        <sz val="10"/>
        <rFont val="Arial"/>
        <family val="0"/>
        <charset val="1"/>
      </rPr>
      <t xml:space="preserve">, </t>
    </r>
    <r>
      <rPr>
        <b val="true"/>
        <sz val="10"/>
        <rFont val="WenQuanYi Zen Hei"/>
        <family val="2"/>
      </rPr>
      <t xml:space="preserve">각 부의 합 </t>
    </r>
    <r>
      <rPr>
        <b val="true"/>
        <sz val="10"/>
        <rFont val="Arial"/>
        <family val="0"/>
        <charset val="1"/>
      </rPr>
      <t xml:space="preserve">= 100%)</t>
    </r>
  </si>
  <si>
    <t xml:space="preserve">인물</t>
  </si>
  <si>
    <t xml:space="preserve">평균
단어/턴</t>
  </si>
  <si>
    <r>
      <rPr>
        <b val="true"/>
        <sz val="10"/>
        <color rgb="FFFFFFFF"/>
        <rFont val="Arial"/>
        <family val="0"/>
        <charset val="1"/>
      </rPr>
      <t xml:space="preserve">1</t>
    </r>
    <r>
      <rPr>
        <b val="true"/>
        <sz val="10"/>
        <color rgb="FFFFFFFF"/>
        <rFont val="WenQuanYi Zen Hei"/>
        <family val="2"/>
      </rPr>
      <t xml:space="preserve">부</t>
    </r>
  </si>
  <si>
    <r>
      <rPr>
        <b val="true"/>
        <sz val="10"/>
        <color rgb="FFFFFFFF"/>
        <rFont val="Arial"/>
        <family val="0"/>
        <charset val="1"/>
      </rPr>
      <t xml:space="preserve">2</t>
    </r>
    <r>
      <rPr>
        <b val="true"/>
        <sz val="10"/>
        <color rgb="FFFFFFFF"/>
        <rFont val="WenQuanYi Zen Hei"/>
        <family val="2"/>
      </rPr>
      <t xml:space="preserve">부</t>
    </r>
  </si>
  <si>
    <r>
      <rPr>
        <b val="true"/>
        <sz val="10"/>
        <color rgb="FFFFFFFF"/>
        <rFont val="Arial"/>
        <family val="0"/>
        <charset val="1"/>
      </rPr>
      <t xml:space="preserve">3</t>
    </r>
    <r>
      <rPr>
        <b val="true"/>
        <sz val="10"/>
        <color rgb="FFFFFFFF"/>
        <rFont val="WenQuanYi Zen Hei"/>
        <family val="2"/>
      </rPr>
      <t xml:space="preserve">부</t>
    </r>
  </si>
  <si>
    <r>
      <rPr>
        <b val="true"/>
        <sz val="10"/>
        <color rgb="FFFFFFFF"/>
        <rFont val="Arial"/>
        <family val="0"/>
        <charset val="1"/>
      </rPr>
      <t xml:space="preserve">4</t>
    </r>
    <r>
      <rPr>
        <b val="true"/>
        <sz val="10"/>
        <color rgb="FFFFFFFF"/>
        <rFont val="WenQuanYi Zen Hei"/>
        <family val="2"/>
      </rPr>
      <t xml:space="preserve">부</t>
    </r>
  </si>
  <si>
    <r>
      <rPr>
        <b val="true"/>
        <sz val="10"/>
        <color rgb="FFFFFFFF"/>
        <rFont val="Arial"/>
        <family val="0"/>
        <charset val="1"/>
      </rPr>
      <t xml:space="preserve">5</t>
    </r>
    <r>
      <rPr>
        <b val="true"/>
        <sz val="10"/>
        <color rgb="FFFFFFFF"/>
        <rFont val="WenQuanYi Zen Hei"/>
        <family val="2"/>
      </rPr>
      <t xml:space="preserve">부</t>
    </r>
  </si>
  <si>
    <r>
      <rPr>
        <b val="true"/>
        <sz val="10"/>
        <color rgb="FFFFFFFF"/>
        <rFont val="Arial"/>
        <family val="0"/>
        <charset val="1"/>
      </rPr>
      <t xml:space="preserve">6</t>
    </r>
    <r>
      <rPr>
        <b val="true"/>
        <sz val="10"/>
        <color rgb="FFFFFFFF"/>
        <rFont val="WenQuanYi Zen Hei"/>
        <family val="2"/>
      </rPr>
      <t xml:space="preserve">부</t>
    </r>
  </si>
  <si>
    <r>
      <rPr>
        <b val="true"/>
        <sz val="10"/>
        <color rgb="FFFFFFFF"/>
        <rFont val="Arial"/>
        <family val="0"/>
        <charset val="1"/>
      </rPr>
      <t xml:space="preserve">7</t>
    </r>
    <r>
      <rPr>
        <b val="true"/>
        <sz val="10"/>
        <color rgb="FFFFFFFF"/>
        <rFont val="WenQuanYi Zen Hei"/>
        <family val="2"/>
      </rPr>
      <t xml:space="preserve">부</t>
    </r>
  </si>
  <si>
    <r>
      <rPr>
        <b val="true"/>
        <sz val="10"/>
        <color rgb="FFFFFFFF"/>
        <rFont val="Arial"/>
        <family val="0"/>
        <charset val="1"/>
      </rPr>
      <t xml:space="preserve">8</t>
    </r>
    <r>
      <rPr>
        <b val="true"/>
        <sz val="10"/>
        <color rgb="FFFFFFFF"/>
        <rFont val="WenQuanYi Zen Hei"/>
        <family val="2"/>
      </rPr>
      <t xml:space="preserve">부</t>
    </r>
  </si>
  <si>
    <r>
      <rPr>
        <b val="true"/>
        <sz val="10"/>
        <color rgb="FFFFFFFF"/>
        <rFont val="Arial"/>
        <family val="0"/>
        <charset val="1"/>
      </rPr>
      <t xml:space="preserve">9</t>
    </r>
    <r>
      <rPr>
        <b val="true"/>
        <sz val="10"/>
        <color rgb="FFFFFFFF"/>
        <rFont val="WenQuanYi Zen Hei"/>
        <family val="2"/>
      </rPr>
      <t xml:space="preserve">부</t>
    </r>
  </si>
  <si>
    <r>
      <rPr>
        <b val="true"/>
        <sz val="10"/>
        <color rgb="FFFFFFFF"/>
        <rFont val="Arial"/>
        <family val="0"/>
        <charset val="1"/>
      </rPr>
      <t xml:space="preserve">10</t>
    </r>
    <r>
      <rPr>
        <b val="true"/>
        <sz val="10"/>
        <color rgb="FFFFFFFF"/>
        <rFont val="WenQuanYi Zen Hei"/>
        <family val="2"/>
      </rPr>
      <t xml:space="preserve">부</t>
    </r>
  </si>
  <si>
    <r>
      <rPr>
        <b val="true"/>
        <sz val="10"/>
        <color rgb="FFFFFFFF"/>
        <rFont val="Arial"/>
        <family val="0"/>
        <charset val="1"/>
      </rPr>
      <t xml:space="preserve">11</t>
    </r>
    <r>
      <rPr>
        <b val="true"/>
        <sz val="10"/>
        <color rgb="FFFFFFFF"/>
        <rFont val="WenQuanYi Zen Hei"/>
        <family val="2"/>
      </rPr>
      <t xml:space="preserve">부</t>
    </r>
  </si>
  <si>
    <r>
      <rPr>
        <b val="true"/>
        <sz val="10"/>
        <color rgb="FFFFFFFF"/>
        <rFont val="Arial"/>
        <family val="0"/>
        <charset val="1"/>
      </rPr>
      <t xml:space="preserve">12</t>
    </r>
    <r>
      <rPr>
        <b val="true"/>
        <sz val="10"/>
        <color rgb="FFFFFFFF"/>
        <rFont val="WenQuanYi Zen Hei"/>
        <family val="2"/>
      </rPr>
      <t xml:space="preserve">부</t>
    </r>
  </si>
  <si>
    <r>
      <rPr>
        <b val="true"/>
        <sz val="10"/>
        <color rgb="FFFFFFFF"/>
        <rFont val="Arial"/>
        <family val="0"/>
        <charset val="1"/>
      </rPr>
      <t xml:space="preserve">13</t>
    </r>
    <r>
      <rPr>
        <b val="true"/>
        <sz val="10"/>
        <color rgb="FFFFFFFF"/>
        <rFont val="WenQuanYi Zen Hei"/>
        <family val="2"/>
      </rPr>
      <t xml:space="preserve">부</t>
    </r>
  </si>
  <si>
    <t xml:space="preserve">엑스트라(가상)</t>
  </si>
  <si>
    <t xml:space="preserve">검증</t>
  </si>
  <si>
    <r>
      <rPr>
        <b val="true"/>
        <sz val="10"/>
        <rFont val="Arial"/>
        <family val="0"/>
        <charset val="1"/>
      </rPr>
      <t xml:space="preserve">3. </t>
    </r>
    <r>
      <rPr>
        <b val="true"/>
        <sz val="10"/>
        <rFont val="WenQuanYi Zen Hei"/>
        <family val="2"/>
      </rPr>
      <t xml:space="preserve">부별 턴</t>
    </r>
    <r>
      <rPr>
        <b val="true"/>
        <sz val="10"/>
        <rFont val="Arial"/>
        <family val="0"/>
        <charset val="1"/>
      </rPr>
      <t xml:space="preserve">·</t>
    </r>
    <r>
      <rPr>
        <b val="true"/>
        <sz val="10"/>
        <rFont val="WenQuanYi Zen Hei"/>
        <family val="2"/>
      </rPr>
      <t xml:space="preserve">단어</t>
    </r>
    <r>
      <rPr>
        <b val="true"/>
        <sz val="10"/>
        <rFont val="Arial"/>
        <family val="0"/>
        <charset val="1"/>
      </rPr>
      <t xml:space="preserve">·</t>
    </r>
    <r>
      <rPr>
        <b val="true"/>
        <sz val="10"/>
        <rFont val="WenQuanYi Zen Hei"/>
        <family val="2"/>
      </rPr>
      <t xml:space="preserve">낭독 시간 </t>
    </r>
    <r>
      <rPr>
        <b val="true"/>
        <sz val="10"/>
        <rFont val="Arial"/>
        <family val="0"/>
        <charset val="1"/>
      </rPr>
      <t xml:space="preserve">(</t>
    </r>
    <r>
      <rPr>
        <b val="true"/>
        <sz val="10"/>
        <rFont val="WenQuanYi Zen Hei"/>
        <family val="2"/>
      </rPr>
      <t xml:space="preserve">수식</t>
    </r>
    <r>
      <rPr>
        <b val="true"/>
        <sz val="10"/>
        <rFont val="Arial"/>
        <family val="0"/>
        <charset val="1"/>
      </rPr>
      <t xml:space="preserve">)</t>
    </r>
  </si>
  <si>
    <t xml:space="preserve">부</t>
  </si>
  <si>
    <t xml:space="preserve">난이도
배율</t>
  </si>
  <si>
    <t xml:space="preserve">화당 턴</t>
  </si>
  <si>
    <t xml:space="preserve">부 총 턴</t>
  </si>
  <si>
    <t xml:space="preserve">화당
단어</t>
  </si>
  <si>
    <t xml:space="preserve">부 총
단어</t>
  </si>
  <si>
    <t xml:space="preserve">화당 낭독
(분)</t>
  </si>
  <si>
    <t xml:space="preserve">부 총 낭독
(시간)</t>
  </si>
  <si>
    <r>
      <rPr>
        <b val="true"/>
        <sz val="10"/>
        <rFont val="Arial"/>
        <family val="0"/>
        <charset val="1"/>
      </rPr>
      <t xml:space="preserve">1</t>
    </r>
    <r>
      <rPr>
        <b val="true"/>
        <sz val="10"/>
        <rFont val="WenQuanYi Zen Hei"/>
        <family val="2"/>
      </rPr>
      <t xml:space="preserve">부</t>
    </r>
  </si>
  <si>
    <r>
      <rPr>
        <b val="true"/>
        <sz val="10"/>
        <rFont val="Arial"/>
        <family val="0"/>
        <charset val="1"/>
      </rPr>
      <t xml:space="preserve">2</t>
    </r>
    <r>
      <rPr>
        <b val="true"/>
        <sz val="10"/>
        <rFont val="WenQuanYi Zen Hei"/>
        <family val="2"/>
      </rPr>
      <t xml:space="preserve">부</t>
    </r>
  </si>
  <si>
    <r>
      <rPr>
        <b val="true"/>
        <sz val="10"/>
        <rFont val="Arial"/>
        <family val="0"/>
        <charset val="1"/>
      </rPr>
      <t xml:space="preserve">3</t>
    </r>
    <r>
      <rPr>
        <b val="true"/>
        <sz val="10"/>
        <rFont val="WenQuanYi Zen Hei"/>
        <family val="2"/>
      </rPr>
      <t xml:space="preserve">부</t>
    </r>
  </si>
  <si>
    <r>
      <rPr>
        <b val="true"/>
        <sz val="10"/>
        <rFont val="Arial"/>
        <family val="0"/>
        <charset val="1"/>
      </rPr>
      <t xml:space="preserve">4</t>
    </r>
    <r>
      <rPr>
        <b val="true"/>
        <sz val="10"/>
        <rFont val="WenQuanYi Zen Hei"/>
        <family val="2"/>
      </rPr>
      <t xml:space="preserve">부</t>
    </r>
  </si>
  <si>
    <r>
      <rPr>
        <b val="true"/>
        <sz val="10"/>
        <rFont val="Arial"/>
        <family val="0"/>
        <charset val="1"/>
      </rPr>
      <t xml:space="preserve">5</t>
    </r>
    <r>
      <rPr>
        <b val="true"/>
        <sz val="10"/>
        <rFont val="WenQuanYi Zen Hei"/>
        <family val="2"/>
      </rPr>
      <t xml:space="preserve">부</t>
    </r>
  </si>
  <si>
    <r>
      <rPr>
        <b val="true"/>
        <sz val="10"/>
        <rFont val="Arial"/>
        <family val="0"/>
        <charset val="1"/>
      </rPr>
      <t xml:space="preserve">6</t>
    </r>
    <r>
      <rPr>
        <b val="true"/>
        <sz val="10"/>
        <rFont val="WenQuanYi Zen Hei"/>
        <family val="2"/>
      </rPr>
      <t xml:space="preserve">부</t>
    </r>
  </si>
  <si>
    <r>
      <rPr>
        <b val="true"/>
        <sz val="10"/>
        <rFont val="Arial"/>
        <family val="0"/>
        <charset val="1"/>
      </rPr>
      <t xml:space="preserve">7</t>
    </r>
    <r>
      <rPr>
        <b val="true"/>
        <sz val="10"/>
        <rFont val="WenQuanYi Zen Hei"/>
        <family val="2"/>
      </rPr>
      <t xml:space="preserve">부</t>
    </r>
  </si>
  <si>
    <r>
      <rPr>
        <b val="true"/>
        <sz val="10"/>
        <rFont val="Arial"/>
        <family val="0"/>
        <charset val="1"/>
      </rPr>
      <t xml:space="preserve">8</t>
    </r>
    <r>
      <rPr>
        <b val="true"/>
        <sz val="10"/>
        <rFont val="WenQuanYi Zen Hei"/>
        <family val="2"/>
      </rPr>
      <t xml:space="preserve">부</t>
    </r>
  </si>
  <si>
    <r>
      <rPr>
        <b val="true"/>
        <sz val="10"/>
        <rFont val="Arial"/>
        <family val="0"/>
        <charset val="1"/>
      </rPr>
      <t xml:space="preserve">9</t>
    </r>
    <r>
      <rPr>
        <b val="true"/>
        <sz val="10"/>
        <rFont val="WenQuanYi Zen Hei"/>
        <family val="2"/>
      </rPr>
      <t xml:space="preserve">부</t>
    </r>
  </si>
  <si>
    <r>
      <rPr>
        <b val="true"/>
        <sz val="10"/>
        <rFont val="Arial"/>
        <family val="0"/>
        <charset val="1"/>
      </rPr>
      <t xml:space="preserve">10</t>
    </r>
    <r>
      <rPr>
        <b val="true"/>
        <sz val="10"/>
        <rFont val="WenQuanYi Zen Hei"/>
        <family val="2"/>
      </rPr>
      <t xml:space="preserve">부</t>
    </r>
  </si>
  <si>
    <r>
      <rPr>
        <b val="true"/>
        <sz val="10"/>
        <rFont val="Arial"/>
        <family val="0"/>
        <charset val="1"/>
      </rPr>
      <t xml:space="preserve">11</t>
    </r>
    <r>
      <rPr>
        <b val="true"/>
        <sz val="10"/>
        <rFont val="WenQuanYi Zen Hei"/>
        <family val="2"/>
      </rPr>
      <t xml:space="preserve">부</t>
    </r>
  </si>
  <si>
    <r>
      <rPr>
        <b val="true"/>
        <sz val="10"/>
        <rFont val="Arial"/>
        <family val="0"/>
        <charset val="1"/>
      </rPr>
      <t xml:space="preserve">12</t>
    </r>
    <r>
      <rPr>
        <b val="true"/>
        <sz val="10"/>
        <rFont val="WenQuanYi Zen Hei"/>
        <family val="2"/>
      </rPr>
      <t xml:space="preserve">부</t>
    </r>
  </si>
  <si>
    <r>
      <rPr>
        <b val="true"/>
        <sz val="10"/>
        <rFont val="Arial"/>
        <family val="0"/>
        <charset val="1"/>
      </rPr>
      <t xml:space="preserve">13</t>
    </r>
    <r>
      <rPr>
        <b val="true"/>
        <sz val="10"/>
        <rFont val="WenQuanYi Zen Hei"/>
        <family val="2"/>
      </rPr>
      <t xml:space="preserve">부</t>
    </r>
  </si>
  <si>
    <t xml:space="preserve">전체</t>
  </si>
  <si>
    <t xml:space="preserve">※ 난이도 배율: 1·13부(B1~B2)는 짧게 0.8, 10~12부(C1~C2)는 길게 1.2. 화당 단어는 '평균 단어/턴 × 120턴', 낭독 시간은 낭독 속도로 환산한 추정치.</t>
  </si>
  <si>
    <r>
      <rPr>
        <b val="true"/>
        <sz val="10"/>
        <rFont val="Arial"/>
        <family val="0"/>
        <charset val="1"/>
      </rPr>
      <t xml:space="preserve">4. </t>
    </r>
    <r>
      <rPr>
        <b val="true"/>
        <sz val="10"/>
        <rFont val="WenQuanYi Zen Hei"/>
        <family val="2"/>
      </rPr>
      <t xml:space="preserve">화 유형별 턴 구성 </t>
    </r>
    <r>
      <rPr>
        <b val="true"/>
        <sz val="10"/>
        <rFont val="Arial"/>
        <family val="0"/>
        <charset val="1"/>
      </rPr>
      <t xml:space="preserve">(</t>
    </r>
    <r>
      <rPr>
        <b val="true"/>
        <sz val="10"/>
        <rFont val="WenQuanYi Zen Hei"/>
        <family val="2"/>
      </rPr>
      <t xml:space="preserve">합계 </t>
    </r>
    <r>
      <rPr>
        <b val="true"/>
        <sz val="10"/>
        <rFont val="Arial"/>
        <family val="0"/>
        <charset val="1"/>
      </rPr>
      <t xml:space="preserve">= </t>
    </r>
    <r>
      <rPr>
        <b val="true"/>
        <sz val="10"/>
        <rFont val="WenQuanYi Zen Hei"/>
        <family val="2"/>
      </rPr>
      <t xml:space="preserve">화당 </t>
    </r>
    <r>
      <rPr>
        <b val="true"/>
        <sz val="10"/>
        <rFont val="Arial"/>
        <family val="0"/>
        <charset val="1"/>
      </rPr>
      <t xml:space="preserve">120</t>
    </r>
    <r>
      <rPr>
        <b val="true"/>
        <sz val="10"/>
        <rFont val="WenQuanYi Zen Hei"/>
        <family val="2"/>
      </rPr>
      <t xml:space="preserve">턴</t>
    </r>
    <r>
      <rPr>
        <b val="true"/>
        <sz val="10"/>
        <rFont val="Arial"/>
        <family val="0"/>
        <charset val="1"/>
      </rPr>
      <t xml:space="preserve">)</t>
    </r>
  </si>
  <si>
    <t xml:space="preserve">화 유형</t>
  </si>
  <si>
    <t xml:space="preserve">도입</t>
  </si>
  <si>
    <t xml:space="preserve">장면 1</t>
  </si>
  <si>
    <t xml:space="preserve">장면 2</t>
  </si>
  <si>
    <t xml:space="preserve">절정·전환</t>
  </si>
  <si>
    <t xml:space="preserve">마무리</t>
  </si>
  <si>
    <t xml:space="preserve">적용</t>
  </si>
  <si>
    <t xml:space="preserve">일반 화</t>
  </si>
  <si>
    <t xml:space="preserve">발단·전개·위기 화 대부분</t>
  </si>
  <si>
    <t xml:space="preserve">프레임 화</t>
  </si>
  <si>
    <r>
      <rPr>
        <sz val="10"/>
        <rFont val="Noto Sans CJK SC"/>
        <family val="2"/>
        <charset val="1"/>
      </rPr>
      <t xml:space="preserve">2~5</t>
    </r>
    <r>
      <rPr>
        <sz val="10"/>
        <rFont val="WenQuanYi Zen Hei"/>
        <family val="2"/>
      </rPr>
      <t xml:space="preserve">부 </t>
    </r>
    <r>
      <rPr>
        <sz val="10"/>
        <rFont val="Noto Sans CJK SC"/>
        <family val="2"/>
        <charset val="1"/>
      </rPr>
      <t xml:space="preserve">1·5·9·12</t>
    </r>
    <r>
      <rPr>
        <sz val="10"/>
        <rFont val="WenQuanYi Zen Hei"/>
        <family val="2"/>
      </rPr>
      <t xml:space="preserve">화</t>
    </r>
    <r>
      <rPr>
        <sz val="10"/>
        <rFont val="Noto Sans CJK SC"/>
        <family val="2"/>
        <charset val="1"/>
      </rPr>
      <t xml:space="preserve">: </t>
    </r>
    <r>
      <rPr>
        <sz val="10"/>
        <rFont val="WenQuanYi Zen Hei"/>
        <family val="2"/>
      </rPr>
      <t xml:space="preserve">금요일 프레임</t>
    </r>
    <r>
      <rPr>
        <sz val="10"/>
        <rFont val="Noto Sans CJK SC"/>
        <family val="2"/>
        <charset val="1"/>
      </rPr>
      <t xml:space="preserve">(</t>
    </r>
    <r>
      <rPr>
        <sz val="10"/>
        <rFont val="WenQuanYi Zen Hei"/>
        <family val="2"/>
      </rPr>
      <t xml:space="preserve">도입</t>
    </r>
    <r>
      <rPr>
        <sz val="10"/>
        <rFont val="Noto Sans CJK SC"/>
        <family val="2"/>
        <charset val="1"/>
      </rPr>
      <t xml:space="preserve">·</t>
    </r>
    <r>
      <rPr>
        <sz val="10"/>
        <rFont val="WenQuanYi Zen Hei"/>
        <family val="2"/>
      </rPr>
      <t xml:space="preserve">마무리</t>
    </r>
    <r>
      <rPr>
        <sz val="10"/>
        <rFont val="Noto Sans CJK SC"/>
        <family val="2"/>
        <charset val="1"/>
      </rPr>
      <t xml:space="preserve">)</t>
    </r>
    <r>
      <rPr>
        <sz val="10"/>
        <rFont val="WenQuanYi Zen Hei"/>
        <family val="2"/>
      </rPr>
      <t xml:space="preserve">과 과거 장면</t>
    </r>
  </si>
  <si>
    <t xml:space="preserve">폭발·감정 정점 화</t>
  </si>
  <si>
    <r>
      <rPr>
        <sz val="10"/>
        <rFont val="Noto Sans CJK SC"/>
        <family val="2"/>
        <charset val="1"/>
      </rPr>
      <t xml:space="preserve">1</t>
    </r>
    <r>
      <rPr>
        <sz val="10"/>
        <rFont val="WenQuanYi Zen Hei"/>
        <family val="2"/>
      </rPr>
      <t xml:space="preserve">부 </t>
    </r>
    <r>
      <rPr>
        <sz val="10"/>
        <rFont val="Noto Sans CJK SC"/>
        <family val="2"/>
        <charset val="1"/>
      </rPr>
      <t xml:space="preserve">6</t>
    </r>
    <r>
      <rPr>
        <sz val="10"/>
        <rFont val="WenQuanYi Zen Hei"/>
        <family val="2"/>
      </rPr>
      <t xml:space="preserve">화</t>
    </r>
    <r>
      <rPr>
        <sz val="10"/>
        <rFont val="Noto Sans CJK SC"/>
        <family val="2"/>
        <charset val="1"/>
      </rPr>
      <t xml:space="preserve">, 9</t>
    </r>
    <r>
      <rPr>
        <sz val="10"/>
        <rFont val="WenQuanYi Zen Hei"/>
        <family val="2"/>
      </rPr>
      <t xml:space="preserve">부 </t>
    </r>
    <r>
      <rPr>
        <sz val="10"/>
        <rFont val="Noto Sans CJK SC"/>
        <family val="2"/>
        <charset val="1"/>
      </rPr>
      <t xml:space="preserve">6</t>
    </r>
    <r>
      <rPr>
        <sz val="10"/>
        <rFont val="WenQuanYi Zen Hei"/>
        <family val="2"/>
      </rPr>
      <t xml:space="preserve">화 등 인물의 감정이 터지는 화</t>
    </r>
  </si>
  <si>
    <t xml:space="preserve">표결·절차 화</t>
  </si>
  <si>
    <r>
      <rPr>
        <sz val="10"/>
        <rFont val="Noto Sans CJK SC"/>
        <family val="2"/>
        <charset val="1"/>
      </rPr>
      <t xml:space="preserve">10</t>
    </r>
    <r>
      <rPr>
        <sz val="10"/>
        <rFont val="WenQuanYi Zen Hei"/>
        <family val="2"/>
      </rPr>
      <t xml:space="preserve">부 </t>
    </r>
    <r>
      <rPr>
        <sz val="10"/>
        <rFont val="Noto Sans CJK SC"/>
        <family val="2"/>
        <charset val="1"/>
      </rPr>
      <t xml:space="preserve">4·7</t>
    </r>
    <r>
      <rPr>
        <sz val="10"/>
        <rFont val="WenQuanYi Zen Hei"/>
        <family val="2"/>
      </rPr>
      <t xml:space="preserve">화 개표</t>
    </r>
    <r>
      <rPr>
        <sz val="10"/>
        <rFont val="Noto Sans CJK SC"/>
        <family val="2"/>
        <charset val="1"/>
      </rPr>
      <t xml:space="preserve">·</t>
    </r>
    <r>
      <rPr>
        <sz val="10"/>
        <rFont val="WenQuanYi Zen Hei"/>
        <family val="2"/>
      </rPr>
      <t xml:space="preserve">결과 선포</t>
    </r>
    <r>
      <rPr>
        <sz val="10"/>
        <rFont val="Noto Sans CJK SC"/>
        <family val="2"/>
        <charset val="1"/>
      </rPr>
      <t xml:space="preserve">, 10</t>
    </r>
    <r>
      <rPr>
        <sz val="10"/>
        <rFont val="WenQuanYi Zen Hei"/>
        <family val="2"/>
      </rPr>
      <t xml:space="preserve">부 </t>
    </r>
    <r>
      <rPr>
        <sz val="10"/>
        <rFont val="Noto Sans CJK SC"/>
        <family val="2"/>
        <charset val="1"/>
      </rPr>
      <t xml:space="preserve">12</t>
    </r>
    <r>
      <rPr>
        <sz val="10"/>
        <rFont val="WenQuanYi Zen Hei"/>
        <family val="2"/>
      </rPr>
      <t xml:space="preserve">화</t>
    </r>
    <r>
      <rPr>
        <sz val="10"/>
        <rFont val="Noto Sans CJK SC"/>
        <family val="2"/>
        <charset val="1"/>
      </rPr>
      <t xml:space="preserve">·12</t>
    </r>
    <r>
      <rPr>
        <sz val="10"/>
        <rFont val="WenQuanYi Zen Hei"/>
        <family val="2"/>
      </rPr>
      <t xml:space="preserve">부 </t>
    </r>
    <r>
      <rPr>
        <sz val="10"/>
        <rFont val="Noto Sans CJK SC"/>
        <family val="2"/>
        <charset val="1"/>
      </rPr>
      <t xml:space="preserve">7</t>
    </r>
    <r>
      <rPr>
        <sz val="10"/>
        <rFont val="WenQuanYi Zen Hei"/>
        <family val="2"/>
      </rPr>
      <t xml:space="preserve">화 불신임안 </t>
    </r>
    <r>
      <rPr>
        <sz val="10"/>
        <rFont val="Noto Sans CJK SC"/>
        <family val="2"/>
        <charset val="1"/>
      </rPr>
      <t xml:space="preserve">(</t>
    </r>
    <r>
      <rPr>
        <sz val="10"/>
        <rFont val="WenQuanYi Zen Hei"/>
        <family val="2"/>
      </rPr>
      <t xml:space="preserve">하원의장의 결과 낭독 포함</t>
    </r>
    <r>
      <rPr>
        <sz val="10"/>
        <rFont val="Noto Sans CJK SC"/>
        <family val="2"/>
        <charset val="1"/>
      </rPr>
      <t xml:space="preserve">)</t>
    </r>
  </si>
  <si>
    <t xml:space="preserve">재난·추도 화</t>
  </si>
  <si>
    <r>
      <rPr>
        <sz val="10"/>
        <rFont val="Noto Sans CJK SC"/>
        <family val="2"/>
        <charset val="1"/>
      </rPr>
      <t xml:space="preserve">11</t>
    </r>
    <r>
      <rPr>
        <sz val="10"/>
        <rFont val="WenQuanYi Zen Hei"/>
        <family val="2"/>
      </rPr>
      <t xml:space="preserve">부 </t>
    </r>
    <r>
      <rPr>
        <sz val="10"/>
        <rFont val="Noto Sans CJK SC"/>
        <family val="2"/>
        <charset val="1"/>
      </rPr>
      <t xml:space="preserve">12</t>
    </r>
    <r>
      <rPr>
        <sz val="10"/>
        <rFont val="WenQuanYi Zen Hei"/>
        <family val="2"/>
      </rPr>
      <t xml:space="preserve">화</t>
    </r>
    <r>
      <rPr>
        <sz val="10"/>
        <rFont val="Noto Sans CJK SC"/>
        <family val="2"/>
        <charset val="1"/>
      </rPr>
      <t xml:space="preserve">(Napoléon </t>
    </r>
    <r>
      <rPr>
        <sz val="10"/>
        <rFont val="WenQuanYi Zen Hei"/>
        <family val="2"/>
      </rPr>
      <t xml:space="preserve">죽음</t>
    </r>
    <r>
      <rPr>
        <sz val="10"/>
        <rFont val="Noto Sans CJK SC"/>
        <family val="2"/>
        <charset val="1"/>
      </rPr>
      <t xml:space="preserve">), 12</t>
    </r>
    <r>
      <rPr>
        <sz val="10"/>
        <rFont val="WenQuanYi Zen Hei"/>
        <family val="2"/>
      </rPr>
      <t xml:space="preserve">부 </t>
    </r>
    <r>
      <rPr>
        <sz val="10"/>
        <rFont val="Noto Sans CJK SC"/>
        <family val="2"/>
        <charset val="1"/>
      </rPr>
      <t xml:space="preserve">1</t>
    </r>
    <r>
      <rPr>
        <sz val="10"/>
        <rFont val="WenQuanYi Zen Hei"/>
        <family val="2"/>
      </rPr>
      <t xml:space="preserve">화</t>
    </r>
    <r>
      <rPr>
        <sz val="10"/>
        <rFont val="Noto Sans CJK SC"/>
        <family val="2"/>
        <charset val="1"/>
      </rPr>
      <t xml:space="preserve">(</t>
    </r>
    <r>
      <rPr>
        <sz val="10"/>
        <rFont val="WenQuanYi Zen Hei"/>
        <family val="2"/>
      </rPr>
      <t xml:space="preserve">장례</t>
    </r>
    <r>
      <rPr>
        <sz val="10"/>
        <rFont val="Noto Sans CJK SC"/>
        <family val="2"/>
        <charset val="1"/>
      </rPr>
      <t xml:space="preserve">), 12</t>
    </r>
    <r>
      <rPr>
        <sz val="10"/>
        <rFont val="WenQuanYi Zen Hei"/>
        <family val="2"/>
      </rPr>
      <t xml:space="preserve">부 </t>
    </r>
    <r>
      <rPr>
        <sz val="10"/>
        <rFont val="Noto Sans CJK SC"/>
        <family val="2"/>
        <charset val="1"/>
      </rPr>
      <t xml:space="preserve">8</t>
    </r>
    <r>
      <rPr>
        <sz val="10"/>
        <rFont val="WenQuanYi Zen Hei"/>
        <family val="2"/>
      </rPr>
      <t xml:space="preserve">화</t>
    </r>
    <r>
      <rPr>
        <sz val="10"/>
        <rFont val="Noto Sans CJK SC"/>
        <family val="2"/>
        <charset val="1"/>
      </rPr>
      <t xml:space="preserve">(</t>
    </r>
    <r>
      <rPr>
        <sz val="10"/>
        <rFont val="WenQuanYi Zen Hei"/>
        <family val="2"/>
      </rPr>
      <t xml:space="preserve">남부 급류 재난</t>
    </r>
    <r>
      <rPr>
        <sz val="10"/>
        <rFont val="Noto Sans CJK SC"/>
        <family val="2"/>
        <charset val="1"/>
      </rPr>
      <t xml:space="preserve">)</t>
    </r>
  </si>
  <si>
    <t xml:space="preserve">원형·회고 화</t>
  </si>
  <si>
    <r>
      <rPr>
        <sz val="10"/>
        <rFont val="Noto Sans CJK SC"/>
        <family val="2"/>
        <charset val="1"/>
      </rPr>
      <t xml:space="preserve">13</t>
    </r>
    <r>
      <rPr>
        <sz val="10"/>
        <rFont val="WenQuanYi Zen Hei"/>
        <family val="2"/>
      </rPr>
      <t xml:space="preserve">부 </t>
    </r>
    <r>
      <rPr>
        <sz val="10"/>
        <rFont val="Noto Sans CJK SC"/>
        <family val="2"/>
        <charset val="1"/>
      </rPr>
      <t xml:space="preserve">1·11·12</t>
    </r>
    <r>
      <rPr>
        <sz val="10"/>
        <rFont val="WenQuanYi Zen Hei"/>
        <family val="2"/>
      </rPr>
      <t xml:space="preserve">화</t>
    </r>
    <r>
      <rPr>
        <sz val="10"/>
        <rFont val="Noto Sans CJK SC"/>
        <family val="2"/>
        <charset val="1"/>
      </rPr>
      <t xml:space="preserve">: 1</t>
    </r>
    <r>
      <rPr>
        <sz val="10"/>
        <rFont val="WenQuanYi Zen Hei"/>
        <family val="2"/>
      </rPr>
      <t xml:space="preserve">부 대사를 되풀이하고 마무리를 길게</t>
    </r>
  </si>
  <si>
    <r>
      <rPr>
        <b val="true"/>
        <sz val="10"/>
        <rFont val="Arial"/>
        <family val="0"/>
        <charset val="1"/>
      </rPr>
      <t xml:space="preserve">5. </t>
    </r>
    <r>
      <rPr>
        <b val="true"/>
        <sz val="10"/>
        <rFont val="WenQuanYi Zen Hei"/>
        <family val="2"/>
      </rPr>
      <t xml:space="preserve">집필 규칙</t>
    </r>
  </si>
  <si>
    <r>
      <rPr>
        <sz val="10"/>
        <rFont val="Arial"/>
        <family val="0"/>
        <charset val="1"/>
      </rPr>
      <t xml:space="preserve">1. 1</t>
    </r>
    <r>
      <rPr>
        <sz val="10"/>
        <rFont val="WenQuanYi Zen Hei"/>
        <family val="2"/>
      </rPr>
      <t xml:space="preserve">부는 한 턴 </t>
    </r>
    <r>
      <rPr>
        <sz val="10"/>
        <rFont val="Arial"/>
        <family val="0"/>
        <charset val="1"/>
      </rPr>
      <t xml:space="preserve">15</t>
    </r>
    <r>
      <rPr>
        <sz val="10"/>
        <rFont val="WenQuanYi Zen Hei"/>
        <family val="2"/>
      </rPr>
      <t xml:space="preserve">단어 이내를 지킨다</t>
    </r>
    <r>
      <rPr>
        <sz val="10"/>
        <rFont val="Arial"/>
        <family val="0"/>
        <charset val="1"/>
      </rPr>
      <t xml:space="preserve">. </t>
    </r>
    <r>
      <rPr>
        <sz val="10"/>
        <rFont val="WenQuanYi Zen Hei"/>
        <family val="2"/>
      </rPr>
      <t xml:space="preserve">연설</t>
    </r>
    <r>
      <rPr>
        <sz val="10"/>
        <rFont val="Arial"/>
        <family val="0"/>
        <charset val="1"/>
      </rPr>
      <t xml:space="preserve">·</t>
    </r>
    <r>
      <rPr>
        <sz val="10"/>
        <rFont val="WenQuanYi Zen Hei"/>
        <family val="2"/>
      </rPr>
      <t xml:space="preserve">조항</t>
    </r>
    <r>
      <rPr>
        <sz val="10"/>
        <rFont val="Arial"/>
        <family val="0"/>
        <charset val="1"/>
      </rPr>
      <t xml:space="preserve">·</t>
    </r>
    <r>
      <rPr>
        <sz val="10"/>
        <rFont val="WenQuanYi Zen Hei"/>
        <family val="2"/>
      </rPr>
      <t xml:space="preserve">기사</t>
    </r>
    <r>
      <rPr>
        <sz val="10"/>
        <rFont val="Arial"/>
        <family val="0"/>
        <charset val="1"/>
      </rPr>
      <t xml:space="preserve">·</t>
    </r>
    <r>
      <rPr>
        <sz val="10"/>
        <rFont val="WenQuanYi Zen Hei"/>
        <family val="2"/>
      </rPr>
      <t xml:space="preserve">카드처럼 긴 낭독은 예외로 두되 </t>
    </r>
    <r>
      <rPr>
        <sz val="10"/>
        <rFont val="Arial"/>
        <family val="0"/>
        <charset val="1"/>
      </rPr>
      <t xml:space="preserve">1</t>
    </r>
    <r>
      <rPr>
        <sz val="10"/>
        <rFont val="WenQuanYi Zen Hei"/>
        <family val="2"/>
      </rPr>
      <t xml:space="preserve">턴으로 세고</t>
    </r>
    <r>
      <rPr>
        <sz val="10"/>
        <rFont val="Arial"/>
        <family val="0"/>
        <charset val="1"/>
      </rPr>
      <t xml:space="preserve">, </t>
    </r>
    <r>
      <rPr>
        <sz val="10"/>
        <rFont val="WenQuanYi Zen Hei"/>
        <family val="2"/>
      </rPr>
      <t xml:space="preserve">화당 최대 </t>
    </r>
    <r>
      <rPr>
        <sz val="10"/>
        <rFont val="Arial"/>
        <family val="0"/>
        <charset val="1"/>
      </rPr>
      <t xml:space="preserve">3</t>
    </r>
    <r>
      <rPr>
        <sz val="10"/>
        <rFont val="WenQuanYi Zen Hei"/>
        <family val="2"/>
      </rPr>
      <t xml:space="preserve">개까지만 쓴다</t>
    </r>
    <r>
      <rPr>
        <sz val="10"/>
        <rFont val="Arial"/>
        <family val="0"/>
        <charset val="1"/>
      </rPr>
      <t xml:space="preserve">.</t>
    </r>
  </si>
  <si>
    <r>
      <rPr>
        <sz val="10"/>
        <rFont val="Arial"/>
        <family val="0"/>
        <charset val="1"/>
      </rPr>
      <t xml:space="preserve">2. </t>
    </r>
    <r>
      <rPr>
        <sz val="10"/>
        <rFont val="WenQuanYi Zen Hei"/>
        <family val="2"/>
      </rPr>
      <t xml:space="preserve">지문이 없으므로 장소</t>
    </r>
    <r>
      <rPr>
        <sz val="10"/>
        <rFont val="Arial"/>
        <family val="0"/>
        <charset val="1"/>
      </rPr>
      <t xml:space="preserve">·</t>
    </r>
    <r>
      <rPr>
        <sz val="10"/>
        <rFont val="WenQuanYi Zen Hei"/>
        <family val="2"/>
      </rPr>
      <t xml:space="preserve">시간</t>
    </r>
    <r>
      <rPr>
        <sz val="10"/>
        <rFont val="Arial"/>
        <family val="0"/>
        <charset val="1"/>
      </rPr>
      <t xml:space="preserve">·</t>
    </r>
    <r>
      <rPr>
        <sz val="10"/>
        <rFont val="WenQuanYi Zen Hei"/>
        <family val="2"/>
      </rPr>
      <t xml:space="preserve">행동을 알리는 턴이 화당 </t>
    </r>
    <r>
      <rPr>
        <sz val="10"/>
        <rFont val="Arial"/>
        <family val="0"/>
        <charset val="1"/>
      </rPr>
      <t xml:space="preserve">5~10</t>
    </r>
    <r>
      <rPr>
        <sz val="10"/>
        <rFont val="WenQuanYi Zen Hei"/>
        <family val="2"/>
      </rPr>
      <t xml:space="preserve">턴 필요하다 </t>
    </r>
    <r>
      <rPr>
        <sz val="10"/>
        <rFont val="Arial"/>
        <family val="0"/>
        <charset val="1"/>
      </rPr>
      <t xml:space="preserve">(Monique</t>
    </r>
    <r>
      <rPr>
        <sz val="10"/>
        <rFont val="WenQuanYi Zen Hei"/>
        <family val="2"/>
      </rPr>
      <t xml:space="preserve">의 시간 안내</t>
    </r>
    <r>
      <rPr>
        <sz val="10"/>
        <rFont val="Arial"/>
        <family val="0"/>
        <charset val="1"/>
      </rPr>
      <t xml:space="preserve">, Jeanne</t>
    </r>
    <r>
      <rPr>
        <sz val="10"/>
        <rFont val="WenQuanYi Zen Hei"/>
        <family val="2"/>
      </rPr>
      <t xml:space="preserve">의 보고</t>
    </r>
    <r>
      <rPr>
        <sz val="10"/>
        <rFont val="Arial"/>
        <family val="0"/>
        <charset val="1"/>
      </rPr>
      <t xml:space="preserve">, </t>
    </r>
    <r>
      <rPr>
        <sz val="10"/>
        <rFont val="WenQuanYi Zen Hei"/>
        <family val="2"/>
      </rPr>
      <t xml:space="preserve">하원의장의 결과 낭독 등</t>
    </r>
    <r>
      <rPr>
        <sz val="10"/>
        <rFont val="Arial"/>
        <family val="0"/>
        <charset val="1"/>
      </rPr>
      <t xml:space="preserve">).</t>
    </r>
  </si>
  <si>
    <r>
      <rPr>
        <sz val="10"/>
        <rFont val="Arial"/>
        <family val="0"/>
        <charset val="1"/>
      </rPr>
      <t xml:space="preserve">3. Manon</t>
    </r>
    <r>
      <rPr>
        <sz val="10"/>
        <rFont val="WenQuanYi Zen Hei"/>
        <family val="2"/>
      </rPr>
      <t xml:space="preserve">의 질문 → 쉬운 재설명 짝은 화당 </t>
    </r>
    <r>
      <rPr>
        <sz val="10"/>
        <rFont val="Arial"/>
        <family val="0"/>
        <charset val="1"/>
      </rPr>
      <t xml:space="preserve">3~6</t>
    </r>
    <r>
      <rPr>
        <sz val="10"/>
        <rFont val="WenQuanYi Zen Hei"/>
        <family val="2"/>
      </rPr>
      <t xml:space="preserve">쌍</t>
    </r>
    <r>
      <rPr>
        <sz val="10"/>
        <rFont val="Arial"/>
        <family val="0"/>
        <charset val="1"/>
      </rPr>
      <t xml:space="preserve">(6~12</t>
    </r>
    <r>
      <rPr>
        <sz val="10"/>
        <rFont val="WenQuanYi Zen Hei"/>
        <family val="2"/>
      </rPr>
      <t xml:space="preserve">턴</t>
    </r>
    <r>
      <rPr>
        <sz val="10"/>
        <rFont val="Arial"/>
        <family val="0"/>
        <charset val="1"/>
      </rPr>
      <t xml:space="preserve">)</t>
    </r>
    <r>
      <rPr>
        <sz val="10"/>
        <rFont val="WenQuanYi Zen Hei"/>
        <family val="2"/>
      </rPr>
      <t xml:space="preserve">을 기본으로 한다</t>
    </r>
    <r>
      <rPr>
        <sz val="10"/>
        <rFont val="Arial"/>
        <family val="0"/>
        <charset val="1"/>
      </rPr>
      <t xml:space="preserve">. </t>
    </r>
    <r>
      <rPr>
        <sz val="10"/>
        <rFont val="WenQuanYi Zen Hei"/>
        <family val="2"/>
      </rPr>
      <t xml:space="preserve">어려운 용어를 도입할 때 반드시 사용한다</t>
    </r>
    <r>
      <rPr>
        <sz val="10"/>
        <rFont val="Arial"/>
        <family val="0"/>
        <charset val="1"/>
      </rPr>
      <t xml:space="preserve">.</t>
    </r>
  </si>
  <si>
    <r>
      <rPr>
        <sz val="10"/>
        <rFont val="Arial"/>
        <family val="0"/>
        <charset val="1"/>
      </rPr>
      <t xml:space="preserve">4. </t>
    </r>
    <r>
      <rPr>
        <sz val="10"/>
        <rFont val="WenQuanYi Zen Hei"/>
        <family val="2"/>
      </rPr>
      <t xml:space="preserve">시그니처 표현은 화자당 </t>
    </r>
    <r>
      <rPr>
        <sz val="10"/>
        <rFont val="Arial"/>
        <family val="0"/>
        <charset val="1"/>
      </rPr>
      <t xml:space="preserve">1~2</t>
    </r>
    <r>
      <rPr>
        <sz val="10"/>
        <rFont val="WenQuanYi Zen Hei"/>
        <family val="2"/>
      </rPr>
      <t xml:space="preserve">회</t>
    </r>
    <r>
      <rPr>
        <sz val="10"/>
        <rFont val="Arial"/>
        <family val="0"/>
        <charset val="1"/>
      </rPr>
      <t xml:space="preserve">. 120</t>
    </r>
    <r>
      <rPr>
        <sz val="10"/>
        <rFont val="WenQuanYi Zen Hei"/>
        <family val="2"/>
      </rPr>
      <t xml:space="preserve">턴 안에서 같은 시그니처가 반복되지 않게 배분한다</t>
    </r>
    <r>
      <rPr>
        <sz val="10"/>
        <rFont val="Arial"/>
        <family val="0"/>
        <charset val="1"/>
      </rPr>
      <t xml:space="preserve">.</t>
    </r>
  </si>
  <si>
    <r>
      <rPr>
        <sz val="10"/>
        <rFont val="Arial"/>
        <family val="0"/>
        <charset val="1"/>
      </rPr>
      <t xml:space="preserve">5. </t>
    </r>
    <r>
      <rPr>
        <sz val="10"/>
        <rFont val="WenQuanYi Zen Hei"/>
        <family val="2"/>
      </rPr>
      <t xml:space="preserve">화자 점유율은 턴 수 기준이다</t>
    </r>
    <r>
      <rPr>
        <sz val="10"/>
        <rFont val="Arial"/>
        <family val="0"/>
        <charset val="1"/>
      </rPr>
      <t xml:space="preserve">. Manon</t>
    </r>
    <r>
      <rPr>
        <sz val="10"/>
        <rFont val="WenQuanYi Zen Hei"/>
        <family val="2"/>
      </rPr>
      <t xml:space="preserve">처럼 턴은 많지만 짧게 말하는 인물은 평균 단어</t>
    </r>
    <r>
      <rPr>
        <sz val="10"/>
        <rFont val="Arial"/>
        <family val="0"/>
        <charset val="1"/>
      </rPr>
      <t xml:space="preserve">/</t>
    </r>
    <r>
      <rPr>
        <sz val="10"/>
        <rFont val="WenQuanYi Zen Hei"/>
        <family val="2"/>
      </rPr>
      <t xml:space="preserve">턴을 낮게 잡았다</t>
    </r>
    <r>
      <rPr>
        <sz val="10"/>
        <rFont val="Arial"/>
        <family val="0"/>
        <charset val="1"/>
      </rPr>
      <t xml:space="preserve">. </t>
    </r>
    <r>
      <rPr>
        <sz val="10"/>
        <rFont val="WenQuanYi Zen Hei"/>
        <family val="2"/>
      </rPr>
      <t xml:space="preserve">옛 마드리드판 점유율을 인물 대응표</t>
    </r>
    <r>
      <rPr>
        <sz val="10"/>
        <rFont val="Arial"/>
        <family val="0"/>
        <charset val="1"/>
      </rPr>
      <t xml:space="preserve">(</t>
    </r>
    <r>
      <rPr>
        <sz val="10"/>
        <rFont val="WenQuanYi Zen Hei"/>
        <family val="2"/>
      </rPr>
      <t xml:space="preserve">변경이력 참고</t>
    </r>
    <r>
      <rPr>
        <sz val="10"/>
        <rFont val="Arial"/>
        <family val="0"/>
        <charset val="1"/>
      </rPr>
      <t xml:space="preserve">)</t>
    </r>
    <r>
      <rPr>
        <sz val="10"/>
        <rFont val="WenQuanYi Zen Hei"/>
        <family val="2"/>
      </rPr>
      <t xml:space="preserve">대로 옮기고 </t>
    </r>
    <r>
      <rPr>
        <sz val="10"/>
        <rFont val="Arial"/>
        <family val="0"/>
        <charset val="1"/>
      </rPr>
      <t xml:space="preserve">Olympe(</t>
    </r>
    <r>
      <rPr>
        <sz val="10"/>
        <rFont val="WenQuanYi Zen Hei"/>
        <family val="2"/>
      </rPr>
      <t xml:space="preserve">총리</t>
    </r>
    <r>
      <rPr>
        <sz val="10"/>
        <rFont val="Arial"/>
        <family val="0"/>
        <charset val="1"/>
      </rPr>
      <t xml:space="preserve">)</t>
    </r>
    <r>
      <rPr>
        <sz val="10"/>
        <rFont val="WenQuanYi Zen Hei"/>
        <family val="2"/>
      </rPr>
      <t xml:space="preserve">를 신설했다</t>
    </r>
    <r>
      <rPr>
        <sz val="10"/>
        <rFont val="Arial"/>
        <family val="0"/>
        <charset val="1"/>
      </rPr>
      <t xml:space="preserve">.</t>
    </r>
  </si>
  <si>
    <r>
      <rPr>
        <sz val="10"/>
        <rFont val="Arial"/>
        <family val="0"/>
        <charset val="1"/>
      </rPr>
      <t xml:space="preserve">6. </t>
    </r>
    <r>
      <rPr>
        <sz val="10"/>
        <rFont val="WenQuanYi Zen Hei"/>
        <family val="2"/>
      </rPr>
      <t xml:space="preserve">표의 파란 숫자는 가정값이다</t>
    </r>
    <r>
      <rPr>
        <sz val="10"/>
        <rFont val="Arial"/>
        <family val="0"/>
        <charset val="1"/>
      </rPr>
      <t xml:space="preserve">. 1</t>
    </r>
    <r>
      <rPr>
        <sz val="10"/>
        <rFont val="WenQuanYi Zen Hei"/>
        <family val="2"/>
      </rPr>
      <t xml:space="preserve">부 </t>
    </r>
    <r>
      <rPr>
        <sz val="10"/>
        <rFont val="Arial"/>
        <family val="0"/>
        <charset val="1"/>
      </rPr>
      <t xml:space="preserve">1~3</t>
    </r>
    <r>
      <rPr>
        <sz val="10"/>
        <rFont val="WenQuanYi Zen Hei"/>
        <family val="2"/>
      </rPr>
      <t xml:space="preserve">화 대본을 쓴 뒤 실제 턴</t>
    </r>
    <r>
      <rPr>
        <sz val="10"/>
        <rFont val="Arial"/>
        <family val="0"/>
        <charset val="1"/>
      </rPr>
      <t xml:space="preserve">·</t>
    </r>
    <r>
      <rPr>
        <sz val="10"/>
        <rFont val="WenQuanYi Zen Hei"/>
        <family val="2"/>
      </rPr>
      <t xml:space="preserve">단어 수를 재서 점유율과 평균 단어</t>
    </r>
    <r>
      <rPr>
        <sz val="10"/>
        <rFont val="Arial"/>
        <family val="0"/>
        <charset val="1"/>
      </rPr>
      <t xml:space="preserve">/</t>
    </r>
    <r>
      <rPr>
        <sz val="10"/>
        <rFont val="WenQuanYi Zen Hei"/>
        <family val="2"/>
      </rPr>
      <t xml:space="preserve">턴을 교정한다</t>
    </r>
    <r>
      <rPr>
        <sz val="10"/>
        <rFont val="Arial"/>
        <family val="0"/>
        <charset val="1"/>
      </rPr>
      <t xml:space="preserve">.</t>
    </r>
  </si>
  <si>
    <r>
      <rPr>
        <b val="true"/>
        <sz val="14"/>
        <color rgb="FF1F3864"/>
        <rFont val="Arial"/>
        <family val="0"/>
        <charset val="1"/>
      </rPr>
      <t xml:space="preserve">13</t>
    </r>
    <r>
      <rPr>
        <b val="true"/>
        <sz val="14"/>
        <color rgb="FF1F3864"/>
        <rFont val="WenQuanYi Zen Hei"/>
        <family val="2"/>
      </rPr>
      <t xml:space="preserve">부 구성 </t>
    </r>
    <r>
      <rPr>
        <b val="true"/>
        <sz val="14"/>
        <color rgb="FF1F3864"/>
        <rFont val="Arial"/>
        <family val="0"/>
        <charset val="1"/>
      </rPr>
      <t xml:space="preserve">(13</t>
    </r>
    <r>
      <rPr>
        <b val="true"/>
        <sz val="14"/>
        <color rgb="FF1F3864"/>
        <rFont val="WenQuanYi Zen Hei"/>
        <family val="2"/>
      </rPr>
      <t xml:space="preserve">부 </t>
    </r>
    <r>
      <rPr>
        <b val="true"/>
        <sz val="14"/>
        <color rgb="FF1F3864"/>
        <rFont val="Arial"/>
        <family val="0"/>
        <charset val="1"/>
      </rPr>
      <t xml:space="preserve">× 12</t>
    </r>
    <r>
      <rPr>
        <b val="true"/>
        <sz val="14"/>
        <color rgb="FF1F3864"/>
        <rFont val="WenQuanYi Zen Hei"/>
        <family val="2"/>
      </rPr>
      <t xml:space="preserve">화 </t>
    </r>
    <r>
      <rPr>
        <b val="true"/>
        <sz val="14"/>
        <color rgb="FF1F3864"/>
        <rFont val="Arial"/>
        <family val="0"/>
        <charset val="1"/>
      </rPr>
      <t xml:space="preserve">= 156</t>
    </r>
    <r>
      <rPr>
        <b val="true"/>
        <sz val="14"/>
        <color rgb="FF1F3864"/>
        <rFont val="WenQuanYi Zen Hei"/>
        <family val="2"/>
      </rPr>
      <t xml:space="preserve">화</t>
    </r>
    <r>
      <rPr>
        <b val="true"/>
        <sz val="14"/>
        <color rgb="FF1F3864"/>
        <rFont val="Arial"/>
        <family val="0"/>
        <charset val="1"/>
      </rPr>
      <t xml:space="preserve">)</t>
    </r>
  </si>
  <si>
    <t xml:space="preserve">정치 파트(8~12부)는 프랑스 제5공화국 제도에 맞춰 재설계했습니다. 화별 목차는 '화별목차_전체', 제도 근거는 '정치제도' 시트.</t>
  </si>
  <si>
    <t xml:space="preserve">제목 (FR)</t>
  </si>
  <si>
    <t xml:space="preserve">한국어</t>
  </si>
  <si>
    <t xml:space="preserve">배경</t>
  </si>
  <si>
    <t xml:space="preserve">핵심 내용</t>
  </si>
  <si>
    <t xml:space="preserve">난이도
(CEFR)</t>
  </si>
  <si>
    <t xml:space="preserve">반영 제도·전문 영역</t>
  </si>
  <si>
    <t xml:space="preserve">시점</t>
  </si>
  <si>
    <t xml:space="preserve">Le Cabinet de Belleville</t>
  </si>
  <si>
    <t xml:space="preserve">벨빌 사무소</t>
  </si>
  <si>
    <r>
      <rPr>
        <sz val="10"/>
        <rFont val="Arial"/>
        <family val="0"/>
        <charset val="1"/>
      </rPr>
      <t xml:space="preserve">Belleville</t>
    </r>
    <r>
      <rPr>
        <sz val="10"/>
        <rFont val="WenQuanYi Zen Hei"/>
        <family val="2"/>
      </rPr>
      <t xml:space="preserve">의 작은 사무실 </t>
    </r>
    <r>
      <rPr>
        <sz val="10"/>
        <rFont val="Arial"/>
        <family val="0"/>
        <charset val="1"/>
      </rPr>
      <t xml:space="preserve">(1</t>
    </r>
    <r>
      <rPr>
        <sz val="10"/>
        <rFont val="WenQuanYi Zen Hei"/>
        <family val="2"/>
      </rPr>
      <t xml:space="preserve">층은 </t>
    </r>
    <r>
      <rPr>
        <sz val="10"/>
        <rFont val="Arial"/>
        <family val="0"/>
        <charset val="1"/>
      </rPr>
      <t xml:space="preserve">Monique</t>
    </r>
    <r>
      <rPr>
        <sz val="10"/>
        <rFont val="WenQuanYi Zen Hei"/>
        <family val="2"/>
      </rPr>
      <t xml:space="preserve">의 비스트로</t>
    </r>
    <r>
      <rPr>
        <sz val="10"/>
        <rFont val="Arial"/>
        <family val="0"/>
        <charset val="1"/>
      </rPr>
      <t xml:space="preserve">), </t>
    </r>
    <r>
      <rPr>
        <sz val="10"/>
        <rFont val="WenQuanYi Zen Hei"/>
        <family val="2"/>
      </rPr>
      <t xml:space="preserve">개소 </t>
    </r>
    <r>
      <rPr>
        <sz val="10"/>
        <rFont val="Arial"/>
        <family val="0"/>
        <charset val="1"/>
      </rPr>
      <t xml:space="preserve">1</t>
    </r>
    <r>
      <rPr>
        <sz val="10"/>
        <rFont val="WenQuanYi Zen Hei"/>
        <family val="2"/>
      </rPr>
      <t xml:space="preserve">개월 후</t>
    </r>
  </si>
  <si>
    <t xml:space="preserve">이미 한 달째 좌충우돌 중인 팀이 이웃들의 사건 6개를 2화씩(도입→해결) 풀어 간다. 자기소개 대신 '이 사람들이 어쩌다 이렇게 됐지?' 하는 궁금증(in medias res)으로 시작.</t>
  </si>
  <si>
    <t xml:space="preserve">B1</t>
  </si>
  <si>
    <t xml:space="preserve">생활 법률·노동·의료·금융 기초 어휘, 반복되는 말다툼, Manon 1차 폭발(6화)</t>
  </si>
  <si>
    <t xml:space="preserve">현재(개소 후 1개월)</t>
  </si>
  <si>
    <t xml:space="preserve">L'Avocat</t>
  </si>
  <si>
    <t xml:space="preserve">변호사</t>
  </si>
  <si>
    <r>
      <rPr>
        <sz val="10"/>
        <rFont val="Arial"/>
        <family val="0"/>
        <charset val="1"/>
      </rPr>
      <t xml:space="preserve">8</t>
    </r>
    <r>
      <rPr>
        <sz val="10"/>
        <rFont val="WenQuanYi Zen Hei"/>
        <family val="2"/>
      </rPr>
      <t xml:space="preserve">구 </t>
    </r>
    <r>
      <rPr>
        <sz val="10"/>
        <rFont val="Arial"/>
        <family val="0"/>
        <charset val="1"/>
      </rPr>
      <t xml:space="preserve">avenue George-V</t>
    </r>
    <r>
      <rPr>
        <sz val="10"/>
        <rFont val="WenQuanYi Zen Hei"/>
        <family val="2"/>
      </rPr>
      <t xml:space="preserve">의 대형 로펌</t>
    </r>
  </si>
  <si>
    <t xml:space="preserve">승소율 100%의 이면: 강제퇴거 사건이 Nicolas의 결핍이 된다.</t>
  </si>
  <si>
    <t xml:space="preserve">B2~C1</t>
  </si>
  <si>
    <t xml:space="preserve">임대차(1989년 법), 퇴거 절차, 소송(assignation, audience, jugement)</t>
  </si>
  <si>
    <t xml:space="preserve">과거</t>
  </si>
  <si>
    <t xml:space="preserve">La Médecin</t>
  </si>
  <si>
    <t xml:space="preserve">의사</t>
  </si>
  <si>
    <t xml:space="preserve">예산 압박과 컨설팅·외주 속에서 치료받지 못하는 환자들. Camille의 이름 목록.</t>
  </si>
  <si>
    <t xml:space="preserve">응급의학·병원 행정, ARS·AP-HP 체계, 병원 외주(externalisation)와 컨설팅 계약</t>
  </si>
  <si>
    <t xml:space="preserve">L'Auditeur</t>
  </si>
  <si>
    <t xml:space="preserve">회계감사인</t>
  </si>
  <si>
    <r>
      <rPr>
        <sz val="10"/>
        <rFont val="Arial"/>
        <family val="0"/>
        <charset val="1"/>
      </rPr>
      <t xml:space="preserve">Bertin &amp; Roux Audit (</t>
    </r>
    <r>
      <rPr>
        <sz val="10"/>
        <rFont val="WenQuanYi Zen Hei"/>
        <family val="2"/>
      </rPr>
      <t xml:space="preserve">가상</t>
    </r>
    <r>
      <rPr>
        <sz val="10"/>
        <rFont val="Arial"/>
        <family val="0"/>
        <charset val="1"/>
      </rPr>
      <t xml:space="preserve">)</t>
    </r>
  </si>
  <si>
    <t xml:space="preserve">룩셈부르크 지주회사를 통한 탈세·자금세탁 정황을 발견하지만 조직의 묵인 압박. 다시는 서명하지 않겠다는 다짐의 기원.</t>
  </si>
  <si>
    <t xml:space="preserve">법정감사(commissaire aux comptes), 자금세탁방지(TRACFIN), 감사인 독립성(H2A)</t>
  </si>
  <si>
    <t xml:space="preserve">La Consultante</t>
  </si>
  <si>
    <t xml:space="preserve">컨설턴트</t>
  </si>
  <si>
    <r>
      <rPr>
        <sz val="10"/>
        <rFont val="Arial"/>
        <family val="0"/>
        <charset val="1"/>
      </rPr>
      <t xml:space="preserve">Zénith Consulting (</t>
    </r>
    <r>
      <rPr>
        <sz val="10"/>
        <rFont val="WenQuanYi Zen Hei"/>
        <family val="2"/>
      </rPr>
      <t xml:space="preserve">가상</t>
    </r>
    <r>
      <rPr>
        <sz val="10"/>
        <rFont val="Arial"/>
        <family val="0"/>
        <charset val="1"/>
      </rPr>
      <t xml:space="preserve">), La Défense 32</t>
    </r>
    <r>
      <rPr>
        <sz val="10"/>
        <rFont val="WenQuanYi Zen Hei"/>
        <family val="2"/>
      </rPr>
      <t xml:space="preserve">층</t>
    </r>
  </si>
  <si>
    <t xml:space="preserve">구조조정 엑셀 한 칸이 수백 명의 실직이었음을 깨닫는다. Karim과의 첫 접점.</t>
  </si>
  <si>
    <t xml:space="preserve">경영 전략, 고용보호계획(PSE), 노동법(Code du travail)</t>
  </si>
  <si>
    <t xml:space="preserve">La Rencontre</t>
  </si>
  <si>
    <t xml:space="preserve">운명적 만남</t>
  </si>
  <si>
    <r>
      <rPr>
        <sz val="10"/>
        <rFont val="Arial"/>
        <family val="0"/>
        <charset val="1"/>
      </rPr>
      <t xml:space="preserve">Saint-Denis</t>
    </r>
    <r>
      <rPr>
        <sz val="10"/>
        <rFont val="WenQuanYi Zen Hei"/>
        <family val="2"/>
      </rPr>
      <t xml:space="preserve">의 서민 주거 단지</t>
    </r>
    <r>
      <rPr>
        <sz val="10"/>
        <rFont val="Arial"/>
        <family val="0"/>
        <charset val="1"/>
      </rPr>
      <t xml:space="preserve">(cité), </t>
    </r>
    <r>
      <rPr>
        <sz val="10"/>
        <rFont val="WenQuanYi Zen Hei"/>
        <family val="2"/>
      </rPr>
      <t xml:space="preserve">작은 카페</t>
    </r>
  </si>
  <si>
    <t xml:space="preserve">강제퇴거와 의료 방치가 한 건으로 얽힌 사건에서 네 사람이 만나 사무소를 차리기로 한다.</t>
  </si>
  <si>
    <t xml:space="preserve">B2</t>
  </si>
  <si>
    <t xml:space="preserve">협상·설득 구어체</t>
  </si>
  <si>
    <t xml:space="preserve">현재로 수렴</t>
  </si>
  <si>
    <t xml:space="preserve">Le Réseau de résistance</t>
  </si>
  <si>
    <t xml:space="preserve">사무소 2탄: 전면전</t>
  </si>
  <si>
    <t xml:space="preserve">법원, 시청 앞, 파리 전역</t>
  </si>
  <si>
    <t xml:space="preserve">부당 해고·의료 사고·탈세 대기업 상대 집단 대응. 내부고발자를 보호하고 반부패 단체의 사소(私訴, partie civile)로 고소한다.</t>
  </si>
  <si>
    <r>
      <rPr>
        <sz val="10"/>
        <rFont val="Arial"/>
        <family val="0"/>
        <charset val="1"/>
      </rPr>
      <t xml:space="preserve">plainte avec constitution de partie civile, </t>
    </r>
    <r>
      <rPr>
        <sz val="10"/>
        <rFont val="WenQuanYi Zen Hei"/>
        <family val="2"/>
      </rPr>
      <t xml:space="preserve">국가금융검찰</t>
    </r>
    <r>
      <rPr>
        <sz val="10"/>
        <rFont val="Arial"/>
        <family val="0"/>
        <charset val="1"/>
      </rPr>
      <t xml:space="preserve">(PNF), </t>
    </r>
    <r>
      <rPr>
        <sz val="10"/>
        <rFont val="WenQuanYi Zen Hei"/>
        <family val="2"/>
      </rPr>
      <t xml:space="preserve">내부고발자 보호</t>
    </r>
    <r>
      <rPr>
        <sz val="10"/>
        <rFont val="Arial"/>
        <family val="0"/>
        <charset val="1"/>
      </rPr>
      <t xml:space="preserve">(Sapin II·2022</t>
    </r>
    <r>
      <rPr>
        <sz val="10"/>
        <rFont val="WenQuanYi Zen Hei"/>
        <family val="2"/>
      </rPr>
      <t xml:space="preserve">년 법</t>
    </r>
    <r>
      <rPr>
        <sz val="10"/>
        <rFont val="Arial"/>
        <family val="0"/>
        <charset val="1"/>
      </rPr>
      <t xml:space="preserve">)</t>
    </r>
  </si>
  <si>
    <t xml:space="preserve">과거→현재</t>
  </si>
  <si>
    <t xml:space="preserve">L'Éveil citoyen</t>
  </si>
  <si>
    <t xml:space="preserve">정치적 각성과 창당</t>
  </si>
  <si>
    <r>
      <rPr>
        <sz val="10"/>
        <rFont val="Arial"/>
        <family val="0"/>
        <charset val="1"/>
      </rPr>
      <t xml:space="preserve">Place de la République, </t>
    </r>
    <r>
      <rPr>
        <sz val="10"/>
        <rFont val="WenQuanYi Zen Hei"/>
        <family val="2"/>
      </rPr>
      <t xml:space="preserve">시민 집회</t>
    </r>
  </si>
  <si>
    <t xml:space="preserve">하원 시민청원이 본회의 토론에서 멈추자 스스로 정당 «Maison Commune»을 창당해 파리 시의회 선거(municipales)에 나선다.</t>
  </si>
  <si>
    <t xml:space="preserve">시위 사전 신고, 하원 시민청원(pétition), 정당 결성(1901년 결사법·1988년 정치자금법), 선거운동 규칙</t>
  </si>
  <si>
    <t xml:space="preserve">정치</t>
  </si>
  <si>
    <t xml:space="preserve">À l'Hôtel de Ville</t>
  </si>
  <si>
    <t xml:space="preserve">파리 시의회</t>
  </si>
  <si>
    <r>
      <rPr>
        <sz val="10"/>
        <rFont val="Arial"/>
        <family val="0"/>
        <charset val="1"/>
      </rPr>
      <t xml:space="preserve">Hôtel de Ville(</t>
    </r>
    <r>
      <rPr>
        <sz val="10"/>
        <rFont val="WenQuanYi Zen Hei"/>
        <family val="2"/>
      </rPr>
      <t xml:space="preserve">파리 시청</t>
    </r>
    <r>
      <rPr>
        <sz val="10"/>
        <rFont val="Arial"/>
        <family val="0"/>
        <charset val="1"/>
      </rPr>
      <t xml:space="preserve">), Conseil de Paris, AP-HP </t>
    </r>
    <r>
      <rPr>
        <sz val="10"/>
        <rFont val="WenQuanYi Zen Hei"/>
        <family val="2"/>
      </rPr>
      <t xml:space="preserve">감독위원회</t>
    </r>
  </si>
  <si>
    <r>
      <rPr>
        <sz val="10"/>
        <rFont val="Arial"/>
        <family val="0"/>
        <charset val="1"/>
      </rPr>
      <t xml:space="preserve">Julien</t>
    </r>
    <r>
      <rPr>
        <sz val="10"/>
        <rFont val="WenQuanYi Zen Hei"/>
        <family val="2"/>
      </rPr>
      <t xml:space="preserve">은 예산을</t>
    </r>
    <r>
      <rPr>
        <sz val="10"/>
        <rFont val="Arial"/>
        <family val="0"/>
        <charset val="1"/>
      </rPr>
      <t xml:space="preserve">, Camille</t>
    </r>
    <r>
      <rPr>
        <sz val="10"/>
        <rFont val="WenQuanYi Zen Hei"/>
        <family val="2"/>
      </rPr>
      <t xml:space="preserve">는 보건</t>
    </r>
    <r>
      <rPr>
        <sz val="10"/>
        <rFont val="Arial"/>
        <family val="0"/>
        <charset val="1"/>
      </rPr>
      <t xml:space="preserve">(</t>
    </r>
    <r>
      <rPr>
        <sz val="10"/>
        <rFont val="WenQuanYi Zen Hei"/>
        <family val="2"/>
      </rPr>
      <t xml:space="preserve">시립 보건센터</t>
    </r>
    <r>
      <rPr>
        <sz val="10"/>
        <rFont val="Arial"/>
        <family val="0"/>
        <charset val="1"/>
      </rPr>
      <t xml:space="preserve">·AP-HP)</t>
    </r>
    <r>
      <rPr>
        <sz val="10"/>
        <rFont val="WenQuanYi Zen Hei"/>
        <family val="2"/>
      </rPr>
      <t xml:space="preserve">을 파고든다</t>
    </r>
    <r>
      <rPr>
        <sz val="10"/>
        <rFont val="Arial"/>
        <family val="0"/>
        <charset val="1"/>
      </rPr>
      <t xml:space="preserve">. </t>
    </r>
    <r>
      <rPr>
        <sz val="10"/>
        <rFont val="WenQuanYi Zen Hei"/>
        <family val="2"/>
      </rPr>
      <t xml:space="preserve">스캔들 폭로와 </t>
    </r>
    <r>
      <rPr>
        <sz val="10"/>
        <rFont val="Arial"/>
        <family val="0"/>
        <charset val="1"/>
      </rPr>
      <t xml:space="preserve">Manon</t>
    </r>
    <r>
      <rPr>
        <sz val="10"/>
        <rFont val="WenQuanYi Zen Hei"/>
        <family val="2"/>
      </rPr>
      <t xml:space="preserve">의 </t>
    </r>
    <r>
      <rPr>
        <sz val="10"/>
        <rFont val="Arial"/>
        <family val="0"/>
        <charset val="1"/>
      </rPr>
      <t xml:space="preserve">2</t>
    </r>
    <r>
      <rPr>
        <sz val="10"/>
        <rFont val="WenQuanYi Zen Hei"/>
        <family val="2"/>
      </rPr>
      <t xml:space="preserve">차 폭발</t>
    </r>
    <r>
      <rPr>
        <sz val="10"/>
        <rFont val="Arial"/>
        <family val="0"/>
        <charset val="1"/>
      </rPr>
      <t xml:space="preserve">. </t>
    </r>
    <r>
      <rPr>
        <sz val="10"/>
        <rFont val="WenQuanYi Zen Hei"/>
        <family val="2"/>
      </rPr>
      <t xml:space="preserve">마지막 화에서 </t>
    </r>
    <r>
      <rPr>
        <sz val="10"/>
        <rFont val="Arial"/>
        <family val="0"/>
        <charset val="1"/>
      </rPr>
      <t xml:space="preserve">Nicolas</t>
    </r>
    <r>
      <rPr>
        <sz val="10"/>
        <rFont val="WenQuanYi Zen Hei"/>
        <family val="2"/>
      </rPr>
      <t xml:space="preserve">가 대선 출마를 선언한다</t>
    </r>
    <r>
      <rPr>
        <sz val="10"/>
        <rFont val="Arial"/>
        <family val="0"/>
        <charset val="1"/>
      </rPr>
      <t xml:space="preserve">.</t>
    </r>
  </si>
  <si>
    <t xml:space="preserve">C1</t>
  </si>
  <si>
    <r>
      <rPr>
        <sz val="10"/>
        <rFont val="Arial"/>
        <family val="0"/>
        <charset val="1"/>
      </rPr>
      <t xml:space="preserve">Conseil de Paris, </t>
    </r>
    <r>
      <rPr>
        <sz val="10"/>
        <rFont val="WenQuanYi Zen Hei"/>
        <family val="2"/>
      </rPr>
      <t xml:space="preserve">예산</t>
    </r>
    <r>
      <rPr>
        <sz val="10"/>
        <rFont val="Arial"/>
        <family val="0"/>
        <charset val="1"/>
      </rPr>
      <t xml:space="preserve">·</t>
    </r>
    <r>
      <rPr>
        <sz val="10"/>
        <rFont val="WenQuanYi Zen Hei"/>
        <family val="2"/>
      </rPr>
      <t xml:space="preserve">결산</t>
    </r>
    <r>
      <rPr>
        <sz val="10"/>
        <rFont val="Arial"/>
        <family val="0"/>
        <charset val="1"/>
      </rPr>
      <t xml:space="preserve">(CFU), </t>
    </r>
    <r>
      <rPr>
        <sz val="10"/>
        <rFont val="WenQuanYi Zen Hei"/>
        <family val="2"/>
      </rPr>
      <t xml:space="preserve">공공조달</t>
    </r>
    <r>
      <rPr>
        <sz val="10"/>
        <rFont val="Arial"/>
        <family val="0"/>
        <charset val="1"/>
      </rPr>
      <t xml:space="preserve">(Code de la commande publique), </t>
    </r>
    <r>
      <rPr>
        <sz val="10"/>
        <rFont val="WenQuanYi Zen Hei"/>
        <family val="2"/>
      </rPr>
      <t xml:space="preserve">지방재정감사원</t>
    </r>
    <r>
      <rPr>
        <sz val="10"/>
        <rFont val="Arial"/>
        <family val="0"/>
        <charset val="1"/>
      </rPr>
      <t xml:space="preserve">(CRC)</t>
    </r>
  </si>
  <si>
    <t xml:space="preserve">Vers l'Élysée</t>
  </si>
  <si>
    <t xml:space="preserve">대선에서 대통령 취임까지</t>
  </si>
  <si>
    <r>
      <rPr>
        <sz val="10"/>
        <rFont val="Arial"/>
        <family val="0"/>
        <charset val="1"/>
      </rPr>
      <t xml:space="preserve">Conseil constitutionnel, TV </t>
    </r>
    <r>
      <rPr>
        <sz val="10"/>
        <rFont val="WenQuanYi Zen Hei"/>
        <family val="2"/>
      </rPr>
      <t xml:space="preserve">토론 스튜디오</t>
    </r>
    <r>
      <rPr>
        <sz val="10"/>
        <rFont val="Arial"/>
        <family val="0"/>
        <charset val="1"/>
      </rPr>
      <t xml:space="preserve">, Élysée, Assemblée nationale</t>
    </r>
  </si>
  <si>
    <t xml:space="preserve">추천서 500장 → 1차 투표 2위 → 결선 승리 → 취임 → 국회 해산·총선(상대다수) → 총리 Olympe 임명 → 불신임안 1표 차 부결.</t>
  </si>
  <si>
    <t xml:space="preserve">C1~C2</t>
  </si>
  <si>
    <t xml:space="preserve">대선 2회 투표제(헌법 제6·7조), 추천서(parrainages), 해산(제12조), 총리 임명(제8조), 불신임안(제49조)</t>
  </si>
  <si>
    <t xml:space="preserve">La Grande Bataille sociale I</t>
  </si>
  <si>
    <t xml:space="preserve">사회 현안 전투 I</t>
  </si>
  <si>
    <r>
      <rPr>
        <sz val="10"/>
        <rFont val="Arial"/>
        <family val="0"/>
        <charset val="1"/>
      </rPr>
      <t xml:space="preserve">Élysée, Matignon, </t>
    </r>
    <r>
      <rPr>
        <sz val="10"/>
        <rFont val="WenQuanYi Zen Hei"/>
        <family val="2"/>
      </rPr>
      <t xml:space="preserve">국무회의</t>
    </r>
    <r>
      <rPr>
        <sz val="10"/>
        <rFont val="Arial"/>
        <family val="0"/>
        <charset val="1"/>
      </rPr>
      <t xml:space="preserve">(Conseil des ministres), </t>
    </r>
    <r>
      <rPr>
        <sz val="10"/>
        <rFont val="WenQuanYi Zen Hei"/>
        <family val="2"/>
      </rPr>
      <t xml:space="preserve">브뤼셀</t>
    </r>
  </si>
  <si>
    <t xml:space="preserve">상대다수 정부로 주거·보건·이민·청년·물가 국내 현안을 돌파한 뒤, Napoléon이 대통령 특사로 브뤼셀 협상(NATO 방위비·EU 재정규칙)에 나서 승리하고 귀국 직후 사망한다.</t>
  </si>
  <si>
    <t xml:space="preserve">국무회의(수요일), 대통령–총리 권한 분담, NATO 방위비 목표(2025 헤이그 합의), EU 과도한 적자 절차</t>
  </si>
  <si>
    <t xml:space="preserve">La Grande Bataille sociale II</t>
  </si>
  <si>
    <t xml:space="preserve">사회 현안 전투 II</t>
  </si>
  <si>
    <r>
      <rPr>
        <sz val="10"/>
        <rFont val="Arial"/>
        <family val="0"/>
        <charset val="1"/>
      </rPr>
      <t xml:space="preserve">Élysée, Matignon, </t>
    </r>
    <r>
      <rPr>
        <sz val="10"/>
        <rFont val="WenQuanYi Zen Hei"/>
        <family val="2"/>
      </rPr>
      <t xml:space="preserve">브뤼셀</t>
    </r>
    <r>
      <rPr>
        <sz val="10"/>
        <rFont val="Arial"/>
        <family val="0"/>
        <charset val="1"/>
      </rPr>
      <t xml:space="preserve">, </t>
    </r>
    <r>
      <rPr>
        <sz val="10"/>
        <rFont val="WenQuanYi Zen Hei"/>
        <family val="2"/>
      </rPr>
      <t xml:space="preserve">재난 현장</t>
    </r>
  </si>
  <si>
    <t xml:space="preserve">장례식으로 열고 Napoléon의 유작 메모로 브뤼셀 후속 협상을 마무리한다. 플랫폼 노동·정보기관 사찰·청년 정신건강 등 새 현안과 불신임안 방어, 남부 급류 재난, 예산안까지.</t>
  </si>
  <si>
    <t xml:space="preserve">메모 승계, 법률 vs 명령(ordonnance·décret), 헌법재판소(Conseil constitutionnel), 불신임안, ORSEC 재난 체계, 예산(제47조)</t>
  </si>
  <si>
    <t xml:space="preserve">Retour à Belleville</t>
  </si>
  <si>
    <t xml:space="preserve">귀환</t>
  </si>
  <si>
    <t xml:space="preserve">Belleville, Chez Monique</t>
  </si>
  <si>
    <r>
      <rPr>
        <sz val="10"/>
        <rFont val="Arial"/>
        <family val="0"/>
        <charset val="1"/>
      </rPr>
      <t xml:space="preserve">1</t>
    </r>
    <r>
      <rPr>
        <sz val="10"/>
        <rFont val="WenQuanYi Zen Hei"/>
        <family val="2"/>
      </rPr>
      <t xml:space="preserve">부 </t>
    </r>
    <r>
      <rPr>
        <sz val="10"/>
        <rFont val="Arial"/>
        <family val="0"/>
        <charset val="1"/>
      </rPr>
      <t xml:space="preserve">1</t>
    </r>
    <r>
      <rPr>
        <sz val="10"/>
        <rFont val="WenQuanYi Zen Hei"/>
        <family val="2"/>
      </rPr>
      <t xml:space="preserve">화와 같은 대사로 시작해 원을 닫는다</t>
    </r>
    <r>
      <rPr>
        <sz val="10"/>
        <rFont val="Arial"/>
        <family val="0"/>
        <charset val="1"/>
      </rPr>
      <t xml:space="preserve">. Napoléon</t>
    </r>
    <r>
      <rPr>
        <sz val="10"/>
        <rFont val="WenQuanYi Zen Hei"/>
        <family val="2"/>
      </rPr>
      <t xml:space="preserve">의 유언장</t>
    </r>
    <r>
      <rPr>
        <sz val="10"/>
        <rFont val="Arial"/>
        <family val="0"/>
        <charset val="1"/>
      </rPr>
      <t xml:space="preserve">(</t>
    </r>
    <r>
      <rPr>
        <sz val="10"/>
        <rFont val="WenQuanYi Zen Hei"/>
        <family val="2"/>
      </rPr>
      <t xml:space="preserve">이각모</t>
    </r>
    <r>
      <rPr>
        <sz val="10"/>
        <rFont val="Arial"/>
        <family val="0"/>
        <charset val="1"/>
      </rPr>
      <t xml:space="preserve">), </t>
    </r>
    <r>
      <rPr>
        <sz val="10"/>
        <rFont val="WenQuanYi Zen Hei"/>
        <family val="2"/>
      </rPr>
      <t xml:space="preserve">새 인턴</t>
    </r>
    <r>
      <rPr>
        <sz val="10"/>
        <rFont val="Arial"/>
        <family val="0"/>
        <charset val="1"/>
      </rPr>
      <t xml:space="preserve">, </t>
    </r>
    <r>
      <rPr>
        <sz val="10"/>
        <rFont val="WenQuanYi Zen Hei"/>
        <family val="2"/>
      </rPr>
      <t xml:space="preserve">이제 설명하는 쪽이 된 </t>
    </r>
    <r>
      <rPr>
        <sz val="10"/>
        <rFont val="Arial"/>
        <family val="0"/>
        <charset val="1"/>
      </rPr>
      <t xml:space="preserve">Manon.</t>
    </r>
  </si>
  <si>
    <t xml:space="preserve">B1~B2</t>
  </si>
  <si>
    <t xml:space="preserve">유언(notaire, exécuteur testamentaire), 고위공직 겸직 제한(HATVP), 재단 전환, 원형 구조</t>
  </si>
  <si>
    <t xml:space="preserve">흐름: 현재(1) → 과거(2~5) → 교차(6) → 전면전(7) → 정치(8 창당·시의회 선거 → 9 파리 시의회 → 10 대선·대통령·총선) → 정부(11~12) → 귀환(13, 원형 구조). 난이도는 B1 → C1/C2 → B1~B2로 올라갔다 내려와 마무리가 부드럽고, 13부에서 1부 장면을 다시 읽으면 낭독 실력의 성장을 스스로 확인할 수 있다.</t>
  </si>
  <si>
    <t xml:space="preserve">아크별 구성 계획 (1~13부)</t>
  </si>
  <si>
    <t xml:space="preserve">각 부(아크)의 서사 기능, 변화, 비트(발단→결말), 인물 아크, 복선, 현안·제도, 언어 설계를 한 블록으로 정리. 화별 세부는 '화별목차_전체', 복선 추적은 '복선_회수'.</t>
  </si>
  <si>
    <r>
      <rPr>
        <b val="true"/>
        <sz val="10"/>
        <color rgb="FFFFFFFF"/>
        <rFont val="Arial"/>
        <family val="0"/>
        <charset val="1"/>
      </rPr>
      <t xml:space="preserve">Le Cabinet de Belleville — </t>
    </r>
    <r>
      <rPr>
        <b val="true"/>
        <sz val="10"/>
        <color rgb="FFFFFFFF"/>
        <rFont val="WenQuanYi Zen Hei"/>
        <family val="2"/>
      </rPr>
      <t xml:space="preserve">벨빌 사무소   </t>
    </r>
    <r>
      <rPr>
        <b val="true"/>
        <sz val="10"/>
        <color rgb="FFFFFFFF"/>
        <rFont val="Arial"/>
        <family val="0"/>
        <charset val="1"/>
      </rPr>
      <t xml:space="preserve">|   </t>
    </r>
    <r>
      <rPr>
        <b val="true"/>
        <sz val="10"/>
        <color rgb="FFFFFFFF"/>
        <rFont val="WenQuanYi Zen Hei"/>
        <family val="2"/>
      </rPr>
      <t xml:space="preserve">난이도 </t>
    </r>
    <r>
      <rPr>
        <b val="true"/>
        <sz val="10"/>
        <color rgb="FFFFFFFF"/>
        <rFont val="Arial"/>
        <family val="0"/>
        <charset val="1"/>
      </rPr>
      <t xml:space="preserve">B1   |   </t>
    </r>
    <r>
      <rPr>
        <b val="true"/>
        <sz val="10"/>
        <color rgb="FFFFFFFF"/>
        <rFont val="WenQuanYi Zen Hei"/>
        <family val="2"/>
      </rPr>
      <t xml:space="preserve">사무소 개소 </t>
    </r>
    <r>
      <rPr>
        <b val="true"/>
        <sz val="10"/>
        <color rgb="FFFFFFFF"/>
        <rFont val="Arial"/>
        <family val="0"/>
        <charset val="1"/>
      </rPr>
      <t xml:space="preserve">1</t>
    </r>
    <r>
      <rPr>
        <b val="true"/>
        <sz val="10"/>
        <color rgb="FFFFFFFF"/>
        <rFont val="WenQuanYi Zen Hei"/>
        <family val="2"/>
      </rPr>
      <t xml:space="preserve">개월 후</t>
    </r>
    <r>
      <rPr>
        <b val="true"/>
        <sz val="10"/>
        <color rgb="FFFFFFFF"/>
        <rFont val="Arial"/>
        <family val="0"/>
        <charset val="1"/>
      </rPr>
      <t xml:space="preserve">(6</t>
    </r>
    <r>
      <rPr>
        <b val="true"/>
        <sz val="10"/>
        <color rgb="FFFFFFFF"/>
        <rFont val="WenQuanYi Zen Hei"/>
        <family val="2"/>
      </rPr>
      <t xml:space="preserve">부 </t>
    </r>
    <r>
      <rPr>
        <b val="true"/>
        <sz val="10"/>
        <color rgb="FFFFFFFF"/>
        <rFont val="Arial"/>
        <family val="0"/>
        <charset val="1"/>
      </rPr>
      <t xml:space="preserve">12</t>
    </r>
    <r>
      <rPr>
        <b val="true"/>
        <sz val="10"/>
        <color rgb="FFFFFFFF"/>
        <rFont val="WenQuanYi Zen Hei"/>
        <family val="2"/>
      </rPr>
      <t xml:space="preserve">화로부터 약 </t>
    </r>
    <r>
      <rPr>
        <b val="true"/>
        <sz val="10"/>
        <color rgb="FFFFFFFF"/>
        <rFont val="Arial"/>
        <family val="0"/>
        <charset val="1"/>
      </rPr>
      <t xml:space="preserve">4</t>
    </r>
    <r>
      <rPr>
        <b val="true"/>
        <sz val="10"/>
        <color rgb="FFFFFFFF"/>
        <rFont val="WenQuanYi Zen Hei"/>
        <family val="2"/>
      </rPr>
      <t xml:space="preserve">주</t>
    </r>
    <r>
      <rPr>
        <b val="true"/>
        <sz val="10"/>
        <color rgb="FFFFFFFF"/>
        <rFont val="Arial"/>
        <family val="0"/>
        <charset val="1"/>
      </rPr>
      <t xml:space="preserve">). Belleville </t>
    </r>
    <r>
      <rPr>
        <b val="true"/>
        <sz val="10"/>
        <color rgb="FFFFFFFF"/>
        <rFont val="WenQuanYi Zen Hei"/>
        <family val="2"/>
      </rPr>
      <t xml:space="preserve">사무소와 </t>
    </r>
    <r>
      <rPr>
        <b val="true"/>
        <sz val="10"/>
        <color rgb="FFFFFFFF"/>
        <rFont val="Arial"/>
        <family val="0"/>
        <charset val="1"/>
      </rPr>
      <t xml:space="preserve">1</t>
    </r>
    <r>
      <rPr>
        <b val="true"/>
        <sz val="10"/>
        <color rgb="FFFFFFFF"/>
        <rFont val="WenQuanYi Zen Hei"/>
        <family val="2"/>
      </rPr>
      <t xml:space="preserve">층 </t>
    </r>
    <r>
      <rPr>
        <b val="true"/>
        <sz val="10"/>
        <color rgb="FFFFFFFF"/>
        <rFont val="Arial"/>
        <family val="0"/>
        <charset val="1"/>
      </rPr>
      <t xml:space="preserve">Monique</t>
    </r>
    <r>
      <rPr>
        <b val="true"/>
        <sz val="10"/>
        <color rgb="FFFFFFFF"/>
        <rFont val="WenQuanYi Zen Hei"/>
        <family val="2"/>
      </rPr>
      <t xml:space="preserve">의 비스트로</t>
    </r>
    <r>
      <rPr>
        <b val="true"/>
        <sz val="10"/>
        <color rgb="FFFFFFFF"/>
        <rFont val="Arial"/>
        <family val="0"/>
        <charset val="1"/>
      </rPr>
      <t xml:space="preserve">.</t>
    </r>
  </si>
  <si>
    <t xml:space="preserve">서사 기능</t>
  </si>
  <si>
    <t xml:space="preserve">독자 진입 장치. 이미 굴러가는(그러나 여전히 좌충우돌하는) 사무소를 보여 주어 '이 사람들이 어쩌다 이렇게 됐지?' 하는 궁금증을 만든다. 자기소개 대신 여섯 사건을 통해 인물의 습관과 리듬을 익히게 한다.</t>
  </si>
  <si>
    <t xml:space="preserve">로그라인</t>
  </si>
  <si>
    <t xml:space="preserve">개소 한 달째, 여전히 순서 하나 못 정하고 매번 다투는 네 전문가와 팀이 그래도 이웃들의 사건 여섯 개를 하나씩 해결해 나가지만, 마지막 사건의 서류에서 Nicolas의 옛 로펌 이름이 튀어나온다.</t>
  </si>
  <si>
    <t xml:space="preserve">변화 (시작 → 끝)</t>
  </si>
  <si>
    <r>
      <rPr>
        <sz val="10"/>
        <rFont val="Arial"/>
        <family val="0"/>
        <charset val="1"/>
      </rPr>
      <t xml:space="preserve">'</t>
    </r>
    <r>
      <rPr>
        <sz val="10"/>
        <rFont val="WenQuanYi Zen Hei"/>
        <family val="2"/>
      </rPr>
      <t xml:space="preserve">한 달이나 됐는데 아직도 이 모양</t>
    </r>
    <r>
      <rPr>
        <sz val="10"/>
        <rFont val="Arial"/>
        <family val="0"/>
        <charset val="1"/>
      </rPr>
      <t xml:space="preserve">' → </t>
    </r>
    <r>
      <rPr>
        <sz val="10"/>
        <rFont val="WenQuanYi Zen Hei"/>
        <family val="2"/>
      </rPr>
      <t xml:space="preserve">그래도 매번 어떻게든 해결하는 팀이라는 신뢰</t>
    </r>
    <r>
      <rPr>
        <sz val="10"/>
        <rFont val="Arial"/>
        <family val="0"/>
        <charset val="1"/>
      </rPr>
      <t xml:space="preserve">. </t>
    </r>
    <r>
      <rPr>
        <sz val="10"/>
        <rFont val="WenQuanYi Zen Hei"/>
        <family val="2"/>
      </rPr>
      <t xml:space="preserve">그러나 각자의 과거는 여전히 미해결이고</t>
    </r>
    <r>
      <rPr>
        <sz val="10"/>
        <rFont val="Arial"/>
        <family val="0"/>
        <charset val="1"/>
      </rPr>
      <t xml:space="preserve">, </t>
    </r>
    <r>
      <rPr>
        <sz val="10"/>
        <rFont val="WenQuanYi Zen Hei"/>
        <family val="2"/>
      </rPr>
      <t xml:space="preserve">옛 로펌 이름이 도착한다</t>
    </r>
    <r>
      <rPr>
        <sz val="10"/>
        <rFont val="Arial"/>
        <family val="0"/>
        <charset val="1"/>
      </rPr>
      <t xml:space="preserve">.</t>
    </r>
  </si>
  <si>
    <t xml:space="preserve">핵심 갈등</t>
  </si>
  <si>
    <t xml:space="preserve">전문가의 말투 vs 이웃의 삶 / 여전히 못 정한 방법 / 각자 숨기는 과거</t>
  </si>
  <si>
    <t xml:space="preserve">비트 1</t>
  </si>
  <si>
    <t xml:space="preserve">사건1 임대료 인상, 1~2화(Fatima): 도입에서 여전히 자리 못 잡은 한 달 차 팀의 말다툼을 보여 주고, 해결에서 Curie의 카드 #1(1989년 임대차법·IRL)로 부당 인상을 막는다.</t>
  </si>
  <si>
    <t xml:space="preserve">비트 2</t>
  </si>
  <si>
    <t xml:space="preserve">사건2 퇴거 집행, 3~4화: 겨울 퇴거 유예가 끝나는 밤의 급보 → 아침 집행 저지. Jeanne·Karim 첫 카메오, 넷의 역할 분담(서류·건강·숫자·동선)이 처음으로 손발이 맞는다.</t>
  </si>
  <si>
    <t xml:space="preserve">비트 3</t>
  </si>
  <si>
    <t xml:space="preserve">사건3 임금 체불, 5~6화: Léa의 컨설팅 용어가 청년 노동자를 지치게 하고, 협상 중 Manon이 1차 폭발한다. 폭발 후 쉬운 말로 다시 협상해 해결.</t>
  </si>
  <si>
    <t xml:space="preserve">비트 4</t>
  </si>
  <si>
    <t xml:space="preserve">사건4 의료 접근, 7~8화: 서류 없는 가족의 아이가 진료를 못 받는다. Sartre·Hugo 카메오, Napoléon의 가짜 무릎 통증이 진짜 아픈 아이 앞에서 조용해지는 대비.</t>
  </si>
  <si>
    <t xml:space="preserve">비트 5</t>
  </si>
  <si>
    <t xml:space="preserve">사건5 금융 사기, 9~10화: 저축을 잃은 이웃을 두고 Julien이 장부를, 낯선 Philippe가 계좌 흐름을 추적한다. Voltaire 카메오. Philippe는 설명 없이 사라지고 Julien은 은행 이름에 말없이 굳는다.</t>
  </si>
  <si>
    <t xml:space="preserve">비트 6</t>
  </si>
  <si>
    <t xml:space="preserve">사건6 오래된 서류·훅, 11~12화: 수십 년 전 퇴거 서류의 절차 하자를 바로잡다가 서명란에서 Nicolas의 옛 로펌 이름을 발견한다. Nicolas가 얼어붙고 금요일 이야기(2부)가 예고된다.</t>
  </si>
  <si>
    <t xml:space="preserve">인물 아크</t>
  </si>
  <si>
    <r>
      <rPr>
        <sz val="10"/>
        <rFont val="Arial"/>
        <family val="0"/>
        <charset val="1"/>
      </rPr>
      <t xml:space="preserve">Manon=</t>
    </r>
    <r>
      <rPr>
        <sz val="10"/>
        <rFont val="WenQuanYi Zen Hei"/>
        <family val="2"/>
      </rPr>
      <t xml:space="preserve">독자의 대리인</t>
    </r>
    <r>
      <rPr>
        <sz val="10"/>
        <rFont val="Arial"/>
        <family val="0"/>
        <charset val="1"/>
      </rPr>
      <t xml:space="preserve">(</t>
    </r>
    <r>
      <rPr>
        <sz val="10"/>
        <rFont val="WenQuanYi Zen Hei"/>
        <family val="2"/>
      </rPr>
      <t xml:space="preserve">질문</t>
    </r>
    <r>
      <rPr>
        <sz val="10"/>
        <rFont val="Arial"/>
        <family val="0"/>
        <charset val="1"/>
      </rPr>
      <t xml:space="preserve">), </t>
    </r>
    <r>
      <rPr>
        <sz val="10"/>
        <rFont val="WenQuanYi Zen Hei"/>
        <family val="2"/>
      </rPr>
      <t xml:space="preserve">한 달이 지나도 </t>
    </r>
    <r>
      <rPr>
        <sz val="10"/>
        <rFont val="Arial"/>
        <family val="0"/>
        <charset val="1"/>
      </rPr>
      <t xml:space="preserve">Nicolas</t>
    </r>
    <r>
      <rPr>
        <sz val="10"/>
        <rFont val="WenQuanYi Zen Hei"/>
        <family val="2"/>
      </rPr>
      <t xml:space="preserve">에게 </t>
    </r>
    <r>
      <rPr>
        <sz val="10"/>
        <rFont val="Arial"/>
        <family val="0"/>
        <charset val="1"/>
      </rPr>
      <t xml:space="preserve">vous </t>
    </r>
    <r>
      <rPr>
        <sz val="10"/>
        <rFont val="WenQuanYi Zen Hei"/>
        <family val="2"/>
      </rPr>
      <t xml:space="preserve">유지</t>
    </r>
    <r>
      <rPr>
        <sz val="10"/>
        <rFont val="Arial"/>
        <family val="0"/>
        <charset val="1"/>
      </rPr>
      <t xml:space="preserve">. Napoléon=</t>
    </r>
    <r>
      <rPr>
        <sz val="10"/>
        <rFont val="WenQuanYi Zen Hei"/>
        <family val="2"/>
      </rPr>
      <t xml:space="preserve">심술과 복선</t>
    </r>
    <r>
      <rPr>
        <sz val="10"/>
        <rFont val="Arial"/>
        <family val="0"/>
        <charset val="1"/>
      </rPr>
      <t xml:space="preserve">(</t>
    </r>
    <r>
      <rPr>
        <sz val="10"/>
        <rFont val="WenQuanYi Zen Hei"/>
        <family val="2"/>
      </rPr>
      <t xml:space="preserve">매년 하는 소리라는 게 드러남</t>
    </r>
    <r>
      <rPr>
        <sz val="10"/>
        <rFont val="Arial"/>
        <family val="0"/>
        <charset val="1"/>
      </rPr>
      <t xml:space="preserve">). Monique=</t>
    </r>
    <r>
      <rPr>
        <sz val="10"/>
        <rFont val="WenQuanYi Zen Hei"/>
        <family val="2"/>
      </rPr>
      <t xml:space="preserve">정서적 중심</t>
    </r>
    <r>
      <rPr>
        <sz val="10"/>
        <rFont val="Arial"/>
        <family val="0"/>
        <charset val="1"/>
      </rPr>
      <t xml:space="preserve">. </t>
    </r>
    <r>
      <rPr>
        <sz val="10"/>
        <rFont val="WenQuanYi Zen Hei"/>
        <family val="2"/>
      </rPr>
      <t xml:space="preserve">카메오는 사건별로 분산</t>
    </r>
    <r>
      <rPr>
        <sz val="10"/>
        <rFont val="Arial"/>
        <family val="0"/>
        <charset val="1"/>
      </rPr>
      <t xml:space="preserve">: Curie(1·2·6</t>
    </r>
    <r>
      <rPr>
        <sz val="10"/>
        <rFont val="WenQuanYi Zen Hei"/>
        <family val="2"/>
      </rPr>
      <t xml:space="preserve">화</t>
    </r>
    <r>
      <rPr>
        <sz val="10"/>
        <rFont val="Arial"/>
        <family val="0"/>
        <charset val="1"/>
      </rPr>
      <t xml:space="preserve">), Jeanne·Karim(3·4</t>
    </r>
    <r>
      <rPr>
        <sz val="10"/>
        <rFont val="WenQuanYi Zen Hei"/>
        <family val="2"/>
      </rPr>
      <t xml:space="preserve">화</t>
    </r>
    <r>
      <rPr>
        <sz val="10"/>
        <rFont val="Arial"/>
        <family val="0"/>
        <charset val="1"/>
      </rPr>
      <t xml:space="preserve">), Sartre·Hugo(7</t>
    </r>
    <r>
      <rPr>
        <sz val="10"/>
        <rFont val="WenQuanYi Zen Hei"/>
        <family val="2"/>
      </rPr>
      <t xml:space="preserve">화</t>
    </r>
    <r>
      <rPr>
        <sz val="10"/>
        <rFont val="Arial"/>
        <family val="0"/>
        <charset val="1"/>
      </rPr>
      <t xml:space="preserve">), Philippe·Voltaire(9·10·11</t>
    </r>
    <r>
      <rPr>
        <sz val="10"/>
        <rFont val="WenQuanYi Zen Hei"/>
        <family val="2"/>
      </rPr>
      <t xml:space="preserve">화</t>
    </r>
    <r>
      <rPr>
        <sz val="10"/>
        <rFont val="Arial"/>
        <family val="0"/>
        <charset val="1"/>
      </rPr>
      <t xml:space="preserve">). </t>
    </r>
    <r>
      <rPr>
        <sz val="10"/>
        <rFont val="WenQuanYi Zen Hei"/>
        <family val="2"/>
      </rPr>
      <t xml:space="preserve">폭발 화</t>
    </r>
    <r>
      <rPr>
        <sz val="10"/>
        <rFont val="Arial"/>
        <family val="0"/>
        <charset val="1"/>
      </rPr>
      <t xml:space="preserve">(6</t>
    </r>
    <r>
      <rPr>
        <sz val="10"/>
        <rFont val="WenQuanYi Zen Hei"/>
        <family val="2"/>
      </rPr>
      <t xml:space="preserve">화</t>
    </r>
    <r>
      <rPr>
        <sz val="10"/>
        <rFont val="Arial"/>
        <family val="0"/>
        <charset val="1"/>
      </rPr>
      <t xml:space="preserve">)</t>
    </r>
    <r>
      <rPr>
        <sz val="10"/>
        <rFont val="WenQuanYi Zen Hei"/>
        <family val="2"/>
      </rPr>
      <t xml:space="preserve">에는 </t>
    </r>
    <r>
      <rPr>
        <sz val="10"/>
        <rFont val="Arial"/>
        <family val="0"/>
        <charset val="1"/>
      </rPr>
      <t xml:space="preserve">Jeanne·Monique·Curie</t>
    </r>
    <r>
      <rPr>
        <sz val="10"/>
        <rFont val="WenQuanYi Zen Hei"/>
        <family val="2"/>
      </rPr>
      <t xml:space="preserve">의 고정 반응만 남기고 </t>
    </r>
    <r>
      <rPr>
        <sz val="10"/>
        <rFont val="Arial"/>
        <family val="0"/>
        <charset val="1"/>
      </rPr>
      <t xml:space="preserve">Karim</t>
    </r>
    <r>
      <rPr>
        <sz val="10"/>
        <rFont val="WenQuanYi Zen Hei"/>
        <family val="2"/>
      </rPr>
      <t xml:space="preserve">의 욕은 </t>
    </r>
    <r>
      <rPr>
        <sz val="10"/>
        <rFont val="Arial"/>
        <family val="0"/>
        <charset val="1"/>
      </rPr>
      <t xml:space="preserve">9</t>
    </r>
    <r>
      <rPr>
        <sz val="10"/>
        <rFont val="WenQuanYi Zen Hei"/>
        <family val="2"/>
      </rPr>
      <t xml:space="preserve">부 </t>
    </r>
    <r>
      <rPr>
        <sz val="10"/>
        <rFont val="Arial"/>
        <family val="0"/>
        <charset val="1"/>
      </rPr>
      <t xml:space="preserve">2</t>
    </r>
    <r>
      <rPr>
        <sz val="10"/>
        <rFont val="WenQuanYi Zen Hei"/>
        <family val="2"/>
      </rPr>
      <t xml:space="preserve">차 폭발로 이관해 과밀을 해소</t>
    </r>
    <r>
      <rPr>
        <sz val="10"/>
        <rFont val="Arial"/>
        <family val="0"/>
        <charset val="1"/>
      </rPr>
      <t xml:space="preserve">.</t>
    </r>
  </si>
  <si>
    <t xml:space="preserve">복선·회수</t>
  </si>
  <si>
    <r>
      <rPr>
        <sz val="10"/>
        <rFont val="Arial"/>
        <family val="0"/>
        <charset val="1"/>
      </rPr>
      <t xml:space="preserve">Napoléon</t>
    </r>
    <r>
      <rPr>
        <sz val="10"/>
        <rFont val="WenQuanYi Zen Hei"/>
        <family val="2"/>
      </rPr>
      <t xml:space="preserve">의 마지막 겨울</t>
    </r>
    <r>
      <rPr>
        <sz val="10"/>
        <rFont val="Arial"/>
        <family val="0"/>
        <charset val="1"/>
      </rPr>
      <t xml:space="preserve">·</t>
    </r>
    <r>
      <rPr>
        <sz val="10"/>
        <rFont val="WenQuanYi Zen Hei"/>
        <family val="2"/>
      </rPr>
      <t xml:space="preserve">이각모</t>
    </r>
    <r>
      <rPr>
        <sz val="10"/>
        <rFont val="Arial"/>
        <family val="0"/>
        <charset val="1"/>
      </rPr>
      <t xml:space="preserve">(1</t>
    </r>
    <r>
      <rPr>
        <sz val="10"/>
        <rFont val="WenQuanYi Zen Hei"/>
        <family val="2"/>
      </rPr>
      <t xml:space="preserve">화 → </t>
    </r>
    <r>
      <rPr>
        <sz val="10"/>
        <rFont val="Arial"/>
        <family val="0"/>
        <charset val="1"/>
      </rPr>
      <t xml:space="preserve">11</t>
    </r>
    <r>
      <rPr>
        <sz val="10"/>
        <rFont val="WenQuanYi Zen Hei"/>
        <family val="2"/>
      </rPr>
      <t xml:space="preserve">부 </t>
    </r>
    <r>
      <rPr>
        <sz val="10"/>
        <rFont val="Arial"/>
        <family val="0"/>
        <charset val="1"/>
      </rPr>
      <t xml:space="preserve">12</t>
    </r>
    <r>
      <rPr>
        <sz val="10"/>
        <rFont val="WenQuanYi Zen Hei"/>
        <family val="2"/>
      </rPr>
      <t xml:space="preserve">화</t>
    </r>
    <r>
      <rPr>
        <sz val="10"/>
        <rFont val="Arial"/>
        <family val="0"/>
        <charset val="1"/>
      </rPr>
      <t xml:space="preserve">, 13</t>
    </r>
    <r>
      <rPr>
        <sz val="10"/>
        <rFont val="WenQuanYi Zen Hei"/>
        <family val="2"/>
      </rPr>
      <t xml:space="preserve">부 </t>
    </r>
    <r>
      <rPr>
        <sz val="10"/>
        <rFont val="Arial"/>
        <family val="0"/>
        <charset val="1"/>
      </rPr>
      <t xml:space="preserve">2</t>
    </r>
    <r>
      <rPr>
        <sz val="10"/>
        <rFont val="WenQuanYi Zen Hei"/>
        <family val="2"/>
      </rPr>
      <t xml:space="preserve">화</t>
    </r>
    <r>
      <rPr>
        <sz val="10"/>
        <rFont val="Arial"/>
        <family val="0"/>
        <charset val="1"/>
      </rPr>
      <t xml:space="preserve">) / Curie </t>
    </r>
    <r>
      <rPr>
        <sz val="10"/>
        <rFont val="WenQuanYi Zen Hei"/>
        <family val="2"/>
      </rPr>
      <t xml:space="preserve">카드 </t>
    </r>
    <r>
      <rPr>
        <sz val="10"/>
        <rFont val="Arial"/>
        <family val="0"/>
        <charset val="1"/>
      </rPr>
      <t xml:space="preserve">#1(2</t>
    </r>
    <r>
      <rPr>
        <sz val="10"/>
        <rFont val="WenQuanYi Zen Hei"/>
        <family val="2"/>
      </rPr>
      <t xml:space="preserve">화 → </t>
    </r>
    <r>
      <rPr>
        <sz val="10"/>
        <rFont val="Arial"/>
        <family val="0"/>
        <charset val="1"/>
      </rPr>
      <t xml:space="preserve">13</t>
    </r>
    <r>
      <rPr>
        <sz val="10"/>
        <rFont val="WenQuanYi Zen Hei"/>
        <family val="2"/>
      </rPr>
      <t xml:space="preserve">부 </t>
    </r>
    <r>
      <rPr>
        <sz val="10"/>
        <rFont val="Arial"/>
        <family val="0"/>
        <charset val="1"/>
      </rPr>
      <t xml:space="preserve">10</t>
    </r>
    <r>
      <rPr>
        <sz val="10"/>
        <rFont val="WenQuanYi Zen Hei"/>
        <family val="2"/>
      </rPr>
      <t xml:space="preserve">화</t>
    </r>
    <r>
      <rPr>
        <sz val="10"/>
        <rFont val="Arial"/>
        <family val="0"/>
        <charset val="1"/>
      </rPr>
      <t xml:space="preserve">) / Manon 1</t>
    </r>
    <r>
      <rPr>
        <sz val="10"/>
        <rFont val="WenQuanYi Zen Hei"/>
        <family val="2"/>
      </rPr>
      <t xml:space="preserve">차 폭발</t>
    </r>
    <r>
      <rPr>
        <sz val="10"/>
        <rFont val="Arial"/>
        <family val="0"/>
        <charset val="1"/>
      </rPr>
      <t xml:space="preserve">(6</t>
    </r>
    <r>
      <rPr>
        <sz val="10"/>
        <rFont val="WenQuanYi Zen Hei"/>
        <family val="2"/>
      </rPr>
      <t xml:space="preserve">화 → </t>
    </r>
    <r>
      <rPr>
        <sz val="10"/>
        <rFont val="Arial"/>
        <family val="0"/>
        <charset val="1"/>
      </rPr>
      <t xml:space="preserve">9</t>
    </r>
    <r>
      <rPr>
        <sz val="10"/>
        <rFont val="WenQuanYi Zen Hei"/>
        <family val="2"/>
      </rPr>
      <t xml:space="preserve">부 </t>
    </r>
    <r>
      <rPr>
        <sz val="10"/>
        <rFont val="Arial"/>
        <family val="0"/>
        <charset val="1"/>
      </rPr>
      <t xml:space="preserve">6</t>
    </r>
    <r>
      <rPr>
        <sz val="10"/>
        <rFont val="WenQuanYi Zen Hei"/>
        <family val="2"/>
      </rPr>
      <t xml:space="preserve">화</t>
    </r>
    <r>
      <rPr>
        <sz val="10"/>
        <rFont val="Arial"/>
        <family val="0"/>
        <charset val="1"/>
      </rPr>
      <t xml:space="preserve">) / Jeanne «Rien à signaler»(4</t>
    </r>
    <r>
      <rPr>
        <sz val="10"/>
        <rFont val="WenQuanYi Zen Hei"/>
        <family val="2"/>
      </rPr>
      <t xml:space="preserve">화 → </t>
    </r>
    <r>
      <rPr>
        <sz val="10"/>
        <rFont val="Arial"/>
        <family val="0"/>
        <charset val="1"/>
      </rPr>
      <t xml:space="preserve">12</t>
    </r>
    <r>
      <rPr>
        <sz val="10"/>
        <rFont val="WenQuanYi Zen Hei"/>
        <family val="2"/>
      </rPr>
      <t xml:space="preserve">부 </t>
    </r>
    <r>
      <rPr>
        <sz val="10"/>
        <rFont val="Arial"/>
        <family val="0"/>
        <charset val="1"/>
      </rPr>
      <t xml:space="preserve">8</t>
    </r>
    <r>
      <rPr>
        <sz val="10"/>
        <rFont val="WenQuanYi Zen Hei"/>
        <family val="2"/>
      </rPr>
      <t xml:space="preserve">화</t>
    </r>
    <r>
      <rPr>
        <sz val="10"/>
        <rFont val="Arial"/>
        <family val="0"/>
        <charset val="1"/>
      </rPr>
      <t xml:space="preserve">) / Philippe </t>
    </r>
    <r>
      <rPr>
        <sz val="10"/>
        <rFont val="WenQuanYi Zen Hei"/>
        <family val="2"/>
      </rPr>
      <t xml:space="preserve">첫 등장</t>
    </r>
    <r>
      <rPr>
        <sz val="10"/>
        <rFont val="Arial"/>
        <family val="0"/>
        <charset val="1"/>
      </rPr>
      <t xml:space="preserve">(9</t>
    </r>
    <r>
      <rPr>
        <sz val="10"/>
        <rFont val="WenQuanYi Zen Hei"/>
        <family val="2"/>
      </rPr>
      <t xml:space="preserve">화 → </t>
    </r>
    <r>
      <rPr>
        <sz val="10"/>
        <rFont val="Arial"/>
        <family val="0"/>
        <charset val="1"/>
      </rPr>
      <t xml:space="preserve">9</t>
    </r>
    <r>
      <rPr>
        <sz val="10"/>
        <rFont val="WenQuanYi Zen Hei"/>
        <family val="2"/>
      </rPr>
      <t xml:space="preserve">부 </t>
    </r>
    <r>
      <rPr>
        <sz val="10"/>
        <rFont val="Arial"/>
        <family val="0"/>
        <charset val="1"/>
      </rPr>
      <t xml:space="preserve">8</t>
    </r>
    <r>
      <rPr>
        <sz val="10"/>
        <rFont val="WenQuanYi Zen Hei"/>
        <family val="2"/>
      </rPr>
      <t xml:space="preserve">화</t>
    </r>
    <r>
      <rPr>
        <sz val="10"/>
        <rFont val="Arial"/>
        <family val="0"/>
        <charset val="1"/>
      </rPr>
      <t xml:space="preserve">) / Napoléon</t>
    </r>
    <r>
      <rPr>
        <sz val="10"/>
        <rFont val="WenQuanYi Zen Hei"/>
        <family val="2"/>
      </rPr>
      <t xml:space="preserve">의 </t>
    </r>
    <r>
      <rPr>
        <sz val="10"/>
        <rFont val="Arial"/>
        <family val="0"/>
        <charset val="1"/>
      </rPr>
      <t xml:space="preserve">«Pas mal»(7</t>
    </r>
    <r>
      <rPr>
        <sz val="10"/>
        <rFont val="WenQuanYi Zen Hei"/>
        <family val="2"/>
      </rPr>
      <t xml:space="preserve">화</t>
    </r>
    <r>
      <rPr>
        <sz val="10"/>
        <rFont val="Arial"/>
        <family val="0"/>
        <charset val="1"/>
      </rPr>
      <t xml:space="preserve">, Hugo</t>
    </r>
    <r>
      <rPr>
        <sz val="10"/>
        <rFont val="WenQuanYi Zen Hei"/>
        <family val="2"/>
      </rPr>
      <t xml:space="preserve">에게 → </t>
    </r>
    <r>
      <rPr>
        <sz val="10"/>
        <rFont val="Arial"/>
        <family val="0"/>
        <charset val="1"/>
      </rPr>
      <t xml:space="preserve">11</t>
    </r>
    <r>
      <rPr>
        <sz val="10"/>
        <rFont val="WenQuanYi Zen Hei"/>
        <family val="2"/>
      </rPr>
      <t xml:space="preserve">부 </t>
    </r>
    <r>
      <rPr>
        <sz val="10"/>
        <rFont val="Arial"/>
        <family val="0"/>
        <charset val="1"/>
      </rPr>
      <t xml:space="preserve">12</t>
    </r>
    <r>
      <rPr>
        <sz val="10"/>
        <rFont val="WenQuanYi Zen Hei"/>
        <family val="2"/>
      </rPr>
      <t xml:space="preserve">화</t>
    </r>
    <r>
      <rPr>
        <sz val="10"/>
        <rFont val="Arial"/>
        <family val="0"/>
        <charset val="1"/>
      </rPr>
      <t xml:space="preserve">, Manon</t>
    </r>
    <r>
      <rPr>
        <sz val="10"/>
        <rFont val="WenQuanYi Zen Hei"/>
        <family val="2"/>
      </rPr>
      <t xml:space="preserve">에게</t>
    </r>
    <r>
      <rPr>
        <sz val="10"/>
        <rFont val="Arial"/>
        <family val="0"/>
        <charset val="1"/>
      </rPr>
      <t xml:space="preserve">) / </t>
    </r>
    <r>
      <rPr>
        <sz val="10"/>
        <rFont val="WenQuanYi Zen Hei"/>
        <family val="2"/>
      </rPr>
      <t xml:space="preserve">옛 로펌 이름</t>
    </r>
    <r>
      <rPr>
        <sz val="10"/>
        <rFont val="Arial"/>
        <family val="0"/>
        <charset val="1"/>
      </rPr>
      <t xml:space="preserve">(12</t>
    </r>
    <r>
      <rPr>
        <sz val="10"/>
        <rFont val="WenQuanYi Zen Hei"/>
        <family val="2"/>
      </rPr>
      <t xml:space="preserve">화 → </t>
    </r>
    <r>
      <rPr>
        <sz val="10"/>
        <rFont val="Arial"/>
        <family val="0"/>
        <charset val="1"/>
      </rPr>
      <t xml:space="preserve">2</t>
    </r>
    <r>
      <rPr>
        <sz val="10"/>
        <rFont val="WenQuanYi Zen Hei"/>
        <family val="2"/>
      </rPr>
      <t xml:space="preserve">부 전체</t>
    </r>
    <r>
      <rPr>
        <sz val="10"/>
        <rFont val="Arial"/>
        <family val="0"/>
        <charset val="1"/>
      </rPr>
      <t xml:space="preserve">)</t>
    </r>
  </si>
  <si>
    <t xml:space="preserve">현안 (ID)</t>
  </si>
  <si>
    <t xml:space="preserve">E1●● S1●● S2● E3●</t>
  </si>
  <si>
    <t xml:space="preserve">제도·전문 영역</t>
  </si>
  <si>
    <t xml:space="preserve">임대차(1989년 법·IRL), 겨울 퇴거 유예와 경찰 지원 거부, 기간제 노동·임금 체불, 서류 없는 가족의 의료 접근(AME), 금융 사기·계좌 추적, 오래된 절차 정정, 공개 출처 찾기(Légifrance·아카데미 사전)</t>
  </si>
  <si>
    <t xml:space="preserve">언어 설계</t>
  </si>
  <si>
    <r>
      <rPr>
        <sz val="10"/>
        <rFont val="Arial"/>
        <family val="0"/>
        <charset val="1"/>
      </rPr>
      <t xml:space="preserve">B1. </t>
    </r>
    <r>
      <rPr>
        <sz val="10"/>
        <rFont val="WenQuanYi Zen Hei"/>
        <family val="2"/>
      </rPr>
      <t xml:space="preserve">한 줄 </t>
    </r>
    <r>
      <rPr>
        <sz val="10"/>
        <rFont val="Arial"/>
        <family val="0"/>
        <charset val="1"/>
      </rPr>
      <t xml:space="preserve">15</t>
    </r>
    <r>
      <rPr>
        <sz val="10"/>
        <rFont val="WenQuanYi Zen Hei"/>
        <family val="2"/>
      </rPr>
      <t xml:space="preserve">단어 이내</t>
    </r>
    <r>
      <rPr>
        <sz val="10"/>
        <rFont val="Arial"/>
        <family val="0"/>
        <charset val="1"/>
      </rPr>
      <t xml:space="preserve">, </t>
    </r>
    <r>
      <rPr>
        <sz val="10"/>
        <rFont val="WenQuanYi Zen Hei"/>
        <family val="2"/>
      </rPr>
      <t xml:space="preserve">현재</t>
    </r>
    <r>
      <rPr>
        <sz val="10"/>
        <rFont val="Arial"/>
        <family val="0"/>
        <charset val="1"/>
      </rPr>
      <t xml:space="preserve">·</t>
    </r>
    <r>
      <rPr>
        <sz val="10"/>
        <rFont val="WenQuanYi Zen Hei"/>
        <family val="2"/>
      </rPr>
      <t xml:space="preserve">명령형</t>
    </r>
    <r>
      <rPr>
        <sz val="10"/>
        <rFont val="Arial"/>
        <family val="0"/>
        <charset val="1"/>
      </rPr>
      <t xml:space="preserve">·</t>
    </r>
    <r>
      <rPr>
        <sz val="10"/>
        <rFont val="WenQuanYi Zen Hei"/>
        <family val="2"/>
      </rPr>
      <t xml:space="preserve">복합과거</t>
    </r>
    <r>
      <rPr>
        <sz val="10"/>
        <rFont val="Arial"/>
        <family val="0"/>
        <charset val="1"/>
      </rPr>
      <t xml:space="preserve">(passé composé). tu·vous </t>
    </r>
    <r>
      <rPr>
        <sz val="10"/>
        <rFont val="WenQuanYi Zen Hei"/>
        <family val="2"/>
      </rPr>
      <t xml:space="preserve">대비 중심</t>
    </r>
    <r>
      <rPr>
        <sz val="10"/>
        <rFont val="Arial"/>
        <family val="0"/>
        <charset val="1"/>
      </rPr>
      <t xml:space="preserve">. </t>
    </r>
    <r>
      <rPr>
        <sz val="10"/>
        <rFont val="WenQuanYi Zen Hei"/>
        <family val="2"/>
      </rPr>
      <t xml:space="preserve">낭독</t>
    </r>
    <r>
      <rPr>
        <sz val="10"/>
        <rFont val="Arial"/>
        <family val="0"/>
        <charset val="1"/>
      </rPr>
      <t xml:space="preserve">: </t>
    </r>
    <r>
      <rPr>
        <sz val="10"/>
        <rFont val="WenQuanYi Zen Hei"/>
        <family val="2"/>
      </rPr>
      <t xml:space="preserve">빠른 티키타카로 입 풀기</t>
    </r>
    <r>
      <rPr>
        <sz val="10"/>
        <rFont val="Arial"/>
        <family val="0"/>
        <charset val="1"/>
      </rPr>
      <t xml:space="preserve">. Nicolas·Napoléon</t>
    </r>
    <r>
      <rPr>
        <sz val="10"/>
        <rFont val="WenQuanYi Zen Hei"/>
        <family val="2"/>
      </rPr>
      <t xml:space="preserve">의 격식체는 한두 줄 맛보기</t>
    </r>
    <r>
      <rPr>
        <sz val="10"/>
        <rFont val="Arial"/>
        <family val="0"/>
        <charset val="1"/>
      </rPr>
      <t xml:space="preserve">. </t>
    </r>
    <r>
      <rPr>
        <sz val="10"/>
        <rFont val="WenQuanYi Zen Hei"/>
        <family val="2"/>
      </rPr>
      <t xml:space="preserve">매 사건 </t>
    </r>
    <r>
      <rPr>
        <sz val="10"/>
        <rFont val="Arial"/>
        <family val="0"/>
        <charset val="1"/>
      </rPr>
      <t xml:space="preserve">2</t>
    </r>
    <r>
      <rPr>
        <sz val="10"/>
        <rFont val="WenQuanYi Zen Hei"/>
        <family val="2"/>
      </rPr>
      <t xml:space="preserve">화</t>
    </r>
    <r>
      <rPr>
        <sz val="10"/>
        <rFont val="Arial"/>
        <family val="0"/>
        <charset val="1"/>
      </rPr>
      <t xml:space="preserve">(</t>
    </r>
    <r>
      <rPr>
        <sz val="10"/>
        <rFont val="WenQuanYi Zen Hei"/>
        <family val="2"/>
      </rPr>
      <t xml:space="preserve">도입→해결</t>
    </r>
    <r>
      <rPr>
        <sz val="10"/>
        <rFont val="Arial"/>
        <family val="0"/>
        <charset val="1"/>
      </rPr>
      <t xml:space="preserve">) </t>
    </r>
    <r>
      <rPr>
        <sz val="10"/>
        <rFont val="WenQuanYi Zen Hei"/>
        <family val="2"/>
      </rPr>
      <t xml:space="preserve">리듬을 반복해 구조를 익히게 한다</t>
    </r>
    <r>
      <rPr>
        <sz val="10"/>
        <rFont val="Arial"/>
        <family val="0"/>
        <charset val="1"/>
      </rPr>
      <t xml:space="preserve">.</t>
    </r>
  </si>
  <si>
    <t xml:space="preserve">대화량 (화당 120턴)</t>
  </si>
  <si>
    <r>
      <rPr>
        <b val="true"/>
        <sz val="10"/>
        <rFont val="Arial"/>
        <family val="0"/>
        <charset val="1"/>
      </rPr>
      <t xml:space="preserve">Manon </t>
    </r>
    <r>
      <rPr>
        <b val="true"/>
        <sz val="10"/>
        <rFont val="WenQuanYi Zen Hei"/>
        <family val="2"/>
      </rPr>
      <t xml:space="preserve">질문</t>
    </r>
    <r>
      <rPr>
        <b val="true"/>
        <sz val="10"/>
        <rFont val="Arial"/>
        <family val="0"/>
        <charset val="1"/>
      </rPr>
      <t xml:space="preserve">·Curie </t>
    </r>
    <r>
      <rPr>
        <b val="true"/>
        <sz val="10"/>
        <rFont val="WenQuanYi Zen Hei"/>
        <family val="2"/>
      </rPr>
      <t xml:space="preserve">카드</t>
    </r>
  </si>
  <si>
    <r>
      <rPr>
        <sz val="10"/>
        <rFont val="Arial"/>
        <family val="0"/>
        <charset val="1"/>
      </rPr>
      <t xml:space="preserve">Manon: </t>
    </r>
    <r>
      <rPr>
        <sz val="10"/>
        <rFont val="WenQuanYi Zen Hei"/>
        <family val="2"/>
      </rPr>
      <t xml:space="preserve">임대</t>
    </r>
    <r>
      <rPr>
        <sz val="10"/>
        <rFont val="Arial"/>
        <family val="0"/>
        <charset val="1"/>
      </rPr>
      <t xml:space="preserve">·</t>
    </r>
    <r>
      <rPr>
        <sz val="10"/>
        <rFont val="WenQuanYi Zen Hei"/>
        <family val="2"/>
      </rPr>
      <t xml:space="preserve">노동</t>
    </r>
    <r>
      <rPr>
        <sz val="10"/>
        <rFont val="Arial"/>
        <family val="0"/>
        <charset val="1"/>
      </rPr>
      <t xml:space="preserve">·</t>
    </r>
    <r>
      <rPr>
        <sz val="10"/>
        <rFont val="WenQuanYi Zen Hei"/>
        <family val="2"/>
      </rPr>
      <t xml:space="preserve">의료</t>
    </r>
    <r>
      <rPr>
        <sz val="10"/>
        <rFont val="Arial"/>
        <family val="0"/>
        <charset val="1"/>
      </rPr>
      <t xml:space="preserve">·</t>
    </r>
    <r>
      <rPr>
        <sz val="10"/>
        <rFont val="WenQuanYi Zen Hei"/>
        <family val="2"/>
      </rPr>
      <t xml:space="preserve">금융 기초 용어</t>
    </r>
    <r>
      <rPr>
        <sz val="10"/>
        <rFont val="Arial"/>
        <family val="0"/>
        <charset val="1"/>
      </rPr>
      <t xml:space="preserve">(dépôt de garantie, CDD, domiciliation, compte bancaire). </t>
    </r>
    <r>
      <rPr>
        <sz val="10"/>
        <rFont val="WenQuanYi Zen Hei"/>
        <family val="2"/>
      </rPr>
      <t xml:space="preserve">카드</t>
    </r>
    <r>
      <rPr>
        <sz val="10"/>
        <rFont val="Arial"/>
        <family val="0"/>
        <charset val="1"/>
      </rPr>
      <t xml:space="preserve">: 1989</t>
    </r>
    <r>
      <rPr>
        <sz val="10"/>
        <rFont val="WenQuanYi Zen Hei"/>
        <family val="2"/>
      </rPr>
      <t xml:space="preserve">년 </t>
    </r>
    <r>
      <rPr>
        <sz val="10"/>
        <rFont val="Arial"/>
        <family val="0"/>
        <charset val="1"/>
      </rPr>
      <t xml:space="preserve">7</t>
    </r>
    <r>
      <rPr>
        <sz val="10"/>
        <rFont val="WenQuanYi Zen Hei"/>
        <family val="2"/>
      </rPr>
      <t xml:space="preserve">월 </t>
    </r>
    <r>
      <rPr>
        <sz val="10"/>
        <rFont val="Arial"/>
        <family val="0"/>
        <charset val="1"/>
      </rPr>
      <t xml:space="preserve">6</t>
    </r>
    <r>
      <rPr>
        <sz val="10"/>
        <rFont val="WenQuanYi Zen Hei"/>
        <family val="2"/>
      </rPr>
      <t xml:space="preserve">일 법</t>
    </r>
    <r>
      <rPr>
        <sz val="10"/>
        <rFont val="Arial"/>
        <family val="0"/>
        <charset val="1"/>
      </rPr>
      <t xml:space="preserve">, </t>
    </r>
    <r>
      <rPr>
        <sz val="10"/>
        <rFont val="WenQuanYi Zen Hei"/>
        <family val="2"/>
      </rPr>
      <t xml:space="preserve">사전</t>
    </r>
    <r>
      <rPr>
        <sz val="10"/>
        <rFont val="Arial"/>
        <family val="0"/>
        <charset val="1"/>
      </rPr>
      <t xml:space="preserve">(</t>
    </r>
    <r>
      <rPr>
        <sz val="10"/>
        <rFont val="WenQuanYi Zen Hei"/>
        <family val="2"/>
      </rPr>
      <t xml:space="preserve">아카데미 프랑세즈 사전</t>
    </r>
    <r>
      <rPr>
        <sz val="10"/>
        <rFont val="Arial"/>
        <family val="0"/>
        <charset val="1"/>
      </rPr>
      <t xml:space="preserve">·CNRTL).</t>
    </r>
  </si>
  <si>
    <t xml:space="preserve">다음 부 연결</t>
  </si>
  <si>
    <r>
      <rPr>
        <sz val="10"/>
        <rFont val="Arial"/>
        <family val="0"/>
        <charset val="1"/>
      </rPr>
      <t xml:space="preserve">2</t>
    </r>
    <r>
      <rPr>
        <sz val="10"/>
        <rFont val="WenQuanYi Zen Hei"/>
        <family val="2"/>
      </rPr>
      <t xml:space="preserve">부</t>
    </r>
    <r>
      <rPr>
        <sz val="10"/>
        <rFont val="Arial"/>
        <family val="0"/>
        <charset val="1"/>
      </rPr>
      <t xml:space="preserve">: </t>
    </r>
    <r>
      <rPr>
        <sz val="10"/>
        <rFont val="WenQuanYi Zen Hei"/>
        <family val="2"/>
      </rPr>
      <t xml:space="preserve">금요일마다 한 명씩 과거를 이야기하는 규칙 — 첫 번째는 </t>
    </r>
    <r>
      <rPr>
        <sz val="10"/>
        <rFont val="Arial"/>
        <family val="0"/>
        <charset val="1"/>
      </rPr>
      <t xml:space="preserve">Nicolas.</t>
    </r>
  </si>
  <si>
    <r>
      <rPr>
        <b val="true"/>
        <sz val="10"/>
        <color rgb="FFFFFFFF"/>
        <rFont val="Arial"/>
        <family val="0"/>
        <charset val="1"/>
      </rPr>
      <t xml:space="preserve">L'Avocat — </t>
    </r>
    <r>
      <rPr>
        <b val="true"/>
        <sz val="10"/>
        <color rgb="FFFFFFFF"/>
        <rFont val="WenQuanYi Zen Hei"/>
        <family val="2"/>
      </rPr>
      <t xml:space="preserve">변호사   </t>
    </r>
    <r>
      <rPr>
        <b val="true"/>
        <sz val="10"/>
        <color rgb="FFFFFFFF"/>
        <rFont val="Arial"/>
        <family val="0"/>
        <charset val="1"/>
      </rPr>
      <t xml:space="preserve">|   </t>
    </r>
    <r>
      <rPr>
        <b val="true"/>
        <sz val="10"/>
        <color rgb="FFFFFFFF"/>
        <rFont val="WenQuanYi Zen Hei"/>
        <family val="2"/>
      </rPr>
      <t xml:space="preserve">난이도 </t>
    </r>
    <r>
      <rPr>
        <b val="true"/>
        <sz val="10"/>
        <color rgb="FFFFFFFF"/>
        <rFont val="Arial"/>
        <family val="0"/>
        <charset val="1"/>
      </rPr>
      <t xml:space="preserve">B2~C1   |   </t>
    </r>
    <r>
      <rPr>
        <b val="true"/>
        <sz val="10"/>
        <color rgb="FFFFFFFF"/>
        <rFont val="WenQuanYi Zen Hei"/>
        <family val="2"/>
      </rPr>
      <t xml:space="preserve">프레임</t>
    </r>
    <r>
      <rPr>
        <b val="true"/>
        <sz val="10"/>
        <color rgb="FFFFFFFF"/>
        <rFont val="Arial"/>
        <family val="0"/>
        <charset val="1"/>
      </rPr>
      <t xml:space="preserve">: 1</t>
    </r>
    <r>
      <rPr>
        <b val="true"/>
        <sz val="10"/>
        <color rgb="FFFFFFFF"/>
        <rFont val="WenQuanYi Zen Hei"/>
        <family val="2"/>
      </rPr>
      <t xml:space="preserve">부와 같은 첫 겨울의 금요일 밤</t>
    </r>
    <r>
      <rPr>
        <b val="true"/>
        <sz val="10"/>
        <color rgb="FFFFFFFF"/>
        <rFont val="Arial"/>
        <family val="0"/>
        <charset val="1"/>
      </rPr>
      <t xml:space="preserve">. </t>
    </r>
    <r>
      <rPr>
        <b val="true"/>
        <sz val="10"/>
        <color rgb="FFFFFFFF"/>
        <rFont val="WenQuanYi Zen Hei"/>
        <family val="2"/>
      </rPr>
      <t xml:space="preserve">과거</t>
    </r>
    <r>
      <rPr>
        <b val="true"/>
        <sz val="10"/>
        <color rgb="FFFFFFFF"/>
        <rFont val="Arial"/>
        <family val="0"/>
        <charset val="1"/>
      </rPr>
      <t xml:space="preserve">: </t>
    </r>
    <r>
      <rPr>
        <b val="true"/>
        <sz val="10"/>
        <color rgb="FFFFFFFF"/>
        <rFont val="WenQuanYi Zen Hei"/>
        <family val="2"/>
      </rPr>
      <t xml:space="preserve">약 </t>
    </r>
    <r>
      <rPr>
        <b val="true"/>
        <sz val="10"/>
        <color rgb="FFFFFFFF"/>
        <rFont val="Arial"/>
        <family val="0"/>
        <charset val="1"/>
      </rPr>
      <t xml:space="preserve">5</t>
    </r>
    <r>
      <rPr>
        <b val="true"/>
        <sz val="10"/>
        <color rgb="FFFFFFFF"/>
        <rFont val="WenQuanYi Zen Hei"/>
        <family val="2"/>
      </rPr>
      <t xml:space="preserve">년 전</t>
    </r>
    <r>
      <rPr>
        <b val="true"/>
        <sz val="10"/>
        <color rgb="FFFFFFFF"/>
        <rFont val="Arial"/>
        <family val="0"/>
        <charset val="1"/>
      </rPr>
      <t xml:space="preserve">, 8</t>
    </r>
    <r>
      <rPr>
        <b val="true"/>
        <sz val="10"/>
        <color rgb="FFFFFFFF"/>
        <rFont val="WenQuanYi Zen Hei"/>
        <family val="2"/>
      </rPr>
      <t xml:space="preserve">구 </t>
    </r>
    <r>
      <rPr>
        <b val="true"/>
        <sz val="10"/>
        <color rgb="FFFFFFFF"/>
        <rFont val="Arial"/>
        <family val="0"/>
        <charset val="1"/>
      </rPr>
      <t xml:space="preserve">avenue George-V</t>
    </r>
    <r>
      <rPr>
        <b val="true"/>
        <sz val="10"/>
        <color rgb="FFFFFFFF"/>
        <rFont val="WenQuanYi Zen Hei"/>
        <family val="2"/>
      </rPr>
      <t xml:space="preserve">의 대형 로펌</t>
    </r>
    <r>
      <rPr>
        <b val="true"/>
        <sz val="10"/>
        <color rgb="FFFFFFFF"/>
        <rFont val="Arial"/>
        <family val="0"/>
        <charset val="1"/>
      </rPr>
      <t xml:space="preserve">.</t>
    </r>
  </si>
  <si>
    <t xml:space="preserve">첫 과거 회상. 공동 악역 Groupe Méridien을 도입하고 '법을 잘 쓰는 것과 옳은 것은 다르다'는 이 이야기의 첫 질문을 던진다. 프레임(Monique의 식탁)과 과거를 오가는 구조 실험.</t>
  </si>
  <si>
    <t xml:space="preserve">승소율 100%의 파트너 후보가 대형 고객의 주택 포트폴리오를 비우는 조항을 설계해 재판에서 이기고, 그 승리가 한 노인의 죽음이 되었음을 알게 된다.</t>
  </si>
  <si>
    <t xml:space="preserve">자랑스러운 승자 → 자기 승리에 사직서를 낸 사람.</t>
  </si>
  <si>
    <t xml:space="preserve">잘 쓰는 법 vs 옳은 것 / 파트너 승진 vs 양심</t>
  </si>
  <si>
    <t xml:space="preserve">발단(1~3화): 금요일 프레임, 조르주5세 거리의 월요일, VIP 고객 Verdier.</t>
  </si>
  <si>
    <t xml:space="preserve">전개(4~5화): 실사에서 Belleville 건물 발견 / 프레임에서 그곳이 Monique의 거리였음이 드러남.</t>
  </si>
  <si>
    <t xml:space="preserve">미드포인트(6화): 조항 설계 — Nicolas가 스스로 함정을 만든다.</t>
  </si>
  <si>
    <t xml:space="preserve">위기(7~9화): 세입자 총회(Madeleine), 재판 승소, 프레임에서 Nicolas의 말이 막힘.</t>
  </si>
  <si>
    <t xml:space="preserve">절정(10~11화): 16구 축하 만찬 중 부고, 손녀 Chloé의 방문.</t>
  </si>
  <si>
    <t xml:space="preserve">결말·훅(12화): 사직과 응급실 — Camille가 Nicolas를 진료한다.</t>
  </si>
  <si>
    <r>
      <rPr>
        <sz val="10"/>
        <rFont val="Arial"/>
        <family val="0"/>
        <charset val="1"/>
      </rPr>
      <t xml:space="preserve">Nicolas: </t>
    </r>
    <r>
      <rPr>
        <sz val="10"/>
        <rFont val="WenQuanYi Zen Hei"/>
        <family val="2"/>
      </rPr>
      <t xml:space="preserve">완결된 문장</t>
    </r>
    <r>
      <rPr>
        <sz val="10"/>
        <rFont val="Arial"/>
        <family val="0"/>
        <charset val="1"/>
      </rPr>
      <t xml:space="preserve">·</t>
    </r>
    <r>
      <rPr>
        <sz val="10"/>
        <rFont val="WenQuanYi Zen Hei"/>
        <family val="2"/>
      </rPr>
      <t xml:space="preserve">조항 인용</t>
    </r>
    <r>
      <rPr>
        <sz val="10"/>
        <rFont val="Arial"/>
        <family val="0"/>
        <charset val="1"/>
      </rPr>
      <t xml:space="preserve">(</t>
    </r>
    <r>
      <rPr>
        <sz val="10"/>
        <rFont val="WenQuanYi Zen Hei"/>
        <family val="2"/>
      </rPr>
      <t xml:space="preserve">초반의 차가움</t>
    </r>
    <r>
      <rPr>
        <sz val="10"/>
        <rFont val="Arial"/>
        <family val="0"/>
        <charset val="1"/>
      </rPr>
      <t xml:space="preserve">). </t>
    </r>
    <r>
      <rPr>
        <sz val="10"/>
        <rFont val="WenQuanYi Zen Hei"/>
        <family val="2"/>
      </rPr>
      <t xml:space="preserve">교차 카메오</t>
    </r>
    <r>
      <rPr>
        <sz val="10"/>
        <rFont val="Arial"/>
        <family val="0"/>
        <charset val="1"/>
      </rPr>
      <t xml:space="preserve">: Léa(</t>
    </r>
    <r>
      <rPr>
        <sz val="10"/>
        <rFont val="WenQuanYi Zen Hei"/>
        <family val="2"/>
      </rPr>
      <t xml:space="preserve">고객 컨설턴트</t>
    </r>
    <r>
      <rPr>
        <sz val="10"/>
        <rFont val="Arial"/>
        <family val="0"/>
        <charset val="1"/>
      </rPr>
      <t xml:space="preserve">), Julien(</t>
    </r>
    <r>
      <rPr>
        <sz val="10"/>
        <rFont val="WenQuanYi Zen Hei"/>
        <family val="2"/>
      </rPr>
      <t xml:space="preserve">감사인</t>
    </r>
    <r>
      <rPr>
        <sz val="10"/>
        <rFont val="Arial"/>
        <family val="0"/>
        <charset val="1"/>
      </rPr>
      <t xml:space="preserve">), Camille(</t>
    </r>
    <r>
      <rPr>
        <sz val="10"/>
        <rFont val="WenQuanYi Zen Hei"/>
        <family val="2"/>
      </rPr>
      <t xml:space="preserve">응급의</t>
    </r>
    <r>
      <rPr>
        <sz val="10"/>
        <rFont val="Arial"/>
        <family val="0"/>
        <charset val="1"/>
      </rPr>
      <t xml:space="preserve">), Philippe·Curie·Karim·Hugo·Voltaire. </t>
    </r>
    <r>
      <rPr>
        <sz val="10"/>
        <rFont val="WenQuanYi Zen Hei"/>
        <family val="2"/>
      </rPr>
      <t xml:space="preserve">가상 인물</t>
    </r>
    <r>
      <rPr>
        <sz val="10"/>
        <rFont val="Arial"/>
        <family val="0"/>
        <charset val="1"/>
      </rPr>
      <t xml:space="preserve">: Delorme(</t>
    </r>
    <r>
      <rPr>
        <sz val="10"/>
        <rFont val="WenQuanYi Zen Hei"/>
        <family val="2"/>
      </rPr>
      <t xml:space="preserve">상사</t>
    </r>
    <r>
      <rPr>
        <sz val="10"/>
        <rFont val="Arial"/>
        <family val="0"/>
        <charset val="1"/>
      </rPr>
      <t xml:space="preserve">), Verdier(</t>
    </r>
    <r>
      <rPr>
        <sz val="10"/>
        <rFont val="WenQuanYi Zen Hei"/>
        <family val="2"/>
      </rPr>
      <t xml:space="preserve">회장</t>
    </r>
    <r>
      <rPr>
        <sz val="10"/>
        <rFont val="Arial"/>
        <family val="0"/>
        <charset val="1"/>
      </rPr>
      <t xml:space="preserve">), Madeleine(78</t>
    </r>
    <r>
      <rPr>
        <sz val="10"/>
        <rFont val="WenQuanYi Zen Hei"/>
        <family val="2"/>
      </rPr>
      <t xml:space="preserve">세</t>
    </r>
    <r>
      <rPr>
        <sz val="10"/>
        <rFont val="Arial"/>
        <family val="0"/>
        <charset val="1"/>
      </rPr>
      <t xml:space="preserve">), Chloé(</t>
    </r>
    <r>
      <rPr>
        <sz val="10"/>
        <rFont val="WenQuanYi Zen Hei"/>
        <family val="2"/>
      </rPr>
      <t xml:space="preserve">손녀</t>
    </r>
    <r>
      <rPr>
        <sz val="10"/>
        <rFont val="Arial"/>
        <family val="0"/>
        <charset val="1"/>
      </rPr>
      <t xml:space="preserve">).</t>
    </r>
  </si>
  <si>
    <r>
      <rPr>
        <sz val="10"/>
        <rFont val="Arial"/>
        <family val="0"/>
        <charset val="1"/>
      </rPr>
      <t xml:space="preserve">'</t>
    </r>
    <r>
      <rPr>
        <sz val="10"/>
        <rFont val="WenQuanYi Zen Hei"/>
        <family val="2"/>
      </rPr>
      <t xml:space="preserve">리노베이션을 정당한 사유로 삼는</t>
    </r>
    <r>
      <rPr>
        <sz val="10"/>
        <rFont val="Arial"/>
        <family val="0"/>
        <charset val="1"/>
      </rPr>
      <t xml:space="preserve">' </t>
    </r>
    <r>
      <rPr>
        <sz val="10"/>
        <rFont val="WenQuanYi Zen Hei"/>
        <family val="2"/>
      </rPr>
      <t xml:space="preserve">해지 조항 → </t>
    </r>
    <r>
      <rPr>
        <sz val="10"/>
        <rFont val="Arial"/>
        <family val="0"/>
        <charset val="1"/>
      </rPr>
      <t xml:space="preserve">6</t>
    </r>
    <r>
      <rPr>
        <sz val="10"/>
        <rFont val="WenQuanYi Zen Hei"/>
        <family val="2"/>
      </rPr>
      <t xml:space="preserve">부 </t>
    </r>
    <r>
      <rPr>
        <sz val="10"/>
        <rFont val="Arial"/>
        <family val="0"/>
        <charset val="1"/>
      </rPr>
      <t xml:space="preserve">6</t>
    </r>
    <r>
      <rPr>
        <sz val="10"/>
        <rFont val="WenQuanYi Zen Hei"/>
        <family val="2"/>
      </rPr>
      <t xml:space="preserve">화 폭로</t>
    </r>
    <r>
      <rPr>
        <sz val="10"/>
        <rFont val="Arial"/>
        <family val="0"/>
        <charset val="1"/>
      </rPr>
      <t xml:space="preserve">, 11</t>
    </r>
    <r>
      <rPr>
        <sz val="10"/>
        <rFont val="WenQuanYi Zen Hei"/>
        <family val="2"/>
      </rPr>
      <t xml:space="preserve">부 </t>
    </r>
    <r>
      <rPr>
        <sz val="10"/>
        <rFont val="Arial"/>
        <family val="0"/>
        <charset val="1"/>
      </rPr>
      <t xml:space="preserve">3</t>
    </r>
    <r>
      <rPr>
        <sz val="10"/>
        <rFont val="WenQuanYi Zen Hei"/>
        <family val="2"/>
      </rPr>
      <t xml:space="preserve">화 주거법 개정으로 폐지 </t>
    </r>
    <r>
      <rPr>
        <sz val="10"/>
        <rFont val="Arial"/>
        <family val="0"/>
        <charset val="1"/>
      </rPr>
      <t xml:space="preserve">/ «Ça ne colle pas»(Julien) → 4</t>
    </r>
    <r>
      <rPr>
        <sz val="10"/>
        <rFont val="WenQuanYi Zen Hei"/>
        <family val="2"/>
      </rPr>
      <t xml:space="preserve">부 </t>
    </r>
    <r>
      <rPr>
        <sz val="10"/>
        <rFont val="Arial"/>
        <family val="0"/>
        <charset val="1"/>
      </rPr>
      <t xml:space="preserve">/ Monique</t>
    </r>
    <r>
      <rPr>
        <sz val="10"/>
        <rFont val="WenQuanYi Zen Hei"/>
        <family val="2"/>
      </rPr>
      <t xml:space="preserve">의 건물 → </t>
    </r>
    <r>
      <rPr>
        <sz val="10"/>
        <rFont val="Arial"/>
        <family val="0"/>
        <charset val="1"/>
      </rPr>
      <t xml:space="preserve">8</t>
    </r>
    <r>
      <rPr>
        <sz val="10"/>
        <rFont val="WenQuanYi Zen Hei"/>
        <family val="2"/>
      </rPr>
      <t xml:space="preserve">부 창당 동기</t>
    </r>
  </si>
  <si>
    <t xml:space="preserve">E1● P3○</t>
  </si>
  <si>
    <t xml:space="preserve">임대인의 해지 통지(congé)와 정당하고 중대한 사유, 에너지 성능 진단(DPE), 실사(due diligence), 부동산 공시, 소송(assignation, audience, jugement, dépens), 로펌 구조(associé)</t>
  </si>
  <si>
    <r>
      <rPr>
        <sz val="10"/>
        <rFont val="Arial"/>
        <family val="0"/>
        <charset val="1"/>
      </rPr>
      <t xml:space="preserve">B2~C1. </t>
    </r>
    <r>
      <rPr>
        <sz val="10"/>
        <rFont val="WenQuanYi Zen Hei"/>
        <family val="2"/>
      </rPr>
      <t xml:space="preserve">접속법 현재</t>
    </r>
    <r>
      <rPr>
        <sz val="10"/>
        <rFont val="Arial"/>
        <family val="0"/>
        <charset val="1"/>
      </rPr>
      <t xml:space="preserve">·</t>
    </r>
    <r>
      <rPr>
        <sz val="10"/>
        <rFont val="WenQuanYi Zen Hei"/>
        <family val="2"/>
      </rPr>
      <t xml:space="preserve">과거</t>
    </r>
    <r>
      <rPr>
        <sz val="10"/>
        <rFont val="Arial"/>
        <family val="0"/>
        <charset val="1"/>
      </rPr>
      <t xml:space="preserve">, </t>
    </r>
    <r>
      <rPr>
        <sz val="10"/>
        <rFont val="WenQuanYi Zen Hei"/>
        <family val="2"/>
      </rPr>
      <t xml:space="preserve">수동태</t>
    </r>
    <r>
      <rPr>
        <sz val="10"/>
        <rFont val="Arial"/>
        <family val="0"/>
        <charset val="1"/>
      </rPr>
      <t xml:space="preserve">, </t>
    </r>
    <r>
      <rPr>
        <sz val="10"/>
        <rFont val="WenQuanYi Zen Hei"/>
        <family val="2"/>
      </rPr>
      <t xml:space="preserve">법률 문어체</t>
    </r>
    <r>
      <rPr>
        <sz val="10"/>
        <rFont val="Arial"/>
        <family val="0"/>
        <charset val="1"/>
      </rPr>
      <t xml:space="preserve">. </t>
    </r>
    <r>
      <rPr>
        <sz val="10"/>
        <rFont val="WenQuanYi Zen Hei"/>
        <family val="2"/>
      </rPr>
      <t xml:space="preserve">과거 장면은 격식 문어</t>
    </r>
    <r>
      <rPr>
        <sz val="10"/>
        <rFont val="Arial"/>
        <family val="0"/>
        <charset val="1"/>
      </rPr>
      <t xml:space="preserve">, </t>
    </r>
    <r>
      <rPr>
        <sz val="10"/>
        <rFont val="WenQuanYi Zen Hei"/>
        <family val="2"/>
      </rPr>
      <t xml:space="preserve">프레임 장면은 </t>
    </r>
    <r>
      <rPr>
        <sz val="10"/>
        <rFont val="Arial"/>
        <family val="0"/>
        <charset val="1"/>
      </rPr>
      <t xml:space="preserve">B1</t>
    </r>
    <r>
      <rPr>
        <sz val="10"/>
        <rFont val="WenQuanYi Zen Hei"/>
        <family val="2"/>
      </rPr>
      <t xml:space="preserve">로 두어 톤을 대비</t>
    </r>
    <r>
      <rPr>
        <sz val="10"/>
        <rFont val="Arial"/>
        <family val="0"/>
        <charset val="1"/>
      </rPr>
      <t xml:space="preserve">. </t>
    </r>
    <r>
      <rPr>
        <sz val="10"/>
        <rFont val="WenQuanYi Zen Hei"/>
        <family val="2"/>
      </rPr>
      <t xml:space="preserve">발성</t>
    </r>
    <r>
      <rPr>
        <sz val="10"/>
        <rFont val="Arial"/>
        <family val="0"/>
        <charset val="1"/>
      </rPr>
      <t xml:space="preserve">: </t>
    </r>
    <r>
      <rPr>
        <sz val="10"/>
        <rFont val="WenQuanYi Zen Hei"/>
        <family val="2"/>
      </rPr>
      <t xml:space="preserve">또박또박</t>
    </r>
    <r>
      <rPr>
        <sz val="10"/>
        <rFont val="Arial"/>
        <family val="0"/>
        <charset val="1"/>
      </rPr>
      <t xml:space="preserve">, </t>
    </r>
    <r>
      <rPr>
        <sz val="10"/>
        <rFont val="WenQuanYi Zen Hei"/>
        <family val="2"/>
      </rPr>
      <t xml:space="preserve">중저음</t>
    </r>
    <r>
      <rPr>
        <sz val="10"/>
        <rFont val="Arial"/>
        <family val="0"/>
        <charset val="1"/>
      </rPr>
      <t xml:space="preserve">.</t>
    </r>
  </si>
  <si>
    <r>
      <rPr>
        <sz val="10"/>
        <rFont val="Arial"/>
        <family val="0"/>
        <charset val="1"/>
      </rPr>
      <t xml:space="preserve">Manon: assignation·jugement·clause </t>
    </r>
    <r>
      <rPr>
        <sz val="10"/>
        <rFont val="WenQuanYi Zen Hei"/>
        <family val="2"/>
      </rPr>
      <t xml:space="preserve">등 법률 용어</t>
    </r>
    <r>
      <rPr>
        <sz val="10"/>
        <rFont val="Arial"/>
        <family val="0"/>
        <charset val="1"/>
      </rPr>
      <t xml:space="preserve">. </t>
    </r>
    <r>
      <rPr>
        <sz val="10"/>
        <rFont val="WenQuanYi Zen Hei"/>
        <family val="2"/>
      </rPr>
      <t xml:space="preserve">카드</t>
    </r>
    <r>
      <rPr>
        <sz val="10"/>
        <rFont val="Arial"/>
        <family val="0"/>
        <charset val="1"/>
      </rPr>
      <t xml:space="preserve">: </t>
    </r>
    <r>
      <rPr>
        <sz val="10"/>
        <rFont val="WenQuanYi Zen Hei"/>
        <family val="2"/>
      </rPr>
      <t xml:space="preserve">부동산 공시</t>
    </r>
    <r>
      <rPr>
        <sz val="10"/>
        <rFont val="Arial"/>
        <family val="0"/>
        <charset val="1"/>
      </rPr>
      <t xml:space="preserve">(service de la publicité foncière), 1989</t>
    </r>
    <r>
      <rPr>
        <sz val="10"/>
        <rFont val="WenQuanYi Zen Hei"/>
        <family val="2"/>
      </rPr>
      <t xml:space="preserve">년 임대차법</t>
    </r>
    <r>
      <rPr>
        <sz val="10"/>
        <rFont val="Arial"/>
        <family val="0"/>
        <charset val="1"/>
      </rPr>
      <t xml:space="preserve">, </t>
    </r>
    <r>
      <rPr>
        <sz val="10"/>
        <rFont val="WenQuanYi Zen Hei"/>
        <family val="2"/>
      </rPr>
      <t xml:space="preserve">민사집행법전</t>
    </r>
    <r>
      <rPr>
        <sz val="10"/>
        <rFont val="Arial"/>
        <family val="0"/>
        <charset val="1"/>
      </rPr>
      <t xml:space="preserve">(CPCE)</t>
    </r>
    <r>
      <rPr>
        <sz val="10"/>
        <rFont val="WenQuanYi Zen Hei"/>
        <family val="2"/>
      </rPr>
      <t xml:space="preserve">의 퇴거 절차</t>
    </r>
    <r>
      <rPr>
        <sz val="10"/>
        <rFont val="Arial"/>
        <family val="0"/>
        <charset val="1"/>
      </rPr>
      <t xml:space="preserve">.</t>
    </r>
  </si>
  <si>
    <r>
      <rPr>
        <sz val="10"/>
        <rFont val="Arial"/>
        <family val="0"/>
        <charset val="1"/>
      </rPr>
      <t xml:space="preserve">3</t>
    </r>
    <r>
      <rPr>
        <sz val="10"/>
        <rFont val="WenQuanYi Zen Hei"/>
        <family val="2"/>
      </rPr>
      <t xml:space="preserve">부</t>
    </r>
    <r>
      <rPr>
        <sz val="10"/>
        <rFont val="Arial"/>
        <family val="0"/>
        <charset val="1"/>
      </rPr>
      <t xml:space="preserve">: </t>
    </r>
    <r>
      <rPr>
        <sz val="10"/>
        <rFont val="WenQuanYi Zen Hei"/>
        <family val="2"/>
      </rPr>
      <t xml:space="preserve">응급실에서 쓰러진 </t>
    </r>
    <r>
      <rPr>
        <sz val="10"/>
        <rFont val="Arial"/>
        <family val="0"/>
        <charset val="1"/>
      </rPr>
      <t xml:space="preserve">Nicolas — </t>
    </r>
    <r>
      <rPr>
        <sz val="10"/>
        <rFont val="WenQuanYi Zen Hei"/>
        <family val="2"/>
      </rPr>
      <t xml:space="preserve">다음 금요일은 </t>
    </r>
    <r>
      <rPr>
        <sz val="10"/>
        <rFont val="Arial"/>
        <family val="0"/>
        <charset val="1"/>
      </rPr>
      <t xml:space="preserve">Camille</t>
    </r>
    <r>
      <rPr>
        <sz val="10"/>
        <rFont val="WenQuanYi Zen Hei"/>
        <family val="2"/>
      </rPr>
      <t xml:space="preserve">의 이야기</t>
    </r>
    <r>
      <rPr>
        <sz val="10"/>
        <rFont val="Arial"/>
        <family val="0"/>
        <charset val="1"/>
      </rPr>
      <t xml:space="preserve">.</t>
    </r>
  </si>
  <si>
    <r>
      <rPr>
        <b val="true"/>
        <sz val="10"/>
        <color rgb="FFFFFFFF"/>
        <rFont val="Arial"/>
        <family val="0"/>
        <charset val="1"/>
      </rPr>
      <t xml:space="preserve">La Médecin — </t>
    </r>
    <r>
      <rPr>
        <b val="true"/>
        <sz val="10"/>
        <color rgb="FFFFFFFF"/>
        <rFont val="WenQuanYi Zen Hei"/>
        <family val="2"/>
      </rPr>
      <t xml:space="preserve">의사   </t>
    </r>
    <r>
      <rPr>
        <b val="true"/>
        <sz val="10"/>
        <color rgb="FFFFFFFF"/>
        <rFont val="Arial"/>
        <family val="0"/>
        <charset val="1"/>
      </rPr>
      <t xml:space="preserve">|   </t>
    </r>
    <r>
      <rPr>
        <b val="true"/>
        <sz val="10"/>
        <color rgb="FFFFFFFF"/>
        <rFont val="WenQuanYi Zen Hei"/>
        <family val="2"/>
      </rPr>
      <t xml:space="preserve">난이도 </t>
    </r>
    <r>
      <rPr>
        <b val="true"/>
        <sz val="10"/>
        <color rgb="FFFFFFFF"/>
        <rFont val="Arial"/>
        <family val="0"/>
        <charset val="1"/>
      </rPr>
      <t xml:space="preserve">B2~C1   |   </t>
    </r>
    <r>
      <rPr>
        <b val="true"/>
        <sz val="10"/>
        <color rgb="FFFFFFFF"/>
        <rFont val="WenQuanYi Zen Hei"/>
        <family val="2"/>
      </rPr>
      <t xml:space="preserve">프레임</t>
    </r>
    <r>
      <rPr>
        <b val="true"/>
        <sz val="10"/>
        <color rgb="FFFFFFFF"/>
        <rFont val="Arial"/>
        <family val="0"/>
        <charset val="1"/>
      </rPr>
      <t xml:space="preserve">: </t>
    </r>
    <r>
      <rPr>
        <b val="true"/>
        <sz val="10"/>
        <color rgb="FFFFFFFF"/>
        <rFont val="WenQuanYi Zen Hei"/>
        <family val="2"/>
      </rPr>
      <t xml:space="preserve">금요일 밤</t>
    </r>
    <r>
      <rPr>
        <b val="true"/>
        <sz val="10"/>
        <color rgb="FFFFFFFF"/>
        <rFont val="Arial"/>
        <family val="0"/>
        <charset val="1"/>
      </rPr>
      <t xml:space="preserve">. </t>
    </r>
    <r>
      <rPr>
        <b val="true"/>
        <sz val="10"/>
        <color rgb="FFFFFFFF"/>
        <rFont val="WenQuanYi Zen Hei"/>
        <family val="2"/>
      </rPr>
      <t xml:space="preserve">과거</t>
    </r>
    <r>
      <rPr>
        <b val="true"/>
        <sz val="10"/>
        <color rgb="FFFFFFFF"/>
        <rFont val="Arial"/>
        <family val="0"/>
        <charset val="1"/>
      </rPr>
      <t xml:space="preserve">: </t>
    </r>
    <r>
      <rPr>
        <b val="true"/>
        <sz val="10"/>
        <color rgb="FFFFFFFF"/>
        <rFont val="WenQuanYi Zen Hei"/>
        <family val="2"/>
      </rPr>
      <t xml:space="preserve">약 </t>
    </r>
    <r>
      <rPr>
        <b val="true"/>
        <sz val="10"/>
        <color rgb="FFFFFFFF"/>
        <rFont val="Arial"/>
        <family val="0"/>
        <charset val="1"/>
      </rPr>
      <t xml:space="preserve">4</t>
    </r>
    <r>
      <rPr>
        <b val="true"/>
        <sz val="10"/>
        <color rgb="FFFFFFFF"/>
        <rFont val="WenQuanYi Zen Hei"/>
        <family val="2"/>
      </rPr>
      <t xml:space="preserve">년 전</t>
    </r>
    <r>
      <rPr>
        <b val="true"/>
        <sz val="10"/>
        <color rgb="FFFFFFFF"/>
        <rFont val="Arial"/>
        <family val="0"/>
        <charset val="1"/>
      </rPr>
      <t xml:space="preserve">, Hôpital Saint-Bernard(</t>
    </r>
    <r>
      <rPr>
        <b val="true"/>
        <sz val="10"/>
        <color rgb="FFFFFFFF"/>
        <rFont val="WenQuanYi Zen Hei"/>
        <family val="2"/>
      </rPr>
      <t xml:space="preserve">가상</t>
    </r>
    <r>
      <rPr>
        <b val="true"/>
        <sz val="10"/>
        <color rgb="FFFFFFFF"/>
        <rFont val="Arial"/>
        <family val="0"/>
        <charset val="1"/>
      </rPr>
      <t xml:space="preserve">) </t>
    </r>
    <r>
      <rPr>
        <b val="true"/>
        <sz val="10"/>
        <color rgb="FFFFFFFF"/>
        <rFont val="WenQuanYi Zen Hei"/>
        <family val="2"/>
      </rPr>
      <t xml:space="preserve">응급실</t>
    </r>
    <r>
      <rPr>
        <b val="true"/>
        <sz val="10"/>
        <color rgb="FFFFFFFF"/>
        <rFont val="Arial"/>
        <family val="0"/>
        <charset val="1"/>
      </rPr>
      <t xml:space="preserve">.</t>
    </r>
  </si>
  <si>
    <t xml:space="preserve">인간의 생명과 공공 보건이라는 정서적 무게. Groupe Méridien의 두 번째 얼굴(병원 외주·컨설팅)을 보여 주고, 폭염·고령 환자·서류 없는 환자 등 현안을 응급실에서 체감하게 한다.</t>
  </si>
  <si>
    <t xml:space="preserve">응급의가 예산 압박과 병원 외주 속에서 환자를 잃기 시작하고, 이름을 적어 두다가 내부 보고를 올리지만 징계로 돌아온다.</t>
  </si>
  <si>
    <t xml:space="preserve">시스템을 믿는 의사 → 이름 명단만 든 사직자.</t>
  </si>
  <si>
    <t xml:space="preserve">의료 윤리 vs 관리 효율 / 침묵하는 동료들</t>
  </si>
  <si>
    <t xml:space="preserve">발단(1~3화): 금요일 프레임, 야간 근무(Nicolas 진료), 폭염 환자 폭증.</t>
  </si>
  <si>
    <t xml:space="preserve">전개(4~5화): 병원 외주 발표(컨설턴트 Léa 등장), 프레임에서 수첩 명단과 Napoléon이 움켜쥐는 배.</t>
  </si>
  <si>
    <t xml:space="preserve">미드포인트(6화): '명단의 첫 번째' — 서류 없는 환자가 병상 지연으로 들것 위에서 숨진다.</t>
  </si>
  <si>
    <t xml:space="preserve">위기(7~9화): 원장의 통계, 징계 절차, 프레임에서 Sartre의 되묻기.</t>
  </si>
  <si>
    <t xml:space="preserve">절정(10~11화): 병상 없는 밤(백색 계획), 사직.</t>
  </si>
  <si>
    <t xml:space="preserve">결말·훅(12화): 계약 감사보고서에 서명한 사람이 있다 — Julien의 차례.</t>
  </si>
  <si>
    <r>
      <rPr>
        <sz val="10"/>
        <rFont val="Arial"/>
        <family val="0"/>
        <charset val="1"/>
      </rPr>
      <t xml:space="preserve">Camille: </t>
    </r>
    <r>
      <rPr>
        <sz val="10"/>
        <rFont val="WenQuanYi Zen Hei"/>
        <family val="2"/>
      </rPr>
      <t xml:space="preserve">짧은 문장</t>
    </r>
    <r>
      <rPr>
        <sz val="10"/>
        <rFont val="Arial"/>
        <family val="0"/>
        <charset val="1"/>
      </rPr>
      <t xml:space="preserve">·</t>
    </r>
    <r>
      <rPr>
        <sz val="10"/>
        <rFont val="WenQuanYi Zen Hei"/>
        <family val="2"/>
      </rPr>
      <t xml:space="preserve">명령형</t>
    </r>
    <r>
      <rPr>
        <sz val="10"/>
        <rFont val="Arial"/>
        <family val="0"/>
        <charset val="1"/>
      </rPr>
      <t xml:space="preserve">·</t>
    </r>
    <r>
      <rPr>
        <sz val="10"/>
        <rFont val="WenQuanYi Zen Hei"/>
        <family val="2"/>
      </rPr>
      <t xml:space="preserve">블랙유머</t>
    </r>
    <r>
      <rPr>
        <sz val="10"/>
        <rFont val="Arial"/>
        <family val="0"/>
        <charset val="1"/>
      </rPr>
      <t xml:space="preserve">. </t>
    </r>
    <r>
      <rPr>
        <sz val="10"/>
        <rFont val="WenQuanYi Zen Hei"/>
        <family val="2"/>
      </rPr>
      <t xml:space="preserve">가상 인물</t>
    </r>
    <r>
      <rPr>
        <sz val="10"/>
        <rFont val="Arial"/>
        <family val="0"/>
        <charset val="1"/>
      </rPr>
      <t xml:space="preserve">: Sandrine(</t>
    </r>
    <r>
      <rPr>
        <sz val="10"/>
        <rFont val="WenQuanYi Zen Hei"/>
        <family val="2"/>
      </rPr>
      <t xml:space="preserve">간호사</t>
    </r>
    <r>
      <rPr>
        <sz val="10"/>
        <rFont val="Arial"/>
        <family val="0"/>
        <charset val="1"/>
      </rPr>
      <t xml:space="preserve">), </t>
    </r>
    <r>
      <rPr>
        <sz val="10"/>
        <rFont val="WenQuanYi Zen Hei"/>
        <family val="2"/>
      </rPr>
      <t xml:space="preserve">원장</t>
    </r>
    <r>
      <rPr>
        <sz val="10"/>
        <rFont val="Arial"/>
        <family val="0"/>
        <charset val="1"/>
      </rPr>
      <t xml:space="preserve">. </t>
    </r>
    <r>
      <rPr>
        <sz val="10"/>
        <rFont val="WenQuanYi Zen Hei"/>
        <family val="2"/>
      </rPr>
      <t xml:space="preserve">교차 카메오</t>
    </r>
    <r>
      <rPr>
        <sz val="10"/>
        <rFont val="Arial"/>
        <family val="0"/>
        <charset val="1"/>
      </rPr>
      <t xml:space="preserve">: Nicolas(</t>
    </r>
    <r>
      <rPr>
        <sz val="10"/>
        <rFont val="WenQuanYi Zen Hei"/>
        <family val="2"/>
      </rPr>
      <t xml:space="preserve">환자</t>
    </r>
    <r>
      <rPr>
        <sz val="10"/>
        <rFont val="Arial"/>
        <family val="0"/>
        <charset val="1"/>
      </rPr>
      <t xml:space="preserve">), Léa(</t>
    </r>
    <r>
      <rPr>
        <sz val="10"/>
        <rFont val="WenQuanYi Zen Hei"/>
        <family val="2"/>
      </rPr>
      <t xml:space="preserve">효율 발표</t>
    </r>
    <r>
      <rPr>
        <sz val="10"/>
        <rFont val="Arial"/>
        <family val="0"/>
        <charset val="1"/>
      </rPr>
      <t xml:space="preserve">), Julien(</t>
    </r>
    <r>
      <rPr>
        <sz val="10"/>
        <rFont val="WenQuanYi Zen Hei"/>
        <family val="2"/>
      </rPr>
      <t xml:space="preserve">외주 업체 자문</t>
    </r>
    <r>
      <rPr>
        <sz val="10"/>
        <rFont val="Arial"/>
        <family val="0"/>
        <charset val="1"/>
      </rPr>
      <t xml:space="preserve">), Voltaire(</t>
    </r>
    <r>
      <rPr>
        <sz val="10"/>
        <rFont val="WenQuanYi Zen Hei"/>
        <family val="2"/>
      </rPr>
      <t xml:space="preserve">취재</t>
    </r>
    <r>
      <rPr>
        <sz val="10"/>
        <rFont val="Arial"/>
        <family val="0"/>
        <charset val="1"/>
      </rPr>
      <t xml:space="preserve">).</t>
    </r>
  </si>
  <si>
    <r>
      <rPr>
        <sz val="10"/>
        <rFont val="Arial"/>
        <family val="0"/>
        <charset val="1"/>
      </rPr>
      <t xml:space="preserve">Napoléon</t>
    </r>
    <r>
      <rPr>
        <sz val="10"/>
        <rFont val="WenQuanYi Zen Hei"/>
        <family val="2"/>
      </rPr>
      <t xml:space="preserve">의 복통</t>
    </r>
    <r>
      <rPr>
        <sz val="10"/>
        <rFont val="Arial"/>
        <family val="0"/>
        <charset val="1"/>
      </rPr>
      <t xml:space="preserve">·</t>
    </r>
    <r>
      <rPr>
        <sz val="10"/>
        <rFont val="WenQuanYi Zen Hei"/>
        <family val="2"/>
      </rPr>
      <t xml:space="preserve">식사 거름</t>
    </r>
    <r>
      <rPr>
        <sz val="10"/>
        <rFont val="Arial"/>
        <family val="0"/>
        <charset val="1"/>
      </rPr>
      <t xml:space="preserve">(→11</t>
    </r>
    <r>
      <rPr>
        <sz val="10"/>
        <rFont val="WenQuanYi Zen Hei"/>
        <family val="2"/>
      </rPr>
      <t xml:space="preserve">부 </t>
    </r>
    <r>
      <rPr>
        <sz val="10"/>
        <rFont val="Arial"/>
        <family val="0"/>
        <charset val="1"/>
      </rPr>
      <t xml:space="preserve">6~12</t>
    </r>
    <r>
      <rPr>
        <sz val="10"/>
        <rFont val="WenQuanYi Zen Hei"/>
        <family val="2"/>
      </rPr>
      <t xml:space="preserve">화 위의 병</t>
    </r>
    <r>
      <rPr>
        <sz val="10"/>
        <rFont val="Arial"/>
        <family val="0"/>
        <charset val="1"/>
      </rPr>
      <t xml:space="preserve">) / Camille</t>
    </r>
    <r>
      <rPr>
        <sz val="10"/>
        <rFont val="WenQuanYi Zen Hei"/>
        <family val="2"/>
      </rPr>
      <t xml:space="preserve">의 이름 명단</t>
    </r>
    <r>
      <rPr>
        <sz val="10"/>
        <rFont val="Arial"/>
        <family val="0"/>
        <charset val="1"/>
      </rPr>
      <t xml:space="preserve">(→13</t>
    </r>
    <r>
      <rPr>
        <sz val="10"/>
        <rFont val="WenQuanYi Zen Hei"/>
        <family val="2"/>
      </rPr>
      <t xml:space="preserve">부 </t>
    </r>
    <r>
      <rPr>
        <sz val="10"/>
        <rFont val="Arial"/>
        <family val="0"/>
        <charset val="1"/>
      </rPr>
      <t xml:space="preserve">7</t>
    </r>
    <r>
      <rPr>
        <sz val="10"/>
        <rFont val="WenQuanYi Zen Hei"/>
        <family val="2"/>
      </rPr>
      <t xml:space="preserve">화</t>
    </r>
    <r>
      <rPr>
        <sz val="10"/>
        <rFont val="Arial"/>
        <family val="0"/>
        <charset val="1"/>
      </rPr>
      <t xml:space="preserve">) / </t>
    </r>
    <r>
      <rPr>
        <sz val="10"/>
        <rFont val="WenQuanYi Zen Hei"/>
        <family val="2"/>
      </rPr>
      <t xml:space="preserve">외주 계약</t>
    </r>
    <r>
      <rPr>
        <sz val="10"/>
        <rFont val="Arial"/>
        <family val="0"/>
        <charset val="1"/>
      </rPr>
      <t xml:space="preserve">(→9</t>
    </r>
    <r>
      <rPr>
        <sz val="10"/>
        <rFont val="WenQuanYi Zen Hei"/>
        <family val="2"/>
      </rPr>
      <t xml:space="preserve">부 </t>
    </r>
    <r>
      <rPr>
        <sz val="10"/>
        <rFont val="Arial"/>
        <family val="0"/>
        <charset val="1"/>
      </rPr>
      <t xml:space="preserve">7</t>
    </r>
    <r>
      <rPr>
        <sz val="10"/>
        <rFont val="WenQuanYi Zen Hei"/>
        <family val="2"/>
      </rPr>
      <t xml:space="preserve">화</t>
    </r>
    <r>
      <rPr>
        <sz val="10"/>
        <rFont val="Arial"/>
        <family val="0"/>
        <charset val="1"/>
      </rPr>
      <t xml:space="preserve">, 11</t>
    </r>
    <r>
      <rPr>
        <sz val="10"/>
        <rFont val="WenQuanYi Zen Hei"/>
        <family val="2"/>
      </rPr>
      <t xml:space="preserve">부 </t>
    </r>
    <r>
      <rPr>
        <sz val="10"/>
        <rFont val="Arial"/>
        <family val="0"/>
        <charset val="1"/>
      </rPr>
      <t xml:space="preserve">4</t>
    </r>
    <r>
      <rPr>
        <sz val="10"/>
        <rFont val="WenQuanYi Zen Hei"/>
        <family val="2"/>
      </rPr>
      <t xml:space="preserve">화</t>
    </r>
    <r>
      <rPr>
        <sz val="10"/>
        <rFont val="Arial"/>
        <family val="0"/>
        <charset val="1"/>
      </rPr>
      <t xml:space="preserve">)</t>
    </r>
  </si>
  <si>
    <t xml:space="preserve">S4● S3○ S2○ P3○</t>
  </si>
  <si>
    <t xml:space="preserve">병원 외주(externalisation)와 공공부문 컨설팅 계약, 지역보건청(ARS)·AP-HP 체계, 분류(tri), 서류 없는 환자의 응급 진료권, 공무원 징계 절차</t>
  </si>
  <si>
    <r>
      <rPr>
        <sz val="10"/>
        <rFont val="Arial"/>
        <family val="0"/>
        <charset val="1"/>
      </rPr>
      <t xml:space="preserve">B2~C1. </t>
    </r>
    <r>
      <rPr>
        <sz val="10"/>
        <rFont val="WenQuanYi Zen Hei"/>
        <family val="2"/>
      </rPr>
      <t xml:space="preserve">의학 어휘</t>
    </r>
    <r>
      <rPr>
        <sz val="10"/>
        <rFont val="Arial"/>
        <family val="0"/>
        <charset val="1"/>
      </rPr>
      <t xml:space="preserve">, </t>
    </r>
    <r>
      <rPr>
        <sz val="10"/>
        <rFont val="WenQuanYi Zen Hei"/>
        <family val="2"/>
      </rPr>
      <t xml:space="preserve">짧은 명령형</t>
    </r>
    <r>
      <rPr>
        <sz val="10"/>
        <rFont val="Arial"/>
        <family val="0"/>
        <charset val="1"/>
      </rPr>
      <t xml:space="preserve">, </t>
    </r>
    <r>
      <rPr>
        <sz val="10"/>
        <rFont val="WenQuanYi Zen Hei"/>
        <family val="2"/>
      </rPr>
      <t xml:space="preserve">긴박한 호흡</t>
    </r>
    <r>
      <rPr>
        <sz val="10"/>
        <rFont val="Arial"/>
        <family val="0"/>
        <charset val="1"/>
      </rPr>
      <t xml:space="preserve">. </t>
    </r>
    <r>
      <rPr>
        <sz val="10"/>
        <rFont val="WenQuanYi Zen Hei"/>
        <family val="2"/>
      </rPr>
      <t xml:space="preserve">발성</t>
    </r>
    <r>
      <rPr>
        <sz val="10"/>
        <rFont val="Arial"/>
        <family val="0"/>
        <charset val="1"/>
      </rPr>
      <t xml:space="preserve">: </t>
    </r>
    <r>
      <rPr>
        <sz val="10"/>
        <rFont val="WenQuanYi Zen Hei"/>
        <family val="2"/>
      </rPr>
      <t xml:space="preserve">빠른 템포와 짧은 호흡</t>
    </r>
    <r>
      <rPr>
        <sz val="10"/>
        <rFont val="Arial"/>
        <family val="0"/>
        <charset val="1"/>
      </rPr>
      <t xml:space="preserve">.</t>
    </r>
  </si>
  <si>
    <r>
      <rPr>
        <sz val="10"/>
        <rFont val="Arial"/>
        <family val="0"/>
        <charset val="1"/>
      </rPr>
      <t xml:space="preserve">Manon: tri·constantes·sepsis </t>
    </r>
    <r>
      <rPr>
        <sz val="10"/>
        <rFont val="WenQuanYi Zen Hei"/>
        <family val="2"/>
      </rPr>
      <t xml:space="preserve">등 의학 용어</t>
    </r>
    <r>
      <rPr>
        <sz val="10"/>
        <rFont val="Arial"/>
        <family val="0"/>
        <charset val="1"/>
      </rPr>
      <t xml:space="preserve">. </t>
    </r>
    <r>
      <rPr>
        <sz val="10"/>
        <rFont val="WenQuanYi Zen Hei"/>
        <family val="2"/>
      </rPr>
      <t xml:space="preserve">카드</t>
    </r>
    <r>
      <rPr>
        <sz val="10"/>
        <rFont val="Arial"/>
        <family val="0"/>
        <charset val="1"/>
      </rPr>
      <t xml:space="preserve">: </t>
    </r>
    <r>
      <rPr>
        <sz val="10"/>
        <rFont val="WenQuanYi Zen Hei"/>
        <family val="2"/>
      </rPr>
      <t xml:space="preserve">공중보건법전</t>
    </r>
    <r>
      <rPr>
        <sz val="10"/>
        <rFont val="Arial"/>
        <family val="0"/>
        <charset val="1"/>
      </rPr>
      <t xml:space="preserve">(Code de la santé publique), 2002</t>
    </r>
    <r>
      <rPr>
        <sz val="10"/>
        <rFont val="WenQuanYi Zen Hei"/>
        <family val="2"/>
      </rPr>
      <t xml:space="preserve">년 </t>
    </r>
    <r>
      <rPr>
        <sz val="10"/>
        <rFont val="Arial"/>
        <family val="0"/>
        <charset val="1"/>
      </rPr>
      <t xml:space="preserve">3</t>
    </r>
    <r>
      <rPr>
        <sz val="10"/>
        <rFont val="WenQuanYi Zen Hei"/>
        <family val="2"/>
      </rPr>
      <t xml:space="preserve">월 </t>
    </r>
    <r>
      <rPr>
        <sz val="10"/>
        <rFont val="Arial"/>
        <family val="0"/>
        <charset val="1"/>
      </rPr>
      <t xml:space="preserve">4</t>
    </r>
    <r>
      <rPr>
        <sz val="10"/>
        <rFont val="WenQuanYi Zen Hei"/>
        <family val="2"/>
      </rPr>
      <t xml:space="preserve">일 환자권리법</t>
    </r>
    <r>
      <rPr>
        <sz val="10"/>
        <rFont val="Arial"/>
        <family val="0"/>
        <charset val="1"/>
      </rPr>
      <t xml:space="preserve">, AP-HP.</t>
    </r>
  </si>
  <si>
    <r>
      <rPr>
        <sz val="10"/>
        <rFont val="Arial"/>
        <family val="0"/>
        <charset val="1"/>
      </rPr>
      <t xml:space="preserve">4</t>
    </r>
    <r>
      <rPr>
        <sz val="10"/>
        <rFont val="WenQuanYi Zen Hei"/>
        <family val="2"/>
      </rPr>
      <t xml:space="preserve">부</t>
    </r>
    <r>
      <rPr>
        <sz val="10"/>
        <rFont val="Arial"/>
        <family val="0"/>
        <charset val="1"/>
      </rPr>
      <t xml:space="preserve">: Julien — «À moi.» </t>
    </r>
    <r>
      <rPr>
        <sz val="10"/>
        <rFont val="WenQuanYi Zen Hei"/>
        <family val="2"/>
      </rPr>
      <t xml:space="preserve">그 서명의 주인</t>
    </r>
    <r>
      <rPr>
        <sz val="10"/>
        <rFont val="Arial"/>
        <family val="0"/>
        <charset val="1"/>
      </rPr>
      <t xml:space="preserve">.</t>
    </r>
  </si>
  <si>
    <r>
      <rPr>
        <b val="true"/>
        <sz val="10"/>
        <color rgb="FFFFFFFF"/>
        <rFont val="Arial"/>
        <family val="0"/>
        <charset val="1"/>
      </rPr>
      <t xml:space="preserve">L'Auditeur — </t>
    </r>
    <r>
      <rPr>
        <b val="true"/>
        <sz val="10"/>
        <color rgb="FFFFFFFF"/>
        <rFont val="WenQuanYi Zen Hei"/>
        <family val="2"/>
      </rPr>
      <t xml:space="preserve">회계감사인   </t>
    </r>
    <r>
      <rPr>
        <b val="true"/>
        <sz val="10"/>
        <color rgb="FFFFFFFF"/>
        <rFont val="Arial"/>
        <family val="0"/>
        <charset val="1"/>
      </rPr>
      <t xml:space="preserve">|   </t>
    </r>
    <r>
      <rPr>
        <b val="true"/>
        <sz val="10"/>
        <color rgb="FFFFFFFF"/>
        <rFont val="WenQuanYi Zen Hei"/>
        <family val="2"/>
      </rPr>
      <t xml:space="preserve">난이도 </t>
    </r>
    <r>
      <rPr>
        <b val="true"/>
        <sz val="10"/>
        <color rgb="FFFFFFFF"/>
        <rFont val="Arial"/>
        <family val="0"/>
        <charset val="1"/>
      </rPr>
      <t xml:space="preserve">B2~C1   |   </t>
    </r>
    <r>
      <rPr>
        <b val="true"/>
        <sz val="10"/>
        <color rgb="FFFFFFFF"/>
        <rFont val="WenQuanYi Zen Hei"/>
        <family val="2"/>
      </rPr>
      <t xml:space="preserve">프레임</t>
    </r>
    <r>
      <rPr>
        <b val="true"/>
        <sz val="10"/>
        <color rgb="FFFFFFFF"/>
        <rFont val="Arial"/>
        <family val="0"/>
        <charset val="1"/>
      </rPr>
      <t xml:space="preserve">: </t>
    </r>
    <r>
      <rPr>
        <b val="true"/>
        <sz val="10"/>
        <color rgb="FFFFFFFF"/>
        <rFont val="WenQuanYi Zen Hei"/>
        <family val="2"/>
      </rPr>
      <t xml:space="preserve">금요일 밤</t>
    </r>
    <r>
      <rPr>
        <b val="true"/>
        <sz val="10"/>
        <color rgb="FFFFFFFF"/>
        <rFont val="Arial"/>
        <family val="0"/>
        <charset val="1"/>
      </rPr>
      <t xml:space="preserve">. </t>
    </r>
    <r>
      <rPr>
        <b val="true"/>
        <sz val="10"/>
        <color rgb="FFFFFFFF"/>
        <rFont val="WenQuanYi Zen Hei"/>
        <family val="2"/>
      </rPr>
      <t xml:space="preserve">과거</t>
    </r>
    <r>
      <rPr>
        <b val="true"/>
        <sz val="10"/>
        <color rgb="FFFFFFFF"/>
        <rFont val="Arial"/>
        <family val="0"/>
        <charset val="1"/>
      </rPr>
      <t xml:space="preserve">: </t>
    </r>
    <r>
      <rPr>
        <b val="true"/>
        <sz val="10"/>
        <color rgb="FFFFFFFF"/>
        <rFont val="WenQuanYi Zen Hei"/>
        <family val="2"/>
      </rPr>
      <t xml:space="preserve">약 </t>
    </r>
    <r>
      <rPr>
        <b val="true"/>
        <sz val="10"/>
        <color rgb="FFFFFFFF"/>
        <rFont val="Arial"/>
        <family val="0"/>
        <charset val="1"/>
      </rPr>
      <t xml:space="preserve">3</t>
    </r>
    <r>
      <rPr>
        <b val="true"/>
        <sz val="10"/>
        <color rgb="FFFFFFFF"/>
        <rFont val="WenQuanYi Zen Hei"/>
        <family val="2"/>
      </rPr>
      <t xml:space="preserve">년 전</t>
    </r>
    <r>
      <rPr>
        <b val="true"/>
        <sz val="10"/>
        <color rgb="FFFFFFFF"/>
        <rFont val="Arial"/>
        <family val="0"/>
        <charset val="1"/>
      </rPr>
      <t xml:space="preserve">, Bertin &amp; Roux Audit(</t>
    </r>
    <r>
      <rPr>
        <b val="true"/>
        <sz val="10"/>
        <color rgb="FFFFFFFF"/>
        <rFont val="WenQuanYi Zen Hei"/>
        <family val="2"/>
      </rPr>
      <t xml:space="preserve">가상</t>
    </r>
    <r>
      <rPr>
        <b val="true"/>
        <sz val="10"/>
        <color rgb="FFFFFFFF"/>
        <rFont val="Arial"/>
        <family val="0"/>
        <charset val="1"/>
      </rPr>
      <t xml:space="preserve">).</t>
    </r>
  </si>
  <si>
    <t xml:space="preserve">돈의 흐름과 '서명의 책임'. 부패의 공모가 일상 업무의 얼굴로 온다는 것을 보여 주고, 이후 아크의 결정적 증거(USB)를 만든다.</t>
  </si>
  <si>
    <t xml:space="preserve">시니어 파트너가 최대 고객의 이상 거래를 발견하지만, 압박과 승진 앞에서 결국 '깨끗한' 의견서에 서명하고 그 서명이 다른 사람의 죽음과 해고에 쓰인다.</t>
  </si>
  <si>
    <t xml:space="preserve">정확함을 자랑하던 감사인 → '서명한 사람'. 다시는 서명하지 않겠다는 다짐.</t>
  </si>
  <si>
    <t xml:space="preserve">감사인의 독립성 vs 수임료 / 정확함 vs 생존</t>
  </si>
  <si>
    <t xml:space="preserve">발단(1~3화): '내가 서명했다' 프레임, 결산 마감, 돈 잘 주는 고객.</t>
  </si>
  <si>
    <t xml:space="preserve">전개(4~5화): '이건 안 맞아' — 특수관계자 대출 발견 / 프레임에서 아버지 이야기.</t>
  </si>
  <si>
    <t xml:space="preserve">미드포인트(6화): 파트너 회의 — 한정 의견 주장, 리스크 위원회로 에스컬레이션.</t>
  </si>
  <si>
    <t xml:space="preserve">위기(7~9화): 위원회의 '증거 불충분', 16구의 점심(위협), 프레임 '서명했나요?'.</t>
  </si>
  <si>
    <t xml:space="preserve">절정(10~11화): 서명, 그리고 서명 이후 — 계약 확정과 구조조정 통보, 사직.</t>
  </si>
  <si>
    <t xml:space="preserve">결말·훅(12화): 프레임에서 Léa — «C'est moi qui faisais la liste.»</t>
  </si>
  <si>
    <r>
      <rPr>
        <sz val="10"/>
        <rFont val="Arial"/>
        <family val="0"/>
        <charset val="1"/>
      </rPr>
      <t xml:space="preserve">Julien: </t>
    </r>
    <r>
      <rPr>
        <sz val="10"/>
        <rFont val="WenQuanYi Zen Hei"/>
        <family val="2"/>
      </rPr>
      <t xml:space="preserve">건조</t>
    </r>
    <r>
      <rPr>
        <sz val="10"/>
        <rFont val="Arial"/>
        <family val="0"/>
        <charset val="1"/>
      </rPr>
      <t xml:space="preserve">·</t>
    </r>
    <r>
      <rPr>
        <sz val="10"/>
        <rFont val="WenQuanYi Zen Hei"/>
        <family val="2"/>
      </rPr>
      <t xml:space="preserve">정확</t>
    </r>
    <r>
      <rPr>
        <sz val="10"/>
        <rFont val="Arial"/>
        <family val="0"/>
        <charset val="1"/>
      </rPr>
      <t xml:space="preserve">, </t>
    </r>
    <r>
      <rPr>
        <sz val="10"/>
        <rFont val="WenQuanYi Zen Hei"/>
        <family val="2"/>
      </rPr>
      <t xml:space="preserve">숫자 낭독</t>
    </r>
    <r>
      <rPr>
        <sz val="10"/>
        <rFont val="Arial"/>
        <family val="0"/>
        <charset val="1"/>
      </rPr>
      <t xml:space="preserve">. </t>
    </r>
    <r>
      <rPr>
        <sz val="10"/>
        <rFont val="WenQuanYi Zen Hei"/>
        <family val="2"/>
      </rPr>
      <t xml:space="preserve">가상 인물</t>
    </r>
    <r>
      <rPr>
        <sz val="10"/>
        <rFont val="Arial"/>
        <family val="0"/>
        <charset val="1"/>
      </rPr>
      <t xml:space="preserve">: Bertin(</t>
    </r>
    <r>
      <rPr>
        <sz val="10"/>
        <rFont val="WenQuanYi Zen Hei"/>
        <family val="2"/>
      </rPr>
      <t xml:space="preserve">대표 파트너</t>
    </r>
    <r>
      <rPr>
        <sz val="10"/>
        <rFont val="Arial"/>
        <family val="0"/>
        <charset val="1"/>
      </rPr>
      <t xml:space="preserve">). </t>
    </r>
    <r>
      <rPr>
        <sz val="10"/>
        <rFont val="WenQuanYi Zen Hei"/>
        <family val="2"/>
      </rPr>
      <t xml:space="preserve">교차 카메오</t>
    </r>
    <r>
      <rPr>
        <sz val="10"/>
        <rFont val="Arial"/>
        <family val="0"/>
        <charset val="1"/>
      </rPr>
      <t xml:space="preserve">: Philippe(</t>
    </r>
    <r>
      <rPr>
        <sz val="10"/>
        <rFont val="WenQuanYi Zen Hei"/>
        <family val="2"/>
      </rPr>
      <t xml:space="preserve">자료 제공</t>
    </r>
    <r>
      <rPr>
        <sz val="10"/>
        <rFont val="Arial"/>
        <family val="0"/>
        <charset val="1"/>
      </rPr>
      <t xml:space="preserve">), Verdier(</t>
    </r>
    <r>
      <rPr>
        <sz val="10"/>
        <rFont val="WenQuanYi Zen Hei"/>
        <family val="2"/>
      </rPr>
      <t xml:space="preserve">회유</t>
    </r>
    <r>
      <rPr>
        <sz val="10"/>
        <rFont val="Arial"/>
        <family val="0"/>
        <charset val="1"/>
      </rPr>
      <t xml:space="preserve">), Voltaire(</t>
    </r>
    <r>
      <rPr>
        <sz val="10"/>
        <rFont val="WenQuanYi Zen Hei"/>
        <family val="2"/>
      </rPr>
      <t xml:space="preserve">전화</t>
    </r>
    <r>
      <rPr>
        <sz val="10"/>
        <rFont val="Arial"/>
        <family val="0"/>
        <charset val="1"/>
      </rPr>
      <t xml:space="preserve">), Léa(</t>
    </r>
    <r>
      <rPr>
        <sz val="10"/>
        <rFont val="WenQuanYi Zen Hei"/>
        <family val="2"/>
      </rPr>
      <t xml:space="preserve">구조조정 통보</t>
    </r>
    <r>
      <rPr>
        <sz val="10"/>
        <rFont val="Arial"/>
        <family val="0"/>
        <charset val="1"/>
      </rPr>
      <t xml:space="preserve">).</t>
    </r>
  </si>
  <si>
    <t xml:space="preserve">복사본 USB(→6부 5화, 7부 5~6화) / «Je ne signe que ce que j'ai vérifié»(→11부 10화) / Philippe 첫 접점(→7부 5화)</t>
  </si>
  <si>
    <r>
      <rPr>
        <sz val="10"/>
        <rFont val="Arial"/>
        <family val="0"/>
        <charset val="1"/>
      </rPr>
      <t xml:space="preserve">—(</t>
    </r>
    <r>
      <rPr>
        <sz val="10"/>
        <rFont val="WenQuanYi Zen Hei"/>
        <family val="2"/>
      </rPr>
      <t xml:space="preserve">정치 현안 없음</t>
    </r>
    <r>
      <rPr>
        <sz val="10"/>
        <rFont val="Arial"/>
        <family val="0"/>
        <charset val="1"/>
      </rPr>
      <t xml:space="preserve">, </t>
    </r>
    <r>
      <rPr>
        <sz val="10"/>
        <rFont val="WenQuanYi Zen Hei"/>
        <family val="2"/>
      </rPr>
      <t xml:space="preserve">감사</t>
    </r>
    <r>
      <rPr>
        <sz val="10"/>
        <rFont val="Arial"/>
        <family val="0"/>
        <charset val="1"/>
      </rPr>
      <t xml:space="preserve">·</t>
    </r>
    <r>
      <rPr>
        <sz val="10"/>
        <rFont val="WenQuanYi Zen Hei"/>
        <family val="2"/>
      </rPr>
      <t xml:space="preserve">자금세탁 중심</t>
    </r>
    <r>
      <rPr>
        <sz val="10"/>
        <rFont val="Arial"/>
        <family val="0"/>
        <charset val="1"/>
      </rPr>
      <t xml:space="preserve">)</t>
    </r>
  </si>
  <si>
    <t xml:space="preserve">법정감사(commissaire aux comptes: 독립성·교체, 감독기구 H2A), 자금세탁방지(통화금융법전 L.561-1조 이하, TRACFIN), 특수관계자 거래, 의견 종류(sans réserve / avec réserve / refus / impossibilité de certifier)</t>
  </si>
  <si>
    <r>
      <rPr>
        <sz val="10"/>
        <rFont val="Arial"/>
        <family val="0"/>
        <charset val="1"/>
      </rPr>
      <t xml:space="preserve">B2~C1. </t>
    </r>
    <r>
      <rPr>
        <sz val="10"/>
        <rFont val="WenQuanYi Zen Hei"/>
        <family val="2"/>
      </rPr>
      <t xml:space="preserve">숫자 낭독</t>
    </r>
    <r>
      <rPr>
        <sz val="10"/>
        <rFont val="Arial"/>
        <family val="0"/>
        <charset val="1"/>
      </rPr>
      <t xml:space="preserve">, </t>
    </r>
    <r>
      <rPr>
        <sz val="10"/>
        <rFont val="WenQuanYi Zen Hei"/>
        <family val="2"/>
      </rPr>
      <t xml:space="preserve">수동태</t>
    </r>
    <r>
      <rPr>
        <sz val="10"/>
        <rFont val="Arial"/>
        <family val="0"/>
        <charset val="1"/>
      </rPr>
      <t xml:space="preserve">·</t>
    </r>
    <r>
      <rPr>
        <sz val="10"/>
        <rFont val="WenQuanYi Zen Hei"/>
        <family val="2"/>
      </rPr>
      <t xml:space="preserve">조건법</t>
    </r>
    <r>
      <rPr>
        <sz val="10"/>
        <rFont val="Arial"/>
        <family val="0"/>
        <charset val="1"/>
      </rPr>
      <t xml:space="preserve">, </t>
    </r>
    <r>
      <rPr>
        <sz val="10"/>
        <rFont val="WenQuanYi Zen Hei"/>
        <family val="2"/>
      </rPr>
      <t xml:space="preserve">감사 보고서체</t>
    </r>
    <r>
      <rPr>
        <sz val="10"/>
        <rFont val="Arial"/>
        <family val="0"/>
        <charset val="1"/>
      </rPr>
      <t xml:space="preserve">. </t>
    </r>
    <r>
      <rPr>
        <sz val="10"/>
        <rFont val="WenQuanYi Zen Hei"/>
        <family val="2"/>
      </rPr>
      <t xml:space="preserve">발성</t>
    </r>
    <r>
      <rPr>
        <sz val="10"/>
        <rFont val="Arial"/>
        <family val="0"/>
        <charset val="1"/>
      </rPr>
      <t xml:space="preserve">: </t>
    </r>
    <r>
      <rPr>
        <sz val="10"/>
        <rFont val="WenQuanYi Zen Hei"/>
        <family val="2"/>
      </rPr>
      <t xml:space="preserve">일정한 속도</t>
    </r>
    <r>
      <rPr>
        <sz val="10"/>
        <rFont val="Arial"/>
        <family val="0"/>
        <charset val="1"/>
      </rPr>
      <t xml:space="preserve">, </t>
    </r>
    <r>
      <rPr>
        <sz val="10"/>
        <rFont val="WenQuanYi Zen Hei"/>
        <family val="2"/>
      </rPr>
      <t xml:space="preserve">결론 문장에서 톤 낮춤</t>
    </r>
    <r>
      <rPr>
        <sz val="10"/>
        <rFont val="Arial"/>
        <family val="0"/>
        <charset val="1"/>
      </rPr>
      <t xml:space="preserve">.</t>
    </r>
  </si>
  <si>
    <r>
      <rPr>
        <sz val="10"/>
        <rFont val="Arial"/>
        <family val="0"/>
        <charset val="1"/>
      </rPr>
      <t xml:space="preserve">Manon: bilan·compte de résultat·seuil de signification </t>
    </r>
    <r>
      <rPr>
        <sz val="10"/>
        <rFont val="WenQuanYi Zen Hei"/>
        <family val="2"/>
      </rPr>
      <t xml:space="preserve">등 회계 용어</t>
    </r>
    <r>
      <rPr>
        <sz val="10"/>
        <rFont val="Arial"/>
        <family val="0"/>
        <charset val="1"/>
      </rPr>
      <t xml:space="preserve">. </t>
    </r>
    <r>
      <rPr>
        <sz val="10"/>
        <rFont val="WenQuanYi Zen Hei"/>
        <family val="2"/>
      </rPr>
      <t xml:space="preserve">카드</t>
    </r>
    <r>
      <rPr>
        <sz val="10"/>
        <rFont val="Arial"/>
        <family val="0"/>
        <charset val="1"/>
      </rPr>
      <t xml:space="preserve">: </t>
    </r>
    <r>
      <rPr>
        <sz val="10"/>
        <rFont val="WenQuanYi Zen Hei"/>
        <family val="2"/>
      </rPr>
      <t xml:space="preserve">상법전 법정감사 편</t>
    </r>
    <r>
      <rPr>
        <sz val="10"/>
        <rFont val="Arial"/>
        <family val="0"/>
        <charset val="1"/>
      </rPr>
      <t xml:space="preserve">, H2A, </t>
    </r>
    <r>
      <rPr>
        <sz val="10"/>
        <rFont val="WenQuanYi Zen Hei"/>
        <family val="2"/>
      </rPr>
      <t xml:space="preserve">상업등기소</t>
    </r>
    <r>
      <rPr>
        <sz val="10"/>
        <rFont val="Arial"/>
        <family val="0"/>
        <charset val="1"/>
      </rPr>
      <t xml:space="preserve">(Infogreffe).</t>
    </r>
  </si>
  <si>
    <r>
      <rPr>
        <sz val="10"/>
        <rFont val="Arial"/>
        <family val="0"/>
        <charset val="1"/>
      </rPr>
      <t xml:space="preserve">5</t>
    </r>
    <r>
      <rPr>
        <sz val="10"/>
        <rFont val="WenQuanYi Zen Hei"/>
        <family val="2"/>
      </rPr>
      <t xml:space="preserve">부</t>
    </r>
    <r>
      <rPr>
        <sz val="10"/>
        <rFont val="Arial"/>
        <family val="0"/>
        <charset val="1"/>
      </rPr>
      <t xml:space="preserve">: Léa — </t>
    </r>
    <r>
      <rPr>
        <sz val="10"/>
        <rFont val="WenQuanYi Zen Hei"/>
        <family val="2"/>
      </rPr>
      <t xml:space="preserve">그 의견서 이후 시작된 구조조정 명단의 주인</t>
    </r>
    <r>
      <rPr>
        <sz val="10"/>
        <rFont val="Arial"/>
        <family val="0"/>
        <charset val="1"/>
      </rPr>
      <t xml:space="preserve">.</t>
    </r>
  </si>
  <si>
    <r>
      <rPr>
        <b val="true"/>
        <sz val="10"/>
        <color rgb="FFFFFFFF"/>
        <rFont val="Arial"/>
        <family val="0"/>
        <charset val="1"/>
      </rPr>
      <t xml:space="preserve">La Consultante — </t>
    </r>
    <r>
      <rPr>
        <b val="true"/>
        <sz val="10"/>
        <color rgb="FFFFFFFF"/>
        <rFont val="WenQuanYi Zen Hei"/>
        <family val="2"/>
      </rPr>
      <t xml:space="preserve">컨설턴트   </t>
    </r>
    <r>
      <rPr>
        <b val="true"/>
        <sz val="10"/>
        <color rgb="FFFFFFFF"/>
        <rFont val="Arial"/>
        <family val="0"/>
        <charset val="1"/>
      </rPr>
      <t xml:space="preserve">|   </t>
    </r>
    <r>
      <rPr>
        <b val="true"/>
        <sz val="10"/>
        <color rgb="FFFFFFFF"/>
        <rFont val="WenQuanYi Zen Hei"/>
        <family val="2"/>
      </rPr>
      <t xml:space="preserve">난이도 </t>
    </r>
    <r>
      <rPr>
        <b val="true"/>
        <sz val="10"/>
        <color rgb="FFFFFFFF"/>
        <rFont val="Arial"/>
        <family val="0"/>
        <charset val="1"/>
      </rPr>
      <t xml:space="preserve">B2~C1   |   </t>
    </r>
    <r>
      <rPr>
        <b val="true"/>
        <sz val="10"/>
        <color rgb="FFFFFFFF"/>
        <rFont val="WenQuanYi Zen Hei"/>
        <family val="2"/>
      </rPr>
      <t xml:space="preserve">프레임</t>
    </r>
    <r>
      <rPr>
        <b val="true"/>
        <sz val="10"/>
        <color rgb="FFFFFFFF"/>
        <rFont val="Arial"/>
        <family val="0"/>
        <charset val="1"/>
      </rPr>
      <t xml:space="preserve">: </t>
    </r>
    <r>
      <rPr>
        <b val="true"/>
        <sz val="10"/>
        <color rgb="FFFFFFFF"/>
        <rFont val="WenQuanYi Zen Hei"/>
        <family val="2"/>
      </rPr>
      <t xml:space="preserve">금요일 밤</t>
    </r>
    <r>
      <rPr>
        <b val="true"/>
        <sz val="10"/>
        <color rgb="FFFFFFFF"/>
        <rFont val="Arial"/>
        <family val="0"/>
        <charset val="1"/>
      </rPr>
      <t xml:space="preserve">. </t>
    </r>
    <r>
      <rPr>
        <b val="true"/>
        <sz val="10"/>
        <color rgb="FFFFFFFF"/>
        <rFont val="WenQuanYi Zen Hei"/>
        <family val="2"/>
      </rPr>
      <t xml:space="preserve">과거</t>
    </r>
    <r>
      <rPr>
        <b val="true"/>
        <sz val="10"/>
        <color rgb="FFFFFFFF"/>
        <rFont val="Arial"/>
        <family val="0"/>
        <charset val="1"/>
      </rPr>
      <t xml:space="preserve">: </t>
    </r>
    <r>
      <rPr>
        <b val="true"/>
        <sz val="10"/>
        <color rgb="FFFFFFFF"/>
        <rFont val="WenQuanYi Zen Hei"/>
        <family val="2"/>
      </rPr>
      <t xml:space="preserve">약 </t>
    </r>
    <r>
      <rPr>
        <b val="true"/>
        <sz val="10"/>
        <color rgb="FFFFFFFF"/>
        <rFont val="Arial"/>
        <family val="0"/>
        <charset val="1"/>
      </rPr>
      <t xml:space="preserve">2</t>
    </r>
    <r>
      <rPr>
        <b val="true"/>
        <sz val="10"/>
        <color rgb="FFFFFFFF"/>
        <rFont val="WenQuanYi Zen Hei"/>
        <family val="2"/>
      </rPr>
      <t xml:space="preserve">년 전</t>
    </r>
    <r>
      <rPr>
        <b val="true"/>
        <sz val="10"/>
        <color rgb="FFFFFFFF"/>
        <rFont val="Arial"/>
        <family val="0"/>
        <charset val="1"/>
      </rPr>
      <t xml:space="preserve">, Zénith Consulting(</t>
    </r>
    <r>
      <rPr>
        <b val="true"/>
        <sz val="10"/>
        <color rgb="FFFFFFFF"/>
        <rFont val="WenQuanYi Zen Hei"/>
        <family val="2"/>
      </rPr>
      <t xml:space="preserve">가상</t>
    </r>
    <r>
      <rPr>
        <b val="true"/>
        <sz val="10"/>
        <color rgb="FFFFFFFF"/>
        <rFont val="Arial"/>
        <family val="0"/>
        <charset val="1"/>
      </rPr>
      <t xml:space="preserve">) La Défense 32</t>
    </r>
    <r>
      <rPr>
        <b val="true"/>
        <sz val="10"/>
        <color rgb="FFFFFFFF"/>
        <rFont val="WenQuanYi Zen Hei"/>
        <family val="2"/>
      </rPr>
      <t xml:space="preserve">층</t>
    </r>
    <r>
      <rPr>
        <b val="true"/>
        <sz val="10"/>
        <color rgb="FFFFFFFF"/>
        <rFont val="Arial"/>
        <family val="0"/>
        <charset val="1"/>
      </rPr>
      <t xml:space="preserve">.</t>
    </r>
  </si>
  <si>
    <t xml:space="preserve">효율의 이름으로 사람이 숫자가 되는 순간. 노동(Karim), 청년 고용(S1), 영세 기업·탈산업화(E2)를 도입하고 Léa의 말투 변화를 예고한다.</t>
  </si>
  <si>
    <t xml:space="preserve">전략 컨설턴트가 영세 기업을 살리려던 낙관에서 출발해, 대형 고객 구조조정 모델의 셀 하나가 412명의 해고임을 알게 된다.</t>
  </si>
  <si>
    <r>
      <rPr>
        <sz val="10"/>
        <rFont val="Arial"/>
        <family val="0"/>
        <charset val="1"/>
      </rPr>
      <t xml:space="preserve">'</t>
    </r>
    <r>
      <rPr>
        <sz val="10"/>
        <rFont val="WenQuanYi Zen Hei"/>
        <family val="2"/>
      </rPr>
      <t xml:space="preserve">스케일</t>
    </r>
    <r>
      <rPr>
        <sz val="10"/>
        <rFont val="Arial"/>
        <family val="0"/>
        <charset val="1"/>
      </rPr>
      <t xml:space="preserve">'</t>
    </r>
    <r>
      <rPr>
        <sz val="10"/>
        <rFont val="WenQuanYi Zen Hei"/>
        <family val="2"/>
      </rPr>
      <t xml:space="preserve">을 믿던 사람 → 사람을 숫자로 본 죄책감을 인정하는 사람</t>
    </r>
    <r>
      <rPr>
        <sz val="10"/>
        <rFont val="Arial"/>
        <family val="0"/>
        <charset val="1"/>
      </rPr>
      <t xml:space="preserve">(</t>
    </r>
    <r>
      <rPr>
        <sz val="10"/>
        <rFont val="WenQuanYi Zen Hei"/>
        <family val="2"/>
      </rPr>
      <t xml:space="preserve">프레젠테이션 톤에서 솔직한 톤으로 가는 시작</t>
    </r>
    <r>
      <rPr>
        <sz val="10"/>
        <rFont val="Arial"/>
        <family val="0"/>
        <charset val="1"/>
      </rPr>
      <t xml:space="preserve">).</t>
    </r>
  </si>
  <si>
    <t xml:space="preserve">효율 vs 사람 / 조직 충성 vs 양심</t>
  </si>
  <si>
    <t xml:space="preserve">발단(1~3화): 매트릭스 프레임, Zénith 32층, Garnier 공방(영세 기업의 실패).</t>
  </si>
  <si>
    <t xml:space="preserve">전개(4~5화): 이카로스 프로젝트 킥오프 / 프레임 '엑셀 한 장'.</t>
  </si>
  <si>
    <t xml:space="preserve">미드포인트(6화): C47 셀 — 412개 일자리, 샴페인.</t>
  </si>
  <si>
    <t xml:space="preserve">위기(7~9화): 협상 테이블에서 Karim과 대면, 잘못 보낸 메일과 카페의 Sartre, 프레임 '412'.</t>
  </si>
  <si>
    <t xml:space="preserve">절정(10~11화): 파업과 Karim의 해고, 마지막 회의에서 사직.</t>
  </si>
  <si>
    <t xml:space="preserve">결말·훅(12화): 프레임 — 네 명이 같은 강당에 모인 생드니의 화요일 예고.</t>
  </si>
  <si>
    <r>
      <rPr>
        <sz val="10"/>
        <rFont val="Arial"/>
        <family val="0"/>
        <charset val="1"/>
      </rPr>
      <t xml:space="preserve">Léa: </t>
    </r>
    <r>
      <rPr>
        <sz val="10"/>
        <rFont val="WenQuanYi Zen Hei"/>
        <family val="2"/>
      </rPr>
      <t xml:space="preserve">영어가 섞인 경영 용어의 빠른 말투</t>
    </r>
    <r>
      <rPr>
        <sz val="10"/>
        <rFont val="Arial"/>
        <family val="0"/>
        <charset val="1"/>
      </rPr>
      <t xml:space="preserve">. </t>
    </r>
    <r>
      <rPr>
        <sz val="10"/>
        <rFont val="WenQuanYi Zen Hei"/>
        <family val="2"/>
      </rPr>
      <t xml:space="preserve">가상 인물</t>
    </r>
    <r>
      <rPr>
        <sz val="10"/>
        <rFont val="Arial"/>
        <family val="0"/>
        <charset val="1"/>
      </rPr>
      <t xml:space="preserve">: Garnier(</t>
    </r>
    <r>
      <rPr>
        <sz val="10"/>
        <rFont val="WenQuanYi Zen Hei"/>
        <family val="2"/>
      </rPr>
      <t xml:space="preserve">공방 주인</t>
    </r>
    <r>
      <rPr>
        <sz val="10"/>
        <rFont val="Arial"/>
        <family val="0"/>
        <charset val="1"/>
      </rPr>
      <t xml:space="preserve">), Zénith </t>
    </r>
    <r>
      <rPr>
        <sz val="10"/>
        <rFont val="WenQuanYi Zen Hei"/>
        <family val="2"/>
      </rPr>
      <t xml:space="preserve">파트너</t>
    </r>
    <r>
      <rPr>
        <sz val="10"/>
        <rFont val="Arial"/>
        <family val="0"/>
        <charset val="1"/>
      </rPr>
      <t xml:space="preserve">. </t>
    </r>
    <r>
      <rPr>
        <sz val="10"/>
        <rFont val="WenQuanYi Zen Hei"/>
        <family val="2"/>
      </rPr>
      <t xml:space="preserve">교차 카메오</t>
    </r>
    <r>
      <rPr>
        <sz val="10"/>
        <rFont val="Arial"/>
        <family val="0"/>
        <charset val="1"/>
      </rPr>
      <t xml:space="preserve">: Karim(</t>
    </r>
    <r>
      <rPr>
        <sz val="10"/>
        <rFont val="WenQuanYi Zen Hei"/>
        <family val="2"/>
      </rPr>
      <t xml:space="preserve">협상 상대</t>
    </r>
    <r>
      <rPr>
        <sz val="10"/>
        <rFont val="Arial"/>
        <family val="0"/>
        <charset val="1"/>
      </rPr>
      <t xml:space="preserve">), Sartre(</t>
    </r>
    <r>
      <rPr>
        <sz val="10"/>
        <rFont val="WenQuanYi Zen Hei"/>
        <family val="2"/>
      </rPr>
      <t xml:space="preserve">카페</t>
    </r>
    <r>
      <rPr>
        <sz val="10"/>
        <rFont val="Arial"/>
        <family val="0"/>
        <charset val="1"/>
      </rPr>
      <t xml:space="preserve">), Julien(</t>
    </r>
    <r>
      <rPr>
        <sz val="10"/>
        <rFont val="WenQuanYi Zen Hei"/>
        <family val="2"/>
      </rPr>
      <t xml:space="preserve">프레임</t>
    </r>
    <r>
      <rPr>
        <sz val="10"/>
        <rFont val="Arial"/>
        <family val="0"/>
        <charset val="1"/>
      </rPr>
      <t xml:space="preserve">).</t>
    </r>
  </si>
  <si>
    <r>
      <rPr>
        <sz val="10"/>
        <rFont val="Arial"/>
        <family val="0"/>
        <charset val="1"/>
      </rPr>
      <t xml:space="preserve">C47 </t>
    </r>
    <r>
      <rPr>
        <sz val="10"/>
        <rFont val="WenQuanYi Zen Hei"/>
        <family val="2"/>
      </rPr>
      <t xml:space="preserve">셀</t>
    </r>
    <r>
      <rPr>
        <sz val="10"/>
        <rFont val="Arial"/>
        <family val="0"/>
        <charset val="1"/>
      </rPr>
      <t xml:space="preserve">(→11</t>
    </r>
    <r>
      <rPr>
        <sz val="10"/>
        <rFont val="WenQuanYi Zen Hei"/>
        <family val="2"/>
      </rPr>
      <t xml:space="preserve">부 </t>
    </r>
    <r>
      <rPr>
        <sz val="10"/>
        <rFont val="Arial"/>
        <family val="0"/>
        <charset val="1"/>
      </rPr>
      <t xml:space="preserve">'</t>
    </r>
    <r>
      <rPr>
        <sz val="10"/>
        <rFont val="WenQuanYi Zen Hei"/>
        <family val="2"/>
      </rPr>
      <t xml:space="preserve">해고 없는 통합</t>
    </r>
    <r>
      <rPr>
        <sz val="10"/>
        <rFont val="Arial"/>
        <family val="0"/>
        <charset val="1"/>
      </rPr>
      <t xml:space="preserve">') / Karim–Léa </t>
    </r>
    <r>
      <rPr>
        <sz val="10"/>
        <rFont val="WenQuanYi Zen Hei"/>
        <family val="2"/>
      </rPr>
      <t xml:space="preserve">갈등</t>
    </r>
    <r>
      <rPr>
        <sz val="10"/>
        <rFont val="Arial"/>
        <family val="0"/>
        <charset val="1"/>
      </rPr>
      <t xml:space="preserve">(→8</t>
    </r>
    <r>
      <rPr>
        <sz val="10"/>
        <rFont val="WenQuanYi Zen Hei"/>
        <family val="2"/>
      </rPr>
      <t xml:space="preserve">부 </t>
    </r>
    <r>
      <rPr>
        <sz val="10"/>
        <rFont val="Arial"/>
        <family val="0"/>
        <charset val="1"/>
      </rPr>
      <t xml:space="preserve">6</t>
    </r>
    <r>
      <rPr>
        <sz val="10"/>
        <rFont val="WenQuanYi Zen Hei"/>
        <family val="2"/>
      </rPr>
      <t xml:space="preserve">화</t>
    </r>
    <r>
      <rPr>
        <sz val="10"/>
        <rFont val="Arial"/>
        <family val="0"/>
        <charset val="1"/>
      </rPr>
      <t xml:space="preserve">, 9</t>
    </r>
    <r>
      <rPr>
        <sz val="10"/>
        <rFont val="WenQuanYi Zen Hei"/>
        <family val="2"/>
      </rPr>
      <t xml:space="preserve">부 </t>
    </r>
    <r>
      <rPr>
        <sz val="10"/>
        <rFont val="Arial"/>
        <family val="0"/>
        <charset val="1"/>
      </rPr>
      <t xml:space="preserve">5</t>
    </r>
    <r>
      <rPr>
        <sz val="10"/>
        <rFont val="WenQuanYi Zen Hei"/>
        <family val="2"/>
      </rPr>
      <t xml:space="preserve">화</t>
    </r>
    <r>
      <rPr>
        <sz val="10"/>
        <rFont val="Arial"/>
        <family val="0"/>
        <charset val="1"/>
      </rPr>
      <t xml:space="preserve">, 10</t>
    </r>
    <r>
      <rPr>
        <sz val="10"/>
        <rFont val="WenQuanYi Zen Hei"/>
        <family val="2"/>
      </rPr>
      <t xml:space="preserve">부 </t>
    </r>
    <r>
      <rPr>
        <sz val="10"/>
        <rFont val="Arial"/>
        <family val="0"/>
        <charset val="1"/>
      </rPr>
      <t xml:space="preserve">5</t>
    </r>
    <r>
      <rPr>
        <sz val="10"/>
        <rFont val="WenQuanYi Zen Hei"/>
        <family val="2"/>
      </rPr>
      <t xml:space="preserve">화 화해</t>
    </r>
    <r>
      <rPr>
        <sz val="10"/>
        <rFont val="Arial"/>
        <family val="0"/>
        <charset val="1"/>
      </rPr>
      <t xml:space="preserve">) / «Bon, sans slides»(→6</t>
    </r>
    <r>
      <rPr>
        <sz val="10"/>
        <rFont val="WenQuanYi Zen Hei"/>
        <family val="2"/>
      </rPr>
      <t xml:space="preserve">부</t>
    </r>
    <r>
      <rPr>
        <sz val="10"/>
        <rFont val="Arial"/>
        <family val="0"/>
        <charset val="1"/>
      </rPr>
      <t xml:space="preserve">, 13</t>
    </r>
    <r>
      <rPr>
        <sz val="10"/>
        <rFont val="WenQuanYi Zen Hei"/>
        <family val="2"/>
      </rPr>
      <t xml:space="preserve">부 </t>
    </r>
    <r>
      <rPr>
        <sz val="10"/>
        <rFont val="Arial"/>
        <family val="0"/>
        <charset val="1"/>
      </rPr>
      <t xml:space="preserve">6</t>
    </r>
    <r>
      <rPr>
        <sz val="10"/>
        <rFont val="WenQuanYi Zen Hei"/>
        <family val="2"/>
      </rPr>
      <t xml:space="preserve">화</t>
    </r>
    <r>
      <rPr>
        <sz val="10"/>
        <rFont val="Arial"/>
        <family val="0"/>
        <charset val="1"/>
      </rPr>
      <t xml:space="preserve">)</t>
    </r>
  </si>
  <si>
    <t xml:space="preserve">E2● S1○</t>
  </si>
  <si>
    <t xml:space="preserve">고용보호계획(PSE, 노동법전 L.1233-61조 이하), 사회경제위원회(CSE) 정보·협의, 보호 근로자 해고의 근로감독관 승인, 파업권, 버스 노선 경쟁 입찰</t>
  </si>
  <si>
    <r>
      <rPr>
        <sz val="10"/>
        <rFont val="Arial"/>
        <family val="0"/>
        <charset val="1"/>
      </rPr>
      <t xml:space="preserve">B2~C1. </t>
    </r>
    <r>
      <rPr>
        <sz val="10"/>
        <rFont val="WenQuanYi Zen Hei"/>
        <family val="2"/>
      </rPr>
      <t xml:space="preserve">경영 외래어</t>
    </r>
    <r>
      <rPr>
        <sz val="10"/>
        <rFont val="Arial"/>
        <family val="0"/>
        <charset val="1"/>
      </rPr>
      <t xml:space="preserve">(aligner, scalable, livrable), </t>
    </r>
    <r>
      <rPr>
        <sz val="10"/>
        <rFont val="WenQuanYi Zen Hei"/>
        <family val="2"/>
      </rPr>
      <t xml:space="preserve">프레젠테이션 톤</t>
    </r>
    <r>
      <rPr>
        <sz val="10"/>
        <rFont val="Arial"/>
        <family val="0"/>
        <charset val="1"/>
      </rPr>
      <t xml:space="preserve">. </t>
    </r>
    <r>
      <rPr>
        <sz val="10"/>
        <rFont val="WenQuanYi Zen Hei"/>
        <family val="2"/>
      </rPr>
      <t xml:space="preserve">발성</t>
    </r>
    <r>
      <rPr>
        <sz val="10"/>
        <rFont val="Arial"/>
        <family val="0"/>
        <charset val="1"/>
      </rPr>
      <t xml:space="preserve">: </t>
    </r>
    <r>
      <rPr>
        <sz val="10"/>
        <rFont val="WenQuanYi Zen Hei"/>
        <family val="2"/>
      </rPr>
      <t xml:space="preserve">숨 가쁜 톤에서 느린 솔직한 톤으로</t>
    </r>
    <r>
      <rPr>
        <sz val="10"/>
        <rFont val="Arial"/>
        <family val="0"/>
        <charset val="1"/>
      </rPr>
      <t xml:space="preserve">.</t>
    </r>
  </si>
  <si>
    <r>
      <rPr>
        <sz val="10"/>
        <rFont val="Arial"/>
        <family val="0"/>
        <charset val="1"/>
      </rPr>
      <t xml:space="preserve">Manon: parties prenantes·scaler·synergie·KPI </t>
    </r>
    <r>
      <rPr>
        <sz val="10"/>
        <rFont val="WenQuanYi Zen Hei"/>
        <family val="2"/>
      </rPr>
      <t xml:space="preserve">등 경영 용어</t>
    </r>
    <r>
      <rPr>
        <sz val="10"/>
        <rFont val="Arial"/>
        <family val="0"/>
        <charset val="1"/>
      </rPr>
      <t xml:space="preserve">. </t>
    </r>
    <r>
      <rPr>
        <sz val="10"/>
        <rFont val="WenQuanYi Zen Hei"/>
        <family val="2"/>
      </rPr>
      <t xml:space="preserve">카드</t>
    </r>
    <r>
      <rPr>
        <sz val="10"/>
        <rFont val="Arial"/>
        <family val="0"/>
        <charset val="1"/>
      </rPr>
      <t xml:space="preserve">: </t>
    </r>
    <r>
      <rPr>
        <sz val="10"/>
        <rFont val="WenQuanYi Zen Hei"/>
        <family val="2"/>
      </rPr>
      <t xml:space="preserve">노동법전 경제적 해고 편</t>
    </r>
    <r>
      <rPr>
        <sz val="10"/>
        <rFont val="Arial"/>
        <family val="0"/>
        <charset val="1"/>
      </rPr>
      <t xml:space="preserve">.</t>
    </r>
  </si>
  <si>
    <r>
      <rPr>
        <sz val="10"/>
        <rFont val="Arial"/>
        <family val="0"/>
        <charset val="1"/>
      </rPr>
      <t xml:space="preserve">6</t>
    </r>
    <r>
      <rPr>
        <sz val="10"/>
        <rFont val="WenQuanYi Zen Hei"/>
        <family val="2"/>
      </rPr>
      <t xml:space="preserve">부</t>
    </r>
    <r>
      <rPr>
        <sz val="10"/>
        <rFont val="Arial"/>
        <family val="0"/>
        <charset val="1"/>
      </rPr>
      <t xml:space="preserve">: </t>
    </r>
    <r>
      <rPr>
        <sz val="10"/>
        <rFont val="WenQuanYi Zen Hei"/>
        <family val="2"/>
      </rPr>
      <t xml:space="preserve">생드니 — 네 사람이 같은 총회에</t>
    </r>
    <r>
      <rPr>
        <sz val="10"/>
        <rFont val="Arial"/>
        <family val="0"/>
        <charset val="1"/>
      </rPr>
      <t xml:space="preserve">.</t>
    </r>
  </si>
  <si>
    <r>
      <rPr>
        <b val="true"/>
        <sz val="10"/>
        <color rgb="FFFFFFFF"/>
        <rFont val="Arial"/>
        <family val="0"/>
        <charset val="1"/>
      </rPr>
      <t xml:space="preserve">La Rencontre — </t>
    </r>
    <r>
      <rPr>
        <b val="true"/>
        <sz val="10"/>
        <color rgb="FFFFFFFF"/>
        <rFont val="WenQuanYi Zen Hei"/>
        <family val="2"/>
      </rPr>
      <t xml:space="preserve">운명적 만남   </t>
    </r>
    <r>
      <rPr>
        <b val="true"/>
        <sz val="10"/>
        <color rgb="FFFFFFFF"/>
        <rFont val="Arial"/>
        <family val="0"/>
        <charset val="1"/>
      </rPr>
      <t xml:space="preserve">|   </t>
    </r>
    <r>
      <rPr>
        <b val="true"/>
        <sz val="10"/>
        <color rgb="FFFFFFFF"/>
        <rFont val="WenQuanYi Zen Hei"/>
        <family val="2"/>
      </rPr>
      <t xml:space="preserve">난이도 </t>
    </r>
    <r>
      <rPr>
        <b val="true"/>
        <sz val="10"/>
        <color rgb="FFFFFFFF"/>
        <rFont val="Arial"/>
        <family val="0"/>
        <charset val="1"/>
      </rPr>
      <t xml:space="preserve">B2   |   </t>
    </r>
    <r>
      <rPr>
        <b val="true"/>
        <sz val="10"/>
        <color rgb="FFFFFFFF"/>
        <rFont val="WenQuanYi Zen Hei"/>
        <family val="2"/>
      </rPr>
      <t xml:space="preserve">약 </t>
    </r>
    <r>
      <rPr>
        <b val="true"/>
        <sz val="10"/>
        <color rgb="FFFFFFFF"/>
        <rFont val="Arial"/>
        <family val="0"/>
        <charset val="1"/>
      </rPr>
      <t xml:space="preserve">1</t>
    </r>
    <r>
      <rPr>
        <b val="true"/>
        <sz val="10"/>
        <color rgb="FFFFFFFF"/>
        <rFont val="WenQuanYi Zen Hei"/>
        <family val="2"/>
      </rPr>
      <t xml:space="preserve">년 전</t>
    </r>
    <r>
      <rPr>
        <b val="true"/>
        <sz val="10"/>
        <color rgb="FFFFFFFF"/>
        <rFont val="Arial"/>
        <family val="0"/>
        <charset val="1"/>
      </rPr>
      <t xml:space="preserve">(1</t>
    </r>
    <r>
      <rPr>
        <b val="true"/>
        <sz val="10"/>
        <color rgb="FFFFFFFF"/>
        <rFont val="WenQuanYi Zen Hei"/>
        <family val="2"/>
      </rPr>
      <t xml:space="preserve">부보다 앞</t>
    </r>
    <r>
      <rPr>
        <b val="true"/>
        <sz val="10"/>
        <color rgb="FFFFFFFF"/>
        <rFont val="Arial"/>
        <family val="0"/>
        <charset val="1"/>
      </rPr>
      <t xml:space="preserve">). Saint-Denis '14</t>
    </r>
    <r>
      <rPr>
        <b val="true"/>
        <sz val="10"/>
        <color rgb="FFFFFFFF"/>
        <rFont val="WenQuanYi Zen Hei"/>
        <family val="2"/>
      </rPr>
      <t xml:space="preserve">동</t>
    </r>
    <r>
      <rPr>
        <b val="true"/>
        <sz val="10"/>
        <color rgb="FFFFFFFF"/>
        <rFont val="Arial"/>
        <family val="0"/>
        <charset val="1"/>
      </rPr>
      <t xml:space="preserve">' → Belleville </t>
    </r>
    <r>
      <rPr>
        <b val="true"/>
        <sz val="10"/>
        <color rgb="FFFFFFFF"/>
        <rFont val="WenQuanYi Zen Hei"/>
        <family val="2"/>
      </rPr>
      <t xml:space="preserve">사무소 개소</t>
    </r>
    <r>
      <rPr>
        <b val="true"/>
        <sz val="10"/>
        <color rgb="FFFFFFFF"/>
        <rFont val="Arial"/>
        <family val="0"/>
        <charset val="1"/>
      </rPr>
      <t xml:space="preserve">.</t>
    </r>
  </si>
  <si>
    <t xml:space="preserve">퍼즐 완성. 네 개의 과거가 하나의 이름(Groupe Méridien)으로 수렴하고 팀이 결성된다. 1부의 '왜?'에 대한 대답이자 시간의 고리를 닫는 아크.</t>
  </si>
  <si>
    <t xml:space="preserve">각자 무너진 네 사람이 같은 건물을 지키려고 모였다가 자기들이 서로 다른 얼굴의 같은 회사를 도왔음을 알게 되고, 서로를 비난한 끝에 처음으로 함께 이긴다.</t>
  </si>
  <si>
    <t xml:space="preserve">혼자 무너진 네 사람 → 서로의 죄를 아는 팀.</t>
  </si>
  <si>
    <t xml:space="preserve">서로에 대한 책임(공모) vs 함께 속죄</t>
  </si>
  <si>
    <t xml:space="preserve">발단(1~3화): 생드니의 화요일, 낯선 넷, 14동.</t>
  </si>
  <si>
    <t xml:space="preserve">전개(4~5화): 계단의 밤(첫 속내), Julien의 서류.</t>
  </si>
  <si>
    <t xml:space="preserve">미드포인트(6화): '같은 이름' — 네 개의 과거가 Méridien 하나로 이어진다.</t>
  </si>
  <si>
    <t xml:space="preserve">위기(7~9화): 서로에 대한 비난, 퇴거 아침 영시의 협업, 첫 정지 승리.</t>
  </si>
  <si>
    <t xml:space="preserve">절정(10~11화): 벨빌의 가게, 식탁의 규칙(금요일 이야기 전통).</t>
  </si>
  <si>
    <t xml:space="preserve">결말·훅(12화): 간판이 걸리고 «Demain, à cinq heures.» → 1부 1화로.</t>
  </si>
  <si>
    <t xml:space="preserve">합류 순서: Manon·Chloé(1) → Karim·Jeanne(3) → Monique·Napoléon(4) → Curie·Voltaire(8) → Hugo·Sartre(9) → Philippe(10). Manon은 이 건물의 세입자로 인턴이 된다. (Olympe는 7부 1화에 합류)</t>
  </si>
  <si>
    <t xml:space="preserve">첫 회의 대사(→1부 1화) / 금요일 이야기 규칙(→2~5부 프레임) / Verdier의 이름(→7부, 9부)</t>
  </si>
  <si>
    <t xml:space="preserve">E1● S2● S1○</t>
  </si>
  <si>
    <t xml:space="preserve">퇴거 집행과 유예 기간, 긴급 가처분(référé), 소유 구조(투자 펀드, 부동산 민간회사 SCI), 소규모 임대인</t>
  </si>
  <si>
    <r>
      <rPr>
        <sz val="10"/>
        <rFont val="Arial"/>
        <family val="0"/>
        <charset val="1"/>
      </rPr>
      <t xml:space="preserve">B2. </t>
    </r>
    <r>
      <rPr>
        <sz val="10"/>
        <rFont val="WenQuanYi Zen Hei"/>
        <family val="2"/>
      </rPr>
      <t xml:space="preserve">감정 폭발</t>
    </r>
    <r>
      <rPr>
        <sz val="10"/>
        <rFont val="Arial"/>
        <family val="0"/>
        <charset val="1"/>
      </rPr>
      <t xml:space="preserve">·</t>
    </r>
    <r>
      <rPr>
        <sz val="10"/>
        <rFont val="WenQuanYi Zen Hei"/>
        <family val="2"/>
      </rPr>
      <t xml:space="preserve">설득 구어체</t>
    </r>
    <r>
      <rPr>
        <sz val="10"/>
        <rFont val="Arial"/>
        <family val="0"/>
        <charset val="1"/>
      </rPr>
      <t xml:space="preserve">, </t>
    </r>
    <r>
      <rPr>
        <sz val="10"/>
        <rFont val="WenQuanYi Zen Hei"/>
        <family val="2"/>
      </rPr>
      <t xml:space="preserve">다툼과 화해</t>
    </r>
    <r>
      <rPr>
        <sz val="10"/>
        <rFont val="Arial"/>
        <family val="0"/>
        <charset val="1"/>
      </rPr>
      <t xml:space="preserve">. </t>
    </r>
    <r>
      <rPr>
        <sz val="10"/>
        <rFont val="WenQuanYi Zen Hei"/>
        <family val="2"/>
      </rPr>
      <t xml:space="preserve">발성</t>
    </r>
    <r>
      <rPr>
        <sz val="10"/>
        <rFont val="Arial"/>
        <family val="0"/>
        <charset val="1"/>
      </rPr>
      <t xml:space="preserve">: </t>
    </r>
    <r>
      <rPr>
        <sz val="10"/>
        <rFont val="WenQuanYi Zen Hei"/>
        <family val="2"/>
      </rPr>
      <t xml:space="preserve">소리 높임과 회복의 대비</t>
    </r>
    <r>
      <rPr>
        <sz val="10"/>
        <rFont val="Arial"/>
        <family val="0"/>
        <charset val="1"/>
      </rPr>
      <t xml:space="preserve">. vous → tu </t>
    </r>
    <r>
      <rPr>
        <sz val="10"/>
        <rFont val="WenQuanYi Zen Hei"/>
        <family val="2"/>
      </rPr>
      <t xml:space="preserve">전환</t>
    </r>
    <r>
      <rPr>
        <sz val="10"/>
        <rFont val="Arial"/>
        <family val="0"/>
        <charset val="1"/>
      </rPr>
      <t xml:space="preserve">(tutoiement)</t>
    </r>
    <r>
      <rPr>
        <sz val="10"/>
        <rFont val="WenQuanYi Zen Hei"/>
        <family val="2"/>
      </rPr>
      <t xml:space="preserve">의 시작</t>
    </r>
    <r>
      <rPr>
        <sz val="10"/>
        <rFont val="Arial"/>
        <family val="0"/>
        <charset val="1"/>
      </rPr>
      <t xml:space="preserve">.</t>
    </r>
  </si>
  <si>
    <r>
      <rPr>
        <sz val="10"/>
        <rFont val="Arial"/>
        <family val="0"/>
        <charset val="1"/>
      </rPr>
      <t xml:space="preserve">Manon: « C'est quoi, un fonds vautour ? » </t>
    </r>
    <r>
      <rPr>
        <sz val="10"/>
        <rFont val="WenQuanYi Zen Hei"/>
        <family val="2"/>
      </rPr>
      <t xml:space="preserve">등 소유 구조 용어</t>
    </r>
    <r>
      <rPr>
        <sz val="10"/>
        <rFont val="Arial"/>
        <family val="0"/>
        <charset val="1"/>
      </rPr>
      <t xml:space="preserve">. </t>
    </r>
    <r>
      <rPr>
        <sz val="10"/>
        <rFont val="WenQuanYi Zen Hei"/>
        <family val="2"/>
      </rPr>
      <t xml:space="preserve">카드</t>
    </r>
    <r>
      <rPr>
        <sz val="10"/>
        <rFont val="Arial"/>
        <family val="0"/>
        <charset val="1"/>
      </rPr>
      <t xml:space="preserve">: </t>
    </r>
    <r>
      <rPr>
        <sz val="10"/>
        <rFont val="WenQuanYi Zen Hei"/>
        <family val="2"/>
      </rPr>
      <t xml:space="preserve">상업등기소</t>
    </r>
    <r>
      <rPr>
        <sz val="10"/>
        <rFont val="Arial"/>
        <family val="0"/>
        <charset val="1"/>
      </rPr>
      <t xml:space="preserve">, </t>
    </r>
    <r>
      <rPr>
        <sz val="10"/>
        <rFont val="WenQuanYi Zen Hei"/>
        <family val="2"/>
      </rPr>
      <t xml:space="preserve">퇴거 유예 규정</t>
    </r>
    <r>
      <rPr>
        <sz val="10"/>
        <rFont val="Arial"/>
        <family val="0"/>
        <charset val="1"/>
      </rPr>
      <t xml:space="preserve">(</t>
    </r>
    <r>
      <rPr>
        <sz val="10"/>
        <rFont val="WenQuanYi Zen Hei"/>
        <family val="2"/>
      </rPr>
      <t xml:space="preserve">민사집행법전</t>
    </r>
    <r>
      <rPr>
        <sz val="10"/>
        <rFont val="Arial"/>
        <family val="0"/>
        <charset val="1"/>
      </rPr>
      <t xml:space="preserve">).</t>
    </r>
  </si>
  <si>
    <r>
      <rPr>
        <sz val="10"/>
        <rFont val="Arial"/>
        <family val="0"/>
        <charset val="1"/>
      </rPr>
      <t xml:space="preserve">1</t>
    </r>
    <r>
      <rPr>
        <sz val="10"/>
        <rFont val="WenQuanYi Zen Hei"/>
        <family val="2"/>
      </rPr>
      <t xml:space="preserve">부 </t>
    </r>
    <r>
      <rPr>
        <sz val="10"/>
        <rFont val="Arial"/>
        <family val="0"/>
        <charset val="1"/>
      </rPr>
      <t xml:space="preserve">1</t>
    </r>
    <r>
      <rPr>
        <sz val="10"/>
        <rFont val="WenQuanYi Zen Hei"/>
        <family val="2"/>
      </rPr>
      <t xml:space="preserve">화 — 원이 닫힌다</t>
    </r>
    <r>
      <rPr>
        <sz val="10"/>
        <rFont val="Arial"/>
        <family val="0"/>
        <charset val="1"/>
      </rPr>
      <t xml:space="preserve">. </t>
    </r>
    <r>
      <rPr>
        <sz val="10"/>
        <rFont val="WenQuanYi Zen Hei"/>
        <family val="2"/>
      </rPr>
      <t xml:space="preserve">그리고 </t>
    </r>
    <r>
      <rPr>
        <sz val="10"/>
        <rFont val="Arial"/>
        <family val="0"/>
        <charset val="1"/>
      </rPr>
      <t xml:space="preserve">7</t>
    </r>
    <r>
      <rPr>
        <sz val="10"/>
        <rFont val="WenQuanYi Zen Hei"/>
        <family val="2"/>
      </rPr>
      <t xml:space="preserve">부로</t>
    </r>
    <r>
      <rPr>
        <sz val="10"/>
        <rFont val="Arial"/>
        <family val="0"/>
        <charset val="1"/>
      </rPr>
      <t xml:space="preserve">.</t>
    </r>
  </si>
  <si>
    <r>
      <rPr>
        <b val="true"/>
        <sz val="10"/>
        <color rgb="FFFFFFFF"/>
        <rFont val="Arial"/>
        <family val="0"/>
        <charset val="1"/>
      </rPr>
      <t xml:space="preserve">Le Réseau de résistance — </t>
    </r>
    <r>
      <rPr>
        <b val="true"/>
        <sz val="10"/>
        <color rgb="FFFFFFFF"/>
        <rFont val="WenQuanYi Zen Hei"/>
        <family val="2"/>
      </rPr>
      <t xml:space="preserve">전면전   </t>
    </r>
    <r>
      <rPr>
        <b val="true"/>
        <sz val="10"/>
        <color rgb="FFFFFFFF"/>
        <rFont val="Arial"/>
        <family val="0"/>
        <charset val="1"/>
      </rPr>
      <t xml:space="preserve">|   </t>
    </r>
    <r>
      <rPr>
        <b val="true"/>
        <sz val="10"/>
        <color rgb="FFFFFFFF"/>
        <rFont val="WenQuanYi Zen Hei"/>
        <family val="2"/>
      </rPr>
      <t xml:space="preserve">난이도 </t>
    </r>
    <r>
      <rPr>
        <b val="true"/>
        <sz val="10"/>
        <color rgb="FFFFFFFF"/>
        <rFont val="Arial"/>
        <family val="0"/>
        <charset val="1"/>
      </rPr>
      <t xml:space="preserve">B2~C1   |   </t>
    </r>
    <r>
      <rPr>
        <b val="true"/>
        <sz val="10"/>
        <color rgb="FFFFFFFF"/>
        <rFont val="WenQuanYi Zen Hei"/>
        <family val="2"/>
      </rPr>
      <t xml:space="preserve">사무소 개소 </t>
    </r>
    <r>
      <rPr>
        <b val="true"/>
        <sz val="10"/>
        <color rgb="FFFFFFFF"/>
        <rFont val="Arial"/>
        <family val="0"/>
        <charset val="1"/>
      </rPr>
      <t xml:space="preserve">1</t>
    </r>
    <r>
      <rPr>
        <b val="true"/>
        <sz val="10"/>
        <color rgb="FFFFFFFF"/>
        <rFont val="WenQuanYi Zen Hei"/>
        <family val="2"/>
      </rPr>
      <t xml:space="preserve">년 후</t>
    </r>
    <r>
      <rPr>
        <b val="true"/>
        <sz val="10"/>
        <color rgb="FFFFFFFF"/>
        <rFont val="Arial"/>
        <family val="0"/>
        <charset val="1"/>
      </rPr>
      <t xml:space="preserve">. </t>
    </r>
    <r>
      <rPr>
        <b val="true"/>
        <sz val="10"/>
        <color rgb="FFFFFFFF"/>
        <rFont val="WenQuanYi Zen Hei"/>
        <family val="2"/>
      </rPr>
      <t xml:space="preserve">법원</t>
    </r>
    <r>
      <rPr>
        <b val="true"/>
        <sz val="10"/>
        <color rgb="FFFFFFFF"/>
        <rFont val="Arial"/>
        <family val="0"/>
        <charset val="1"/>
      </rPr>
      <t xml:space="preserve">, </t>
    </r>
    <r>
      <rPr>
        <b val="true"/>
        <sz val="10"/>
        <color rgb="FFFFFFFF"/>
        <rFont val="WenQuanYi Zen Hei"/>
        <family val="2"/>
      </rPr>
      <t xml:space="preserve">시청 앞</t>
    </r>
    <r>
      <rPr>
        <b val="true"/>
        <sz val="10"/>
        <color rgb="FFFFFFFF"/>
        <rFont val="Arial"/>
        <family val="0"/>
        <charset val="1"/>
      </rPr>
      <t xml:space="preserve">, </t>
    </r>
    <r>
      <rPr>
        <b val="true"/>
        <sz val="10"/>
        <color rgb="FFFFFFFF"/>
        <rFont val="WenQuanYi Zen Hei"/>
        <family val="2"/>
      </rPr>
      <t xml:space="preserve">파리 전역</t>
    </r>
    <r>
      <rPr>
        <b val="true"/>
        <sz val="10"/>
        <color rgb="FFFFFFFF"/>
        <rFont val="Arial"/>
        <family val="0"/>
        <charset val="1"/>
      </rPr>
      <t xml:space="preserve">.</t>
    </r>
  </si>
  <si>
    <t xml:space="preserve">전문 능력이 결합되어 첫 결정적 승리를 얻지만, 법원 결정이 법 앞에서 무력할 수 있음을 배운다. 정치의 필요성을 낳는 아크.</t>
  </si>
  <si>
    <t xml:space="preserve">사무소가 사소 고소·내부고발·보도를 결합해 Groupe Méridien을 상대로 전면전을 벌이고 예심판사의 입건 결정을 얻지만, 그 승리를 뒤집을 법이 준비되고 있음을 알게 된다.</t>
  </si>
  <si>
    <t xml:space="preserve">사건을 푸는 사무소 → 법을 바꿔야 한다는 결론.</t>
  </si>
  <si>
    <t xml:space="preserve">합법 vs 효율(도청기) / 승리의 지속 가능성</t>
  </si>
  <si>
    <t xml:space="preserve">발단(1~3화): 1년 후(Olympe 합류), 계단 위의 줄, 불기소된 피해자 사건(N4).</t>
  </si>
  <si>
    <t xml:space="preserve">전개(4~5화): 서류 없는 사람들(S2), Philippe의 제보.</t>
  </si>
  <si>
    <t xml:space="preserve">미드포인트(6화): 사건 파일 — 인가 반부패 단체와 함께 사소 고소장 제출.</t>
  </si>
  <si>
    <t xml:space="preserve">위기(7~9화): 보복(봉쇄 소송), 전등 속 마이크(증거 적법성 논쟁), 동네의 보초.</t>
  </si>
  <si>
    <t xml:space="preserve">절정(10~11화): 예심판사의 입건 결정 / 다가오는 법(반부패 단체 사소권 제한 법안).</t>
  </si>
  <si>
    <t xml:space="preserve">결말·훅(12화): 레퓌블리크 광장의 의자 — «Il faut changer la loi.»</t>
  </si>
  <si>
    <r>
      <rPr>
        <sz val="10"/>
        <rFont val="Arial"/>
        <family val="0"/>
        <charset val="1"/>
      </rPr>
      <t xml:space="preserve">La Vieille Garde </t>
    </r>
    <r>
      <rPr>
        <sz val="10"/>
        <rFont val="WenQuanYi Zen Hei"/>
        <family val="2"/>
      </rPr>
      <t xml:space="preserve">전원 본격 합류</t>
    </r>
    <r>
      <rPr>
        <sz val="10"/>
        <rFont val="Arial"/>
        <family val="0"/>
        <charset val="1"/>
      </rPr>
      <t xml:space="preserve">. Olympe </t>
    </r>
    <r>
      <rPr>
        <sz val="10"/>
        <rFont val="WenQuanYi Zen Hei"/>
        <family val="2"/>
      </rPr>
      <t xml:space="preserve">첫 등장</t>
    </r>
    <r>
      <rPr>
        <sz val="10"/>
        <rFont val="Arial"/>
        <family val="0"/>
        <charset val="1"/>
      </rPr>
      <t xml:space="preserve">(</t>
    </r>
    <r>
      <rPr>
        <sz val="10"/>
        <rFont val="WenQuanYi Zen Hei"/>
        <family val="2"/>
      </rPr>
      <t xml:space="preserve">피해자 사건</t>
    </r>
    <r>
      <rPr>
        <sz val="10"/>
        <rFont val="Arial"/>
        <family val="0"/>
        <charset val="1"/>
      </rPr>
      <t xml:space="preserve">). </t>
    </r>
    <r>
      <rPr>
        <sz val="10"/>
        <rFont val="WenQuanYi Zen Hei"/>
        <family val="2"/>
      </rPr>
      <t xml:space="preserve">가상 인물</t>
    </r>
    <r>
      <rPr>
        <sz val="10"/>
        <rFont val="Arial"/>
        <family val="0"/>
        <charset val="1"/>
      </rPr>
      <t xml:space="preserve">: Verdier(</t>
    </r>
    <r>
      <rPr>
        <sz val="10"/>
        <rFont val="WenQuanYi Zen Hei"/>
        <family val="2"/>
      </rPr>
      <t xml:space="preserve">회장</t>
    </r>
    <r>
      <rPr>
        <sz val="10"/>
        <rFont val="Arial"/>
        <family val="0"/>
        <charset val="1"/>
      </rPr>
      <t xml:space="preserve">), GM </t>
    </r>
    <r>
      <rPr>
        <sz val="10"/>
        <rFont val="WenQuanYi Zen Hei"/>
        <family val="2"/>
      </rPr>
      <t xml:space="preserve">임원 </t>
    </r>
    <r>
      <rPr>
        <sz val="10"/>
        <rFont val="Arial"/>
        <family val="0"/>
        <charset val="1"/>
      </rPr>
      <t xml:space="preserve">3</t>
    </r>
    <r>
      <rPr>
        <sz val="10"/>
        <rFont val="WenQuanYi Zen Hei"/>
        <family val="2"/>
      </rPr>
      <t xml:space="preserve">인</t>
    </r>
    <r>
      <rPr>
        <sz val="10"/>
        <rFont val="Arial"/>
        <family val="0"/>
        <charset val="1"/>
      </rPr>
      <t xml:space="preserve">, </t>
    </r>
    <r>
      <rPr>
        <sz val="10"/>
        <rFont val="WenQuanYi Zen Hei"/>
        <family val="2"/>
      </rPr>
      <t xml:space="preserve">예심판사</t>
    </r>
    <r>
      <rPr>
        <sz val="10"/>
        <rFont val="Arial"/>
        <family val="0"/>
        <charset val="1"/>
      </rPr>
      <t xml:space="preserve">. Curie</t>
    </r>
    <r>
      <rPr>
        <sz val="10"/>
        <rFont val="WenQuanYi Zen Hei"/>
        <family val="2"/>
      </rPr>
      <t xml:space="preserve">와 </t>
    </r>
    <r>
      <rPr>
        <sz val="10"/>
        <rFont val="Arial"/>
        <family val="0"/>
        <charset val="1"/>
      </rPr>
      <t xml:space="preserve">Nicolas</t>
    </r>
    <r>
      <rPr>
        <sz val="10"/>
        <rFont val="WenQuanYi Zen Hei"/>
        <family val="2"/>
      </rPr>
      <t xml:space="preserve">의 합법성 갈등이 핵심</t>
    </r>
    <r>
      <rPr>
        <sz val="10"/>
        <rFont val="Arial"/>
        <family val="0"/>
        <charset val="1"/>
      </rPr>
      <t xml:space="preserve">.</t>
    </r>
  </si>
  <si>
    <r>
      <rPr>
        <sz val="10"/>
        <rFont val="Arial"/>
        <family val="0"/>
        <charset val="1"/>
      </rPr>
      <t xml:space="preserve">USB·Philippe </t>
    </r>
    <r>
      <rPr>
        <sz val="10"/>
        <rFont val="WenQuanYi Zen Hei"/>
        <family val="2"/>
      </rPr>
      <t xml:space="preserve">자료</t>
    </r>
    <r>
      <rPr>
        <sz val="10"/>
        <rFont val="Arial"/>
        <family val="0"/>
        <charset val="1"/>
      </rPr>
      <t xml:space="preserve">(→9</t>
    </r>
    <r>
      <rPr>
        <sz val="10"/>
        <rFont val="WenQuanYi Zen Hei"/>
        <family val="2"/>
      </rPr>
      <t xml:space="preserve">부 </t>
    </r>
    <r>
      <rPr>
        <sz val="10"/>
        <rFont val="Arial"/>
        <family val="0"/>
        <charset val="1"/>
      </rPr>
      <t xml:space="preserve">8</t>
    </r>
    <r>
      <rPr>
        <sz val="10"/>
        <rFont val="WenQuanYi Zen Hei"/>
        <family val="2"/>
      </rPr>
      <t xml:space="preserve">화</t>
    </r>
    <r>
      <rPr>
        <sz val="10"/>
        <rFont val="Arial"/>
        <family val="0"/>
        <charset val="1"/>
      </rPr>
      <t xml:space="preserve">) / </t>
    </r>
    <r>
      <rPr>
        <sz val="10"/>
        <rFont val="WenQuanYi Zen Hei"/>
        <family val="2"/>
      </rPr>
      <t xml:space="preserve">도청기 논쟁</t>
    </r>
    <r>
      <rPr>
        <sz val="10"/>
        <rFont val="Arial"/>
        <family val="0"/>
        <charset val="1"/>
      </rPr>
      <t xml:space="preserve">(→11</t>
    </r>
    <r>
      <rPr>
        <sz val="10"/>
        <rFont val="WenQuanYi Zen Hei"/>
        <family val="2"/>
      </rPr>
      <t xml:space="preserve">부 </t>
    </r>
    <r>
      <rPr>
        <sz val="10"/>
        <rFont val="Arial"/>
        <family val="0"/>
        <charset val="1"/>
      </rPr>
      <t xml:space="preserve">7</t>
    </r>
    <r>
      <rPr>
        <sz val="10"/>
        <rFont val="WenQuanYi Zen Hei"/>
        <family val="2"/>
      </rPr>
      <t xml:space="preserve">화</t>
    </r>
    <r>
      <rPr>
        <sz val="10"/>
        <rFont val="Arial"/>
        <family val="0"/>
        <charset val="1"/>
      </rPr>
      <t xml:space="preserve">, 12</t>
    </r>
    <r>
      <rPr>
        <sz val="10"/>
        <rFont val="WenQuanYi Zen Hei"/>
        <family val="2"/>
      </rPr>
      <t xml:space="preserve">부 </t>
    </r>
    <r>
      <rPr>
        <sz val="10"/>
        <rFont val="Arial"/>
        <family val="0"/>
        <charset val="1"/>
      </rPr>
      <t xml:space="preserve">5</t>
    </r>
    <r>
      <rPr>
        <sz val="10"/>
        <rFont val="WenQuanYi Zen Hei"/>
        <family val="2"/>
      </rPr>
      <t xml:space="preserve">화</t>
    </r>
    <r>
      <rPr>
        <sz val="10"/>
        <rFont val="Arial"/>
        <family val="0"/>
        <charset val="1"/>
      </rPr>
      <t xml:space="preserve">) / </t>
    </r>
    <r>
      <rPr>
        <sz val="10"/>
        <rFont val="WenQuanYi Zen Hei"/>
        <family val="2"/>
      </rPr>
      <t xml:space="preserve">사소권 제한 법안</t>
    </r>
    <r>
      <rPr>
        <sz val="10"/>
        <rFont val="Arial"/>
        <family val="0"/>
        <charset val="1"/>
      </rPr>
      <t xml:space="preserve">(→8</t>
    </r>
    <r>
      <rPr>
        <sz val="10"/>
        <rFont val="WenQuanYi Zen Hei"/>
        <family val="2"/>
      </rPr>
      <t xml:space="preserve">부 동기</t>
    </r>
    <r>
      <rPr>
        <sz val="10"/>
        <rFont val="Arial"/>
        <family val="0"/>
        <charset val="1"/>
      </rPr>
      <t xml:space="preserve">)</t>
    </r>
  </si>
  <si>
    <t xml:space="preserve">N4● S2● P3●</t>
  </si>
  <si>
    <t xml:space="preserve">사소 고소(plainte avec constitution de partie civile), 인가 반부패 단체, 국가금융검찰(PNF), 예심·입건, 내부고발자 보호(Sapin II법·2022년 법), 사생활 침해(형법 제226-1조), 명예훼손(1881년 법), 형법 불소급·경한 법 소급(형법 제112-1조)</t>
  </si>
  <si>
    <r>
      <rPr>
        <sz val="10"/>
        <rFont val="Arial"/>
        <family val="0"/>
        <charset val="1"/>
      </rPr>
      <t xml:space="preserve">B2~C1. </t>
    </r>
    <r>
      <rPr>
        <sz val="10"/>
        <rFont val="WenQuanYi Zen Hei"/>
        <family val="2"/>
      </rPr>
      <t xml:space="preserve">집단 소송</t>
    </r>
    <r>
      <rPr>
        <sz val="10"/>
        <rFont val="Arial"/>
        <family val="0"/>
        <charset val="1"/>
      </rPr>
      <t xml:space="preserve">·</t>
    </r>
    <r>
      <rPr>
        <sz val="10"/>
        <rFont val="WenQuanYi Zen Hei"/>
        <family val="2"/>
      </rPr>
      <t xml:space="preserve">성명서</t>
    </r>
    <r>
      <rPr>
        <sz val="10"/>
        <rFont val="Arial"/>
        <family val="0"/>
        <charset val="1"/>
      </rPr>
      <t xml:space="preserve">·</t>
    </r>
    <r>
      <rPr>
        <sz val="10"/>
        <rFont val="WenQuanYi Zen Hei"/>
        <family val="2"/>
      </rPr>
      <t xml:space="preserve">인터뷰 어휘</t>
    </r>
    <r>
      <rPr>
        <sz val="10"/>
        <rFont val="Arial"/>
        <family val="0"/>
        <charset val="1"/>
      </rPr>
      <t xml:space="preserve">. </t>
    </r>
    <r>
      <rPr>
        <sz val="10"/>
        <rFont val="WenQuanYi Zen Hei"/>
        <family val="2"/>
      </rPr>
      <t xml:space="preserve">발성</t>
    </r>
    <r>
      <rPr>
        <sz val="10"/>
        <rFont val="Arial"/>
        <family val="0"/>
        <charset val="1"/>
      </rPr>
      <t xml:space="preserve">: </t>
    </r>
    <r>
      <rPr>
        <sz val="10"/>
        <rFont val="WenQuanYi Zen Hei"/>
        <family val="2"/>
      </rPr>
      <t xml:space="preserve">긴박한 대화와 기자회견 톤</t>
    </r>
    <r>
      <rPr>
        <sz val="10"/>
        <rFont val="Arial"/>
        <family val="0"/>
        <charset val="1"/>
      </rPr>
      <t xml:space="preserve">.</t>
    </r>
  </si>
  <si>
    <r>
      <rPr>
        <sz val="10"/>
        <rFont val="Arial"/>
        <family val="0"/>
        <charset val="1"/>
      </rPr>
      <t xml:space="preserve">Manon: plainte·mise en examen·ordonnance </t>
    </r>
    <r>
      <rPr>
        <sz val="10"/>
        <rFont val="WenQuanYi Zen Hei"/>
        <family val="2"/>
      </rPr>
      <t xml:space="preserve">등</t>
    </r>
    <r>
      <rPr>
        <sz val="10"/>
        <rFont val="Arial"/>
        <family val="0"/>
        <charset val="1"/>
      </rPr>
      <t xml:space="preserve">. </t>
    </r>
    <r>
      <rPr>
        <sz val="10"/>
        <rFont val="WenQuanYi Zen Hei"/>
        <family val="2"/>
      </rPr>
      <t xml:space="preserve">카드</t>
    </r>
    <r>
      <rPr>
        <sz val="10"/>
        <rFont val="Arial"/>
        <family val="0"/>
        <charset val="1"/>
      </rPr>
      <t xml:space="preserve">: Sapin II</t>
    </r>
    <r>
      <rPr>
        <sz val="10"/>
        <rFont val="WenQuanYi Zen Hei"/>
        <family val="2"/>
      </rPr>
      <t xml:space="preserve">법</t>
    </r>
    <r>
      <rPr>
        <sz val="10"/>
        <rFont val="Arial"/>
        <family val="0"/>
        <charset val="1"/>
      </rPr>
      <t xml:space="preserve">, </t>
    </r>
    <r>
      <rPr>
        <sz val="10"/>
        <rFont val="WenQuanYi Zen Hei"/>
        <family val="2"/>
      </rPr>
      <t xml:space="preserve">형사소송법 제</t>
    </r>
    <r>
      <rPr>
        <sz val="10"/>
        <rFont val="Arial"/>
        <family val="0"/>
        <charset val="1"/>
      </rPr>
      <t xml:space="preserve">2-23</t>
    </r>
    <r>
      <rPr>
        <sz val="10"/>
        <rFont val="WenQuanYi Zen Hei"/>
        <family val="2"/>
      </rPr>
      <t xml:space="preserve">조</t>
    </r>
    <r>
      <rPr>
        <sz val="10"/>
        <rFont val="Arial"/>
        <family val="0"/>
        <charset val="1"/>
      </rPr>
      <t xml:space="preserve">, </t>
    </r>
    <r>
      <rPr>
        <sz val="10"/>
        <rFont val="WenQuanYi Zen Hei"/>
        <family val="2"/>
      </rPr>
      <t xml:space="preserve">형법</t>
    </r>
    <r>
      <rPr>
        <sz val="10"/>
        <rFont val="Arial"/>
        <family val="0"/>
        <charset val="1"/>
      </rPr>
      <t xml:space="preserve">.</t>
    </r>
  </si>
  <si>
    <r>
      <rPr>
        <sz val="10"/>
        <rFont val="Arial"/>
        <family val="0"/>
        <charset val="1"/>
      </rPr>
      <t xml:space="preserve">8</t>
    </r>
    <r>
      <rPr>
        <sz val="10"/>
        <rFont val="WenQuanYi Zen Hei"/>
        <family val="2"/>
      </rPr>
      <t xml:space="preserve">부</t>
    </r>
    <r>
      <rPr>
        <sz val="10"/>
        <rFont val="Arial"/>
        <family val="0"/>
        <charset val="1"/>
      </rPr>
      <t xml:space="preserve">: </t>
    </r>
    <r>
      <rPr>
        <sz val="10"/>
        <rFont val="WenQuanYi Zen Hei"/>
        <family val="2"/>
      </rPr>
      <t xml:space="preserve">레퓌블리크 광장으로</t>
    </r>
    <r>
      <rPr>
        <sz val="10"/>
        <rFont val="Arial"/>
        <family val="0"/>
        <charset val="1"/>
      </rPr>
      <t xml:space="preserve">.</t>
    </r>
  </si>
  <si>
    <r>
      <rPr>
        <b val="true"/>
        <sz val="10"/>
        <color rgb="FFFFFFFF"/>
        <rFont val="Arial"/>
        <family val="0"/>
        <charset val="1"/>
      </rPr>
      <t xml:space="preserve">L'Éveil citoyen — </t>
    </r>
    <r>
      <rPr>
        <b val="true"/>
        <sz val="10"/>
        <color rgb="FFFFFFFF"/>
        <rFont val="WenQuanYi Zen Hei"/>
        <family val="2"/>
      </rPr>
      <t xml:space="preserve">정치적 각성과 창당   </t>
    </r>
    <r>
      <rPr>
        <b val="true"/>
        <sz val="10"/>
        <color rgb="FFFFFFFF"/>
        <rFont val="Arial"/>
        <family val="0"/>
        <charset val="1"/>
      </rPr>
      <t xml:space="preserve">|   </t>
    </r>
    <r>
      <rPr>
        <b val="true"/>
        <sz val="10"/>
        <color rgb="FFFFFFFF"/>
        <rFont val="WenQuanYi Zen Hei"/>
        <family val="2"/>
      </rPr>
      <t xml:space="preserve">난이도 </t>
    </r>
    <r>
      <rPr>
        <b val="true"/>
        <sz val="10"/>
        <color rgb="FFFFFFFF"/>
        <rFont val="Arial"/>
        <family val="0"/>
        <charset val="1"/>
      </rPr>
      <t xml:space="preserve">B2~C1   |   </t>
    </r>
    <r>
      <rPr>
        <b val="true"/>
        <sz val="10"/>
        <color rgb="FFFFFFFF"/>
        <rFont val="WenQuanYi Zen Hei"/>
        <family val="2"/>
      </rPr>
      <t xml:space="preserve">사무소 개소 약 </t>
    </r>
    <r>
      <rPr>
        <b val="true"/>
        <sz val="10"/>
        <color rgb="FFFFFFFF"/>
        <rFont val="Arial"/>
        <family val="0"/>
        <charset val="1"/>
      </rPr>
      <t xml:space="preserve">2</t>
    </r>
    <r>
      <rPr>
        <b val="true"/>
        <sz val="10"/>
        <color rgb="FFFFFFFF"/>
        <rFont val="WenQuanYi Zen Hei"/>
        <family val="2"/>
      </rPr>
      <t xml:space="preserve">년 후</t>
    </r>
    <r>
      <rPr>
        <b val="true"/>
        <sz val="10"/>
        <color rgb="FFFFFFFF"/>
        <rFont val="Arial"/>
        <family val="0"/>
        <charset val="1"/>
      </rPr>
      <t xml:space="preserve">. Place de la République → </t>
    </r>
    <r>
      <rPr>
        <b val="true"/>
        <sz val="10"/>
        <color rgb="FFFFFFFF"/>
        <rFont val="WenQuanYi Zen Hei"/>
        <family val="2"/>
      </rPr>
      <t xml:space="preserve">골목길 캠페인 → 파리 시의회 선거</t>
    </r>
    <r>
      <rPr>
        <b val="true"/>
        <sz val="10"/>
        <color rgb="FFFFFFFF"/>
        <rFont val="Arial"/>
        <family val="0"/>
        <charset val="1"/>
      </rPr>
      <t xml:space="preserve">.</t>
    </r>
  </si>
  <si>
    <t xml:space="preserve">장르 전환점. 사건을 푸는 사무소에서 법을 바꾸는 정당으로. 시위 신고·하원 청원·정당 결성·선거 절차를 낭독 어휘로 소개한다.</t>
  </si>
  <si>
    <t xml:space="preserve">법정에서 이겨도 법이 그대로면 소용없다는 걸 안 사무소가 광장으로 나가 하원 시민청원 50만 서명을 모으지만 표결 없는 토론으로 끝나자, 스스로 정당 «Maison Commune»을 만든다.</t>
  </si>
  <si>
    <t xml:space="preserve">사건 해결자 → 후보. 사무소가 정당이 된다.</t>
  </si>
  <si>
    <t xml:space="preserve">원칙(Karim) vs 현실(Léa) / 순수함 vs 이기는 것</t>
  </si>
  <si>
    <t xml:space="preserve">발단(1~3화): 레퓌블리크 집회, 사건에서 법으로, 50만 서명.</t>
  </si>
  <si>
    <t xml:space="preserve">전환점(4화): 표결 없는 본회의 토론 — 청원은 법이 되지 못한다.</t>
  </si>
  <si>
    <t xml:space="preserve">미드포인트(5화): 정당의 탄생 — 창립 정관 서명, 이름 «Maison Commune».</t>
  </si>
  <si>
    <t xml:space="preserve">위기(6~9화): 정관(내부 민주주의·남녀 동수), 깨끗한 돈, 후보 명부, 골목길 캠페인.</t>
  </si>
  <si>
    <t xml:space="preserve">절정(10~11화): 언론의 공격과 반론권, 투표 전날의 침묵.</t>
  </si>
  <si>
    <t xml:space="preserve">결말·훅(12화): 개표의 밤 — 파리 시의회 12석(가상).</t>
  </si>
  <si>
    <r>
      <rPr>
        <sz val="10"/>
        <rFont val="Arial"/>
        <family val="0"/>
        <charset val="1"/>
      </rPr>
      <t xml:space="preserve">Hugo: </t>
    </r>
    <r>
      <rPr>
        <sz val="10"/>
        <rFont val="WenQuanYi Zen Hei"/>
        <family val="2"/>
      </rPr>
      <t xml:space="preserve">첫 문장 → 정당 이름</t>
    </r>
    <r>
      <rPr>
        <sz val="10"/>
        <rFont val="Arial"/>
        <family val="0"/>
        <charset val="1"/>
      </rPr>
      <t xml:space="preserve">·</t>
    </r>
    <r>
      <rPr>
        <sz val="10"/>
        <rFont val="WenQuanYi Zen Hei"/>
        <family val="2"/>
      </rPr>
      <t xml:space="preserve">연설문</t>
    </r>
    <r>
      <rPr>
        <sz val="10"/>
        <rFont val="Arial"/>
        <family val="0"/>
        <charset val="1"/>
      </rPr>
      <t xml:space="preserve">. Karim vs Léa</t>
    </r>
    <r>
      <rPr>
        <sz val="10"/>
        <rFont val="WenQuanYi Zen Hei"/>
        <family val="2"/>
      </rPr>
      <t xml:space="preserve">의 원칙 논쟁</t>
    </r>
    <r>
      <rPr>
        <sz val="10"/>
        <rFont val="Arial"/>
        <family val="0"/>
        <charset val="1"/>
      </rPr>
      <t xml:space="preserve">. Olympe: </t>
    </r>
    <r>
      <rPr>
        <sz val="10"/>
        <rFont val="WenQuanYi Zen Hei"/>
        <family val="2"/>
      </rPr>
      <t xml:space="preserve">정관과 남녀 동수</t>
    </r>
    <r>
      <rPr>
        <sz val="10"/>
        <rFont val="Arial"/>
        <family val="0"/>
        <charset val="1"/>
      </rPr>
      <t xml:space="preserve">. Julien·Camille=</t>
    </r>
    <r>
      <rPr>
        <sz val="10"/>
        <rFont val="WenQuanYi Zen Hei"/>
        <family val="2"/>
      </rPr>
      <t xml:space="preserve">시의회 후보</t>
    </r>
    <r>
      <rPr>
        <sz val="10"/>
        <rFont val="Arial"/>
        <family val="0"/>
        <charset val="1"/>
      </rPr>
      <t xml:space="preserve">. Manon: </t>
    </r>
    <r>
      <rPr>
        <sz val="10"/>
        <rFont val="WenQuanYi Zen Hei"/>
        <family val="2"/>
      </rPr>
      <t xml:space="preserve">첫 명부 실무</t>
    </r>
    <r>
      <rPr>
        <sz val="10"/>
        <rFont val="Arial"/>
        <family val="0"/>
        <charset val="1"/>
      </rPr>
      <t xml:space="preserve">.</t>
    </r>
  </si>
  <si>
    <r>
      <rPr>
        <sz val="10"/>
        <rFont val="Arial"/>
        <family val="0"/>
        <charset val="1"/>
      </rPr>
      <t xml:space="preserve">Karim–Léa </t>
    </r>
    <r>
      <rPr>
        <sz val="10"/>
        <rFont val="WenQuanYi Zen Hei"/>
        <family val="2"/>
      </rPr>
      <t xml:space="preserve">화해</t>
    </r>
    <r>
      <rPr>
        <sz val="10"/>
        <rFont val="Arial"/>
        <family val="0"/>
        <charset val="1"/>
      </rPr>
      <t xml:space="preserve">(→10</t>
    </r>
    <r>
      <rPr>
        <sz val="10"/>
        <rFont val="WenQuanYi Zen Hei"/>
        <family val="2"/>
      </rPr>
      <t xml:space="preserve">부 </t>
    </r>
    <r>
      <rPr>
        <sz val="10"/>
        <rFont val="Arial"/>
        <family val="0"/>
        <charset val="1"/>
      </rPr>
      <t xml:space="preserve">5</t>
    </r>
    <r>
      <rPr>
        <sz val="10"/>
        <rFont val="WenQuanYi Zen Hei"/>
        <family val="2"/>
      </rPr>
      <t xml:space="preserve">화</t>
    </r>
    <r>
      <rPr>
        <sz val="10"/>
        <rFont val="Arial"/>
        <family val="0"/>
        <charset val="1"/>
      </rPr>
      <t xml:space="preserve">) / </t>
    </r>
    <r>
      <rPr>
        <sz val="10"/>
        <rFont val="WenQuanYi Zen Hei"/>
        <family val="2"/>
      </rPr>
      <t xml:space="preserve">정당 이름의 유래</t>
    </r>
    <r>
      <rPr>
        <sz val="10"/>
        <rFont val="Arial"/>
        <family val="0"/>
        <charset val="1"/>
      </rPr>
      <t xml:space="preserve">(Monique</t>
    </r>
    <r>
      <rPr>
        <sz val="10"/>
        <rFont val="WenQuanYi Zen Hei"/>
        <family val="2"/>
      </rPr>
      <t xml:space="preserve">의 식탁</t>
    </r>
    <r>
      <rPr>
        <sz val="10"/>
        <rFont val="Arial"/>
        <family val="0"/>
        <charset val="1"/>
      </rPr>
      <t xml:space="preserve">)(→13</t>
    </r>
    <r>
      <rPr>
        <sz val="10"/>
        <rFont val="WenQuanYi Zen Hei"/>
        <family val="2"/>
      </rPr>
      <t xml:space="preserve">부 마지막</t>
    </r>
    <r>
      <rPr>
        <sz val="10"/>
        <rFont val="Arial"/>
        <family val="0"/>
        <charset val="1"/>
      </rPr>
      <t xml:space="preserve">) / </t>
    </r>
    <r>
      <rPr>
        <sz val="10"/>
        <rFont val="WenQuanYi Zen Hei"/>
        <family val="2"/>
      </rPr>
      <t xml:space="preserve">반론권</t>
    </r>
    <r>
      <rPr>
        <sz val="10"/>
        <rFont val="Arial"/>
        <family val="0"/>
        <charset val="1"/>
      </rPr>
      <t xml:space="preserve">·</t>
    </r>
    <r>
      <rPr>
        <sz val="10"/>
        <rFont val="WenQuanYi Zen Hei"/>
        <family val="2"/>
      </rPr>
      <t xml:space="preserve">언론 갈등</t>
    </r>
    <r>
      <rPr>
        <sz val="10"/>
        <rFont val="Arial"/>
        <family val="0"/>
        <charset val="1"/>
      </rPr>
      <t xml:space="preserve">(→9</t>
    </r>
    <r>
      <rPr>
        <sz val="10"/>
        <rFont val="WenQuanYi Zen Hei"/>
        <family val="2"/>
      </rPr>
      <t xml:space="preserve">부 </t>
    </r>
    <r>
      <rPr>
        <sz val="10"/>
        <rFont val="Arial"/>
        <family val="0"/>
        <charset val="1"/>
      </rPr>
      <t xml:space="preserve">10</t>
    </r>
    <r>
      <rPr>
        <sz val="10"/>
        <rFont val="WenQuanYi Zen Hei"/>
        <family val="2"/>
      </rPr>
      <t xml:space="preserve">화</t>
    </r>
    <r>
      <rPr>
        <sz val="10"/>
        <rFont val="Arial"/>
        <family val="0"/>
        <charset val="1"/>
      </rPr>
      <t xml:space="preserve">)</t>
    </r>
  </si>
  <si>
    <t xml:space="preserve">P1○ E1○ E2○ S1○ S2○ N4○</t>
  </si>
  <si>
    <t xml:space="preserve">시위 사전 신고(국내안전법전), 하원 청원(의사규칙 제148조), 정당 결성(헌법 제4조, 1901년 결사법, 1988년 정치자금투명성법), 정치자금 감독(CNCCFP), 남녀 교대 명부(2000년 법), 반론권(1881년 법), 투표 전날 선거운동·여론조사 공표 금지</t>
  </si>
  <si>
    <r>
      <rPr>
        <sz val="10"/>
        <rFont val="Arial"/>
        <family val="0"/>
        <charset val="1"/>
      </rPr>
      <t xml:space="preserve">B2~C1. </t>
    </r>
    <r>
      <rPr>
        <sz val="10"/>
        <rFont val="WenQuanYi Zen Hei"/>
        <family val="2"/>
      </rPr>
      <t xml:space="preserve">연설</t>
    </r>
    <r>
      <rPr>
        <sz val="10"/>
        <rFont val="Arial"/>
        <family val="0"/>
        <charset val="1"/>
      </rPr>
      <t xml:space="preserve">(discours)·</t>
    </r>
    <r>
      <rPr>
        <sz val="10"/>
        <rFont val="WenQuanYi Zen Hei"/>
        <family val="2"/>
      </rPr>
      <t xml:space="preserve">구호</t>
    </r>
    <r>
      <rPr>
        <sz val="10"/>
        <rFont val="Arial"/>
        <family val="0"/>
        <charset val="1"/>
      </rPr>
      <t xml:space="preserve">·</t>
    </r>
    <r>
      <rPr>
        <sz val="10"/>
        <rFont val="WenQuanYi Zen Hei"/>
        <family val="2"/>
      </rPr>
      <t xml:space="preserve">선언문</t>
    </r>
    <r>
      <rPr>
        <sz val="10"/>
        <rFont val="Arial"/>
        <family val="0"/>
        <charset val="1"/>
      </rPr>
      <t xml:space="preserve">, </t>
    </r>
    <r>
      <rPr>
        <sz val="10"/>
        <rFont val="WenQuanYi Zen Hei"/>
        <family val="2"/>
      </rPr>
      <t xml:space="preserve">접속법</t>
    </r>
    <r>
      <rPr>
        <sz val="10"/>
        <rFont val="Arial"/>
        <family val="0"/>
        <charset val="1"/>
      </rPr>
      <t xml:space="preserve">. </t>
    </r>
    <r>
      <rPr>
        <sz val="10"/>
        <rFont val="WenQuanYi Zen Hei"/>
        <family val="2"/>
      </rPr>
      <t xml:space="preserve">발성</t>
    </r>
    <r>
      <rPr>
        <sz val="10"/>
        <rFont val="Arial"/>
        <family val="0"/>
        <charset val="1"/>
      </rPr>
      <t xml:space="preserve">: </t>
    </r>
    <r>
      <rPr>
        <sz val="10"/>
        <rFont val="WenQuanYi Zen Hei"/>
        <family val="2"/>
      </rPr>
      <t xml:space="preserve">광장 연설의 볼륨과 호흡</t>
    </r>
    <r>
      <rPr>
        <sz val="10"/>
        <rFont val="Arial"/>
        <family val="0"/>
        <charset val="1"/>
      </rPr>
      <t xml:space="preserve">.</t>
    </r>
  </si>
  <si>
    <r>
      <rPr>
        <sz val="10"/>
        <rFont val="Arial"/>
        <family val="0"/>
        <charset val="1"/>
      </rPr>
      <t xml:space="preserve">Manon: pétition·liste électorale·siège </t>
    </r>
    <r>
      <rPr>
        <sz val="10"/>
        <rFont val="WenQuanYi Zen Hei"/>
        <family val="2"/>
      </rPr>
      <t xml:space="preserve">등 선거 용어</t>
    </r>
    <r>
      <rPr>
        <sz val="10"/>
        <rFont val="Arial"/>
        <family val="0"/>
        <charset val="1"/>
      </rPr>
      <t xml:space="preserve">. </t>
    </r>
    <r>
      <rPr>
        <sz val="10"/>
        <rFont val="WenQuanYi Zen Hei"/>
        <family val="2"/>
      </rPr>
      <t xml:space="preserve">카드</t>
    </r>
    <r>
      <rPr>
        <sz val="10"/>
        <rFont val="Arial"/>
        <family val="0"/>
        <charset val="1"/>
      </rPr>
      <t xml:space="preserve">: 1988</t>
    </r>
    <r>
      <rPr>
        <sz val="10"/>
        <rFont val="WenQuanYi Zen Hei"/>
        <family val="2"/>
      </rPr>
      <t xml:space="preserve">년 정치자금법</t>
    </r>
    <r>
      <rPr>
        <sz val="10"/>
        <rFont val="Arial"/>
        <family val="0"/>
        <charset val="1"/>
      </rPr>
      <t xml:space="preserve">, </t>
    </r>
    <r>
      <rPr>
        <sz val="10"/>
        <rFont val="WenQuanYi Zen Hei"/>
        <family val="2"/>
      </rPr>
      <t xml:space="preserve">선거법전</t>
    </r>
    <r>
      <rPr>
        <sz val="10"/>
        <rFont val="Arial"/>
        <family val="0"/>
        <charset val="1"/>
      </rPr>
      <t xml:space="preserve">(Code électoral), CNCCFP.</t>
    </r>
  </si>
  <si>
    <r>
      <rPr>
        <sz val="10"/>
        <rFont val="Arial"/>
        <family val="0"/>
        <charset val="1"/>
      </rPr>
      <t xml:space="preserve">9</t>
    </r>
    <r>
      <rPr>
        <sz val="10"/>
        <rFont val="WenQuanYi Zen Hei"/>
        <family val="2"/>
      </rPr>
      <t xml:space="preserve">부</t>
    </r>
    <r>
      <rPr>
        <sz val="10"/>
        <rFont val="Arial"/>
        <family val="0"/>
        <charset val="1"/>
      </rPr>
      <t xml:space="preserve">: </t>
    </r>
    <r>
      <rPr>
        <sz val="10"/>
        <rFont val="WenQuanYi Zen Hei"/>
        <family val="2"/>
      </rPr>
      <t xml:space="preserve">파리 시의회 — 소수 야당의 싸움</t>
    </r>
    <r>
      <rPr>
        <sz val="10"/>
        <rFont val="Arial"/>
        <family val="0"/>
        <charset val="1"/>
      </rPr>
      <t xml:space="preserve">.</t>
    </r>
  </si>
  <si>
    <r>
      <rPr>
        <b val="true"/>
        <sz val="10"/>
        <color rgb="FFFFFFFF"/>
        <rFont val="Arial"/>
        <family val="0"/>
        <charset val="1"/>
      </rPr>
      <t xml:space="preserve">À l'Hôtel de Ville — </t>
    </r>
    <r>
      <rPr>
        <b val="true"/>
        <sz val="10"/>
        <color rgb="FFFFFFFF"/>
        <rFont val="WenQuanYi Zen Hei"/>
        <family val="2"/>
      </rPr>
      <t xml:space="preserve">파리 시의회   </t>
    </r>
    <r>
      <rPr>
        <b val="true"/>
        <sz val="10"/>
        <color rgb="FFFFFFFF"/>
        <rFont val="Arial"/>
        <family val="0"/>
        <charset val="1"/>
      </rPr>
      <t xml:space="preserve">|   </t>
    </r>
    <r>
      <rPr>
        <b val="true"/>
        <sz val="10"/>
        <color rgb="FFFFFFFF"/>
        <rFont val="WenQuanYi Zen Hei"/>
        <family val="2"/>
      </rPr>
      <t xml:space="preserve">난이도 </t>
    </r>
    <r>
      <rPr>
        <b val="true"/>
        <sz val="10"/>
        <color rgb="FFFFFFFF"/>
        <rFont val="Arial"/>
        <family val="0"/>
        <charset val="1"/>
      </rPr>
      <t xml:space="preserve">C1   |   </t>
    </r>
    <r>
      <rPr>
        <b val="true"/>
        <sz val="10"/>
        <color rgb="FFFFFFFF"/>
        <rFont val="WenQuanYi Zen Hei"/>
        <family val="2"/>
      </rPr>
      <t xml:space="preserve">시의회 선거 직후 </t>
    </r>
    <r>
      <rPr>
        <b val="true"/>
        <sz val="10"/>
        <color rgb="FFFFFFFF"/>
        <rFont val="Arial"/>
        <family val="0"/>
        <charset val="1"/>
      </rPr>
      <t xml:space="preserve">~ </t>
    </r>
    <r>
      <rPr>
        <b val="true"/>
        <sz val="10"/>
        <color rgb="FFFFFFFF"/>
        <rFont val="WenQuanYi Zen Hei"/>
        <family val="2"/>
      </rPr>
      <t xml:space="preserve">임기 중반</t>
    </r>
    <r>
      <rPr>
        <b val="true"/>
        <sz val="10"/>
        <color rgb="FFFFFFFF"/>
        <rFont val="Arial"/>
        <family val="0"/>
        <charset val="1"/>
      </rPr>
      <t xml:space="preserve">. Hôtel de Ville, Conseil de Paris, AP-HP </t>
    </r>
    <r>
      <rPr>
        <b val="true"/>
        <sz val="10"/>
        <color rgb="FFFFFFFF"/>
        <rFont val="WenQuanYi Zen Hei"/>
        <family val="2"/>
      </rPr>
      <t xml:space="preserve">감독위원회</t>
    </r>
    <r>
      <rPr>
        <b val="true"/>
        <sz val="10"/>
        <color rgb="FFFFFFFF"/>
        <rFont val="Arial"/>
        <family val="0"/>
        <charset val="1"/>
      </rPr>
      <t xml:space="preserve">, </t>
    </r>
    <r>
      <rPr>
        <b val="true"/>
        <sz val="10"/>
        <color rgb="FFFFFFFF"/>
        <rFont val="WenQuanYi Zen Hei"/>
        <family val="2"/>
      </rPr>
      <t xml:space="preserve">당사</t>
    </r>
    <r>
      <rPr>
        <b val="true"/>
        <sz val="10"/>
        <color rgb="FFFFFFFF"/>
        <rFont val="Arial"/>
        <family val="0"/>
        <charset val="1"/>
      </rPr>
      <t xml:space="preserve">.</t>
    </r>
  </si>
  <si>
    <t xml:space="preserve">제도 안의 싸움. 소수 야당으로 예산·계약·병원 외주를 파헤치며 권력의 내부를 배운다. Manon의 2차 폭발(이번엔 옳다). 마지막에 국정으로 뛰어든다.</t>
  </si>
  <si>
    <t xml:space="preserve">시의원 Julien과 Camille가 예산과 계약을 파헤쳐 Groupe Méridien으로 이어지는 스캔들을 폭로하고 고소로 잇지만, 정치는 사법을 기다려 주지 않는다. 그리고 Nicolas가 대선 출마를 선언한다.</t>
  </si>
  <si>
    <t xml:space="preserve">구경꾼 → 견제자. 순진함 → 제도의 요령.</t>
  </si>
  <si>
    <t xml:space="preserve">동맹의 대가 vs 원칙 / 폭로의 합법성</t>
  </si>
  <si>
    <t xml:space="preserve">발단(1~3화): 시의회 개원과 시장 선출, 첫 본회의, 도시 예산 감사.</t>
  </si>
  <si>
    <t xml:space="preserve">전개(4~5화): 계약 돋보기(회복기금·공공 임대주택 기관), 불편한 동맹.</t>
  </si>
  <si>
    <t xml:space="preserve">미드포인트(6화): 예산의 덫 — 주거 보조 삭감 조항, Manon 2차 폭발(Karim의 욕 포함).</t>
  </si>
  <si>
    <t xml:space="preserve">위기(7~9화): 시의회에서의 보건(의료 사막·AP-HP), 스캔들 폭로, 고소장(사법 지연).</t>
  </si>
  <si>
    <t xml:space="preserve">절정(10~11화): 권력의 반격, 당내 경선 — 의리의 시험.</t>
  </si>
  <si>
    <t xml:space="preserve">결말·훅(12화): 대선 출마 선언, 추천서 수집 시작.</t>
  </si>
  <si>
    <r>
      <rPr>
        <sz val="10"/>
        <rFont val="Arial"/>
        <family val="0"/>
        <charset val="1"/>
      </rPr>
      <t xml:space="preserve">Julien·Camille</t>
    </r>
    <r>
      <rPr>
        <sz val="10"/>
        <rFont val="WenQuanYi Zen Hei"/>
        <family val="2"/>
      </rPr>
      <t xml:space="preserve">는 각자 시의회 무대</t>
    </r>
    <r>
      <rPr>
        <sz val="10"/>
        <rFont val="Arial"/>
        <family val="0"/>
        <charset val="1"/>
      </rPr>
      <t xml:space="preserve">(</t>
    </r>
    <r>
      <rPr>
        <sz val="10"/>
        <rFont val="WenQuanYi Zen Hei"/>
        <family val="2"/>
      </rPr>
      <t xml:space="preserve">예산</t>
    </r>
    <r>
      <rPr>
        <sz val="10"/>
        <rFont val="Arial"/>
        <family val="0"/>
        <charset val="1"/>
      </rPr>
      <t xml:space="preserve">·</t>
    </r>
    <r>
      <rPr>
        <sz val="10"/>
        <rFont val="WenQuanYi Zen Hei"/>
        <family val="2"/>
      </rPr>
      <t xml:space="preserve">보건</t>
    </r>
    <r>
      <rPr>
        <sz val="10"/>
        <rFont val="Arial"/>
        <family val="0"/>
        <charset val="1"/>
      </rPr>
      <t xml:space="preserve">). Manon: </t>
    </r>
    <r>
      <rPr>
        <sz val="10"/>
        <rFont val="WenQuanYi Zen Hei"/>
        <family val="2"/>
      </rPr>
      <t xml:space="preserve">시의원 보좌</t>
    </r>
    <r>
      <rPr>
        <sz val="10"/>
        <rFont val="Arial"/>
        <family val="0"/>
        <charset val="1"/>
      </rPr>
      <t xml:space="preserve">. Curie·Voltaire·Philippe: </t>
    </r>
    <r>
      <rPr>
        <sz val="10"/>
        <rFont val="WenQuanYi Zen Hei"/>
        <family val="2"/>
      </rPr>
      <t xml:space="preserve">스캔들 증거와 보도</t>
    </r>
    <r>
      <rPr>
        <sz val="10"/>
        <rFont val="Arial"/>
        <family val="0"/>
        <charset val="1"/>
      </rPr>
      <t xml:space="preserve">. Karim·Léa: </t>
    </r>
    <r>
      <rPr>
        <sz val="10"/>
        <rFont val="WenQuanYi Zen Hei"/>
        <family val="2"/>
      </rPr>
      <t xml:space="preserve">동맹 갈등</t>
    </r>
    <r>
      <rPr>
        <sz val="10"/>
        <rFont val="Arial"/>
        <family val="0"/>
        <charset val="1"/>
      </rPr>
      <t xml:space="preserve">.</t>
    </r>
  </si>
  <si>
    <r>
      <rPr>
        <sz val="10"/>
        <rFont val="Arial"/>
        <family val="0"/>
        <charset val="1"/>
      </rPr>
      <t xml:space="preserve">Manon 2</t>
    </r>
    <r>
      <rPr>
        <sz val="10"/>
        <rFont val="WenQuanYi Zen Hei"/>
        <family val="2"/>
      </rPr>
      <t xml:space="preserve">차 폭발</t>
    </r>
    <r>
      <rPr>
        <sz val="10"/>
        <rFont val="Arial"/>
        <family val="0"/>
        <charset val="1"/>
      </rPr>
      <t xml:space="preserve">(1</t>
    </r>
    <r>
      <rPr>
        <sz val="10"/>
        <rFont val="WenQuanYi Zen Hei"/>
        <family val="2"/>
      </rPr>
      <t xml:space="preserve">부 </t>
    </r>
    <r>
      <rPr>
        <sz val="10"/>
        <rFont val="Arial"/>
        <family val="0"/>
        <charset val="1"/>
      </rPr>
      <t xml:space="preserve">1</t>
    </r>
    <r>
      <rPr>
        <sz val="10"/>
        <rFont val="WenQuanYi Zen Hei"/>
        <family val="2"/>
      </rPr>
      <t xml:space="preserve">차의 회수</t>
    </r>
    <r>
      <rPr>
        <sz val="10"/>
        <rFont val="Arial"/>
        <family val="0"/>
        <charset val="1"/>
      </rPr>
      <t xml:space="preserve">) / Méridien </t>
    </r>
    <r>
      <rPr>
        <sz val="10"/>
        <rFont val="WenQuanYi Zen Hei"/>
        <family val="2"/>
      </rPr>
      <t xml:space="preserve">스캔들</t>
    </r>
    <r>
      <rPr>
        <sz val="10"/>
        <rFont val="Arial"/>
        <family val="0"/>
        <charset val="1"/>
      </rPr>
      <t xml:space="preserve">(→11</t>
    </r>
    <r>
      <rPr>
        <sz val="10"/>
        <rFont val="WenQuanYi Zen Hei"/>
        <family val="2"/>
      </rPr>
      <t xml:space="preserve">부 </t>
    </r>
    <r>
      <rPr>
        <sz val="10"/>
        <rFont val="Arial"/>
        <family val="0"/>
        <charset val="1"/>
      </rPr>
      <t xml:space="preserve">2</t>
    </r>
    <r>
      <rPr>
        <sz val="10"/>
        <rFont val="WenQuanYi Zen Hei"/>
        <family val="2"/>
      </rPr>
      <t xml:space="preserve">화</t>
    </r>
    <r>
      <rPr>
        <sz val="10"/>
        <rFont val="Arial"/>
        <family val="0"/>
        <charset val="1"/>
      </rPr>
      <t xml:space="preserve">, 13</t>
    </r>
    <r>
      <rPr>
        <sz val="10"/>
        <rFont val="WenQuanYi Zen Hei"/>
        <family val="2"/>
      </rPr>
      <t xml:space="preserve">부 </t>
    </r>
    <r>
      <rPr>
        <sz val="10"/>
        <rFont val="Arial"/>
        <family val="0"/>
        <charset val="1"/>
      </rPr>
      <t xml:space="preserve">7</t>
    </r>
    <r>
      <rPr>
        <sz val="10"/>
        <rFont val="WenQuanYi Zen Hei"/>
        <family val="2"/>
      </rPr>
      <t xml:space="preserve">화</t>
    </r>
    <r>
      <rPr>
        <sz val="10"/>
        <rFont val="Arial"/>
        <family val="0"/>
        <charset val="1"/>
      </rPr>
      <t xml:space="preserve">)</t>
    </r>
  </si>
  <si>
    <t xml:space="preserve">P1● P3● E1● N2● S3●</t>
  </si>
  <si>
    <r>
      <rPr>
        <sz val="10"/>
        <rFont val="Arial"/>
        <family val="0"/>
        <charset val="1"/>
      </rPr>
      <t xml:space="preserve">Conseil de Paris </t>
    </r>
    <r>
      <rPr>
        <sz val="10"/>
        <rFont val="WenQuanYi Zen Hei"/>
        <family val="2"/>
      </rPr>
      <t xml:space="preserve">운영</t>
    </r>
    <r>
      <rPr>
        <sz val="10"/>
        <rFont val="Arial"/>
        <family val="0"/>
        <charset val="1"/>
      </rPr>
      <t xml:space="preserve">, </t>
    </r>
    <r>
      <rPr>
        <sz val="10"/>
        <rFont val="WenQuanYi Zen Hei"/>
        <family val="2"/>
      </rPr>
      <t xml:space="preserve">시장 선출</t>
    </r>
    <r>
      <rPr>
        <sz val="10"/>
        <rFont val="Arial"/>
        <family val="0"/>
        <charset val="1"/>
      </rPr>
      <t xml:space="preserve">(</t>
    </r>
    <r>
      <rPr>
        <sz val="10"/>
        <rFont val="WenQuanYi Zen Hei"/>
        <family val="2"/>
      </rPr>
      <t xml:space="preserve">지방자치법전 </t>
    </r>
    <r>
      <rPr>
        <sz val="10"/>
        <rFont val="Arial"/>
        <family val="0"/>
        <charset val="1"/>
      </rPr>
      <t xml:space="preserve">L.2122-7</t>
    </r>
    <r>
      <rPr>
        <sz val="10"/>
        <rFont val="WenQuanYi Zen Hei"/>
        <family val="2"/>
      </rPr>
      <t xml:space="preserve">조</t>
    </r>
    <r>
      <rPr>
        <sz val="10"/>
        <rFont val="Arial"/>
        <family val="0"/>
        <charset val="1"/>
      </rPr>
      <t xml:space="preserve">), </t>
    </r>
    <r>
      <rPr>
        <sz val="10"/>
        <rFont val="WenQuanYi Zen Hei"/>
        <family val="2"/>
      </rPr>
      <t xml:space="preserve">예산</t>
    </r>
    <r>
      <rPr>
        <sz val="10"/>
        <rFont val="Arial"/>
        <family val="0"/>
        <charset val="1"/>
      </rPr>
      <t xml:space="preserve">·</t>
    </r>
    <r>
      <rPr>
        <sz val="10"/>
        <rFont val="WenQuanYi Zen Hei"/>
        <family val="2"/>
      </rPr>
      <t xml:space="preserve">단일 결산서</t>
    </r>
    <r>
      <rPr>
        <sz val="10"/>
        <rFont val="Arial"/>
        <family val="0"/>
        <charset val="1"/>
      </rPr>
      <t xml:space="preserve">, </t>
    </r>
    <r>
      <rPr>
        <sz val="10"/>
        <rFont val="WenQuanYi Zen Hei"/>
        <family val="2"/>
      </rPr>
      <t xml:space="preserve">공공조달법전</t>
    </r>
    <r>
      <rPr>
        <sz val="10"/>
        <rFont val="Arial"/>
        <family val="0"/>
        <charset val="1"/>
      </rPr>
      <t xml:space="preserve">, </t>
    </r>
    <r>
      <rPr>
        <sz val="10"/>
        <rFont val="WenQuanYi Zen Hei"/>
        <family val="2"/>
      </rPr>
      <t xml:space="preserve">지방재정감사원</t>
    </r>
    <r>
      <rPr>
        <sz val="10"/>
        <rFont val="Arial"/>
        <family val="0"/>
        <charset val="1"/>
      </rPr>
      <t xml:space="preserve">, </t>
    </r>
    <r>
      <rPr>
        <sz val="10"/>
        <rFont val="WenQuanYi Zen Hei"/>
        <family val="2"/>
      </rPr>
      <t xml:space="preserve">보건은 국가</t>
    </r>
    <r>
      <rPr>
        <sz val="10"/>
        <rFont val="Arial"/>
        <family val="0"/>
        <charset val="1"/>
      </rPr>
      <t xml:space="preserve">(ARS) </t>
    </r>
    <r>
      <rPr>
        <sz val="10"/>
        <rFont val="WenQuanYi Zen Hei"/>
        <family val="2"/>
      </rPr>
      <t xml:space="preserve">권한</t>
    </r>
    <r>
      <rPr>
        <sz val="10"/>
        <rFont val="Arial"/>
        <family val="0"/>
        <charset val="1"/>
      </rPr>
      <t xml:space="preserve">·</t>
    </r>
    <r>
      <rPr>
        <sz val="10"/>
        <rFont val="WenQuanYi Zen Hei"/>
        <family val="2"/>
      </rPr>
      <t xml:space="preserve">파리 시장의 </t>
    </r>
    <r>
      <rPr>
        <sz val="10"/>
        <rFont val="Arial"/>
        <family val="0"/>
        <charset val="1"/>
      </rPr>
      <t xml:space="preserve">AP-HP </t>
    </r>
    <r>
      <rPr>
        <sz val="10"/>
        <rFont val="WenQuanYi Zen Hei"/>
        <family val="2"/>
      </rPr>
      <t xml:space="preserve">감독위원회 의장직</t>
    </r>
    <r>
      <rPr>
        <sz val="10"/>
        <rFont val="Arial"/>
        <family val="0"/>
        <charset val="1"/>
      </rPr>
      <t xml:space="preserve">, </t>
    </r>
    <r>
      <rPr>
        <sz val="10"/>
        <rFont val="WenQuanYi Zen Hei"/>
        <family val="2"/>
      </rPr>
      <t xml:space="preserve">조사</t>
    </r>
    <r>
      <rPr>
        <sz val="10"/>
        <rFont val="Arial"/>
        <family val="0"/>
        <charset val="1"/>
      </rPr>
      <t xml:space="preserve">·</t>
    </r>
    <r>
      <rPr>
        <sz val="10"/>
        <rFont val="WenQuanYi Zen Hei"/>
        <family val="2"/>
      </rPr>
      <t xml:space="preserve">고소</t>
    </r>
    <r>
      <rPr>
        <sz val="10"/>
        <rFont val="Arial"/>
        <family val="0"/>
        <charset val="1"/>
      </rPr>
      <t xml:space="preserve">, Sapin II</t>
    </r>
    <r>
      <rPr>
        <sz val="10"/>
        <rFont val="WenQuanYi Zen Hei"/>
        <family val="2"/>
      </rPr>
      <t xml:space="preserve">법</t>
    </r>
  </si>
  <si>
    <r>
      <rPr>
        <sz val="10"/>
        <rFont val="Arial"/>
        <family val="0"/>
        <charset val="1"/>
      </rPr>
      <t xml:space="preserve">C1. </t>
    </r>
    <r>
      <rPr>
        <sz val="10"/>
        <rFont val="WenQuanYi Zen Hei"/>
        <family val="2"/>
      </rPr>
      <t xml:space="preserve">회의 어휘</t>
    </r>
    <r>
      <rPr>
        <sz val="10"/>
        <rFont val="Arial"/>
        <family val="0"/>
        <charset val="1"/>
      </rPr>
      <t xml:space="preserve">, </t>
    </r>
    <r>
      <rPr>
        <sz val="10"/>
        <rFont val="WenQuanYi Zen Hei"/>
        <family val="2"/>
      </rPr>
      <t xml:space="preserve">표결</t>
    </r>
    <r>
      <rPr>
        <sz val="10"/>
        <rFont val="Arial"/>
        <family val="0"/>
        <charset val="1"/>
      </rPr>
      <t xml:space="preserve">·</t>
    </r>
    <r>
      <rPr>
        <sz val="10"/>
        <rFont val="WenQuanYi Zen Hei"/>
        <family val="2"/>
      </rPr>
      <t xml:space="preserve">결의안</t>
    </r>
    <r>
      <rPr>
        <sz val="10"/>
        <rFont val="Arial"/>
        <family val="0"/>
        <charset val="1"/>
      </rPr>
      <t xml:space="preserve">, </t>
    </r>
    <r>
      <rPr>
        <sz val="10"/>
        <rFont val="WenQuanYi Zen Hei"/>
        <family val="2"/>
      </rPr>
      <t xml:space="preserve">질의</t>
    </r>
    <r>
      <rPr>
        <sz val="10"/>
        <rFont val="Arial"/>
        <family val="0"/>
        <charset val="1"/>
      </rPr>
      <t xml:space="preserve">·</t>
    </r>
    <r>
      <rPr>
        <sz val="10"/>
        <rFont val="WenQuanYi Zen Hei"/>
        <family val="2"/>
      </rPr>
      <t xml:space="preserve">답변</t>
    </r>
    <r>
      <rPr>
        <sz val="10"/>
        <rFont val="Arial"/>
        <family val="0"/>
        <charset val="1"/>
      </rPr>
      <t xml:space="preserve">, «Madame la Maire», «Monsieur le conseiller» </t>
    </r>
    <r>
      <rPr>
        <sz val="10"/>
        <rFont val="WenQuanYi Zen Hei"/>
        <family val="2"/>
      </rPr>
      <t xml:space="preserve">호칭</t>
    </r>
    <r>
      <rPr>
        <sz val="10"/>
        <rFont val="Arial"/>
        <family val="0"/>
        <charset val="1"/>
      </rPr>
      <t xml:space="preserve">. </t>
    </r>
    <r>
      <rPr>
        <sz val="10"/>
        <rFont val="WenQuanYi Zen Hei"/>
        <family val="2"/>
      </rPr>
      <t xml:space="preserve">발성</t>
    </r>
    <r>
      <rPr>
        <sz val="10"/>
        <rFont val="Arial"/>
        <family val="0"/>
        <charset val="1"/>
      </rPr>
      <t xml:space="preserve">: </t>
    </r>
    <r>
      <rPr>
        <sz val="10"/>
        <rFont val="WenQuanYi Zen Hei"/>
        <family val="2"/>
      </rPr>
      <t xml:space="preserve">정확하고 절제된 회의체</t>
    </r>
    <r>
      <rPr>
        <sz val="10"/>
        <rFont val="Arial"/>
        <family val="0"/>
        <charset val="1"/>
      </rPr>
      <t xml:space="preserve">.</t>
    </r>
  </si>
  <si>
    <r>
      <rPr>
        <sz val="10"/>
        <rFont val="Arial"/>
        <family val="0"/>
        <charset val="1"/>
      </rPr>
      <t xml:space="preserve">Manon: marché public·appel d'offres·amendement </t>
    </r>
    <r>
      <rPr>
        <sz val="10"/>
        <rFont val="WenQuanYi Zen Hei"/>
        <family val="2"/>
      </rPr>
      <t xml:space="preserve">등</t>
    </r>
    <r>
      <rPr>
        <sz val="10"/>
        <rFont val="Arial"/>
        <family val="0"/>
        <charset val="1"/>
      </rPr>
      <t xml:space="preserve">. </t>
    </r>
    <r>
      <rPr>
        <sz val="10"/>
        <rFont val="WenQuanYi Zen Hei"/>
        <family val="2"/>
      </rPr>
      <t xml:space="preserve">카드</t>
    </r>
    <r>
      <rPr>
        <sz val="10"/>
        <rFont val="Arial"/>
        <family val="0"/>
        <charset val="1"/>
      </rPr>
      <t xml:space="preserve">: </t>
    </r>
    <r>
      <rPr>
        <sz val="10"/>
        <rFont val="WenQuanYi Zen Hei"/>
        <family val="2"/>
      </rPr>
      <t xml:space="preserve">공공조달법전</t>
    </r>
    <r>
      <rPr>
        <sz val="10"/>
        <rFont val="Arial"/>
        <family val="0"/>
        <charset val="1"/>
      </rPr>
      <t xml:space="preserve">, </t>
    </r>
    <r>
      <rPr>
        <sz val="10"/>
        <rFont val="WenQuanYi Zen Hei"/>
        <family val="2"/>
      </rPr>
      <t xml:space="preserve">지방자치법전</t>
    </r>
    <r>
      <rPr>
        <sz val="10"/>
        <rFont val="Arial"/>
        <family val="0"/>
        <charset val="1"/>
      </rPr>
      <t xml:space="preserve">(CGCT), Conseil de Paris </t>
    </r>
    <r>
      <rPr>
        <sz val="10"/>
        <rFont val="WenQuanYi Zen Hei"/>
        <family val="2"/>
      </rPr>
      <t xml:space="preserve">의사규칙</t>
    </r>
    <r>
      <rPr>
        <sz val="10"/>
        <rFont val="Arial"/>
        <family val="0"/>
        <charset val="1"/>
      </rPr>
      <t xml:space="preserve">.</t>
    </r>
  </si>
  <si>
    <r>
      <rPr>
        <sz val="10"/>
        <rFont val="Arial"/>
        <family val="0"/>
        <charset val="1"/>
      </rPr>
      <t xml:space="preserve">10</t>
    </r>
    <r>
      <rPr>
        <sz val="10"/>
        <rFont val="WenQuanYi Zen Hei"/>
        <family val="2"/>
      </rPr>
      <t xml:space="preserve">부</t>
    </r>
    <r>
      <rPr>
        <sz val="10"/>
        <rFont val="Arial"/>
        <family val="0"/>
        <charset val="1"/>
      </rPr>
      <t xml:space="preserve">: </t>
    </r>
    <r>
      <rPr>
        <sz val="10"/>
        <rFont val="WenQuanYi Zen Hei"/>
        <family val="2"/>
      </rPr>
      <t xml:space="preserve">대선 — 추천서 </t>
    </r>
    <r>
      <rPr>
        <sz val="10"/>
        <rFont val="Arial"/>
        <family val="0"/>
        <charset val="1"/>
      </rPr>
      <t xml:space="preserve">500</t>
    </r>
    <r>
      <rPr>
        <sz val="10"/>
        <rFont val="WenQuanYi Zen Hei"/>
        <family val="2"/>
      </rPr>
      <t xml:space="preserve">장에서 엘리제까지</t>
    </r>
    <r>
      <rPr>
        <sz val="10"/>
        <rFont val="Arial"/>
        <family val="0"/>
        <charset val="1"/>
      </rPr>
      <t xml:space="preserve">.</t>
    </r>
  </si>
  <si>
    <r>
      <rPr>
        <b val="true"/>
        <sz val="10"/>
        <color rgb="FFFFFFFF"/>
        <rFont val="Arial"/>
        <family val="0"/>
        <charset val="1"/>
      </rPr>
      <t xml:space="preserve">Vers l'Élysée — </t>
    </r>
    <r>
      <rPr>
        <b val="true"/>
        <sz val="10"/>
        <color rgb="FFFFFFFF"/>
        <rFont val="WenQuanYi Zen Hei"/>
        <family val="2"/>
      </rPr>
      <t xml:space="preserve">대선에서 대통령 취임까지   </t>
    </r>
    <r>
      <rPr>
        <b val="true"/>
        <sz val="10"/>
        <color rgb="FFFFFFFF"/>
        <rFont val="Arial"/>
        <family val="0"/>
        <charset val="1"/>
      </rPr>
      <t xml:space="preserve">|   </t>
    </r>
    <r>
      <rPr>
        <b val="true"/>
        <sz val="10"/>
        <color rgb="FFFFFFFF"/>
        <rFont val="WenQuanYi Zen Hei"/>
        <family val="2"/>
      </rPr>
      <t xml:space="preserve">난이도 </t>
    </r>
    <r>
      <rPr>
        <b val="true"/>
        <sz val="10"/>
        <color rgb="FFFFFFFF"/>
        <rFont val="Arial"/>
        <family val="0"/>
        <charset val="1"/>
      </rPr>
      <t xml:space="preserve">C1~C2   |   9</t>
    </r>
    <r>
      <rPr>
        <b val="true"/>
        <sz val="10"/>
        <color rgb="FFFFFFFF"/>
        <rFont val="WenQuanYi Zen Hei"/>
        <family val="2"/>
      </rPr>
      <t xml:space="preserve">부 이후 약 </t>
    </r>
    <r>
      <rPr>
        <b val="true"/>
        <sz val="10"/>
        <color rgb="FFFFFFFF"/>
        <rFont val="Arial"/>
        <family val="0"/>
        <charset val="1"/>
      </rPr>
      <t xml:space="preserve">8</t>
    </r>
    <r>
      <rPr>
        <b val="true"/>
        <sz val="10"/>
        <color rgb="FFFFFFFF"/>
        <rFont val="WenQuanYi Zen Hei"/>
        <family val="2"/>
      </rPr>
      <t xml:space="preserve">개월</t>
    </r>
    <r>
      <rPr>
        <b val="true"/>
        <sz val="10"/>
        <color rgb="FFFFFFFF"/>
        <rFont val="Arial"/>
        <family val="0"/>
        <charset val="1"/>
      </rPr>
      <t xml:space="preserve">. Conseil constitutionnel, TV </t>
    </r>
    <r>
      <rPr>
        <b val="true"/>
        <sz val="10"/>
        <color rgb="FFFFFFFF"/>
        <rFont val="WenQuanYi Zen Hei"/>
        <family val="2"/>
      </rPr>
      <t xml:space="preserve">스튜디오</t>
    </r>
    <r>
      <rPr>
        <b val="true"/>
        <sz val="10"/>
        <color rgb="FFFFFFFF"/>
        <rFont val="Arial"/>
        <family val="0"/>
        <charset val="1"/>
      </rPr>
      <t xml:space="preserve">, Élysée, Assemblée nationale.</t>
    </r>
  </si>
  <si>
    <t xml:space="preserve">긴장의 정점. 현실의 대통령 선출 절차(추천서 500장, 1차·결선, 결과 선포, 취임)와 그 뒤의 해산·총선·총리 임명·불신임안을 드라마로 옮긴다. Nicolas가 연설가가 되는 순간.</t>
  </si>
  <si>
    <t xml:space="preserve">선출직 12명뿐인 신생 정당이 시골 시장들의 추천서로 대선에 나가 결선에서 이기고, 국회를 해산해 1당이 되지만 과반은 못 얻어, 첫 불신임안을 단 1표 차로 넘긴다.</t>
  </si>
  <si>
    <t xml:space="preserve">시의회 소수당 → 대통령과 상대다수 정부.</t>
  </si>
  <si>
    <t xml:space="preserve">원칙 vs 협상(결선 지지 선언·코르시카 자치) / 피로</t>
  </si>
  <si>
    <t xml:space="preserve">발단(1~3화): 추천서 500장, 시장들을 찾아 농촌 순회(농촌 공동화·가뭄·영농형 태양광), 다자 TV 토론.</t>
  </si>
  <si>
    <t xml:space="preserve">전환점(4화): 1차 투표 — 2위로 결선 진출. 전개(5~6화): 결선까지의 2주, 결선 TV 토론.</t>
  </si>
  <si>
    <t xml:space="preserve">미드포인트(7화): 결선 승리.</t>
  </si>
  <si>
    <t xml:space="preserve">전개(8화): 헌법재판소의 결과 선포와 엘리제 취임식(선서 없음) — Napoléon의 해설.</t>
  </si>
  <si>
    <t xml:space="preserve">위기·전환점(9~10화): 국회 해산과 총선 — 1당이지만 과반 미달.</t>
  </si>
  <si>
    <t xml:space="preserve">절정·결말(11~12화): 총리 Olympe 임명과 CT와의 협상, 첫 불신임안 288표 — 1표 차 부결.</t>
  </si>
  <si>
    <r>
      <rPr>
        <sz val="10"/>
        <rFont val="Arial"/>
        <family val="0"/>
        <charset val="1"/>
      </rPr>
      <t xml:space="preserve">Nicolas: </t>
    </r>
    <r>
      <rPr>
        <sz val="10"/>
        <rFont val="WenQuanYi Zen Hei"/>
        <family val="2"/>
      </rPr>
      <t xml:space="preserve">후반 연설가로 성장</t>
    </r>
    <r>
      <rPr>
        <sz val="10"/>
        <rFont val="Arial"/>
        <family val="0"/>
        <charset val="1"/>
      </rPr>
      <t xml:space="preserve">(</t>
    </r>
    <r>
      <rPr>
        <sz val="10"/>
        <rFont val="WenQuanYi Zen Hei"/>
        <family val="2"/>
      </rPr>
      <t xml:space="preserve">따뜻한 문장</t>
    </r>
    <r>
      <rPr>
        <sz val="10"/>
        <rFont val="Arial"/>
        <family val="0"/>
        <charset val="1"/>
      </rPr>
      <t xml:space="preserve">). Hugo: </t>
    </r>
    <r>
      <rPr>
        <sz val="10"/>
        <rFont val="WenQuanYi Zen Hei"/>
        <family val="2"/>
      </rPr>
      <t xml:space="preserve">연설문</t>
    </r>
    <r>
      <rPr>
        <sz val="10"/>
        <rFont val="Arial"/>
        <family val="0"/>
        <charset val="1"/>
      </rPr>
      <t xml:space="preserve">. Léa: </t>
    </r>
    <r>
      <rPr>
        <sz val="10"/>
        <rFont val="WenQuanYi Zen Hei"/>
        <family val="2"/>
      </rPr>
      <t xml:space="preserve">결선 협상</t>
    </r>
    <r>
      <rPr>
        <sz val="10"/>
        <rFont val="Arial"/>
        <family val="0"/>
        <charset val="1"/>
      </rPr>
      <t xml:space="preserve">. Jeanne: </t>
    </r>
    <r>
      <rPr>
        <sz val="10"/>
        <rFont val="WenQuanYi Zen Hei"/>
        <family val="2"/>
      </rPr>
      <t xml:space="preserve">캠프 로지스틱스</t>
    </r>
    <r>
      <rPr>
        <sz val="10"/>
        <rFont val="Arial"/>
        <family val="0"/>
        <charset val="1"/>
      </rPr>
      <t xml:space="preserve">. Olympe: </t>
    </r>
    <r>
      <rPr>
        <sz val="10"/>
        <rFont val="WenQuanYi Zen Hei"/>
        <family val="2"/>
      </rPr>
      <t xml:space="preserve">총리</t>
    </r>
    <r>
      <rPr>
        <sz val="10"/>
        <rFont val="Arial"/>
        <family val="0"/>
        <charset val="1"/>
      </rPr>
      <t xml:space="preserve">. </t>
    </r>
    <r>
      <rPr>
        <sz val="10"/>
        <rFont val="WenQuanYi Zen Hei"/>
        <family val="2"/>
      </rPr>
      <t xml:space="preserve">가상 인물</t>
    </r>
    <r>
      <rPr>
        <sz val="10"/>
        <rFont val="Arial"/>
        <family val="0"/>
        <charset val="1"/>
      </rPr>
      <t xml:space="preserve">: </t>
    </r>
    <r>
      <rPr>
        <sz val="10"/>
        <rFont val="WenQuanYi Zen Hei"/>
        <family val="2"/>
      </rPr>
      <t xml:space="preserve">헌법재판소장</t>
    </r>
    <r>
      <rPr>
        <sz val="10"/>
        <rFont val="Arial"/>
        <family val="0"/>
        <charset val="1"/>
      </rPr>
      <t xml:space="preserve">(</t>
    </r>
    <r>
      <rPr>
        <sz val="10"/>
        <rFont val="WenQuanYi Zen Hei"/>
        <family val="2"/>
      </rPr>
      <t xml:space="preserve">결과 선포</t>
    </r>
    <r>
      <rPr>
        <sz val="10"/>
        <rFont val="Arial"/>
        <family val="0"/>
        <charset val="1"/>
      </rPr>
      <t xml:space="preserve">), </t>
    </r>
    <r>
      <rPr>
        <sz val="10"/>
        <rFont val="WenQuanYi Zen Hei"/>
        <family val="2"/>
      </rPr>
      <t xml:space="preserve">하원의장</t>
    </r>
    <r>
      <rPr>
        <sz val="10"/>
        <rFont val="Arial"/>
        <family val="0"/>
        <charset val="1"/>
      </rPr>
      <t xml:space="preserve">(</t>
    </r>
    <r>
      <rPr>
        <sz val="10"/>
        <rFont val="WenQuanYi Zen Hei"/>
        <family val="2"/>
      </rPr>
      <t xml:space="preserve">표결 결과 낭독</t>
    </r>
    <r>
      <rPr>
        <sz val="10"/>
        <rFont val="Arial"/>
        <family val="0"/>
        <charset val="1"/>
      </rPr>
      <t xml:space="preserve">), </t>
    </r>
    <r>
      <rPr>
        <sz val="10"/>
        <rFont val="WenQuanYi Zen Hei"/>
        <family val="2"/>
      </rPr>
      <t xml:space="preserve">상대 후보들</t>
    </r>
    <r>
      <rPr>
        <sz val="10"/>
        <rFont val="Arial"/>
        <family val="0"/>
        <charset val="1"/>
      </rPr>
      <t xml:space="preserve">.</t>
    </r>
  </si>
  <si>
    <r>
      <rPr>
        <sz val="10"/>
        <rFont val="Arial"/>
        <family val="0"/>
        <charset val="1"/>
      </rPr>
      <t xml:space="preserve">CT</t>
    </r>
    <r>
      <rPr>
        <sz val="10"/>
        <rFont val="WenQuanYi Zen Hei"/>
        <family val="2"/>
      </rPr>
      <t xml:space="preserve">의 조건부 찬성</t>
    </r>
    <r>
      <rPr>
        <sz val="10"/>
        <rFont val="Arial"/>
        <family val="0"/>
        <charset val="1"/>
      </rPr>
      <t xml:space="preserve">(→12</t>
    </r>
    <r>
      <rPr>
        <sz val="10"/>
        <rFont val="WenQuanYi Zen Hei"/>
        <family val="2"/>
      </rPr>
      <t xml:space="preserve">부 </t>
    </r>
    <r>
      <rPr>
        <sz val="10"/>
        <rFont val="Arial"/>
        <family val="0"/>
        <charset val="1"/>
      </rPr>
      <t xml:space="preserve">7</t>
    </r>
    <r>
      <rPr>
        <sz val="10"/>
        <rFont val="WenQuanYi Zen Hei"/>
        <family val="2"/>
      </rPr>
      <t xml:space="preserve">화 기권으로 전환</t>
    </r>
    <r>
      <rPr>
        <sz val="10"/>
        <rFont val="Arial"/>
        <family val="0"/>
        <charset val="1"/>
      </rPr>
      <t xml:space="preserve">) / Napoléon</t>
    </r>
    <r>
      <rPr>
        <sz val="10"/>
        <rFont val="WenQuanYi Zen Hei"/>
        <family val="2"/>
      </rPr>
      <t xml:space="preserve">의 해설</t>
    </r>
    <r>
      <rPr>
        <sz val="10"/>
        <rFont val="Arial"/>
        <family val="0"/>
        <charset val="1"/>
      </rPr>
      <t xml:space="preserve">(→11</t>
    </r>
    <r>
      <rPr>
        <sz val="10"/>
        <rFont val="WenQuanYi Zen Hei"/>
        <family val="2"/>
      </rPr>
      <t xml:space="preserve">부 </t>
    </r>
    <r>
      <rPr>
        <sz val="10"/>
        <rFont val="Arial"/>
        <family val="0"/>
        <charset val="1"/>
      </rPr>
      <t xml:space="preserve">12</t>
    </r>
    <r>
      <rPr>
        <sz val="10"/>
        <rFont val="WenQuanYi Zen Hei"/>
        <family val="2"/>
      </rPr>
      <t xml:space="preserve">화 죽음</t>
    </r>
    <r>
      <rPr>
        <sz val="10"/>
        <rFont val="Arial"/>
        <family val="0"/>
        <charset val="1"/>
      </rPr>
      <t xml:space="preserve">) / 1</t>
    </r>
    <r>
      <rPr>
        <sz val="10"/>
        <rFont val="WenQuanYi Zen Hei"/>
        <family val="2"/>
      </rPr>
      <t xml:space="preserve">표</t>
    </r>
    <r>
      <rPr>
        <sz val="10"/>
        <rFont val="Arial"/>
        <family val="0"/>
        <charset val="1"/>
      </rPr>
      <t xml:space="preserve">(→13</t>
    </r>
    <r>
      <rPr>
        <sz val="10"/>
        <rFont val="WenQuanYi Zen Hei"/>
        <family val="2"/>
      </rPr>
      <t xml:space="preserve">부 원형</t>
    </r>
    <r>
      <rPr>
        <sz val="10"/>
        <rFont val="Arial"/>
        <family val="0"/>
        <charset val="1"/>
      </rPr>
      <t xml:space="preserve">)</t>
    </r>
  </si>
  <si>
    <t xml:space="preserve">P1● P2● N5● (○ S3·S4·S1·S2·N3·N4·P3)</t>
  </si>
  <si>
    <t xml:space="preserve">대통령 선거(헌법 제6·7조): 추천서 500장, 1차 과반 또는 결선, 헌법재판소 결과 선포(제58조), 해산(제12조), 총선 577석·과반 289, 총리 임명(제8조), 불신임안(제49조 2항)</t>
  </si>
  <si>
    <r>
      <rPr>
        <sz val="10"/>
        <rFont val="Arial"/>
        <family val="0"/>
        <charset val="1"/>
      </rPr>
      <t xml:space="preserve">C1~C2. </t>
    </r>
    <r>
      <rPr>
        <sz val="10"/>
        <rFont val="WenQuanYi Zen Hei"/>
        <family val="2"/>
      </rPr>
      <t xml:space="preserve">토론</t>
    </r>
    <r>
      <rPr>
        <sz val="10"/>
        <rFont val="Arial"/>
        <family val="0"/>
        <charset val="1"/>
      </rPr>
      <t xml:space="preserve">·</t>
    </r>
    <r>
      <rPr>
        <sz val="10"/>
        <rFont val="WenQuanYi Zen Hei"/>
        <family val="2"/>
      </rPr>
      <t xml:space="preserve">연설 수사</t>
    </r>
    <r>
      <rPr>
        <sz val="10"/>
        <rFont val="Arial"/>
        <family val="0"/>
        <charset val="1"/>
      </rPr>
      <t xml:space="preserve">, </t>
    </r>
    <r>
      <rPr>
        <sz val="10"/>
        <rFont val="WenQuanYi Zen Hei"/>
        <family val="2"/>
      </rPr>
      <t xml:space="preserve">접속법</t>
    </r>
    <r>
      <rPr>
        <sz val="10"/>
        <rFont val="Arial"/>
        <family val="0"/>
        <charset val="1"/>
      </rPr>
      <t xml:space="preserve">·</t>
    </r>
    <r>
      <rPr>
        <sz val="10"/>
        <rFont val="WenQuanYi Zen Hei"/>
        <family val="2"/>
      </rPr>
      <t xml:space="preserve">조건법 완곡</t>
    </r>
    <r>
      <rPr>
        <sz val="10"/>
        <rFont val="Arial"/>
        <family val="0"/>
        <charset val="1"/>
      </rPr>
      <t xml:space="preserve">. </t>
    </r>
    <r>
      <rPr>
        <sz val="10"/>
        <rFont val="WenQuanYi Zen Hei"/>
        <family val="2"/>
      </rPr>
      <t xml:space="preserve">발성</t>
    </r>
    <r>
      <rPr>
        <sz val="10"/>
        <rFont val="Arial"/>
        <family val="0"/>
        <charset val="1"/>
      </rPr>
      <t xml:space="preserve">: </t>
    </r>
    <r>
      <rPr>
        <sz val="10"/>
        <rFont val="WenQuanYi Zen Hei"/>
        <family val="2"/>
      </rPr>
      <t xml:space="preserve">장엄한 호흡</t>
    </r>
    <r>
      <rPr>
        <sz val="10"/>
        <rFont val="Arial"/>
        <family val="0"/>
        <charset val="1"/>
      </rPr>
      <t xml:space="preserve">, </t>
    </r>
    <r>
      <rPr>
        <sz val="10"/>
        <rFont val="WenQuanYi Zen Hei"/>
        <family val="2"/>
      </rPr>
      <t xml:space="preserve">결과 선포와 표결 결과 낭독의 또박또박함</t>
    </r>
    <r>
      <rPr>
        <sz val="10"/>
        <rFont val="Arial"/>
        <family val="0"/>
        <charset val="1"/>
      </rPr>
      <t xml:space="preserve">.</t>
    </r>
  </si>
  <si>
    <r>
      <rPr>
        <sz val="10"/>
        <rFont val="Arial"/>
        <family val="0"/>
        <charset val="1"/>
      </rPr>
      <t xml:space="preserve">Manon: parrainage·second tour·majorité absolue </t>
    </r>
    <r>
      <rPr>
        <sz val="10"/>
        <rFont val="WenQuanYi Zen Hei"/>
        <family val="2"/>
      </rPr>
      <t xml:space="preserve">등</t>
    </r>
    <r>
      <rPr>
        <sz val="10"/>
        <rFont val="Arial"/>
        <family val="0"/>
        <charset val="1"/>
      </rPr>
      <t xml:space="preserve">. </t>
    </r>
    <r>
      <rPr>
        <sz val="10"/>
        <rFont val="WenQuanYi Zen Hei"/>
        <family val="2"/>
      </rPr>
      <t xml:space="preserve">카드</t>
    </r>
    <r>
      <rPr>
        <sz val="10"/>
        <rFont val="Arial"/>
        <family val="0"/>
        <charset val="1"/>
      </rPr>
      <t xml:space="preserve">: </t>
    </r>
    <r>
      <rPr>
        <sz val="10"/>
        <rFont val="WenQuanYi Zen Hei"/>
        <family val="2"/>
      </rPr>
      <t xml:space="preserve">헌법 제</t>
    </r>
    <r>
      <rPr>
        <sz val="10"/>
        <rFont val="Arial"/>
        <family val="0"/>
        <charset val="1"/>
      </rPr>
      <t xml:space="preserve">7·12·49</t>
    </r>
    <r>
      <rPr>
        <sz val="10"/>
        <rFont val="WenQuanYi Zen Hei"/>
        <family val="2"/>
      </rPr>
      <t xml:space="preserve">조</t>
    </r>
    <r>
      <rPr>
        <sz val="10"/>
        <rFont val="Arial"/>
        <family val="0"/>
        <charset val="1"/>
      </rPr>
      <t xml:space="preserve">, </t>
    </r>
    <r>
      <rPr>
        <sz val="10"/>
        <rFont val="WenQuanYi Zen Hei"/>
        <family val="2"/>
      </rPr>
      <t xml:space="preserve">하원 회의록</t>
    </r>
    <r>
      <rPr>
        <sz val="10"/>
        <rFont val="Arial"/>
        <family val="0"/>
        <charset val="1"/>
      </rPr>
      <t xml:space="preserve">(compte rendu intégral).</t>
    </r>
  </si>
  <si>
    <r>
      <rPr>
        <sz val="10"/>
        <rFont val="Arial"/>
        <family val="0"/>
        <charset val="1"/>
      </rPr>
      <t xml:space="preserve">11</t>
    </r>
    <r>
      <rPr>
        <sz val="10"/>
        <rFont val="WenQuanYi Zen Hei"/>
        <family val="2"/>
      </rPr>
      <t xml:space="preserve">부</t>
    </r>
    <r>
      <rPr>
        <sz val="10"/>
        <rFont val="Arial"/>
        <family val="0"/>
        <charset val="1"/>
      </rPr>
      <t xml:space="preserve">: </t>
    </r>
    <r>
      <rPr>
        <sz val="10"/>
        <rFont val="WenQuanYi Zen Hei"/>
        <family val="2"/>
      </rPr>
      <t xml:space="preserve">상대다수 정부의 국정</t>
    </r>
    <r>
      <rPr>
        <sz val="10"/>
        <rFont val="Arial"/>
        <family val="0"/>
        <charset val="1"/>
      </rPr>
      <t xml:space="preserve">.</t>
    </r>
  </si>
  <si>
    <r>
      <rPr>
        <b val="true"/>
        <sz val="10"/>
        <color rgb="FFFFFFFF"/>
        <rFont val="Arial"/>
        <family val="0"/>
        <charset val="1"/>
      </rPr>
      <t xml:space="preserve">La Grande Bataille sociale I — </t>
    </r>
    <r>
      <rPr>
        <b val="true"/>
        <sz val="10"/>
        <color rgb="FFFFFFFF"/>
        <rFont val="WenQuanYi Zen Hei"/>
        <family val="2"/>
      </rPr>
      <t xml:space="preserve">사회 현안 전투 </t>
    </r>
    <r>
      <rPr>
        <b val="true"/>
        <sz val="10"/>
        <color rgb="FFFFFFFF"/>
        <rFont val="Arial"/>
        <family val="0"/>
        <charset val="1"/>
      </rPr>
      <t xml:space="preserve">I   |   </t>
    </r>
    <r>
      <rPr>
        <b val="true"/>
        <sz val="10"/>
        <color rgb="FFFFFFFF"/>
        <rFont val="WenQuanYi Zen Hei"/>
        <family val="2"/>
      </rPr>
      <t xml:space="preserve">난이도 </t>
    </r>
    <r>
      <rPr>
        <b val="true"/>
        <sz val="10"/>
        <color rgb="FFFFFFFF"/>
        <rFont val="Arial"/>
        <family val="0"/>
        <charset val="1"/>
      </rPr>
      <t xml:space="preserve">C1~C2   |   </t>
    </r>
    <r>
      <rPr>
        <b val="true"/>
        <sz val="10"/>
        <color rgb="FFFFFFFF"/>
        <rFont val="WenQuanYi Zen Hei"/>
        <family val="2"/>
      </rPr>
      <t xml:space="preserve">취임 후 첫 해</t>
    </r>
    <r>
      <rPr>
        <b val="true"/>
        <sz val="10"/>
        <color rgb="FFFFFFFF"/>
        <rFont val="Arial"/>
        <family val="0"/>
        <charset val="1"/>
      </rPr>
      <t xml:space="preserve">(</t>
    </r>
    <r>
      <rPr>
        <b val="true"/>
        <sz val="10"/>
        <color rgb="FFFFFFFF"/>
        <rFont val="WenQuanYi Zen Hei"/>
        <family val="2"/>
      </rPr>
      <t xml:space="preserve">가상</t>
    </r>
    <r>
      <rPr>
        <b val="true"/>
        <sz val="10"/>
        <color rgb="FFFFFFFF"/>
        <rFont val="Arial"/>
        <family val="0"/>
        <charset val="1"/>
      </rPr>
      <t xml:space="preserve">). Élysée, Matignon, </t>
    </r>
    <r>
      <rPr>
        <b val="true"/>
        <sz val="10"/>
        <color rgb="FFFFFFFF"/>
        <rFont val="WenQuanYi Zen Hei"/>
        <family val="2"/>
      </rPr>
      <t xml:space="preserve">국무회의</t>
    </r>
    <r>
      <rPr>
        <b val="true"/>
        <sz val="10"/>
        <color rgb="FFFFFFFF"/>
        <rFont val="Arial"/>
        <family val="0"/>
        <charset val="1"/>
      </rPr>
      <t xml:space="preserve">, </t>
    </r>
    <r>
      <rPr>
        <b val="true"/>
        <sz val="10"/>
        <color rgb="FFFFFFFF"/>
        <rFont val="WenQuanYi Zen Hei"/>
        <family val="2"/>
      </rPr>
      <t xml:space="preserve">브뤼셀</t>
    </r>
    <r>
      <rPr>
        <b val="true"/>
        <sz val="10"/>
        <color rgb="FFFFFFFF"/>
        <rFont val="Arial"/>
        <family val="0"/>
        <charset val="1"/>
      </rPr>
      <t xml:space="preserve">.</t>
    </r>
  </si>
  <si>
    <t xml:space="preserve">이야기의 시험대이자 Napoléon의 마지막 임무. 대통령이 되어도 권한은 총리·의회·도·EU와 나뉘어 있다는 현실을 국내에서 배운 뒤, 부활한 황제가 대통령 특사로 브뤼셀에서 직접 협상하고 승리한 직후 숨을 거둔다.</t>
  </si>
  <si>
    <t xml:space="preserve">상대다수 정부가 주거·보건·이민·청년의 벽을 넘고, Napoléon이 자원해 NATO 방위비와 EU 재정규칙을 직접 협상해 이긴 뒤 귀국 직후 쓰러진다.</t>
  </si>
  <si>
    <t xml:space="preserve">선거의 사람들 → 통치하는 사람들. 그리고 과거의 황제 → 공화국의 특사로 마지막으로 돌아간 사람.</t>
  </si>
  <si>
    <t xml:space="preserve">하고 싶은 것 vs 할 수 있는 것(권한) / 병든 몸 vs 마지막 임무를 향한 의지</t>
  </si>
  <si>
    <t xml:space="preserve">발단(1~2화): 첫 국무회의, 보이지 않는 집주인들 — 주거 현안.</t>
  </si>
  <si>
    <t xml:space="preserve">전개(3~5화): 주거법(자기 조항 폐지·위헌 심사), 응급실 마비(LFSS·ONDAM의 벽), 이주민 분담(도의 아동 보호 권한).</t>
  </si>
  <si>
    <t xml:space="preserve">위기(6화): 청년 고용 협상 — 아직 죽지 않지만 계단에서 배를 움켜쥔다.</t>
  </si>
  <si>
    <t xml:space="preserve">위기(7~8화): 가격 카르텔·도청 논쟁(Napoléon이 중재), 초고액 자산 최저세.</t>
  </si>
  <si>
    <t xml:space="preserve">전환점(9화): Napoléon이 브뤼셀行을 자원한다 — 금박 이름을 새긴 사업가 출신과 정보기관 출신의 이웃국 병합자, 두 지도자를 특징으로만 회상하며 이름은 끝내 말하지 않는다.</t>
  </si>
  <si>
    <t xml:space="preserve">절정(10~11화): 직접 협상 — 상대의 과장을 반박하고 타결. 귀국길의 피로.</t>
  </si>
  <si>
    <t xml:space="preserve">비트 7</t>
  </si>
  <si>
    <t xml:space="preserve">결말(12화): 귀국 직후 사망. «Pas mal.» — 승리 직후라 더 무겁다.</t>
  </si>
  <si>
    <r>
      <rPr>
        <sz val="10"/>
        <rFont val="Arial"/>
        <family val="0"/>
        <charset val="1"/>
      </rPr>
      <t xml:space="preserve">Nicolas=</t>
    </r>
    <r>
      <rPr>
        <sz val="10"/>
        <rFont val="WenQuanYi Zen Hei"/>
        <family val="2"/>
      </rPr>
      <t xml:space="preserve">대통령</t>
    </r>
    <r>
      <rPr>
        <sz val="10"/>
        <rFont val="Arial"/>
        <family val="0"/>
        <charset val="1"/>
      </rPr>
      <t xml:space="preserve">, Olympe=</t>
    </r>
    <r>
      <rPr>
        <sz val="10"/>
        <rFont val="WenQuanYi Zen Hei"/>
        <family val="2"/>
      </rPr>
      <t xml:space="preserve">총리</t>
    </r>
    <r>
      <rPr>
        <sz val="10"/>
        <rFont val="Arial"/>
        <family val="0"/>
        <charset val="1"/>
      </rPr>
      <t xml:space="preserve">(</t>
    </r>
    <r>
      <rPr>
        <sz val="10"/>
        <rFont val="WenQuanYi Zen Hei"/>
        <family val="2"/>
      </rPr>
      <t xml:space="preserve">의회 전선</t>
    </r>
    <r>
      <rPr>
        <sz val="10"/>
        <rFont val="Arial"/>
        <family val="0"/>
        <charset val="1"/>
      </rPr>
      <t xml:space="preserve">), Julien=</t>
    </r>
    <r>
      <rPr>
        <sz val="10"/>
        <rFont val="WenQuanYi Zen Hei"/>
        <family val="2"/>
      </rPr>
      <t xml:space="preserve">경제</t>
    </r>
    <r>
      <rPr>
        <sz val="10"/>
        <rFont val="Arial"/>
        <family val="0"/>
        <charset val="1"/>
      </rPr>
      <t xml:space="preserve">·</t>
    </r>
    <r>
      <rPr>
        <sz val="10"/>
        <rFont val="WenQuanYi Zen Hei"/>
        <family val="2"/>
      </rPr>
      <t xml:space="preserve">재정</t>
    </r>
    <r>
      <rPr>
        <sz val="10"/>
        <rFont val="Arial"/>
        <family val="0"/>
        <charset val="1"/>
      </rPr>
      <t xml:space="preserve">(</t>
    </r>
    <r>
      <rPr>
        <sz val="10"/>
        <rFont val="WenQuanYi Zen Hei"/>
        <family val="2"/>
      </rPr>
      <t xml:space="preserve">브뤼셀 동행</t>
    </r>
    <r>
      <rPr>
        <sz val="10"/>
        <rFont val="Arial"/>
        <family val="0"/>
        <charset val="1"/>
      </rPr>
      <t xml:space="preserve">), Camille=</t>
    </r>
    <r>
      <rPr>
        <sz val="10"/>
        <rFont val="WenQuanYi Zen Hei"/>
        <family val="2"/>
      </rPr>
      <t xml:space="preserve">보건</t>
    </r>
    <r>
      <rPr>
        <sz val="10"/>
        <rFont val="Arial"/>
        <family val="0"/>
        <charset val="1"/>
      </rPr>
      <t xml:space="preserve">, Léa=</t>
    </r>
    <r>
      <rPr>
        <sz val="10"/>
        <rFont val="WenQuanYi Zen Hei"/>
        <family val="2"/>
      </rPr>
      <t xml:space="preserve">엘리제 비서실장</t>
    </r>
    <r>
      <rPr>
        <sz val="10"/>
        <rFont val="Arial"/>
        <family val="0"/>
        <charset val="1"/>
      </rPr>
      <t xml:space="preserve">, Jeanne=</t>
    </r>
    <r>
      <rPr>
        <sz val="10"/>
        <rFont val="WenQuanYi Zen Hei"/>
        <family val="2"/>
      </rPr>
      <t xml:space="preserve">위기 대응</t>
    </r>
    <r>
      <rPr>
        <sz val="10"/>
        <rFont val="Arial"/>
        <family val="0"/>
        <charset val="1"/>
      </rPr>
      <t xml:space="preserve">, Hugo=</t>
    </r>
    <r>
      <rPr>
        <sz val="10"/>
        <rFont val="WenQuanYi Zen Hei"/>
        <family val="2"/>
      </rPr>
      <t xml:space="preserve">연설</t>
    </r>
    <r>
      <rPr>
        <sz val="10"/>
        <rFont val="Arial"/>
        <family val="0"/>
        <charset val="1"/>
      </rPr>
      <t xml:space="preserve">·</t>
    </r>
    <r>
      <rPr>
        <sz val="10"/>
        <rFont val="WenQuanYi Zen Hei"/>
        <family val="2"/>
      </rPr>
      <t xml:space="preserve">브리핑 문구</t>
    </r>
    <r>
      <rPr>
        <sz val="10"/>
        <rFont val="Arial"/>
        <family val="0"/>
        <charset val="1"/>
      </rPr>
      <t xml:space="preserve">, Manon: </t>
    </r>
    <r>
      <rPr>
        <sz val="10"/>
        <rFont val="WenQuanYi Zen Hei"/>
        <family val="2"/>
      </rPr>
      <t xml:space="preserve">마지막 순간을 함께한다</t>
    </r>
    <r>
      <rPr>
        <sz val="10"/>
        <rFont val="Arial"/>
        <family val="0"/>
        <charset val="1"/>
      </rPr>
      <t xml:space="preserve">.</t>
    </r>
  </si>
  <si>
    <r>
      <rPr>
        <sz val="10"/>
        <rFont val="Arial"/>
        <family val="0"/>
        <charset val="1"/>
      </rPr>
      <t xml:space="preserve">Nicolas</t>
    </r>
    <r>
      <rPr>
        <sz val="10"/>
        <rFont val="WenQuanYi Zen Hei"/>
        <family val="2"/>
      </rPr>
      <t xml:space="preserve">의 옛 조항 폐지</t>
    </r>
    <r>
      <rPr>
        <sz val="10"/>
        <rFont val="Arial"/>
        <family val="0"/>
        <charset val="1"/>
      </rPr>
      <t xml:space="preserve">(2</t>
    </r>
    <r>
      <rPr>
        <sz val="10"/>
        <rFont val="WenQuanYi Zen Hei"/>
        <family val="2"/>
      </rPr>
      <t xml:space="preserve">부 </t>
    </r>
    <r>
      <rPr>
        <sz val="10"/>
        <rFont val="Arial"/>
        <family val="0"/>
        <charset val="1"/>
      </rPr>
      <t xml:space="preserve">6</t>
    </r>
    <r>
      <rPr>
        <sz val="10"/>
        <rFont val="WenQuanYi Zen Hei"/>
        <family val="2"/>
      </rPr>
      <t xml:space="preserve">화 회수</t>
    </r>
    <r>
      <rPr>
        <sz val="10"/>
        <rFont val="Arial"/>
        <family val="0"/>
        <charset val="1"/>
      </rPr>
      <t xml:space="preserve">) / Napoléon </t>
    </r>
    <r>
      <rPr>
        <sz val="10"/>
        <rFont val="WenQuanYi Zen Hei"/>
        <family val="2"/>
      </rPr>
      <t xml:space="preserve">죽음</t>
    </r>
    <r>
      <rPr>
        <sz val="10"/>
        <rFont val="Arial"/>
        <family val="0"/>
        <charset val="1"/>
      </rPr>
      <t xml:space="preserve">·</t>
    </r>
    <r>
      <rPr>
        <sz val="10"/>
        <rFont val="WenQuanYi Zen Hei"/>
        <family val="2"/>
      </rPr>
      <t xml:space="preserve">이각모</t>
    </r>
    <r>
      <rPr>
        <sz val="10"/>
        <rFont val="Arial"/>
        <family val="0"/>
        <charset val="1"/>
      </rPr>
      <t xml:space="preserve">(→12</t>
    </r>
    <r>
      <rPr>
        <sz val="10"/>
        <rFont val="WenQuanYi Zen Hei"/>
        <family val="2"/>
      </rPr>
      <t xml:space="preserve">부 </t>
    </r>
    <r>
      <rPr>
        <sz val="10"/>
        <rFont val="Arial"/>
        <family val="0"/>
        <charset val="1"/>
      </rPr>
      <t xml:space="preserve">1</t>
    </r>
    <r>
      <rPr>
        <sz val="10"/>
        <rFont val="WenQuanYi Zen Hei"/>
        <family val="2"/>
      </rPr>
      <t xml:space="preserve">화</t>
    </r>
    <r>
      <rPr>
        <sz val="10"/>
        <rFont val="Arial"/>
        <family val="0"/>
        <charset val="1"/>
      </rPr>
      <t xml:space="preserve">, 13</t>
    </r>
    <r>
      <rPr>
        <sz val="10"/>
        <rFont val="WenQuanYi Zen Hei"/>
        <family val="2"/>
      </rPr>
      <t xml:space="preserve">부 </t>
    </r>
    <r>
      <rPr>
        <sz val="10"/>
        <rFont val="Arial"/>
        <family val="0"/>
        <charset val="1"/>
      </rPr>
      <t xml:space="preserve">2</t>
    </r>
    <r>
      <rPr>
        <sz val="10"/>
        <rFont val="WenQuanYi Zen Hei"/>
        <family val="2"/>
      </rPr>
      <t xml:space="preserve">화</t>
    </r>
    <r>
      <rPr>
        <sz val="10"/>
        <rFont val="Arial"/>
        <family val="0"/>
        <charset val="1"/>
      </rPr>
      <t xml:space="preserve">) / </t>
    </r>
    <r>
      <rPr>
        <sz val="10"/>
        <rFont val="WenQuanYi Zen Hei"/>
        <family val="2"/>
      </rPr>
      <t xml:space="preserve">도청 논쟁</t>
    </r>
    <r>
      <rPr>
        <sz val="10"/>
        <rFont val="Arial"/>
        <family val="0"/>
        <charset val="1"/>
      </rPr>
      <t xml:space="preserve">(7</t>
    </r>
    <r>
      <rPr>
        <sz val="10"/>
        <rFont val="WenQuanYi Zen Hei"/>
        <family val="2"/>
      </rPr>
      <t xml:space="preserve">부 </t>
    </r>
    <r>
      <rPr>
        <sz val="10"/>
        <rFont val="Arial"/>
        <family val="0"/>
        <charset val="1"/>
      </rPr>
      <t xml:space="preserve">8</t>
    </r>
    <r>
      <rPr>
        <sz val="10"/>
        <rFont val="WenQuanYi Zen Hei"/>
        <family val="2"/>
      </rPr>
      <t xml:space="preserve">화 회수</t>
    </r>
    <r>
      <rPr>
        <sz val="10"/>
        <rFont val="Arial"/>
        <family val="0"/>
        <charset val="1"/>
      </rPr>
      <t xml:space="preserve">) / Napoléon</t>
    </r>
    <r>
      <rPr>
        <sz val="10"/>
        <rFont val="WenQuanYi Zen Hei"/>
        <family val="2"/>
      </rPr>
      <t xml:space="preserve">이 브뤼셀로 자원</t>
    </r>
    <r>
      <rPr>
        <sz val="10"/>
        <rFont val="Arial"/>
        <family val="0"/>
        <charset val="1"/>
      </rPr>
      <t xml:space="preserve">(→12</t>
    </r>
    <r>
      <rPr>
        <sz val="10"/>
        <rFont val="WenQuanYi Zen Hei"/>
        <family val="2"/>
      </rPr>
      <t xml:space="preserve">부 </t>
    </r>
    <r>
      <rPr>
        <sz val="10"/>
        <rFont val="Arial"/>
        <family val="0"/>
        <charset val="1"/>
      </rPr>
      <t xml:space="preserve">3</t>
    </r>
    <r>
      <rPr>
        <sz val="10"/>
        <rFont val="WenQuanYi Zen Hei"/>
        <family val="2"/>
      </rPr>
      <t xml:space="preserve">화 메모 승계</t>
    </r>
    <r>
      <rPr>
        <sz val="10"/>
        <rFont val="Arial"/>
        <family val="0"/>
        <charset val="1"/>
      </rPr>
      <t xml:space="preserve">)</t>
    </r>
  </si>
  <si>
    <t xml:space="preserve">E1● E3● S1● S2● N3●</t>
  </si>
  <si>
    <t xml:space="preserve">국무회의, 대통령–총리 권한 분담(헌법 제5·20·21조), 사전 위헌 심사(제61조), LFSS·ONDAM, 도의 아동 보호 권한, NATO 방위비 목표(2025 헤이그 합의·5%·2035), EU 과도한 적자 절차(TFUE 제126조)</t>
  </si>
  <si>
    <r>
      <rPr>
        <sz val="10"/>
        <rFont val="Arial"/>
        <family val="0"/>
        <charset val="1"/>
      </rPr>
      <t xml:space="preserve">C1~C2. </t>
    </r>
    <r>
      <rPr>
        <sz val="10"/>
        <rFont val="WenQuanYi Zen Hei"/>
        <family val="2"/>
      </rPr>
      <t xml:space="preserve">국정 문서</t>
    </r>
    <r>
      <rPr>
        <sz val="10"/>
        <rFont val="Arial"/>
        <family val="0"/>
        <charset val="1"/>
      </rPr>
      <t xml:space="preserve">·</t>
    </r>
    <r>
      <rPr>
        <sz val="10"/>
        <rFont val="WenQuanYi Zen Hei"/>
        <family val="2"/>
      </rPr>
      <t xml:space="preserve">외교 협상 어휘</t>
    </r>
    <r>
      <rPr>
        <sz val="10"/>
        <rFont val="Arial"/>
        <family val="0"/>
        <charset val="1"/>
      </rPr>
      <t xml:space="preserve">, </t>
    </r>
    <r>
      <rPr>
        <sz val="10"/>
        <rFont val="WenQuanYi Zen Hei"/>
        <family val="2"/>
      </rPr>
      <t xml:space="preserve">조문 낭독</t>
    </r>
    <r>
      <rPr>
        <sz val="10"/>
        <rFont val="Arial"/>
        <family val="0"/>
        <charset val="1"/>
      </rPr>
      <t xml:space="preserve">, </t>
    </r>
    <r>
      <rPr>
        <sz val="10"/>
        <rFont val="WenQuanYi Zen Hei"/>
        <family val="2"/>
      </rPr>
      <t xml:space="preserve">완곡어법</t>
    </r>
    <r>
      <rPr>
        <sz val="10"/>
        <rFont val="Arial"/>
        <family val="0"/>
        <charset val="1"/>
      </rPr>
      <t xml:space="preserve">(Napoléon). </t>
    </r>
    <r>
      <rPr>
        <sz val="10"/>
        <rFont val="WenQuanYi Zen Hei"/>
        <family val="2"/>
      </rPr>
      <t xml:space="preserve">발성</t>
    </r>
    <r>
      <rPr>
        <sz val="10"/>
        <rFont val="Arial"/>
        <family val="0"/>
        <charset val="1"/>
      </rPr>
      <t xml:space="preserve">: </t>
    </r>
    <r>
      <rPr>
        <sz val="10"/>
        <rFont val="WenQuanYi Zen Hei"/>
        <family val="2"/>
      </rPr>
      <t xml:space="preserve">노련한 협상가의 절제된 반박과 임종 장면의 낮은 목소리</t>
    </r>
    <r>
      <rPr>
        <sz val="10"/>
        <rFont val="Arial"/>
        <family val="0"/>
        <charset val="1"/>
      </rPr>
      <t xml:space="preserve">.</t>
    </r>
  </si>
  <si>
    <r>
      <rPr>
        <sz val="10"/>
        <rFont val="Arial"/>
        <family val="0"/>
        <charset val="1"/>
      </rPr>
      <t xml:space="preserve">Manon: ordonnance·décret·question prioritaire de constitutionnalité </t>
    </r>
    <r>
      <rPr>
        <sz val="10"/>
        <rFont val="WenQuanYi Zen Hei"/>
        <family val="2"/>
      </rPr>
      <t xml:space="preserve">등</t>
    </r>
    <r>
      <rPr>
        <sz val="10"/>
        <rFont val="Arial"/>
        <family val="0"/>
        <charset val="1"/>
      </rPr>
      <t xml:space="preserve">. </t>
    </r>
    <r>
      <rPr>
        <sz val="10"/>
        <rFont val="WenQuanYi Zen Hei"/>
        <family val="2"/>
      </rPr>
      <t xml:space="preserve">카드</t>
    </r>
    <r>
      <rPr>
        <sz val="10"/>
        <rFont val="Arial"/>
        <family val="0"/>
        <charset val="1"/>
      </rPr>
      <t xml:space="preserve">: </t>
    </r>
    <r>
      <rPr>
        <sz val="10"/>
        <rFont val="WenQuanYi Zen Hei"/>
        <family val="2"/>
      </rPr>
      <t xml:space="preserve">헌법 제</t>
    </r>
    <r>
      <rPr>
        <sz val="10"/>
        <rFont val="Arial"/>
        <family val="0"/>
        <charset val="1"/>
      </rPr>
      <t xml:space="preserve">34·37·61</t>
    </r>
    <r>
      <rPr>
        <sz val="10"/>
        <rFont val="WenQuanYi Zen Hei"/>
        <family val="2"/>
      </rPr>
      <t xml:space="preserve">조</t>
    </r>
    <r>
      <rPr>
        <sz val="10"/>
        <rFont val="Arial"/>
        <family val="0"/>
        <charset val="1"/>
      </rPr>
      <t xml:space="preserve">, NATO </t>
    </r>
    <r>
      <rPr>
        <sz val="10"/>
        <rFont val="WenQuanYi Zen Hei"/>
        <family val="2"/>
      </rPr>
      <t xml:space="preserve">방위비 목표 문서</t>
    </r>
    <r>
      <rPr>
        <sz val="10"/>
        <rFont val="Arial"/>
        <family val="0"/>
        <charset val="1"/>
      </rPr>
      <t xml:space="preserve">.</t>
    </r>
  </si>
  <si>
    <r>
      <rPr>
        <sz val="10"/>
        <rFont val="Arial"/>
        <family val="0"/>
        <charset val="1"/>
      </rPr>
      <t xml:space="preserve">12</t>
    </r>
    <r>
      <rPr>
        <sz val="10"/>
        <rFont val="WenQuanYi Zen Hei"/>
        <family val="2"/>
      </rPr>
      <t xml:space="preserve">부</t>
    </r>
    <r>
      <rPr>
        <sz val="10"/>
        <rFont val="Arial"/>
        <family val="0"/>
        <charset val="1"/>
      </rPr>
      <t xml:space="preserve">: </t>
    </r>
    <r>
      <rPr>
        <sz val="10"/>
        <rFont val="WenQuanYi Zen Hei"/>
        <family val="2"/>
      </rPr>
      <t xml:space="preserve">장례식으로 시작해 그의 메모로 협상을 잇는다</t>
    </r>
    <r>
      <rPr>
        <sz val="10"/>
        <rFont val="Arial"/>
        <family val="0"/>
        <charset val="1"/>
      </rPr>
      <t xml:space="preserve">.</t>
    </r>
  </si>
  <si>
    <r>
      <rPr>
        <b val="true"/>
        <sz val="10"/>
        <color rgb="FFFFFFFF"/>
        <rFont val="Arial"/>
        <family val="0"/>
        <charset val="1"/>
      </rPr>
      <t xml:space="preserve">La Grande Bataille sociale II — </t>
    </r>
    <r>
      <rPr>
        <b val="true"/>
        <sz val="10"/>
        <color rgb="FFFFFFFF"/>
        <rFont val="WenQuanYi Zen Hei"/>
        <family val="2"/>
      </rPr>
      <t xml:space="preserve">사회 현안 전투 </t>
    </r>
    <r>
      <rPr>
        <b val="true"/>
        <sz val="10"/>
        <color rgb="FFFFFFFF"/>
        <rFont val="Arial"/>
        <family val="0"/>
        <charset val="1"/>
      </rPr>
      <t xml:space="preserve">II   |   </t>
    </r>
    <r>
      <rPr>
        <b val="true"/>
        <sz val="10"/>
        <color rgb="FFFFFFFF"/>
        <rFont val="WenQuanYi Zen Hei"/>
        <family val="2"/>
      </rPr>
      <t xml:space="preserve">난이도 </t>
    </r>
    <r>
      <rPr>
        <b val="true"/>
        <sz val="10"/>
        <color rgb="FFFFFFFF"/>
        <rFont val="Arial"/>
        <family val="0"/>
        <charset val="1"/>
      </rPr>
      <t xml:space="preserve">C1~C2   |   Napoléon </t>
    </r>
    <r>
      <rPr>
        <b val="true"/>
        <sz val="10"/>
        <color rgb="FFFFFFFF"/>
        <rFont val="WenQuanYi Zen Hei"/>
        <family val="2"/>
      </rPr>
      <t xml:space="preserve">사후</t>
    </r>
    <r>
      <rPr>
        <b val="true"/>
        <sz val="10"/>
        <color rgb="FFFFFFFF"/>
        <rFont val="Arial"/>
        <family val="0"/>
        <charset val="1"/>
      </rPr>
      <t xml:space="preserve">. Élysée, Matignon, </t>
    </r>
    <r>
      <rPr>
        <b val="true"/>
        <sz val="10"/>
        <color rgb="FFFFFFFF"/>
        <rFont val="WenQuanYi Zen Hei"/>
        <family val="2"/>
      </rPr>
      <t xml:space="preserve">브뤼셀</t>
    </r>
    <r>
      <rPr>
        <b val="true"/>
        <sz val="10"/>
        <color rgb="FFFFFFFF"/>
        <rFont val="Arial"/>
        <family val="0"/>
        <charset val="1"/>
      </rPr>
      <t xml:space="preserve">, </t>
    </r>
    <r>
      <rPr>
        <b val="true"/>
        <sz val="10"/>
        <color rgb="FFFFFFFF"/>
        <rFont val="WenQuanYi Zen Hei"/>
        <family val="2"/>
      </rPr>
      <t xml:space="preserve">재난 현장</t>
    </r>
    <r>
      <rPr>
        <b val="true"/>
        <sz val="10"/>
        <color rgb="FFFFFFFF"/>
        <rFont val="Arial"/>
        <family val="0"/>
        <charset val="1"/>
      </rPr>
      <t xml:space="preserve">.</t>
    </r>
  </si>
  <si>
    <t xml:space="preserve">상실 이후의 국정. 죽은 사람의 메모로 산 사람들이 협상을 잇는 법, 그리고 새로운 현안(플랫폼 노동·정보기관 사찰·청년 정신건강)을 통과하는 팀의 성장.</t>
  </si>
  <si>
    <t xml:space="preserve">장례식을 치른 팀이 Napoléon의 메모로 브뤼셀 후속 협상을 마무리하고, 플랫폼 노동·사찰 스캔들·청년 정신건강을 거쳐 불신임안과 재난까지 버텨낸다.</t>
  </si>
  <si>
    <t xml:space="preserve">한 사람의 노련함에 기대던 팀 → 그의 방식을 자기 것으로 만든 팀.</t>
  </si>
  <si>
    <t xml:space="preserve">애도 vs 계속 가는 것 / 새 현안들의 무게</t>
  </si>
  <si>
    <t xml:space="preserve">발단(1화): 장례식 — Manon이 처음으로 tu를 쓴다.</t>
  </si>
  <si>
    <t xml:space="preserve">전개(2~3화): 유작 메모 발견, 그 메모로 잇는 2차 브뤼셀 협상.</t>
  </si>
  <si>
    <t xml:space="preserve">전개(4~6화): 플랫폼 노동(EU 지침 이행), 정보기관 사찰 스캔들, 청년 정신건강.</t>
  </si>
  <si>
    <t xml:space="preserve">위기(7~8화): 49조 3항과 두 번째 불신임안 방어, 남부 지중해성 폭우 재난.</t>
  </si>
  <si>
    <t xml:space="preserve">절정(9화): 거리에서 나타난 성과들.</t>
  </si>
  <si>
    <t xml:space="preserve">위기·결말(10~12화): 근위대의 빈자리, 국방비 예산 반영 논쟁, 예산안 제출 준비.</t>
  </si>
  <si>
    <r>
      <rPr>
        <sz val="10"/>
        <rFont val="Arial"/>
        <family val="0"/>
        <charset val="1"/>
      </rPr>
      <t xml:space="preserve">Julien·Hugo=Napoléon</t>
    </r>
    <r>
      <rPr>
        <sz val="10"/>
        <rFont val="WenQuanYi Zen Hei"/>
        <family val="2"/>
      </rPr>
      <t xml:space="preserve">의 메모를 잇는 두 사람</t>
    </r>
    <r>
      <rPr>
        <sz val="10"/>
        <rFont val="Arial"/>
        <family val="0"/>
        <charset val="1"/>
      </rPr>
      <t xml:space="preserve">. Curie=</t>
    </r>
    <r>
      <rPr>
        <sz val="10"/>
        <rFont val="WenQuanYi Zen Hei"/>
        <family val="2"/>
      </rPr>
      <t xml:space="preserve">포렌식으로 사찰 스캔들 추적</t>
    </r>
    <r>
      <rPr>
        <sz val="10"/>
        <rFont val="Arial"/>
        <family val="0"/>
        <charset val="1"/>
      </rPr>
      <t xml:space="preserve">. Sartre·Manon=</t>
    </r>
    <r>
      <rPr>
        <sz val="10"/>
        <rFont val="WenQuanYi Zen Hei"/>
        <family val="2"/>
      </rPr>
      <t xml:space="preserve">청년 정신건강</t>
    </r>
    <r>
      <rPr>
        <sz val="10"/>
        <rFont val="Arial"/>
        <family val="0"/>
        <charset val="1"/>
      </rPr>
      <t xml:space="preserve">. Jeanne·Curie=</t>
    </r>
    <r>
      <rPr>
        <sz val="10"/>
        <rFont val="WenQuanYi Zen Hei"/>
        <family val="2"/>
      </rPr>
      <t xml:space="preserve">빈자리를 마주함</t>
    </r>
    <r>
      <rPr>
        <sz val="10"/>
        <rFont val="Arial"/>
        <family val="0"/>
        <charset val="1"/>
      </rPr>
      <t xml:space="preserve">. Olympe=</t>
    </r>
    <r>
      <rPr>
        <sz val="10"/>
        <rFont val="WenQuanYi Zen Hei"/>
        <family val="2"/>
      </rPr>
      <t xml:space="preserve">의회 전선</t>
    </r>
    <r>
      <rPr>
        <sz val="10"/>
        <rFont val="Arial"/>
        <family val="0"/>
        <charset val="1"/>
      </rPr>
      <t xml:space="preserve">.</t>
    </r>
  </si>
  <si>
    <r>
      <rPr>
        <sz val="10"/>
        <rFont val="Arial"/>
        <family val="0"/>
        <charset val="1"/>
      </rPr>
      <t xml:space="preserve">Napoléon</t>
    </r>
    <r>
      <rPr>
        <sz val="10"/>
        <rFont val="WenQuanYi Zen Hei"/>
        <family val="2"/>
      </rPr>
      <t xml:space="preserve">의 유작 메모</t>
    </r>
    <r>
      <rPr>
        <sz val="10"/>
        <rFont val="Arial"/>
        <family val="0"/>
        <charset val="1"/>
      </rPr>
      <t xml:space="preserve">(11</t>
    </r>
    <r>
      <rPr>
        <sz val="10"/>
        <rFont val="WenQuanYi Zen Hei"/>
        <family val="2"/>
      </rPr>
      <t xml:space="preserve">부 </t>
    </r>
    <r>
      <rPr>
        <sz val="10"/>
        <rFont val="Arial"/>
        <family val="0"/>
        <charset val="1"/>
      </rPr>
      <t xml:space="preserve">12</t>
    </r>
    <r>
      <rPr>
        <sz val="10"/>
        <rFont val="WenQuanYi Zen Hei"/>
        <family val="2"/>
      </rPr>
      <t xml:space="preserve">화 회수 시작</t>
    </r>
    <r>
      <rPr>
        <sz val="10"/>
        <rFont val="Arial"/>
        <family val="0"/>
        <charset val="1"/>
      </rPr>
      <t xml:space="preserve">) / Manon</t>
    </r>
    <r>
      <rPr>
        <sz val="10"/>
        <rFont val="WenQuanYi Zen Hei"/>
        <family val="2"/>
      </rPr>
      <t xml:space="preserve">의 </t>
    </r>
    <r>
      <rPr>
        <sz val="10"/>
        <rFont val="Arial"/>
        <family val="0"/>
        <charset val="1"/>
      </rPr>
      <t xml:space="preserve">vous→tu(1</t>
    </r>
    <r>
      <rPr>
        <sz val="10"/>
        <rFont val="WenQuanYi Zen Hei"/>
        <family val="2"/>
      </rPr>
      <t xml:space="preserve">화에서 전환</t>
    </r>
    <r>
      <rPr>
        <sz val="10"/>
        <rFont val="Arial"/>
        <family val="0"/>
        <charset val="1"/>
      </rPr>
      <t xml:space="preserve">) / 7</t>
    </r>
    <r>
      <rPr>
        <sz val="10"/>
        <rFont val="WenQuanYi Zen Hei"/>
        <family val="2"/>
      </rPr>
      <t xml:space="preserve">부 도청 논쟁이 국가적 스캔들로 확장</t>
    </r>
  </si>
  <si>
    <t xml:space="preserve">N3● E3● N6● N7● N8● P1● P2● P3● N1● S4●</t>
  </si>
  <si>
    <t xml:space="preserve">유작 메모 승계, 정보기술 통제위원회(CNCTR)·2015년 정보법, EU 플랫폼노동 지침·ARPE, 헌법 제49조 3항·불신임안, ORSEC·CatNat, 예산(헌법 제47조·LOLF)</t>
  </si>
  <si>
    <r>
      <rPr>
        <sz val="10"/>
        <rFont val="Arial"/>
        <family val="0"/>
        <charset val="1"/>
      </rPr>
      <t xml:space="preserve">C1~C2. </t>
    </r>
    <r>
      <rPr>
        <sz val="10"/>
        <rFont val="WenQuanYi Zen Hei"/>
        <family val="2"/>
      </rPr>
      <t xml:space="preserve">추도사</t>
    </r>
    <r>
      <rPr>
        <sz val="10"/>
        <rFont val="Arial"/>
        <family val="0"/>
        <charset val="1"/>
      </rPr>
      <t xml:space="preserve">, </t>
    </r>
    <r>
      <rPr>
        <sz val="10"/>
        <rFont val="WenQuanYi Zen Hei"/>
        <family val="2"/>
      </rPr>
      <t xml:space="preserve">인용</t>
    </r>
    <r>
      <rPr>
        <sz val="10"/>
        <rFont val="Arial"/>
        <family val="0"/>
        <charset val="1"/>
      </rPr>
      <t xml:space="preserve">(Napoléon</t>
    </r>
    <r>
      <rPr>
        <sz val="10"/>
        <rFont val="WenQuanYi Zen Hei"/>
        <family val="2"/>
      </rPr>
      <t xml:space="preserve">의 문장을 빌려 쓰는 대사</t>
    </r>
    <r>
      <rPr>
        <sz val="10"/>
        <rFont val="Arial"/>
        <family val="0"/>
        <charset val="1"/>
      </rPr>
      <t xml:space="preserve">), </t>
    </r>
    <r>
      <rPr>
        <sz val="10"/>
        <rFont val="WenQuanYi Zen Hei"/>
        <family val="2"/>
      </rPr>
      <t xml:space="preserve">국정 어휘</t>
    </r>
    <r>
      <rPr>
        <sz val="10"/>
        <rFont val="Arial"/>
        <family val="0"/>
        <charset val="1"/>
      </rPr>
      <t xml:space="preserve">. </t>
    </r>
    <r>
      <rPr>
        <sz val="10"/>
        <rFont val="WenQuanYi Zen Hei"/>
        <family val="2"/>
      </rPr>
      <t xml:space="preserve">발성</t>
    </r>
    <r>
      <rPr>
        <sz val="10"/>
        <rFont val="Arial"/>
        <family val="0"/>
        <charset val="1"/>
      </rPr>
      <t xml:space="preserve">: 1</t>
    </r>
    <r>
      <rPr>
        <sz val="10"/>
        <rFont val="WenQuanYi Zen Hei"/>
        <family val="2"/>
      </rPr>
      <t xml:space="preserve">화의 낮고 절제된 애도 톤에서 점차 회복</t>
    </r>
    <r>
      <rPr>
        <sz val="10"/>
        <rFont val="Arial"/>
        <family val="0"/>
        <charset val="1"/>
      </rPr>
      <t xml:space="preserve">.</t>
    </r>
  </si>
  <si>
    <r>
      <rPr>
        <sz val="10"/>
        <rFont val="Arial"/>
        <family val="0"/>
        <charset val="1"/>
      </rPr>
      <t xml:space="preserve">Manon: écoutes illégales·logiciel espion·santé mentale </t>
    </r>
    <r>
      <rPr>
        <sz val="10"/>
        <rFont val="WenQuanYi Zen Hei"/>
        <family val="2"/>
      </rPr>
      <t xml:space="preserve">등</t>
    </r>
    <r>
      <rPr>
        <sz val="10"/>
        <rFont val="Arial"/>
        <family val="0"/>
        <charset val="1"/>
      </rPr>
      <t xml:space="preserve">. </t>
    </r>
    <r>
      <rPr>
        <sz val="10"/>
        <rFont val="WenQuanYi Zen Hei"/>
        <family val="2"/>
      </rPr>
      <t xml:space="preserve">카드</t>
    </r>
    <r>
      <rPr>
        <sz val="10"/>
        <rFont val="Arial"/>
        <family val="0"/>
        <charset val="1"/>
      </rPr>
      <t xml:space="preserve">: </t>
    </r>
    <r>
      <rPr>
        <sz val="10"/>
        <rFont val="WenQuanYi Zen Hei"/>
        <family val="2"/>
      </rPr>
      <t xml:space="preserve">국내안전법전 정보 편</t>
    </r>
    <r>
      <rPr>
        <sz val="10"/>
        <rFont val="Arial"/>
        <family val="0"/>
        <charset val="1"/>
      </rPr>
      <t xml:space="preserve">, EU </t>
    </r>
    <r>
      <rPr>
        <sz val="10"/>
        <rFont val="WenQuanYi Zen Hei"/>
        <family val="2"/>
      </rPr>
      <t xml:space="preserve">플랫폼노동 지침</t>
    </r>
    <r>
      <rPr>
        <sz val="10"/>
        <rFont val="Arial"/>
        <family val="0"/>
        <charset val="1"/>
      </rPr>
      <t xml:space="preserve">.</t>
    </r>
  </si>
  <si>
    <r>
      <rPr>
        <sz val="10"/>
        <rFont val="Arial"/>
        <family val="0"/>
        <charset val="1"/>
      </rPr>
      <t xml:space="preserve">13</t>
    </r>
    <r>
      <rPr>
        <sz val="10"/>
        <rFont val="WenQuanYi Zen Hei"/>
        <family val="2"/>
      </rPr>
      <t xml:space="preserve">부</t>
    </r>
    <r>
      <rPr>
        <sz val="10"/>
        <rFont val="Arial"/>
        <family val="0"/>
        <charset val="1"/>
      </rPr>
      <t xml:space="preserve">: 1</t>
    </r>
    <r>
      <rPr>
        <sz val="10"/>
        <rFont val="WenQuanYi Zen Hei"/>
        <family val="2"/>
      </rPr>
      <t xml:space="preserve">부의 식탁으로 돌아간다</t>
    </r>
    <r>
      <rPr>
        <sz val="10"/>
        <rFont val="Arial"/>
        <family val="0"/>
        <charset val="1"/>
      </rPr>
      <t xml:space="preserve">.</t>
    </r>
  </si>
  <si>
    <r>
      <rPr>
        <b val="true"/>
        <sz val="10"/>
        <color rgb="FFFFFFFF"/>
        <rFont val="Arial"/>
        <family val="0"/>
        <charset val="1"/>
      </rPr>
      <t xml:space="preserve">Retour à Belleville — </t>
    </r>
    <r>
      <rPr>
        <b val="true"/>
        <sz val="10"/>
        <color rgb="FFFFFFFF"/>
        <rFont val="WenQuanYi Zen Hei"/>
        <family val="2"/>
      </rPr>
      <t xml:space="preserve">귀환   </t>
    </r>
    <r>
      <rPr>
        <b val="true"/>
        <sz val="10"/>
        <color rgb="FFFFFFFF"/>
        <rFont val="Arial"/>
        <family val="0"/>
        <charset val="1"/>
      </rPr>
      <t xml:space="preserve">|   </t>
    </r>
    <r>
      <rPr>
        <b val="true"/>
        <sz val="10"/>
        <color rgb="FFFFFFFF"/>
        <rFont val="WenQuanYi Zen Hei"/>
        <family val="2"/>
      </rPr>
      <t xml:space="preserve">난이도 </t>
    </r>
    <r>
      <rPr>
        <b val="true"/>
        <sz val="10"/>
        <color rgb="FFFFFFFF"/>
        <rFont val="Arial"/>
        <family val="0"/>
        <charset val="1"/>
      </rPr>
      <t xml:space="preserve">B1~B2   |   </t>
    </r>
    <r>
      <rPr>
        <b val="true"/>
        <sz val="10"/>
        <color rgb="FFFFFFFF"/>
        <rFont val="WenQuanYi Zen Hei"/>
        <family val="2"/>
      </rPr>
      <t xml:space="preserve">임기 후반</t>
    </r>
    <r>
      <rPr>
        <b val="true"/>
        <sz val="10"/>
        <color rgb="FFFFFFFF"/>
        <rFont val="Arial"/>
        <family val="0"/>
        <charset val="1"/>
      </rPr>
      <t xml:space="preserve">. Belleville </t>
    </r>
    <r>
      <rPr>
        <b val="true"/>
        <sz val="10"/>
        <color rgb="FFFFFFFF"/>
        <rFont val="WenQuanYi Zen Hei"/>
        <family val="2"/>
      </rPr>
      <t xml:space="preserve">사무소와 </t>
    </r>
    <r>
      <rPr>
        <b val="true"/>
        <sz val="10"/>
        <color rgb="FFFFFFFF"/>
        <rFont val="Arial"/>
        <family val="0"/>
        <charset val="1"/>
      </rPr>
      <t xml:space="preserve">Chez Monique. </t>
    </r>
    <r>
      <rPr>
        <b val="true"/>
        <sz val="10"/>
        <color rgb="FFFFFFFF"/>
        <rFont val="WenQuanYi Zen Hei"/>
        <family val="2"/>
      </rPr>
      <t xml:space="preserve">마지막에 다시 </t>
    </r>
    <r>
      <rPr>
        <b val="true"/>
        <sz val="10"/>
        <color rgb="FFFFFFFF"/>
        <rFont val="Arial"/>
        <family val="0"/>
        <charset val="1"/>
      </rPr>
      <t xml:space="preserve">'</t>
    </r>
    <r>
      <rPr>
        <b val="true"/>
        <sz val="10"/>
        <color rgb="FFFFFFFF"/>
        <rFont val="WenQuanYi Zen Hei"/>
        <family val="2"/>
      </rPr>
      <t xml:space="preserve">다섯 시</t>
    </r>
    <r>
      <rPr>
        <b val="true"/>
        <sz val="10"/>
        <color rgb="FFFFFFFF"/>
        <rFont val="Arial"/>
        <family val="0"/>
        <charset val="1"/>
      </rPr>
      <t xml:space="preserve">'.</t>
    </r>
  </si>
  <si>
    <t xml:space="preserve">원형 닫기와 성장의 확인. 낭독자가 1부 장면을 다시 읽으며 실력의 성장을 체감한다. Manon이 질문받는 쪽으로 이동한다.</t>
  </si>
  <si>
    <t xml:space="preserve">대통령과 장관들이 손님으로 돌아온 벨빌에서 Napoléon의 이각모가 Manon에게 도착하고, 새 인턴이 던진 질문에 Manon이 답한다.</t>
  </si>
  <si>
    <t xml:space="preserve">대통령과 장관들 → 다시 식탁 앞의 사람들. Manon: 묻는 사람 → 설명하는 사람.</t>
  </si>
  <si>
    <t xml:space="preserve">애도 vs 계속 가는 것 / 겸직 금지로 사무소를 놓아야 함</t>
  </si>
  <si>
    <t xml:space="preserve">발단(1~3화): 다섯 시, 이각모(유언장), 빈 의자.</t>
  </si>
  <si>
    <t xml:space="preserve">전개(4~5화): 사무소의 재단 전환, 새 인턴 Lucas.</t>
  </si>
  <si>
    <t xml:space="preserve">미드포인트(6화): Manon이 어려운 말을 쉬운 말로 설명한다.</t>
  </si>
  <si>
    <t xml:space="preserve">전개(7~8화): 5년 임기 결산(현안 결산), 시민들의 편지.</t>
  </si>
  <si>
    <t xml:space="preserve">위기(9화): 올드 가드와 빈 의자.</t>
  </si>
  <si>
    <t xml:space="preserve">절정·결말(10~12화): 빠진 카드(Curie가 처음 결론을 말함), 다시 다섯 시, «Asseyez-vous, je vous apporte quelque chose.»</t>
  </si>
  <si>
    <r>
      <rPr>
        <sz val="10"/>
        <rFont val="Arial"/>
        <family val="0"/>
        <charset val="1"/>
      </rPr>
      <t xml:space="preserve">Manon 12</t>
    </r>
    <r>
      <rPr>
        <sz val="10"/>
        <rFont val="WenQuanYi Zen Hei"/>
        <family val="2"/>
      </rPr>
      <t xml:space="preserve">화 전부</t>
    </r>
    <r>
      <rPr>
        <sz val="10"/>
        <rFont val="Arial"/>
        <family val="0"/>
        <charset val="1"/>
      </rPr>
      <t xml:space="preserve">, Monique 10</t>
    </r>
    <r>
      <rPr>
        <sz val="10"/>
        <rFont val="WenQuanYi Zen Hei"/>
        <family val="2"/>
      </rPr>
      <t xml:space="preserve">화</t>
    </r>
    <r>
      <rPr>
        <sz val="10"/>
        <rFont val="Arial"/>
        <family val="0"/>
        <charset val="1"/>
      </rPr>
      <t xml:space="preserve">. Napoléon</t>
    </r>
    <r>
      <rPr>
        <sz val="10"/>
        <rFont val="WenQuanYi Zen Hei"/>
        <family val="2"/>
      </rPr>
      <t xml:space="preserve">은 유언장</t>
    </r>
    <r>
      <rPr>
        <sz val="10"/>
        <rFont val="Arial"/>
        <family val="0"/>
        <charset val="1"/>
      </rPr>
      <t xml:space="preserve">·</t>
    </r>
    <r>
      <rPr>
        <sz val="10"/>
        <rFont val="WenQuanYi Zen Hei"/>
        <family val="2"/>
      </rPr>
      <t xml:space="preserve">회상 </t>
    </r>
    <r>
      <rPr>
        <sz val="10"/>
        <rFont val="Arial"/>
        <family val="0"/>
        <charset val="1"/>
      </rPr>
      <t xml:space="preserve">3</t>
    </r>
    <r>
      <rPr>
        <sz val="10"/>
        <rFont val="WenQuanYi Zen Hei"/>
        <family val="2"/>
      </rPr>
      <t xml:space="preserve">화</t>
    </r>
    <r>
      <rPr>
        <sz val="10"/>
        <rFont val="Arial"/>
        <family val="0"/>
        <charset val="1"/>
      </rPr>
      <t xml:space="preserve">. </t>
    </r>
    <r>
      <rPr>
        <sz val="10"/>
        <rFont val="WenQuanYi Zen Hei"/>
        <family val="2"/>
      </rPr>
      <t xml:space="preserve">신규 엑스트라</t>
    </r>
    <r>
      <rPr>
        <sz val="10"/>
        <rFont val="Arial"/>
        <family val="0"/>
        <charset val="1"/>
      </rPr>
      <t xml:space="preserve">: Lucas(</t>
    </r>
    <r>
      <rPr>
        <sz val="10"/>
        <rFont val="WenQuanYi Zen Hei"/>
        <family val="2"/>
      </rPr>
      <t xml:space="preserve">새 인턴</t>
    </r>
    <r>
      <rPr>
        <sz val="10"/>
        <rFont val="Arial"/>
        <family val="0"/>
        <charset val="1"/>
      </rPr>
      <t xml:space="preserve">), </t>
    </r>
    <r>
      <rPr>
        <sz val="10"/>
        <rFont val="WenQuanYi Zen Hei"/>
        <family val="2"/>
      </rPr>
      <t xml:space="preserve">공증인</t>
    </r>
    <r>
      <rPr>
        <sz val="10"/>
        <rFont val="Arial"/>
        <family val="0"/>
        <charset val="1"/>
      </rPr>
      <t xml:space="preserve">.</t>
    </r>
  </si>
  <si>
    <r>
      <rPr>
        <sz val="10"/>
        <rFont val="Arial"/>
        <family val="0"/>
        <charset val="1"/>
      </rPr>
      <t xml:space="preserve">(</t>
    </r>
    <r>
      <rPr>
        <sz val="10"/>
        <rFont val="WenQuanYi Zen Hei"/>
        <family val="2"/>
      </rPr>
      <t xml:space="preserve">회수 아크</t>
    </r>
    <r>
      <rPr>
        <sz val="10"/>
        <rFont val="Arial"/>
        <family val="0"/>
        <charset val="1"/>
      </rPr>
      <t xml:space="preserve">) 1</t>
    </r>
    <r>
      <rPr>
        <sz val="10"/>
        <rFont val="WenQuanYi Zen Hei"/>
        <family val="2"/>
      </rPr>
      <t xml:space="preserve">부 첫 대사</t>
    </r>
    <r>
      <rPr>
        <sz val="10"/>
        <rFont val="Arial"/>
        <family val="0"/>
        <charset val="1"/>
      </rPr>
      <t xml:space="preserve">·</t>
    </r>
    <r>
      <rPr>
        <sz val="10"/>
        <rFont val="WenQuanYi Zen Hei"/>
        <family val="2"/>
      </rPr>
      <t xml:space="preserve">이각모</t>
    </r>
    <r>
      <rPr>
        <sz val="10"/>
        <rFont val="Arial"/>
        <family val="0"/>
        <charset val="1"/>
      </rPr>
      <t xml:space="preserve">·Curie </t>
    </r>
    <r>
      <rPr>
        <sz val="10"/>
        <rFont val="WenQuanYi Zen Hei"/>
        <family val="2"/>
      </rPr>
      <t xml:space="preserve">카드</t>
    </r>
    <r>
      <rPr>
        <sz val="10"/>
        <rFont val="Arial"/>
        <family val="0"/>
        <charset val="1"/>
      </rPr>
      <t xml:space="preserve">·Manon</t>
    </r>
    <r>
      <rPr>
        <sz val="10"/>
        <rFont val="WenQuanYi Zen Hei"/>
        <family val="2"/>
      </rPr>
      <t xml:space="preserve">의 질문 — </t>
    </r>
    <r>
      <rPr>
        <sz val="10"/>
        <rFont val="Arial"/>
        <family val="0"/>
        <charset val="1"/>
      </rPr>
      <t xml:space="preserve">'</t>
    </r>
    <r>
      <rPr>
        <sz val="10"/>
        <rFont val="WenQuanYi Zen Hei"/>
        <family val="2"/>
      </rPr>
      <t xml:space="preserve">복선</t>
    </r>
    <r>
      <rPr>
        <sz val="10"/>
        <rFont val="Arial"/>
        <family val="0"/>
        <charset val="1"/>
      </rPr>
      <t xml:space="preserve">_</t>
    </r>
    <r>
      <rPr>
        <sz val="10"/>
        <rFont val="WenQuanYi Zen Hei"/>
        <family val="2"/>
      </rPr>
      <t xml:space="preserve">회수</t>
    </r>
    <r>
      <rPr>
        <sz val="10"/>
        <rFont val="Arial"/>
        <family val="0"/>
        <charset val="1"/>
      </rPr>
      <t xml:space="preserve">' </t>
    </r>
    <r>
      <rPr>
        <sz val="10"/>
        <rFont val="WenQuanYi Zen Hei"/>
        <family val="2"/>
      </rPr>
      <t xml:space="preserve">시트 참고</t>
    </r>
  </si>
  <si>
    <r>
      <rPr>
        <sz val="10"/>
        <rFont val="Arial"/>
        <family val="0"/>
        <charset val="1"/>
      </rPr>
      <t xml:space="preserve">S1● (7</t>
    </r>
    <r>
      <rPr>
        <sz val="10"/>
        <rFont val="WenQuanYi Zen Hei"/>
        <family val="2"/>
      </rPr>
      <t xml:space="preserve">화 결산에서 </t>
    </r>
    <r>
      <rPr>
        <sz val="10"/>
        <rFont val="Arial"/>
        <family val="0"/>
        <charset val="1"/>
      </rPr>
      <t xml:space="preserve">E3·S3·N5·N3 </t>
    </r>
    <r>
      <rPr>
        <sz val="10"/>
        <rFont val="WenQuanYi Zen Hei"/>
        <family val="2"/>
      </rPr>
      <t xml:space="preserve">등</t>
    </r>
    <r>
      <rPr>
        <sz val="10"/>
        <rFont val="Arial"/>
        <family val="0"/>
        <charset val="1"/>
      </rPr>
      <t xml:space="preserve">)</t>
    </r>
  </si>
  <si>
    <t xml:space="preserve">고위공직 겸직 금지(헌법 제23조)와 HATVP 신고, 유언(notaire, exécuteur testamentaire, 유언 중앙 등록부 FCDDV), 기부재단 설립</t>
  </si>
  <si>
    <r>
      <rPr>
        <sz val="10"/>
        <rFont val="Arial"/>
        <family val="0"/>
        <charset val="1"/>
      </rPr>
      <t xml:space="preserve">B1~B2. 1</t>
    </r>
    <r>
      <rPr>
        <sz val="10"/>
        <rFont val="WenQuanYi Zen Hei"/>
        <family val="2"/>
      </rPr>
      <t xml:space="preserve">부와 같은 문장을 다시 읽어 비교</t>
    </r>
    <r>
      <rPr>
        <sz val="10"/>
        <rFont val="Arial"/>
        <family val="0"/>
        <charset val="1"/>
      </rPr>
      <t xml:space="preserve">. </t>
    </r>
    <r>
      <rPr>
        <sz val="10"/>
        <rFont val="WenQuanYi Zen Hei"/>
        <family val="2"/>
      </rPr>
      <t xml:space="preserve">발성</t>
    </r>
    <r>
      <rPr>
        <sz val="10"/>
        <rFont val="Arial"/>
        <family val="0"/>
        <charset val="1"/>
      </rPr>
      <t xml:space="preserve">: </t>
    </r>
    <r>
      <rPr>
        <sz val="10"/>
        <rFont val="WenQuanYi Zen Hei"/>
        <family val="2"/>
      </rPr>
      <t xml:space="preserve">따뜻하고 여유로운 톤</t>
    </r>
    <r>
      <rPr>
        <sz val="10"/>
        <rFont val="Arial"/>
        <family val="0"/>
        <charset val="1"/>
      </rPr>
      <t xml:space="preserve">. Manon</t>
    </r>
    <r>
      <rPr>
        <sz val="10"/>
        <rFont val="WenQuanYi Zen Hei"/>
        <family val="2"/>
      </rPr>
      <t xml:space="preserve">의 설명은 쉬운 말</t>
    </r>
    <r>
      <rPr>
        <sz val="10"/>
        <rFont val="Arial"/>
        <family val="0"/>
        <charset val="1"/>
      </rPr>
      <t xml:space="preserve">.</t>
    </r>
  </si>
  <si>
    <r>
      <rPr>
        <sz val="10"/>
        <rFont val="Arial"/>
        <family val="0"/>
        <charset val="1"/>
      </rPr>
      <t xml:space="preserve">Manon</t>
    </r>
    <r>
      <rPr>
        <sz val="10"/>
        <rFont val="WenQuanYi Zen Hei"/>
        <family val="2"/>
      </rPr>
      <t xml:space="preserve">이 새 인턴의 질문에 답한다</t>
    </r>
    <r>
      <rPr>
        <sz val="10"/>
        <rFont val="Arial"/>
        <family val="0"/>
        <charset val="1"/>
      </rPr>
      <t xml:space="preserve">. </t>
    </r>
    <r>
      <rPr>
        <sz val="10"/>
        <rFont val="WenQuanYi Zen Hei"/>
        <family val="2"/>
      </rPr>
      <t xml:space="preserve">카드</t>
    </r>
    <r>
      <rPr>
        <sz val="10"/>
        <rFont val="Arial"/>
        <family val="0"/>
        <charset val="1"/>
      </rPr>
      <t xml:space="preserve">: Curie</t>
    </r>
    <r>
      <rPr>
        <sz val="10"/>
        <rFont val="WenQuanYi Zen Hei"/>
        <family val="2"/>
      </rPr>
      <t xml:space="preserve">가 처음으로 결론을 직접 말한다</t>
    </r>
    <r>
      <rPr>
        <sz val="10"/>
        <rFont val="Arial"/>
        <family val="0"/>
        <charset val="1"/>
      </rPr>
      <t xml:space="preserve">.</t>
    </r>
  </si>
  <si>
    <t xml:space="preserve">끝 — 원.</t>
  </si>
  <si>
    <t xml:space="preserve">전체 화별 목차 (1~13부, 156화)</t>
  </si>
  <si>
    <t xml:space="preserve">프랑스 제5공화국 제도와 현안(ID는 '현안_배치' 시트)을 반영한 초안. 득표율·의석 수·결과는 가상 수치. 모든 화는 지문 없이 대화문으로만 진행한다.</t>
  </si>
  <si>
    <t xml:space="preserve">화</t>
  </si>
  <si>
    <t xml:space="preserve">핵심 사건</t>
  </si>
  <si>
    <t xml:space="preserve">주요 인물</t>
  </si>
  <si>
    <t xml:space="preserve">반영 현안
(ID)</t>
  </si>
  <si>
    <t xml:space="preserve">턴 수</t>
  </si>
  <si>
    <t xml:space="preserve">사건1 도입</t>
  </si>
  <si>
    <t xml:space="preserve">Encore une lettre</t>
  </si>
  <si>
    <t xml:space="preserve">또 한 통의 편지</t>
  </si>
  <si>
    <t xml:space="preserve">사무소 개소 1개월 후. 다섯 시, 여전히 방법을 못 정한 채 매일 다투는 팀. Fatima가 두 번째로 찾아와 새 임대료 인상 통지서를 보인다. Manon은 여전히 Nicolas에게 vous를 쓴다. Curie가 지나가며 «날짜를 세어 보라»는 힌트만 던지고, 임대차 계약서가 없어 다음 날로 미뤄진다.</t>
  </si>
  <si>
    <t xml:space="preserve">생활 법률 구어체, 반복되는 말다툼 (B1)</t>
  </si>
  <si>
    <t xml:space="preserve">Monique, Nicolas, Camille, Julien, Léa, Manon, Napoléon, Fatima, Curie</t>
  </si>
  <si>
    <t xml:space="preserve">E1</t>
  </si>
  <si>
    <t xml:space="preserve">사건1 해결</t>
  </si>
  <si>
    <t xml:space="preserve">La clause qui n'augmente pas</t>
  </si>
  <si>
    <t xml:space="preserve">오르지 않는 조항</t>
  </si>
  <si>
    <r>
      <rPr>
        <sz val="10"/>
        <rFont val="Arial"/>
        <family val="0"/>
        <charset val="1"/>
      </rPr>
      <t xml:space="preserve">[</t>
    </r>
    <r>
      <rPr>
        <sz val="10"/>
        <rFont val="WenQuanYi Zen Hei"/>
        <family val="2"/>
      </rPr>
      <t xml:space="preserve">사건</t>
    </r>
    <r>
      <rPr>
        <sz val="10"/>
        <rFont val="Arial"/>
        <family val="0"/>
        <charset val="1"/>
      </rPr>
      <t xml:space="preserve">1 </t>
    </r>
    <r>
      <rPr>
        <sz val="10"/>
        <rFont val="WenQuanYi Zen Hei"/>
        <family val="2"/>
      </rPr>
      <t xml:space="preserve">해결</t>
    </r>
    <r>
      <rPr>
        <sz val="10"/>
        <rFont val="Arial"/>
        <family val="0"/>
        <charset val="1"/>
      </rPr>
      <t xml:space="preserve">] Fatima</t>
    </r>
    <r>
      <rPr>
        <sz val="10"/>
        <rFont val="WenQuanYi Zen Hei"/>
        <family val="2"/>
      </rPr>
      <t xml:space="preserve">와 </t>
    </r>
    <r>
      <rPr>
        <sz val="10"/>
        <rFont val="Arial"/>
        <family val="0"/>
        <charset val="1"/>
      </rPr>
      <t xml:space="preserve">Manon</t>
    </r>
    <r>
      <rPr>
        <sz val="10"/>
        <rFont val="WenQuanYi Zen Hei"/>
        <family val="2"/>
      </rPr>
      <t xml:space="preserve">이 계약서를 가져온다</t>
    </r>
    <r>
      <rPr>
        <sz val="10"/>
        <rFont val="Arial"/>
        <family val="0"/>
        <charset val="1"/>
      </rPr>
      <t xml:space="preserve">. Curie</t>
    </r>
    <r>
      <rPr>
        <sz val="10"/>
        <rFont val="WenQuanYi Zen Hei"/>
        <family val="2"/>
      </rPr>
      <t xml:space="preserve">의 카드 </t>
    </r>
    <r>
      <rPr>
        <sz val="10"/>
        <rFont val="Arial"/>
        <family val="0"/>
        <charset val="1"/>
      </rPr>
      <t xml:space="preserve">#1(1989</t>
    </r>
    <r>
      <rPr>
        <sz val="10"/>
        <rFont val="WenQuanYi Zen Hei"/>
        <family val="2"/>
      </rPr>
      <t xml:space="preserve">년 임대차법 제</t>
    </r>
    <r>
      <rPr>
        <sz val="10"/>
        <rFont val="Arial"/>
        <family val="0"/>
        <charset val="1"/>
      </rPr>
      <t xml:space="preserve">17-1</t>
    </r>
    <r>
      <rPr>
        <sz val="10"/>
        <rFont val="WenQuanYi Zen Hei"/>
        <family val="2"/>
      </rPr>
      <t xml:space="preserve">조</t>
    </r>
    <r>
      <rPr>
        <sz val="10"/>
        <rFont val="Arial"/>
        <family val="0"/>
        <charset val="1"/>
      </rPr>
      <t xml:space="preserve">, </t>
    </r>
    <r>
      <rPr>
        <sz val="10"/>
        <rFont val="WenQuanYi Zen Hei"/>
        <family val="2"/>
      </rPr>
      <t xml:space="preserve">임대료 기준지수 </t>
    </r>
    <r>
      <rPr>
        <sz val="10"/>
        <rFont val="Arial"/>
        <family val="0"/>
        <charset val="1"/>
      </rPr>
      <t xml:space="preserve">IRL)</t>
    </r>
    <r>
      <rPr>
        <sz val="10"/>
        <rFont val="WenQuanYi Zen Hei"/>
        <family val="2"/>
      </rPr>
      <t xml:space="preserve">로 인상률이 부당함을 확인하고</t>
    </r>
    <r>
      <rPr>
        <sz val="10"/>
        <rFont val="Arial"/>
        <family val="0"/>
        <charset val="1"/>
      </rPr>
      <t xml:space="preserve">, </t>
    </r>
    <r>
      <rPr>
        <sz val="10"/>
        <rFont val="WenQuanYi Zen Hei"/>
        <family val="2"/>
      </rPr>
      <t xml:space="preserve">기한 안에 등기우편</t>
    </r>
    <r>
      <rPr>
        <sz val="10"/>
        <rFont val="Arial"/>
        <family val="0"/>
        <charset val="1"/>
      </rPr>
      <t xml:space="preserve">(lettre recommandée)</t>
    </r>
    <r>
      <rPr>
        <sz val="10"/>
        <rFont val="WenQuanYi Zen Hei"/>
        <family val="2"/>
      </rPr>
      <t xml:space="preserve">으로 답장을 쓴다</t>
    </r>
    <r>
      <rPr>
        <sz val="10"/>
        <rFont val="Arial"/>
        <family val="0"/>
        <charset val="1"/>
      </rPr>
      <t xml:space="preserve">. </t>
    </r>
    <r>
      <rPr>
        <sz val="10"/>
        <rFont val="WenQuanYi Zen Hei"/>
        <family val="2"/>
      </rPr>
      <t xml:space="preserve">사무소의 첫 번째 규칙</t>
    </r>
    <r>
      <rPr>
        <sz val="10"/>
        <rFont val="Arial"/>
        <family val="0"/>
        <charset val="1"/>
      </rPr>
      <t xml:space="preserve">(</t>
    </r>
    <r>
      <rPr>
        <sz val="10"/>
        <rFont val="WenQuanYi Zen Hei"/>
        <family val="2"/>
      </rPr>
      <t xml:space="preserve">가난한 이웃에겐 돈을 받지 않는다</t>
    </r>
    <r>
      <rPr>
        <sz val="10"/>
        <rFont val="Arial"/>
        <family val="0"/>
        <charset val="1"/>
      </rPr>
      <t xml:space="preserve">)</t>
    </r>
    <r>
      <rPr>
        <sz val="10"/>
        <rFont val="WenQuanYi Zen Hei"/>
        <family val="2"/>
      </rPr>
      <t xml:space="preserve">이 확인된다</t>
    </r>
    <r>
      <rPr>
        <sz val="10"/>
        <rFont val="Arial"/>
        <family val="0"/>
        <charset val="1"/>
      </rPr>
      <t xml:space="preserve">.</t>
    </r>
  </si>
  <si>
    <t xml:space="preserve">임대차(1989년 7월 6일 법), 임대료 기준지수(IRL), 파리 임대료 상한(encadrement des loyers)</t>
  </si>
  <si>
    <t xml:space="preserve">Nicolas, Julien, Léa, Fatima, Curie, Manon, Monique</t>
  </si>
  <si>
    <t xml:space="preserve">사건2 도입</t>
  </si>
  <si>
    <t xml:space="preserve">La fin de la trêve</t>
  </si>
  <si>
    <t xml:space="preserve">겨울 휴전의 끝</t>
  </si>
  <si>
    <r>
      <rPr>
        <sz val="10"/>
        <rFont val="Arial"/>
        <family val="0"/>
        <charset val="1"/>
      </rPr>
      <t xml:space="preserve">[</t>
    </r>
    <r>
      <rPr>
        <sz val="10"/>
        <rFont val="WenQuanYi Zen Hei"/>
        <family val="2"/>
      </rPr>
      <t xml:space="preserve">사건</t>
    </r>
    <r>
      <rPr>
        <sz val="10"/>
        <rFont val="Arial"/>
        <family val="0"/>
        <charset val="1"/>
      </rPr>
      <t xml:space="preserve">2 </t>
    </r>
    <r>
      <rPr>
        <sz val="10"/>
        <rFont val="WenQuanYi Zen Hei"/>
        <family val="2"/>
      </rPr>
      <t xml:space="preserve">도입</t>
    </r>
    <r>
      <rPr>
        <sz val="10"/>
        <rFont val="Arial"/>
        <family val="0"/>
        <charset val="1"/>
      </rPr>
      <t xml:space="preserve">] 3</t>
    </r>
    <r>
      <rPr>
        <sz val="10"/>
        <rFont val="WenQuanYi Zen Hei"/>
        <family val="2"/>
      </rPr>
      <t xml:space="preserve">월 </t>
    </r>
    <r>
      <rPr>
        <sz val="10"/>
        <rFont val="Arial"/>
        <family val="0"/>
        <charset val="1"/>
      </rPr>
      <t xml:space="preserve">31</t>
    </r>
    <r>
      <rPr>
        <sz val="10"/>
        <rFont val="WenQuanYi Zen Hei"/>
        <family val="2"/>
      </rPr>
      <t xml:space="preserve">일 밤</t>
    </r>
    <r>
      <rPr>
        <sz val="10"/>
        <rFont val="Arial"/>
        <family val="0"/>
        <charset val="1"/>
      </rPr>
      <t xml:space="preserve">, </t>
    </r>
    <r>
      <rPr>
        <sz val="10"/>
        <rFont val="WenQuanYi Zen Hei"/>
        <family val="2"/>
      </rPr>
      <t xml:space="preserve">겨울 퇴거 유예</t>
    </r>
    <r>
      <rPr>
        <sz val="10"/>
        <rFont val="Arial"/>
        <family val="0"/>
        <charset val="1"/>
      </rPr>
      <t xml:space="preserve">(trêve hivernale)</t>
    </r>
    <r>
      <rPr>
        <sz val="10"/>
        <rFont val="WenQuanYi Zen Hei"/>
        <family val="2"/>
      </rPr>
      <t xml:space="preserve">가 끝나는 다음 날 아침으로 퇴거 집행이 잡혔다는 급보가 온다</t>
    </r>
    <r>
      <rPr>
        <sz val="10"/>
        <rFont val="Arial"/>
        <family val="0"/>
        <charset val="1"/>
      </rPr>
      <t xml:space="preserve">. Jeanne</t>
    </r>
    <r>
      <rPr>
        <sz val="10"/>
        <rFont val="WenQuanYi Zen Hei"/>
        <family val="2"/>
      </rPr>
      <t xml:space="preserve">이 주민을 조직하고 </t>
    </r>
    <r>
      <rPr>
        <sz val="10"/>
        <rFont val="Arial"/>
        <family val="0"/>
        <charset val="1"/>
      </rPr>
      <t xml:space="preserve">Karim</t>
    </r>
    <r>
      <rPr>
        <sz val="10"/>
        <rFont val="WenQuanYi Zen Hei"/>
        <family val="2"/>
      </rPr>
      <t xml:space="preserve">이 이웃들을 모은다</t>
    </r>
    <r>
      <rPr>
        <sz val="10"/>
        <rFont val="Arial"/>
        <family val="0"/>
        <charset val="1"/>
      </rPr>
      <t xml:space="preserve">. </t>
    </r>
    <r>
      <rPr>
        <sz val="10"/>
        <rFont val="WenQuanYi Zen Hei"/>
        <family val="2"/>
      </rPr>
      <t xml:space="preserve">네 사람이 각자 서류</t>
    </r>
    <r>
      <rPr>
        <sz val="10"/>
        <rFont val="Arial"/>
        <family val="0"/>
        <charset val="1"/>
      </rPr>
      <t xml:space="preserve">·</t>
    </r>
    <r>
      <rPr>
        <sz val="10"/>
        <rFont val="WenQuanYi Zen Hei"/>
        <family val="2"/>
      </rPr>
      <t xml:space="preserve">건강</t>
    </r>
    <r>
      <rPr>
        <sz val="10"/>
        <rFont val="Arial"/>
        <family val="0"/>
        <charset val="1"/>
      </rPr>
      <t xml:space="preserve">·</t>
    </r>
    <r>
      <rPr>
        <sz val="10"/>
        <rFont val="WenQuanYi Zen Hei"/>
        <family val="2"/>
      </rPr>
      <t xml:space="preserve">숫자</t>
    </r>
    <r>
      <rPr>
        <sz val="10"/>
        <rFont val="Arial"/>
        <family val="0"/>
        <charset val="1"/>
      </rPr>
      <t xml:space="preserve">·</t>
    </r>
    <r>
      <rPr>
        <sz val="10"/>
        <rFont val="WenQuanYi Zen Hei"/>
        <family val="2"/>
      </rPr>
      <t xml:space="preserve">동선을 맡아 밤새 준비하지만 승산은 불투명하다</t>
    </r>
    <r>
      <rPr>
        <sz val="10"/>
        <rFont val="Arial"/>
        <family val="0"/>
        <charset val="1"/>
      </rPr>
      <t xml:space="preserve">.</t>
    </r>
  </si>
  <si>
    <t xml:space="preserve">겨울 퇴거 유예(11월 1일~3월 31일), 퇴거 명령(commandement de quitter les lieux), 이웃 조직</t>
  </si>
  <si>
    <t xml:space="preserve">Nicolas, Camille, Julien, Léa, Jeanne, Karim, Manon, Monique</t>
  </si>
  <si>
    <t xml:space="preserve">S1</t>
  </si>
  <si>
    <t xml:space="preserve">사건2 해결</t>
  </si>
  <si>
    <t xml:space="preserve">Le fourgon qui n'est pas venu</t>
  </si>
  <si>
    <t xml:space="preserve">오지 않은 경찰 승합차</t>
  </si>
  <si>
    <r>
      <rPr>
        <sz val="10"/>
        <rFont val="Arial"/>
        <family val="0"/>
        <charset val="1"/>
      </rPr>
      <t xml:space="preserve">[</t>
    </r>
    <r>
      <rPr>
        <sz val="10"/>
        <rFont val="WenQuanYi Zen Hei"/>
        <family val="2"/>
      </rPr>
      <t xml:space="preserve">사건</t>
    </r>
    <r>
      <rPr>
        <sz val="10"/>
        <rFont val="Arial"/>
        <family val="0"/>
        <charset val="1"/>
      </rPr>
      <t xml:space="preserve">2 </t>
    </r>
    <r>
      <rPr>
        <sz val="10"/>
        <rFont val="WenQuanYi Zen Hei"/>
        <family val="2"/>
      </rPr>
      <t xml:space="preserve">해결</t>
    </r>
    <r>
      <rPr>
        <sz val="10"/>
        <rFont val="Arial"/>
        <family val="0"/>
        <charset val="1"/>
      </rPr>
      <t xml:space="preserve">] </t>
    </r>
    <r>
      <rPr>
        <sz val="10"/>
        <rFont val="WenQuanYi Zen Hei"/>
        <family val="2"/>
      </rPr>
      <t xml:space="preserve">집행 당일 아침</t>
    </r>
    <r>
      <rPr>
        <sz val="10"/>
        <rFont val="Arial"/>
        <family val="0"/>
        <charset val="1"/>
      </rPr>
      <t xml:space="preserve">. Nicolas</t>
    </r>
    <r>
      <rPr>
        <sz val="10"/>
        <rFont val="WenQuanYi Zen Hei"/>
        <family val="2"/>
      </rPr>
      <t xml:space="preserve">의 긴급 가처분</t>
    </r>
    <r>
      <rPr>
        <sz val="10"/>
        <rFont val="Arial"/>
        <family val="0"/>
        <charset val="1"/>
      </rPr>
      <t xml:space="preserve">(référé)</t>
    </r>
    <r>
      <rPr>
        <sz val="10"/>
        <rFont val="WenQuanYi Zen Hei"/>
        <family val="2"/>
      </rPr>
      <t xml:space="preserve">과 유예 기간 신청</t>
    </r>
    <r>
      <rPr>
        <sz val="10"/>
        <rFont val="Arial"/>
        <family val="0"/>
        <charset val="1"/>
      </rPr>
      <t xml:space="preserve">, Camille</t>
    </r>
    <r>
      <rPr>
        <sz val="10"/>
        <rFont val="WenQuanYi Zen Hei"/>
        <family val="2"/>
      </rPr>
      <t xml:space="preserve">의 취약성 진단서</t>
    </r>
    <r>
      <rPr>
        <sz val="10"/>
        <rFont val="Arial"/>
        <family val="0"/>
        <charset val="1"/>
      </rPr>
      <t xml:space="preserve">, Julien</t>
    </r>
    <r>
      <rPr>
        <sz val="10"/>
        <rFont val="WenQuanYi Zen Hei"/>
        <family val="2"/>
      </rPr>
      <t xml:space="preserve">의 채무 계산</t>
    </r>
    <r>
      <rPr>
        <sz val="10"/>
        <rFont val="Arial"/>
        <family val="0"/>
        <charset val="1"/>
      </rPr>
      <t xml:space="preserve">, Léa</t>
    </r>
    <r>
      <rPr>
        <sz val="10"/>
        <rFont val="WenQuanYi Zen Hei"/>
        <family val="2"/>
      </rPr>
      <t xml:space="preserve">의 동선 배치가 맞물리고</t>
    </r>
    <r>
      <rPr>
        <sz val="10"/>
        <rFont val="Arial"/>
        <family val="0"/>
        <charset val="1"/>
      </rPr>
      <t xml:space="preserve">, </t>
    </r>
    <r>
      <rPr>
        <sz val="10"/>
        <rFont val="WenQuanYi Zen Hei"/>
        <family val="2"/>
      </rPr>
      <t xml:space="preserve">도청</t>
    </r>
    <r>
      <rPr>
        <sz val="10"/>
        <rFont val="Arial"/>
        <family val="0"/>
        <charset val="1"/>
      </rPr>
      <t xml:space="preserve">(préfecture)</t>
    </r>
    <r>
      <rPr>
        <sz val="10"/>
        <rFont val="WenQuanYi Zen Hei"/>
        <family val="2"/>
      </rPr>
      <t xml:space="preserve">이 경찰 지원</t>
    </r>
    <r>
      <rPr>
        <sz val="10"/>
        <rFont val="Arial"/>
        <family val="0"/>
        <charset val="1"/>
      </rPr>
      <t xml:space="preserve">(concours de la force publique)</t>
    </r>
    <r>
      <rPr>
        <sz val="10"/>
        <rFont val="WenQuanYi Zen Hei"/>
        <family val="2"/>
      </rPr>
      <t xml:space="preserve">을 미뤄 집행이 연기된다</t>
    </r>
    <r>
      <rPr>
        <sz val="10"/>
        <rFont val="Arial"/>
        <family val="0"/>
        <charset val="1"/>
      </rPr>
      <t xml:space="preserve">. Jeanne</t>
    </r>
    <r>
      <rPr>
        <sz val="10"/>
        <rFont val="WenQuanYi Zen Hei"/>
        <family val="2"/>
      </rPr>
      <t xml:space="preserve">의 </t>
    </r>
    <r>
      <rPr>
        <sz val="10"/>
        <rFont val="Arial"/>
        <family val="0"/>
        <charset val="1"/>
      </rPr>
      <t xml:space="preserve">«Rien à signaler.» </t>
    </r>
    <r>
      <rPr>
        <sz val="10"/>
        <rFont val="WenQuanYi Zen Hei"/>
        <family val="2"/>
      </rPr>
      <t xml:space="preserve">보고로 마무리된다</t>
    </r>
    <r>
      <rPr>
        <sz val="10"/>
        <rFont val="Arial"/>
        <family val="0"/>
        <charset val="1"/>
      </rPr>
      <t xml:space="preserve">.</t>
    </r>
  </si>
  <si>
    <t xml:space="preserve">보호소송 판사(juge des contentieux de la protection), 유예 기간, 경찰 지원 거부와 국가 배상</t>
  </si>
  <si>
    <t xml:space="preserve">사건3 도입</t>
  </si>
  <si>
    <t xml:space="preserve">Le stagiaire de l'usine</t>
  </si>
  <si>
    <t xml:space="preserve">공장의 인턴</t>
  </si>
  <si>
    <r>
      <rPr>
        <sz val="10"/>
        <rFont val="Arial"/>
        <family val="0"/>
        <charset val="1"/>
      </rPr>
      <t xml:space="preserve">[</t>
    </r>
    <r>
      <rPr>
        <sz val="10"/>
        <rFont val="WenQuanYi Zen Hei"/>
        <family val="2"/>
      </rPr>
      <t xml:space="preserve">사건</t>
    </r>
    <r>
      <rPr>
        <sz val="10"/>
        <rFont val="Arial"/>
        <family val="0"/>
        <charset val="1"/>
      </rPr>
      <t xml:space="preserve">3 </t>
    </r>
    <r>
      <rPr>
        <sz val="10"/>
        <rFont val="WenQuanYi Zen Hei"/>
        <family val="2"/>
      </rPr>
      <t xml:space="preserve">도입</t>
    </r>
    <r>
      <rPr>
        <sz val="10"/>
        <rFont val="Arial"/>
        <family val="0"/>
        <charset val="1"/>
      </rPr>
      <t xml:space="preserve">] </t>
    </r>
    <r>
      <rPr>
        <sz val="10"/>
        <rFont val="WenQuanYi Zen Hei"/>
        <family val="2"/>
      </rPr>
      <t xml:space="preserve">임금 체불과 부당한 초과근무에 지친 청년 노동자 </t>
    </r>
    <r>
      <rPr>
        <sz val="10"/>
        <rFont val="Arial"/>
        <family val="0"/>
        <charset val="1"/>
      </rPr>
      <t xml:space="preserve">Théo(</t>
    </r>
    <r>
      <rPr>
        <sz val="10"/>
        <rFont val="WenQuanYi Zen Hei"/>
        <family val="2"/>
      </rPr>
      <t xml:space="preserve">가상</t>
    </r>
    <r>
      <rPr>
        <sz val="10"/>
        <rFont val="Arial"/>
        <family val="0"/>
        <charset val="1"/>
      </rPr>
      <t xml:space="preserve">)</t>
    </r>
    <r>
      <rPr>
        <sz val="10"/>
        <rFont val="WenQuanYi Zen Hei"/>
        <family val="2"/>
      </rPr>
      <t xml:space="preserve">가 찾아온다</t>
    </r>
    <r>
      <rPr>
        <sz val="10"/>
        <rFont val="Arial"/>
        <family val="0"/>
        <charset val="1"/>
      </rPr>
      <t xml:space="preserve">. Léa</t>
    </r>
    <r>
      <rPr>
        <sz val="10"/>
        <rFont val="WenQuanYi Zen Hei"/>
        <family val="2"/>
      </rPr>
      <t xml:space="preserve">가 컨설팅 용어로 상황을 분석하려 하고 </t>
    </r>
    <r>
      <rPr>
        <sz val="10"/>
        <rFont val="Arial"/>
        <family val="0"/>
        <charset val="1"/>
      </rPr>
      <t xml:space="preserve">Manon</t>
    </r>
    <r>
      <rPr>
        <sz val="10"/>
        <rFont val="WenQuanYi Zen Hei"/>
        <family val="2"/>
      </rPr>
      <t xml:space="preserve">이 통역하듯 애쓰지만 </t>
    </r>
    <r>
      <rPr>
        <sz val="10"/>
        <rFont val="Arial"/>
        <family val="0"/>
        <charset val="1"/>
      </rPr>
      <t xml:space="preserve">Théo</t>
    </r>
    <r>
      <rPr>
        <sz val="10"/>
        <rFont val="WenQuanYi Zen Hei"/>
        <family val="2"/>
      </rPr>
      <t xml:space="preserve">는 점점 지쳐 간다</t>
    </r>
    <r>
      <rPr>
        <sz val="10"/>
        <rFont val="Arial"/>
        <family val="0"/>
        <charset val="1"/>
      </rPr>
      <t xml:space="preserve">.</t>
    </r>
  </si>
  <si>
    <t xml:space="preserve">기간제 계약(CDD), 초과근무, 경영 용어의 벽</t>
  </si>
  <si>
    <r>
      <rPr>
        <sz val="10"/>
        <rFont val="Arial"/>
        <family val="0"/>
        <charset val="1"/>
      </rPr>
      <t xml:space="preserve">Léa, Manon, Julien, Monique, Théo(</t>
    </r>
    <r>
      <rPr>
        <sz val="10"/>
        <rFont val="WenQuanYi Zen Hei"/>
        <family val="2"/>
      </rPr>
      <t xml:space="preserve">가상</t>
    </r>
    <r>
      <rPr>
        <sz val="10"/>
        <rFont val="Arial"/>
        <family val="0"/>
        <charset val="1"/>
      </rPr>
      <t xml:space="preserve">)</t>
    </r>
  </si>
  <si>
    <t xml:space="preserve">사건3 해결(폭발)</t>
  </si>
  <si>
    <t xml:space="preserve">Ça suffit !</t>
  </si>
  <si>
    <t xml:space="preserve">그만!</t>
  </si>
  <si>
    <r>
      <rPr>
        <sz val="10"/>
        <rFont val="Arial"/>
        <family val="0"/>
        <charset val="1"/>
      </rPr>
      <t xml:space="preserve">[</t>
    </r>
    <r>
      <rPr>
        <sz val="10"/>
        <rFont val="WenQuanYi Zen Hei"/>
        <family val="2"/>
      </rPr>
      <t xml:space="preserve">사건</t>
    </r>
    <r>
      <rPr>
        <sz val="10"/>
        <rFont val="Arial"/>
        <family val="0"/>
        <charset val="1"/>
      </rPr>
      <t xml:space="preserve">3 </t>
    </r>
    <r>
      <rPr>
        <sz val="10"/>
        <rFont val="WenQuanYi Zen Hei"/>
        <family val="2"/>
      </rPr>
      <t xml:space="preserve">해결</t>
    </r>
    <r>
      <rPr>
        <sz val="10"/>
        <rFont val="Arial"/>
        <family val="0"/>
        <charset val="1"/>
      </rPr>
      <t xml:space="preserve">] </t>
    </r>
    <r>
      <rPr>
        <sz val="10"/>
        <rFont val="WenQuanYi Zen Hei"/>
        <family val="2"/>
      </rPr>
      <t xml:space="preserve">협상 자리에서 </t>
    </r>
    <r>
      <rPr>
        <sz val="10"/>
        <rFont val="Arial"/>
        <family val="0"/>
        <charset val="1"/>
      </rPr>
      <t xml:space="preserve">Léa</t>
    </r>
    <r>
      <rPr>
        <sz val="10"/>
        <rFont val="WenQuanYi Zen Hei"/>
        <family val="2"/>
      </rPr>
      <t xml:space="preserve">의 용어가 한 시간째 이어지자 </t>
    </r>
    <r>
      <rPr>
        <sz val="10"/>
        <rFont val="Arial"/>
        <family val="0"/>
        <charset val="1"/>
      </rPr>
      <t xml:space="preserve">Manon</t>
    </r>
    <r>
      <rPr>
        <sz val="10"/>
        <rFont val="WenQuanYi Zen Hei"/>
        <family val="2"/>
      </rPr>
      <t xml:space="preserve">이 폭발한다</t>
    </r>
    <r>
      <rPr>
        <sz val="10"/>
        <rFont val="Arial"/>
        <family val="0"/>
        <charset val="1"/>
      </rPr>
      <t xml:space="preserve">(1</t>
    </r>
    <r>
      <rPr>
        <sz val="10"/>
        <rFont val="WenQuanYi Zen Hei"/>
        <family val="2"/>
      </rPr>
      <t xml:space="preserve">차 폭발</t>
    </r>
    <r>
      <rPr>
        <sz val="10"/>
        <rFont val="Arial"/>
        <family val="0"/>
        <charset val="1"/>
      </rPr>
      <t xml:space="preserve">). Camille·Jeanne·Monique·Curie</t>
    </r>
    <r>
      <rPr>
        <sz val="10"/>
        <rFont val="WenQuanYi Zen Hei"/>
        <family val="2"/>
      </rPr>
      <t xml:space="preserve">의 고정 반응</t>
    </r>
    <r>
      <rPr>
        <sz val="10"/>
        <rFont val="Arial"/>
        <family val="0"/>
        <charset val="1"/>
      </rPr>
      <t xml:space="preserve">, Napoléon</t>
    </r>
    <r>
      <rPr>
        <sz val="10"/>
        <rFont val="WenQuanYi Zen Hei"/>
        <family val="2"/>
      </rPr>
      <t xml:space="preserve">의 </t>
    </r>
    <r>
      <rPr>
        <sz val="10"/>
        <rFont val="Arial"/>
        <family val="0"/>
        <charset val="1"/>
      </rPr>
      <t xml:space="preserve">«Bécasse… Demande.», Julien</t>
    </r>
    <r>
      <rPr>
        <sz val="10"/>
        <rFont val="WenQuanYi Zen Hei"/>
        <family val="2"/>
      </rPr>
      <t xml:space="preserve">의 </t>
    </r>
    <r>
      <rPr>
        <sz val="10"/>
        <rFont val="Arial"/>
        <family val="0"/>
        <charset val="1"/>
      </rPr>
      <t xml:space="preserve">«Je traduis.» </t>
    </r>
    <r>
      <rPr>
        <sz val="10"/>
        <rFont val="WenQuanYi Zen Hei"/>
        <family val="2"/>
      </rPr>
      <t xml:space="preserve">이후 쉬운 말로 다시 협상해 노동법원</t>
    </r>
    <r>
      <rPr>
        <sz val="10"/>
        <rFont val="Arial"/>
        <family val="0"/>
        <charset val="1"/>
      </rPr>
      <t xml:space="preserve">(prud'hommes)</t>
    </r>
    <r>
      <rPr>
        <sz val="10"/>
        <rFont val="WenQuanYi Zen Hei"/>
        <family val="2"/>
      </rPr>
      <t xml:space="preserve">에 가기 전에 밀린 임금 지급에 합의한다</t>
    </r>
    <r>
      <rPr>
        <sz val="10"/>
        <rFont val="Arial"/>
        <family val="0"/>
        <charset val="1"/>
      </rPr>
      <t xml:space="preserve">.</t>
    </r>
  </si>
  <si>
    <t xml:space="preserve">감정 표현, 전문 용어 → 쉬운 말, 임금 체불 합의(노동법원 전 화해)</t>
  </si>
  <si>
    <r>
      <rPr>
        <sz val="10"/>
        <rFont val="Arial"/>
        <family val="0"/>
        <charset val="1"/>
      </rPr>
      <t xml:space="preserve">Manon, Léa, Julien, Camille, Napoléon, Jeanne, Monique, Curie, Théo(</t>
    </r>
    <r>
      <rPr>
        <sz val="10"/>
        <rFont val="WenQuanYi Zen Hei"/>
        <family val="2"/>
      </rPr>
      <t xml:space="preserve">가상</t>
    </r>
    <r>
      <rPr>
        <sz val="10"/>
        <rFont val="Arial"/>
        <family val="0"/>
        <charset val="1"/>
      </rPr>
      <t xml:space="preserve">)</t>
    </r>
  </si>
  <si>
    <t xml:space="preserve">사건4 도입</t>
  </si>
  <si>
    <t xml:space="preserve">La petite qui a de la fièvre</t>
  </si>
  <si>
    <t xml:space="preserve">열이 나는 아이</t>
  </si>
  <si>
    <r>
      <rPr>
        <sz val="10"/>
        <rFont val="Arial"/>
        <family val="0"/>
        <charset val="1"/>
      </rPr>
      <t xml:space="preserve">[</t>
    </r>
    <r>
      <rPr>
        <sz val="10"/>
        <rFont val="WenQuanYi Zen Hei"/>
        <family val="2"/>
      </rPr>
      <t xml:space="preserve">사건</t>
    </r>
    <r>
      <rPr>
        <sz val="10"/>
        <rFont val="Arial"/>
        <family val="0"/>
        <charset val="1"/>
      </rPr>
      <t xml:space="preserve">4 </t>
    </r>
    <r>
      <rPr>
        <sz val="10"/>
        <rFont val="WenQuanYi Zen Hei"/>
        <family val="2"/>
      </rPr>
      <t xml:space="preserve">도입</t>
    </r>
    <r>
      <rPr>
        <sz val="10"/>
        <rFont val="Arial"/>
        <family val="0"/>
        <charset val="1"/>
      </rPr>
      <t xml:space="preserve">] </t>
    </r>
    <r>
      <rPr>
        <sz val="10"/>
        <rFont val="WenQuanYi Zen Hei"/>
        <family val="2"/>
      </rPr>
      <t xml:space="preserve">체류 서류가 없어 소아과 예약을 못 잡는 가족이 찾아온다</t>
    </r>
    <r>
      <rPr>
        <sz val="10"/>
        <rFont val="Arial"/>
        <family val="0"/>
        <charset val="1"/>
      </rPr>
      <t xml:space="preserve">. Camille</t>
    </r>
    <r>
      <rPr>
        <sz val="10"/>
        <rFont val="WenQuanYi Zen Hei"/>
        <family val="2"/>
      </rPr>
      <t xml:space="preserve">가 나서고 </t>
    </r>
    <r>
      <rPr>
        <sz val="10"/>
        <rFont val="Arial"/>
        <family val="0"/>
        <charset val="1"/>
      </rPr>
      <t xml:space="preserve">Sartre</t>
    </r>
    <r>
      <rPr>
        <sz val="10"/>
        <rFont val="WenQuanYi Zen Hei"/>
        <family val="2"/>
      </rPr>
      <t xml:space="preserve">가 카페에서 건너와 </t>
    </r>
    <r>
      <rPr>
        <sz val="10"/>
        <rFont val="Arial"/>
        <family val="0"/>
        <charset val="1"/>
      </rPr>
      <t xml:space="preserve">«Et toi, qu'est-ce que tu choisis ?»</t>
    </r>
    <r>
      <rPr>
        <sz val="10"/>
        <rFont val="WenQuanYi Zen Hei"/>
        <family val="2"/>
      </rPr>
      <t xml:space="preserve">를 처음 선보인다</t>
    </r>
    <r>
      <rPr>
        <sz val="10"/>
        <rFont val="Arial"/>
        <family val="0"/>
        <charset val="1"/>
      </rPr>
      <t xml:space="preserve">. </t>
    </r>
    <r>
      <rPr>
        <sz val="10"/>
        <rFont val="WenQuanYi Zen Hei"/>
        <family val="2"/>
      </rPr>
      <t xml:space="preserve">마침 들른 </t>
    </r>
    <r>
      <rPr>
        <sz val="10"/>
        <rFont val="Arial"/>
        <family val="0"/>
        <charset val="1"/>
      </rPr>
      <t xml:space="preserve">Hugo</t>
    </r>
    <r>
      <rPr>
        <sz val="10"/>
        <rFont val="WenQuanYi Zen Hei"/>
        <family val="2"/>
      </rPr>
      <t xml:space="preserve">는 </t>
    </r>
    <r>
      <rPr>
        <sz val="10"/>
        <rFont val="Arial"/>
        <family val="0"/>
        <charset val="1"/>
      </rPr>
      <t xml:space="preserve">Napoléon</t>
    </r>
    <r>
      <rPr>
        <sz val="10"/>
        <rFont val="WenQuanYi Zen Hei"/>
        <family val="2"/>
      </rPr>
      <t xml:space="preserve">에게 원고를 놀림받다 </t>
    </r>
    <r>
      <rPr>
        <sz val="10"/>
        <rFont val="Arial"/>
        <family val="0"/>
        <charset val="1"/>
      </rPr>
      <t xml:space="preserve">«Pas mal.»</t>
    </r>
    <r>
      <rPr>
        <sz val="10"/>
        <rFont val="WenQuanYi Zen Hei"/>
        <family val="2"/>
      </rPr>
      <t xml:space="preserve">이라는 최고의 칭찬을 듣는다</t>
    </r>
    <r>
      <rPr>
        <sz val="10"/>
        <rFont val="Arial"/>
        <family val="0"/>
        <charset val="1"/>
      </rPr>
      <t xml:space="preserve">. </t>
    </r>
    <r>
      <rPr>
        <sz val="10"/>
        <rFont val="WenQuanYi Zen Hei"/>
        <family val="2"/>
      </rPr>
      <t xml:space="preserve">정작 진짜 아픈 아이 앞에서 </t>
    </r>
    <r>
      <rPr>
        <sz val="10"/>
        <rFont val="Arial"/>
        <family val="0"/>
        <charset val="1"/>
      </rPr>
      <t xml:space="preserve">Napoléon</t>
    </r>
    <r>
      <rPr>
        <sz val="10"/>
        <rFont val="WenQuanYi Zen Hei"/>
        <family val="2"/>
      </rPr>
      <t xml:space="preserve">은 자기 무릎 타령을 멈춘다</t>
    </r>
    <r>
      <rPr>
        <sz val="10"/>
        <rFont val="Arial"/>
        <family val="0"/>
        <charset val="1"/>
      </rPr>
      <t xml:space="preserve">.</t>
    </r>
  </si>
  <si>
    <t xml:space="preserve">서류 없는 가족의 의료 접근(국가의료지원 AME, 모자보건센터 PMI), 증상 표현</t>
  </si>
  <si>
    <r>
      <rPr>
        <sz val="10"/>
        <rFont val="Arial"/>
        <family val="0"/>
        <charset val="1"/>
      </rPr>
      <t xml:space="preserve">Camille, Sartre, Napoléon, Hugo, Manon, Monique, </t>
    </r>
    <r>
      <rPr>
        <sz val="10"/>
        <rFont val="WenQuanYi Zen Hei"/>
        <family val="2"/>
      </rPr>
      <t xml:space="preserve">가족</t>
    </r>
    <r>
      <rPr>
        <sz val="10"/>
        <rFont val="Arial"/>
        <family val="0"/>
        <charset val="1"/>
      </rPr>
      <t xml:space="preserve">(</t>
    </r>
    <r>
      <rPr>
        <sz val="10"/>
        <rFont val="WenQuanYi Zen Hei"/>
        <family val="2"/>
      </rPr>
      <t xml:space="preserve">가상</t>
    </r>
    <r>
      <rPr>
        <sz val="10"/>
        <rFont val="Arial"/>
        <family val="0"/>
        <charset val="1"/>
      </rPr>
      <t xml:space="preserve">)</t>
    </r>
  </si>
  <si>
    <t xml:space="preserve">S2</t>
  </si>
  <si>
    <t xml:space="preserve">사건4 해결</t>
  </si>
  <si>
    <t xml:space="preserve">L'AME pour Amina</t>
  </si>
  <si>
    <r>
      <rPr>
        <sz val="10"/>
        <rFont val="Noto Sans CJK SC"/>
        <family val="2"/>
        <charset val="1"/>
      </rPr>
      <t xml:space="preserve">Amina</t>
    </r>
    <r>
      <rPr>
        <sz val="10"/>
        <rFont val="WenQuanYi Zen Hei"/>
        <family val="2"/>
      </rPr>
      <t xml:space="preserve">를 위한 </t>
    </r>
    <r>
      <rPr>
        <sz val="10"/>
        <rFont val="Noto Sans CJK SC"/>
        <family val="2"/>
        <charset val="1"/>
      </rPr>
      <t xml:space="preserve">AME</t>
    </r>
  </si>
  <si>
    <r>
      <rPr>
        <sz val="10"/>
        <rFont val="Arial"/>
        <family val="0"/>
        <charset val="1"/>
      </rPr>
      <t xml:space="preserve">[</t>
    </r>
    <r>
      <rPr>
        <sz val="10"/>
        <rFont val="WenQuanYi Zen Hei"/>
        <family val="2"/>
      </rPr>
      <t xml:space="preserve">사건</t>
    </r>
    <r>
      <rPr>
        <sz val="10"/>
        <rFont val="Arial"/>
        <family val="0"/>
        <charset val="1"/>
      </rPr>
      <t xml:space="preserve">4 </t>
    </r>
    <r>
      <rPr>
        <sz val="10"/>
        <rFont val="WenQuanYi Zen Hei"/>
        <family val="2"/>
      </rPr>
      <t xml:space="preserve">해결</t>
    </r>
    <r>
      <rPr>
        <sz val="10"/>
        <rFont val="Arial"/>
        <family val="0"/>
        <charset val="1"/>
      </rPr>
      <t xml:space="preserve">] Nicolas</t>
    </r>
    <r>
      <rPr>
        <sz val="10"/>
        <rFont val="WenQuanYi Zen Hei"/>
        <family val="2"/>
      </rPr>
      <t xml:space="preserve">와 </t>
    </r>
    <r>
      <rPr>
        <sz val="10"/>
        <rFont val="Arial"/>
        <family val="0"/>
        <charset val="1"/>
      </rPr>
      <t xml:space="preserve">Camille</t>
    </r>
    <r>
      <rPr>
        <sz val="10"/>
        <rFont val="WenQuanYi Zen Hei"/>
        <family val="2"/>
      </rPr>
      <t xml:space="preserve">가 행정 거주지 등록</t>
    </r>
    <r>
      <rPr>
        <sz val="10"/>
        <rFont val="Arial"/>
        <family val="0"/>
        <charset val="1"/>
      </rPr>
      <t xml:space="preserve">(domiciliation, CCAS) </t>
    </r>
    <r>
      <rPr>
        <sz val="10"/>
        <rFont val="WenQuanYi Zen Hei"/>
        <family val="2"/>
      </rPr>
      <t xml:space="preserve">경로를 찾아내고</t>
    </r>
    <r>
      <rPr>
        <sz val="10"/>
        <rFont val="Arial"/>
        <family val="0"/>
        <charset val="1"/>
      </rPr>
      <t xml:space="preserve">, </t>
    </r>
    <r>
      <rPr>
        <sz val="10"/>
        <rFont val="WenQuanYi Zen Hei"/>
        <family val="2"/>
      </rPr>
      <t xml:space="preserve">미성년자는 </t>
    </r>
    <r>
      <rPr>
        <sz val="10"/>
        <rFont val="Arial"/>
        <family val="0"/>
        <charset val="1"/>
      </rPr>
      <t xml:space="preserve">3</t>
    </r>
    <r>
      <rPr>
        <sz val="10"/>
        <rFont val="WenQuanYi Zen Hei"/>
        <family val="2"/>
      </rPr>
      <t xml:space="preserve">개월 거주 요건 없이 </t>
    </r>
    <r>
      <rPr>
        <sz val="10"/>
        <rFont val="Arial"/>
        <family val="0"/>
        <charset val="1"/>
      </rPr>
      <t xml:space="preserve">AME</t>
    </r>
    <r>
      <rPr>
        <sz val="10"/>
        <rFont val="WenQuanYi Zen Hei"/>
        <family val="2"/>
      </rPr>
      <t xml:space="preserve">를 받을 수 있음을 확인해 아이가 진료를 받는다</t>
    </r>
    <r>
      <rPr>
        <sz val="10"/>
        <rFont val="Arial"/>
        <family val="0"/>
        <charset val="1"/>
      </rPr>
      <t xml:space="preserve">. Napoléon</t>
    </r>
    <r>
      <rPr>
        <sz val="10"/>
        <rFont val="WenQuanYi Zen Hei"/>
        <family val="2"/>
      </rPr>
      <t xml:space="preserve">이 평소와 달리 조용히 커피를 마신다</t>
    </r>
    <r>
      <rPr>
        <sz val="10"/>
        <rFont val="Arial"/>
        <family val="0"/>
        <charset val="1"/>
      </rPr>
      <t xml:space="preserve">.</t>
    </r>
  </si>
  <si>
    <t xml:space="preserve">행정 거주지 등록(domiciliation), AME의 미성년자 특례, 진료 의뢰</t>
  </si>
  <si>
    <r>
      <rPr>
        <sz val="10"/>
        <rFont val="Arial"/>
        <family val="0"/>
        <charset val="1"/>
      </rPr>
      <t xml:space="preserve">Camille, Nicolas, Manon, Monique, </t>
    </r>
    <r>
      <rPr>
        <sz val="10"/>
        <rFont val="WenQuanYi Zen Hei"/>
        <family val="2"/>
      </rPr>
      <t xml:space="preserve">가족</t>
    </r>
    <r>
      <rPr>
        <sz val="10"/>
        <rFont val="Arial"/>
        <family val="0"/>
        <charset val="1"/>
      </rPr>
      <t xml:space="preserve">(</t>
    </r>
    <r>
      <rPr>
        <sz val="10"/>
        <rFont val="WenQuanYi Zen Hei"/>
        <family val="2"/>
      </rPr>
      <t xml:space="preserve">가상</t>
    </r>
    <r>
      <rPr>
        <sz val="10"/>
        <rFont val="Arial"/>
        <family val="0"/>
        <charset val="1"/>
      </rPr>
      <t xml:space="preserve">)</t>
    </r>
  </si>
  <si>
    <t xml:space="preserve">사건5 도입</t>
  </si>
  <si>
    <t xml:space="preserve">La veuve du cinquième</t>
  </si>
  <si>
    <r>
      <rPr>
        <sz val="10"/>
        <rFont val="Arial"/>
        <family val="0"/>
        <charset val="1"/>
      </rPr>
      <t xml:space="preserve">5</t>
    </r>
    <r>
      <rPr>
        <sz val="10"/>
        <rFont val="WenQuanYi Zen Hei"/>
        <family val="2"/>
      </rPr>
      <t xml:space="preserve">층의 미망인</t>
    </r>
  </si>
  <si>
    <r>
      <rPr>
        <sz val="10"/>
        <rFont val="Arial"/>
        <family val="0"/>
        <charset val="1"/>
      </rPr>
      <t xml:space="preserve">[</t>
    </r>
    <r>
      <rPr>
        <sz val="10"/>
        <rFont val="WenQuanYi Zen Hei"/>
        <family val="2"/>
      </rPr>
      <t xml:space="preserve">사건</t>
    </r>
    <r>
      <rPr>
        <sz val="10"/>
        <rFont val="Arial"/>
        <family val="0"/>
        <charset val="1"/>
      </rPr>
      <t xml:space="preserve">5 </t>
    </r>
    <r>
      <rPr>
        <sz val="10"/>
        <rFont val="WenQuanYi Zen Hei"/>
        <family val="2"/>
      </rPr>
      <t xml:space="preserve">도입</t>
    </r>
    <r>
      <rPr>
        <sz val="10"/>
        <rFont val="Arial"/>
        <family val="0"/>
        <charset val="1"/>
      </rPr>
      <t xml:space="preserve">] </t>
    </r>
    <r>
      <rPr>
        <sz val="10"/>
        <rFont val="WenQuanYi Zen Hei"/>
        <family val="2"/>
      </rPr>
      <t xml:space="preserve">가짜 적금 상품</t>
    </r>
    <r>
      <rPr>
        <sz val="10"/>
        <rFont val="Arial"/>
        <family val="0"/>
        <charset val="1"/>
      </rPr>
      <t xml:space="preserve">(faux livret)</t>
    </r>
    <r>
      <rPr>
        <sz val="10"/>
        <rFont val="WenQuanYi Zen Hei"/>
        <family val="2"/>
      </rPr>
      <t xml:space="preserve">에 저축을 잃은 노년의 이웃 </t>
    </r>
    <r>
      <rPr>
        <sz val="10"/>
        <rFont val="Arial"/>
        <family val="0"/>
        <charset val="1"/>
      </rPr>
      <t xml:space="preserve">Josette(</t>
    </r>
    <r>
      <rPr>
        <sz val="10"/>
        <rFont val="WenQuanYi Zen Hei"/>
        <family val="2"/>
      </rPr>
      <t xml:space="preserve">가상</t>
    </r>
    <r>
      <rPr>
        <sz val="10"/>
        <rFont val="Arial"/>
        <family val="0"/>
        <charset val="1"/>
      </rPr>
      <t xml:space="preserve">)</t>
    </r>
    <r>
      <rPr>
        <sz val="10"/>
        <rFont val="WenQuanYi Zen Hei"/>
        <family val="2"/>
      </rPr>
      <t xml:space="preserve">가 찾아온다</t>
    </r>
    <r>
      <rPr>
        <sz val="10"/>
        <rFont val="Arial"/>
        <family val="0"/>
        <charset val="1"/>
      </rPr>
      <t xml:space="preserve">. Julien</t>
    </r>
    <r>
      <rPr>
        <sz val="10"/>
        <rFont val="WenQuanYi Zen Hei"/>
        <family val="2"/>
      </rPr>
      <t xml:space="preserve">이 장부를 살피는 동안</t>
    </r>
    <r>
      <rPr>
        <sz val="10"/>
        <rFont val="Arial"/>
        <family val="0"/>
        <charset val="1"/>
      </rPr>
      <t xml:space="preserve">, </t>
    </r>
    <r>
      <rPr>
        <sz val="10"/>
        <rFont val="WenQuanYi Zen Hei"/>
        <family val="2"/>
      </rPr>
      <t xml:space="preserve">양복 입은 낯선 남자 </t>
    </r>
    <r>
      <rPr>
        <sz val="10"/>
        <rFont val="Arial"/>
        <family val="0"/>
        <charset val="1"/>
      </rPr>
      <t xml:space="preserve">Philippe</t>
    </r>
    <r>
      <rPr>
        <sz val="10"/>
        <rFont val="WenQuanYi Zen Hei"/>
        <family val="2"/>
      </rPr>
      <t xml:space="preserve">가 나타나 은행 쪽 흐름을 봐 주겠다고 하면서도 자기 이야기는 하지 않는다</t>
    </r>
    <r>
      <rPr>
        <sz val="10"/>
        <rFont val="Arial"/>
        <family val="0"/>
        <charset val="1"/>
      </rPr>
      <t xml:space="preserve">. Voltaire</t>
    </r>
    <r>
      <rPr>
        <sz val="10"/>
        <rFont val="WenQuanYi Zen Hei"/>
        <family val="2"/>
      </rPr>
      <t xml:space="preserve">가 냄새를 맡고 기웃거린다</t>
    </r>
    <r>
      <rPr>
        <sz val="10"/>
        <rFont val="Arial"/>
        <family val="0"/>
        <charset val="1"/>
      </rPr>
      <t xml:space="preserve">.</t>
    </r>
  </si>
  <si>
    <t xml:space="preserve">투자 사기(arnaque aux faux placements), 은행 계좌 기초 어휘</t>
  </si>
  <si>
    <r>
      <rPr>
        <sz val="10"/>
        <rFont val="Arial"/>
        <family val="0"/>
        <charset val="1"/>
      </rPr>
      <t xml:space="preserve">Julien, Philippe, Voltaire, Manon, Monique, Josette(</t>
    </r>
    <r>
      <rPr>
        <sz val="10"/>
        <rFont val="WenQuanYi Zen Hei"/>
        <family val="2"/>
      </rPr>
      <t xml:space="preserve">가상</t>
    </r>
    <r>
      <rPr>
        <sz val="10"/>
        <rFont val="Arial"/>
        <family val="0"/>
        <charset val="1"/>
      </rPr>
      <t xml:space="preserve">)</t>
    </r>
  </si>
  <si>
    <t xml:space="preserve">E3</t>
  </si>
  <si>
    <t xml:space="preserve">사건5 해결</t>
  </si>
  <si>
    <t xml:space="preserve">Suivez l'argent</t>
  </si>
  <si>
    <t xml:space="preserve">돈을 따라가라</t>
  </si>
  <si>
    <r>
      <rPr>
        <sz val="10"/>
        <rFont val="Arial"/>
        <family val="0"/>
        <charset val="1"/>
      </rPr>
      <t xml:space="preserve">[</t>
    </r>
    <r>
      <rPr>
        <sz val="10"/>
        <rFont val="WenQuanYi Zen Hei"/>
        <family val="2"/>
      </rPr>
      <t xml:space="preserve">사건</t>
    </r>
    <r>
      <rPr>
        <sz val="10"/>
        <rFont val="Arial"/>
        <family val="0"/>
        <charset val="1"/>
      </rPr>
      <t xml:space="preserve">5 </t>
    </r>
    <r>
      <rPr>
        <sz val="10"/>
        <rFont val="WenQuanYi Zen Hei"/>
        <family val="2"/>
      </rPr>
      <t xml:space="preserve">해결</t>
    </r>
    <r>
      <rPr>
        <sz val="10"/>
        <rFont val="Arial"/>
        <family val="0"/>
        <charset val="1"/>
      </rPr>
      <t xml:space="preserve">] Philippe</t>
    </r>
    <r>
      <rPr>
        <sz val="10"/>
        <rFont val="WenQuanYi Zen Hei"/>
        <family val="2"/>
      </rPr>
      <t xml:space="preserve">의 계좌 흐름 추적과 </t>
    </r>
    <r>
      <rPr>
        <sz val="10"/>
        <rFont val="Arial"/>
        <family val="0"/>
        <charset val="1"/>
      </rPr>
      <t xml:space="preserve">Julien</t>
    </r>
    <r>
      <rPr>
        <sz val="10"/>
        <rFont val="WenQuanYi Zen Hei"/>
        <family val="2"/>
      </rPr>
      <t xml:space="preserve">의 장부 대조로 사기 계좌를 찾아 은행에 이의 제기를 하고 돈 일부를 되찾는다</t>
    </r>
    <r>
      <rPr>
        <sz val="10"/>
        <rFont val="Arial"/>
        <family val="0"/>
        <charset val="1"/>
      </rPr>
      <t xml:space="preserve">. Philippe</t>
    </r>
    <r>
      <rPr>
        <sz val="10"/>
        <rFont val="WenQuanYi Zen Hei"/>
        <family val="2"/>
      </rPr>
      <t xml:space="preserve">는 설명 없이 떠나고</t>
    </r>
    <r>
      <rPr>
        <sz val="10"/>
        <rFont val="Arial"/>
        <family val="0"/>
        <charset val="1"/>
      </rPr>
      <t xml:space="preserve">, Julien</t>
    </r>
    <r>
      <rPr>
        <sz val="10"/>
        <rFont val="WenQuanYi Zen Hei"/>
        <family val="2"/>
      </rPr>
      <t xml:space="preserve">은 </t>
    </r>
    <r>
      <rPr>
        <sz val="10"/>
        <rFont val="Arial"/>
        <family val="0"/>
        <charset val="1"/>
      </rPr>
      <t xml:space="preserve">«Banque Atlantique»</t>
    </r>
    <r>
      <rPr>
        <sz val="10"/>
        <rFont val="WenQuanYi Zen Hei"/>
        <family val="2"/>
      </rPr>
      <t xml:space="preserve">라는 이름에 말없이 굳는다</t>
    </r>
    <r>
      <rPr>
        <sz val="10"/>
        <rFont val="Arial"/>
        <family val="0"/>
        <charset val="1"/>
      </rPr>
      <t xml:space="preserve">.</t>
    </r>
  </si>
  <si>
    <t xml:space="preserve">자금 흐름 추적, 무권한 송금 이의 제기, 계좌·송금 어휘</t>
  </si>
  <si>
    <r>
      <rPr>
        <sz val="10"/>
        <rFont val="Arial"/>
        <family val="0"/>
        <charset val="1"/>
      </rPr>
      <t xml:space="preserve">Julien, Philippe, Manon, Monique, Josette(</t>
    </r>
    <r>
      <rPr>
        <sz val="10"/>
        <rFont val="WenQuanYi Zen Hei"/>
        <family val="2"/>
      </rPr>
      <t xml:space="preserve">가상</t>
    </r>
    <r>
      <rPr>
        <sz val="10"/>
        <rFont val="Arial"/>
        <family val="0"/>
        <charset val="1"/>
      </rPr>
      <t xml:space="preserve">)</t>
    </r>
  </si>
  <si>
    <t xml:space="preserve">사건6 도입</t>
  </si>
  <si>
    <t xml:space="preserve">Un papier d'il y a des années</t>
  </si>
  <si>
    <t xml:space="preserve">수년 전 서류</t>
  </si>
  <si>
    <r>
      <rPr>
        <sz val="10"/>
        <rFont val="Arial"/>
        <family val="0"/>
        <charset val="1"/>
      </rPr>
      <t xml:space="preserve">[</t>
    </r>
    <r>
      <rPr>
        <sz val="10"/>
        <rFont val="WenQuanYi Zen Hei"/>
        <family val="2"/>
      </rPr>
      <t xml:space="preserve">사건</t>
    </r>
    <r>
      <rPr>
        <sz val="10"/>
        <rFont val="Arial"/>
        <family val="0"/>
        <charset val="1"/>
      </rPr>
      <t xml:space="preserve">6 </t>
    </r>
    <r>
      <rPr>
        <sz val="10"/>
        <rFont val="WenQuanYi Zen Hei"/>
        <family val="2"/>
      </rPr>
      <t xml:space="preserve">도입</t>
    </r>
    <r>
      <rPr>
        <sz val="10"/>
        <rFont val="Arial"/>
        <family val="0"/>
        <charset val="1"/>
      </rPr>
      <t xml:space="preserve">] Fatima</t>
    </r>
    <r>
      <rPr>
        <sz val="10"/>
        <rFont val="WenQuanYi Zen Hei"/>
        <family val="2"/>
      </rPr>
      <t xml:space="preserve">의 남편 </t>
    </r>
    <r>
      <rPr>
        <sz val="10"/>
        <rFont val="Arial"/>
        <family val="0"/>
        <charset val="1"/>
      </rPr>
      <t xml:space="preserve">Rachid</t>
    </r>
    <r>
      <rPr>
        <sz val="10"/>
        <rFont val="WenQuanYi Zen Hei"/>
        <family val="2"/>
      </rPr>
      <t xml:space="preserve">가 수십 년 전 다른 건물에서 받은 낡은 퇴거 서류를 들고 온다</t>
    </r>
    <r>
      <rPr>
        <sz val="10"/>
        <rFont val="Arial"/>
        <family val="0"/>
        <charset val="1"/>
      </rPr>
      <t xml:space="preserve">. </t>
    </r>
    <r>
      <rPr>
        <sz val="10"/>
        <rFont val="WenQuanYi Zen Hei"/>
        <family val="2"/>
      </rPr>
      <t xml:space="preserve">당장 급한 사안은 아니지만 오래된 절차 하자가 보인다</t>
    </r>
    <r>
      <rPr>
        <sz val="10"/>
        <rFont val="Arial"/>
        <family val="0"/>
        <charset val="1"/>
      </rPr>
      <t xml:space="preserve">. Voltaire</t>
    </r>
    <r>
      <rPr>
        <sz val="10"/>
        <rFont val="WenQuanYi Zen Hei"/>
        <family val="2"/>
      </rPr>
      <t xml:space="preserve">가 풍자 기사 각도로 흥미를 보인다</t>
    </r>
    <r>
      <rPr>
        <sz val="10"/>
        <rFont val="Arial"/>
        <family val="0"/>
        <charset val="1"/>
      </rPr>
      <t xml:space="preserve">.</t>
    </r>
  </si>
  <si>
    <t xml:space="preserve">오래된 서류 판독, 절차 하자</t>
  </si>
  <si>
    <r>
      <rPr>
        <sz val="10"/>
        <rFont val="Arial"/>
        <family val="0"/>
        <charset val="1"/>
      </rPr>
      <t xml:space="preserve">Nicolas, Voltaire, Manon, Monique, Rachid(</t>
    </r>
    <r>
      <rPr>
        <sz val="10"/>
        <rFont val="WenQuanYi Zen Hei"/>
        <family val="2"/>
      </rPr>
      <t xml:space="preserve">가상</t>
    </r>
    <r>
      <rPr>
        <sz val="10"/>
        <rFont val="Arial"/>
        <family val="0"/>
        <charset val="1"/>
      </rPr>
      <t xml:space="preserve">)</t>
    </r>
  </si>
  <si>
    <t xml:space="preserve">사건6 해결(훅)</t>
  </si>
  <si>
    <t xml:space="preserve">La Signature</t>
  </si>
  <si>
    <t xml:space="preserve">서명</t>
  </si>
  <si>
    <r>
      <rPr>
        <sz val="10"/>
        <rFont val="Arial"/>
        <family val="0"/>
        <charset val="1"/>
      </rPr>
      <t xml:space="preserve">[</t>
    </r>
    <r>
      <rPr>
        <sz val="10"/>
        <rFont val="WenQuanYi Zen Hei"/>
        <family val="2"/>
      </rPr>
      <t xml:space="preserve">사건</t>
    </r>
    <r>
      <rPr>
        <sz val="10"/>
        <rFont val="Arial"/>
        <family val="0"/>
        <charset val="1"/>
      </rPr>
      <t xml:space="preserve">6 </t>
    </r>
    <r>
      <rPr>
        <sz val="10"/>
        <rFont val="WenQuanYi Zen Hei"/>
        <family val="2"/>
      </rPr>
      <t xml:space="preserve">해결</t>
    </r>
    <r>
      <rPr>
        <sz val="10"/>
        <rFont val="Arial"/>
        <family val="0"/>
        <charset val="1"/>
      </rPr>
      <t xml:space="preserve">·</t>
    </r>
    <r>
      <rPr>
        <sz val="10"/>
        <rFont val="WenQuanYi Zen Hei"/>
        <family val="2"/>
      </rPr>
      <t xml:space="preserve">훅</t>
    </r>
    <r>
      <rPr>
        <sz val="10"/>
        <rFont val="Arial"/>
        <family val="0"/>
        <charset val="1"/>
      </rPr>
      <t xml:space="preserve">] </t>
    </r>
    <r>
      <rPr>
        <sz val="10"/>
        <rFont val="WenQuanYi Zen Hei"/>
        <family val="2"/>
      </rPr>
      <t xml:space="preserve">절차 하자를 바로잡아 오래된 기록을 정정하지만</t>
    </r>
    <r>
      <rPr>
        <sz val="10"/>
        <rFont val="Arial"/>
        <family val="0"/>
        <charset val="1"/>
      </rPr>
      <t xml:space="preserve">, </t>
    </r>
    <r>
      <rPr>
        <sz val="10"/>
        <rFont val="WenQuanYi Zen Hei"/>
        <family val="2"/>
      </rPr>
      <t xml:space="preserve">진짜 충격은 서류 맨 아래</t>
    </r>
    <r>
      <rPr>
        <sz val="10"/>
        <rFont val="Arial"/>
        <family val="0"/>
        <charset val="1"/>
      </rPr>
      <t xml:space="preserve">: Nicolas</t>
    </r>
    <r>
      <rPr>
        <sz val="10"/>
        <rFont val="WenQuanYi Zen Hei"/>
        <family val="2"/>
      </rPr>
      <t xml:space="preserve">의 옛 로펌 </t>
    </r>
    <r>
      <rPr>
        <sz val="10"/>
        <rFont val="Arial"/>
        <family val="0"/>
        <charset val="1"/>
      </rPr>
      <t xml:space="preserve">«Vasseur &amp; Delorme»</t>
    </r>
    <r>
      <rPr>
        <sz val="10"/>
        <rFont val="WenQuanYi Zen Hei"/>
        <family val="2"/>
      </rPr>
      <t xml:space="preserve">의 서명이다</t>
    </r>
    <r>
      <rPr>
        <sz val="10"/>
        <rFont val="Arial"/>
        <family val="0"/>
        <charset val="1"/>
      </rPr>
      <t xml:space="preserve">. Nicolas</t>
    </r>
    <r>
      <rPr>
        <sz val="10"/>
        <rFont val="WenQuanYi Zen Hei"/>
        <family val="2"/>
      </rPr>
      <t xml:space="preserve">가 얼어붙고 </t>
    </r>
    <r>
      <rPr>
        <sz val="10"/>
        <rFont val="Arial"/>
        <family val="0"/>
        <charset val="1"/>
      </rPr>
      <t xml:space="preserve">Monique</t>
    </r>
    <r>
      <rPr>
        <sz val="10"/>
        <rFont val="WenQuanYi Zen Hei"/>
        <family val="2"/>
      </rPr>
      <t xml:space="preserve">가 </t>
    </r>
    <r>
      <rPr>
        <sz val="10"/>
        <rFont val="Arial"/>
        <family val="0"/>
        <charset val="1"/>
      </rPr>
      <t xml:space="preserve">«Asseyez-vous, je vous apporte quelque chose.»</t>
    </r>
    <r>
      <rPr>
        <sz val="10"/>
        <rFont val="WenQuanYi Zen Hei"/>
        <family val="2"/>
      </rPr>
      <t xml:space="preserve">로 분위기를 잇는다</t>
    </r>
    <r>
      <rPr>
        <sz val="10"/>
        <rFont val="Arial"/>
        <family val="0"/>
        <charset val="1"/>
      </rPr>
      <t xml:space="preserve">. </t>
    </r>
    <r>
      <rPr>
        <sz val="10"/>
        <rFont val="WenQuanYi Zen Hei"/>
        <family val="2"/>
      </rPr>
      <t xml:space="preserve">금요일에는 </t>
    </r>
    <r>
      <rPr>
        <sz val="10"/>
        <rFont val="Arial"/>
        <family val="0"/>
        <charset val="1"/>
      </rPr>
      <t xml:space="preserve">Nicolas</t>
    </r>
    <r>
      <rPr>
        <sz val="10"/>
        <rFont val="WenQuanYi Zen Hei"/>
        <family val="2"/>
      </rPr>
      <t xml:space="preserve">의 이야기가 시작된다</t>
    </r>
    <r>
      <rPr>
        <sz val="10"/>
        <rFont val="Arial"/>
        <family val="0"/>
        <charset val="1"/>
      </rPr>
      <t xml:space="preserve">.</t>
    </r>
  </si>
  <si>
    <t xml:space="preserve">서명·기록 정정, 이름 확인</t>
  </si>
  <si>
    <r>
      <rPr>
        <sz val="10"/>
        <rFont val="Arial"/>
        <family val="0"/>
        <charset val="1"/>
      </rPr>
      <t xml:space="preserve">Nicolas, Monique, Manon, Napoléon, Rachid(</t>
    </r>
    <r>
      <rPr>
        <sz val="10"/>
        <rFont val="WenQuanYi Zen Hei"/>
        <family val="2"/>
      </rPr>
      <t xml:space="preserve">가상</t>
    </r>
    <r>
      <rPr>
        <sz val="10"/>
        <rFont val="Arial"/>
        <family val="0"/>
        <charset val="1"/>
      </rPr>
      <t xml:space="preserve">)</t>
    </r>
  </si>
  <si>
    <t xml:space="preserve">발단</t>
  </si>
  <si>
    <t xml:space="preserve">Les histoires du vendredi</t>
  </si>
  <si>
    <t xml:space="preserve">금요일의 이야기</t>
  </si>
  <si>
    <r>
      <rPr>
        <sz val="10"/>
        <rFont val="Arial"/>
        <family val="0"/>
        <charset val="1"/>
      </rPr>
      <t xml:space="preserve">(</t>
    </r>
    <r>
      <rPr>
        <sz val="10"/>
        <rFont val="WenQuanYi Zen Hei"/>
        <family val="2"/>
      </rPr>
      <t xml:space="preserve">프레임</t>
    </r>
    <r>
      <rPr>
        <sz val="10"/>
        <rFont val="Arial"/>
        <family val="0"/>
        <charset val="1"/>
      </rPr>
      <t xml:space="preserve">) Monique</t>
    </r>
    <r>
      <rPr>
        <sz val="10"/>
        <rFont val="WenQuanYi Zen Hei"/>
        <family val="2"/>
      </rPr>
      <t xml:space="preserve">의 식탁에서 금요일마다 한 사람이 과거를 이야기하는 규칙이 시작된다</t>
    </r>
    <r>
      <rPr>
        <sz val="10"/>
        <rFont val="Arial"/>
        <family val="0"/>
        <charset val="1"/>
      </rPr>
      <t xml:space="preserve">. Manon</t>
    </r>
    <r>
      <rPr>
        <sz val="10"/>
        <rFont val="WenQuanYi Zen Hei"/>
        <family val="2"/>
      </rPr>
      <t xml:space="preserve">이 </t>
    </r>
    <r>
      <rPr>
        <sz val="10"/>
        <rFont val="Arial"/>
        <family val="0"/>
        <charset val="1"/>
      </rPr>
      <t xml:space="preserve">Nicolas</t>
    </r>
    <r>
      <rPr>
        <sz val="10"/>
        <rFont val="WenQuanYi Zen Hei"/>
        <family val="2"/>
      </rPr>
      <t xml:space="preserve">에게 왜 로펌을 그만뒀느냐고 묻고 </t>
    </r>
    <r>
      <rPr>
        <sz val="10"/>
        <rFont val="Arial"/>
        <family val="0"/>
        <charset val="1"/>
      </rPr>
      <t xml:space="preserve">Nicolas</t>
    </r>
    <r>
      <rPr>
        <sz val="10"/>
        <rFont val="WenQuanYi Zen Hei"/>
        <family val="2"/>
      </rPr>
      <t xml:space="preserve">는 </t>
    </r>
    <r>
      <rPr>
        <sz val="10"/>
        <rFont val="Arial"/>
        <family val="0"/>
        <charset val="1"/>
      </rPr>
      <t xml:space="preserve">«Procédons dans l'ordre.»</t>
    </r>
    <r>
      <rPr>
        <sz val="10"/>
        <rFont val="WenQuanYi Zen Hei"/>
        <family val="2"/>
      </rPr>
      <t xml:space="preserve">로 시작한다</t>
    </r>
    <r>
      <rPr>
        <sz val="10"/>
        <rFont val="Arial"/>
        <family val="0"/>
        <charset val="1"/>
      </rPr>
      <t xml:space="preserve">.</t>
    </r>
  </si>
  <si>
    <t xml:space="preserve">존칭 vous와 tu의 대비, 과거 이야기 도입(passé composé·imparfait)</t>
  </si>
  <si>
    <t xml:space="preserve">Manon, Nicolas, Monique, Napoléon</t>
  </si>
  <si>
    <t xml:space="preserve">Un lundi avenue George-V</t>
  </si>
  <si>
    <t xml:space="preserve">조르주5세 거리의 월요일</t>
  </si>
  <si>
    <r>
      <rPr>
        <sz val="10"/>
        <rFont val="Arial"/>
        <family val="0"/>
        <charset val="1"/>
      </rPr>
      <t xml:space="preserve">(</t>
    </r>
    <r>
      <rPr>
        <sz val="10"/>
        <rFont val="WenQuanYi Zen Hei"/>
        <family val="2"/>
      </rPr>
      <t xml:space="preserve">과거</t>
    </r>
    <r>
      <rPr>
        <sz val="10"/>
        <rFont val="Arial"/>
        <family val="0"/>
        <charset val="1"/>
      </rPr>
      <t xml:space="preserve">) </t>
    </r>
    <r>
      <rPr>
        <sz val="10"/>
        <rFont val="WenQuanYi Zen Hei"/>
        <family val="2"/>
      </rPr>
      <t xml:space="preserve">승소율 </t>
    </r>
    <r>
      <rPr>
        <sz val="10"/>
        <rFont val="Arial"/>
        <family val="0"/>
        <charset val="1"/>
      </rPr>
      <t xml:space="preserve">100%</t>
    </r>
    <r>
      <rPr>
        <sz val="10"/>
        <rFont val="WenQuanYi Zen Hei"/>
        <family val="2"/>
      </rPr>
      <t xml:space="preserve">의 파트너 후보 </t>
    </r>
    <r>
      <rPr>
        <sz val="10"/>
        <rFont val="Arial"/>
        <family val="0"/>
        <charset val="1"/>
      </rPr>
      <t xml:space="preserve">Nicolas</t>
    </r>
    <r>
      <rPr>
        <sz val="10"/>
        <rFont val="WenQuanYi Zen Hei"/>
        <family val="2"/>
      </rPr>
      <t xml:space="preserve">의 하루</t>
    </r>
    <r>
      <rPr>
        <sz val="10"/>
        <rFont val="Arial"/>
        <family val="0"/>
        <charset val="1"/>
      </rPr>
      <t xml:space="preserve">. </t>
    </r>
    <r>
      <rPr>
        <sz val="10"/>
        <rFont val="WenQuanYi Zen Hei"/>
        <family val="2"/>
      </rPr>
      <t xml:space="preserve">새벽 편의점에서 영수증 뒷면에 시를 쓰는 야간 점원 </t>
    </r>
    <r>
      <rPr>
        <sz val="10"/>
        <rFont val="Arial"/>
        <family val="0"/>
        <charset val="1"/>
      </rPr>
      <t xml:space="preserve">Hugo</t>
    </r>
    <r>
      <rPr>
        <sz val="10"/>
        <rFont val="WenQuanYi Zen Hei"/>
        <family val="2"/>
      </rPr>
      <t xml:space="preserve">와 마주친다</t>
    </r>
    <r>
      <rPr>
        <sz val="10"/>
        <rFont val="Arial"/>
        <family val="0"/>
        <charset val="1"/>
      </rPr>
      <t xml:space="preserve">. </t>
    </r>
    <r>
      <rPr>
        <sz val="10"/>
        <rFont val="WenQuanYi Zen Hei"/>
        <family val="2"/>
      </rPr>
      <t xml:space="preserve">상사 </t>
    </r>
    <r>
      <rPr>
        <sz val="10"/>
        <rFont val="Arial"/>
        <family val="0"/>
        <charset val="1"/>
      </rPr>
      <t xml:space="preserve">Delorme(</t>
    </r>
    <r>
      <rPr>
        <sz val="10"/>
        <rFont val="WenQuanYi Zen Hei"/>
        <family val="2"/>
      </rPr>
      <t xml:space="preserve">가상</t>
    </r>
    <r>
      <rPr>
        <sz val="10"/>
        <rFont val="Arial"/>
        <family val="0"/>
        <charset val="1"/>
      </rPr>
      <t xml:space="preserve">)</t>
    </r>
    <r>
      <rPr>
        <sz val="10"/>
        <rFont val="WenQuanYi Zen Hei"/>
        <family val="2"/>
      </rPr>
      <t xml:space="preserve">이 파트너 승진을 암시한다</t>
    </r>
    <r>
      <rPr>
        <sz val="10"/>
        <rFont val="Arial"/>
        <family val="0"/>
        <charset val="1"/>
      </rPr>
      <t xml:space="preserve">.</t>
    </r>
  </si>
  <si>
    <t xml:space="preserve">로펌 어휘: associé, honoraires, portefeuille de clients</t>
  </si>
  <si>
    <r>
      <rPr>
        <sz val="10"/>
        <rFont val="Arial"/>
        <family val="0"/>
        <charset val="1"/>
      </rPr>
      <t xml:space="preserve">Nicolas, Hugo, Delorme(</t>
    </r>
    <r>
      <rPr>
        <sz val="10"/>
        <rFont val="WenQuanYi Zen Hei"/>
        <family val="2"/>
      </rPr>
      <t xml:space="preserve">가상</t>
    </r>
    <r>
      <rPr>
        <sz val="10"/>
        <rFont val="Arial"/>
        <family val="0"/>
        <charset val="1"/>
      </rPr>
      <t xml:space="preserve">)</t>
    </r>
  </si>
  <si>
    <t xml:space="preserve">Le client vedette</t>
  </si>
  <si>
    <r>
      <rPr>
        <sz val="10"/>
        <rFont val="Arial"/>
        <family val="0"/>
        <charset val="1"/>
      </rPr>
      <t xml:space="preserve">VIP </t>
    </r>
    <r>
      <rPr>
        <sz val="10"/>
        <rFont val="WenQuanYi Zen Hei"/>
        <family val="2"/>
      </rPr>
      <t xml:space="preserve">고객</t>
    </r>
  </si>
  <si>
    <t xml:space="preserve">대형 고객 Groupe Méridien의 회장 Verdier(가상)를 소개받는다. 회의석에는 고객 측 컨설턴트 Léa와 매각 은행 지점장 Philippe가 있다.</t>
  </si>
  <si>
    <t xml:space="preserve">인수합병 어휘: acquisition, portefeuille, clause</t>
  </si>
  <si>
    <r>
      <rPr>
        <sz val="10"/>
        <rFont val="Arial"/>
        <family val="0"/>
        <charset val="1"/>
      </rPr>
      <t xml:space="preserve">Nicolas, Léa, Philippe, Verdier(</t>
    </r>
    <r>
      <rPr>
        <sz val="10"/>
        <rFont val="WenQuanYi Zen Hei"/>
        <family val="2"/>
      </rPr>
      <t xml:space="preserve">가상</t>
    </r>
    <r>
      <rPr>
        <sz val="10"/>
        <rFont val="Arial"/>
        <family val="0"/>
        <charset val="1"/>
      </rPr>
      <t xml:space="preserve">)</t>
    </r>
  </si>
  <si>
    <t xml:space="preserve">전개</t>
  </si>
  <si>
    <t xml:space="preserve">Le portefeuille de Belleville</t>
  </si>
  <si>
    <t xml:space="preserve">벨빌 자산 포트폴리오</t>
  </si>
  <si>
    <t xml:space="preserve">실사(due diligence). 포트폴리오에 Belleville 건물 12채가 들어 있다. 감사인 Julien이 «Ça ne colle pas.»를 흘리고, 센 강변 헌책방(bouquinistes)에서 부동산 등기 자료를 찾던 Nicolas에게 Curie가 «Cherche toi-même.»</t>
  </si>
  <si>
    <t xml:space="preserve">실사, 부동산 공시(service de la publicité foncière), 임차인 명부</t>
  </si>
  <si>
    <t xml:space="preserve">Nicolas, Julien, Curie</t>
  </si>
  <si>
    <t xml:space="preserve">Vendredi : la rue de Monique</t>
  </si>
  <si>
    <t xml:space="preserve">금요일: Monique의 거리</t>
  </si>
  <si>
    <r>
      <rPr>
        <sz val="10"/>
        <rFont val="Arial"/>
        <family val="0"/>
        <charset val="1"/>
      </rPr>
      <t xml:space="preserve">(</t>
    </r>
    <r>
      <rPr>
        <sz val="10"/>
        <rFont val="WenQuanYi Zen Hei"/>
        <family val="2"/>
      </rPr>
      <t xml:space="preserve">프레임</t>
    </r>
    <r>
      <rPr>
        <sz val="10"/>
        <rFont val="Arial"/>
        <family val="0"/>
        <charset val="1"/>
      </rPr>
      <t xml:space="preserve">) </t>
    </r>
    <r>
      <rPr>
        <sz val="10"/>
        <rFont val="WenQuanYi Zen Hei"/>
        <family val="2"/>
      </rPr>
      <t xml:space="preserve">그 포트폴리오에 </t>
    </r>
    <r>
      <rPr>
        <sz val="10"/>
        <rFont val="Arial"/>
        <family val="0"/>
        <charset val="1"/>
      </rPr>
      <t xml:space="preserve">Monique</t>
    </r>
    <r>
      <rPr>
        <sz val="10"/>
        <rFont val="WenQuanYi Zen Hei"/>
        <family val="2"/>
      </rPr>
      <t xml:space="preserve">의 가게가 있던 건물이 들어 있었음이 밝혀진다</t>
    </r>
    <r>
      <rPr>
        <sz val="10"/>
        <rFont val="Arial"/>
        <family val="0"/>
        <charset val="1"/>
      </rPr>
      <t xml:space="preserve">. Manon</t>
    </r>
    <r>
      <rPr>
        <sz val="10"/>
        <rFont val="WenQuanYi Zen Hei"/>
        <family val="2"/>
      </rPr>
      <t xml:space="preserve">은 놀라 </t>
    </r>
    <r>
      <rPr>
        <sz val="10"/>
        <rFont val="Arial"/>
        <family val="0"/>
        <charset val="1"/>
      </rPr>
      <t xml:space="preserve">vous</t>
    </r>
    <r>
      <rPr>
        <sz val="10"/>
        <rFont val="WenQuanYi Zen Hei"/>
        <family val="2"/>
      </rPr>
      <t xml:space="preserve">를 놓치고 </t>
    </r>
    <r>
      <rPr>
        <sz val="10"/>
        <rFont val="Arial"/>
        <family val="0"/>
        <charset val="1"/>
      </rPr>
      <t xml:space="preserve">Nicolas</t>
    </r>
    <r>
      <rPr>
        <sz val="10"/>
        <rFont val="WenQuanYi Zen Hei"/>
        <family val="2"/>
      </rPr>
      <t xml:space="preserve">는 잠시 침묵한다</t>
    </r>
    <r>
      <rPr>
        <sz val="10"/>
        <rFont val="Arial"/>
        <family val="0"/>
        <charset val="1"/>
      </rPr>
      <t xml:space="preserve">.</t>
    </r>
  </si>
  <si>
    <t xml:space="preserve">감정 표현, 놀람</t>
  </si>
  <si>
    <t xml:space="preserve">Monique, Nicolas, Manon</t>
  </si>
  <si>
    <t xml:space="preserve">미드포인트</t>
  </si>
  <si>
    <t xml:space="preserve">La Clause</t>
  </si>
  <si>
    <t xml:space="preserve">조항</t>
  </si>
  <si>
    <t xml:space="preserve">임차인을 비우는 가장 '깨끗한' 방법으로 Nicolas가 '대규모 에너지 리노베이션'을 '정당하고 중대한 사유(motif légitime et sérieux)'로 삼는 해지 조항을 설계한다. Léa의 재무 모델이 이를 뒷받침한다.</t>
  </si>
  <si>
    <t xml:space="preserve">임대인의 해지 통지(congé), 정당하고 중대한 사유, 에너지 성능 진단(DPE)</t>
  </si>
  <si>
    <r>
      <rPr>
        <sz val="10"/>
        <rFont val="Arial"/>
        <family val="0"/>
        <charset val="1"/>
      </rPr>
      <t xml:space="preserve">Nicolas, Léa, Delorme(</t>
    </r>
    <r>
      <rPr>
        <sz val="10"/>
        <rFont val="WenQuanYi Zen Hei"/>
        <family val="2"/>
      </rPr>
      <t xml:space="preserve">가상</t>
    </r>
    <r>
      <rPr>
        <sz val="10"/>
        <rFont val="Arial"/>
        <family val="0"/>
        <charset val="1"/>
      </rPr>
      <t xml:space="preserve">)</t>
    </r>
  </si>
  <si>
    <t xml:space="preserve">위기</t>
  </si>
  <si>
    <t xml:space="preserve">L'assemblée des locataires</t>
  </si>
  <si>
    <t xml:space="preserve">세입자 총회</t>
  </si>
  <si>
    <t xml:space="preserve">세입자들이 총회를 연다. 버스 노조 출신 Karim이 이끌고, 응급실 의사 Camille가 공황을 일으킨 노인을 돌본다. Nicolas는 78세 Madeleine(가상)을 만난다.</t>
  </si>
  <si>
    <t xml:space="preserve">총회·발언·동의, 항의 표현</t>
  </si>
  <si>
    <r>
      <rPr>
        <sz val="10"/>
        <rFont val="Arial"/>
        <family val="0"/>
        <charset val="1"/>
      </rPr>
      <t xml:space="preserve">Nicolas, Karim, Camille, Madeleine(</t>
    </r>
    <r>
      <rPr>
        <sz val="10"/>
        <rFont val="WenQuanYi Zen Hei"/>
        <family val="2"/>
      </rPr>
      <t xml:space="preserve">가상</t>
    </r>
    <r>
      <rPr>
        <sz val="10"/>
        <rFont val="Arial"/>
        <family val="0"/>
        <charset val="1"/>
      </rPr>
      <t xml:space="preserve">)</t>
    </r>
  </si>
  <si>
    <t xml:space="preserve">Le Procès</t>
  </si>
  <si>
    <t xml:space="preserve">재판</t>
  </si>
  <si>
    <t xml:space="preserve">심리(audience)와 판결. Nicolas가 승소한다. 풍자 칼럼을 쓰던 Voltaire가 «Vous êtes fier ?»라고 묻는다. 감사인 Julien은 고객의 장부를 보고 고개를 젓는다.</t>
  </si>
  <si>
    <t xml:space="preserve">소송: assignation, audience, jugement, dépens</t>
  </si>
  <si>
    <r>
      <rPr>
        <sz val="10"/>
        <rFont val="Arial"/>
        <family val="0"/>
        <charset val="1"/>
      </rPr>
      <t xml:space="preserve">Nicolas, Voltaire, Julien, </t>
    </r>
    <r>
      <rPr>
        <sz val="10"/>
        <rFont val="WenQuanYi Zen Hei"/>
        <family val="2"/>
      </rPr>
      <t xml:space="preserve">판사</t>
    </r>
    <r>
      <rPr>
        <sz val="10"/>
        <rFont val="Arial"/>
        <family val="0"/>
        <charset val="1"/>
      </rPr>
      <t xml:space="preserve">(</t>
    </r>
    <r>
      <rPr>
        <sz val="10"/>
        <rFont val="WenQuanYi Zen Hei"/>
        <family val="2"/>
      </rPr>
      <t xml:space="preserve">가상</t>
    </r>
    <r>
      <rPr>
        <sz val="10"/>
        <rFont val="Arial"/>
        <family val="0"/>
        <charset val="1"/>
      </rPr>
      <t xml:space="preserve">)</t>
    </r>
  </si>
  <si>
    <t xml:space="preserve">E1·P3</t>
  </si>
  <si>
    <t xml:space="preserve">Vendredi : continue</t>
  </si>
  <si>
    <t xml:space="preserve">금요일: 계속해</t>
  </si>
  <si>
    <r>
      <rPr>
        <sz val="10"/>
        <rFont val="Arial"/>
        <family val="0"/>
        <charset val="1"/>
      </rPr>
      <t xml:space="preserve">(</t>
    </r>
    <r>
      <rPr>
        <sz val="10"/>
        <rFont val="WenQuanYi Zen Hei"/>
        <family val="2"/>
      </rPr>
      <t xml:space="preserve">프레임</t>
    </r>
    <r>
      <rPr>
        <sz val="10"/>
        <rFont val="Arial"/>
        <family val="0"/>
        <charset val="1"/>
      </rPr>
      <t xml:space="preserve">) Nicolas</t>
    </r>
    <r>
      <rPr>
        <sz val="10"/>
        <rFont val="WenQuanYi Zen Hei"/>
        <family val="2"/>
      </rPr>
      <t xml:space="preserve">가 말을 잇지 못하자 </t>
    </r>
    <r>
      <rPr>
        <sz val="10"/>
        <rFont val="Arial"/>
        <family val="0"/>
        <charset val="1"/>
      </rPr>
      <t xml:space="preserve">Napoléon</t>
    </r>
    <r>
      <rPr>
        <sz val="10"/>
        <rFont val="WenQuanYi Zen Hei"/>
        <family val="2"/>
      </rPr>
      <t xml:space="preserve">이 </t>
    </r>
    <r>
      <rPr>
        <sz val="10"/>
        <rFont val="Arial"/>
        <family val="0"/>
        <charset val="1"/>
      </rPr>
      <t xml:space="preserve">«Quand j'étais empereur…»</t>
    </r>
    <r>
      <rPr>
        <sz val="10"/>
        <rFont val="WenQuanYi Zen Hei"/>
        <family val="2"/>
      </rPr>
      <t xml:space="preserve">로 시간을 벌어 주고 </t>
    </r>
    <r>
      <rPr>
        <sz val="10"/>
        <rFont val="Arial"/>
        <family val="0"/>
        <charset val="1"/>
      </rPr>
      <t xml:space="preserve">Monique</t>
    </r>
    <r>
      <rPr>
        <sz val="10"/>
        <rFont val="WenQuanYi Zen Hei"/>
        <family val="2"/>
      </rPr>
      <t xml:space="preserve">가 </t>
    </r>
    <r>
      <rPr>
        <sz val="10"/>
        <rFont val="Arial"/>
        <family val="0"/>
        <charset val="1"/>
      </rPr>
      <t xml:space="preserve">«Continue.»</t>
    </r>
    <r>
      <rPr>
        <sz val="10"/>
        <rFont val="WenQuanYi Zen Hei"/>
        <family val="2"/>
      </rPr>
      <t xml:space="preserve">라고 한다</t>
    </r>
    <r>
      <rPr>
        <sz val="10"/>
        <rFont val="Arial"/>
        <family val="0"/>
        <charset val="1"/>
      </rPr>
      <t xml:space="preserve">. Manon</t>
    </r>
    <r>
      <rPr>
        <sz val="10"/>
        <rFont val="WenQuanYi Zen Hei"/>
        <family val="2"/>
      </rPr>
      <t xml:space="preserve">은 </t>
    </r>
    <r>
      <rPr>
        <sz val="10"/>
        <rFont val="Arial"/>
        <family val="0"/>
        <charset val="1"/>
      </rPr>
      <t xml:space="preserve">«Et elle ?»</t>
    </r>
    <r>
      <rPr>
        <sz val="10"/>
        <rFont val="WenQuanYi Zen Hei"/>
        <family val="2"/>
      </rPr>
      <t xml:space="preserve">라고 묻는다</t>
    </r>
    <r>
      <rPr>
        <sz val="10"/>
        <rFont val="Arial"/>
        <family val="0"/>
        <charset val="1"/>
      </rPr>
      <t xml:space="preserve">.</t>
    </r>
  </si>
  <si>
    <t xml:space="preserve">위로·재촉 표현</t>
  </si>
  <si>
    <t xml:space="preserve">Nicolas, Napoléon, Monique, Manon</t>
  </si>
  <si>
    <t xml:space="preserve">절정</t>
  </si>
  <si>
    <t xml:space="preserve">Un dîner dans le 16e</t>
  </si>
  <si>
    <r>
      <rPr>
        <sz val="10"/>
        <rFont val="Noto Sans CJK SC"/>
        <family val="2"/>
        <charset val="1"/>
      </rPr>
      <t xml:space="preserve">16</t>
    </r>
    <r>
      <rPr>
        <sz val="10"/>
        <rFont val="WenQuanYi Zen Hei"/>
        <family val="2"/>
      </rPr>
      <t xml:space="preserve">구의 저녁</t>
    </r>
  </si>
  <si>
    <t xml:space="preserve">승소 축하 만찬. 파트너들이 건배하는 동안 Verdier가 다음 포트폴리오를 건넨다. Nicolas의 휴대전화가 울린다.</t>
  </si>
  <si>
    <t xml:space="preserve">고급 식당 표현, 건배·축하</t>
  </si>
  <si>
    <r>
      <rPr>
        <sz val="10"/>
        <rFont val="Arial"/>
        <family val="0"/>
        <charset val="1"/>
      </rPr>
      <t xml:space="preserve">Nicolas, Delorme(</t>
    </r>
    <r>
      <rPr>
        <sz val="10"/>
        <rFont val="WenQuanYi Zen Hei"/>
        <family val="2"/>
      </rPr>
      <t xml:space="preserve">가상</t>
    </r>
    <r>
      <rPr>
        <sz val="10"/>
        <rFont val="Arial"/>
        <family val="0"/>
        <charset val="1"/>
      </rPr>
      <t xml:space="preserve">), Verdier(</t>
    </r>
    <r>
      <rPr>
        <sz val="10"/>
        <rFont val="WenQuanYi Zen Hei"/>
        <family val="2"/>
      </rPr>
      <t xml:space="preserve">가상</t>
    </r>
    <r>
      <rPr>
        <sz val="10"/>
        <rFont val="Arial"/>
        <family val="0"/>
        <charset val="1"/>
      </rPr>
      <t xml:space="preserve">), Julien</t>
    </r>
  </si>
  <si>
    <t xml:space="preserve">La petite-fille de Madeleine</t>
  </si>
  <si>
    <r>
      <rPr>
        <sz val="10"/>
        <rFont val="Arial"/>
        <family val="0"/>
        <charset val="1"/>
      </rPr>
      <t xml:space="preserve">Madeleine</t>
    </r>
    <r>
      <rPr>
        <sz val="10"/>
        <rFont val="WenQuanYi Zen Hei"/>
        <family val="2"/>
      </rPr>
      <t xml:space="preserve">의 손녀</t>
    </r>
  </si>
  <si>
    <r>
      <rPr>
        <sz val="10"/>
        <rFont val="Arial"/>
        <family val="0"/>
        <charset val="1"/>
      </rPr>
      <t xml:space="preserve">Madeleine</t>
    </r>
    <r>
      <rPr>
        <sz val="10"/>
        <rFont val="WenQuanYi Zen Hei"/>
        <family val="2"/>
      </rPr>
      <t xml:space="preserve">이 퇴거 석 달 뒤 세상을 떠났다는 소식</t>
    </r>
    <r>
      <rPr>
        <sz val="10"/>
        <rFont val="Arial"/>
        <family val="0"/>
        <charset val="1"/>
      </rPr>
      <t xml:space="preserve">. </t>
    </r>
    <r>
      <rPr>
        <sz val="10"/>
        <rFont val="WenQuanYi Zen Hei"/>
        <family val="2"/>
      </rPr>
      <t xml:space="preserve">손녀 </t>
    </r>
    <r>
      <rPr>
        <sz val="10"/>
        <rFont val="Arial"/>
        <family val="0"/>
        <charset val="1"/>
      </rPr>
      <t xml:space="preserve">Chloé(</t>
    </r>
    <r>
      <rPr>
        <sz val="10"/>
        <rFont val="WenQuanYi Zen Hei"/>
        <family val="2"/>
      </rPr>
      <t xml:space="preserve">가상</t>
    </r>
    <r>
      <rPr>
        <sz val="10"/>
        <rFont val="Arial"/>
        <family val="0"/>
        <charset val="1"/>
      </rPr>
      <t xml:space="preserve">)</t>
    </r>
    <r>
      <rPr>
        <sz val="10"/>
        <rFont val="WenQuanYi Zen Hei"/>
        <family val="2"/>
      </rPr>
      <t xml:space="preserve">가 사무실로 찾아와 조용히 묻는다</t>
    </r>
    <r>
      <rPr>
        <sz val="10"/>
        <rFont val="Arial"/>
        <family val="0"/>
        <charset val="1"/>
      </rPr>
      <t xml:space="preserve">: «Vous avez gagné ?»</t>
    </r>
  </si>
  <si>
    <t xml:space="preserve">조의·항의, 문서 vs 사람</t>
  </si>
  <si>
    <r>
      <rPr>
        <sz val="10"/>
        <rFont val="Arial"/>
        <family val="0"/>
        <charset val="1"/>
      </rPr>
      <t xml:space="preserve">Nicolas, Chloé(</t>
    </r>
    <r>
      <rPr>
        <sz val="10"/>
        <rFont val="WenQuanYi Zen Hei"/>
        <family val="2"/>
      </rPr>
      <t xml:space="preserve">가상</t>
    </r>
    <r>
      <rPr>
        <sz val="10"/>
        <rFont val="Arial"/>
        <family val="0"/>
        <charset val="1"/>
      </rPr>
      <t xml:space="preserve">)</t>
    </r>
  </si>
  <si>
    <t xml:space="preserve">결말·훅</t>
  </si>
  <si>
    <t xml:space="preserve">Vendredi : la démission</t>
  </si>
  <si>
    <t xml:space="preserve">금요일: 사직</t>
  </si>
  <si>
    <r>
      <rPr>
        <sz val="10"/>
        <rFont val="Arial"/>
        <family val="0"/>
        <charset val="1"/>
      </rPr>
      <t xml:space="preserve">(</t>
    </r>
    <r>
      <rPr>
        <sz val="10"/>
        <rFont val="WenQuanYi Zen Hei"/>
        <family val="2"/>
      </rPr>
      <t xml:space="preserve">프레임</t>
    </r>
    <r>
      <rPr>
        <sz val="10"/>
        <rFont val="Arial"/>
        <family val="0"/>
        <charset val="1"/>
      </rPr>
      <t xml:space="preserve">+</t>
    </r>
    <r>
      <rPr>
        <sz val="10"/>
        <rFont val="WenQuanYi Zen Hei"/>
        <family val="2"/>
      </rPr>
      <t xml:space="preserve">과거</t>
    </r>
    <r>
      <rPr>
        <sz val="10"/>
        <rFont val="Arial"/>
        <family val="0"/>
        <charset val="1"/>
      </rPr>
      <t xml:space="preserve">) Nicolas</t>
    </r>
    <r>
      <rPr>
        <sz val="10"/>
        <rFont val="WenQuanYi Zen Hei"/>
        <family val="2"/>
      </rPr>
      <t xml:space="preserve">가 다음 포트폴리오 서명을 거부하고 사직서를 낸다</t>
    </r>
    <r>
      <rPr>
        <sz val="10"/>
        <rFont val="Arial"/>
        <family val="0"/>
        <charset val="1"/>
      </rPr>
      <t xml:space="preserve">. </t>
    </r>
    <r>
      <rPr>
        <sz val="10"/>
        <rFont val="WenQuanYi Zen Hei"/>
        <family val="2"/>
      </rPr>
      <t xml:space="preserve">짐 상자를 든 채 응급실 대기실에서 쓰러지고 </t>
    </r>
    <r>
      <rPr>
        <sz val="10"/>
        <rFont val="Arial"/>
        <family val="0"/>
        <charset val="1"/>
      </rPr>
      <t xml:space="preserve">Camille</t>
    </r>
    <r>
      <rPr>
        <sz val="10"/>
        <rFont val="WenQuanYi Zen Hei"/>
        <family val="2"/>
      </rPr>
      <t xml:space="preserve">가 그를 진료한다</t>
    </r>
    <r>
      <rPr>
        <sz val="10"/>
        <rFont val="Arial"/>
        <family val="0"/>
        <charset val="1"/>
      </rPr>
      <t xml:space="preserve">. Manon</t>
    </r>
    <r>
      <rPr>
        <sz val="10"/>
        <rFont val="WenQuanYi Zen Hei"/>
        <family val="2"/>
      </rPr>
      <t xml:space="preserve">은 여전히 </t>
    </r>
    <r>
      <rPr>
        <sz val="10"/>
        <rFont val="Arial"/>
        <family val="0"/>
        <charset val="1"/>
      </rPr>
      <t xml:space="preserve">vous</t>
    </r>
    <r>
      <rPr>
        <sz val="10"/>
        <rFont val="WenQuanYi Zen Hei"/>
        <family val="2"/>
      </rPr>
      <t xml:space="preserve">를 쓴다</t>
    </r>
    <r>
      <rPr>
        <sz val="10"/>
        <rFont val="Arial"/>
        <family val="0"/>
        <charset val="1"/>
      </rPr>
      <t xml:space="preserve">.</t>
    </r>
  </si>
  <si>
    <t xml:space="preserve">사직·거절 표현, 접속법(subjonctif)</t>
  </si>
  <si>
    <t xml:space="preserve">Nicolas, Camille, Manon, Monique</t>
  </si>
  <si>
    <t xml:space="preserve">Vendredi : les noms</t>
  </si>
  <si>
    <t xml:space="preserve">금요일: 이름들</t>
  </si>
  <si>
    <r>
      <rPr>
        <sz val="10"/>
        <rFont val="Arial"/>
        <family val="0"/>
        <charset val="1"/>
      </rPr>
      <t xml:space="preserve">(</t>
    </r>
    <r>
      <rPr>
        <sz val="10"/>
        <rFont val="WenQuanYi Zen Hei"/>
        <family val="2"/>
      </rPr>
      <t xml:space="preserve">프레임</t>
    </r>
    <r>
      <rPr>
        <sz val="10"/>
        <rFont val="Arial"/>
        <family val="0"/>
        <charset val="1"/>
      </rPr>
      <t xml:space="preserve">) Camille</t>
    </r>
    <r>
      <rPr>
        <sz val="10"/>
        <rFont val="WenQuanYi Zen Hei"/>
        <family val="2"/>
      </rPr>
      <t xml:space="preserve">가 </t>
    </r>
    <r>
      <rPr>
        <sz val="10"/>
        <rFont val="Arial"/>
        <family val="0"/>
        <charset val="1"/>
      </rPr>
      <t xml:space="preserve">«Ce n'est pas une statistique, c'est une personne.»</t>
    </r>
    <r>
      <rPr>
        <sz val="10"/>
        <rFont val="WenQuanYi Zen Hei"/>
        <family val="2"/>
      </rPr>
      <t xml:space="preserve">라며 이야기를 시작한다</t>
    </r>
    <r>
      <rPr>
        <sz val="10"/>
        <rFont val="Arial"/>
        <family val="0"/>
        <charset val="1"/>
      </rPr>
      <t xml:space="preserve">. Napoléon</t>
    </r>
    <r>
      <rPr>
        <sz val="10"/>
        <rFont val="WenQuanYi Zen Hei"/>
        <family val="2"/>
      </rPr>
      <t xml:space="preserve">이 식사를 거르고 배를 움켜쥐는 것을 </t>
    </r>
    <r>
      <rPr>
        <sz val="10"/>
        <rFont val="Arial"/>
        <family val="0"/>
        <charset val="1"/>
      </rPr>
      <t xml:space="preserve">Camille</t>
    </r>
    <r>
      <rPr>
        <sz val="10"/>
        <rFont val="WenQuanYi Zen Hei"/>
        <family val="2"/>
      </rPr>
      <t xml:space="preserve">가 흘끗 본다</t>
    </r>
    <r>
      <rPr>
        <sz val="10"/>
        <rFont val="Arial"/>
        <family val="0"/>
        <charset val="1"/>
      </rPr>
      <t xml:space="preserve">.</t>
    </r>
  </si>
  <si>
    <t xml:space="preserve">의학 어휘 도입</t>
  </si>
  <si>
    <t xml:space="preserve">Camille, Manon, Napoléon, Monique</t>
  </si>
  <si>
    <t xml:space="preserve">Garde de nuit</t>
  </si>
  <si>
    <t xml:space="preserve">야간 근무</t>
  </si>
  <si>
    <r>
      <rPr>
        <sz val="10"/>
        <rFont val="Arial"/>
        <family val="0"/>
        <charset val="1"/>
      </rPr>
      <t xml:space="preserve">(</t>
    </r>
    <r>
      <rPr>
        <sz val="10"/>
        <rFont val="WenQuanYi Zen Hei"/>
        <family val="2"/>
      </rPr>
      <t xml:space="preserve">과거</t>
    </r>
    <r>
      <rPr>
        <sz val="10"/>
        <rFont val="Arial"/>
        <family val="0"/>
        <charset val="1"/>
      </rPr>
      <t xml:space="preserve">) Saint-Bernard </t>
    </r>
    <r>
      <rPr>
        <sz val="10"/>
        <rFont val="WenQuanYi Zen Hei"/>
        <family val="2"/>
      </rPr>
      <t xml:space="preserve">응급실의 야간 근무</t>
    </r>
    <r>
      <rPr>
        <sz val="10"/>
        <rFont val="Arial"/>
        <family val="0"/>
        <charset val="1"/>
      </rPr>
      <t xml:space="preserve">. </t>
    </r>
    <r>
      <rPr>
        <sz val="10"/>
        <rFont val="WenQuanYi Zen Hei"/>
        <family val="2"/>
      </rPr>
      <t xml:space="preserve">분류 간호사</t>
    </r>
    <r>
      <rPr>
        <sz val="10"/>
        <rFont val="Arial"/>
        <family val="0"/>
        <charset val="1"/>
      </rPr>
      <t xml:space="preserve">(IOA)</t>
    </r>
    <r>
      <rPr>
        <sz val="10"/>
        <rFont val="WenQuanYi Zen Hei"/>
        <family val="2"/>
      </rPr>
      <t xml:space="preserve">의 트리아주</t>
    </r>
    <r>
      <rPr>
        <sz val="10"/>
        <rFont val="Arial"/>
        <family val="0"/>
        <charset val="1"/>
      </rPr>
      <t xml:space="preserve">, </t>
    </r>
    <r>
      <rPr>
        <sz val="10"/>
        <rFont val="WenQuanYi Zen Hei"/>
        <family val="2"/>
      </rPr>
      <t xml:space="preserve">들것</t>
    </r>
    <r>
      <rPr>
        <sz val="10"/>
        <rFont val="Arial"/>
        <family val="0"/>
        <charset val="1"/>
      </rPr>
      <t xml:space="preserve">(brancard), </t>
    </r>
    <r>
      <rPr>
        <sz val="10"/>
        <rFont val="WenQuanYi Zen Hei"/>
        <family val="2"/>
      </rPr>
      <t xml:space="preserve">간호사 </t>
    </r>
    <r>
      <rPr>
        <sz val="10"/>
        <rFont val="Arial"/>
        <family val="0"/>
        <charset val="1"/>
      </rPr>
      <t xml:space="preserve">Sandrine(</t>
    </r>
    <r>
      <rPr>
        <sz val="10"/>
        <rFont val="WenQuanYi Zen Hei"/>
        <family val="2"/>
      </rPr>
      <t xml:space="preserve">가상</t>
    </r>
    <r>
      <rPr>
        <sz val="10"/>
        <rFont val="Arial"/>
        <family val="0"/>
        <charset val="1"/>
      </rPr>
      <t xml:space="preserve">)</t>
    </r>
    <r>
      <rPr>
        <sz val="10"/>
        <rFont val="WenQuanYi Zen Hei"/>
        <family val="2"/>
      </rPr>
      <t xml:space="preserve">과의 호흡</t>
    </r>
    <r>
      <rPr>
        <sz val="10"/>
        <rFont val="Arial"/>
        <family val="0"/>
        <charset val="1"/>
      </rPr>
      <t xml:space="preserve">. </t>
    </r>
    <r>
      <rPr>
        <sz val="10"/>
        <rFont val="WenQuanYi Zen Hei"/>
        <family val="2"/>
      </rPr>
      <t xml:space="preserve">가슴 통증으로 실려 온 </t>
    </r>
    <r>
      <rPr>
        <sz val="10"/>
        <rFont val="Arial"/>
        <family val="0"/>
        <charset val="1"/>
      </rPr>
      <t xml:space="preserve">Nicolas</t>
    </r>
    <r>
      <rPr>
        <sz val="10"/>
        <rFont val="WenQuanYi Zen Hei"/>
        <family val="2"/>
      </rPr>
      <t xml:space="preserve">를 진료한다</t>
    </r>
    <r>
      <rPr>
        <sz val="10"/>
        <rFont val="Arial"/>
        <family val="0"/>
        <charset val="1"/>
      </rPr>
      <t xml:space="preserve">.</t>
    </r>
  </si>
  <si>
    <t xml:space="preserve">tri, constantes, brancard, box</t>
  </si>
  <si>
    <r>
      <rPr>
        <sz val="10"/>
        <rFont val="Arial"/>
        <family val="0"/>
        <charset val="1"/>
      </rPr>
      <t xml:space="preserve">Camille, Sandrine(</t>
    </r>
    <r>
      <rPr>
        <sz val="10"/>
        <rFont val="WenQuanYi Zen Hei"/>
        <family val="2"/>
      </rPr>
      <t xml:space="preserve">가상</t>
    </r>
    <r>
      <rPr>
        <sz val="10"/>
        <rFont val="Arial"/>
        <family val="0"/>
        <charset val="1"/>
      </rPr>
      <t xml:space="preserve">), Nicolas</t>
    </r>
  </si>
  <si>
    <t xml:space="preserve">La Canicule</t>
  </si>
  <si>
    <t xml:space="preserve">폭염</t>
  </si>
  <si>
    <t xml:space="preserve">폭염에 고령 환자가 몰려 응급실이 넘친다. 산소·수액·얼음. Camille는 밤새 환자 이름을 외운다.</t>
  </si>
  <si>
    <t xml:space="preserve">열사병(coup de chaleur), 탈수, 고령 환자, 폭염 경보 계획(plan canicule)</t>
  </si>
  <si>
    <r>
      <rPr>
        <sz val="10"/>
        <rFont val="Arial"/>
        <family val="0"/>
        <charset val="1"/>
      </rPr>
      <t xml:space="preserve">Camille, Sandrine(</t>
    </r>
    <r>
      <rPr>
        <sz val="10"/>
        <rFont val="WenQuanYi Zen Hei"/>
        <family val="2"/>
      </rPr>
      <t xml:space="preserve">가상</t>
    </r>
    <r>
      <rPr>
        <sz val="10"/>
        <rFont val="Arial"/>
        <family val="0"/>
        <charset val="1"/>
      </rPr>
      <t xml:space="preserve">)</t>
    </r>
  </si>
  <si>
    <t xml:space="preserve">S4·S3</t>
  </si>
  <si>
    <t xml:space="preserve">Un contrat que personne ne lit</t>
  </si>
  <si>
    <t xml:space="preserve">아무도 읽지 않는 계약</t>
  </si>
  <si>
    <t xml:space="preserve">병원이 병상 관리·검사 물류를 Méridien Santé에 외주하고 컨설팅 회사에 '효율화'를 맡긴다고 발표한다. 원장 회의에서 컨설턴트 Léa가 '효율' 발표를 한다.</t>
  </si>
  <si>
    <t xml:space="preserve">외주(externalisation), 공공조달, 공공부문 컨설팅 계약 논란</t>
  </si>
  <si>
    <r>
      <rPr>
        <sz val="10"/>
        <rFont val="Arial"/>
        <family val="0"/>
        <charset val="1"/>
      </rPr>
      <t xml:space="preserve">Camille, </t>
    </r>
    <r>
      <rPr>
        <sz val="10"/>
        <rFont val="WenQuanYi Zen Hei"/>
        <family val="2"/>
      </rPr>
      <t xml:space="preserve">원장</t>
    </r>
    <r>
      <rPr>
        <sz val="10"/>
        <rFont val="Arial"/>
        <family val="0"/>
        <charset val="1"/>
      </rPr>
      <t xml:space="preserve">(</t>
    </r>
    <r>
      <rPr>
        <sz val="10"/>
        <rFont val="WenQuanYi Zen Hei"/>
        <family val="2"/>
      </rPr>
      <t xml:space="preserve">가상</t>
    </r>
    <r>
      <rPr>
        <sz val="10"/>
        <rFont val="Arial"/>
        <family val="0"/>
        <charset val="1"/>
      </rPr>
      <t xml:space="preserve">), Léa</t>
    </r>
  </si>
  <si>
    <t xml:space="preserve">S3</t>
  </si>
  <si>
    <t xml:space="preserve">Vendredi : la liste</t>
  </si>
  <si>
    <t xml:space="preserve">금요일: 명단</t>
  </si>
  <si>
    <r>
      <rPr>
        <sz val="10"/>
        <rFont val="Arial"/>
        <family val="0"/>
        <charset val="1"/>
      </rPr>
      <t xml:space="preserve">(</t>
    </r>
    <r>
      <rPr>
        <sz val="10"/>
        <rFont val="WenQuanYi Zen Hei"/>
        <family val="2"/>
      </rPr>
      <t xml:space="preserve">프레임</t>
    </r>
    <r>
      <rPr>
        <sz val="10"/>
        <rFont val="Arial"/>
        <family val="0"/>
        <charset val="1"/>
      </rPr>
      <t xml:space="preserve">) Manon</t>
    </r>
    <r>
      <rPr>
        <sz val="10"/>
        <rFont val="WenQuanYi Zen Hei"/>
        <family val="2"/>
      </rPr>
      <t xml:space="preserve">이 </t>
    </r>
    <r>
      <rPr>
        <sz val="10"/>
        <rFont val="Arial"/>
        <family val="0"/>
        <charset val="1"/>
      </rPr>
      <t xml:space="preserve">Camille</t>
    </r>
    <r>
      <rPr>
        <sz val="10"/>
        <rFont val="WenQuanYi Zen Hei"/>
        <family val="2"/>
      </rPr>
      <t xml:space="preserve">의 수첩 명단을 본다</t>
    </r>
    <r>
      <rPr>
        <sz val="10"/>
        <rFont val="Arial"/>
        <family val="0"/>
        <charset val="1"/>
      </rPr>
      <t xml:space="preserve">. Camille</t>
    </r>
    <r>
      <rPr>
        <sz val="10"/>
        <rFont val="WenQuanYi Zen Hei"/>
        <family val="2"/>
      </rPr>
      <t xml:space="preserve">는 </t>
    </r>
    <r>
      <rPr>
        <sz val="10"/>
        <rFont val="Arial"/>
        <family val="0"/>
        <charset val="1"/>
      </rPr>
      <t xml:space="preserve">«J'ai vu pire un mardi ordinaire.»</t>
    </r>
    <r>
      <rPr>
        <sz val="10"/>
        <rFont val="WenQuanYi Zen Hei"/>
        <family val="2"/>
      </rPr>
      <t xml:space="preserve">로 넘긴다</t>
    </r>
    <r>
      <rPr>
        <sz val="10"/>
        <rFont val="Arial"/>
        <family val="0"/>
        <charset val="1"/>
      </rPr>
      <t xml:space="preserve">. Napoléon</t>
    </r>
    <r>
      <rPr>
        <sz val="10"/>
        <rFont val="WenQuanYi Zen Hei"/>
        <family val="2"/>
      </rPr>
      <t xml:space="preserve">은 배가 아프냐는 물음에 </t>
    </r>
    <r>
      <rPr>
        <sz val="10"/>
        <rFont val="Arial"/>
        <family val="0"/>
        <charset val="1"/>
      </rPr>
      <t xml:space="preserve">«C'est la cuisine anglaise. Sainte-Hélène m'a laissé des souvenirs.»</t>
    </r>
  </si>
  <si>
    <t xml:space="preserve">명단·숫자 읽기</t>
  </si>
  <si>
    <t xml:space="preserve">Camille, Manon, Napoléon</t>
  </si>
  <si>
    <t xml:space="preserve">La première de la liste</t>
  </si>
  <si>
    <t xml:space="preserve">명단의 첫 번째</t>
  </si>
  <si>
    <t xml:space="preserve">서류 없는 20대 여성이 패혈증으로 실려 오지만 병상 배정이 아홉 시간 지연되어 들것 위에서 숨진다. 외주 병상관리가 '비용 검토' 중이었다. Camille가 수첩에 첫 이름을 쓴다.</t>
  </si>
  <si>
    <t xml:space="preserve">패혈증(sepsis), 병상 관리, 들것 위의 사망, 서류 없는 환자의 응급 진료권</t>
  </si>
  <si>
    <r>
      <rPr>
        <sz val="10"/>
        <rFont val="Arial"/>
        <family val="0"/>
        <charset val="1"/>
      </rPr>
      <t xml:space="preserve">Camille, Sandrine(</t>
    </r>
    <r>
      <rPr>
        <sz val="10"/>
        <rFont val="WenQuanYi Zen Hei"/>
        <family val="2"/>
      </rPr>
      <t xml:space="preserve">가상</t>
    </r>
    <r>
      <rPr>
        <sz val="10"/>
        <rFont val="Arial"/>
        <family val="0"/>
        <charset val="1"/>
      </rPr>
      <t xml:space="preserve">), </t>
    </r>
    <r>
      <rPr>
        <sz val="10"/>
        <rFont val="WenQuanYi Zen Hei"/>
        <family val="2"/>
      </rPr>
      <t xml:space="preserve">원장</t>
    </r>
    <r>
      <rPr>
        <sz val="10"/>
        <rFont val="Arial"/>
        <family val="0"/>
        <charset val="1"/>
      </rPr>
      <t xml:space="preserve">(</t>
    </r>
    <r>
      <rPr>
        <sz val="10"/>
        <rFont val="WenQuanYi Zen Hei"/>
        <family val="2"/>
      </rPr>
      <t xml:space="preserve">가상</t>
    </r>
    <r>
      <rPr>
        <sz val="10"/>
        <rFont val="Arial"/>
        <family val="0"/>
        <charset val="1"/>
      </rPr>
      <t xml:space="preserve">)</t>
    </r>
  </si>
  <si>
    <t xml:space="preserve">S2·S3</t>
  </si>
  <si>
    <t xml:space="preserve">Les chiffres du directeur</t>
  </si>
  <si>
    <t xml:space="preserve">원장의 숫자</t>
  </si>
  <si>
    <t xml:space="preserve">원장이 '대기 시간 개선' 통계를 발표한다. 외주 업체의 재무를 자문하는 Julien이 배석한다. Camille가 내부 사망 사례 보고서(déclaration d'événement indésirable grave)를 제출한다.</t>
  </si>
  <si>
    <t xml:space="preserve">통계 읽기, 중대 부작용 사례 보고</t>
  </si>
  <si>
    <r>
      <rPr>
        <sz val="10"/>
        <rFont val="Arial"/>
        <family val="0"/>
        <charset val="1"/>
      </rPr>
      <t xml:space="preserve">Camille, </t>
    </r>
    <r>
      <rPr>
        <sz val="10"/>
        <rFont val="WenQuanYi Zen Hei"/>
        <family val="2"/>
      </rPr>
      <t xml:space="preserve">원장</t>
    </r>
    <r>
      <rPr>
        <sz val="10"/>
        <rFont val="Arial"/>
        <family val="0"/>
        <charset val="1"/>
      </rPr>
      <t xml:space="preserve">(</t>
    </r>
    <r>
      <rPr>
        <sz val="10"/>
        <rFont val="WenQuanYi Zen Hei"/>
        <family val="2"/>
      </rPr>
      <t xml:space="preserve">가상</t>
    </r>
    <r>
      <rPr>
        <sz val="10"/>
        <rFont val="Arial"/>
        <family val="0"/>
        <charset val="1"/>
      </rPr>
      <t xml:space="preserve">), Julien</t>
    </r>
  </si>
  <si>
    <t xml:space="preserve">P3</t>
  </si>
  <si>
    <t xml:space="preserve">La Procédure disciplinaire</t>
  </si>
  <si>
    <t xml:space="preserve">징계 절차</t>
  </si>
  <si>
    <t xml:space="preserve">보고서 유출 의혹으로 징계 절차가 시작된다. 취재하러 온 Voltaire에게 Camille가 «Ça ne sort pas d'ici.»라고 못 박는다.</t>
  </si>
  <si>
    <t xml:space="preserve">공무원 징계(procédure disciplinaire), 직업상 비밀 유지</t>
  </si>
  <si>
    <r>
      <rPr>
        <sz val="10"/>
        <rFont val="Arial"/>
        <family val="0"/>
        <charset val="1"/>
      </rPr>
      <t xml:space="preserve">Camille, Voltaire, </t>
    </r>
    <r>
      <rPr>
        <sz val="10"/>
        <rFont val="WenQuanYi Zen Hei"/>
        <family val="2"/>
      </rPr>
      <t xml:space="preserve">원장</t>
    </r>
    <r>
      <rPr>
        <sz val="10"/>
        <rFont val="Arial"/>
        <family val="0"/>
        <charset val="1"/>
      </rPr>
      <t xml:space="preserve">(</t>
    </r>
    <r>
      <rPr>
        <sz val="10"/>
        <rFont val="WenQuanYi Zen Hei"/>
        <family val="2"/>
      </rPr>
      <t xml:space="preserve">가상</t>
    </r>
    <r>
      <rPr>
        <sz val="10"/>
        <rFont val="Arial"/>
        <family val="0"/>
        <charset val="1"/>
      </rPr>
      <t xml:space="preserve">)</t>
    </r>
  </si>
  <si>
    <t xml:space="preserve">Vendredi : et qu'est-ce que tu choisis ?</t>
  </si>
  <si>
    <t xml:space="preserve">금요일: 그래서 넌 뭘 선택하지?</t>
  </si>
  <si>
    <r>
      <rPr>
        <sz val="10"/>
        <rFont val="Arial"/>
        <family val="0"/>
        <charset val="1"/>
      </rPr>
      <t xml:space="preserve">(</t>
    </r>
    <r>
      <rPr>
        <sz val="10"/>
        <rFont val="WenQuanYi Zen Hei"/>
        <family val="2"/>
      </rPr>
      <t xml:space="preserve">프레임</t>
    </r>
    <r>
      <rPr>
        <sz val="10"/>
        <rFont val="Arial"/>
        <family val="0"/>
        <charset val="1"/>
      </rPr>
      <t xml:space="preserve">) Sartre</t>
    </r>
    <r>
      <rPr>
        <sz val="10"/>
        <rFont val="WenQuanYi Zen Hei"/>
        <family val="2"/>
      </rPr>
      <t xml:space="preserve">가 </t>
    </r>
    <r>
      <rPr>
        <sz val="10"/>
        <rFont val="Arial"/>
        <family val="0"/>
        <charset val="1"/>
      </rPr>
      <t xml:space="preserve">Camille</t>
    </r>
    <r>
      <rPr>
        <sz val="10"/>
        <rFont val="WenQuanYi Zen Hei"/>
        <family val="2"/>
      </rPr>
      <t xml:space="preserve">에게 </t>
    </r>
    <r>
      <rPr>
        <sz val="10"/>
        <rFont val="Arial"/>
        <family val="0"/>
        <charset val="1"/>
      </rPr>
      <t xml:space="preserve">«Et toi, qu'est-ce que tu choisis ?»</t>
    </r>
    <r>
      <rPr>
        <sz val="10"/>
        <rFont val="WenQuanYi Zen Hei"/>
        <family val="2"/>
      </rPr>
      <t xml:space="preserve">라고 되묻는다</t>
    </r>
    <r>
      <rPr>
        <sz val="10"/>
        <rFont val="Arial"/>
        <family val="0"/>
        <charset val="1"/>
      </rPr>
      <t xml:space="preserve">. Camille</t>
    </r>
    <r>
      <rPr>
        <sz val="10"/>
        <rFont val="WenQuanYi Zen Hei"/>
        <family val="2"/>
      </rPr>
      <t xml:space="preserve">는 </t>
    </r>
    <r>
      <rPr>
        <sz val="10"/>
        <rFont val="Arial"/>
        <family val="0"/>
        <charset val="1"/>
      </rPr>
      <t xml:space="preserve">«D'abord, respire.»</t>
    </r>
    <r>
      <rPr>
        <sz val="10"/>
        <rFont val="WenQuanYi Zen Hei"/>
        <family val="2"/>
      </rPr>
      <t xml:space="preserve">로 받아친다</t>
    </r>
    <r>
      <rPr>
        <sz val="10"/>
        <rFont val="Arial"/>
        <family val="0"/>
        <charset val="1"/>
      </rPr>
      <t xml:space="preserve">. Manon</t>
    </r>
    <r>
      <rPr>
        <sz val="10"/>
        <rFont val="WenQuanYi Zen Hei"/>
        <family val="2"/>
      </rPr>
      <t xml:space="preserve">이 </t>
    </r>
    <r>
      <rPr>
        <sz val="10"/>
        <rFont val="Arial"/>
        <family val="0"/>
        <charset val="1"/>
      </rPr>
      <t xml:space="preserve">Sartre</t>
    </r>
    <r>
      <rPr>
        <sz val="10"/>
        <rFont val="WenQuanYi Zen Hei"/>
        <family val="2"/>
      </rPr>
      <t xml:space="preserve">의 화법을 흉내 낸다</t>
    </r>
    <r>
      <rPr>
        <sz val="10"/>
        <rFont val="Arial"/>
        <family val="0"/>
        <charset val="1"/>
      </rPr>
      <t xml:space="preserve">.</t>
    </r>
  </si>
  <si>
    <t xml:space="preserve">선택·책임 표현, 되받기 화법</t>
  </si>
  <si>
    <t xml:space="preserve">Camille, Sartre, Manon</t>
  </si>
  <si>
    <t xml:space="preserve">Une nuit sans lits</t>
  </si>
  <si>
    <t xml:space="preserve">병상 없는 밤</t>
  </si>
  <si>
    <t xml:space="preserve">버스 사고와 폭염이 겹친 밤. 백색 계획(plan blanc)이 발동되지만 병상이 없어 복도까지 환자가 찬다. Camille가 즉흥으로 일곱 명을 살리고 한 명을 잃는다.</t>
  </si>
  <si>
    <t xml:space="preserve">대량 환자, 백색 계획(plan blanc), 우선순위, 명령형</t>
  </si>
  <si>
    <t xml:space="preserve">S4</t>
  </si>
  <si>
    <t xml:space="preserve">La démission de la docteure</t>
  </si>
  <si>
    <t xml:space="preserve">의사의 사직</t>
  </si>
  <si>
    <t xml:space="preserve">징계 통보와 마지막 근무. 수첩을 덮고 사직서를 낸다. Sandrine이 «Docteure, ne partez pas.»</t>
  </si>
  <si>
    <t xml:space="preserve">사직서, 작별</t>
  </si>
  <si>
    <t xml:space="preserve">Vendredi : une signature</t>
  </si>
  <si>
    <t xml:space="preserve">금요일: 한 사람의 서명</t>
  </si>
  <si>
    <r>
      <rPr>
        <sz val="10"/>
        <rFont val="Arial"/>
        <family val="0"/>
        <charset val="1"/>
      </rPr>
      <t xml:space="preserve">(</t>
    </r>
    <r>
      <rPr>
        <sz val="10"/>
        <rFont val="WenQuanYi Zen Hei"/>
        <family val="2"/>
      </rPr>
      <t xml:space="preserve">프레임</t>
    </r>
    <r>
      <rPr>
        <sz val="10"/>
        <rFont val="Arial"/>
        <family val="0"/>
        <charset val="1"/>
      </rPr>
      <t xml:space="preserve">) Camille</t>
    </r>
    <r>
      <rPr>
        <sz val="10"/>
        <rFont val="WenQuanYi Zen Hei"/>
        <family val="2"/>
      </rPr>
      <t xml:space="preserve">가 </t>
    </r>
    <r>
      <rPr>
        <sz val="10"/>
        <rFont val="Arial"/>
        <family val="0"/>
        <charset val="1"/>
      </rPr>
      <t xml:space="preserve">«Le rapport d'audit du contrat portait une signature.»</t>
    </r>
    <r>
      <rPr>
        <sz val="10"/>
        <rFont val="WenQuanYi Zen Hei"/>
        <family val="2"/>
      </rPr>
      <t xml:space="preserve">라고 말한다</t>
    </r>
    <r>
      <rPr>
        <sz val="10"/>
        <rFont val="Arial"/>
        <family val="0"/>
        <charset val="1"/>
      </rPr>
      <t xml:space="preserve">. Julien</t>
    </r>
    <r>
      <rPr>
        <sz val="10"/>
        <rFont val="WenQuanYi Zen Hei"/>
        <family val="2"/>
      </rPr>
      <t xml:space="preserve">이 조용히 </t>
    </r>
    <r>
      <rPr>
        <sz val="10"/>
        <rFont val="Arial"/>
        <family val="0"/>
        <charset val="1"/>
      </rPr>
      <t xml:space="preserve">«À moi.»</t>
    </r>
  </si>
  <si>
    <t xml:space="preserve">서명·책임 표현</t>
  </si>
  <si>
    <t xml:space="preserve">Camille, Julien, Manon, Napoléon</t>
  </si>
  <si>
    <t xml:space="preserve">Vendredi : j'ai signé</t>
  </si>
  <si>
    <t xml:space="preserve">금요일: 내가 서명했다</t>
  </si>
  <si>
    <r>
      <rPr>
        <sz val="10"/>
        <rFont val="Arial"/>
        <family val="0"/>
        <charset val="1"/>
      </rPr>
      <t xml:space="preserve">(</t>
    </r>
    <r>
      <rPr>
        <sz val="10"/>
        <rFont val="WenQuanYi Zen Hei"/>
        <family val="2"/>
      </rPr>
      <t xml:space="preserve">프레임</t>
    </r>
    <r>
      <rPr>
        <sz val="10"/>
        <rFont val="Arial"/>
        <family val="0"/>
        <charset val="1"/>
      </rPr>
      <t xml:space="preserve">) Julien</t>
    </r>
    <r>
      <rPr>
        <sz val="10"/>
        <rFont val="WenQuanYi Zen Hei"/>
        <family val="2"/>
      </rPr>
      <t xml:space="preserve">이 </t>
    </r>
    <r>
      <rPr>
        <sz val="10"/>
        <rFont val="Arial"/>
        <family val="0"/>
        <charset val="1"/>
      </rPr>
      <t xml:space="preserve">«Montrez-moi les documents.»</t>
    </r>
    <r>
      <rPr>
        <sz val="10"/>
        <rFont val="WenQuanYi Zen Hei"/>
        <family val="2"/>
      </rPr>
      <t xml:space="preserve">를 습관처럼 하다가 </t>
    </r>
    <r>
      <rPr>
        <sz val="10"/>
        <rFont val="Arial"/>
        <family val="0"/>
        <charset val="1"/>
      </rPr>
      <t xml:space="preserve">«J'ai signé.»</t>
    </r>
    <r>
      <rPr>
        <sz val="10"/>
        <rFont val="WenQuanYi Zen Hei"/>
        <family val="2"/>
      </rPr>
      <t xml:space="preserve">라고 시작한다</t>
    </r>
    <r>
      <rPr>
        <sz val="10"/>
        <rFont val="Arial"/>
        <family val="0"/>
        <charset val="1"/>
      </rPr>
      <t xml:space="preserve">. Manon</t>
    </r>
    <r>
      <rPr>
        <sz val="10"/>
        <rFont val="WenQuanYi Zen Hei"/>
        <family val="2"/>
      </rPr>
      <t xml:space="preserve">이 숫자를 못 읽어 질문한다</t>
    </r>
    <r>
      <rPr>
        <sz val="10"/>
        <rFont val="Arial"/>
        <family val="0"/>
        <charset val="1"/>
      </rPr>
      <t xml:space="preserve">.</t>
    </r>
  </si>
  <si>
    <t xml:space="preserve">회계 어휘 도입</t>
  </si>
  <si>
    <t xml:space="preserve">Julien, Manon, Camille, Napoléon</t>
  </si>
  <si>
    <t xml:space="preserve">Clôture de l'exercice</t>
  </si>
  <si>
    <t xml:space="preserve">결산 마감</t>
  </si>
  <si>
    <r>
      <rPr>
        <sz val="10"/>
        <rFont val="Arial"/>
        <family val="0"/>
        <charset val="1"/>
      </rPr>
      <t xml:space="preserve">(</t>
    </r>
    <r>
      <rPr>
        <sz val="10"/>
        <rFont val="WenQuanYi Zen Hei"/>
        <family val="2"/>
      </rPr>
      <t xml:space="preserve">과거</t>
    </r>
    <r>
      <rPr>
        <sz val="10"/>
        <rFont val="Arial"/>
        <family val="0"/>
        <charset val="1"/>
      </rPr>
      <t xml:space="preserve">) Bertin &amp; Roux</t>
    </r>
    <r>
      <rPr>
        <sz val="10"/>
        <rFont val="WenQuanYi Zen Hei"/>
        <family val="2"/>
      </rPr>
      <t xml:space="preserve">의 결산 감사 마감 주간</t>
    </r>
    <r>
      <rPr>
        <sz val="10"/>
        <rFont val="Arial"/>
        <family val="0"/>
        <charset val="1"/>
      </rPr>
      <t xml:space="preserve">. </t>
    </r>
    <r>
      <rPr>
        <sz val="10"/>
        <rFont val="WenQuanYi Zen Hei"/>
        <family val="2"/>
      </rPr>
      <t xml:space="preserve">표본추출</t>
    </r>
    <r>
      <rPr>
        <sz val="10"/>
        <rFont val="Arial"/>
        <family val="0"/>
        <charset val="1"/>
      </rPr>
      <t xml:space="preserve">(échantillonnage)</t>
    </r>
    <r>
      <rPr>
        <sz val="10"/>
        <rFont val="WenQuanYi Zen Hei"/>
        <family val="2"/>
      </rPr>
      <t xml:space="preserve">과 중요성 기준</t>
    </r>
    <r>
      <rPr>
        <sz val="10"/>
        <rFont val="Arial"/>
        <family val="0"/>
        <charset val="1"/>
      </rPr>
      <t xml:space="preserve">(seuil de signification). Julien</t>
    </r>
    <r>
      <rPr>
        <sz val="10"/>
        <rFont val="WenQuanYi Zen Hei"/>
        <family val="2"/>
      </rPr>
      <t xml:space="preserve">의 정확성과 냉소</t>
    </r>
    <r>
      <rPr>
        <sz val="10"/>
        <rFont val="Arial"/>
        <family val="0"/>
        <charset val="1"/>
      </rPr>
      <t xml:space="preserve">.</t>
    </r>
  </si>
  <si>
    <t xml:space="preserve">감사 절차 어휘</t>
  </si>
  <si>
    <r>
      <rPr>
        <sz val="10"/>
        <rFont val="Arial"/>
        <family val="0"/>
        <charset val="1"/>
      </rPr>
      <t xml:space="preserve">Julien, Bertin(</t>
    </r>
    <r>
      <rPr>
        <sz val="10"/>
        <rFont val="WenQuanYi Zen Hei"/>
        <family val="2"/>
      </rPr>
      <t xml:space="preserve">가상</t>
    </r>
    <r>
      <rPr>
        <sz val="10"/>
        <rFont val="Arial"/>
        <family val="0"/>
        <charset val="1"/>
      </rPr>
      <t xml:space="preserve">), </t>
    </r>
    <r>
      <rPr>
        <sz val="10"/>
        <rFont val="WenQuanYi Zen Hei"/>
        <family val="2"/>
      </rPr>
      <t xml:space="preserve">후배 감사인</t>
    </r>
    <r>
      <rPr>
        <sz val="10"/>
        <rFont val="Arial"/>
        <family val="0"/>
        <charset val="1"/>
      </rPr>
      <t xml:space="preserve">(</t>
    </r>
    <r>
      <rPr>
        <sz val="10"/>
        <rFont val="WenQuanYi Zen Hei"/>
        <family val="2"/>
      </rPr>
      <t xml:space="preserve">가상</t>
    </r>
    <r>
      <rPr>
        <sz val="10"/>
        <rFont val="Arial"/>
        <family val="0"/>
        <charset val="1"/>
      </rPr>
      <t xml:space="preserve">)</t>
    </r>
  </si>
  <si>
    <t xml:space="preserve">Le client qui paie bien</t>
  </si>
  <si>
    <t xml:space="preserve">돈 잘 주는 고객</t>
  </si>
  <si>
    <r>
      <rPr>
        <sz val="10"/>
        <rFont val="Arial"/>
        <family val="0"/>
        <charset val="1"/>
      </rPr>
      <t xml:space="preserve">Groupe Méridien</t>
    </r>
    <r>
      <rPr>
        <sz val="10"/>
        <rFont val="WenQuanYi Zen Hei"/>
        <family val="2"/>
      </rPr>
      <t xml:space="preserve">이 회사 수임료의 </t>
    </r>
    <r>
      <rPr>
        <sz val="10"/>
        <rFont val="Arial"/>
        <family val="0"/>
        <charset val="1"/>
      </rPr>
      <t xml:space="preserve">15%</t>
    </r>
    <r>
      <rPr>
        <sz val="10"/>
        <rFont val="WenQuanYi Zen Hei"/>
        <family val="2"/>
      </rPr>
      <t xml:space="preserve">를 차지한다</t>
    </r>
    <r>
      <rPr>
        <sz val="10"/>
        <rFont val="Arial"/>
        <family val="0"/>
        <charset val="1"/>
      </rPr>
      <t xml:space="preserve">. </t>
    </r>
    <r>
      <rPr>
        <sz val="10"/>
        <rFont val="WenQuanYi Zen Hei"/>
        <family val="2"/>
      </rPr>
      <t xml:space="preserve">감사인 독립성과 교체</t>
    </r>
    <r>
      <rPr>
        <sz val="10"/>
        <rFont val="Arial"/>
        <family val="0"/>
        <charset val="1"/>
      </rPr>
      <t xml:space="preserve">(rotation) </t>
    </r>
    <r>
      <rPr>
        <sz val="10"/>
        <rFont val="WenQuanYi Zen Hei"/>
        <family val="2"/>
      </rPr>
      <t xml:space="preserve">규정이 문제가 된다</t>
    </r>
    <r>
      <rPr>
        <sz val="10"/>
        <rFont val="Arial"/>
        <family val="0"/>
        <charset val="1"/>
      </rPr>
      <t xml:space="preserve">. Bertin</t>
    </r>
    <r>
      <rPr>
        <sz val="10"/>
        <rFont val="WenQuanYi Zen Hei"/>
        <family val="2"/>
      </rPr>
      <t xml:space="preserve">은 </t>
    </r>
    <r>
      <rPr>
        <sz val="10"/>
        <rFont val="Arial"/>
        <family val="0"/>
        <charset val="1"/>
      </rPr>
      <t xml:space="preserve">'</t>
    </r>
    <r>
      <rPr>
        <sz val="10"/>
        <rFont val="WenQuanYi Zen Hei"/>
        <family val="2"/>
      </rPr>
      <t xml:space="preserve">관계</t>
    </r>
    <r>
      <rPr>
        <sz val="10"/>
        <rFont val="Arial"/>
        <family val="0"/>
        <charset val="1"/>
      </rPr>
      <t xml:space="preserve">'</t>
    </r>
    <r>
      <rPr>
        <sz val="10"/>
        <rFont val="WenQuanYi Zen Hei"/>
        <family val="2"/>
      </rPr>
      <t xml:space="preserve">를 강조한다</t>
    </r>
    <r>
      <rPr>
        <sz val="10"/>
        <rFont val="Arial"/>
        <family val="0"/>
        <charset val="1"/>
      </rPr>
      <t xml:space="preserve">.</t>
    </r>
  </si>
  <si>
    <t xml:space="preserve">독립성, 수임료 집중, 법정감사인 교체</t>
  </si>
  <si>
    <r>
      <rPr>
        <sz val="10"/>
        <rFont val="Arial"/>
        <family val="0"/>
        <charset val="1"/>
      </rPr>
      <t xml:space="preserve">Julien, Bertin(</t>
    </r>
    <r>
      <rPr>
        <sz val="10"/>
        <rFont val="WenQuanYi Zen Hei"/>
        <family val="2"/>
      </rPr>
      <t xml:space="preserve">가상</t>
    </r>
    <r>
      <rPr>
        <sz val="10"/>
        <rFont val="Arial"/>
        <family val="0"/>
        <charset val="1"/>
      </rPr>
      <t xml:space="preserve">)</t>
    </r>
  </si>
  <si>
    <t xml:space="preserve">Ça ne colle pas</t>
  </si>
  <si>
    <t xml:space="preserve">이건 안 맞아</t>
  </si>
  <si>
    <t xml:space="preserve">특수관계자 대출이 룩셈부르크 지주회사로 흘러간 흔적. 은행 자료를 보내 준 Philippe가 «Suivez l'argent.»</t>
  </si>
  <si>
    <t xml:space="preserve">특수관계자 거래, 조세 회피처</t>
  </si>
  <si>
    <t xml:space="preserve">Julien, Philippe</t>
  </si>
  <si>
    <t xml:space="preserve">Vendredi : le père de Julien</t>
  </si>
  <si>
    <t xml:space="preserve">금요일: Julien의 아버지</t>
  </si>
  <si>
    <r>
      <rPr>
        <sz val="10"/>
        <rFont val="Arial"/>
        <family val="0"/>
        <charset val="1"/>
      </rPr>
      <t xml:space="preserve">(</t>
    </r>
    <r>
      <rPr>
        <sz val="10"/>
        <rFont val="WenQuanYi Zen Hei"/>
        <family val="2"/>
      </rPr>
      <t xml:space="preserve">프레임</t>
    </r>
    <r>
      <rPr>
        <sz val="10"/>
        <rFont val="Arial"/>
        <family val="0"/>
        <charset val="1"/>
      </rPr>
      <t xml:space="preserve">) </t>
    </r>
    <r>
      <rPr>
        <sz val="10"/>
        <rFont val="WenQuanYi Zen Hei"/>
        <family val="2"/>
      </rPr>
      <t xml:space="preserve">정직한 장부를 지키다 해고된 아버지 이야기</t>
    </r>
    <r>
      <rPr>
        <sz val="10"/>
        <rFont val="Arial"/>
        <family val="0"/>
        <charset val="1"/>
      </rPr>
      <t xml:space="preserve">. «Montrez-moi les chiffres, je vous dirai qui vous êtes.»</t>
    </r>
    <r>
      <rPr>
        <sz val="10"/>
        <rFont val="WenQuanYi Zen Hei"/>
        <family val="2"/>
      </rPr>
      <t xml:space="preserve">의 기원</t>
    </r>
    <r>
      <rPr>
        <sz val="10"/>
        <rFont val="Arial"/>
        <family val="0"/>
        <charset val="1"/>
      </rPr>
      <t xml:space="preserve">.</t>
    </r>
  </si>
  <si>
    <t xml:space="preserve">가족 이야기, 과거</t>
  </si>
  <si>
    <t xml:space="preserve">Julien, Manon, Monique</t>
  </si>
  <si>
    <t xml:space="preserve">La réunion des associés</t>
  </si>
  <si>
    <t xml:space="preserve">파트너 회의</t>
  </si>
  <si>
    <r>
      <rPr>
        <sz val="10"/>
        <rFont val="Arial"/>
        <family val="0"/>
        <charset val="1"/>
      </rPr>
      <t xml:space="preserve">Julien</t>
    </r>
    <r>
      <rPr>
        <sz val="10"/>
        <rFont val="WenQuanYi Zen Hei"/>
        <family val="2"/>
      </rPr>
      <t xml:space="preserve">이 </t>
    </r>
    <r>
      <rPr>
        <sz val="10"/>
        <rFont val="Arial"/>
        <family val="0"/>
        <charset val="1"/>
      </rPr>
      <t xml:space="preserve">'</t>
    </r>
    <r>
      <rPr>
        <sz val="10"/>
        <rFont val="WenQuanYi Zen Hei"/>
        <family val="2"/>
      </rPr>
      <t xml:space="preserve">한정 의견</t>
    </r>
    <r>
      <rPr>
        <sz val="10"/>
        <rFont val="Arial"/>
        <family val="0"/>
        <charset val="1"/>
      </rPr>
      <t xml:space="preserve">(certification avec réserve)'</t>
    </r>
    <r>
      <rPr>
        <sz val="10"/>
        <rFont val="WenQuanYi Zen Hei"/>
        <family val="2"/>
      </rPr>
      <t xml:space="preserve">을 주장하자 파트너들이 승진과 고객 유지를 들어 설득한다</t>
    </r>
    <r>
      <rPr>
        <sz val="10"/>
        <rFont val="Arial"/>
        <family val="0"/>
        <charset val="1"/>
      </rPr>
      <t xml:space="preserve">. Julien</t>
    </r>
    <r>
      <rPr>
        <sz val="10"/>
        <rFont val="WenQuanYi Zen Hei"/>
        <family val="2"/>
      </rPr>
      <t xml:space="preserve">은 리스크 위원회로 사안을 올린다</t>
    </r>
    <r>
      <rPr>
        <sz val="10"/>
        <rFont val="Arial"/>
        <family val="0"/>
        <charset val="1"/>
      </rPr>
      <t xml:space="preserve">.</t>
    </r>
  </si>
  <si>
    <t xml:space="preserve">감사 의견: sans réserve, avec réserve, refus de certifier, impossibilité de certifier</t>
  </si>
  <si>
    <r>
      <rPr>
        <sz val="10"/>
        <rFont val="Arial"/>
        <family val="0"/>
        <charset val="1"/>
      </rPr>
      <t xml:space="preserve">Julien, Bertin(</t>
    </r>
    <r>
      <rPr>
        <sz val="10"/>
        <rFont val="WenQuanYi Zen Hei"/>
        <family val="2"/>
      </rPr>
      <t xml:space="preserve">가상</t>
    </r>
    <r>
      <rPr>
        <sz val="10"/>
        <rFont val="Arial"/>
        <family val="0"/>
        <charset val="1"/>
      </rPr>
      <t xml:space="preserve">), </t>
    </r>
    <r>
      <rPr>
        <sz val="10"/>
        <rFont val="WenQuanYi Zen Hei"/>
        <family val="2"/>
      </rPr>
      <t xml:space="preserve">파트너들</t>
    </r>
  </si>
  <si>
    <t xml:space="preserve">Le comité des risques</t>
  </si>
  <si>
    <t xml:space="preserve">리스크 위원회</t>
  </si>
  <si>
    <r>
      <rPr>
        <sz val="10"/>
        <rFont val="Arial"/>
        <family val="0"/>
        <charset val="1"/>
      </rPr>
      <t xml:space="preserve">GM</t>
    </r>
    <r>
      <rPr>
        <sz val="10"/>
        <rFont val="WenQuanYi Zen Hei"/>
        <family val="2"/>
      </rPr>
      <t xml:space="preserve">의 변호사 서한이 도착한다</t>
    </r>
    <r>
      <rPr>
        <sz val="10"/>
        <rFont val="Arial"/>
        <family val="0"/>
        <charset val="1"/>
      </rPr>
      <t xml:space="preserve">(</t>
    </r>
    <r>
      <rPr>
        <sz val="10"/>
        <rFont val="WenQuanYi Zen Hei"/>
        <family val="2"/>
      </rPr>
      <t xml:space="preserve">고객 측 변호사는 </t>
    </r>
    <r>
      <rPr>
        <sz val="10"/>
        <rFont val="Arial"/>
        <family val="0"/>
        <charset val="1"/>
      </rPr>
      <t xml:space="preserve">Nicolas</t>
    </r>
    <r>
      <rPr>
        <sz val="10"/>
        <rFont val="WenQuanYi Zen Hei"/>
        <family val="2"/>
      </rPr>
      <t xml:space="preserve">의 옛 동료</t>
    </r>
    <r>
      <rPr>
        <sz val="10"/>
        <rFont val="Arial"/>
        <family val="0"/>
        <charset val="1"/>
      </rPr>
      <t xml:space="preserve">). </t>
    </r>
    <r>
      <rPr>
        <sz val="10"/>
        <rFont val="WenQuanYi Zen Hei"/>
        <family val="2"/>
      </rPr>
      <t xml:space="preserve">위원회는 </t>
    </r>
    <r>
      <rPr>
        <sz val="10"/>
        <rFont val="Arial"/>
        <family val="0"/>
        <charset val="1"/>
      </rPr>
      <t xml:space="preserve">'</t>
    </r>
    <r>
      <rPr>
        <sz val="10"/>
        <rFont val="WenQuanYi Zen Hei"/>
        <family val="2"/>
      </rPr>
      <t xml:space="preserve">증거 불충분</t>
    </r>
    <r>
      <rPr>
        <sz val="10"/>
        <rFont val="Arial"/>
        <family val="0"/>
        <charset val="1"/>
      </rPr>
      <t xml:space="preserve">'</t>
    </r>
    <r>
      <rPr>
        <sz val="10"/>
        <rFont val="WenQuanYi Zen Hei"/>
        <family val="2"/>
      </rPr>
      <t xml:space="preserve">으로 결정한다</t>
    </r>
    <r>
      <rPr>
        <sz val="10"/>
        <rFont val="Arial"/>
        <family val="0"/>
        <charset val="1"/>
      </rPr>
      <t xml:space="preserve">.</t>
    </r>
  </si>
  <si>
    <t xml:space="preserve">변호사 서한, 충분한 감사 증거</t>
  </si>
  <si>
    <r>
      <rPr>
        <sz val="10"/>
        <rFont val="Arial"/>
        <family val="0"/>
        <charset val="1"/>
      </rPr>
      <t xml:space="preserve">Julien, </t>
    </r>
    <r>
      <rPr>
        <sz val="10"/>
        <rFont val="WenQuanYi Zen Hei"/>
        <family val="2"/>
      </rPr>
      <t xml:space="preserve">위원회</t>
    </r>
    <r>
      <rPr>
        <sz val="10"/>
        <rFont val="Arial"/>
        <family val="0"/>
        <charset val="1"/>
      </rPr>
      <t xml:space="preserve">(</t>
    </r>
    <r>
      <rPr>
        <sz val="10"/>
        <rFont val="WenQuanYi Zen Hei"/>
        <family val="2"/>
      </rPr>
      <t xml:space="preserve">가상</t>
    </r>
    <r>
      <rPr>
        <sz val="10"/>
        <rFont val="Arial"/>
        <family val="0"/>
        <charset val="1"/>
      </rPr>
      <t xml:space="preserve">)</t>
    </r>
  </si>
  <si>
    <t xml:space="preserve">Un déjeuner dans le 16e</t>
  </si>
  <si>
    <r>
      <rPr>
        <sz val="10"/>
        <rFont val="Noto Sans CJK SC"/>
        <family val="2"/>
        <charset val="1"/>
      </rPr>
      <t xml:space="preserve">16</t>
    </r>
    <r>
      <rPr>
        <sz val="10"/>
        <rFont val="WenQuanYi Zen Hei"/>
        <family val="2"/>
      </rPr>
      <t xml:space="preserve">구의 점심</t>
    </r>
  </si>
  <si>
    <r>
      <rPr>
        <sz val="10"/>
        <rFont val="Arial"/>
        <family val="0"/>
        <charset val="1"/>
      </rPr>
      <t xml:space="preserve">Verdier</t>
    </r>
    <r>
      <rPr>
        <sz val="10"/>
        <rFont val="WenQuanYi Zen Hei"/>
        <family val="2"/>
      </rPr>
      <t xml:space="preserve">가 </t>
    </r>
    <r>
      <rPr>
        <sz val="10"/>
        <rFont val="Arial"/>
        <family val="0"/>
        <charset val="1"/>
      </rPr>
      <t xml:space="preserve">Julien</t>
    </r>
    <r>
      <rPr>
        <sz val="10"/>
        <rFont val="WenQuanYi Zen Hei"/>
        <family val="2"/>
      </rPr>
      <t xml:space="preserve">에게 점심을 산다</t>
    </r>
    <r>
      <rPr>
        <sz val="10"/>
        <rFont val="Arial"/>
        <family val="0"/>
        <charset val="1"/>
      </rPr>
      <t xml:space="preserve">. </t>
    </r>
    <r>
      <rPr>
        <sz val="10"/>
        <rFont val="WenQuanYi Zen Hei"/>
        <family val="2"/>
      </rPr>
      <t xml:space="preserve">정중한 위협과 제안</t>
    </r>
    <r>
      <rPr>
        <sz val="10"/>
        <rFont val="Arial"/>
        <family val="0"/>
        <charset val="1"/>
      </rPr>
      <t xml:space="preserve">: </t>
    </r>
    <r>
      <rPr>
        <sz val="10"/>
        <rFont val="WenQuanYi Zen Hei"/>
        <family val="2"/>
      </rPr>
      <t xml:space="preserve">파트너 승진과 개인 자문 계약</t>
    </r>
    <r>
      <rPr>
        <sz val="10"/>
        <rFont val="Arial"/>
        <family val="0"/>
        <charset val="1"/>
      </rPr>
      <t xml:space="preserve">. Voltaire</t>
    </r>
    <r>
      <rPr>
        <sz val="10"/>
        <rFont val="WenQuanYi Zen Hei"/>
        <family val="2"/>
      </rPr>
      <t xml:space="preserve">의 전화가 온다</t>
    </r>
    <r>
      <rPr>
        <sz val="10"/>
        <rFont val="Arial"/>
        <family val="0"/>
        <charset val="1"/>
      </rPr>
      <t xml:space="preserve">.</t>
    </r>
  </si>
  <si>
    <t xml:space="preserve">완곡한 압박, 조건법(conditionnel)</t>
  </si>
  <si>
    <r>
      <rPr>
        <sz val="10"/>
        <rFont val="Arial"/>
        <family val="0"/>
        <charset val="1"/>
      </rPr>
      <t xml:space="preserve">Julien, Verdier(</t>
    </r>
    <r>
      <rPr>
        <sz val="10"/>
        <rFont val="WenQuanYi Zen Hei"/>
        <family val="2"/>
      </rPr>
      <t xml:space="preserve">가상</t>
    </r>
    <r>
      <rPr>
        <sz val="10"/>
        <rFont val="Arial"/>
        <family val="0"/>
        <charset val="1"/>
      </rPr>
      <t xml:space="preserve">), Voltaire</t>
    </r>
  </si>
  <si>
    <t xml:space="preserve">Vendredi : et vous avez signé ?</t>
  </si>
  <si>
    <t xml:space="preserve">금요일: 서명했나요?</t>
  </si>
  <si>
    <r>
      <rPr>
        <sz val="10"/>
        <rFont val="Arial"/>
        <family val="0"/>
        <charset val="1"/>
      </rPr>
      <t xml:space="preserve">(</t>
    </r>
    <r>
      <rPr>
        <sz val="10"/>
        <rFont val="WenQuanYi Zen Hei"/>
        <family val="2"/>
      </rPr>
      <t xml:space="preserve">프레임</t>
    </r>
    <r>
      <rPr>
        <sz val="10"/>
        <rFont val="Arial"/>
        <family val="0"/>
        <charset val="1"/>
      </rPr>
      <t xml:space="preserve">) Manon</t>
    </r>
    <r>
      <rPr>
        <sz val="10"/>
        <rFont val="WenQuanYi Zen Hei"/>
        <family val="2"/>
      </rPr>
      <t xml:space="preserve">이 묻고 </t>
    </r>
    <r>
      <rPr>
        <sz val="10"/>
        <rFont val="Arial"/>
        <family val="0"/>
        <charset val="1"/>
      </rPr>
      <t xml:space="preserve">Julien</t>
    </r>
    <r>
      <rPr>
        <sz val="10"/>
        <rFont val="WenQuanYi Zen Hei"/>
        <family val="2"/>
      </rPr>
      <t xml:space="preserve">은 </t>
    </r>
    <r>
      <rPr>
        <sz val="10"/>
        <rFont val="Arial"/>
        <family val="0"/>
        <charset val="1"/>
      </rPr>
      <t xml:space="preserve">«Attends.»</t>
    </r>
    <r>
      <rPr>
        <sz val="10"/>
        <rFont val="WenQuanYi Zen Hei"/>
        <family val="2"/>
      </rPr>
      <t xml:space="preserve">라고 한다</t>
    </r>
    <r>
      <rPr>
        <sz val="10"/>
        <rFont val="Arial"/>
        <family val="0"/>
        <charset val="1"/>
      </rPr>
      <t xml:space="preserve">. Napoléon</t>
    </r>
    <r>
      <rPr>
        <sz val="10"/>
        <rFont val="WenQuanYi Zen Hei"/>
        <family val="2"/>
      </rPr>
      <t xml:space="preserve">이 </t>
    </r>
    <r>
      <rPr>
        <sz val="10"/>
        <rFont val="Arial"/>
        <family val="0"/>
        <charset val="1"/>
      </rPr>
      <t xml:space="preserve">«Nous avons tous signé quelque chose un jour. Moi, une abdication. Deux fois.»</t>
    </r>
    <r>
      <rPr>
        <sz val="10"/>
        <rFont val="WenQuanYi Zen Hei"/>
        <family val="2"/>
      </rPr>
      <t xml:space="preserve">라고 말하고 </t>
    </r>
    <r>
      <rPr>
        <sz val="10"/>
        <rFont val="Arial"/>
        <family val="0"/>
        <charset val="1"/>
      </rPr>
      <t xml:space="preserve">Camille</t>
    </r>
    <r>
      <rPr>
        <sz val="10"/>
        <rFont val="WenQuanYi Zen Hei"/>
        <family val="2"/>
      </rPr>
      <t xml:space="preserve">가 눈을 감는다</t>
    </r>
    <r>
      <rPr>
        <sz val="10"/>
        <rFont val="Arial"/>
        <family val="0"/>
        <charset val="1"/>
      </rPr>
      <t xml:space="preserve">.</t>
    </r>
  </si>
  <si>
    <t xml:space="preserve">재촉·회피</t>
  </si>
  <si>
    <t xml:space="preserve">Julien, Manon, Napoléon, Camille</t>
  </si>
  <si>
    <t xml:space="preserve">Certifié sans réserve</t>
  </si>
  <si>
    <t xml:space="preserve">무한정 적정 의견</t>
  </si>
  <si>
    <r>
      <rPr>
        <sz val="10"/>
        <rFont val="Arial"/>
        <family val="0"/>
        <charset val="1"/>
      </rPr>
      <t xml:space="preserve">Julien</t>
    </r>
    <r>
      <rPr>
        <sz val="10"/>
        <rFont val="WenQuanYi Zen Hei"/>
        <family val="2"/>
      </rPr>
      <t xml:space="preserve">이 </t>
    </r>
    <r>
      <rPr>
        <sz val="10"/>
        <rFont val="Arial"/>
        <family val="0"/>
        <charset val="1"/>
      </rPr>
      <t xml:space="preserve">'</t>
    </r>
    <r>
      <rPr>
        <sz val="10"/>
        <rFont val="WenQuanYi Zen Hei"/>
        <family val="2"/>
      </rPr>
      <t xml:space="preserve">적정</t>
    </r>
    <r>
      <rPr>
        <sz val="10"/>
        <rFont val="Arial"/>
        <family val="0"/>
        <charset val="1"/>
      </rPr>
      <t xml:space="preserve">' </t>
    </r>
    <r>
      <rPr>
        <sz val="10"/>
        <rFont val="WenQuanYi Zen Hei"/>
        <family val="2"/>
      </rPr>
      <t xml:space="preserve">의견서에 서명한다</t>
    </r>
    <r>
      <rPr>
        <sz val="10"/>
        <rFont val="Arial"/>
        <family val="0"/>
        <charset val="1"/>
      </rPr>
      <t xml:space="preserve">. </t>
    </r>
    <r>
      <rPr>
        <sz val="10"/>
        <rFont val="WenQuanYi Zen Hei"/>
        <family val="2"/>
      </rPr>
      <t xml:space="preserve">서명 후 그는 복사본 </t>
    </r>
    <r>
      <rPr>
        <sz val="10"/>
        <rFont val="Arial"/>
        <family val="0"/>
        <charset val="1"/>
      </rPr>
      <t xml:space="preserve">USB</t>
    </r>
    <r>
      <rPr>
        <sz val="10"/>
        <rFont val="WenQuanYi Zen Hei"/>
        <family val="2"/>
      </rPr>
      <t xml:space="preserve">를 챙긴다</t>
    </r>
    <r>
      <rPr>
        <sz val="10"/>
        <rFont val="Arial"/>
        <family val="0"/>
        <charset val="1"/>
      </rPr>
      <t xml:space="preserve">.</t>
    </r>
  </si>
  <si>
    <t xml:space="preserve">서명, 감사 보고서, 책임</t>
  </si>
  <si>
    <t xml:space="preserve">Après la signature</t>
  </si>
  <si>
    <t xml:space="preserve">서명 이후</t>
  </si>
  <si>
    <t xml:space="preserve">그 의견서로 병원 외주 계약이 확정되고(3부의 계약) 구조조정 컨설팅이 시작된다는 통보를 받는다. Julien은 사직하고 다시는 서명하지 않겠다고 다짐한다.</t>
  </si>
  <si>
    <t xml:space="preserve">결과·책임, 사직</t>
  </si>
  <si>
    <r>
      <rPr>
        <sz val="10"/>
        <rFont val="Arial"/>
        <family val="0"/>
        <charset val="1"/>
      </rPr>
      <t xml:space="preserve">Julien, Bertin(</t>
    </r>
    <r>
      <rPr>
        <sz val="10"/>
        <rFont val="WenQuanYi Zen Hei"/>
        <family val="2"/>
      </rPr>
      <t xml:space="preserve">가상</t>
    </r>
    <r>
      <rPr>
        <sz val="10"/>
        <rFont val="Arial"/>
        <family val="0"/>
        <charset val="1"/>
      </rPr>
      <t xml:space="preserve">), Léa</t>
    </r>
  </si>
  <si>
    <t xml:space="preserve">Vendredi : la liste de Léa</t>
  </si>
  <si>
    <t xml:space="preserve">금요일: Léa의 명단</t>
  </si>
  <si>
    <r>
      <rPr>
        <sz val="10"/>
        <rFont val="Arial"/>
        <family val="0"/>
        <charset val="1"/>
      </rPr>
      <t xml:space="preserve">(</t>
    </r>
    <r>
      <rPr>
        <sz val="10"/>
        <rFont val="WenQuanYi Zen Hei"/>
        <family val="2"/>
      </rPr>
      <t xml:space="preserve">프레임</t>
    </r>
    <r>
      <rPr>
        <sz val="10"/>
        <rFont val="Arial"/>
        <family val="0"/>
        <charset val="1"/>
      </rPr>
      <t xml:space="preserve">) Julien</t>
    </r>
    <r>
      <rPr>
        <sz val="10"/>
        <rFont val="WenQuanYi Zen Hei"/>
        <family val="2"/>
      </rPr>
      <t xml:space="preserve">이 </t>
    </r>
    <r>
      <rPr>
        <sz val="10"/>
        <rFont val="Arial"/>
        <family val="0"/>
        <charset val="1"/>
      </rPr>
      <t xml:space="preserve">USB</t>
    </r>
    <r>
      <rPr>
        <sz val="10"/>
        <rFont val="WenQuanYi Zen Hei"/>
        <family val="2"/>
      </rPr>
      <t xml:space="preserve">를 꺼내지 않은 채 식탁에 놓고</t>
    </r>
    <r>
      <rPr>
        <sz val="10"/>
        <rFont val="Arial"/>
        <family val="0"/>
        <charset val="1"/>
      </rPr>
      <t xml:space="preserve">, Léa</t>
    </r>
    <r>
      <rPr>
        <sz val="10"/>
        <rFont val="WenQuanYi Zen Hei"/>
        <family val="2"/>
      </rPr>
      <t xml:space="preserve">가 </t>
    </r>
    <r>
      <rPr>
        <sz val="10"/>
        <rFont val="Arial"/>
        <family val="0"/>
        <charset val="1"/>
      </rPr>
      <t xml:space="preserve">«C'est moi qui faisais la liste.»</t>
    </r>
    <r>
      <rPr>
        <sz val="10"/>
        <rFont val="WenQuanYi Zen Hei"/>
        <family val="2"/>
      </rPr>
      <t xml:space="preserve">라고 말한다</t>
    </r>
    <r>
      <rPr>
        <sz val="10"/>
        <rFont val="Arial"/>
        <family val="0"/>
        <charset val="1"/>
      </rPr>
      <t xml:space="preserve">.</t>
    </r>
  </si>
  <si>
    <t xml:space="preserve">고백</t>
  </si>
  <si>
    <t xml:space="preserve">Julien, Léa, Manon, Monique</t>
  </si>
  <si>
    <t xml:space="preserve">Vendredi : dans une matrice</t>
  </si>
  <si>
    <t xml:space="preserve">금요일: 매트릭스로</t>
  </si>
  <si>
    <r>
      <rPr>
        <sz val="10"/>
        <rFont val="Arial"/>
        <family val="0"/>
        <charset val="1"/>
      </rPr>
      <t xml:space="preserve">(</t>
    </r>
    <r>
      <rPr>
        <sz val="10"/>
        <rFont val="WenQuanYi Zen Hei"/>
        <family val="2"/>
      </rPr>
      <t xml:space="preserve">프레임</t>
    </r>
    <r>
      <rPr>
        <sz val="10"/>
        <rFont val="Arial"/>
        <family val="0"/>
        <charset val="1"/>
      </rPr>
      <t xml:space="preserve">) Léa</t>
    </r>
    <r>
      <rPr>
        <sz val="10"/>
        <rFont val="WenQuanYi Zen Hei"/>
        <family val="2"/>
      </rPr>
      <t xml:space="preserve">가 </t>
    </r>
    <r>
      <rPr>
        <sz val="10"/>
        <rFont val="Arial"/>
        <family val="0"/>
        <charset val="1"/>
      </rPr>
      <t xml:space="preserve">«Mettons ça dans une matrice.»</t>
    </r>
    <r>
      <rPr>
        <sz val="10"/>
        <rFont val="WenQuanYi Zen Hei"/>
        <family val="2"/>
      </rPr>
      <t xml:space="preserve">로 시작하다 </t>
    </r>
    <r>
      <rPr>
        <sz val="10"/>
        <rFont val="Arial"/>
        <family val="0"/>
        <charset val="1"/>
      </rPr>
      <t xml:space="preserve">Manon</t>
    </r>
    <r>
      <rPr>
        <sz val="10"/>
        <rFont val="WenQuanYi Zen Hei"/>
        <family val="2"/>
      </rPr>
      <t xml:space="preserve">에게 제지당한다</t>
    </r>
    <r>
      <rPr>
        <sz val="10"/>
        <rFont val="Arial"/>
        <family val="0"/>
        <charset val="1"/>
      </rPr>
      <t xml:space="preserve">.</t>
    </r>
  </si>
  <si>
    <t xml:space="preserve">경영 어휘 도입, 쉬운 말로 바꾸기</t>
  </si>
  <si>
    <t xml:space="preserve">Léa, Manon, Napoléon</t>
  </si>
  <si>
    <t xml:space="preserve">Zénith, 32e étage</t>
  </si>
  <si>
    <r>
      <rPr>
        <sz val="10"/>
        <rFont val="Arial"/>
        <family val="0"/>
        <charset val="1"/>
      </rPr>
      <t xml:space="preserve">Zénith, 32</t>
    </r>
    <r>
      <rPr>
        <sz val="10"/>
        <rFont val="WenQuanYi Zen Hei"/>
        <family val="2"/>
      </rPr>
      <t xml:space="preserve">층</t>
    </r>
  </si>
  <si>
    <r>
      <rPr>
        <sz val="10"/>
        <rFont val="Arial"/>
        <family val="0"/>
        <charset val="1"/>
      </rPr>
      <t xml:space="preserve">(</t>
    </r>
    <r>
      <rPr>
        <sz val="10"/>
        <rFont val="WenQuanYi Zen Hei"/>
        <family val="2"/>
      </rPr>
      <t xml:space="preserve">과거</t>
    </r>
    <r>
      <rPr>
        <sz val="10"/>
        <rFont val="Arial"/>
        <family val="0"/>
        <charset val="1"/>
      </rPr>
      <t xml:space="preserve">) La Défense </t>
    </r>
    <r>
      <rPr>
        <sz val="10"/>
        <rFont val="WenQuanYi Zen Hei"/>
        <family val="2"/>
      </rPr>
      <t xml:space="preserve">컨설팅 회사의 문화</t>
    </r>
    <r>
      <rPr>
        <sz val="10"/>
        <rFont val="Arial"/>
        <family val="0"/>
        <charset val="1"/>
      </rPr>
      <t xml:space="preserve">: up-or-out, </t>
    </r>
    <r>
      <rPr>
        <sz val="10"/>
        <rFont val="WenQuanYi Zen Hei"/>
        <family val="2"/>
      </rPr>
      <t xml:space="preserve">야근</t>
    </r>
    <r>
      <rPr>
        <sz val="10"/>
        <rFont val="Arial"/>
        <family val="0"/>
        <charset val="1"/>
      </rPr>
      <t xml:space="preserve">, </t>
    </r>
    <r>
      <rPr>
        <sz val="10"/>
        <rFont val="WenQuanYi Zen Hei"/>
        <family val="2"/>
      </rPr>
      <t xml:space="preserve">영어가 섞인 프랑스어</t>
    </r>
    <r>
      <rPr>
        <sz val="10"/>
        <rFont val="Arial"/>
        <family val="0"/>
        <charset val="1"/>
      </rPr>
      <t xml:space="preserve">(franglais). Léa</t>
    </r>
    <r>
      <rPr>
        <sz val="10"/>
        <rFont val="WenQuanYi Zen Hei"/>
        <family val="2"/>
      </rPr>
      <t xml:space="preserve">의 초고속 승진</t>
    </r>
    <r>
      <rPr>
        <sz val="10"/>
        <rFont val="Arial"/>
        <family val="0"/>
        <charset val="1"/>
      </rPr>
      <t xml:space="preserve">.</t>
    </r>
  </si>
  <si>
    <t xml:space="preserve">aligner, scalable, impact, parties prenantes</t>
  </si>
  <si>
    <r>
      <rPr>
        <sz val="10"/>
        <rFont val="Arial"/>
        <family val="0"/>
        <charset val="1"/>
      </rPr>
      <t xml:space="preserve">Léa, </t>
    </r>
    <r>
      <rPr>
        <sz val="10"/>
        <rFont val="WenQuanYi Zen Hei"/>
        <family val="2"/>
      </rPr>
      <t xml:space="preserve">파트너</t>
    </r>
    <r>
      <rPr>
        <sz val="10"/>
        <rFont val="Arial"/>
        <family val="0"/>
        <charset val="1"/>
      </rPr>
      <t xml:space="preserve">(</t>
    </r>
    <r>
      <rPr>
        <sz val="10"/>
        <rFont val="WenQuanYi Zen Hei"/>
        <family val="2"/>
      </rPr>
      <t xml:space="preserve">가상</t>
    </r>
    <r>
      <rPr>
        <sz val="10"/>
        <rFont val="Arial"/>
        <family val="0"/>
        <charset val="1"/>
      </rPr>
      <t xml:space="preserve">)</t>
    </r>
  </si>
  <si>
    <t xml:space="preserve">L'atelier des Garnier</t>
  </si>
  <si>
    <r>
      <rPr>
        <sz val="10"/>
        <rFont val="Arial"/>
        <family val="0"/>
        <charset val="1"/>
      </rPr>
      <t xml:space="preserve">Garnier </t>
    </r>
    <r>
      <rPr>
        <sz val="10"/>
        <rFont val="WenQuanYi Zen Hei"/>
        <family val="2"/>
      </rPr>
      <t xml:space="preserve">가족의 공방</t>
    </r>
  </si>
  <si>
    <t xml:space="preserve">영세 제조업체(TPE) 컨설팅. Léa의 '규모 키우기' 권고가 현실과 맞지 않아 실패한다. 생산성은 조언이 아니라 구조의 문제임을 처음 본다.</t>
  </si>
  <si>
    <t xml:space="preserve">영세 기업, 생산성, 탈산업화</t>
  </si>
  <si>
    <r>
      <rPr>
        <sz val="10"/>
        <rFont val="Arial"/>
        <family val="0"/>
        <charset val="1"/>
      </rPr>
      <t xml:space="preserve">Léa, Garnier(</t>
    </r>
    <r>
      <rPr>
        <sz val="10"/>
        <rFont val="WenQuanYi Zen Hei"/>
        <family val="2"/>
      </rPr>
      <t xml:space="preserve">가상</t>
    </r>
    <r>
      <rPr>
        <sz val="10"/>
        <rFont val="Arial"/>
        <family val="0"/>
        <charset val="1"/>
      </rPr>
      <t xml:space="preserve">)</t>
    </r>
  </si>
  <si>
    <t xml:space="preserve">E2</t>
  </si>
  <si>
    <t xml:space="preserve">Projet Icare</t>
  </si>
  <si>
    <t xml:space="preserve">이카로스 프로젝트</t>
  </si>
  <si>
    <r>
      <rPr>
        <sz val="10"/>
        <rFont val="Arial"/>
        <family val="0"/>
        <charset val="1"/>
      </rPr>
      <t xml:space="preserve">GM</t>
    </r>
    <r>
      <rPr>
        <sz val="10"/>
        <rFont val="WenQuanYi Zen Hei"/>
        <family val="2"/>
      </rPr>
      <t xml:space="preserve">이 </t>
    </r>
    <r>
      <rPr>
        <sz val="10"/>
        <rFont val="Arial"/>
        <family val="0"/>
        <charset val="1"/>
      </rPr>
      <t xml:space="preserve">RATP</t>
    </r>
    <r>
      <rPr>
        <sz val="10"/>
        <rFont val="WenQuanYi Zen Hei"/>
        <family val="2"/>
      </rPr>
      <t xml:space="preserve">에서 넘겨받은 버스 노선 운영사 </t>
    </r>
    <r>
      <rPr>
        <sz val="10"/>
        <rFont val="Arial"/>
        <family val="0"/>
        <charset val="1"/>
      </rPr>
      <t xml:space="preserve">Méridien Mobilité</t>
    </r>
    <r>
      <rPr>
        <sz val="10"/>
        <rFont val="WenQuanYi Zen Hei"/>
        <family val="2"/>
      </rPr>
      <t xml:space="preserve">의 </t>
    </r>
    <r>
      <rPr>
        <sz val="10"/>
        <rFont val="Arial"/>
        <family val="0"/>
        <charset val="1"/>
      </rPr>
      <t xml:space="preserve">'</t>
    </r>
    <r>
      <rPr>
        <sz val="10"/>
        <rFont val="WenQuanYi Zen Hei"/>
        <family val="2"/>
      </rPr>
      <t xml:space="preserve">비용 </t>
    </r>
    <r>
      <rPr>
        <sz val="10"/>
        <rFont val="Arial"/>
        <family val="0"/>
        <charset val="1"/>
      </rPr>
      <t xml:space="preserve">18% </t>
    </r>
    <r>
      <rPr>
        <sz val="10"/>
        <rFont val="WenQuanYi Zen Hei"/>
        <family val="2"/>
      </rPr>
      <t xml:space="preserve">절감</t>
    </r>
    <r>
      <rPr>
        <sz val="10"/>
        <rFont val="Arial"/>
        <family val="0"/>
        <charset val="1"/>
      </rPr>
      <t xml:space="preserve">'</t>
    </r>
    <r>
      <rPr>
        <sz val="10"/>
        <rFont val="WenQuanYi Zen Hei"/>
        <family val="2"/>
      </rPr>
      <t xml:space="preserve">을 </t>
    </r>
    <r>
      <rPr>
        <sz val="10"/>
        <rFont val="Arial"/>
        <family val="0"/>
        <charset val="1"/>
      </rPr>
      <t xml:space="preserve">Zénith</t>
    </r>
    <r>
      <rPr>
        <sz val="10"/>
        <rFont val="WenQuanYi Zen Hei"/>
        <family val="2"/>
      </rPr>
      <t xml:space="preserve">에 의뢰한다</t>
    </r>
    <r>
      <rPr>
        <sz val="10"/>
        <rFont val="Arial"/>
        <family val="0"/>
        <charset val="1"/>
      </rPr>
      <t xml:space="preserve">. </t>
    </r>
    <r>
      <rPr>
        <sz val="10"/>
        <rFont val="WenQuanYi Zen Hei"/>
        <family val="2"/>
      </rPr>
      <t xml:space="preserve">킥오프 회의</t>
    </r>
    <r>
      <rPr>
        <sz val="10"/>
        <rFont val="Arial"/>
        <family val="0"/>
        <charset val="1"/>
      </rPr>
      <t xml:space="preserve">.</t>
    </r>
  </si>
  <si>
    <t xml:space="preserve">프로젝트 관리, 목표, 절감, 버스 노선 경쟁 입찰</t>
  </si>
  <si>
    <r>
      <rPr>
        <sz val="10"/>
        <rFont val="Arial"/>
        <family val="0"/>
        <charset val="1"/>
      </rPr>
      <t xml:space="preserve">Léa, </t>
    </r>
    <r>
      <rPr>
        <sz val="10"/>
        <rFont val="WenQuanYi Zen Hei"/>
        <family val="2"/>
      </rPr>
      <t xml:space="preserve">파트너</t>
    </r>
    <r>
      <rPr>
        <sz val="10"/>
        <rFont val="Arial"/>
        <family val="0"/>
        <charset val="1"/>
      </rPr>
      <t xml:space="preserve">(</t>
    </r>
    <r>
      <rPr>
        <sz val="10"/>
        <rFont val="WenQuanYi Zen Hei"/>
        <family val="2"/>
      </rPr>
      <t xml:space="preserve">가상</t>
    </r>
    <r>
      <rPr>
        <sz val="10"/>
        <rFont val="Arial"/>
        <family val="0"/>
        <charset val="1"/>
      </rPr>
      <t xml:space="preserve">), GM </t>
    </r>
    <r>
      <rPr>
        <sz val="10"/>
        <rFont val="WenQuanYi Zen Hei"/>
        <family val="2"/>
      </rPr>
      <t xml:space="preserve">임원</t>
    </r>
    <r>
      <rPr>
        <sz val="10"/>
        <rFont val="Arial"/>
        <family val="0"/>
        <charset val="1"/>
      </rPr>
      <t xml:space="preserve">(</t>
    </r>
    <r>
      <rPr>
        <sz val="10"/>
        <rFont val="WenQuanYi Zen Hei"/>
        <family val="2"/>
      </rPr>
      <t xml:space="preserve">가상</t>
    </r>
    <r>
      <rPr>
        <sz val="10"/>
        <rFont val="Arial"/>
        <family val="0"/>
        <charset val="1"/>
      </rPr>
      <t xml:space="preserve">)</t>
    </r>
  </si>
  <si>
    <t xml:space="preserve">Vendredi : un Excel</t>
  </si>
  <si>
    <t xml:space="preserve">금요일: 엑셀 한 장</t>
  </si>
  <si>
    <r>
      <rPr>
        <sz val="10"/>
        <rFont val="Arial"/>
        <family val="0"/>
        <charset val="1"/>
      </rPr>
      <t xml:space="preserve">(</t>
    </r>
    <r>
      <rPr>
        <sz val="10"/>
        <rFont val="WenQuanYi Zen Hei"/>
        <family val="2"/>
      </rPr>
      <t xml:space="preserve">프레임</t>
    </r>
    <r>
      <rPr>
        <sz val="10"/>
        <rFont val="Arial"/>
        <family val="0"/>
        <charset val="1"/>
      </rPr>
      <t xml:space="preserve">) Léa</t>
    </r>
    <r>
      <rPr>
        <sz val="10"/>
        <rFont val="WenQuanYi Zen Hei"/>
        <family val="2"/>
      </rPr>
      <t xml:space="preserve">가 </t>
    </r>
    <r>
      <rPr>
        <sz val="10"/>
        <rFont val="Arial"/>
        <family val="0"/>
        <charset val="1"/>
      </rPr>
      <t xml:space="preserve">«Je ne licenciais personne ; je déplaçais des cellules.»</t>
    </r>
    <r>
      <rPr>
        <sz val="10"/>
        <rFont val="WenQuanYi Zen Hei"/>
        <family val="2"/>
      </rPr>
      <t xml:space="preserve">라고 말한다</t>
    </r>
    <r>
      <rPr>
        <sz val="10"/>
        <rFont val="Arial"/>
        <family val="0"/>
        <charset val="1"/>
      </rPr>
      <t xml:space="preserve">. Manon</t>
    </r>
    <r>
      <rPr>
        <sz val="10"/>
        <rFont val="WenQuanYi Zen Hei"/>
        <family val="2"/>
      </rPr>
      <t xml:space="preserve">이 </t>
    </r>
    <r>
      <rPr>
        <sz val="10"/>
        <rFont val="Arial"/>
        <family val="0"/>
        <charset val="1"/>
      </rPr>
      <t xml:space="preserve">«Et combien de cellules ?»</t>
    </r>
  </si>
  <si>
    <t xml:space="preserve">질문·죄책 표현</t>
  </si>
  <si>
    <t xml:space="preserve">Léa, Manon, Julien</t>
  </si>
  <si>
    <t xml:space="preserve">La cellule C47</t>
  </si>
  <si>
    <r>
      <rPr>
        <sz val="10"/>
        <rFont val="Arial"/>
        <family val="0"/>
        <charset val="1"/>
      </rPr>
      <t xml:space="preserve">C47 </t>
    </r>
    <r>
      <rPr>
        <sz val="10"/>
        <rFont val="WenQuanYi Zen Hei"/>
        <family val="2"/>
      </rPr>
      <t xml:space="preserve">셀</t>
    </r>
  </si>
  <si>
    <t xml:space="preserve">모델이 완성되고 승인이 난다. 셀 하나가 412개 일자리다. 팀은 샴페인을 딴다.</t>
  </si>
  <si>
    <t xml:space="preserve">모델, 시나리오, 인원 감축</t>
  </si>
  <si>
    <r>
      <rPr>
        <sz val="10"/>
        <rFont val="Arial"/>
        <family val="0"/>
        <charset val="1"/>
      </rPr>
      <t xml:space="preserve">Léa, </t>
    </r>
    <r>
      <rPr>
        <sz val="10"/>
        <rFont val="WenQuanYi Zen Hei"/>
        <family val="2"/>
      </rPr>
      <t xml:space="preserve">팀</t>
    </r>
    <r>
      <rPr>
        <sz val="10"/>
        <rFont val="Arial"/>
        <family val="0"/>
        <charset val="1"/>
      </rPr>
      <t xml:space="preserve">(</t>
    </r>
    <r>
      <rPr>
        <sz val="10"/>
        <rFont val="WenQuanYi Zen Hei"/>
        <family val="2"/>
      </rPr>
      <t xml:space="preserve">가상</t>
    </r>
    <r>
      <rPr>
        <sz val="10"/>
        <rFont val="Arial"/>
        <family val="0"/>
        <charset val="1"/>
      </rPr>
      <t xml:space="preserve">)</t>
    </r>
  </si>
  <si>
    <t xml:space="preserve">La table de négociation</t>
  </si>
  <si>
    <t xml:space="preserve">협상 테이블</t>
  </si>
  <si>
    <t xml:space="preserve">고용보호계획(PSE) 정보·협의 절차. 노조 대표 Karim이 «Derrière chaque cellule, il y a une personne.»</t>
  </si>
  <si>
    <r>
      <rPr>
        <sz val="10"/>
        <rFont val="Arial"/>
        <family val="0"/>
        <charset val="1"/>
      </rPr>
      <t xml:space="preserve">PSE, </t>
    </r>
    <r>
      <rPr>
        <sz val="10"/>
        <rFont val="WenQuanYi Zen Hei"/>
        <family val="2"/>
      </rPr>
      <t xml:space="preserve">사회경제위원회</t>
    </r>
    <r>
      <rPr>
        <sz val="10"/>
        <rFont val="Arial"/>
        <family val="0"/>
        <charset val="1"/>
      </rPr>
      <t xml:space="preserve">(CSE) </t>
    </r>
    <r>
      <rPr>
        <sz val="10"/>
        <rFont val="WenQuanYi Zen Hei"/>
        <family val="2"/>
      </rPr>
      <t xml:space="preserve">협의</t>
    </r>
    <r>
      <rPr>
        <sz val="10"/>
        <rFont val="Arial"/>
        <family val="0"/>
        <charset val="1"/>
      </rPr>
      <t xml:space="preserve">, </t>
    </r>
    <r>
      <rPr>
        <sz val="10"/>
        <rFont val="WenQuanYi Zen Hei"/>
        <family val="2"/>
      </rPr>
      <t xml:space="preserve">노조 대표</t>
    </r>
  </si>
  <si>
    <r>
      <rPr>
        <sz val="10"/>
        <rFont val="Arial"/>
        <family val="0"/>
        <charset val="1"/>
      </rPr>
      <t xml:space="preserve">Léa, Karim, </t>
    </r>
    <r>
      <rPr>
        <sz val="10"/>
        <rFont val="WenQuanYi Zen Hei"/>
        <family val="2"/>
      </rPr>
      <t xml:space="preserve">인사 담당</t>
    </r>
    <r>
      <rPr>
        <sz val="10"/>
        <rFont val="Arial"/>
        <family val="0"/>
        <charset val="1"/>
      </rPr>
      <t xml:space="preserve">(</t>
    </r>
    <r>
      <rPr>
        <sz val="10"/>
        <rFont val="WenQuanYi Zen Hei"/>
        <family val="2"/>
      </rPr>
      <t xml:space="preserve">가상</t>
    </r>
    <r>
      <rPr>
        <sz val="10"/>
        <rFont val="Arial"/>
        <family val="0"/>
        <charset val="1"/>
      </rPr>
      <t xml:space="preserve">)</t>
    </r>
  </si>
  <si>
    <t xml:space="preserve">Le mauvais mail</t>
  </si>
  <si>
    <t xml:space="preserve">잘못 보낸 메일</t>
  </si>
  <si>
    <r>
      <rPr>
        <sz val="10"/>
        <rFont val="Arial"/>
        <family val="0"/>
        <charset val="1"/>
      </rPr>
      <t xml:space="preserve">Léa</t>
    </r>
    <r>
      <rPr>
        <sz val="10"/>
        <rFont val="WenQuanYi Zen Hei"/>
        <family val="2"/>
      </rPr>
      <t xml:space="preserve">가 이름이 든 파일을 잘못 보낸다</t>
    </r>
    <r>
      <rPr>
        <sz val="10"/>
        <rFont val="Arial"/>
        <family val="0"/>
        <charset val="1"/>
      </rPr>
      <t xml:space="preserve">. </t>
    </r>
    <r>
      <rPr>
        <sz val="10"/>
        <rFont val="WenQuanYi Zen Hei"/>
        <family val="2"/>
      </rPr>
      <t xml:space="preserve">기간제</t>
    </r>
    <r>
      <rPr>
        <sz val="10"/>
        <rFont val="Arial"/>
        <family val="0"/>
        <charset val="1"/>
      </rPr>
      <t xml:space="preserve">·</t>
    </r>
    <r>
      <rPr>
        <sz val="10"/>
        <rFont val="WenQuanYi Zen Hei"/>
        <family val="2"/>
      </rPr>
      <t xml:space="preserve">파견</t>
    </r>
    <r>
      <rPr>
        <sz val="10"/>
        <rFont val="Arial"/>
        <family val="0"/>
        <charset val="1"/>
      </rPr>
      <t xml:space="preserve">·</t>
    </r>
    <r>
      <rPr>
        <sz val="10"/>
        <rFont val="WenQuanYi Zen Hei"/>
        <family val="2"/>
      </rPr>
      <t xml:space="preserve">청년이 먼저 잘려 있다</t>
    </r>
    <r>
      <rPr>
        <sz val="10"/>
        <rFont val="Arial"/>
        <family val="0"/>
        <charset val="1"/>
      </rPr>
      <t xml:space="preserve">. </t>
    </r>
    <r>
      <rPr>
        <sz val="10"/>
        <rFont val="WenQuanYi Zen Hei"/>
        <family val="2"/>
      </rPr>
      <t xml:space="preserve">번아웃으로 쉬던 날 </t>
    </r>
    <r>
      <rPr>
        <sz val="10"/>
        <rFont val="Arial"/>
        <family val="0"/>
        <charset val="1"/>
      </rPr>
      <t xml:space="preserve">Café de Flore</t>
    </r>
    <r>
      <rPr>
        <sz val="10"/>
        <rFont val="WenQuanYi Zen Hei"/>
        <family val="2"/>
      </rPr>
      <t xml:space="preserve">에서 </t>
    </r>
    <r>
      <rPr>
        <sz val="10"/>
        <rFont val="Arial"/>
        <family val="0"/>
        <charset val="1"/>
      </rPr>
      <t xml:space="preserve">Sartre</t>
    </r>
    <r>
      <rPr>
        <sz val="10"/>
        <rFont val="WenQuanYi Zen Hei"/>
        <family val="2"/>
      </rPr>
      <t xml:space="preserve">를 만난다</t>
    </r>
    <r>
      <rPr>
        <sz val="10"/>
        <rFont val="Arial"/>
        <family val="0"/>
        <charset val="1"/>
      </rPr>
      <t xml:space="preserve">.</t>
    </r>
  </si>
  <si>
    <t xml:space="preserve">기간제·파견 계약, 청년 우선 감축, 죄책감</t>
  </si>
  <si>
    <t xml:space="preserve">Léa, Sartre</t>
  </si>
  <si>
    <t xml:space="preserve">Vendredi : quatre cent douze</t>
  </si>
  <si>
    <t xml:space="preserve">금요일: 412</t>
  </si>
  <si>
    <r>
      <rPr>
        <sz val="10"/>
        <rFont val="Arial"/>
        <family val="0"/>
        <charset val="1"/>
      </rPr>
      <t xml:space="preserve">(</t>
    </r>
    <r>
      <rPr>
        <sz val="10"/>
        <rFont val="WenQuanYi Zen Hei"/>
        <family val="2"/>
      </rPr>
      <t xml:space="preserve">프레임</t>
    </r>
    <r>
      <rPr>
        <sz val="10"/>
        <rFont val="Arial"/>
        <family val="0"/>
        <charset val="1"/>
      </rPr>
      <t xml:space="preserve">) «Quatre cent douze.» Manon</t>
    </r>
    <r>
      <rPr>
        <sz val="10"/>
        <rFont val="WenQuanYi Zen Hei"/>
        <family val="2"/>
      </rPr>
      <t xml:space="preserve">이 말을 잃고 </t>
    </r>
    <r>
      <rPr>
        <sz val="10"/>
        <rFont val="Arial"/>
        <family val="0"/>
        <charset val="1"/>
      </rPr>
      <t xml:space="preserve">Napoléon</t>
    </r>
    <r>
      <rPr>
        <sz val="10"/>
        <rFont val="WenQuanYi Zen Hei"/>
        <family val="2"/>
      </rPr>
      <t xml:space="preserve">이 </t>
    </r>
    <r>
      <rPr>
        <sz val="10"/>
        <rFont val="Arial"/>
        <family val="0"/>
        <charset val="1"/>
      </rPr>
      <t xml:space="preserve">«Au moins, elle le dit sans slides.»</t>
    </r>
  </si>
  <si>
    <t xml:space="preserve">숫자 낭독</t>
  </si>
  <si>
    <t xml:space="preserve">La Grève</t>
  </si>
  <si>
    <t xml:space="preserve">파업</t>
  </si>
  <si>
    <t xml:space="preserve">파업이 벌어지고 보호 근로자인 Karim이 근로감독관의 해고 승인을 거쳐 해고되고 블랙리스트에 오른다. Léa는 유리창 너머로 그것을 본다.</t>
  </si>
  <si>
    <t xml:space="preserve">파업권, 보호 근로자(salarié protégé) 해고, 블랙리스트</t>
  </si>
  <si>
    <t xml:space="preserve">Léa, Karim</t>
  </si>
  <si>
    <t xml:space="preserve">La dernière réunion</t>
  </si>
  <si>
    <t xml:space="preserve">마지막 회의</t>
  </si>
  <si>
    <t xml:space="preserve">보너스 지급 회의. Léa가 '이카로스 2'를 거절하고 사직한다.</t>
  </si>
  <si>
    <t xml:space="preserve">보너스, 거절, 사직</t>
  </si>
  <si>
    <t xml:space="preserve">Vendredi : un mardi à Saint-Denis</t>
  </si>
  <si>
    <t xml:space="preserve">금요일: 생드니의 화요일</t>
  </si>
  <si>
    <r>
      <rPr>
        <sz val="10"/>
        <rFont val="Arial"/>
        <family val="0"/>
        <charset val="1"/>
      </rPr>
      <t xml:space="preserve">(</t>
    </r>
    <r>
      <rPr>
        <sz val="10"/>
        <rFont val="WenQuanYi Zen Hei"/>
        <family val="2"/>
      </rPr>
      <t xml:space="preserve">프레임</t>
    </r>
    <r>
      <rPr>
        <sz val="10"/>
        <rFont val="Arial"/>
        <family val="0"/>
        <charset val="1"/>
      </rPr>
      <t xml:space="preserve">) </t>
    </r>
    <r>
      <rPr>
        <sz val="10"/>
        <rFont val="WenQuanYi Zen Hei"/>
        <family val="2"/>
      </rPr>
      <t xml:space="preserve">네 명이 같은 강당에 모이게 된 화요일을 </t>
    </r>
    <r>
      <rPr>
        <sz val="10"/>
        <rFont val="Arial"/>
        <family val="0"/>
        <charset val="1"/>
      </rPr>
      <t xml:space="preserve">Monique</t>
    </r>
    <r>
      <rPr>
        <sz val="10"/>
        <rFont val="WenQuanYi Zen Hei"/>
        <family val="2"/>
      </rPr>
      <t xml:space="preserve">가 설명하며 </t>
    </r>
    <r>
      <rPr>
        <sz val="10"/>
        <rFont val="Arial"/>
        <family val="0"/>
        <charset val="1"/>
      </rPr>
      <t xml:space="preserve">6</t>
    </r>
    <r>
      <rPr>
        <sz val="10"/>
        <rFont val="WenQuanYi Zen Hei"/>
        <family val="2"/>
      </rPr>
      <t xml:space="preserve">부를 예고한다</t>
    </r>
    <r>
      <rPr>
        <sz val="10"/>
        <rFont val="Arial"/>
        <family val="0"/>
        <charset val="1"/>
      </rPr>
      <t xml:space="preserve">.</t>
    </r>
  </si>
  <si>
    <t xml:space="preserve">다음 이야기 예고</t>
  </si>
  <si>
    <t xml:space="preserve">Léa, Monique, Nicolas, Camille, Julien</t>
  </si>
  <si>
    <t xml:space="preserve">Un mardi à Saint-Denis</t>
  </si>
  <si>
    <t xml:space="preserve">생드니의 화요일</t>
  </si>
  <si>
    <t xml:space="preserve">네 사람이 각자 다른 이유로 같은 세입자 총회에 도착한다. 손녀 Chloé(가상)와 23세 세입자 Manon이 맞이한다.</t>
  </si>
  <si>
    <t xml:space="preserve">총회 공고, 자기소개</t>
  </si>
  <si>
    <r>
      <rPr>
        <sz val="10"/>
        <rFont val="Arial"/>
        <family val="0"/>
        <charset val="1"/>
      </rPr>
      <t xml:space="preserve">Nicolas, Camille, Julien, Léa, Chloé(</t>
    </r>
    <r>
      <rPr>
        <sz val="10"/>
        <rFont val="WenQuanYi Zen Hei"/>
        <family val="2"/>
      </rPr>
      <t xml:space="preserve">가상</t>
    </r>
    <r>
      <rPr>
        <sz val="10"/>
        <rFont val="Arial"/>
        <family val="0"/>
        <charset val="1"/>
      </rPr>
      <t xml:space="preserve">), Manon</t>
    </r>
  </si>
  <si>
    <t xml:space="preserve">Quatre inconnus</t>
  </si>
  <si>
    <t xml:space="preserve">네 명의 낯선 사람</t>
  </si>
  <si>
    <t xml:space="preserve">서로 아는 척하지 않는다. Nicolas와 Julien은 서로의 이름 «Vasseur &amp; Delorme», «Bertin &amp; Roux»에서 흠칫한다.</t>
  </si>
  <si>
    <t xml:space="preserve">긴장 대화, vous</t>
  </si>
  <si>
    <t xml:space="preserve">Nicolas, Camille, Julien, Léa, Manon</t>
  </si>
  <si>
    <t xml:space="preserve">Le bâtiment 14</t>
  </si>
  <si>
    <r>
      <rPr>
        <sz val="10"/>
        <rFont val="Arial"/>
        <family val="0"/>
        <charset val="1"/>
      </rPr>
      <t xml:space="preserve">14</t>
    </r>
    <r>
      <rPr>
        <sz val="10"/>
        <rFont val="WenQuanYi Zen Hei"/>
        <family val="2"/>
      </rPr>
      <t xml:space="preserve">동</t>
    </r>
  </si>
  <si>
    <t xml:space="preserve">건물을 돌아본다. 22가구, 물이 새는 벽, 동네 보건센터 폐쇄. 이웃 Karim과 '계단 반장' Jeanne이 안내한다.</t>
  </si>
  <si>
    <t xml:space="preserve">건물·거주 표현</t>
  </si>
  <si>
    <t xml:space="preserve">Nicolas, Camille, Julien, Léa, Karim, Jeanne, Manon</t>
  </si>
  <si>
    <t xml:space="preserve">La nuit de l'escalier</t>
  </si>
  <si>
    <t xml:space="preserve">계단의 밤</t>
  </si>
  <si>
    <t xml:space="preserve">야간 퇴거 소문에 함께 밤샘한다. Monique의 음식과 Napoléon의 커피 불평. 처음으로 조금씩 속내를 꺼낸다.</t>
  </si>
  <si>
    <t xml:space="preserve">밤샘 대화, 위로</t>
  </si>
  <si>
    <t xml:space="preserve">Nicolas, Camille, Julien, Léa, Monique, Napoléon, Jeanne</t>
  </si>
  <si>
    <t xml:space="preserve">Les papiers de Julien</t>
  </si>
  <si>
    <r>
      <rPr>
        <sz val="10"/>
        <rFont val="Arial"/>
        <family val="0"/>
        <charset val="1"/>
      </rPr>
      <t xml:space="preserve">Julien</t>
    </r>
    <r>
      <rPr>
        <sz val="10"/>
        <rFont val="WenQuanYi Zen Hei"/>
        <family val="2"/>
      </rPr>
      <t xml:space="preserve">의 서류</t>
    </r>
  </si>
  <si>
    <r>
      <rPr>
        <sz val="10"/>
        <rFont val="Arial"/>
        <family val="0"/>
        <charset val="1"/>
      </rPr>
      <t xml:space="preserve">Julien</t>
    </r>
    <r>
      <rPr>
        <sz val="10"/>
        <rFont val="WenQuanYi Zen Hei"/>
        <family val="2"/>
      </rPr>
      <t xml:space="preserve">이 </t>
    </r>
    <r>
      <rPr>
        <sz val="10"/>
        <rFont val="Arial"/>
        <family val="0"/>
        <charset val="1"/>
      </rPr>
      <t xml:space="preserve">USB</t>
    </r>
    <r>
      <rPr>
        <sz val="10"/>
        <rFont val="WenQuanYi Zen Hei"/>
        <family val="2"/>
      </rPr>
      <t xml:space="preserve">를 꺼내 </t>
    </r>
    <r>
      <rPr>
        <sz val="10"/>
        <rFont val="Arial"/>
        <family val="0"/>
        <charset val="1"/>
      </rPr>
      <t xml:space="preserve">Fonds Cardinal – Groupe Méridien – Méridien Santé</t>
    </r>
    <r>
      <rPr>
        <sz val="10"/>
        <rFont val="WenQuanYi Zen Hei"/>
        <family val="2"/>
      </rPr>
      <t xml:space="preserve">의 연결을 보여 준다</t>
    </r>
    <r>
      <rPr>
        <sz val="10"/>
        <rFont val="Arial"/>
        <family val="0"/>
        <charset val="1"/>
      </rPr>
      <t xml:space="preserve">. </t>
    </r>
    <r>
      <rPr>
        <sz val="10"/>
        <rFont val="WenQuanYi Zen Hei"/>
        <family val="2"/>
      </rPr>
      <t xml:space="preserve">변호사가 필요하다</t>
    </r>
    <r>
      <rPr>
        <sz val="10"/>
        <rFont val="Arial"/>
        <family val="0"/>
        <charset val="1"/>
      </rPr>
      <t xml:space="preserve">.</t>
    </r>
  </si>
  <si>
    <t xml:space="preserve">서류 브리핑, 지분 구조</t>
  </si>
  <si>
    <t xml:space="preserve">Julien, Nicolas, Manon</t>
  </si>
  <si>
    <t xml:space="preserve">Un même nom</t>
  </si>
  <si>
    <t xml:space="preserve">같은 이름</t>
  </si>
  <si>
    <r>
      <rPr>
        <sz val="10"/>
        <rFont val="Arial"/>
        <family val="0"/>
        <charset val="1"/>
      </rPr>
      <t xml:space="preserve">Nicolas</t>
    </r>
    <r>
      <rPr>
        <sz val="10"/>
        <rFont val="WenQuanYi Zen Hei"/>
        <family val="2"/>
      </rPr>
      <t xml:space="preserve">의 퇴거</t>
    </r>
    <r>
      <rPr>
        <sz val="10"/>
        <rFont val="Arial"/>
        <family val="0"/>
        <charset val="1"/>
      </rPr>
      <t xml:space="preserve">, Camille</t>
    </r>
    <r>
      <rPr>
        <sz val="10"/>
        <rFont val="WenQuanYi Zen Hei"/>
        <family val="2"/>
      </rPr>
      <t xml:space="preserve">의 외주</t>
    </r>
    <r>
      <rPr>
        <sz val="10"/>
        <rFont val="Arial"/>
        <family val="0"/>
        <charset val="1"/>
      </rPr>
      <t xml:space="preserve">, Julien</t>
    </r>
    <r>
      <rPr>
        <sz val="10"/>
        <rFont val="WenQuanYi Zen Hei"/>
        <family val="2"/>
      </rPr>
      <t xml:space="preserve">의 감사</t>
    </r>
    <r>
      <rPr>
        <sz val="10"/>
        <rFont val="Arial"/>
        <family val="0"/>
        <charset val="1"/>
      </rPr>
      <t xml:space="preserve">, Léa</t>
    </r>
    <r>
      <rPr>
        <sz val="10"/>
        <rFont val="WenQuanYi Zen Hei"/>
        <family val="2"/>
      </rPr>
      <t xml:space="preserve">의 구조조정이 모두 </t>
    </r>
    <r>
      <rPr>
        <sz val="10"/>
        <rFont val="Arial"/>
        <family val="0"/>
        <charset val="1"/>
      </rPr>
      <t xml:space="preserve">Groupe Méridien</t>
    </r>
    <r>
      <rPr>
        <sz val="10"/>
        <rFont val="WenQuanYi Zen Hei"/>
        <family val="2"/>
      </rPr>
      <t xml:space="preserve">이었다</t>
    </r>
    <r>
      <rPr>
        <sz val="10"/>
        <rFont val="Arial"/>
        <family val="0"/>
        <charset val="1"/>
      </rPr>
      <t xml:space="preserve">. </t>
    </r>
    <r>
      <rPr>
        <sz val="10"/>
        <rFont val="WenQuanYi Zen Hei"/>
        <family val="2"/>
      </rPr>
      <t xml:space="preserve">각자 </t>
    </r>
    <r>
      <rPr>
        <sz val="10"/>
        <rFont val="Arial"/>
        <family val="0"/>
        <charset val="1"/>
      </rPr>
      <t xml:space="preserve">«mon client / mon contrat / mon rapport / mon plan.»</t>
    </r>
  </si>
  <si>
    <t xml:space="preserve">책임 표현, 접속법</t>
  </si>
  <si>
    <t xml:space="preserve">Nicolas, Camille, Julien, Léa</t>
  </si>
  <si>
    <t xml:space="preserve">Reproches</t>
  </si>
  <si>
    <t xml:space="preserve">서로에 대한 비난</t>
  </si>
  <si>
    <t xml:space="preserve">공모라고 서로를 몰아세운다. Nicolas가 나가 버리고 Camille가 막아선다.</t>
  </si>
  <si>
    <t xml:space="preserve">다툼, 비난·사과</t>
  </si>
  <si>
    <t xml:space="preserve">Heure zéro</t>
  </si>
  <si>
    <t xml:space="preserve">영시</t>
  </si>
  <si>
    <t xml:space="preserve">퇴거 집행 날 새벽. 서로의 전문성을 처음 합친다: Nicolas는 긴급 가처분(référé), Julien은 서류, Léa는 동선, Camille는 취약성 진단서. Voltaire가 기사를 쓰고 Curie가 서류가 있는 곳을 알려 준다.</t>
  </si>
  <si>
    <t xml:space="preserve">긴급 가처분(référé), 유예 기간, 진단서</t>
  </si>
  <si>
    <t xml:space="preserve">Nicolas, Camille, Julien, Léa, Voltaire, Curie, Jeanne</t>
  </si>
  <si>
    <t xml:space="preserve">La première suspension</t>
  </si>
  <si>
    <t xml:space="preserve">첫 정지</t>
  </si>
  <si>
    <t xml:space="preserve">판사가 집행을 정지한다. Hugo의 서툰 첫 연설이 군중을 울리고 Sartre가 아이들에게 말을 건다. Fatima 가족이 인사한다.</t>
  </si>
  <si>
    <t xml:space="preserve">안도·감사 표현</t>
  </si>
  <si>
    <r>
      <rPr>
        <sz val="10"/>
        <rFont val="Arial"/>
        <family val="0"/>
        <charset val="1"/>
      </rPr>
      <t xml:space="preserve">Nicolas, Camille, Julien, Léa, Hugo, Sartre, Manon, Fatima(</t>
    </r>
    <r>
      <rPr>
        <sz val="10"/>
        <rFont val="WenQuanYi Zen Hei"/>
        <family val="2"/>
      </rPr>
      <t xml:space="preserve">가상</t>
    </r>
    <r>
      <rPr>
        <sz val="10"/>
        <rFont val="Arial"/>
        <family val="0"/>
        <charset val="1"/>
      </rPr>
      <t xml:space="preserve">)</t>
    </r>
  </si>
  <si>
    <t xml:space="preserve">S2·E1</t>
  </si>
  <si>
    <t xml:space="preserve">Un local à Belleville</t>
  </si>
  <si>
    <t xml:space="preserve">벨빌의 가게</t>
  </si>
  <si>
    <t xml:space="preserve">사무실 자리를 찾는다. 소규모 집주인이 월세를 낮춰 주고 Monique의 새 비스트로가 1층에 들어선다. Philippe가 계좌 도움을 자청한다.</t>
  </si>
  <si>
    <t xml:space="preserve">상가 임대 협상, 소규모 임대인</t>
  </si>
  <si>
    <t xml:space="preserve">Nicolas, Camille, Julien, Léa, Monique, Philippe</t>
  </si>
  <si>
    <t xml:space="preserve">Les règles de la table</t>
  </si>
  <si>
    <t xml:space="preserve">식탁의 규칙</t>
  </si>
  <si>
    <t xml:space="preserve">규칙을 정한다: 가난한 사람에게는 수임료 없음, 금요일마다 한 명씩 과거를 이야기함. Manon이 «Je peux rester ?» Napoléon은 '아무도 청하지 않은 참모'를 자처한다.</t>
  </si>
  <si>
    <t xml:space="preserve">규칙, 약속 표현</t>
  </si>
  <si>
    <t xml:space="preserve">전원</t>
  </si>
  <si>
    <t xml:space="preserve">L'Enseigne</t>
  </si>
  <si>
    <t xml:space="preserve">간판</t>
  </si>
  <si>
    <t xml:space="preserve">간판이 걸린다. Monique가 «Demain, à cinq heures.» 원이 닫히며 1부 1화로 이어진다.</t>
  </si>
  <si>
    <t xml:space="preserve">시간 표현, 마무리</t>
  </si>
  <si>
    <t xml:space="preserve">Un an après</t>
  </si>
  <si>
    <r>
      <rPr>
        <sz val="10"/>
        <rFont val="Arial"/>
        <family val="0"/>
        <charset val="1"/>
      </rPr>
      <t xml:space="preserve">1</t>
    </r>
    <r>
      <rPr>
        <sz val="10"/>
        <rFont val="WenQuanYi Zen Hei"/>
        <family val="2"/>
      </rPr>
      <t xml:space="preserve">년 후</t>
    </r>
  </si>
  <si>
    <t xml:space="preserve">사무소가 커졌다. Monique가 팀 이름을 호명하며 역할을 소개한다: Jeanne 로지스틱스, Curie 출처, Voltaire 공론화, Sartre 되묻기, Karim 현장, Hugo 글, Philippe 자금, 그리고 새로 합류한 Olympe 권리 전략.</t>
  </si>
  <si>
    <t xml:space="preserve">역할·업무 분담</t>
  </si>
  <si>
    <t xml:space="preserve">La queue dans l'escalier</t>
  </si>
  <si>
    <t xml:space="preserve">계단 위의 줄</t>
  </si>
  <si>
    <t xml:space="preserve">의뢰인 줄이 계단까지 이어진다. 접수·분류 체계를 세우고 Léa의 매트릭스가 처음으로 쓸모 있어진다.</t>
  </si>
  <si>
    <t xml:space="preserve">접수·분류, 순서</t>
  </si>
  <si>
    <t xml:space="preserve">Léa, Manon, Jeanne, Monique</t>
  </si>
  <si>
    <t xml:space="preserve">S1·E1</t>
  </si>
  <si>
    <t xml:space="preserve">Classée sans suite</t>
  </si>
  <si>
    <t xml:space="preserve">불기소 처분</t>
  </si>
  <si>
    <t xml:space="preserve">성폭력 피해자 사건. 고소가 '증거 불충분'으로 불기소(classement sans suite)되자 Olympe와 Nicolas가 검찰총장 이의와 사소 고소(plainte avec constitution de partie civile)로 피해자를 돕는다. 형법상 강간 정의에 '비동의'를 넣은 개정의 적용을 두고 사무실 안에서도 의견이 갈린다.</t>
  </si>
  <si>
    <t xml:space="preserve">불기소와 이의(형사소송법 제40-1조), 사소 고소, 동의(consentement) 개념</t>
  </si>
  <si>
    <t xml:space="preserve">Olympe, Nicolas, Sartre, Julien, Voltaire</t>
  </si>
  <si>
    <t xml:space="preserve">N4</t>
  </si>
  <si>
    <t xml:space="preserve">Sans papiers</t>
  </si>
  <si>
    <t xml:space="preserve">서류 없는 사람들</t>
  </si>
  <si>
    <r>
      <rPr>
        <sz val="10"/>
        <rFont val="Arial"/>
        <family val="0"/>
        <charset val="1"/>
      </rPr>
      <t xml:space="preserve">Rachid</t>
    </r>
    <r>
      <rPr>
        <sz val="10"/>
        <rFont val="WenQuanYi Zen Hei"/>
        <family val="2"/>
      </rPr>
      <t xml:space="preserve">가 예외적 체류 허가</t>
    </r>
    <r>
      <rPr>
        <sz val="10"/>
        <rFont val="Arial"/>
        <family val="0"/>
        <charset val="1"/>
      </rPr>
      <t xml:space="preserve">(admission exceptionnelle au séjour)</t>
    </r>
    <r>
      <rPr>
        <sz val="10"/>
        <rFont val="WenQuanYi Zen Hei"/>
        <family val="2"/>
      </rPr>
      <t xml:space="preserve">와 노동 서류 문제를 들고 온다</t>
    </r>
    <r>
      <rPr>
        <sz val="10"/>
        <rFont val="Arial"/>
        <family val="0"/>
        <charset val="1"/>
      </rPr>
      <t xml:space="preserve">. Karim</t>
    </r>
    <r>
      <rPr>
        <sz val="10"/>
        <rFont val="WenQuanYi Zen Hei"/>
        <family val="2"/>
      </rPr>
      <t xml:space="preserve">은 노동</t>
    </r>
    <r>
      <rPr>
        <sz val="10"/>
        <rFont val="Arial"/>
        <family val="0"/>
        <charset val="1"/>
      </rPr>
      <t xml:space="preserve">, Camille</t>
    </r>
    <r>
      <rPr>
        <sz val="10"/>
        <rFont val="WenQuanYi Zen Hei"/>
        <family val="2"/>
      </rPr>
      <t xml:space="preserve">는 의료 접근을 이야기하고 수용의 한계를 두고 의견이 갈린다</t>
    </r>
    <r>
      <rPr>
        <sz val="10"/>
        <rFont val="Arial"/>
        <family val="0"/>
        <charset val="1"/>
      </rPr>
      <t xml:space="preserve">.</t>
    </r>
  </si>
  <si>
    <t xml:space="preserve">체류증(titre de séjour), 인력난 직종, 예외적 체류 허가</t>
  </si>
  <si>
    <r>
      <rPr>
        <sz val="10"/>
        <rFont val="Arial"/>
        <family val="0"/>
        <charset val="1"/>
      </rPr>
      <t xml:space="preserve">Nicolas, Karim, Camille, Rachid(</t>
    </r>
    <r>
      <rPr>
        <sz val="10"/>
        <rFont val="WenQuanYi Zen Hei"/>
        <family val="2"/>
      </rPr>
      <t xml:space="preserve">가상</t>
    </r>
    <r>
      <rPr>
        <sz val="10"/>
        <rFont val="Arial"/>
        <family val="0"/>
        <charset val="1"/>
      </rPr>
      <t xml:space="preserve">)</t>
    </r>
  </si>
  <si>
    <t xml:space="preserve">Le signalement de Philippe</t>
  </si>
  <si>
    <r>
      <rPr>
        <sz val="10"/>
        <rFont val="Arial"/>
        <family val="0"/>
        <charset val="1"/>
      </rPr>
      <t xml:space="preserve">Philippe</t>
    </r>
    <r>
      <rPr>
        <sz val="10"/>
        <rFont val="WenQuanYi Zen Hei"/>
        <family val="2"/>
      </rPr>
      <t xml:space="preserve">의 제보</t>
    </r>
  </si>
  <si>
    <t xml:space="preserve">전 은행 지점장이 내부 자료를 들고 나온다. 내부고발자 보호법과 신고 채널, 권리보호관(Défenseur des droits)의 역할을 검토한다.</t>
  </si>
  <si>
    <t xml:space="preserve">내부고발자 보호(Sapin II법·2022년 개정), 신고 채널</t>
  </si>
  <si>
    <t xml:space="preserve">Philippe, Nicolas, Julien, Voltaire</t>
  </si>
  <si>
    <t xml:space="preserve">Le Dossier</t>
  </si>
  <si>
    <t xml:space="preserve">사건 파일</t>
  </si>
  <si>
    <r>
      <rPr>
        <sz val="10"/>
        <rFont val="Arial"/>
        <family val="0"/>
        <charset val="1"/>
      </rPr>
      <t xml:space="preserve">Julien·Philippe</t>
    </r>
    <r>
      <rPr>
        <sz val="10"/>
        <rFont val="WenQuanYi Zen Hei"/>
        <family val="2"/>
      </rPr>
      <t xml:space="preserve">의 자금 경로 </t>
    </r>
    <r>
      <rPr>
        <sz val="10"/>
        <rFont val="Arial"/>
        <family val="0"/>
        <charset val="1"/>
      </rPr>
      <t xml:space="preserve">+ Curie</t>
    </r>
    <r>
      <rPr>
        <sz val="10"/>
        <rFont val="WenQuanYi Zen Hei"/>
        <family val="2"/>
      </rPr>
      <t xml:space="preserve">의 공개 출처 </t>
    </r>
    <r>
      <rPr>
        <sz val="10"/>
        <rFont val="Arial"/>
        <family val="0"/>
        <charset val="1"/>
      </rPr>
      <t xml:space="preserve">+ Camille</t>
    </r>
    <r>
      <rPr>
        <sz val="10"/>
        <rFont val="WenQuanYi Zen Hei"/>
        <family val="2"/>
      </rPr>
      <t xml:space="preserve">의 사망 사례</t>
    </r>
    <r>
      <rPr>
        <sz val="10"/>
        <rFont val="Arial"/>
        <family val="0"/>
        <charset val="1"/>
      </rPr>
      <t xml:space="preserve">. Nicolas</t>
    </r>
    <r>
      <rPr>
        <sz val="10"/>
        <rFont val="WenQuanYi Zen Hei"/>
        <family val="2"/>
      </rPr>
      <t xml:space="preserve">가 인가받은 반부패 단체를 통해 사소 고소장을 쓴다</t>
    </r>
    <r>
      <rPr>
        <sz val="10"/>
        <rFont val="Arial"/>
        <family val="0"/>
        <charset val="1"/>
      </rPr>
      <t xml:space="preserve">.</t>
    </r>
  </si>
  <si>
    <t xml:space="preserve">사소 고소, 인가 반부패 단체(형사소송법 제2-23조), 국가금융검찰(PNF)</t>
  </si>
  <si>
    <t xml:space="preserve">Nicolas, Julien, Philippe, Curie, Camille</t>
  </si>
  <si>
    <t xml:space="preserve">Représailles</t>
  </si>
  <si>
    <t xml:space="preserve">보복</t>
  </si>
  <si>
    <t xml:space="preserve">명예훼손 소송(procédure-bâillon)이 Voltaire에게, 위생 점검이 Monique의 비스트로에 날아온다. 익명의 협박이 이어진다.</t>
  </si>
  <si>
    <t xml:space="preserve">명예훼손(1881년 언론자유법), 전략적 봉쇄 소송, 보복</t>
  </si>
  <si>
    <t xml:space="preserve">Voltaire, Monique, Nicolas, Jeanne</t>
  </si>
  <si>
    <t xml:space="preserve">Le micro dans la lampe</t>
  </si>
  <si>
    <t xml:space="preserve">전등 속 마이크</t>
  </si>
  <si>
    <r>
      <rPr>
        <sz val="10"/>
        <rFont val="Arial"/>
        <family val="0"/>
        <charset val="1"/>
      </rPr>
      <t xml:space="preserve">Curie</t>
    </r>
    <r>
      <rPr>
        <sz val="10"/>
        <rFont val="WenQuanYi Zen Hei"/>
        <family val="2"/>
      </rPr>
      <t xml:space="preserve">가 전파 측정기로 도청기를 찾아낸다</t>
    </r>
    <r>
      <rPr>
        <sz val="10"/>
        <rFont val="Arial"/>
        <family val="0"/>
        <charset val="1"/>
      </rPr>
      <t xml:space="preserve">. </t>
    </r>
    <r>
      <rPr>
        <sz val="10"/>
        <rFont val="WenQuanYi Zen Hei"/>
        <family val="2"/>
      </rPr>
      <t xml:space="preserve">도청기로 되갚자는 </t>
    </r>
    <r>
      <rPr>
        <sz val="10"/>
        <rFont val="Arial"/>
        <family val="0"/>
        <charset val="1"/>
      </rPr>
      <t xml:space="preserve">Curie</t>
    </r>
    <r>
      <rPr>
        <sz val="10"/>
        <rFont val="WenQuanYi Zen Hei"/>
        <family val="2"/>
      </rPr>
      <t xml:space="preserve">와 합법 경로만 쓰자는 </t>
    </r>
    <r>
      <rPr>
        <sz val="10"/>
        <rFont val="Arial"/>
        <family val="0"/>
        <charset val="1"/>
      </rPr>
      <t xml:space="preserve">Nicolas</t>
    </r>
    <r>
      <rPr>
        <sz val="10"/>
        <rFont val="WenQuanYi Zen Hei"/>
        <family val="2"/>
      </rPr>
      <t xml:space="preserve">가 충돌한다</t>
    </r>
    <r>
      <rPr>
        <sz val="10"/>
        <rFont val="Arial"/>
        <family val="0"/>
        <charset val="1"/>
      </rPr>
      <t xml:space="preserve">.</t>
    </r>
  </si>
  <si>
    <t xml:space="preserve">사생활 침해(형법 제226-1조), 증거의 적법성, 통신 비밀</t>
  </si>
  <si>
    <t xml:space="preserve">Curie, Nicolas, Jeanne, Sartre</t>
  </si>
  <si>
    <t xml:space="preserve">La garde du quartier</t>
  </si>
  <si>
    <t xml:space="preserve">동네의 보초</t>
  </si>
  <si>
    <t xml:space="preserve">사무소 앞에 이웃들이 교대로 서서 지킨다. Karim이 조직하고 Hugo가 벽에 문구를 쓴다.</t>
  </si>
  <si>
    <t xml:space="preserve">연대·조직 표현</t>
  </si>
  <si>
    <t xml:space="preserve">Karim, Hugo, Monique, Jeanne</t>
  </si>
  <si>
    <t xml:space="preserve">L'Ordonnance</t>
  </si>
  <si>
    <t xml:space="preserve">예심판사의 결정</t>
  </si>
  <si>
    <t xml:space="preserve">파리 금융 전담 예심판사가 수사를 개시하고 GM 임원 세 명을 피의자로 입건(mise en examen)한다. 사무실이 환호한다.</t>
  </si>
  <si>
    <t xml:space="preserve">예심(instruction), 입건(mise en examen), 출석</t>
  </si>
  <si>
    <t xml:space="preserve">Nicolas, Julien, Voltaire, Philippe</t>
  </si>
  <si>
    <t xml:space="preserve">La loi qui vient</t>
  </si>
  <si>
    <t xml:space="preserve">다가오는 법</t>
  </si>
  <si>
    <r>
      <rPr>
        <sz val="10"/>
        <rFont val="Arial"/>
        <family val="0"/>
        <charset val="1"/>
      </rPr>
      <t xml:space="preserve">GM</t>
    </r>
    <r>
      <rPr>
        <sz val="10"/>
        <rFont val="WenQuanYi Zen Hei"/>
        <family val="2"/>
      </rPr>
      <t xml:space="preserve">과 가까운 의원들이 반부패 단체의 인가와 사소 고소권을 제한하는 법안을 낸다</t>
    </r>
    <r>
      <rPr>
        <sz val="10"/>
        <rFont val="Arial"/>
        <family val="0"/>
        <charset val="1"/>
      </rPr>
      <t xml:space="preserve">. Napoléon: «Les jugements se gagnent ; les lois s'écrivent. Moi, j'ai écrit un Code.»</t>
    </r>
  </si>
  <si>
    <t xml:space="preserve">의원 발의 법안(proposition de loi), 단체 인가 제한</t>
  </si>
  <si>
    <t xml:space="preserve">Napoléon, Nicolas, Léa, Karim</t>
  </si>
  <si>
    <t xml:space="preserve">P1·P3</t>
  </si>
  <si>
    <t xml:space="preserve">Une chaise à République</t>
  </si>
  <si>
    <t xml:space="preserve">레퓌블리크 광장의 의자</t>
  </si>
  <si>
    <r>
      <rPr>
        <sz val="10"/>
        <rFont val="Arial"/>
        <family val="0"/>
        <charset val="1"/>
      </rPr>
      <t xml:space="preserve">Karim</t>
    </r>
    <r>
      <rPr>
        <sz val="10"/>
        <rFont val="WenQuanYi Zen Hei"/>
        <family val="2"/>
      </rPr>
      <t xml:space="preserve">이 레퓌블리크 광장에서 모이자고 제안한다</t>
    </r>
    <r>
      <rPr>
        <sz val="10"/>
        <rFont val="Arial"/>
        <family val="0"/>
        <charset val="1"/>
      </rPr>
      <t xml:space="preserve">. Monique</t>
    </r>
    <r>
      <rPr>
        <sz val="10"/>
        <rFont val="WenQuanYi Zen Hei"/>
        <family val="2"/>
      </rPr>
      <t xml:space="preserve">가 식탁의 의자를 든다</t>
    </r>
    <r>
      <rPr>
        <sz val="10"/>
        <rFont val="Arial"/>
        <family val="0"/>
        <charset val="1"/>
      </rPr>
      <t xml:space="preserve">. Nicolas</t>
    </r>
    <r>
      <rPr>
        <sz val="10"/>
        <rFont val="WenQuanYi Zen Hei"/>
        <family val="2"/>
      </rPr>
      <t xml:space="preserve">가 </t>
    </r>
    <r>
      <rPr>
        <sz val="10"/>
        <rFont val="Arial"/>
        <family val="0"/>
        <charset val="1"/>
      </rPr>
      <t xml:space="preserve">«Il faut changer la loi.»</t>
    </r>
  </si>
  <si>
    <t xml:space="preserve">결단, 제안</t>
  </si>
  <si>
    <t xml:space="preserve">P1</t>
  </si>
  <si>
    <t xml:space="preserve">L'assemblée à République</t>
  </si>
  <si>
    <t xml:space="preserve">레퓌블리크 광장의 집회</t>
  </si>
  <si>
    <t xml:space="preserve">사무소를 거쳐 간 의뢰인 수백 명이 레퓌블리크 광장에 모인다. Karim과 Jeanne이 조직하고, 시위 사전 신고를 두고 Nicolas와 Jeanne이 실랑이.</t>
  </si>
  <si>
    <t xml:space="preserve">시위는 파리 경찰청(Préfecture de police)에 사전 신고(국내안전법전 L.211-1조 이하)</t>
  </si>
  <si>
    <t xml:space="preserve">Karim, Jeanne, Nicolas</t>
  </si>
  <si>
    <t xml:space="preserve">De l'affaire à la loi</t>
  </si>
  <si>
    <t xml:space="preserve">사건에서 법으로</t>
  </si>
  <si>
    <r>
      <rPr>
        <sz val="10"/>
        <rFont val="Arial"/>
        <family val="0"/>
        <charset val="1"/>
      </rPr>
      <t xml:space="preserve">Nicolas</t>
    </r>
    <r>
      <rPr>
        <sz val="10"/>
        <rFont val="WenQuanYi Zen Hei"/>
        <family val="2"/>
      </rPr>
      <t xml:space="preserve">가 수십 건의 사건에서 같은 조항이 반복되는 것을 짚는다</t>
    </r>
    <r>
      <rPr>
        <sz val="10"/>
        <rFont val="Arial"/>
        <family val="0"/>
        <charset val="1"/>
      </rPr>
      <t xml:space="preserve">. </t>
    </r>
    <r>
      <rPr>
        <sz val="10"/>
        <rFont val="WenQuanYi Zen Hei"/>
        <family val="2"/>
      </rPr>
      <t xml:space="preserve">법을 바꿔야 한다</t>
    </r>
    <r>
      <rPr>
        <sz val="10"/>
        <rFont val="Arial"/>
        <family val="0"/>
        <charset val="1"/>
      </rPr>
      <t xml:space="preserve">.</t>
    </r>
  </si>
  <si>
    <t xml:space="preserve">법을 바꾸는 길: 정부 법안(projet de loi), 의원 법안(proposition de loi), 시민청원, 공동발의 국민투표(RIP)</t>
  </si>
  <si>
    <t xml:space="preserve">Nicolas, Manon</t>
  </si>
  <si>
    <t xml:space="preserve">Cinq cent mille signatures</t>
  </si>
  <si>
    <r>
      <rPr>
        <sz val="10"/>
        <rFont val="Arial"/>
        <family val="0"/>
        <charset val="1"/>
      </rPr>
      <t xml:space="preserve">50</t>
    </r>
    <r>
      <rPr>
        <sz val="10"/>
        <rFont val="WenQuanYi Zen Hei"/>
        <family val="2"/>
      </rPr>
      <t xml:space="preserve">만 서명</t>
    </r>
  </si>
  <si>
    <t xml:space="preserve">하원 전자 청원 서명 운동. Monique의 비스트로가 노인들의 온라인 서명(FranceConnect 로그인)을 돕는 접수처가 된다.</t>
  </si>
  <si>
    <t xml:space="preserve">하원 청원: 50만 명 이상이면 본회의 토론 가능 (하원 의사규칙 제148조, 확인)</t>
  </si>
  <si>
    <t xml:space="preserve">Monique, Karim, Manon</t>
  </si>
  <si>
    <t xml:space="preserve">S1·S2</t>
  </si>
  <si>
    <t xml:space="preserve">전환점</t>
  </si>
  <si>
    <t xml:space="preserve">Un débat sans vote</t>
  </si>
  <si>
    <t xml:space="preserve">표결 없는 토론</t>
  </si>
  <si>
    <t xml:space="preserve">청원이 50만을 넘어 본회의 토론이 열리지만, 표결도 법 개정도 없이 끝난다. 방청석의 시민들.</t>
  </si>
  <si>
    <t xml:space="preserve">의장단 회의(Conférence des présidents), 청원은 입법권이 아니다</t>
  </si>
  <si>
    <t xml:space="preserve">Nicolas, Voltaire</t>
  </si>
  <si>
    <t xml:space="preserve">Naissance d'un parti</t>
  </si>
  <si>
    <t xml:space="preserve">정당의 탄생</t>
  </si>
  <si>
    <t xml:space="preserve">이름을 정한다: «Maison Commune» — Monique의 식탁에서 나온 이름. 창립 정관에 서명하고 정치자금 수탁 단체를 세운다.</t>
  </si>
  <si>
    <t xml:space="preserve">정당은 1901년 결사법상 단체로 설립, 정치자금 수탁자(mandataire financier)·CNCCFP 승인 (1988년 정치자금투명성법)</t>
  </si>
  <si>
    <t xml:space="preserve">Monique, Hugo, Nicolas, Olympe</t>
  </si>
  <si>
    <t xml:space="preserve">Les Statuts</t>
  </si>
  <si>
    <t xml:space="preserve">정관</t>
  </si>
  <si>
    <t xml:space="preserve">당원 자격, 윤리 강령, 후보 선출 방식을 둘러싼 토론. Léa의 조직도 vs Karim의 총회. Olympe가 남녀 동수 원칙을 정관에 넣는다.</t>
  </si>
  <si>
    <t xml:space="preserve">헌법 제4조(정당 활동의 자유·다원주의), 내부 민주주의는 법적 의무가 아닌 선택</t>
  </si>
  <si>
    <t xml:space="preserve">Léa, Karim, Olympe</t>
  </si>
  <si>
    <t xml:space="preserve">L'argent propre</t>
  </si>
  <si>
    <t xml:space="preserve">깨끗한 돈</t>
  </si>
  <si>
    <t xml:space="preserve">소액 후원 원칙과 회계 공개. 은행이 계좌 개설을 미루자 Philippe가 프랑스은행의 계좌 개설권(droit au compte) 절차를 안다.</t>
  </si>
  <si>
    <t xml:space="preserve">개인 후원 연 7,500유로 상한·법인 후원 금지, CNCCFP 감독, 계좌 개설권</t>
  </si>
  <si>
    <t xml:space="preserve">Les Listes</t>
  </si>
  <si>
    <t xml:space="preserve">후보 명부</t>
  </si>
  <si>
    <r>
      <rPr>
        <sz val="10"/>
        <rFont val="Arial"/>
        <family val="0"/>
        <charset val="1"/>
      </rPr>
      <t xml:space="preserve">Julien·Camille</t>
    </r>
    <r>
      <rPr>
        <sz val="10"/>
        <rFont val="WenQuanYi Zen Hei"/>
        <family val="2"/>
      </rPr>
      <t xml:space="preserve">를 파리 시의회 명부 상위에 올린다</t>
    </r>
    <r>
      <rPr>
        <sz val="10"/>
        <rFont val="Arial"/>
        <family val="0"/>
        <charset val="1"/>
      </rPr>
      <t xml:space="preserve">. </t>
    </r>
    <r>
      <rPr>
        <sz val="10"/>
        <rFont val="WenQuanYi Zen Hei"/>
        <family val="2"/>
      </rPr>
      <t xml:space="preserve">남녀 교대</t>
    </r>
    <r>
      <rPr>
        <sz val="10"/>
        <rFont val="Arial"/>
        <family val="0"/>
        <charset val="1"/>
      </rPr>
      <t xml:space="preserve">(</t>
    </r>
    <r>
      <rPr>
        <sz val="10"/>
        <rFont val="WenQuanYi Zen Hei"/>
        <family val="2"/>
      </rPr>
      <t xml:space="preserve">파리테</t>
    </r>
    <r>
      <rPr>
        <sz val="10"/>
        <rFont val="Arial"/>
        <family val="0"/>
        <charset val="1"/>
      </rPr>
      <t xml:space="preserve">) </t>
    </r>
    <r>
      <rPr>
        <sz val="10"/>
        <rFont val="WenQuanYi Zen Hei"/>
        <family val="2"/>
      </rPr>
      <t xml:space="preserve">명부 순서를 둘러싼 갈등</t>
    </r>
    <r>
      <rPr>
        <sz val="10"/>
        <rFont val="Arial"/>
        <family val="0"/>
        <charset val="1"/>
      </rPr>
      <t xml:space="preserve">.</t>
    </r>
  </si>
  <si>
    <t xml:space="preserve">남녀 교대 명부(2000년 파리테법), 파리 시의회 선거 방식(2025년 개정, 확인)</t>
  </si>
  <si>
    <t xml:space="preserve">Julien, Camille, Manon, Olympe</t>
  </si>
  <si>
    <t xml:space="preserve">N4·S1</t>
  </si>
  <si>
    <t xml:space="preserve">La campagne dans les quartiers</t>
  </si>
  <si>
    <t xml:space="preserve">골목길 캠페인</t>
  </si>
  <si>
    <r>
      <rPr>
        <sz val="10"/>
        <rFont val="Arial"/>
        <family val="0"/>
        <charset val="1"/>
      </rPr>
      <t xml:space="preserve">Monique</t>
    </r>
    <r>
      <rPr>
        <sz val="10"/>
        <rFont val="WenQuanYi Zen Hei"/>
        <family val="2"/>
      </rPr>
      <t xml:space="preserve">의 비스트로에서 시작해 </t>
    </r>
    <r>
      <rPr>
        <sz val="10"/>
        <rFont val="Arial"/>
        <family val="0"/>
        <charset val="1"/>
      </rPr>
      <t xml:space="preserve">Belleville·Ménilmontant </t>
    </r>
    <r>
      <rPr>
        <sz val="10"/>
        <rFont val="WenQuanYi Zen Hei"/>
        <family val="2"/>
      </rPr>
      <t xml:space="preserve">골목을 도는 유세</t>
    </r>
    <r>
      <rPr>
        <sz val="10"/>
        <rFont val="Arial"/>
        <family val="0"/>
        <charset val="1"/>
      </rPr>
      <t xml:space="preserve">. Hugo</t>
    </r>
    <r>
      <rPr>
        <sz val="10"/>
        <rFont val="WenQuanYi Zen Hei"/>
        <family val="2"/>
      </rPr>
      <t xml:space="preserve">의 첫 연설 문구</t>
    </r>
    <r>
      <rPr>
        <sz val="10"/>
        <rFont val="Arial"/>
        <family val="0"/>
        <charset val="1"/>
      </rPr>
      <t xml:space="preserve">.</t>
    </r>
  </si>
  <si>
    <t xml:space="preserve">공식 선거운동 기간, 선거비용 계정(compte de campagne)</t>
  </si>
  <si>
    <t xml:space="preserve">Hugo, Monique, Jeanne</t>
  </si>
  <si>
    <t xml:space="preserve">E1·E2·S2</t>
  </si>
  <si>
    <t xml:space="preserve">L'attaque de la presse</t>
  </si>
  <si>
    <t xml:space="preserve">언론의 공격</t>
  </si>
  <si>
    <t xml:space="preserve">왜곡 기사가 나온다. Voltaire가 반박하고 반론권을 행사한다.</t>
  </si>
  <si>
    <t xml:space="preserve">반론권(droit de réponse, 1881년 법 제13조), 선거 중 허위정보 금지 가처분(2018년 법)</t>
  </si>
  <si>
    <t xml:space="preserve">Voltaire, Nicolas</t>
  </si>
  <si>
    <t xml:space="preserve">La veille du scrutin</t>
  </si>
  <si>
    <t xml:space="preserve">투표 전날</t>
  </si>
  <si>
    <t xml:space="preserve">선거 전날, 마지막 유세의 유혹을 접고 침묵. Sartre의 되묻기가 처음으로 위로가 된다.</t>
  </si>
  <si>
    <t xml:space="preserve">선거 전날·당일 선거운동 금지(réserve électorale), 여론조사 공표 금지</t>
  </si>
  <si>
    <t xml:space="preserve">Sartre, Léa</t>
  </si>
  <si>
    <t xml:space="preserve">La nuit des urnes</t>
  </si>
  <si>
    <t xml:space="preserve">개표의 밤</t>
  </si>
  <si>
    <t xml:space="preserve">파리 시의회 163석 중 12석 (가상 수치). 시장 선출은 다른 당의 몫.</t>
  </si>
  <si>
    <r>
      <rPr>
        <sz val="10"/>
        <rFont val="Noto Sans CJK SC"/>
        <family val="2"/>
        <charset val="1"/>
      </rPr>
      <t xml:space="preserve">2</t>
    </r>
    <r>
      <rPr>
        <sz val="10"/>
        <rFont val="WenQuanYi Zen Hei"/>
        <family val="2"/>
      </rPr>
      <t xml:space="preserve">회 투표 명부제</t>
    </r>
    <r>
      <rPr>
        <sz val="10"/>
        <rFont val="Noto Sans CJK SC"/>
        <family val="2"/>
        <charset val="1"/>
      </rPr>
      <t xml:space="preserve">, </t>
    </r>
    <r>
      <rPr>
        <sz val="10"/>
        <rFont val="WenQuanYi Zen Hei"/>
        <family val="2"/>
      </rPr>
      <t xml:space="preserve">결선 진출 </t>
    </r>
    <r>
      <rPr>
        <sz val="10"/>
        <rFont val="Noto Sans CJK SC"/>
        <family val="2"/>
        <charset val="1"/>
      </rPr>
      <t xml:space="preserve">10%·</t>
    </r>
    <r>
      <rPr>
        <sz val="10"/>
        <rFont val="WenQuanYi Zen Hei"/>
        <family val="2"/>
      </rPr>
      <t xml:space="preserve">연합 </t>
    </r>
    <r>
      <rPr>
        <sz val="10"/>
        <rFont val="Noto Sans CJK SC"/>
        <family val="2"/>
        <charset val="1"/>
      </rPr>
      <t xml:space="preserve">5% </t>
    </r>
    <r>
      <rPr>
        <sz val="10"/>
        <rFont val="WenQuanYi Zen Hei"/>
        <family val="2"/>
      </rPr>
      <t xml:space="preserve">문턱</t>
    </r>
    <r>
      <rPr>
        <sz val="10"/>
        <rFont val="Noto Sans CJK SC"/>
        <family val="2"/>
        <charset val="1"/>
      </rPr>
      <t xml:space="preserve">, </t>
    </r>
    <r>
      <rPr>
        <sz val="10"/>
        <rFont val="WenQuanYi Zen Hei"/>
        <family val="2"/>
      </rPr>
      <t xml:space="preserve">다수파 보너스</t>
    </r>
  </si>
  <si>
    <t xml:space="preserve">L'installation du Conseil</t>
  </si>
  <si>
    <t xml:space="preserve">시의회 개원</t>
  </si>
  <si>
    <t xml:space="preserve">선거 후 첫 회의에서 파리 시장을 뽑는다. Maison Commune은 Julien에게 투표하지만 3차 투표에서 상대다수로 다른 당 후보가 선출된다.</t>
  </si>
  <si>
    <t xml:space="preserve">시장 선출: 1·2차 절대다수, 3차 상대다수 (지방자치법전 L.2122-7조)</t>
  </si>
  <si>
    <t xml:space="preserve">Julien, Nicolas</t>
  </si>
  <si>
    <t xml:space="preserve">La première séance</t>
  </si>
  <si>
    <t xml:space="preserve">첫 본회의</t>
  </si>
  <si>
    <t xml:space="preserve">발언 시간, 시정 질의(questions d'actualité)·결의안(vœux) 절차를 배우는 신참 의원들. Manon의 질문 연발.</t>
  </si>
  <si>
    <r>
      <rPr>
        <sz val="10"/>
        <rFont val="Arial"/>
        <family val="0"/>
        <charset val="1"/>
      </rPr>
      <t xml:space="preserve">Conseil de Paris </t>
    </r>
    <r>
      <rPr>
        <sz val="10"/>
        <rFont val="WenQuanYi Zen Hei"/>
        <family val="2"/>
      </rPr>
      <t xml:space="preserve">운영</t>
    </r>
    <r>
      <rPr>
        <sz val="10"/>
        <rFont val="Arial"/>
        <family val="0"/>
        <charset val="1"/>
      </rPr>
      <t xml:space="preserve">: délibérations, vœux, questions</t>
    </r>
  </si>
  <si>
    <t xml:space="preserve">Julien, Manon</t>
  </si>
  <si>
    <t xml:space="preserve">L'audit de la ville</t>
  </si>
  <si>
    <t xml:space="preserve">도시 예산 감사</t>
  </si>
  <si>
    <r>
      <rPr>
        <sz val="10"/>
        <rFont val="Arial"/>
        <family val="0"/>
        <charset val="1"/>
      </rPr>
      <t xml:space="preserve">Julien</t>
    </r>
    <r>
      <rPr>
        <sz val="10"/>
        <rFont val="WenQuanYi Zen Hei"/>
        <family val="2"/>
      </rPr>
      <t xml:space="preserve">이 시 예산과 단일 결산서</t>
    </r>
    <r>
      <rPr>
        <sz val="10"/>
        <rFont val="Arial"/>
        <family val="0"/>
        <charset val="1"/>
      </rPr>
      <t xml:space="preserve">(compte financier unique)</t>
    </r>
    <r>
      <rPr>
        <sz val="10"/>
        <rFont val="WenQuanYi Zen Hei"/>
        <family val="2"/>
      </rPr>
      <t xml:space="preserve">를 파고들고 </t>
    </r>
    <r>
      <rPr>
        <sz val="10"/>
        <rFont val="Arial"/>
        <family val="0"/>
        <charset val="1"/>
      </rPr>
      <t xml:space="preserve">Philippe</t>
    </r>
    <r>
      <rPr>
        <sz val="10"/>
        <rFont val="WenQuanYi Zen Hei"/>
        <family val="2"/>
      </rPr>
      <t xml:space="preserve">가 계좌 흐름을 그린다</t>
    </r>
    <r>
      <rPr>
        <sz val="10"/>
        <rFont val="Arial"/>
        <family val="0"/>
        <charset val="1"/>
      </rPr>
      <t xml:space="preserve">.</t>
    </r>
  </si>
  <si>
    <t xml:space="preserve">예산·결산, 지방재정감사원(Chambre régionale des comptes)</t>
  </si>
  <si>
    <t xml:space="preserve">Les contrats à la loupe</t>
  </si>
  <si>
    <t xml:space="preserve">돋보기 아래의 계약들</t>
  </si>
  <si>
    <t xml:space="preserve">공공 임대주택 기관(Paris Habitat, 가상 사례)의 계약 쪼개기와, 유럽 회복기금 사업이 소수 업체로 흘러간 정황. 행정 병목 때문에 일부는 집행조차 못 했다.</t>
  </si>
  <si>
    <t xml:space="preserve">공공조달법전(Code de la commande publique), 분할 발주, 회복계획(France Relance·PNRR)</t>
  </si>
  <si>
    <t xml:space="preserve">Julien, Curie, Philippe</t>
  </si>
  <si>
    <t xml:space="preserve">N2</t>
  </si>
  <si>
    <t xml:space="preserve">L'alliance inconfortable</t>
  </si>
  <si>
    <t xml:space="preserve">불편한 동맹</t>
  </si>
  <si>
    <t xml:space="preserve">예산 통과를 위해 다수파와 표를 맞바꿔야 하는 딜레마. Karim 반대.</t>
  </si>
  <si>
    <t xml:space="preserve">소수 의원단의 캐스팅보트, 예산안 표결</t>
  </si>
  <si>
    <t xml:space="preserve">Le piège du budget</t>
  </si>
  <si>
    <t xml:space="preserve">예산의 덫</t>
  </si>
  <si>
    <t xml:space="preserve">예산 부속 문서에 숨은 임대 보조(aide au logement de la Ville) 20% 삭감과 관광 단기임대 용도변경 규제 완화 조항. Manon의 2차 폭발. Napoléon이 선을 넘고 Jeanne·Monique가 나무란다.</t>
  </si>
  <si>
    <t xml:space="preserve">예산 심의 위원회, 주거 용도변경(changement d'usage)·단기임대 규제</t>
  </si>
  <si>
    <t xml:space="preserve">Manon, Julien, Napoléon, Jeanne, Monique</t>
  </si>
  <si>
    <t xml:space="preserve">La santé au Conseil</t>
  </si>
  <si>
    <t xml:space="preserve">시의회에서의 보건</t>
  </si>
  <si>
    <t xml:space="preserve">시립 보건센터가 문을 닫고 파리 북동부와 인접 센생드니가 의료 사막이 된다. Camille가 AP-HP 감독위원회에서 병원 외주 계약 자료를 요구한다.</t>
  </si>
  <si>
    <t xml:space="preserve">보건은 국가(ARS) 권한, 파리 시장이 AP-HP 감독위원회 의장, 시립 보건센터</t>
  </si>
  <si>
    <t xml:space="preserve">Camille, Voltaire</t>
  </si>
  <si>
    <t xml:space="preserve">Le scandale révélé</t>
  </si>
  <si>
    <t xml:space="preserve">파헤쳐진 스캔들</t>
  </si>
  <si>
    <t xml:space="preserve">외주 계약과 시 계약이 한 회사로 이어진다. Curie가 출처를 가리키고 Nicolas는 합법 증거만 쓰자고 고집한다.</t>
  </si>
  <si>
    <t xml:space="preserve">증거의 적법성, 내부고발자 보호(Sapin II법)</t>
  </si>
  <si>
    <t xml:space="preserve">Curie, Nicolas, Philippe</t>
  </si>
  <si>
    <t xml:space="preserve">La Plainte</t>
  </si>
  <si>
    <t xml:space="preserve">고소장</t>
  </si>
  <si>
    <t xml:space="preserve">사무소가 인가 반부패 단체와 함께 사소 고소를 제기. 국가금융검찰(PNF).</t>
  </si>
  <si>
    <t xml:space="preserve">사소 고소, PNF, 예심 개시</t>
  </si>
  <si>
    <t xml:space="preserve">La riposte du pouvoir</t>
  </si>
  <si>
    <t xml:space="preserve">권력의 반격</t>
  </si>
  <si>
    <t xml:space="preserve">명예훼손 소송과 여론전. Sartre와 Hugo가 대응 메시지를 설계한다.</t>
  </si>
  <si>
    <t xml:space="preserve">명예훼손 소송, 반론권</t>
  </si>
  <si>
    <t xml:space="preserve">Hugo, Sartre</t>
  </si>
  <si>
    <t xml:space="preserve">La loyauté à l'épreuve</t>
  </si>
  <si>
    <t xml:space="preserve">시험대에 오른 의리</t>
  </si>
  <si>
    <t xml:space="preserve">대선에 누가 나설지 당내 경선. 서운함과 화해.</t>
  </si>
  <si>
    <t xml:space="preserve">당내 경선(primaire), 정관</t>
  </si>
  <si>
    <t xml:space="preserve">Léa, Karim, Julien</t>
  </si>
  <si>
    <t xml:space="preserve">Cap sur l'Élysée</t>
  </si>
  <si>
    <t xml:space="preserve">엘리제를 향해</t>
  </si>
  <si>
    <t xml:space="preserve">현직 대통령(가상)이 연임 제한으로 불출마하는 대선이 8개월 앞으로 다가온다. Nicolas가 출마를 선언하고 Maison Commune은 선출직 500명의 추천서(parrainages) 모으기부터 시작한다.</t>
  </si>
  <si>
    <t xml:space="preserve">대통령 연임 2회 제한(헌법 제6조), 추천서 500장·30개 도 이상·한 도 10% 이하</t>
  </si>
  <si>
    <t xml:space="preserve">Nicolas, Léa, Jeanne</t>
  </si>
  <si>
    <t xml:space="preserve">Cinq cents parrainages</t>
  </si>
  <si>
    <t xml:space="preserve">추천서 500장</t>
  </si>
  <si>
    <t xml:space="preserve">대선 소집 명령이 관보에 실리고 헌법재판소(Conseil constitutionnel)가 추천서를 받기 시작한다. 파리 시의원 12명으로는 턱없이 부족하다.</t>
  </si>
  <si>
    <t xml:space="preserve">추천서(parrainages) 공개 제도, 헌법재판소 접수, 후보 명단 공고</t>
  </si>
  <si>
    <t xml:space="preserve">Léa, Jeanne, Monique</t>
  </si>
  <si>
    <t xml:space="preserve">La tournée des maires</t>
  </si>
  <si>
    <t xml:space="preserve">시장들을 찾아서</t>
  </si>
  <si>
    <t xml:space="preserve">전국 농촌 순회. 학교도 병원도 문을 닫은 Jeanne의 고향 Domrémy 근처 마을들, 가뭄으로 마른 저수지, 영농형 태양광 단지를 둘러싼 찬반. 시골 시장들이 한 장씩 서명한다.</t>
  </si>
  <si>
    <t xml:space="preserve">농촌 공동화(diagonale du vide), 시장의 추천권, 재생에너지 입지</t>
  </si>
  <si>
    <t xml:space="preserve">Jeanne, Hugo, Nicolas</t>
  </si>
  <si>
    <t xml:space="preserve">N5·S3·S4</t>
  </si>
  <si>
    <t xml:space="preserve">Le débat à douze</t>
  </si>
  <si>
    <t xml:space="preserve">다자 토론</t>
  </si>
  <si>
    <r>
      <rPr>
        <sz val="10"/>
        <rFont val="Arial"/>
        <family val="0"/>
        <charset val="1"/>
      </rPr>
      <t xml:space="preserve">1</t>
    </r>
    <r>
      <rPr>
        <sz val="10"/>
        <rFont val="WenQuanYi Zen Hei"/>
        <family val="2"/>
      </rPr>
      <t xml:space="preserve">차 투표 전 다자 </t>
    </r>
    <r>
      <rPr>
        <sz val="10"/>
        <rFont val="Arial"/>
        <family val="0"/>
        <charset val="1"/>
      </rPr>
      <t xml:space="preserve">TV </t>
    </r>
    <r>
      <rPr>
        <sz val="10"/>
        <rFont val="WenQuanYi Zen Hei"/>
        <family val="2"/>
      </rPr>
      <t xml:space="preserve">토론</t>
    </r>
    <r>
      <rPr>
        <sz val="10"/>
        <rFont val="Arial"/>
        <family val="0"/>
        <charset val="1"/>
      </rPr>
      <t xml:space="preserve">. </t>
    </r>
    <r>
      <rPr>
        <sz val="10"/>
        <rFont val="WenQuanYi Zen Hei"/>
        <family val="2"/>
      </rPr>
      <t xml:space="preserve">발언 시간 균등 원칙 속에서 </t>
    </r>
    <r>
      <rPr>
        <sz val="10"/>
        <rFont val="Arial"/>
        <family val="0"/>
        <charset val="1"/>
      </rPr>
      <t xml:space="preserve">Nicolas</t>
    </r>
    <r>
      <rPr>
        <sz val="10"/>
        <rFont val="WenQuanYi Zen Hei"/>
        <family val="2"/>
      </rPr>
      <t xml:space="preserve">의 첫 </t>
    </r>
    <r>
      <rPr>
        <sz val="10"/>
        <rFont val="Arial"/>
        <family val="0"/>
        <charset val="1"/>
      </rPr>
      <t xml:space="preserve">TV </t>
    </r>
    <r>
      <rPr>
        <sz val="10"/>
        <rFont val="WenQuanYi Zen Hei"/>
        <family val="2"/>
      </rPr>
      <t xml:space="preserve">토론</t>
    </r>
    <r>
      <rPr>
        <sz val="10"/>
        <rFont val="Arial"/>
        <family val="0"/>
        <charset val="1"/>
      </rPr>
      <t xml:space="preserve">. Manon</t>
    </r>
    <r>
      <rPr>
        <sz val="10"/>
        <rFont val="WenQuanYi Zen Hei"/>
        <family val="2"/>
      </rPr>
      <t xml:space="preserve">이 준비한 질문 목록이 승부를 가른다</t>
    </r>
    <r>
      <rPr>
        <sz val="10"/>
        <rFont val="Arial"/>
        <family val="0"/>
        <charset val="1"/>
      </rPr>
      <t xml:space="preserve">.</t>
    </r>
  </si>
  <si>
    <t xml:space="preserve">공식 선거운동 기간 발언 시간 균등(Arcom), 토론 규칙은 방송사·캠프 협상</t>
  </si>
  <si>
    <t xml:space="preserve">Nicolas, Manon, Sartre</t>
  </si>
  <si>
    <t xml:space="preserve">N4·S2·N3·P2·S1</t>
  </si>
  <si>
    <t xml:space="preserve">Le premier tour</t>
  </si>
  <si>
    <r>
      <rPr>
        <sz val="10"/>
        <rFont val="Noto Sans CJK SC"/>
        <family val="2"/>
        <charset val="1"/>
      </rPr>
      <t xml:space="preserve">1</t>
    </r>
    <r>
      <rPr>
        <sz val="10"/>
        <rFont val="WenQuanYi Zen Hei"/>
        <family val="2"/>
      </rPr>
      <t xml:space="preserve">차 투표의 밤</t>
    </r>
  </si>
  <si>
    <r>
      <rPr>
        <sz val="10"/>
        <rFont val="Arial"/>
        <family val="0"/>
        <charset val="1"/>
      </rPr>
      <t xml:space="preserve">20</t>
    </r>
    <r>
      <rPr>
        <sz val="10"/>
        <rFont val="WenQuanYi Zen Hei"/>
        <family val="2"/>
      </rPr>
      <t xml:space="preserve">시 출구 추정치</t>
    </r>
    <r>
      <rPr>
        <sz val="10"/>
        <rFont val="Arial"/>
        <family val="0"/>
        <charset val="1"/>
      </rPr>
      <t xml:space="preserve">. FS </t>
    </r>
    <r>
      <rPr>
        <sz val="10"/>
        <rFont val="WenQuanYi Zen Hei"/>
        <family val="2"/>
      </rPr>
      <t xml:space="preserve">후보 </t>
    </r>
    <r>
      <rPr>
        <sz val="10"/>
        <rFont val="Arial"/>
        <family val="0"/>
        <charset val="1"/>
      </rPr>
      <t xml:space="preserve">1</t>
    </r>
    <r>
      <rPr>
        <sz val="10"/>
        <rFont val="WenQuanYi Zen Hei"/>
        <family val="2"/>
      </rPr>
      <t xml:space="preserve">위</t>
    </r>
    <r>
      <rPr>
        <sz val="10"/>
        <rFont val="Arial"/>
        <family val="0"/>
        <charset val="1"/>
      </rPr>
      <t xml:space="preserve">, Nicolas 2</t>
    </r>
    <r>
      <rPr>
        <sz val="10"/>
        <rFont val="WenQuanYi Zen Hei"/>
        <family val="2"/>
      </rPr>
      <t xml:space="preserve">위로 결선 진출</t>
    </r>
    <r>
      <rPr>
        <sz val="10"/>
        <rFont val="Arial"/>
        <family val="0"/>
        <charset val="1"/>
      </rPr>
      <t xml:space="preserve">, UCN</t>
    </r>
    <r>
      <rPr>
        <sz val="10"/>
        <rFont val="WenQuanYi Zen Hei"/>
        <family val="2"/>
      </rPr>
      <t xml:space="preserve">은 근소한 차이로 </t>
    </r>
    <r>
      <rPr>
        <sz val="10"/>
        <rFont val="Arial"/>
        <family val="0"/>
        <charset val="1"/>
      </rPr>
      <t xml:space="preserve">3</t>
    </r>
    <r>
      <rPr>
        <sz val="10"/>
        <rFont val="WenQuanYi Zen Hei"/>
        <family val="2"/>
      </rPr>
      <t xml:space="preserve">위 </t>
    </r>
    <r>
      <rPr>
        <sz val="10"/>
        <rFont val="Arial"/>
        <family val="0"/>
        <charset val="1"/>
      </rPr>
      <t xml:space="preserve">(</t>
    </r>
    <r>
      <rPr>
        <sz val="10"/>
        <rFont val="WenQuanYi Zen Hei"/>
        <family val="2"/>
      </rPr>
      <t xml:space="preserve">가상 수치</t>
    </r>
    <r>
      <rPr>
        <sz val="10"/>
        <rFont val="Arial"/>
        <family val="0"/>
        <charset val="1"/>
      </rPr>
      <t xml:space="preserve">).</t>
    </r>
  </si>
  <si>
    <r>
      <rPr>
        <sz val="10"/>
        <rFont val="Arial"/>
        <family val="0"/>
        <charset val="1"/>
      </rPr>
      <t xml:space="preserve">2</t>
    </r>
    <r>
      <rPr>
        <sz val="10"/>
        <rFont val="WenQuanYi Zen Hei"/>
        <family val="2"/>
      </rPr>
      <t xml:space="preserve">회 투표제</t>
    </r>
    <r>
      <rPr>
        <sz val="10"/>
        <rFont val="Arial"/>
        <family val="0"/>
        <charset val="1"/>
      </rPr>
      <t xml:space="preserve">: 1</t>
    </r>
    <r>
      <rPr>
        <sz val="10"/>
        <rFont val="WenQuanYi Zen Hei"/>
        <family val="2"/>
      </rPr>
      <t xml:space="preserve">차에서 과반 없으면 상위 </t>
    </r>
    <r>
      <rPr>
        <sz val="10"/>
        <rFont val="Arial"/>
        <family val="0"/>
        <charset val="1"/>
      </rPr>
      <t xml:space="preserve">2</t>
    </r>
    <r>
      <rPr>
        <sz val="10"/>
        <rFont val="WenQuanYi Zen Hei"/>
        <family val="2"/>
      </rPr>
      <t xml:space="preserve">인 결선</t>
    </r>
    <r>
      <rPr>
        <sz val="10"/>
        <rFont val="Arial"/>
        <family val="0"/>
        <charset val="1"/>
      </rPr>
      <t xml:space="preserve">(</t>
    </r>
    <r>
      <rPr>
        <sz val="10"/>
        <rFont val="WenQuanYi Zen Hei"/>
        <family val="2"/>
      </rPr>
      <t xml:space="preserve">헌법 제</t>
    </r>
    <r>
      <rPr>
        <sz val="10"/>
        <rFont val="Arial"/>
        <family val="0"/>
        <charset val="1"/>
      </rPr>
      <t xml:space="preserve">7</t>
    </r>
    <r>
      <rPr>
        <sz val="10"/>
        <rFont val="WenQuanYi Zen Hei"/>
        <family val="2"/>
      </rPr>
      <t xml:space="preserve">조</t>
    </r>
    <r>
      <rPr>
        <sz val="10"/>
        <rFont val="Arial"/>
        <family val="0"/>
        <charset val="1"/>
      </rPr>
      <t xml:space="preserve">)</t>
    </r>
  </si>
  <si>
    <t xml:space="preserve">L'entre-deux-tours</t>
  </si>
  <si>
    <t xml:space="preserve">결선까지의 2주</t>
  </si>
  <si>
    <t xml:space="preserve">탈락한 후보들의 지지 선언을 둘러싼 협상. Léa의 계산과 Karim의 원칙 논쟁.</t>
  </si>
  <si>
    <t xml:space="preserve">결선 전 지지 선언(appel à voter), 표의 이동(report de voix)</t>
  </si>
  <si>
    <t xml:space="preserve">Léa, Karim, Nicolas</t>
  </si>
  <si>
    <t xml:space="preserve">Le débat d'entre-deux-tours</t>
  </si>
  <si>
    <t xml:space="preserve">결선 TV 토론</t>
  </si>
  <si>
    <t xml:space="preserve">두 후보의 단 한 번의 결선 토론. Nicolas가 처음으로 조항이 아니라 사람 이야기로 말한다. Napoléon의 해설.</t>
  </si>
  <si>
    <t xml:space="preserve">결선 토론 관행, 토론 수사</t>
  </si>
  <si>
    <t xml:space="preserve">Nicolas, Napoléon, Manon</t>
  </si>
  <si>
    <t xml:space="preserve">E1·E3</t>
  </si>
  <si>
    <t xml:space="preserve">Le second tour</t>
  </si>
  <si>
    <t xml:space="preserve">결선 투표</t>
  </si>
  <si>
    <r>
      <rPr>
        <sz val="10"/>
        <rFont val="Arial"/>
        <family val="0"/>
        <charset val="1"/>
      </rPr>
      <t xml:space="preserve">Nicolas </t>
    </r>
    <r>
      <rPr>
        <sz val="10"/>
        <rFont val="WenQuanYi Zen Hei"/>
        <family val="2"/>
      </rPr>
      <t xml:space="preserve">당선 </t>
    </r>
    <r>
      <rPr>
        <sz val="10"/>
        <rFont val="Arial"/>
        <family val="0"/>
        <charset val="1"/>
      </rPr>
      <t xml:space="preserve">(</t>
    </r>
    <r>
      <rPr>
        <sz val="10"/>
        <rFont val="WenQuanYi Zen Hei"/>
        <family val="2"/>
      </rPr>
      <t xml:space="preserve">가상 수치</t>
    </r>
    <r>
      <rPr>
        <sz val="10"/>
        <rFont val="Arial"/>
        <family val="0"/>
        <charset val="1"/>
      </rPr>
      <t xml:space="preserve">). 20</t>
    </r>
    <r>
      <rPr>
        <sz val="10"/>
        <rFont val="WenQuanYi Zen Hei"/>
        <family val="2"/>
      </rPr>
      <t xml:space="preserve">시</t>
    </r>
    <r>
      <rPr>
        <sz val="10"/>
        <rFont val="Arial"/>
        <family val="0"/>
        <charset val="1"/>
      </rPr>
      <t xml:space="preserve">, </t>
    </r>
    <r>
      <rPr>
        <sz val="10"/>
        <rFont val="WenQuanYi Zen Hei"/>
        <family val="2"/>
      </rPr>
      <t xml:space="preserve">화면에 얼굴이 뜨는 순간 </t>
    </r>
    <r>
      <rPr>
        <sz val="10"/>
        <rFont val="Arial"/>
        <family val="0"/>
        <charset val="1"/>
      </rPr>
      <t xml:space="preserve">Monique</t>
    </r>
    <r>
      <rPr>
        <sz val="10"/>
        <rFont val="WenQuanYi Zen Hei"/>
        <family val="2"/>
      </rPr>
      <t xml:space="preserve">의 비스트로가 조용해진다</t>
    </r>
    <r>
      <rPr>
        <sz val="10"/>
        <rFont val="Arial"/>
        <family val="0"/>
        <charset val="1"/>
      </rPr>
      <t xml:space="preserve">.</t>
    </r>
  </si>
  <si>
    <t xml:space="preserve">결선 결과, 출구 추정치(estimation)</t>
  </si>
  <si>
    <t xml:space="preserve">La Proclamation</t>
  </si>
  <si>
    <t xml:space="preserve">결과 선포와 취임</t>
  </si>
  <si>
    <t xml:space="preserve">헌법재판소장이 공식 결과를 선포하고, 엘리제궁에서 권한 이양식이 열린다. 레지옹 도뇌르 대훈장 목걸이를 받는 Nicolas에게 Napoléon이 «C'est moi qui l'ai créée, cette Légion.»</t>
  </si>
  <si>
    <t xml:space="preserve">결과 선포(헌법 제58조), 취임식(passation de pouvoirs) — 선서는 없다</t>
  </si>
  <si>
    <r>
      <rPr>
        <sz val="10"/>
        <rFont val="Arial"/>
        <family val="0"/>
        <charset val="1"/>
      </rPr>
      <t xml:space="preserve">Nicolas, Napoléon, </t>
    </r>
    <r>
      <rPr>
        <sz val="10"/>
        <rFont val="WenQuanYi Zen Hei"/>
        <family val="2"/>
      </rPr>
      <t xml:space="preserve">헌법재판소장</t>
    </r>
    <r>
      <rPr>
        <sz val="10"/>
        <rFont val="Arial"/>
        <family val="0"/>
        <charset val="1"/>
      </rPr>
      <t xml:space="preserve">(</t>
    </r>
    <r>
      <rPr>
        <sz val="10"/>
        <rFont val="WenQuanYi Zen Hei"/>
        <family val="2"/>
      </rPr>
      <t xml:space="preserve">가상</t>
    </r>
    <r>
      <rPr>
        <sz val="10"/>
        <rFont val="Arial"/>
        <family val="0"/>
        <charset val="1"/>
      </rPr>
      <t xml:space="preserve">)</t>
    </r>
  </si>
  <si>
    <t xml:space="preserve">La Dissolution</t>
  </si>
  <si>
    <t xml:space="preserve">국회 해산</t>
  </si>
  <si>
    <t xml:space="preserve">하원에 Maison Commune 의석이 없다. Nicolas가 국회를 해산하고 총선을 소집한다. 당 내부의 원칙 논쟁.</t>
  </si>
  <si>
    <t xml:space="preserve">대통령의 해산권(헌법 제12조): 20~40일 내 총선, 1년 내 재해산 불가</t>
  </si>
  <si>
    <t xml:space="preserve">Nicolas, Karim, Léa</t>
  </si>
  <si>
    <t xml:space="preserve">Les Législatives</t>
  </si>
  <si>
    <t xml:space="preserve">총선</t>
  </si>
  <si>
    <r>
      <rPr>
        <sz val="10"/>
        <rFont val="Arial"/>
        <family val="0"/>
        <charset val="1"/>
      </rPr>
      <t xml:space="preserve">577</t>
    </r>
    <r>
      <rPr>
        <sz val="10"/>
        <rFont val="WenQuanYi Zen Hei"/>
        <family val="2"/>
      </rPr>
      <t xml:space="preserve">개 선거구 </t>
    </r>
    <r>
      <rPr>
        <sz val="10"/>
        <rFont val="Arial"/>
        <family val="0"/>
        <charset val="1"/>
      </rPr>
      <t xml:space="preserve">2</t>
    </r>
    <r>
      <rPr>
        <sz val="10"/>
        <rFont val="WenQuanYi Zen Hei"/>
        <family val="2"/>
      </rPr>
      <t xml:space="preserve">회 투표</t>
    </r>
    <r>
      <rPr>
        <sz val="10"/>
        <rFont val="Arial"/>
        <family val="0"/>
        <charset val="1"/>
      </rPr>
      <t xml:space="preserve">. Maison Commune 198</t>
    </r>
    <r>
      <rPr>
        <sz val="10"/>
        <rFont val="WenQuanYi Zen Hei"/>
        <family val="2"/>
      </rPr>
      <t xml:space="preserve">석으로 </t>
    </r>
    <r>
      <rPr>
        <sz val="10"/>
        <rFont val="Arial"/>
        <family val="0"/>
        <charset val="1"/>
      </rPr>
      <t xml:space="preserve">1</t>
    </r>
    <r>
      <rPr>
        <sz val="10"/>
        <rFont val="WenQuanYi Zen Hei"/>
        <family val="2"/>
      </rPr>
      <t xml:space="preserve">당</t>
    </r>
    <r>
      <rPr>
        <sz val="10"/>
        <rFont val="Arial"/>
        <family val="0"/>
        <charset val="1"/>
      </rPr>
      <t xml:space="preserve">, </t>
    </r>
    <r>
      <rPr>
        <sz val="10"/>
        <rFont val="WenQuanYi Zen Hei"/>
        <family val="2"/>
      </rPr>
      <t xml:space="preserve">그러나 과반 </t>
    </r>
    <r>
      <rPr>
        <sz val="10"/>
        <rFont val="Arial"/>
        <family val="0"/>
        <charset val="1"/>
      </rPr>
      <t xml:space="preserve">289</t>
    </r>
    <r>
      <rPr>
        <sz val="10"/>
        <rFont val="WenQuanYi Zen Hei"/>
        <family val="2"/>
      </rPr>
      <t xml:space="preserve">석에는 </t>
    </r>
    <r>
      <rPr>
        <sz val="10"/>
        <rFont val="Arial"/>
        <family val="0"/>
        <charset val="1"/>
      </rPr>
      <t xml:space="preserve">91</t>
    </r>
    <r>
      <rPr>
        <sz val="10"/>
        <rFont val="WenQuanYi Zen Hei"/>
        <family val="2"/>
      </rPr>
      <t xml:space="preserve">석 모자란다 </t>
    </r>
    <r>
      <rPr>
        <sz val="10"/>
        <rFont val="Arial"/>
        <family val="0"/>
        <charset val="1"/>
      </rPr>
      <t xml:space="preserve">(</t>
    </r>
    <r>
      <rPr>
        <sz val="10"/>
        <rFont val="WenQuanYi Zen Hei"/>
        <family val="2"/>
      </rPr>
      <t xml:space="preserve">가상 수치</t>
    </r>
    <r>
      <rPr>
        <sz val="10"/>
        <rFont val="Arial"/>
        <family val="0"/>
        <charset val="1"/>
      </rPr>
      <t xml:space="preserve">).</t>
    </r>
  </si>
  <si>
    <t xml:space="preserve">소선거구 2회 투표제, 결선 진출 12.5%(등록 유권자 대비), 과반 289석</t>
  </si>
  <si>
    <t xml:space="preserve">Matignon</t>
  </si>
  <si>
    <t xml:space="preserve">마티뇽</t>
  </si>
  <si>
    <t xml:space="preserve">총리 인선과 지지 협상. 대통령은 총리를 자유롭게 임명하지만 하원이 불신임할 수 있다. Nicolas가 Olympe를 총리로 임명하고, 지역 정당 연합 CT와 코르시카 자치 협상 조건을 두고 밤샘한다.</t>
  </si>
  <si>
    <t xml:space="preserve">총리 임명(헌법 제8조), 정당 간 협약, 상대다수 정부</t>
  </si>
  <si>
    <t xml:space="preserve">Nicolas, Olympe, Léa, Julien, Philippe</t>
  </si>
  <si>
    <t xml:space="preserve">P2·P3·P1</t>
  </si>
  <si>
    <t xml:space="preserve">La voix qui manque</t>
  </si>
  <si>
    <t xml:space="preserve">모자란 한 표</t>
  </si>
  <si>
    <r>
      <rPr>
        <sz val="10"/>
        <rFont val="Arial"/>
        <family val="0"/>
        <charset val="1"/>
      </rPr>
      <t xml:space="preserve">Olympe</t>
    </r>
    <r>
      <rPr>
        <sz val="10"/>
        <rFont val="WenQuanYi Zen Hei"/>
        <family val="2"/>
      </rPr>
      <t xml:space="preserve">의 일반정책연설 직후 야당이 불신임안을 낸다</t>
    </r>
    <r>
      <rPr>
        <sz val="10"/>
        <rFont val="Arial"/>
        <family val="0"/>
        <charset val="1"/>
      </rPr>
      <t xml:space="preserve">. </t>
    </r>
    <r>
      <rPr>
        <sz val="10"/>
        <rFont val="WenQuanYi Zen Hei"/>
        <family val="2"/>
      </rPr>
      <t xml:space="preserve">찬성 </t>
    </r>
    <r>
      <rPr>
        <sz val="10"/>
        <rFont val="Arial"/>
        <family val="0"/>
        <charset val="1"/>
      </rPr>
      <t xml:space="preserve">288</t>
    </r>
    <r>
      <rPr>
        <sz val="10"/>
        <rFont val="WenQuanYi Zen Hei"/>
        <family val="2"/>
      </rPr>
      <t xml:space="preserve">표 — 과반 </t>
    </r>
    <r>
      <rPr>
        <sz val="10"/>
        <rFont val="Arial"/>
        <family val="0"/>
        <charset val="1"/>
      </rPr>
      <t xml:space="preserve">289</t>
    </r>
    <r>
      <rPr>
        <sz val="10"/>
        <rFont val="WenQuanYi Zen Hei"/>
        <family val="2"/>
      </rPr>
      <t xml:space="preserve">에 딱 </t>
    </r>
    <r>
      <rPr>
        <sz val="10"/>
        <rFont val="Arial"/>
        <family val="0"/>
        <charset val="1"/>
      </rPr>
      <t xml:space="preserve">1</t>
    </r>
    <r>
      <rPr>
        <sz val="10"/>
        <rFont val="WenQuanYi Zen Hei"/>
        <family val="2"/>
      </rPr>
      <t xml:space="preserve">표 부족해 부결</t>
    </r>
    <r>
      <rPr>
        <sz val="10"/>
        <rFont val="Arial"/>
        <family val="0"/>
        <charset val="1"/>
      </rPr>
      <t xml:space="preserve">. </t>
    </r>
    <r>
      <rPr>
        <sz val="10"/>
        <rFont val="WenQuanYi Zen Hei"/>
        <family val="2"/>
      </rPr>
      <t xml:space="preserve">하원의장이 결과를 낭독한다</t>
    </r>
    <r>
      <rPr>
        <sz val="10"/>
        <rFont val="Arial"/>
        <family val="0"/>
        <charset val="1"/>
      </rPr>
      <t xml:space="preserve">.</t>
    </r>
  </si>
  <si>
    <t xml:space="preserve">불신임안(헌법 제49조 2항): 찬성표만 집계, 재적 과반 289표</t>
  </si>
  <si>
    <r>
      <rPr>
        <sz val="10"/>
        <rFont val="Arial"/>
        <family val="0"/>
        <charset val="1"/>
      </rPr>
      <t xml:space="preserve">Olympe, Nicolas, </t>
    </r>
    <r>
      <rPr>
        <sz val="10"/>
        <rFont val="WenQuanYi Zen Hei"/>
        <family val="2"/>
      </rPr>
      <t xml:space="preserve">하원의장</t>
    </r>
  </si>
  <si>
    <t xml:space="preserve">Le premier Conseil des ministres</t>
  </si>
  <si>
    <t xml:space="preserve">첫 국무회의</t>
  </si>
  <si>
    <t xml:space="preserve">첫 수요일 국무회의. 대통령이 주재하는 엘리제의 어색한 첫날. 임대료 시위가 마티뇽 앞까지 온다.</t>
  </si>
  <si>
    <t xml:space="preserve">국무회의(수요일, 대통령 주재), 장관 임명(총리 제청·대통령 임명, 헌법 제8조)</t>
  </si>
  <si>
    <t xml:space="preserve">Nicolas, Olympe, Léa</t>
  </si>
  <si>
    <t xml:space="preserve">P1·E1</t>
  </si>
  <si>
    <t xml:space="preserve">Les propriétaires invisibles</t>
  </si>
  <si>
    <t xml:space="preserve">보이지 않는 집주인들</t>
  </si>
  <si>
    <r>
      <rPr>
        <sz val="10"/>
        <rFont val="Arial"/>
        <family val="0"/>
        <charset val="1"/>
      </rPr>
      <t xml:space="preserve">Julien·Philippe</t>
    </r>
    <r>
      <rPr>
        <sz val="10"/>
        <rFont val="WenQuanYi Zen Hei"/>
        <family val="2"/>
      </rPr>
      <t xml:space="preserve">가 투자 펀드의 주택 매입을 부동산 민간회사</t>
    </r>
    <r>
      <rPr>
        <sz val="10"/>
        <rFont val="Arial"/>
        <family val="0"/>
        <charset val="1"/>
      </rPr>
      <t xml:space="preserve">(SCI)·</t>
    </r>
    <r>
      <rPr>
        <sz val="10"/>
        <rFont val="WenQuanYi Zen Hei"/>
        <family val="2"/>
      </rPr>
      <t xml:space="preserve">자회사 구조로 추적한다</t>
    </r>
    <r>
      <rPr>
        <sz val="10"/>
        <rFont val="Arial"/>
        <family val="0"/>
        <charset val="1"/>
      </rPr>
      <t xml:space="preserve">.</t>
    </r>
  </si>
  <si>
    <t xml:space="preserve">실소유자 등록부(registre des bénéficiaires effectifs), TRACFIN</t>
  </si>
  <si>
    <t xml:space="preserve">La loi Logement</t>
  </si>
  <si>
    <t xml:space="preserve">주거법</t>
  </si>
  <si>
    <t xml:space="preserve">주거법 개정안: Nicolas가 2부에서 설계했던 '리노베이션 해지' 허점을 막고 임대료 상한을 넓힌다. 야당 의원 60명이 헌법재판소에 위헌 심사를 청구한다.</t>
  </si>
  <si>
    <t xml:space="preserve">법률의 사전 위헌 심사(헌법 제61조), 재산권 vs 주거권</t>
  </si>
  <si>
    <t xml:space="preserve">Nicolas, Curie, Olympe</t>
  </si>
  <si>
    <t xml:space="preserve">Urgences saturées</t>
  </si>
  <si>
    <t xml:space="preserve">응급실 마비</t>
  </si>
  <si>
    <t xml:space="preserve">폭염이 겹쳐 응급실이 마비된다. 보건부 장관 Camille가 현장으로 달려가지만, 병원 예산은 의회가 표결하는 사회보장재정법(LFSS)의 지출 목표(ONDAM)에 묶여 있음을 배운다.</t>
  </si>
  <si>
    <t xml:space="preserve">지역보건청(ARS), 사회보장재정법(LFSS)·ONDAM, 병원 인력</t>
  </si>
  <si>
    <t xml:space="preserve">Camille, Manon, Sartre, Nicolas</t>
  </si>
  <si>
    <t xml:space="preserve">S3·S4</t>
  </si>
  <si>
    <t xml:space="preserve">La Répartition</t>
  </si>
  <si>
    <t xml:space="preserve">분담</t>
  </si>
  <si>
    <t xml:space="preserve">파리 북부의 이주민 텐트촌과 보호자 없는 미성년 이주민(MNA)의 수용이 한계에 달하고, 아동 보호를 맡은 도(département)들이 서로 떠넘긴다. 국무회의가 전국 분산 수용을 추진하자 Monique가 Belleville 이웃들의 이야기를 꺼낸다.</t>
  </si>
  <si>
    <t xml:space="preserve">외국인체류·망명법전(CESEDA), 2024년 이민법, 아동보호(ASE)는 도 권한, EU 이민·망명 협약(2026 시행)</t>
  </si>
  <si>
    <t xml:space="preserve">Nicolas, Monique, Camille, Karim</t>
  </si>
  <si>
    <t xml:space="preserve">La voix de la jeunesse</t>
  </si>
  <si>
    <t xml:space="preserve">청년들의 목소리</t>
  </si>
  <si>
    <t xml:space="preserve">청년 고용·인턴 처우 협상. Napoléon이 Manon의 청년 정책안을 놓고 평소처럼 투덜대며 조언한다 — 아직은 죽지 않는다, 그러나 계단에서 배를 움켜쥐는 게 보인다.</t>
  </si>
  <si>
    <t xml:space="preserve">사회적 대화(dialogue social): 정부·노조·경영계, 인턴 수당(gratification)</t>
  </si>
  <si>
    <t xml:space="preserve">Manon, Napoléon, Karim</t>
  </si>
  <si>
    <t xml:space="preserve">Le cartel des prix</t>
  </si>
  <si>
    <t xml:space="preserve">가격 카르텔</t>
  </si>
  <si>
    <t xml:space="preserve">도청 자료를 쓰자는 Curie vs 합법 경로만 쓰겠다는 Nicolas. 아직 살아 있는 Napoléon이 둘의 다툼을 지켜보며 «합법으로 이기면 느리지만, 이기고 나면 아무도 뒤집지 못한다»라고 거든다.</t>
  </si>
  <si>
    <t xml:space="preserve">경쟁당국(Autorité de la concurrence, 상법전 L.420-1조), 증거의 적법성</t>
  </si>
  <si>
    <t xml:space="preserve">Curie, Nicolas, Voltaire, Napoléon</t>
  </si>
  <si>
    <t xml:space="preserve">L'impôt sur les géants</t>
  </si>
  <si>
    <t xml:space="preserve">거인들에게 매기는 세금</t>
  </si>
  <si>
    <t xml:space="preserve">초고액 자산 최저세 논쟁. 세금은 명령(décret)이 아니라 법률로만 정할 수 있고, 걷힌 돈을 전기요금과 에너지 전환에 어떻게 나눌지도 얽힌다. 재계·은행의 반발을 Philippe가 막는다.</t>
  </si>
  <si>
    <t xml:space="preserve">조세는 법률 사항(헌법 제34조), 재정법(loi de finances), 초과이윤 부담금 선례(2022)</t>
  </si>
  <si>
    <t xml:space="preserve">Julien, Philippe, Olympe</t>
  </si>
  <si>
    <t xml:space="preserve">N5·S4</t>
  </si>
  <si>
    <t xml:space="preserve">En route pour Bruxelles</t>
  </si>
  <si>
    <t xml:space="preserve">브뤼셀로 가는 길</t>
  </si>
  <si>
    <r>
      <rPr>
        <sz val="10"/>
        <rFont val="Arial"/>
        <family val="0"/>
        <charset val="1"/>
      </rPr>
      <t xml:space="preserve">NATO</t>
    </r>
    <r>
      <rPr>
        <sz val="10"/>
        <rFont val="WenQuanYi Zen Hei"/>
        <family val="2"/>
      </rPr>
      <t xml:space="preserve">의 </t>
    </r>
    <r>
      <rPr>
        <sz val="10"/>
        <rFont val="Arial"/>
        <family val="0"/>
        <charset val="1"/>
      </rPr>
      <t xml:space="preserve">GDP 5% </t>
    </r>
    <r>
      <rPr>
        <sz val="10"/>
        <rFont val="WenQuanYi Zen Hei"/>
        <family val="2"/>
      </rPr>
      <t xml:space="preserve">목표</t>
    </r>
    <r>
      <rPr>
        <sz val="10"/>
        <rFont val="Arial"/>
        <family val="0"/>
        <charset val="1"/>
      </rPr>
      <t xml:space="preserve">(2035</t>
    </r>
    <r>
      <rPr>
        <sz val="10"/>
        <rFont val="WenQuanYi Zen Hei"/>
        <family val="2"/>
      </rPr>
      <t xml:space="preserve">년 시한</t>
    </r>
    <r>
      <rPr>
        <sz val="10"/>
        <rFont val="Arial"/>
        <family val="0"/>
        <charset val="1"/>
      </rPr>
      <t xml:space="preserve">) </t>
    </r>
    <r>
      <rPr>
        <sz val="10"/>
        <rFont val="WenQuanYi Zen Hei"/>
        <family val="2"/>
      </rPr>
      <t xml:space="preserve">이행과 </t>
    </r>
    <r>
      <rPr>
        <sz val="10"/>
        <rFont val="Arial"/>
        <family val="0"/>
        <charset val="1"/>
      </rPr>
      <t xml:space="preserve">EU </t>
    </r>
    <r>
      <rPr>
        <sz val="10"/>
        <rFont val="WenQuanYi Zen Hei"/>
        <family val="2"/>
      </rPr>
      <t xml:space="preserve">과도한 적자 절차 협상이 겹친 대표단이 꾸려진다</t>
    </r>
    <r>
      <rPr>
        <sz val="10"/>
        <rFont val="Arial"/>
        <family val="0"/>
        <charset val="1"/>
      </rPr>
      <t xml:space="preserve">. Napoléon</t>
    </r>
    <r>
      <rPr>
        <sz val="10"/>
        <rFont val="WenQuanYi Zen Hei"/>
        <family val="2"/>
      </rPr>
      <t xml:space="preserve">이 </t>
    </r>
    <r>
      <rPr>
        <sz val="10"/>
        <rFont val="Arial"/>
        <family val="0"/>
        <charset val="1"/>
      </rPr>
      <t xml:space="preserve">«J'y vais.»</t>
    </r>
    <r>
      <rPr>
        <sz val="10"/>
        <rFont val="WenQuanYi Zen Hei"/>
        <family val="2"/>
      </rPr>
      <t xml:space="preserve">라고 자원한다 — 워털루 이후 처음 유럽 협상장에 서는 순간</t>
    </r>
    <r>
      <rPr>
        <sz val="10"/>
        <rFont val="Arial"/>
        <family val="0"/>
        <charset val="1"/>
      </rPr>
      <t xml:space="preserve">. </t>
    </r>
    <r>
      <rPr>
        <sz val="10"/>
        <rFont val="WenQuanYi Zen Hei"/>
        <family val="2"/>
      </rPr>
      <t xml:space="preserve">짐을 싸며 </t>
    </r>
    <r>
      <rPr>
        <sz val="10"/>
        <rFont val="Arial"/>
        <family val="0"/>
        <charset val="1"/>
      </rPr>
      <t xml:space="preserve">Hugo</t>
    </r>
    <r>
      <rPr>
        <sz val="10"/>
        <rFont val="WenQuanYi Zen Hei"/>
        <family val="2"/>
      </rPr>
      <t xml:space="preserve">에게 두 종류의 지도자를 회상한다</t>
    </r>
    <r>
      <rPr>
        <sz val="10"/>
        <rFont val="Arial"/>
        <family val="0"/>
        <charset val="1"/>
      </rPr>
      <t xml:space="preserve">: </t>
    </r>
    <r>
      <rPr>
        <sz val="10"/>
        <rFont val="WenQuanYi Zen Hei"/>
        <family val="2"/>
      </rPr>
      <t xml:space="preserve">건물에 금박 이름을 새기던 사업가 출신으로 이제 관세를 무기 삼아 카메라 앞에서 소리치는 인물</t>
    </r>
    <r>
      <rPr>
        <sz val="10"/>
        <rFont val="Arial"/>
        <family val="0"/>
        <charset val="1"/>
      </rPr>
      <t xml:space="preserve">, </t>
    </r>
    <r>
      <rPr>
        <sz val="10"/>
        <rFont val="WenQuanYi Zen Hei"/>
        <family val="2"/>
      </rPr>
      <t xml:space="preserve">그리고 정보기관에서 </t>
    </r>
    <r>
      <rPr>
        <sz val="10"/>
        <rFont val="Arial"/>
        <family val="0"/>
        <charset val="1"/>
      </rPr>
      <t xml:space="preserve">30</t>
    </r>
    <r>
      <rPr>
        <sz val="10"/>
        <rFont val="WenQuanYi Zen Hei"/>
        <family val="2"/>
      </rPr>
      <t xml:space="preserve">년을 보낸 뒤 이웃 나라 땅을 가져간 인물</t>
    </r>
    <r>
      <rPr>
        <sz val="10"/>
        <rFont val="Arial"/>
        <family val="0"/>
        <charset val="1"/>
      </rPr>
      <t xml:space="preserve">. </t>
    </r>
    <r>
      <rPr>
        <sz val="10"/>
        <rFont val="WenQuanYi Zen Hei"/>
        <family val="2"/>
      </rPr>
      <t xml:space="preserve">이름도 국가도 끝내 말하지 않는다</t>
    </r>
    <r>
      <rPr>
        <sz val="10"/>
        <rFont val="Arial"/>
        <family val="0"/>
        <charset val="1"/>
      </rPr>
      <t xml:space="preserve">(</t>
    </r>
    <r>
      <rPr>
        <sz val="10"/>
        <rFont val="WenQuanYi Zen Hei"/>
        <family val="2"/>
      </rPr>
      <t xml:space="preserve">실존 인물 실명 미사용</t>
    </r>
    <r>
      <rPr>
        <sz val="10"/>
        <rFont val="Arial"/>
        <family val="0"/>
        <charset val="1"/>
      </rPr>
      <t xml:space="preserve">, </t>
    </r>
    <r>
      <rPr>
        <sz val="10"/>
        <rFont val="WenQuanYi Zen Hei"/>
        <family val="2"/>
      </rPr>
      <t xml:space="preserve">특징 묘사로만</t>
    </r>
    <r>
      <rPr>
        <sz val="10"/>
        <rFont val="Arial"/>
        <family val="0"/>
        <charset val="1"/>
      </rPr>
      <t xml:space="preserve">).</t>
    </r>
  </si>
  <si>
    <r>
      <rPr>
        <sz val="10"/>
        <rFont val="Arial"/>
        <family val="0"/>
        <charset val="1"/>
      </rPr>
      <t xml:space="preserve">NATO </t>
    </r>
    <r>
      <rPr>
        <sz val="10"/>
        <rFont val="WenQuanYi Zen Hei"/>
        <family val="2"/>
      </rPr>
      <t xml:space="preserve">방위비 목표</t>
    </r>
    <r>
      <rPr>
        <sz val="10"/>
        <rFont val="Arial"/>
        <family val="0"/>
        <charset val="1"/>
      </rPr>
      <t xml:space="preserve">(2025 </t>
    </r>
    <r>
      <rPr>
        <sz val="10"/>
        <rFont val="WenQuanYi Zen Hei"/>
        <family val="2"/>
      </rPr>
      <t xml:space="preserve">헤이그 합의</t>
    </r>
    <r>
      <rPr>
        <sz val="10"/>
        <rFont val="Arial"/>
        <family val="0"/>
        <charset val="1"/>
      </rPr>
      <t xml:space="preserve">, 5%·2035</t>
    </r>
    <r>
      <rPr>
        <sz val="10"/>
        <rFont val="WenQuanYi Zen Hei"/>
        <family val="2"/>
      </rPr>
      <t xml:space="preserve">년</t>
    </r>
    <r>
      <rPr>
        <sz val="10"/>
        <rFont val="Arial"/>
        <family val="0"/>
        <charset val="1"/>
      </rPr>
      <t xml:space="preserve">), </t>
    </r>
    <r>
      <rPr>
        <sz val="10"/>
        <rFont val="WenQuanYi Zen Hei"/>
        <family val="2"/>
      </rPr>
      <t xml:space="preserve">대통령의 외교권</t>
    </r>
    <r>
      <rPr>
        <sz val="10"/>
        <rFont val="Arial"/>
        <family val="0"/>
        <charset val="1"/>
      </rPr>
      <t xml:space="preserve">(</t>
    </r>
    <r>
      <rPr>
        <sz val="10"/>
        <rFont val="WenQuanYi Zen Hei"/>
        <family val="2"/>
      </rPr>
      <t xml:space="preserve">헌법 제</t>
    </r>
    <r>
      <rPr>
        <sz val="10"/>
        <rFont val="Arial"/>
        <family val="0"/>
        <charset val="1"/>
      </rPr>
      <t xml:space="preserve">52</t>
    </r>
    <r>
      <rPr>
        <sz val="10"/>
        <rFont val="WenQuanYi Zen Hei"/>
        <family val="2"/>
      </rPr>
      <t xml:space="preserve">조</t>
    </r>
    <r>
      <rPr>
        <sz val="10"/>
        <rFont val="Arial"/>
        <family val="0"/>
        <charset val="1"/>
      </rPr>
      <t xml:space="preserve">), </t>
    </r>
    <r>
      <rPr>
        <sz val="10"/>
        <rFont val="WenQuanYi Zen Hei"/>
        <family val="2"/>
      </rPr>
      <t xml:space="preserve">특사 위임</t>
    </r>
  </si>
  <si>
    <t xml:space="preserve">Napoléon, Hugo, Julien</t>
  </si>
  <si>
    <t xml:space="preserve">N3</t>
  </si>
  <si>
    <t xml:space="preserve">La table de Bruxelles</t>
  </si>
  <si>
    <t xml:space="preserve">브뤼셀의 테이블</t>
  </si>
  <si>
    <t xml:space="preserve">직접 협상. 상대측 인사(가상)가 «La France promet toujours et ne tient jamais.»라고 과장하자 Napoléon이 밤새 읽은 기록으로 과거 약속과 이행 날짜를 정확히 짚어 반박한다. «Permettez-moi une précision.»으로 적자 감축 경로를 지키면서도 검증 가능한 방위비 증액 경로를 제안해 절충을 이끈다.</t>
  </si>
  <si>
    <t xml:space="preserve">과도한 적자 절차(TFUE 제126조), NATO 이행 점검(2029 중간점검), ECOFIN</t>
  </si>
  <si>
    <t xml:space="preserve">Napoléon, Julien, Hugo</t>
  </si>
  <si>
    <t xml:space="preserve">Le triomphe et la fatigue</t>
  </si>
  <si>
    <t xml:space="preserve">승리와 피로</t>
  </si>
  <si>
    <t xml:space="preserve">협상 타결: 재정 유연성 확보 + 국방비의 단계적·검증 가능한 증액. 귀국 열차에서 Napoléon이 지친 기색을 숨기며 Julien에게 메모를 남기라고 한다.</t>
  </si>
  <si>
    <t xml:space="preserve">협상 결과의 국내 절차, 예산 반영 일정</t>
  </si>
  <si>
    <t xml:space="preserve">Napoléon, Julien, Jeanne</t>
  </si>
  <si>
    <t xml:space="preserve">결말(사망)</t>
  </si>
  <si>
    <t xml:space="preserve">Une dernière précision</t>
  </si>
  <si>
    <t xml:space="preserve">마지막 각주 하나</t>
  </si>
  <si>
    <t xml:space="preserve">귀국 직후, 자택에서 위의 병으로 숨을 거둔다 — 세인트헬레나에서 그를 죽인 바로 그 병. Manon이 청년 정책안 마지막 서명을 받으러 왔다가 그를 발견한다. 마지막 말은 «Pas mal.» — 브뤼셀 승리 직후라 더 무겁다.</t>
  </si>
  <si>
    <t xml:space="preserve">사망 확인, 장례 절차 시작</t>
  </si>
  <si>
    <t xml:space="preserve">Manon, Camille, Napoléon</t>
  </si>
  <si>
    <t xml:space="preserve">발단(장례)</t>
  </si>
  <si>
    <t xml:space="preserve">Les Obsèques</t>
  </si>
  <si>
    <t xml:space="preserve">장례식</t>
  </si>
  <si>
    <r>
      <rPr>
        <sz val="10"/>
        <rFont val="Arial"/>
        <family val="0"/>
        <charset val="1"/>
      </rPr>
      <t xml:space="preserve">Chez Monique</t>
    </r>
    <r>
      <rPr>
        <sz val="10"/>
        <rFont val="WenQuanYi Zen Hei"/>
        <family val="2"/>
      </rPr>
      <t xml:space="preserve">가 첫 장면</t>
    </r>
    <r>
      <rPr>
        <sz val="10"/>
        <rFont val="Arial"/>
        <family val="0"/>
        <charset val="1"/>
      </rPr>
      <t xml:space="preserve">. </t>
    </r>
    <r>
      <rPr>
        <sz val="10"/>
        <rFont val="WenQuanYi Zen Hei"/>
        <family val="2"/>
      </rPr>
      <t xml:space="preserve">빈자리에 커피 한 잔이 놓인다</t>
    </r>
    <r>
      <rPr>
        <sz val="10"/>
        <rFont val="Arial"/>
        <family val="0"/>
        <charset val="1"/>
      </rPr>
      <t xml:space="preserve">. </t>
    </r>
    <r>
      <rPr>
        <sz val="10"/>
        <rFont val="WenQuanYi Zen Hei"/>
        <family val="2"/>
      </rPr>
      <t xml:space="preserve">앵발리드에는 이미 그의 무덤이 있다는 농담이 울음으로 바뀐다</t>
    </r>
    <r>
      <rPr>
        <sz val="10"/>
        <rFont val="Arial"/>
        <family val="0"/>
        <charset val="1"/>
      </rPr>
      <t xml:space="preserve">. Manon</t>
    </r>
    <r>
      <rPr>
        <sz val="10"/>
        <rFont val="WenQuanYi Zen Hei"/>
        <family val="2"/>
      </rPr>
      <t xml:space="preserve">이 추도사에서 처음으로 </t>
    </r>
    <r>
      <rPr>
        <sz val="10"/>
        <rFont val="Arial"/>
        <family val="0"/>
        <charset val="1"/>
      </rPr>
      <t xml:space="preserve">Napoléon</t>
    </r>
    <r>
      <rPr>
        <sz val="10"/>
        <rFont val="WenQuanYi Zen Hei"/>
        <family val="2"/>
      </rPr>
      <t xml:space="preserve">에게 </t>
    </r>
    <r>
      <rPr>
        <sz val="10"/>
        <rFont val="Arial"/>
        <family val="0"/>
        <charset val="1"/>
      </rPr>
      <t xml:space="preserve">tu</t>
    </r>
    <r>
      <rPr>
        <sz val="10"/>
        <rFont val="WenQuanYi Zen Hei"/>
        <family val="2"/>
      </rPr>
      <t xml:space="preserve">를 쓴다</t>
    </r>
    <r>
      <rPr>
        <sz val="10"/>
        <rFont val="Arial"/>
        <family val="0"/>
        <charset val="1"/>
      </rPr>
      <t xml:space="preserve">. «Pour toi, “pas mal”, c'était le plus beau compliment.»</t>
    </r>
  </si>
  <si>
    <t xml:space="preserve">obsèques, enterrement, condoléances, éloge funèbre</t>
  </si>
  <si>
    <t xml:space="preserve">Manon, Monique, Jeanne, Curie, Camille</t>
  </si>
  <si>
    <t xml:space="preserve">La fiche qu'il a laissée</t>
  </si>
  <si>
    <t xml:space="preserve">그가 남긴 카드</t>
  </si>
  <si>
    <r>
      <rPr>
        <sz val="10"/>
        <rFont val="Arial"/>
        <family val="0"/>
        <charset val="1"/>
      </rPr>
      <t xml:space="preserve">Napoléon</t>
    </r>
    <r>
      <rPr>
        <sz val="10"/>
        <rFont val="WenQuanYi Zen Hei"/>
        <family val="2"/>
      </rPr>
      <t xml:space="preserve">이 죽기 전 남긴 브뤼셀 후속 협상 메모가 발견된다</t>
    </r>
    <r>
      <rPr>
        <sz val="10"/>
        <rFont val="Arial"/>
        <family val="0"/>
        <charset val="1"/>
      </rPr>
      <t xml:space="preserve">. Curie</t>
    </r>
    <r>
      <rPr>
        <sz val="10"/>
        <rFont val="WenQuanYi Zen Hei"/>
        <family val="2"/>
      </rPr>
      <t xml:space="preserve">가 정리하고 </t>
    </r>
    <r>
      <rPr>
        <sz val="10"/>
        <rFont val="Arial"/>
        <family val="0"/>
        <charset val="1"/>
      </rPr>
      <t xml:space="preserve">Hugo</t>
    </r>
    <r>
      <rPr>
        <sz val="10"/>
        <rFont val="WenQuanYi Zen Hei"/>
        <family val="2"/>
      </rPr>
      <t xml:space="preserve">가 문장을 다듬는다</t>
    </r>
    <r>
      <rPr>
        <sz val="10"/>
        <rFont val="Arial"/>
        <family val="0"/>
        <charset val="1"/>
      </rPr>
      <t xml:space="preserve">.</t>
    </r>
  </si>
  <si>
    <t xml:space="preserve">유작 메모, 외교 기록 인계</t>
  </si>
  <si>
    <t xml:space="preserve">Curie, Hugo, Julien</t>
  </si>
  <si>
    <t xml:space="preserve">Deuxième round à Bruxelles</t>
  </si>
  <si>
    <t xml:space="preserve">브뤼셀 2차 협상</t>
  </si>
  <si>
    <r>
      <rPr>
        <sz val="10"/>
        <rFont val="Arial"/>
        <family val="0"/>
        <charset val="1"/>
      </rPr>
      <t xml:space="preserve">Napoléon </t>
    </r>
    <r>
      <rPr>
        <sz val="10"/>
        <rFont val="WenQuanYi Zen Hei"/>
        <family val="2"/>
      </rPr>
      <t xml:space="preserve">없이 떠나는 팀</t>
    </r>
    <r>
      <rPr>
        <sz val="10"/>
        <rFont val="Arial"/>
        <family val="0"/>
        <charset val="1"/>
      </rPr>
      <t xml:space="preserve">. Julien</t>
    </r>
    <r>
      <rPr>
        <sz val="10"/>
        <rFont val="WenQuanYi Zen Hei"/>
        <family val="2"/>
      </rPr>
      <t xml:space="preserve">이 협상석에 앉고 </t>
    </r>
    <r>
      <rPr>
        <sz val="10"/>
        <rFont val="Arial"/>
        <family val="0"/>
        <charset val="1"/>
      </rPr>
      <t xml:space="preserve">Hugo</t>
    </r>
    <r>
      <rPr>
        <sz val="10"/>
        <rFont val="WenQuanYi Zen Hei"/>
        <family val="2"/>
      </rPr>
      <t xml:space="preserve">가 다듬은 그의 문장</t>
    </r>
    <r>
      <rPr>
        <sz val="10"/>
        <rFont val="Arial"/>
        <family val="0"/>
        <charset val="1"/>
      </rPr>
      <t xml:space="preserve">(«ce n'était pas mal» </t>
    </r>
    <r>
      <rPr>
        <sz val="10"/>
        <rFont val="WenQuanYi Zen Hei"/>
        <family val="2"/>
      </rPr>
      <t xml:space="preserve">포함</t>
    </r>
    <r>
      <rPr>
        <sz val="10"/>
        <rFont val="Arial"/>
        <family val="0"/>
        <charset val="1"/>
      </rPr>
      <t xml:space="preserve">)</t>
    </r>
    <r>
      <rPr>
        <sz val="10"/>
        <rFont val="WenQuanYi Zen Hei"/>
        <family val="2"/>
      </rPr>
      <t xml:space="preserve">을 인용해 방위비 이행 경로의 세부 일정을 확정짓는다</t>
    </r>
    <r>
      <rPr>
        <sz val="10"/>
        <rFont val="Arial"/>
        <family val="0"/>
        <charset val="1"/>
      </rPr>
      <t xml:space="preserve">.</t>
    </r>
  </si>
  <si>
    <t xml:space="preserve">협상 세부 일정 확정, 중기 재정구조계획 승인</t>
  </si>
  <si>
    <t xml:space="preserve">Julien, Hugo, Jeanne</t>
  </si>
  <si>
    <t xml:space="preserve">L'application qui décide</t>
  </si>
  <si>
    <t xml:space="preserve">결정하는 앱</t>
  </si>
  <si>
    <t xml:space="preserve">배달 라이더들이 알고리즘 배차·일방적 계정 정지에 항의한다. EU 플랫폼노동 지침 국내 이행을 앞두고 고용 지위 분쟁이 계속됨을 Karim이 현장에서, Hugo가 문구로 돕는다.</t>
  </si>
  <si>
    <r>
      <rPr>
        <sz val="10"/>
        <rFont val="Noto Sans CJK SC"/>
        <family val="2"/>
        <charset val="1"/>
      </rPr>
      <t xml:space="preserve">EU </t>
    </r>
    <r>
      <rPr>
        <sz val="10"/>
        <rFont val="WenQuanYi Zen Hei"/>
        <family val="2"/>
      </rPr>
      <t xml:space="preserve">플랫폼노동 지침</t>
    </r>
    <r>
      <rPr>
        <sz val="10"/>
        <rFont val="Noto Sans CJK SC"/>
        <family val="2"/>
        <charset val="1"/>
      </rPr>
      <t xml:space="preserve">(2024/2831) </t>
    </r>
    <r>
      <rPr>
        <sz val="10"/>
        <rFont val="WenQuanYi Zen Hei"/>
        <family val="2"/>
      </rPr>
      <t xml:space="preserve">국내 이행</t>
    </r>
    <r>
      <rPr>
        <sz val="10"/>
        <rFont val="Noto Sans CJK SC"/>
        <family val="2"/>
        <charset val="1"/>
      </rPr>
      <t xml:space="preserve">, </t>
    </r>
    <r>
      <rPr>
        <sz val="10"/>
        <rFont val="WenQuanYi Zen Hei"/>
        <family val="2"/>
      </rPr>
      <t xml:space="preserve">플랫폼노동관계청</t>
    </r>
    <r>
      <rPr>
        <sz val="10"/>
        <rFont val="Noto Sans CJK SC"/>
        <family val="2"/>
        <charset val="1"/>
      </rPr>
      <t xml:space="preserve">(ARPE), </t>
    </r>
    <r>
      <rPr>
        <sz val="10"/>
        <rFont val="WenQuanYi Zen Hei"/>
        <family val="2"/>
      </rPr>
      <t xml:space="preserve">알고리즘 투명성</t>
    </r>
  </si>
  <si>
    <t xml:space="preserve">Karim, Hugo, Nicolas</t>
  </si>
  <si>
    <t xml:space="preserve">N6</t>
  </si>
  <si>
    <t xml:space="preserve">Le logiciel que personne n'a autorisé</t>
  </si>
  <si>
    <t xml:space="preserve">누구도 승인하지 않은 소프트웨어</t>
  </si>
  <si>
    <t xml:space="preserve">야당 정치인과 기자 휴대전화에 스파이웨어가 심어졌다는 의혹이 터진다. Curie가 포렌식으로 흔적을 찾아내고 Voltaire가 보도하며 Nicolas는 합법적 감독 경로를 고집한다.</t>
  </si>
  <si>
    <t xml:space="preserve">정보기술 통제위원회(CNCTR), 2015년 정보법(국내안전법전 L.801-1조 이하), 하원 조사위원회</t>
  </si>
  <si>
    <t xml:space="preserve">Curie, Voltaire, Nicolas</t>
  </si>
  <si>
    <t xml:space="preserve">N7</t>
  </si>
  <si>
    <t xml:space="preserve">Les listes d'attente</t>
  </si>
  <si>
    <t xml:space="preserve">대기 명단</t>
  </si>
  <si>
    <t xml:space="preserve">청년 정신건강 상담 대기가 몇 달씩 밀린 현실. Sartre가 카페의 청년들과, Manon이 자신의 불안을 처음 인정하며, Camille가 제도로 함께 부딪힌다.</t>
  </si>
  <si>
    <t xml:space="preserve">공공 심리상담 지원(Mon soutien psy), 의료심리센터(CMP) 대기, 정신건강 예산</t>
  </si>
  <si>
    <t xml:space="preserve">Sartre, Manon, Camille</t>
  </si>
  <si>
    <t xml:space="preserve">N8</t>
  </si>
  <si>
    <t xml:space="preserve">La motion qui ne passe pas</t>
  </si>
  <si>
    <t xml:space="preserve">통과되지 않는 불신임안</t>
  </si>
  <si>
    <t xml:space="preserve">예산 조항에 헌법 제49조 3항을 쓰자 야당이 두 번째 불신임안을 낸다. 코르시카 자치 협상을 이어 가기로 한 CT가 기권하면서 찬성은 254표에 그친다. 검찰 독립 개헌안이 교착되며 정국은 더 얼어붙는다.</t>
  </si>
  <si>
    <t xml:space="preserve">헌법 제49조 2·3항 (정치경로_의석 C블록), 최고사법관회의(CSM) 개혁</t>
  </si>
  <si>
    <t xml:space="preserve">Olympe, Nicolas, Léa, Jeanne</t>
  </si>
  <si>
    <t xml:space="preserve">P1·P2·P3</t>
  </si>
  <si>
    <t xml:space="preserve">L'Épisode méditerranéen</t>
  </si>
  <si>
    <t xml:space="preserve">지중해성 폭우</t>
  </si>
  <si>
    <t xml:space="preserve">남부 해안 지방을 폭우와 급류가 덮친다(가상의 재난). 기상 경보와 대피 명령을 둘러싼 도지사–시장 책임 공방, 자연재해 지정 여부, 민방위 군부대 투입. Jeanne이 지휘하고 Hugo가 추모 문구를 쓴다.</t>
  </si>
  <si>
    <r>
      <rPr>
        <sz val="10"/>
        <rFont val="Noto Sans CJK SC"/>
        <family val="2"/>
        <charset val="1"/>
      </rPr>
      <t xml:space="preserve">ORSEC </t>
    </r>
    <r>
      <rPr>
        <sz val="10"/>
        <rFont val="WenQuanYi Zen Hei"/>
        <family val="2"/>
      </rPr>
      <t xml:space="preserve">재난 계획</t>
    </r>
    <r>
      <rPr>
        <sz val="10"/>
        <rFont val="Noto Sans CJK SC"/>
        <family val="2"/>
        <charset val="1"/>
      </rPr>
      <t xml:space="preserve">(</t>
    </r>
    <r>
      <rPr>
        <sz val="10"/>
        <rFont val="WenQuanYi Zen Hei"/>
        <family val="2"/>
      </rPr>
      <t xml:space="preserve">도지사 지휘</t>
    </r>
    <r>
      <rPr>
        <sz val="10"/>
        <rFont val="Noto Sans CJK SC"/>
        <family val="2"/>
        <charset val="1"/>
      </rPr>
      <t xml:space="preserve">), FR-Alert, </t>
    </r>
    <r>
      <rPr>
        <sz val="10"/>
        <rFont val="WenQuanYi Zen Hei"/>
        <family val="2"/>
      </rPr>
      <t xml:space="preserve">적색 경보</t>
    </r>
    <r>
      <rPr>
        <sz val="10"/>
        <rFont val="Noto Sans CJK SC"/>
        <family val="2"/>
        <charset val="1"/>
      </rPr>
      <t xml:space="preserve">(vigilance rouge), </t>
    </r>
    <r>
      <rPr>
        <sz val="10"/>
        <rFont val="WenQuanYi Zen Hei"/>
        <family val="2"/>
      </rPr>
      <t xml:space="preserve">자연재해 보상제도</t>
    </r>
    <r>
      <rPr>
        <sz val="10"/>
        <rFont val="Noto Sans CJK SC"/>
        <family val="2"/>
        <charset val="1"/>
      </rPr>
      <t xml:space="preserve">(CatNat), EU </t>
    </r>
    <r>
      <rPr>
        <sz val="10"/>
        <rFont val="WenQuanYi Zen Hei"/>
        <family val="2"/>
      </rPr>
      <t xml:space="preserve">연대기금</t>
    </r>
  </si>
  <si>
    <t xml:space="preserve">Jeanne, Camille, Nicolas, Voltaire, Hugo</t>
  </si>
  <si>
    <t xml:space="preserve">N1·N3·S4</t>
  </si>
  <si>
    <t xml:space="preserve">Des résultats dans la rue</t>
  </si>
  <si>
    <t xml:space="preserve">거리에서 나타난 변화</t>
  </si>
  <si>
    <t xml:space="preserve">임대료·응급실 대기·청년 고용 지표. 노사정 사회적 대화 협약 서명.</t>
  </si>
  <si>
    <t xml:space="preserve">성과 지표 공표, 사회적 대화 협약</t>
  </si>
  <si>
    <t xml:space="preserve">Julien, Camille, Manon</t>
  </si>
  <si>
    <t xml:space="preserve">N3·E3·P1</t>
  </si>
  <si>
    <t xml:space="preserve">Le vide dans la garde</t>
  </si>
  <si>
    <t xml:space="preserve">근위대의 빈자리</t>
  </si>
  <si>
    <r>
      <rPr>
        <sz val="10"/>
        <rFont val="Arial"/>
        <family val="0"/>
        <charset val="1"/>
      </rPr>
      <t xml:space="preserve">Jeanne</t>
    </r>
    <r>
      <rPr>
        <sz val="10"/>
        <rFont val="WenQuanYi Zen Hei"/>
        <family val="2"/>
      </rPr>
      <t xml:space="preserve">과 </t>
    </r>
    <r>
      <rPr>
        <sz val="10"/>
        <rFont val="Arial"/>
        <family val="0"/>
        <charset val="1"/>
      </rPr>
      <t xml:space="preserve">Curie</t>
    </r>
    <r>
      <rPr>
        <sz val="10"/>
        <rFont val="WenQuanYi Zen Hei"/>
        <family val="2"/>
      </rPr>
      <t xml:space="preserve">가 </t>
    </r>
    <r>
      <rPr>
        <sz val="10"/>
        <rFont val="Arial"/>
        <family val="0"/>
        <charset val="1"/>
      </rPr>
      <t xml:space="preserve">Napoléon </t>
    </r>
    <r>
      <rPr>
        <sz val="10"/>
        <rFont val="WenQuanYi Zen Hei"/>
        <family val="2"/>
      </rPr>
      <t xml:space="preserve">없는 </t>
    </r>
    <r>
      <rPr>
        <sz val="10"/>
        <rFont val="Arial"/>
        <family val="0"/>
        <charset val="1"/>
      </rPr>
      <t xml:space="preserve">La Vieille Garde</t>
    </r>
    <r>
      <rPr>
        <sz val="10"/>
        <rFont val="WenQuanYi Zen Hei"/>
        <family val="2"/>
      </rPr>
      <t xml:space="preserve">를 마주한다</t>
    </r>
    <r>
      <rPr>
        <sz val="10"/>
        <rFont val="Arial"/>
        <family val="0"/>
        <charset val="1"/>
      </rPr>
      <t xml:space="preserve">. </t>
    </r>
    <r>
      <rPr>
        <sz val="10"/>
        <rFont val="WenQuanYi Zen Hei"/>
        <family val="2"/>
      </rPr>
      <t xml:space="preserve">둘 다 말을 아끼다가 결국 그의 커피 불평을 그리워한다고 인정한다</t>
    </r>
    <r>
      <rPr>
        <sz val="10"/>
        <rFont val="Arial"/>
        <family val="0"/>
        <charset val="1"/>
      </rPr>
      <t xml:space="preserve">.</t>
    </r>
  </si>
  <si>
    <t xml:space="preserve">Jeanne, Curie, Monique</t>
  </si>
  <si>
    <t xml:space="preserve">Avant le budget</t>
  </si>
  <si>
    <t xml:space="preserve">예산안 앞에서</t>
  </si>
  <si>
    <t xml:space="preserve">국방비 증액분을 예산과 군사계획법(LPM)에 어떻게 반영할지 논쟁: 연금·복지와의 줄다리기. Julien이 브뤼셀 합의의 검증 가능한 경로를 방패로 쓴다.</t>
  </si>
  <si>
    <t xml:space="preserve">예산 편성, 군사계획법(LPM), NATO 이행 경로 국내 반영</t>
  </si>
  <si>
    <t xml:space="preserve">Julien, Nicolas, Olympe</t>
  </si>
  <si>
    <t xml:space="preserve">La bataille continue</t>
  </si>
  <si>
    <t xml:space="preserve">싸움은 계속된다</t>
  </si>
  <si>
    <t xml:space="preserve">예산안 제출 준비(10월 첫 화요일 시한): 그동안의 성과 지표도 정리한다. 야당의 49조 3항 불신임 위협.</t>
  </si>
  <si>
    <t xml:space="preserve">예산안은 10월 첫 화요일까지 제출(LOLF 제39조), 70일 내 미의결 시 정부 명령(헌법 제47조), 특별법(loi spéciale), 연금 개혁 논쟁</t>
  </si>
  <si>
    <t xml:space="preserve">Julien, Nicolas, Olympe, Jeanne</t>
  </si>
  <si>
    <t xml:space="preserve">Il est cinq heures</t>
  </si>
  <si>
    <t xml:space="preserve">다섯 시</t>
  </si>
  <si>
    <r>
      <rPr>
        <sz val="10"/>
        <rFont val="Arial"/>
        <family val="0"/>
        <charset val="1"/>
      </rPr>
      <t xml:space="preserve">1</t>
    </r>
    <r>
      <rPr>
        <sz val="10"/>
        <rFont val="WenQuanYi Zen Hei"/>
        <family val="2"/>
      </rPr>
      <t xml:space="preserve">부 </t>
    </r>
    <r>
      <rPr>
        <sz val="10"/>
        <rFont val="Arial"/>
        <family val="0"/>
        <charset val="1"/>
      </rPr>
      <t xml:space="preserve">1</t>
    </r>
    <r>
      <rPr>
        <sz val="10"/>
        <rFont val="WenQuanYi Zen Hei"/>
        <family val="2"/>
      </rPr>
      <t xml:space="preserve">화와 같은 대사로 시작하지만 자리가 달라졌다</t>
    </r>
    <r>
      <rPr>
        <sz val="10"/>
        <rFont val="Arial"/>
        <family val="0"/>
        <charset val="1"/>
      </rPr>
      <t xml:space="preserve">: </t>
    </r>
    <r>
      <rPr>
        <sz val="10"/>
        <rFont val="WenQuanYi Zen Hei"/>
        <family val="2"/>
      </rPr>
      <t xml:space="preserve">대통령과 장관들은 이제 손님으로 온다</t>
    </r>
    <r>
      <rPr>
        <sz val="10"/>
        <rFont val="Arial"/>
        <family val="0"/>
        <charset val="1"/>
      </rPr>
      <t xml:space="preserve">.</t>
    </r>
  </si>
  <si>
    <t xml:space="preserve">고위공직 겸직 금지(헌법 제23조), HATVP 재산·이해관계 신고</t>
  </si>
  <si>
    <t xml:space="preserve">Monique, Nicolas</t>
  </si>
  <si>
    <t xml:space="preserve">Le Bicorne</t>
  </si>
  <si>
    <t xml:space="preserve">이각모</t>
  </si>
  <si>
    <r>
      <rPr>
        <sz val="10"/>
        <rFont val="Arial"/>
        <family val="0"/>
        <charset val="1"/>
      </rPr>
      <t xml:space="preserve">Napoléon</t>
    </r>
    <r>
      <rPr>
        <sz val="10"/>
        <rFont val="WenQuanYi Zen Hei"/>
        <family val="2"/>
      </rPr>
      <t xml:space="preserve">의 유언장</t>
    </r>
    <r>
      <rPr>
        <sz val="10"/>
        <rFont val="Arial"/>
        <family val="0"/>
        <charset val="1"/>
      </rPr>
      <t xml:space="preserve">. </t>
    </r>
    <r>
      <rPr>
        <sz val="10"/>
        <rFont val="WenQuanYi Zen Hei"/>
        <family val="2"/>
      </rPr>
      <t xml:space="preserve">공증인 앞에서 그의 이각모</t>
    </r>
    <r>
      <rPr>
        <sz val="10"/>
        <rFont val="Arial"/>
        <family val="0"/>
        <charset val="1"/>
      </rPr>
      <t xml:space="preserve">(bicorne)</t>
    </r>
    <r>
      <rPr>
        <sz val="10"/>
        <rFont val="WenQuanYi Zen Hei"/>
        <family val="2"/>
      </rPr>
      <t xml:space="preserve">가 </t>
    </r>
    <r>
      <rPr>
        <sz val="10"/>
        <rFont val="Arial"/>
        <family val="0"/>
        <charset val="1"/>
      </rPr>
      <t xml:space="preserve">Manon</t>
    </r>
    <r>
      <rPr>
        <sz val="10"/>
        <rFont val="WenQuanYi Zen Hei"/>
        <family val="2"/>
      </rPr>
      <t xml:space="preserve">에게 간다</t>
    </r>
    <r>
      <rPr>
        <sz val="10"/>
        <rFont val="Arial"/>
        <family val="0"/>
        <charset val="1"/>
      </rPr>
      <t xml:space="preserve">.</t>
    </r>
  </si>
  <si>
    <t xml:space="preserve">유언: notaire, exécuteur testamentaire, 유언 중앙 등록부(FCDDV) 조회</t>
  </si>
  <si>
    <t xml:space="preserve">Manon, Jeanne, Monique</t>
  </si>
  <si>
    <t xml:space="preserve">La chaise vide</t>
  </si>
  <si>
    <t xml:space="preserve">빈 의자</t>
  </si>
  <si>
    <t xml:space="preserve">커피 한 잔이 놓인 빈 자리. 새 손님이 그 자리에 앉으려 한다.</t>
  </si>
  <si>
    <t xml:space="preserve">Monique, Jeanne</t>
  </si>
  <si>
    <t xml:space="preserve">Une fondation pour le cabinet</t>
  </si>
  <si>
    <t xml:space="preserve">사무소를 재단으로</t>
  </si>
  <si>
    <t xml:space="preserve">대통령과 장관들이 사무소를 떠나며 재단(fonds de dotation)으로 전환. Karim과 Monique가 운영을 맡는다.</t>
  </si>
  <si>
    <t xml:space="preserve">기부재단(fonds de dotation, 2008년 법), 고위공직 이해충돌</t>
  </si>
  <si>
    <t xml:space="preserve">Karim, Monique, Philippe</t>
  </si>
  <si>
    <t xml:space="preserve">Le nouveau stagiaire</t>
  </si>
  <si>
    <t xml:space="preserve">새 인턴</t>
  </si>
  <si>
    <t xml:space="preserve">새 인턴 Lucas가 도착해 «Pardon, ça veut dire quoi ?»라고 묻는다. Manon이 답하는 쪽에 선다.</t>
  </si>
  <si>
    <r>
      <rPr>
        <sz val="10"/>
        <rFont val="Arial"/>
        <family val="0"/>
        <charset val="1"/>
      </rPr>
      <t xml:space="preserve">Manon, Lucas(</t>
    </r>
    <r>
      <rPr>
        <sz val="10"/>
        <rFont val="WenQuanYi Zen Hei"/>
        <family val="2"/>
      </rPr>
      <t xml:space="preserve">신규 엑스트라</t>
    </r>
    <r>
      <rPr>
        <sz val="10"/>
        <rFont val="Arial"/>
        <family val="0"/>
        <charset val="1"/>
      </rPr>
      <t xml:space="preserve">)</t>
    </r>
  </si>
  <si>
    <t xml:space="preserve">Manon explique</t>
  </si>
  <si>
    <r>
      <rPr>
        <sz val="10"/>
        <rFont val="Arial"/>
        <family val="0"/>
        <charset val="1"/>
      </rPr>
      <t xml:space="preserve">Manon</t>
    </r>
    <r>
      <rPr>
        <sz val="10"/>
        <rFont val="WenQuanYi Zen Hei"/>
        <family val="2"/>
      </rPr>
      <t xml:space="preserve">의 설명</t>
    </r>
  </si>
  <si>
    <r>
      <rPr>
        <sz val="10"/>
        <rFont val="Arial"/>
        <family val="0"/>
        <charset val="1"/>
      </rPr>
      <t xml:space="preserve">Lucas</t>
    </r>
    <r>
      <rPr>
        <sz val="10"/>
        <rFont val="WenQuanYi Zen Hei"/>
        <family val="2"/>
      </rPr>
      <t xml:space="preserve">의 질문에 </t>
    </r>
    <r>
      <rPr>
        <sz val="10"/>
        <rFont val="Arial"/>
        <family val="0"/>
        <charset val="1"/>
      </rPr>
      <t xml:space="preserve">Manon</t>
    </r>
    <r>
      <rPr>
        <sz val="10"/>
        <rFont val="WenQuanYi Zen Hei"/>
        <family val="2"/>
      </rPr>
      <t xml:space="preserve">이 어려운 말을 쉬운 말로 풀어 준다</t>
    </r>
    <r>
      <rPr>
        <sz val="10"/>
        <rFont val="Arial"/>
        <family val="0"/>
        <charset val="1"/>
      </rPr>
      <t xml:space="preserve">. Jeanne</t>
    </r>
    <r>
      <rPr>
        <sz val="10"/>
        <rFont val="WenQuanYi Zen Hei"/>
        <family val="2"/>
      </rPr>
      <t xml:space="preserve">도 함께 배운다</t>
    </r>
    <r>
      <rPr>
        <sz val="10"/>
        <rFont val="Arial"/>
        <family val="0"/>
        <charset val="1"/>
      </rPr>
      <t xml:space="preserve">.</t>
    </r>
  </si>
  <si>
    <t xml:space="preserve">Manon, Jeanne</t>
  </si>
  <si>
    <t xml:space="preserve">Le bilan du quinquennat</t>
  </si>
  <si>
    <r>
      <rPr>
        <sz val="10"/>
        <rFont val="Noto Sans CJK SC"/>
        <family val="2"/>
        <charset val="1"/>
      </rPr>
      <t xml:space="preserve">5</t>
    </r>
    <r>
      <rPr>
        <sz val="10"/>
        <rFont val="WenQuanYi Zen Hei"/>
        <family val="2"/>
      </rPr>
      <t xml:space="preserve">년 임기 결산</t>
    </r>
  </si>
  <si>
    <r>
      <rPr>
        <sz val="10"/>
        <rFont val="Arial"/>
        <family val="0"/>
        <charset val="1"/>
      </rPr>
      <t xml:space="preserve">Julien</t>
    </r>
    <r>
      <rPr>
        <sz val="10"/>
        <rFont val="WenQuanYi Zen Hei"/>
        <family val="2"/>
      </rPr>
      <t xml:space="preserve">이 숫자로 성과를 발표하고 </t>
    </r>
    <r>
      <rPr>
        <sz val="10"/>
        <rFont val="Arial"/>
        <family val="0"/>
        <charset val="1"/>
      </rPr>
      <t xml:space="preserve">Camille</t>
    </r>
    <r>
      <rPr>
        <sz val="10"/>
        <rFont val="WenQuanYi Zen Hei"/>
        <family val="2"/>
      </rPr>
      <t xml:space="preserve">가 사람 이야기로 보완한다</t>
    </r>
    <r>
      <rPr>
        <sz val="10"/>
        <rFont val="Arial"/>
        <family val="0"/>
        <charset val="1"/>
      </rPr>
      <t xml:space="preserve">.</t>
    </r>
  </si>
  <si>
    <t xml:space="preserve">성과 공시, 하원 회의록(compte rendu intégral)</t>
  </si>
  <si>
    <t xml:space="preserve">Julien, Camille</t>
  </si>
  <si>
    <t xml:space="preserve">E3·S3·N5·N3</t>
  </si>
  <si>
    <t xml:space="preserve">Les lettres des gens</t>
  </si>
  <si>
    <t xml:space="preserve">시민들이 보낸 편지</t>
  </si>
  <si>
    <r>
      <rPr>
        <sz val="10"/>
        <rFont val="Arial"/>
        <family val="0"/>
        <charset val="1"/>
      </rPr>
      <t xml:space="preserve">Voltaire</t>
    </r>
    <r>
      <rPr>
        <sz val="10"/>
        <rFont val="WenQuanYi Zen Hei"/>
        <family val="2"/>
      </rPr>
      <t xml:space="preserve">가 편지를 낭독하고 </t>
    </r>
    <r>
      <rPr>
        <sz val="10"/>
        <rFont val="Arial"/>
        <family val="0"/>
        <charset val="1"/>
      </rPr>
      <t xml:space="preserve">Hugo</t>
    </r>
    <r>
      <rPr>
        <sz val="10"/>
        <rFont val="WenQuanYi Zen Hei"/>
        <family val="2"/>
      </rPr>
      <t xml:space="preserve">가 답장을 쓴다</t>
    </r>
    <r>
      <rPr>
        <sz val="10"/>
        <rFont val="Arial"/>
        <family val="0"/>
        <charset val="1"/>
      </rPr>
      <t xml:space="preserve">.</t>
    </r>
  </si>
  <si>
    <t xml:space="preserve">Voltaire, Hugo</t>
  </si>
  <si>
    <t xml:space="preserve">La Vieille Garde</t>
  </si>
  <si>
    <t xml:space="preserve">올드 가드</t>
  </si>
  <si>
    <r>
      <rPr>
        <sz val="10"/>
        <rFont val="Arial"/>
        <family val="0"/>
        <charset val="1"/>
      </rPr>
      <t xml:space="preserve">Jeanne</t>
    </r>
    <r>
      <rPr>
        <sz val="10"/>
        <rFont val="WenQuanYi Zen Hei"/>
        <family val="2"/>
      </rPr>
      <t xml:space="preserve">과 </t>
    </r>
    <r>
      <rPr>
        <sz val="10"/>
        <rFont val="Arial"/>
        <family val="0"/>
        <charset val="1"/>
      </rPr>
      <t xml:space="preserve">Curie</t>
    </r>
    <r>
      <rPr>
        <sz val="10"/>
        <rFont val="WenQuanYi Zen Hei"/>
        <family val="2"/>
      </rPr>
      <t xml:space="preserve">와 빈 의자</t>
    </r>
    <r>
      <rPr>
        <sz val="10"/>
        <rFont val="Arial"/>
        <family val="0"/>
        <charset val="1"/>
      </rPr>
      <t xml:space="preserve">. Curie</t>
    </r>
    <r>
      <rPr>
        <sz val="10"/>
        <rFont val="WenQuanYi Zen Hei"/>
        <family val="2"/>
      </rPr>
      <t xml:space="preserve">가 마지막 카드를 꺼낸다</t>
    </r>
    <r>
      <rPr>
        <sz val="10"/>
        <rFont val="Arial"/>
        <family val="0"/>
        <charset val="1"/>
      </rPr>
      <t xml:space="preserve">.</t>
    </r>
  </si>
  <si>
    <t xml:space="preserve">Jeanne, Curie</t>
  </si>
  <si>
    <t xml:space="preserve">La fiche qui manquait</t>
  </si>
  <si>
    <t xml:space="preserve">빠진 카드</t>
  </si>
  <si>
    <t xml:space="preserve">카드 뒷면에 끝내 적지 않던 것. Curie가 처음으로 결론을 직접 말한다.</t>
  </si>
  <si>
    <t xml:space="preserve">Curie, Manon</t>
  </si>
  <si>
    <t xml:space="preserve">De nouveau cinq heures</t>
  </si>
  <si>
    <t xml:space="preserve">다시 다섯 시</t>
  </si>
  <si>
    <r>
      <rPr>
        <sz val="10"/>
        <rFont val="Arial"/>
        <family val="0"/>
        <charset val="1"/>
      </rPr>
      <t xml:space="preserve">1</t>
    </r>
    <r>
      <rPr>
        <sz val="10"/>
        <rFont val="WenQuanYi Zen Hei"/>
        <family val="2"/>
      </rPr>
      <t xml:space="preserve">부 </t>
    </r>
    <r>
      <rPr>
        <sz val="10"/>
        <rFont val="Arial"/>
        <family val="0"/>
        <charset val="1"/>
      </rPr>
      <t xml:space="preserve">1</t>
    </r>
    <r>
      <rPr>
        <sz val="10"/>
        <rFont val="WenQuanYi Zen Hei"/>
        <family val="2"/>
      </rPr>
      <t xml:space="preserve">화 장면을 새 인턴이 읽고</t>
    </r>
    <r>
      <rPr>
        <sz val="10"/>
        <rFont val="Arial"/>
        <family val="0"/>
        <charset val="1"/>
      </rPr>
      <t xml:space="preserve">, </t>
    </r>
    <r>
      <rPr>
        <sz val="10"/>
        <rFont val="WenQuanYi Zen Hei"/>
        <family val="2"/>
      </rPr>
      <t xml:space="preserve">낭독 학습자도 다시 읽는다</t>
    </r>
    <r>
      <rPr>
        <sz val="10"/>
        <rFont val="Arial"/>
        <family val="0"/>
        <charset val="1"/>
      </rPr>
      <t xml:space="preserve">. </t>
    </r>
    <r>
      <rPr>
        <sz val="10"/>
        <rFont val="WenQuanYi Zen Hei"/>
        <family val="2"/>
      </rPr>
      <t xml:space="preserve">원형 구조</t>
    </r>
    <r>
      <rPr>
        <sz val="10"/>
        <rFont val="Arial"/>
        <family val="0"/>
        <charset val="1"/>
      </rPr>
      <t xml:space="preserve">.</t>
    </r>
  </si>
  <si>
    <t xml:space="preserve">결말</t>
  </si>
  <si>
    <t xml:space="preserve">Asseyez-vous, je vous apporte quelque chose</t>
  </si>
  <si>
    <t xml:space="preserve">앉아요, 뭐 좀 내올게요</t>
  </si>
  <si>
    <t xml:space="preserve">최종화. Monique의 시그니처로 끝난다.</t>
  </si>
  <si>
    <r>
      <rPr>
        <sz val="10"/>
        <rFont val="Arial"/>
        <family val="0"/>
        <charset val="1"/>
      </rPr>
      <t xml:space="preserve">Monique, </t>
    </r>
    <r>
      <rPr>
        <sz val="10"/>
        <rFont val="WenQuanYi Zen Hei"/>
        <family val="2"/>
      </rPr>
      <t xml:space="preserve">전원</t>
    </r>
  </si>
  <si>
    <t xml:space="preserve">복선 설치와 회수 (Setup → Payoff)</t>
  </si>
  <si>
    <t xml:space="preserve">설치 부와 회수 부의 간격(부 수)은 수식으로 계산됩니다. 간격이 클수록 오래 기다린 복선이라 낭독 시 기억에 남습니다.</t>
  </si>
  <si>
    <t xml:space="preserve">복선(설치)</t>
  </si>
  <si>
    <t xml:space="preserve">유형</t>
  </si>
  <si>
    <t xml:space="preserve">설치 부</t>
  </si>
  <si>
    <t xml:space="preserve">설치 위치</t>
  </si>
  <si>
    <t xml:space="preserve">회수 부</t>
  </si>
  <si>
    <t xml:space="preserve">간격(부)</t>
  </si>
  <si>
    <t xml:space="preserve">회수 위치와 효과</t>
  </si>
  <si>
    <t xml:space="preserve">관련 인물</t>
  </si>
  <si>
    <r>
      <rPr>
        <sz val="10"/>
        <rFont val="Arial"/>
        <family val="0"/>
        <charset val="1"/>
      </rPr>
      <t xml:space="preserve">Napoléon</t>
    </r>
    <r>
      <rPr>
        <sz val="10"/>
        <rFont val="WenQuanYi Zen Hei"/>
        <family val="2"/>
      </rPr>
      <t xml:space="preserve">의 </t>
    </r>
    <r>
      <rPr>
        <sz val="10"/>
        <rFont val="Arial"/>
        <family val="0"/>
        <charset val="1"/>
      </rPr>
      <t xml:space="preserve">«Cet hiver sera mon dernier» </t>
    </r>
    <r>
      <rPr>
        <sz val="10"/>
        <rFont val="WenQuanYi Zen Hei"/>
        <family val="2"/>
      </rPr>
      <t xml:space="preserve">반복</t>
    </r>
  </si>
  <si>
    <t xml:space="preserve">대사</t>
  </si>
  <si>
    <r>
      <rPr>
        <sz val="10"/>
        <rFont val="Arial"/>
        <family val="0"/>
        <charset val="1"/>
      </rPr>
      <t xml:space="preserve">1</t>
    </r>
    <r>
      <rPr>
        <sz val="10"/>
        <rFont val="WenQuanYi Zen Hei"/>
        <family val="2"/>
      </rPr>
      <t xml:space="preserve">부 </t>
    </r>
    <r>
      <rPr>
        <sz val="10"/>
        <rFont val="Arial"/>
        <family val="0"/>
        <charset val="1"/>
      </rPr>
      <t xml:space="preserve">1</t>
    </r>
    <r>
      <rPr>
        <sz val="10"/>
        <rFont val="WenQuanYi Zen Hei"/>
        <family val="2"/>
      </rPr>
      <t xml:space="preserve">화</t>
    </r>
  </si>
  <si>
    <r>
      <rPr>
        <sz val="10"/>
        <rFont val="Arial"/>
        <family val="0"/>
        <charset val="1"/>
      </rPr>
      <t xml:space="preserve">11</t>
    </r>
    <r>
      <rPr>
        <sz val="10"/>
        <rFont val="WenQuanYi Zen Hei"/>
        <family val="2"/>
      </rPr>
      <t xml:space="preserve">부 </t>
    </r>
    <r>
      <rPr>
        <sz val="10"/>
        <rFont val="Arial"/>
        <family val="0"/>
        <charset val="1"/>
      </rPr>
      <t xml:space="preserve">12</t>
    </r>
    <r>
      <rPr>
        <sz val="10"/>
        <rFont val="WenQuanYi Zen Hei"/>
        <family val="2"/>
      </rPr>
      <t xml:space="preserve">화 — 양치기 소년 개그가 진짜 죽음이 되는 낙차</t>
    </r>
  </si>
  <si>
    <r>
      <rPr>
        <sz val="10"/>
        <rFont val="Arial"/>
        <family val="0"/>
        <charset val="1"/>
      </rPr>
      <t xml:space="preserve">Napoléon</t>
    </r>
    <r>
      <rPr>
        <sz val="10"/>
        <rFont val="WenQuanYi Zen Hei"/>
        <family val="2"/>
      </rPr>
      <t xml:space="preserve">이 </t>
    </r>
    <r>
      <rPr>
        <sz val="10"/>
        <rFont val="Arial"/>
        <family val="0"/>
        <charset val="1"/>
      </rPr>
      <t xml:space="preserve">Manon</t>
    </r>
    <r>
      <rPr>
        <sz val="10"/>
        <rFont val="WenQuanYi Zen Hei"/>
        <family val="2"/>
      </rPr>
      <t xml:space="preserve">에게 이각모</t>
    </r>
    <r>
      <rPr>
        <sz val="10"/>
        <rFont val="Arial"/>
        <family val="0"/>
        <charset val="1"/>
      </rPr>
      <t xml:space="preserve">(bicorne)</t>
    </r>
    <r>
      <rPr>
        <sz val="10"/>
        <rFont val="WenQuanYi Zen Hei"/>
        <family val="2"/>
      </rPr>
      <t xml:space="preserve">를 물려준다고 말한다</t>
    </r>
  </si>
  <si>
    <t xml:space="preserve">소품</t>
  </si>
  <si>
    <r>
      <rPr>
        <sz val="10"/>
        <rFont val="Arial"/>
        <family val="0"/>
        <charset val="1"/>
      </rPr>
      <t xml:space="preserve">13</t>
    </r>
    <r>
      <rPr>
        <sz val="10"/>
        <rFont val="WenQuanYi Zen Hei"/>
        <family val="2"/>
      </rPr>
      <t xml:space="preserve">부 </t>
    </r>
    <r>
      <rPr>
        <sz val="10"/>
        <rFont val="Arial"/>
        <family val="0"/>
        <charset val="1"/>
      </rPr>
      <t xml:space="preserve">2</t>
    </r>
    <r>
      <rPr>
        <sz val="10"/>
        <rFont val="WenQuanYi Zen Hei"/>
        <family val="2"/>
      </rPr>
      <t xml:space="preserve">화 — 유언장에서 이각모가 진짜 유산으로 돌아옴</t>
    </r>
  </si>
  <si>
    <t xml:space="preserve">Napoléon, Manon</t>
  </si>
  <si>
    <r>
      <rPr>
        <sz val="10"/>
        <rFont val="Arial"/>
        <family val="0"/>
        <charset val="1"/>
      </rPr>
      <t xml:space="preserve">Napoléon</t>
    </r>
    <r>
      <rPr>
        <sz val="10"/>
        <rFont val="WenQuanYi Zen Hei"/>
        <family val="2"/>
      </rPr>
      <t xml:space="preserve">의 복통</t>
    </r>
    <r>
      <rPr>
        <sz val="10"/>
        <rFont val="Arial"/>
        <family val="0"/>
        <charset val="1"/>
      </rPr>
      <t xml:space="preserve">·</t>
    </r>
    <r>
      <rPr>
        <sz val="10"/>
        <rFont val="WenQuanYi Zen Hei"/>
        <family val="2"/>
      </rPr>
      <t xml:space="preserve">식사 거름</t>
    </r>
  </si>
  <si>
    <t xml:space="preserve">설정</t>
  </si>
  <si>
    <r>
      <rPr>
        <sz val="10"/>
        <rFont val="Arial"/>
        <family val="0"/>
        <charset val="1"/>
      </rPr>
      <t xml:space="preserve">3</t>
    </r>
    <r>
      <rPr>
        <sz val="10"/>
        <rFont val="WenQuanYi Zen Hei"/>
        <family val="2"/>
      </rPr>
      <t xml:space="preserve">부 </t>
    </r>
    <r>
      <rPr>
        <sz val="10"/>
        <rFont val="Arial"/>
        <family val="0"/>
        <charset val="1"/>
      </rPr>
      <t xml:space="preserve">1·5</t>
    </r>
    <r>
      <rPr>
        <sz val="10"/>
        <rFont val="WenQuanYi Zen Hei"/>
        <family val="2"/>
      </rPr>
      <t xml:space="preserve">화</t>
    </r>
  </si>
  <si>
    <r>
      <rPr>
        <sz val="10"/>
        <rFont val="Arial"/>
        <family val="0"/>
        <charset val="1"/>
      </rPr>
      <t xml:space="preserve">11</t>
    </r>
    <r>
      <rPr>
        <sz val="10"/>
        <rFont val="WenQuanYi Zen Hei"/>
        <family val="2"/>
      </rPr>
      <t xml:space="preserve">부 </t>
    </r>
    <r>
      <rPr>
        <sz val="10"/>
        <rFont val="Arial"/>
        <family val="0"/>
        <charset val="1"/>
      </rPr>
      <t xml:space="preserve">6~12</t>
    </r>
    <r>
      <rPr>
        <sz val="10"/>
        <rFont val="WenQuanYi Zen Hei"/>
        <family val="2"/>
      </rPr>
      <t xml:space="preserve">화 — </t>
    </r>
    <r>
      <rPr>
        <sz val="10"/>
        <rFont val="Arial"/>
        <family val="0"/>
        <charset val="1"/>
      </rPr>
      <t xml:space="preserve">Camille</t>
    </r>
    <r>
      <rPr>
        <sz val="10"/>
        <rFont val="WenQuanYi Zen Hei"/>
        <family val="2"/>
      </rPr>
      <t xml:space="preserve">가 진단을 알고도 침묵한 이유가 드러남</t>
    </r>
  </si>
  <si>
    <t xml:space="preserve">Camille, Napoléon</t>
  </si>
  <si>
    <r>
      <rPr>
        <sz val="10"/>
        <rFont val="Arial"/>
        <family val="0"/>
        <charset val="1"/>
      </rPr>
      <t xml:space="preserve">Napoléon</t>
    </r>
    <r>
      <rPr>
        <sz val="10"/>
        <rFont val="WenQuanYi Zen Hei"/>
        <family val="2"/>
      </rPr>
      <t xml:space="preserve">의 최고 칭찬 </t>
    </r>
    <r>
      <rPr>
        <sz val="10"/>
        <rFont val="Arial"/>
        <family val="0"/>
        <charset val="1"/>
      </rPr>
      <t xml:space="preserve">«Pas mal.»</t>
    </r>
  </si>
  <si>
    <r>
      <rPr>
        <sz val="10"/>
        <rFont val="Arial"/>
        <family val="0"/>
        <charset val="1"/>
      </rPr>
      <t xml:space="preserve">1</t>
    </r>
    <r>
      <rPr>
        <sz val="10"/>
        <rFont val="WenQuanYi Zen Hei"/>
        <family val="2"/>
      </rPr>
      <t xml:space="preserve">부 </t>
    </r>
    <r>
      <rPr>
        <sz val="10"/>
        <rFont val="Arial"/>
        <family val="0"/>
        <charset val="1"/>
      </rPr>
      <t xml:space="preserve">7</t>
    </r>
    <r>
      <rPr>
        <sz val="10"/>
        <rFont val="WenQuanYi Zen Hei"/>
        <family val="2"/>
      </rPr>
      <t xml:space="preserve">화</t>
    </r>
    <r>
      <rPr>
        <sz val="10"/>
        <rFont val="Arial"/>
        <family val="0"/>
        <charset val="1"/>
      </rPr>
      <t xml:space="preserve">(Hugo</t>
    </r>
    <r>
      <rPr>
        <sz val="10"/>
        <rFont val="WenQuanYi Zen Hei"/>
        <family val="2"/>
      </rPr>
      <t xml:space="preserve">에게 </t>
    </r>
    <r>
      <rPr>
        <sz val="10"/>
        <rFont val="Arial"/>
        <family val="0"/>
        <charset val="1"/>
      </rPr>
      <t xml:space="preserve">1</t>
    </r>
    <r>
      <rPr>
        <sz val="10"/>
        <rFont val="WenQuanYi Zen Hei"/>
        <family val="2"/>
      </rPr>
      <t xml:space="preserve">회</t>
    </r>
    <r>
      <rPr>
        <sz val="10"/>
        <rFont val="Arial"/>
        <family val="0"/>
        <charset val="1"/>
      </rPr>
      <t xml:space="preserve">)</t>
    </r>
  </si>
  <si>
    <r>
      <rPr>
        <sz val="10"/>
        <rFont val="Arial"/>
        <family val="0"/>
        <charset val="1"/>
      </rPr>
      <t xml:space="preserve">11</t>
    </r>
    <r>
      <rPr>
        <sz val="10"/>
        <rFont val="WenQuanYi Zen Hei"/>
        <family val="2"/>
      </rPr>
      <t xml:space="preserve">부 </t>
    </r>
    <r>
      <rPr>
        <sz val="10"/>
        <rFont val="Arial"/>
        <family val="0"/>
        <charset val="1"/>
      </rPr>
      <t xml:space="preserve">12</t>
    </r>
    <r>
      <rPr>
        <sz val="10"/>
        <rFont val="WenQuanYi Zen Hei"/>
        <family val="2"/>
      </rPr>
      <t xml:space="preserve">화 — </t>
    </r>
    <r>
      <rPr>
        <sz val="10"/>
        <rFont val="Arial"/>
        <family val="0"/>
        <charset val="1"/>
      </rPr>
      <t xml:space="preserve">Manon</t>
    </r>
    <r>
      <rPr>
        <sz val="10"/>
        <rFont val="WenQuanYi Zen Hei"/>
        <family val="2"/>
      </rPr>
      <t xml:space="preserve">에게 처음이자 마지막 칭찬</t>
    </r>
    <r>
      <rPr>
        <sz val="10"/>
        <rFont val="Arial"/>
        <family val="0"/>
        <charset val="1"/>
      </rPr>
      <t xml:space="preserve">, </t>
    </r>
    <r>
      <rPr>
        <sz val="10"/>
        <rFont val="WenQuanYi Zen Hei"/>
        <family val="2"/>
      </rPr>
      <t xml:space="preserve">브뤼셀 승리 직후라 더 무겁다</t>
    </r>
  </si>
  <si>
    <r>
      <rPr>
        <sz val="10"/>
        <rFont val="Arial"/>
        <family val="0"/>
        <charset val="1"/>
      </rPr>
      <t xml:space="preserve">Manon</t>
    </r>
    <r>
      <rPr>
        <sz val="10"/>
        <rFont val="WenQuanYi Zen Hei"/>
        <family val="2"/>
      </rPr>
      <t xml:space="preserve">의 </t>
    </r>
    <r>
      <rPr>
        <sz val="10"/>
        <rFont val="Arial"/>
        <family val="0"/>
        <charset val="1"/>
      </rPr>
      <t xml:space="preserve">1</t>
    </r>
    <r>
      <rPr>
        <sz val="10"/>
        <rFont val="WenQuanYi Zen Hei"/>
        <family val="2"/>
      </rPr>
      <t xml:space="preserve">차 폭발</t>
    </r>
  </si>
  <si>
    <t xml:space="preserve">사건</t>
  </si>
  <si>
    <r>
      <rPr>
        <sz val="10"/>
        <rFont val="Arial"/>
        <family val="0"/>
        <charset val="1"/>
      </rPr>
      <t xml:space="preserve">1</t>
    </r>
    <r>
      <rPr>
        <sz val="10"/>
        <rFont val="WenQuanYi Zen Hei"/>
        <family val="2"/>
      </rPr>
      <t xml:space="preserve">부 </t>
    </r>
    <r>
      <rPr>
        <sz val="10"/>
        <rFont val="Arial"/>
        <family val="0"/>
        <charset val="1"/>
      </rPr>
      <t xml:space="preserve">6</t>
    </r>
    <r>
      <rPr>
        <sz val="10"/>
        <rFont val="WenQuanYi Zen Hei"/>
        <family val="2"/>
      </rPr>
      <t xml:space="preserve">화</t>
    </r>
  </si>
  <si>
    <r>
      <rPr>
        <sz val="10"/>
        <rFont val="Arial"/>
        <family val="0"/>
        <charset val="1"/>
      </rPr>
      <t xml:space="preserve">9</t>
    </r>
    <r>
      <rPr>
        <sz val="10"/>
        <rFont val="WenQuanYi Zen Hei"/>
        <family val="2"/>
      </rPr>
      <t xml:space="preserve">부 </t>
    </r>
    <r>
      <rPr>
        <sz val="10"/>
        <rFont val="Arial"/>
        <family val="0"/>
        <charset val="1"/>
      </rPr>
      <t xml:space="preserve">6</t>
    </r>
    <r>
      <rPr>
        <sz val="10"/>
        <rFont val="WenQuanYi Zen Hei"/>
        <family val="2"/>
      </rPr>
      <t xml:space="preserve">화 — 몰라서 화내던 </t>
    </r>
    <r>
      <rPr>
        <sz val="10"/>
        <rFont val="Arial"/>
        <family val="0"/>
        <charset val="1"/>
      </rPr>
      <t xml:space="preserve">Manon → </t>
    </r>
    <r>
      <rPr>
        <sz val="10"/>
        <rFont val="WenQuanYi Zen Hei"/>
        <family val="2"/>
      </rPr>
      <t xml:space="preserve">알아서 화내는 </t>
    </r>
    <r>
      <rPr>
        <sz val="10"/>
        <rFont val="Arial"/>
        <family val="0"/>
        <charset val="1"/>
      </rPr>
      <t xml:space="preserve">Manon</t>
    </r>
  </si>
  <si>
    <r>
      <rPr>
        <sz val="10"/>
        <rFont val="Arial"/>
        <family val="0"/>
        <charset val="1"/>
      </rPr>
      <t xml:space="preserve">Manon</t>
    </r>
    <r>
      <rPr>
        <sz val="10"/>
        <rFont val="WenQuanYi Zen Hei"/>
        <family val="2"/>
      </rPr>
      <t xml:space="preserve">의 </t>
    </r>
    <r>
      <rPr>
        <sz val="10"/>
        <rFont val="Arial"/>
        <family val="0"/>
        <charset val="1"/>
      </rPr>
      <t xml:space="preserve">vous (Napoléon</t>
    </r>
    <r>
      <rPr>
        <sz val="10"/>
        <rFont val="WenQuanYi Zen Hei"/>
        <family val="2"/>
      </rPr>
      <t xml:space="preserve">에게</t>
    </r>
    <r>
      <rPr>
        <sz val="10"/>
        <rFont val="Arial"/>
        <family val="0"/>
        <charset val="1"/>
      </rPr>
      <t xml:space="preserve">)</t>
    </r>
  </si>
  <si>
    <t xml:space="preserve">호칭</t>
  </si>
  <si>
    <r>
      <rPr>
        <sz val="10"/>
        <rFont val="Arial"/>
        <family val="0"/>
        <charset val="1"/>
      </rPr>
      <t xml:space="preserve">12</t>
    </r>
    <r>
      <rPr>
        <sz val="10"/>
        <rFont val="WenQuanYi Zen Hei"/>
        <family val="2"/>
      </rPr>
      <t xml:space="preserve">부 </t>
    </r>
    <r>
      <rPr>
        <sz val="10"/>
        <rFont val="Arial"/>
        <family val="0"/>
        <charset val="1"/>
      </rPr>
      <t xml:space="preserve">1</t>
    </r>
    <r>
      <rPr>
        <sz val="10"/>
        <rFont val="WenQuanYi Zen Hei"/>
        <family val="2"/>
      </rPr>
      <t xml:space="preserve">화 — 추도사에서 처음 </t>
    </r>
    <r>
      <rPr>
        <sz val="10"/>
        <rFont val="Arial"/>
        <family val="0"/>
        <charset val="1"/>
      </rPr>
      <t xml:space="preserve">tu — </t>
    </r>
    <r>
      <rPr>
        <sz val="10"/>
        <rFont val="WenQuanYi Zen Hei"/>
        <family val="2"/>
      </rPr>
      <t xml:space="preserve">호칭 전환이 곧 애도</t>
    </r>
  </si>
  <si>
    <t xml:space="preserve">Manon, Napoléon</t>
  </si>
  <si>
    <r>
      <rPr>
        <sz val="10"/>
        <rFont val="Arial"/>
        <family val="0"/>
        <charset val="1"/>
      </rPr>
      <t xml:space="preserve">Curie</t>
    </r>
    <r>
      <rPr>
        <sz val="10"/>
        <rFont val="WenQuanYi Zen Hei"/>
        <family val="2"/>
      </rPr>
      <t xml:space="preserve">의 카드 </t>
    </r>
    <r>
      <rPr>
        <sz val="10"/>
        <rFont val="Arial"/>
        <family val="0"/>
        <charset val="1"/>
      </rPr>
      <t xml:space="preserve">#1</t>
    </r>
    <r>
      <rPr>
        <sz val="10"/>
        <rFont val="WenQuanYi Zen Hei"/>
        <family val="2"/>
      </rPr>
      <t xml:space="preserve">과 </t>
    </r>
    <r>
      <rPr>
        <sz val="10"/>
        <rFont val="Arial"/>
        <family val="0"/>
        <charset val="1"/>
      </rPr>
      <t xml:space="preserve">«Cherche toi-même.»</t>
    </r>
  </si>
  <si>
    <r>
      <rPr>
        <sz val="10"/>
        <rFont val="Arial"/>
        <family val="0"/>
        <charset val="1"/>
      </rPr>
      <t xml:space="preserve">1</t>
    </r>
    <r>
      <rPr>
        <sz val="10"/>
        <rFont val="WenQuanYi Zen Hei"/>
        <family val="2"/>
      </rPr>
      <t xml:space="preserve">부 </t>
    </r>
    <r>
      <rPr>
        <sz val="10"/>
        <rFont val="Arial"/>
        <family val="0"/>
        <charset val="1"/>
      </rPr>
      <t xml:space="preserve">2</t>
    </r>
    <r>
      <rPr>
        <sz val="10"/>
        <rFont val="WenQuanYi Zen Hei"/>
        <family val="2"/>
      </rPr>
      <t xml:space="preserve">화</t>
    </r>
  </si>
  <si>
    <r>
      <rPr>
        <sz val="10"/>
        <rFont val="Arial"/>
        <family val="0"/>
        <charset val="1"/>
      </rPr>
      <t xml:space="preserve">13</t>
    </r>
    <r>
      <rPr>
        <sz val="10"/>
        <rFont val="WenQuanYi Zen Hei"/>
        <family val="2"/>
      </rPr>
      <t xml:space="preserve">부 </t>
    </r>
    <r>
      <rPr>
        <sz val="10"/>
        <rFont val="Arial"/>
        <family val="0"/>
        <charset val="1"/>
      </rPr>
      <t xml:space="preserve">10</t>
    </r>
    <r>
      <rPr>
        <sz val="10"/>
        <rFont val="WenQuanYi Zen Hei"/>
        <family val="2"/>
      </rPr>
      <t xml:space="preserve">화 — 끝까지 결론을 말하지 않던 그녀가 처음 답을 말함</t>
    </r>
  </si>
  <si>
    <r>
      <rPr>
        <sz val="10"/>
        <rFont val="Arial"/>
        <family val="0"/>
        <charset val="1"/>
      </rPr>
      <t xml:space="preserve">Nicolas</t>
    </r>
    <r>
      <rPr>
        <sz val="10"/>
        <rFont val="WenQuanYi Zen Hei"/>
        <family val="2"/>
      </rPr>
      <t xml:space="preserve">의 </t>
    </r>
    <r>
      <rPr>
        <sz val="10"/>
        <rFont val="Arial"/>
        <family val="0"/>
        <charset val="1"/>
      </rPr>
      <t xml:space="preserve">'</t>
    </r>
    <r>
      <rPr>
        <sz val="10"/>
        <rFont val="WenQuanYi Zen Hei"/>
        <family val="2"/>
      </rPr>
      <t xml:space="preserve">리노베이션 해지</t>
    </r>
    <r>
      <rPr>
        <sz val="10"/>
        <rFont val="Arial"/>
        <family val="0"/>
        <charset val="1"/>
      </rPr>
      <t xml:space="preserve">' </t>
    </r>
    <r>
      <rPr>
        <sz val="10"/>
        <rFont val="WenQuanYi Zen Hei"/>
        <family val="2"/>
      </rPr>
      <t xml:space="preserve">조항</t>
    </r>
  </si>
  <si>
    <r>
      <rPr>
        <sz val="10"/>
        <rFont val="Arial"/>
        <family val="0"/>
        <charset val="1"/>
      </rPr>
      <t xml:space="preserve">2</t>
    </r>
    <r>
      <rPr>
        <sz val="10"/>
        <rFont val="WenQuanYi Zen Hei"/>
        <family val="2"/>
      </rPr>
      <t xml:space="preserve">부 </t>
    </r>
    <r>
      <rPr>
        <sz val="10"/>
        <rFont val="Arial"/>
        <family val="0"/>
        <charset val="1"/>
      </rPr>
      <t xml:space="preserve">6</t>
    </r>
    <r>
      <rPr>
        <sz val="10"/>
        <rFont val="WenQuanYi Zen Hei"/>
        <family val="2"/>
      </rPr>
      <t xml:space="preserve">화</t>
    </r>
  </si>
  <si>
    <r>
      <rPr>
        <sz val="10"/>
        <rFont val="Arial"/>
        <family val="0"/>
        <charset val="1"/>
      </rPr>
      <t xml:space="preserve">11</t>
    </r>
    <r>
      <rPr>
        <sz val="10"/>
        <rFont val="WenQuanYi Zen Hei"/>
        <family val="2"/>
      </rPr>
      <t xml:space="preserve">부 </t>
    </r>
    <r>
      <rPr>
        <sz val="10"/>
        <rFont val="Arial"/>
        <family val="0"/>
        <charset val="1"/>
      </rPr>
      <t xml:space="preserve">3</t>
    </r>
    <r>
      <rPr>
        <sz val="10"/>
        <rFont val="WenQuanYi Zen Hei"/>
        <family val="2"/>
      </rPr>
      <t xml:space="preserve">화 — 자기가 만든 조항을 국정에서 폐지</t>
    </r>
  </si>
  <si>
    <r>
      <rPr>
        <sz val="10"/>
        <rFont val="Arial"/>
        <family val="0"/>
        <charset val="1"/>
      </rPr>
      <t xml:space="preserve">Julien</t>
    </r>
    <r>
      <rPr>
        <sz val="10"/>
        <rFont val="WenQuanYi Zen Hei"/>
        <family val="2"/>
      </rPr>
      <t xml:space="preserve">의 </t>
    </r>
    <r>
      <rPr>
        <sz val="10"/>
        <rFont val="Arial"/>
        <family val="0"/>
        <charset val="1"/>
      </rPr>
      <t xml:space="preserve">«Ça ne colle pas»</t>
    </r>
  </si>
  <si>
    <r>
      <rPr>
        <sz val="10"/>
        <rFont val="Arial"/>
        <family val="0"/>
        <charset val="1"/>
      </rPr>
      <t xml:space="preserve">2</t>
    </r>
    <r>
      <rPr>
        <sz val="10"/>
        <rFont val="WenQuanYi Zen Hei"/>
        <family val="2"/>
      </rPr>
      <t xml:space="preserve">부 </t>
    </r>
    <r>
      <rPr>
        <sz val="10"/>
        <rFont val="Arial"/>
        <family val="0"/>
        <charset val="1"/>
      </rPr>
      <t xml:space="preserve">4</t>
    </r>
    <r>
      <rPr>
        <sz val="10"/>
        <rFont val="WenQuanYi Zen Hei"/>
        <family val="2"/>
      </rPr>
      <t xml:space="preserve">화</t>
    </r>
  </si>
  <si>
    <r>
      <rPr>
        <sz val="10"/>
        <rFont val="Arial"/>
        <family val="0"/>
        <charset val="1"/>
      </rPr>
      <t xml:space="preserve">4</t>
    </r>
    <r>
      <rPr>
        <sz val="10"/>
        <rFont val="WenQuanYi Zen Hei"/>
        <family val="2"/>
      </rPr>
      <t xml:space="preserve">부 </t>
    </r>
    <r>
      <rPr>
        <sz val="10"/>
        <rFont val="Arial"/>
        <family val="0"/>
        <charset val="1"/>
      </rPr>
      <t xml:space="preserve">4</t>
    </r>
    <r>
      <rPr>
        <sz val="10"/>
        <rFont val="WenQuanYi Zen Hei"/>
        <family val="2"/>
      </rPr>
      <t xml:space="preserve">화 — 감사인의 눈이 처음 이상을 발견한 순간의 원점</t>
    </r>
  </si>
  <si>
    <r>
      <rPr>
        <sz val="10"/>
        <rFont val="Arial"/>
        <family val="0"/>
        <charset val="1"/>
      </rPr>
      <t xml:space="preserve">Julien</t>
    </r>
    <r>
      <rPr>
        <sz val="10"/>
        <rFont val="WenQuanYi Zen Hei"/>
        <family val="2"/>
      </rPr>
      <t xml:space="preserve">의 복사본 </t>
    </r>
    <r>
      <rPr>
        <sz val="10"/>
        <rFont val="Arial"/>
        <family val="0"/>
        <charset val="1"/>
      </rPr>
      <t xml:space="preserve">USB</t>
    </r>
  </si>
  <si>
    <r>
      <rPr>
        <sz val="10"/>
        <rFont val="Arial"/>
        <family val="0"/>
        <charset val="1"/>
      </rPr>
      <t xml:space="preserve">4</t>
    </r>
    <r>
      <rPr>
        <sz val="10"/>
        <rFont val="WenQuanYi Zen Hei"/>
        <family val="2"/>
      </rPr>
      <t xml:space="preserve">부 </t>
    </r>
    <r>
      <rPr>
        <sz val="10"/>
        <rFont val="Arial"/>
        <family val="0"/>
        <charset val="1"/>
      </rPr>
      <t xml:space="preserve">10</t>
    </r>
    <r>
      <rPr>
        <sz val="10"/>
        <rFont val="WenQuanYi Zen Hei"/>
        <family val="2"/>
      </rPr>
      <t xml:space="preserve">화</t>
    </r>
  </si>
  <si>
    <r>
      <rPr>
        <sz val="10"/>
        <rFont val="Arial"/>
        <family val="0"/>
        <charset val="1"/>
      </rPr>
      <t xml:space="preserve">7</t>
    </r>
    <r>
      <rPr>
        <sz val="10"/>
        <rFont val="WenQuanYi Zen Hei"/>
        <family val="2"/>
      </rPr>
      <t xml:space="preserve">부 </t>
    </r>
    <r>
      <rPr>
        <sz val="10"/>
        <rFont val="Arial"/>
        <family val="0"/>
        <charset val="1"/>
      </rPr>
      <t xml:space="preserve">5~6</t>
    </r>
    <r>
      <rPr>
        <sz val="10"/>
        <rFont val="WenQuanYi Zen Hei"/>
        <family val="2"/>
      </rPr>
      <t xml:space="preserve">화 — 서명의 죄가 고소의 증거로 바뀜</t>
    </r>
  </si>
  <si>
    <r>
      <rPr>
        <sz val="10"/>
        <rFont val="Arial"/>
        <family val="0"/>
        <charset val="1"/>
      </rPr>
      <t xml:space="preserve">Julien</t>
    </r>
    <r>
      <rPr>
        <sz val="10"/>
        <rFont val="WenQuanYi Zen Hei"/>
        <family val="2"/>
      </rPr>
      <t xml:space="preserve">의 </t>
    </r>
    <r>
      <rPr>
        <sz val="10"/>
        <rFont val="Arial"/>
        <family val="0"/>
        <charset val="1"/>
      </rPr>
      <t xml:space="preserve">«</t>
    </r>
    <r>
      <rPr>
        <sz val="10"/>
        <rFont val="WenQuanYi Zen Hei"/>
        <family val="2"/>
      </rPr>
      <t xml:space="preserve">다시는 서명하지 않는다</t>
    </r>
    <r>
      <rPr>
        <sz val="10"/>
        <rFont val="Arial"/>
        <family val="0"/>
        <charset val="1"/>
      </rPr>
      <t xml:space="preserve">»</t>
    </r>
  </si>
  <si>
    <r>
      <rPr>
        <sz val="10"/>
        <rFont val="Arial"/>
        <family val="0"/>
        <charset val="1"/>
      </rPr>
      <t xml:space="preserve">4</t>
    </r>
    <r>
      <rPr>
        <sz val="10"/>
        <rFont val="WenQuanYi Zen Hei"/>
        <family val="2"/>
      </rPr>
      <t xml:space="preserve">부 </t>
    </r>
    <r>
      <rPr>
        <sz val="10"/>
        <rFont val="Arial"/>
        <family val="0"/>
        <charset val="1"/>
      </rPr>
      <t xml:space="preserve">11</t>
    </r>
    <r>
      <rPr>
        <sz val="10"/>
        <rFont val="WenQuanYi Zen Hei"/>
        <family val="2"/>
      </rPr>
      <t xml:space="preserve">화</t>
    </r>
  </si>
  <si>
    <r>
      <rPr>
        <sz val="10"/>
        <rFont val="Arial"/>
        <family val="0"/>
        <charset val="1"/>
      </rPr>
      <t xml:space="preserve">11</t>
    </r>
    <r>
      <rPr>
        <sz val="10"/>
        <rFont val="WenQuanYi Zen Hei"/>
        <family val="2"/>
      </rPr>
      <t xml:space="preserve">부 </t>
    </r>
    <r>
      <rPr>
        <sz val="10"/>
        <rFont val="Arial"/>
        <family val="0"/>
        <charset val="1"/>
      </rPr>
      <t xml:space="preserve">10</t>
    </r>
    <r>
      <rPr>
        <sz val="10"/>
        <rFont val="WenQuanYi Zen Hei"/>
        <family val="2"/>
      </rPr>
      <t xml:space="preserve">화 — 브뤼셀에서 </t>
    </r>
    <r>
      <rPr>
        <sz val="10"/>
        <rFont val="Arial"/>
        <family val="0"/>
        <charset val="1"/>
      </rPr>
      <t xml:space="preserve">«Je ne signe que ce que j'ai vérifié» — </t>
    </r>
    <r>
      <rPr>
        <sz val="10"/>
        <rFont val="WenQuanYi Zen Hei"/>
        <family val="2"/>
      </rPr>
      <t xml:space="preserve">숫자 서명의 회수</t>
    </r>
  </si>
  <si>
    <r>
      <rPr>
        <sz val="10"/>
        <rFont val="Arial"/>
        <family val="0"/>
        <charset val="1"/>
      </rPr>
      <t xml:space="preserve">Léa</t>
    </r>
    <r>
      <rPr>
        <sz val="10"/>
        <rFont val="WenQuanYi Zen Hei"/>
        <family val="2"/>
      </rPr>
      <t xml:space="preserve">의 </t>
    </r>
    <r>
      <rPr>
        <sz val="10"/>
        <rFont val="Arial"/>
        <family val="0"/>
        <charset val="1"/>
      </rPr>
      <t xml:space="preserve">C47 </t>
    </r>
    <r>
      <rPr>
        <sz val="10"/>
        <rFont val="WenQuanYi Zen Hei"/>
        <family val="2"/>
      </rPr>
      <t xml:space="preserve">셀</t>
    </r>
  </si>
  <si>
    <r>
      <rPr>
        <sz val="10"/>
        <rFont val="Arial"/>
        <family val="0"/>
        <charset val="1"/>
      </rPr>
      <t xml:space="preserve">5</t>
    </r>
    <r>
      <rPr>
        <sz val="10"/>
        <rFont val="WenQuanYi Zen Hei"/>
        <family val="2"/>
      </rPr>
      <t xml:space="preserve">부 </t>
    </r>
    <r>
      <rPr>
        <sz val="10"/>
        <rFont val="Arial"/>
        <family val="0"/>
        <charset val="1"/>
      </rPr>
      <t xml:space="preserve">6</t>
    </r>
    <r>
      <rPr>
        <sz val="10"/>
        <rFont val="WenQuanYi Zen Hei"/>
        <family val="2"/>
      </rPr>
      <t xml:space="preserve">화</t>
    </r>
  </si>
  <si>
    <r>
      <rPr>
        <sz val="10"/>
        <rFont val="Arial"/>
        <family val="0"/>
        <charset val="1"/>
      </rPr>
      <t xml:space="preserve">11</t>
    </r>
    <r>
      <rPr>
        <sz val="10"/>
        <rFont val="WenQuanYi Zen Hei"/>
        <family val="2"/>
      </rPr>
      <t xml:space="preserve">부 </t>
    </r>
    <r>
      <rPr>
        <sz val="10"/>
        <rFont val="Arial"/>
        <family val="0"/>
        <charset val="1"/>
      </rPr>
      <t xml:space="preserve">6</t>
    </r>
    <r>
      <rPr>
        <sz val="10"/>
        <rFont val="WenQuanYi Zen Hei"/>
        <family val="2"/>
      </rPr>
      <t xml:space="preserve">화 — 사람을 지우던 셀이 해고 없는 통합 모델로</t>
    </r>
  </si>
  <si>
    <r>
      <rPr>
        <sz val="10"/>
        <rFont val="Arial"/>
        <family val="0"/>
        <charset val="1"/>
      </rPr>
      <t xml:space="preserve">Léa</t>
    </r>
    <r>
      <rPr>
        <sz val="10"/>
        <rFont val="WenQuanYi Zen Hei"/>
        <family val="2"/>
      </rPr>
      <t xml:space="preserve">의 </t>
    </r>
    <r>
      <rPr>
        <sz val="10"/>
        <rFont val="Arial"/>
        <family val="0"/>
        <charset val="1"/>
      </rPr>
      <t xml:space="preserve">«Mettons ça dans une matrice»</t>
    </r>
  </si>
  <si>
    <r>
      <rPr>
        <sz val="10"/>
        <rFont val="Arial"/>
        <family val="0"/>
        <charset val="1"/>
      </rPr>
      <t xml:space="preserve">13</t>
    </r>
    <r>
      <rPr>
        <sz val="10"/>
        <rFont val="WenQuanYi Zen Hei"/>
        <family val="2"/>
      </rPr>
      <t xml:space="preserve">부 </t>
    </r>
    <r>
      <rPr>
        <sz val="10"/>
        <rFont val="Arial"/>
        <family val="0"/>
        <charset val="1"/>
      </rPr>
      <t xml:space="preserve">6</t>
    </r>
    <r>
      <rPr>
        <sz val="10"/>
        <rFont val="WenQuanYi Zen Hei"/>
        <family val="2"/>
      </rPr>
      <t xml:space="preserve">화 — </t>
    </r>
    <r>
      <rPr>
        <sz val="10"/>
        <rFont val="Arial"/>
        <family val="0"/>
        <charset val="1"/>
      </rPr>
      <t xml:space="preserve">«Bon, sans slides» — </t>
    </r>
    <r>
      <rPr>
        <sz val="10"/>
        <rFont val="WenQuanYi Zen Hei"/>
        <family val="2"/>
      </rPr>
      <t xml:space="preserve">쉬운 말로의 변화</t>
    </r>
  </si>
  <si>
    <r>
      <rPr>
        <sz val="10"/>
        <rFont val="Arial"/>
        <family val="0"/>
        <charset val="1"/>
      </rPr>
      <t xml:space="preserve">Camille</t>
    </r>
    <r>
      <rPr>
        <sz val="10"/>
        <rFont val="WenQuanYi Zen Hei"/>
        <family val="2"/>
      </rPr>
      <t xml:space="preserve">의 이름 명단</t>
    </r>
  </si>
  <si>
    <r>
      <rPr>
        <sz val="10"/>
        <rFont val="Arial"/>
        <family val="0"/>
        <charset val="1"/>
      </rPr>
      <t xml:space="preserve">3</t>
    </r>
    <r>
      <rPr>
        <sz val="10"/>
        <rFont val="WenQuanYi Zen Hei"/>
        <family val="2"/>
      </rPr>
      <t xml:space="preserve">부 </t>
    </r>
    <r>
      <rPr>
        <sz val="10"/>
        <rFont val="Arial"/>
        <family val="0"/>
        <charset val="1"/>
      </rPr>
      <t xml:space="preserve">5</t>
    </r>
    <r>
      <rPr>
        <sz val="10"/>
        <rFont val="WenQuanYi Zen Hei"/>
        <family val="2"/>
      </rPr>
      <t xml:space="preserve">화</t>
    </r>
  </si>
  <si>
    <r>
      <rPr>
        <sz val="10"/>
        <rFont val="Arial"/>
        <family val="0"/>
        <charset val="1"/>
      </rPr>
      <t xml:space="preserve">13</t>
    </r>
    <r>
      <rPr>
        <sz val="10"/>
        <rFont val="WenQuanYi Zen Hei"/>
        <family val="2"/>
      </rPr>
      <t xml:space="preserve">부 </t>
    </r>
    <r>
      <rPr>
        <sz val="10"/>
        <rFont val="Arial"/>
        <family val="0"/>
        <charset val="1"/>
      </rPr>
      <t xml:space="preserve">7</t>
    </r>
    <r>
      <rPr>
        <sz val="10"/>
        <rFont val="WenQuanYi Zen Hei"/>
        <family val="2"/>
      </rPr>
      <t xml:space="preserve">화 — 수첩의 이름들이 임기 결산의 사람 이야기가 됨</t>
    </r>
  </si>
  <si>
    <r>
      <rPr>
        <sz val="10"/>
        <rFont val="Arial"/>
        <family val="0"/>
        <charset val="1"/>
      </rPr>
      <t xml:space="preserve">Karim–Léa </t>
    </r>
    <r>
      <rPr>
        <sz val="10"/>
        <rFont val="WenQuanYi Zen Hei"/>
        <family val="2"/>
      </rPr>
      <t xml:space="preserve">갈등</t>
    </r>
  </si>
  <si>
    <t xml:space="preserve">관계</t>
  </si>
  <si>
    <r>
      <rPr>
        <sz val="10"/>
        <rFont val="Arial"/>
        <family val="0"/>
        <charset val="1"/>
      </rPr>
      <t xml:space="preserve">5</t>
    </r>
    <r>
      <rPr>
        <sz val="10"/>
        <rFont val="WenQuanYi Zen Hei"/>
        <family val="2"/>
      </rPr>
      <t xml:space="preserve">부 </t>
    </r>
    <r>
      <rPr>
        <sz val="10"/>
        <rFont val="Arial"/>
        <family val="0"/>
        <charset val="1"/>
      </rPr>
      <t xml:space="preserve">7·10</t>
    </r>
    <r>
      <rPr>
        <sz val="10"/>
        <rFont val="WenQuanYi Zen Hei"/>
        <family val="2"/>
      </rPr>
      <t xml:space="preserve">화</t>
    </r>
  </si>
  <si>
    <r>
      <rPr>
        <sz val="10"/>
        <rFont val="Arial"/>
        <family val="0"/>
        <charset val="1"/>
      </rPr>
      <t xml:space="preserve">10</t>
    </r>
    <r>
      <rPr>
        <sz val="10"/>
        <rFont val="WenQuanYi Zen Hei"/>
        <family val="2"/>
      </rPr>
      <t xml:space="preserve">부 </t>
    </r>
    <r>
      <rPr>
        <sz val="10"/>
        <rFont val="Arial"/>
        <family val="0"/>
        <charset val="1"/>
      </rPr>
      <t xml:space="preserve">5</t>
    </r>
    <r>
      <rPr>
        <sz val="10"/>
        <rFont val="WenQuanYi Zen Hei"/>
        <family val="2"/>
      </rPr>
      <t xml:space="preserve">화 — 해고한 쪽과 해고당한 쪽이 결선 협상에서 화해</t>
    </r>
  </si>
  <si>
    <t xml:space="preserve">Karim, Léa</t>
  </si>
  <si>
    <r>
      <rPr>
        <sz val="10"/>
        <rFont val="Arial"/>
        <family val="0"/>
        <charset val="1"/>
      </rPr>
      <t xml:space="preserve">Philippe</t>
    </r>
    <r>
      <rPr>
        <sz val="10"/>
        <rFont val="WenQuanYi Zen Hei"/>
        <family val="2"/>
      </rPr>
      <t xml:space="preserve">의 첫 등장</t>
    </r>
    <r>
      <rPr>
        <sz val="10"/>
        <rFont val="Arial"/>
        <family val="0"/>
        <charset val="1"/>
      </rPr>
      <t xml:space="preserve">(</t>
    </r>
    <r>
      <rPr>
        <sz val="10"/>
        <rFont val="WenQuanYi Zen Hei"/>
        <family val="2"/>
      </rPr>
      <t xml:space="preserve">의뢰인</t>
    </r>
    <r>
      <rPr>
        <sz val="10"/>
        <rFont val="Arial"/>
        <family val="0"/>
        <charset val="1"/>
      </rPr>
      <t xml:space="preserve">)</t>
    </r>
  </si>
  <si>
    <r>
      <rPr>
        <sz val="10"/>
        <rFont val="Arial"/>
        <family val="0"/>
        <charset val="1"/>
      </rPr>
      <t xml:space="preserve">1</t>
    </r>
    <r>
      <rPr>
        <sz val="10"/>
        <rFont val="WenQuanYi Zen Hei"/>
        <family val="2"/>
      </rPr>
      <t xml:space="preserve">부 </t>
    </r>
    <r>
      <rPr>
        <sz val="10"/>
        <rFont val="Arial"/>
        <family val="0"/>
        <charset val="1"/>
      </rPr>
      <t xml:space="preserve">9</t>
    </r>
    <r>
      <rPr>
        <sz val="10"/>
        <rFont val="WenQuanYi Zen Hei"/>
        <family val="2"/>
      </rPr>
      <t xml:space="preserve">화</t>
    </r>
  </si>
  <si>
    <r>
      <rPr>
        <sz val="10"/>
        <rFont val="Arial"/>
        <family val="0"/>
        <charset val="1"/>
      </rPr>
      <t xml:space="preserve">9</t>
    </r>
    <r>
      <rPr>
        <sz val="10"/>
        <rFont val="WenQuanYi Zen Hei"/>
        <family val="2"/>
      </rPr>
      <t xml:space="preserve">부 </t>
    </r>
    <r>
      <rPr>
        <sz val="10"/>
        <rFont val="Arial"/>
        <family val="0"/>
        <charset val="1"/>
      </rPr>
      <t xml:space="preserve">8</t>
    </r>
    <r>
      <rPr>
        <sz val="10"/>
        <rFont val="WenQuanYi Zen Hei"/>
        <family val="2"/>
      </rPr>
      <t xml:space="preserve">화 — 내부고발자가 시 계약 스캔들의 열쇠가 됨</t>
    </r>
  </si>
  <si>
    <r>
      <rPr>
        <sz val="10"/>
        <rFont val="Arial"/>
        <family val="0"/>
        <charset val="1"/>
      </rPr>
      <t xml:space="preserve">Groupe Méridien</t>
    </r>
    <r>
      <rPr>
        <sz val="10"/>
        <rFont val="WenQuanYi Zen Hei"/>
        <family val="2"/>
      </rPr>
      <t xml:space="preserve">의 이름</t>
    </r>
  </si>
  <si>
    <r>
      <rPr>
        <sz val="10"/>
        <rFont val="Arial"/>
        <family val="0"/>
        <charset val="1"/>
      </rPr>
      <t xml:space="preserve">2</t>
    </r>
    <r>
      <rPr>
        <sz val="10"/>
        <rFont val="WenQuanYi Zen Hei"/>
        <family val="2"/>
      </rPr>
      <t xml:space="preserve">부 </t>
    </r>
    <r>
      <rPr>
        <sz val="10"/>
        <rFont val="Arial"/>
        <family val="0"/>
        <charset val="1"/>
      </rPr>
      <t xml:space="preserve">3</t>
    </r>
    <r>
      <rPr>
        <sz val="10"/>
        <rFont val="WenQuanYi Zen Hei"/>
        <family val="2"/>
      </rPr>
      <t xml:space="preserve">화</t>
    </r>
  </si>
  <si>
    <r>
      <rPr>
        <sz val="10"/>
        <rFont val="Arial"/>
        <family val="0"/>
        <charset val="1"/>
      </rPr>
      <t xml:space="preserve">13</t>
    </r>
    <r>
      <rPr>
        <sz val="10"/>
        <rFont val="WenQuanYi Zen Hei"/>
        <family val="2"/>
      </rPr>
      <t xml:space="preserve">부 </t>
    </r>
    <r>
      <rPr>
        <sz val="10"/>
        <rFont val="Arial"/>
        <family val="0"/>
        <charset val="1"/>
      </rPr>
      <t xml:space="preserve">7</t>
    </r>
    <r>
      <rPr>
        <sz val="10"/>
        <rFont val="WenQuanYi Zen Hei"/>
        <family val="2"/>
      </rPr>
      <t xml:space="preserve">화 — </t>
    </r>
    <r>
      <rPr>
        <sz val="10"/>
        <rFont val="Arial"/>
        <family val="0"/>
        <charset val="1"/>
      </rPr>
      <t xml:space="preserve">13</t>
    </r>
    <r>
      <rPr>
        <sz val="10"/>
        <rFont val="WenQuanYi Zen Hei"/>
        <family val="2"/>
      </rPr>
      <t xml:space="preserve">개 부를 관통하는 악역이 재판에 이르는 흐름</t>
    </r>
  </si>
  <si>
    <r>
      <rPr>
        <sz val="10"/>
        <rFont val="Arial"/>
        <family val="0"/>
        <charset val="1"/>
      </rPr>
      <t xml:space="preserve">Sartre</t>
    </r>
    <r>
      <rPr>
        <sz val="10"/>
        <rFont val="WenQuanYi Zen Hei"/>
        <family val="2"/>
      </rPr>
      <t xml:space="preserve">의 </t>
    </r>
    <r>
      <rPr>
        <sz val="10"/>
        <rFont val="Arial"/>
        <family val="0"/>
        <charset val="1"/>
      </rPr>
      <t xml:space="preserve">«Et toi, qu'est-ce que tu choisis ?»</t>
    </r>
  </si>
  <si>
    <r>
      <rPr>
        <sz val="10"/>
        <rFont val="Arial"/>
        <family val="0"/>
        <charset val="1"/>
      </rPr>
      <t xml:space="preserve">1</t>
    </r>
    <r>
      <rPr>
        <sz val="10"/>
        <rFont val="WenQuanYi Zen Hei"/>
        <family val="2"/>
      </rPr>
      <t xml:space="preserve">부 </t>
    </r>
    <r>
      <rPr>
        <sz val="10"/>
        <rFont val="Arial"/>
        <family val="0"/>
        <charset val="1"/>
      </rPr>
      <t xml:space="preserve">7</t>
    </r>
    <r>
      <rPr>
        <sz val="10"/>
        <rFont val="WenQuanYi Zen Hei"/>
        <family val="2"/>
      </rPr>
      <t xml:space="preserve">화</t>
    </r>
  </si>
  <si>
    <r>
      <rPr>
        <sz val="10"/>
        <rFont val="Arial"/>
        <family val="0"/>
        <charset val="1"/>
      </rPr>
      <t xml:space="preserve">12</t>
    </r>
    <r>
      <rPr>
        <sz val="10"/>
        <rFont val="WenQuanYi Zen Hei"/>
        <family val="2"/>
      </rPr>
      <t xml:space="preserve">부</t>
    </r>
    <r>
      <rPr>
        <sz val="10"/>
        <rFont val="Arial"/>
        <family val="0"/>
        <charset val="1"/>
      </rPr>
      <t xml:space="preserve">(</t>
    </r>
    <r>
      <rPr>
        <sz val="10"/>
        <rFont val="WenQuanYi Zen Hei"/>
        <family val="2"/>
      </rPr>
      <t xml:space="preserve">애도 장면</t>
    </r>
    <r>
      <rPr>
        <sz val="10"/>
        <rFont val="Arial"/>
        <family val="0"/>
        <charset val="1"/>
      </rPr>
      <t xml:space="preserve">) — </t>
    </r>
    <r>
      <rPr>
        <sz val="10"/>
        <rFont val="WenQuanYi Zen Hei"/>
        <family val="2"/>
      </rPr>
      <t xml:space="preserve">다들 질색하던 질문이 처음 진지하게 쓰임</t>
    </r>
  </si>
  <si>
    <r>
      <rPr>
        <sz val="10"/>
        <rFont val="Arial"/>
        <family val="0"/>
        <charset val="1"/>
      </rPr>
      <t xml:space="preserve">Hugo</t>
    </r>
    <r>
      <rPr>
        <sz val="10"/>
        <rFont val="WenQuanYi Zen Hei"/>
        <family val="2"/>
      </rPr>
      <t xml:space="preserve">의 첫 연설</t>
    </r>
    <r>
      <rPr>
        <sz val="10"/>
        <rFont val="Arial"/>
        <family val="0"/>
        <charset val="1"/>
      </rPr>
      <t xml:space="preserve">(</t>
    </r>
    <r>
      <rPr>
        <sz val="10"/>
        <rFont val="WenQuanYi Zen Hei"/>
        <family val="2"/>
      </rPr>
      <t xml:space="preserve">너무 길고 장황해 실패</t>
    </r>
    <r>
      <rPr>
        <sz val="10"/>
        <rFont val="Arial"/>
        <family val="0"/>
        <charset val="1"/>
      </rPr>
      <t xml:space="preserve">)</t>
    </r>
  </si>
  <si>
    <r>
      <rPr>
        <sz val="10"/>
        <rFont val="Arial"/>
        <family val="0"/>
        <charset val="1"/>
      </rPr>
      <t xml:space="preserve">6</t>
    </r>
    <r>
      <rPr>
        <sz val="10"/>
        <rFont val="WenQuanYi Zen Hei"/>
        <family val="2"/>
      </rPr>
      <t xml:space="preserve">부 </t>
    </r>
    <r>
      <rPr>
        <sz val="10"/>
        <rFont val="Arial"/>
        <family val="0"/>
        <charset val="1"/>
      </rPr>
      <t xml:space="preserve">9</t>
    </r>
    <r>
      <rPr>
        <sz val="10"/>
        <rFont val="WenQuanYi Zen Hei"/>
        <family val="2"/>
      </rPr>
      <t xml:space="preserve">화</t>
    </r>
  </si>
  <si>
    <r>
      <rPr>
        <sz val="10"/>
        <rFont val="Arial"/>
        <family val="0"/>
        <charset val="1"/>
      </rPr>
      <t xml:space="preserve">10</t>
    </r>
    <r>
      <rPr>
        <sz val="10"/>
        <rFont val="WenQuanYi Zen Hei"/>
        <family val="2"/>
      </rPr>
      <t xml:space="preserve">부 </t>
    </r>
    <r>
      <rPr>
        <sz val="10"/>
        <rFont val="Arial"/>
        <family val="0"/>
        <charset val="1"/>
      </rPr>
      <t xml:space="preserve">8</t>
    </r>
    <r>
      <rPr>
        <sz val="10"/>
        <rFont val="WenQuanYi Zen Hei"/>
        <family val="2"/>
      </rPr>
      <t xml:space="preserve">화 — 취임 연설</t>
    </r>
    <r>
      <rPr>
        <sz val="10"/>
        <rFont val="Arial"/>
        <family val="0"/>
        <charset val="1"/>
      </rPr>
      <t xml:space="preserve">·</t>
    </r>
    <r>
      <rPr>
        <sz val="10"/>
        <rFont val="WenQuanYi Zen Hei"/>
        <family val="2"/>
      </rPr>
      <t xml:space="preserve">유작 메모까지 이어지는 </t>
    </r>
    <r>
      <rPr>
        <sz val="10"/>
        <rFont val="Arial"/>
        <family val="0"/>
        <charset val="1"/>
      </rPr>
      <t xml:space="preserve">'</t>
    </r>
    <r>
      <rPr>
        <sz val="10"/>
        <rFont val="WenQuanYi Zen Hei"/>
        <family val="2"/>
      </rPr>
      <t xml:space="preserve">짧게 쓰는 법</t>
    </r>
    <r>
      <rPr>
        <sz val="10"/>
        <rFont val="Arial"/>
        <family val="0"/>
        <charset val="1"/>
      </rPr>
      <t xml:space="preserve">'</t>
    </r>
    <r>
      <rPr>
        <sz val="10"/>
        <rFont val="WenQuanYi Zen Hei"/>
        <family val="2"/>
      </rPr>
      <t xml:space="preserve">의 성장</t>
    </r>
  </si>
  <si>
    <r>
      <rPr>
        <sz val="10"/>
        <rFont val="Arial"/>
        <family val="0"/>
        <charset val="1"/>
      </rPr>
      <t xml:space="preserve">Jeanne</t>
    </r>
    <r>
      <rPr>
        <sz val="10"/>
        <rFont val="WenQuanYi Zen Hei"/>
        <family val="2"/>
      </rPr>
      <t xml:space="preserve">의 </t>
    </r>
    <r>
      <rPr>
        <sz val="10"/>
        <rFont val="Arial"/>
        <family val="0"/>
        <charset val="1"/>
      </rPr>
      <t xml:space="preserve">«Rien à signaler»</t>
    </r>
  </si>
  <si>
    <r>
      <rPr>
        <sz val="10"/>
        <rFont val="Arial"/>
        <family val="0"/>
        <charset val="1"/>
      </rPr>
      <t xml:space="preserve">1</t>
    </r>
    <r>
      <rPr>
        <sz val="10"/>
        <rFont val="WenQuanYi Zen Hei"/>
        <family val="2"/>
      </rPr>
      <t xml:space="preserve">부 </t>
    </r>
    <r>
      <rPr>
        <sz val="10"/>
        <rFont val="Arial"/>
        <family val="0"/>
        <charset val="1"/>
      </rPr>
      <t xml:space="preserve">4</t>
    </r>
    <r>
      <rPr>
        <sz val="10"/>
        <rFont val="WenQuanYi Zen Hei"/>
        <family val="2"/>
      </rPr>
      <t xml:space="preserve">화</t>
    </r>
  </si>
  <si>
    <r>
      <rPr>
        <sz val="10"/>
        <rFont val="Arial"/>
        <family val="0"/>
        <charset val="1"/>
      </rPr>
      <t xml:space="preserve">12</t>
    </r>
    <r>
      <rPr>
        <sz val="10"/>
        <rFont val="WenQuanYi Zen Hei"/>
        <family val="2"/>
      </rPr>
      <t xml:space="preserve">부 </t>
    </r>
    <r>
      <rPr>
        <sz val="10"/>
        <rFont val="Arial"/>
        <family val="0"/>
        <charset val="1"/>
      </rPr>
      <t xml:space="preserve">8</t>
    </r>
    <r>
      <rPr>
        <sz val="10"/>
        <rFont val="WenQuanYi Zen Hei"/>
        <family val="2"/>
      </rPr>
      <t xml:space="preserve">화 — 재난 앞에서 처음으로 </t>
    </r>
    <r>
      <rPr>
        <sz val="10"/>
        <rFont val="Arial"/>
        <family val="0"/>
        <charset val="1"/>
      </rPr>
      <t xml:space="preserve">'</t>
    </r>
    <r>
      <rPr>
        <sz val="10"/>
        <rFont val="WenQuanYi Zen Hei"/>
        <family val="2"/>
      </rPr>
      <t xml:space="preserve">보고할 것이 있다</t>
    </r>
    <r>
      <rPr>
        <sz val="10"/>
        <rFont val="Arial"/>
        <family val="0"/>
        <charset val="1"/>
      </rPr>
      <t xml:space="preserve">'</t>
    </r>
    <r>
      <rPr>
        <sz val="10"/>
        <rFont val="WenQuanYi Zen Hei"/>
        <family val="2"/>
      </rPr>
      <t xml:space="preserve">고 말함</t>
    </r>
  </si>
  <si>
    <r>
      <rPr>
        <sz val="10"/>
        <rFont val="Arial"/>
        <family val="0"/>
        <charset val="1"/>
      </rPr>
      <t xml:space="preserve">Monique</t>
    </r>
    <r>
      <rPr>
        <sz val="10"/>
        <rFont val="WenQuanYi Zen Hei"/>
        <family val="2"/>
      </rPr>
      <t xml:space="preserve">의 식탁과 </t>
    </r>
    <r>
      <rPr>
        <sz val="10"/>
        <rFont val="Arial"/>
        <family val="0"/>
        <charset val="1"/>
      </rPr>
      <t xml:space="preserve">«Asseyez-vous, je vous apporte quelque chose.»</t>
    </r>
  </si>
  <si>
    <r>
      <rPr>
        <sz val="10"/>
        <rFont val="Arial"/>
        <family val="0"/>
        <charset val="1"/>
      </rPr>
      <t xml:space="preserve">1</t>
    </r>
    <r>
      <rPr>
        <sz val="10"/>
        <rFont val="WenQuanYi Zen Hei"/>
        <family val="2"/>
      </rPr>
      <t xml:space="preserve">부 </t>
    </r>
    <r>
      <rPr>
        <sz val="10"/>
        <rFont val="Arial"/>
        <family val="0"/>
        <charset val="1"/>
      </rPr>
      <t xml:space="preserve">1·12</t>
    </r>
    <r>
      <rPr>
        <sz val="10"/>
        <rFont val="WenQuanYi Zen Hei"/>
        <family val="2"/>
      </rPr>
      <t xml:space="preserve">화</t>
    </r>
  </si>
  <si>
    <r>
      <rPr>
        <sz val="10"/>
        <rFont val="Arial"/>
        <family val="0"/>
        <charset val="1"/>
      </rPr>
      <t xml:space="preserve">13</t>
    </r>
    <r>
      <rPr>
        <sz val="10"/>
        <rFont val="WenQuanYi Zen Hei"/>
        <family val="2"/>
      </rPr>
      <t xml:space="preserve">부 </t>
    </r>
    <r>
      <rPr>
        <sz val="10"/>
        <rFont val="Arial"/>
        <family val="0"/>
        <charset val="1"/>
      </rPr>
      <t xml:space="preserve">12</t>
    </r>
    <r>
      <rPr>
        <sz val="10"/>
        <rFont val="WenQuanYi Zen Hei"/>
        <family val="2"/>
      </rPr>
      <t xml:space="preserve">화 — 같은 대사로 시작해 같은 대사로 끝나는 원형</t>
    </r>
  </si>
  <si>
    <t xml:space="preserve">«Il est cinq heures. La réunion commence…»</t>
  </si>
  <si>
    <r>
      <rPr>
        <sz val="10"/>
        <rFont val="Arial"/>
        <family val="0"/>
        <charset val="1"/>
      </rPr>
      <t xml:space="preserve">6</t>
    </r>
    <r>
      <rPr>
        <sz val="10"/>
        <rFont val="WenQuanYi Zen Hei"/>
        <family val="2"/>
      </rPr>
      <t xml:space="preserve">부 </t>
    </r>
    <r>
      <rPr>
        <sz val="10"/>
        <rFont val="Arial"/>
        <family val="0"/>
        <charset val="1"/>
      </rPr>
      <t xml:space="preserve">12</t>
    </r>
    <r>
      <rPr>
        <sz val="10"/>
        <rFont val="WenQuanYi Zen Hei"/>
        <family val="2"/>
      </rPr>
      <t xml:space="preserve">화</t>
    </r>
  </si>
  <si>
    <r>
      <rPr>
        <sz val="10"/>
        <rFont val="Arial"/>
        <family val="0"/>
        <charset val="1"/>
      </rPr>
      <t xml:space="preserve">13</t>
    </r>
    <r>
      <rPr>
        <sz val="10"/>
        <rFont val="WenQuanYi Zen Hei"/>
        <family val="2"/>
      </rPr>
      <t xml:space="preserve">부 </t>
    </r>
    <r>
      <rPr>
        <sz val="10"/>
        <rFont val="Arial"/>
        <family val="0"/>
        <charset val="1"/>
      </rPr>
      <t xml:space="preserve">1·11</t>
    </r>
    <r>
      <rPr>
        <sz val="10"/>
        <rFont val="WenQuanYi Zen Hei"/>
        <family val="2"/>
      </rPr>
      <t xml:space="preserve">화 — 시간의 고리</t>
    </r>
    <r>
      <rPr>
        <sz val="10"/>
        <rFont val="Arial"/>
        <family val="0"/>
        <charset val="1"/>
      </rPr>
      <t xml:space="preserve">: </t>
    </r>
    <r>
      <rPr>
        <sz val="10"/>
        <rFont val="WenQuanYi Zen Hei"/>
        <family val="2"/>
      </rPr>
      <t xml:space="preserve">낭독자가 같은 문장을 다시 읽음</t>
    </r>
  </si>
  <si>
    <r>
      <rPr>
        <sz val="10"/>
        <rFont val="Arial"/>
        <family val="0"/>
        <charset val="1"/>
      </rPr>
      <t xml:space="preserve">CT</t>
    </r>
    <r>
      <rPr>
        <sz val="10"/>
        <rFont val="WenQuanYi Zen Hei"/>
        <family val="2"/>
      </rPr>
      <t xml:space="preserve">의 조건부 찬성</t>
    </r>
  </si>
  <si>
    <r>
      <rPr>
        <sz val="10"/>
        <rFont val="Arial"/>
        <family val="0"/>
        <charset val="1"/>
      </rPr>
      <t xml:space="preserve">10</t>
    </r>
    <r>
      <rPr>
        <sz val="10"/>
        <rFont val="WenQuanYi Zen Hei"/>
        <family val="2"/>
      </rPr>
      <t xml:space="preserve">부 </t>
    </r>
    <r>
      <rPr>
        <sz val="10"/>
        <rFont val="Arial"/>
        <family val="0"/>
        <charset val="1"/>
      </rPr>
      <t xml:space="preserve">11~12</t>
    </r>
    <r>
      <rPr>
        <sz val="10"/>
        <rFont val="WenQuanYi Zen Hei"/>
        <family val="2"/>
      </rPr>
      <t xml:space="preserve">화</t>
    </r>
  </si>
  <si>
    <r>
      <rPr>
        <sz val="10"/>
        <rFont val="Arial"/>
        <family val="0"/>
        <charset val="1"/>
      </rPr>
      <t xml:space="preserve">12</t>
    </r>
    <r>
      <rPr>
        <sz val="10"/>
        <rFont val="WenQuanYi Zen Hei"/>
        <family val="2"/>
      </rPr>
      <t xml:space="preserve">부 </t>
    </r>
    <r>
      <rPr>
        <sz val="10"/>
        <rFont val="Arial"/>
        <family val="0"/>
        <charset val="1"/>
      </rPr>
      <t xml:space="preserve">7</t>
    </r>
    <r>
      <rPr>
        <sz val="10"/>
        <rFont val="WenQuanYi Zen Hei"/>
        <family val="2"/>
      </rPr>
      <t xml:space="preserve">화 — 코르시카 자치 협상의 대가로 두 번째 불신임안에서 기권</t>
    </r>
  </si>
  <si>
    <t xml:space="preserve">Olympe, Léa</t>
  </si>
  <si>
    <t xml:space="preserve">반부패 단체 사소권 제한 법안</t>
  </si>
  <si>
    <r>
      <rPr>
        <sz val="10"/>
        <rFont val="Arial"/>
        <family val="0"/>
        <charset val="1"/>
      </rPr>
      <t xml:space="preserve">7</t>
    </r>
    <r>
      <rPr>
        <sz val="10"/>
        <rFont val="WenQuanYi Zen Hei"/>
        <family val="2"/>
      </rPr>
      <t xml:space="preserve">부 </t>
    </r>
    <r>
      <rPr>
        <sz val="10"/>
        <rFont val="Arial"/>
        <family val="0"/>
        <charset val="1"/>
      </rPr>
      <t xml:space="preserve">11</t>
    </r>
    <r>
      <rPr>
        <sz val="10"/>
        <rFont val="WenQuanYi Zen Hei"/>
        <family val="2"/>
      </rPr>
      <t xml:space="preserve">화</t>
    </r>
  </si>
  <si>
    <r>
      <rPr>
        <sz val="10"/>
        <rFont val="Arial"/>
        <family val="0"/>
        <charset val="1"/>
      </rPr>
      <t xml:space="preserve">8</t>
    </r>
    <r>
      <rPr>
        <sz val="10"/>
        <rFont val="WenQuanYi Zen Hei"/>
        <family val="2"/>
      </rPr>
      <t xml:space="preserve">부 </t>
    </r>
    <r>
      <rPr>
        <sz val="10"/>
        <rFont val="Arial"/>
        <family val="0"/>
        <charset val="1"/>
      </rPr>
      <t xml:space="preserve">1~5</t>
    </r>
    <r>
      <rPr>
        <sz val="10"/>
        <rFont val="WenQuanYi Zen Hei"/>
        <family val="2"/>
      </rPr>
      <t xml:space="preserve">화 — 법정 승리가 법 앞에서 무력해지는 경험이 창당의 동기</t>
    </r>
  </si>
  <si>
    <t xml:space="preserve">Nicolas, Karim</t>
  </si>
  <si>
    <r>
      <rPr>
        <sz val="10"/>
        <rFont val="Arial"/>
        <family val="0"/>
        <charset val="1"/>
      </rPr>
      <t xml:space="preserve">Napoléon</t>
    </r>
    <r>
      <rPr>
        <sz val="10"/>
        <rFont val="WenQuanYi Zen Hei"/>
        <family val="2"/>
      </rPr>
      <t xml:space="preserve">이 브뤼셀行을 자원한다</t>
    </r>
  </si>
  <si>
    <r>
      <rPr>
        <sz val="10"/>
        <rFont val="Arial"/>
        <family val="0"/>
        <charset val="1"/>
      </rPr>
      <t xml:space="preserve">11</t>
    </r>
    <r>
      <rPr>
        <sz val="10"/>
        <rFont val="WenQuanYi Zen Hei"/>
        <family val="2"/>
      </rPr>
      <t xml:space="preserve">부 </t>
    </r>
    <r>
      <rPr>
        <sz val="10"/>
        <rFont val="Arial"/>
        <family val="0"/>
        <charset val="1"/>
      </rPr>
      <t xml:space="preserve">9</t>
    </r>
    <r>
      <rPr>
        <sz val="10"/>
        <rFont val="WenQuanYi Zen Hei"/>
        <family val="2"/>
      </rPr>
      <t xml:space="preserve">화</t>
    </r>
  </si>
  <si>
    <r>
      <rPr>
        <sz val="10"/>
        <rFont val="Arial"/>
        <family val="0"/>
        <charset val="1"/>
      </rPr>
      <t xml:space="preserve">12</t>
    </r>
    <r>
      <rPr>
        <sz val="10"/>
        <rFont val="WenQuanYi Zen Hei"/>
        <family val="2"/>
      </rPr>
      <t xml:space="preserve">부 </t>
    </r>
    <r>
      <rPr>
        <sz val="10"/>
        <rFont val="Arial"/>
        <family val="0"/>
        <charset val="1"/>
      </rPr>
      <t xml:space="preserve">3</t>
    </r>
    <r>
      <rPr>
        <sz val="10"/>
        <rFont val="WenQuanYi Zen Hei"/>
        <family val="2"/>
      </rPr>
      <t xml:space="preserve">화 — 그의 메모로 팀이 </t>
    </r>
    <r>
      <rPr>
        <sz val="10"/>
        <rFont val="Arial"/>
        <family val="0"/>
        <charset val="1"/>
      </rPr>
      <t xml:space="preserve">2</t>
    </r>
    <r>
      <rPr>
        <sz val="10"/>
        <rFont val="WenQuanYi Zen Hei"/>
        <family val="2"/>
      </rPr>
      <t xml:space="preserve">차 협상을 잇는 복선</t>
    </r>
  </si>
  <si>
    <r>
      <rPr>
        <sz val="10"/>
        <rFont val="Arial"/>
        <family val="0"/>
        <charset val="1"/>
      </rPr>
      <t xml:space="preserve">Napoléon</t>
    </r>
    <r>
      <rPr>
        <sz val="10"/>
        <rFont val="WenQuanYi Zen Hei"/>
        <family val="2"/>
      </rPr>
      <t xml:space="preserve">이 상대의 과장을 반박한다</t>
    </r>
  </si>
  <si>
    <r>
      <rPr>
        <sz val="10"/>
        <rFont val="Arial"/>
        <family val="0"/>
        <charset val="1"/>
      </rPr>
      <t xml:space="preserve">11</t>
    </r>
    <r>
      <rPr>
        <sz val="10"/>
        <rFont val="WenQuanYi Zen Hei"/>
        <family val="2"/>
      </rPr>
      <t xml:space="preserve">부 </t>
    </r>
    <r>
      <rPr>
        <sz val="10"/>
        <rFont val="Arial"/>
        <family val="0"/>
        <charset val="1"/>
      </rPr>
      <t xml:space="preserve">10</t>
    </r>
    <r>
      <rPr>
        <sz val="10"/>
        <rFont val="WenQuanYi Zen Hei"/>
        <family val="2"/>
      </rPr>
      <t xml:space="preserve">화</t>
    </r>
  </si>
  <si>
    <r>
      <rPr>
        <sz val="10"/>
        <rFont val="Arial"/>
        <family val="0"/>
        <charset val="1"/>
      </rPr>
      <t xml:space="preserve">12</t>
    </r>
    <r>
      <rPr>
        <sz val="10"/>
        <rFont val="WenQuanYi Zen Hei"/>
        <family val="2"/>
      </rPr>
      <t xml:space="preserve">부 </t>
    </r>
    <r>
      <rPr>
        <sz val="10"/>
        <rFont val="Arial"/>
        <family val="0"/>
        <charset val="1"/>
      </rPr>
      <t xml:space="preserve">3</t>
    </r>
    <r>
      <rPr>
        <sz val="10"/>
        <rFont val="WenQuanYi Zen Hei"/>
        <family val="2"/>
      </rPr>
      <t xml:space="preserve">화 — </t>
    </r>
    <r>
      <rPr>
        <sz val="10"/>
        <rFont val="Arial"/>
        <family val="0"/>
        <charset val="1"/>
      </rPr>
      <t xml:space="preserve">Hugo·Julien</t>
    </r>
    <r>
      <rPr>
        <sz val="10"/>
        <rFont val="WenQuanYi Zen Hei"/>
        <family val="2"/>
      </rPr>
      <t xml:space="preserve">이 같은 화법</t>
    </r>
    <r>
      <rPr>
        <sz val="10"/>
        <rFont val="Arial"/>
        <family val="0"/>
        <charset val="1"/>
      </rPr>
      <t xml:space="preserve">(</t>
    </r>
    <r>
      <rPr>
        <sz val="10"/>
        <rFont val="WenQuanYi Zen Hei"/>
        <family val="2"/>
      </rPr>
      <t xml:space="preserve">정확한 반박</t>
    </r>
    <r>
      <rPr>
        <sz val="10"/>
        <rFont val="Arial"/>
        <family val="0"/>
        <charset val="1"/>
      </rPr>
      <t xml:space="preserve">)</t>
    </r>
    <r>
      <rPr>
        <sz val="10"/>
        <rFont val="WenQuanYi Zen Hei"/>
        <family val="2"/>
      </rPr>
      <t xml:space="preserve">을 물려받음</t>
    </r>
  </si>
  <si>
    <t xml:space="preserve">Napoléon, Julien</t>
  </si>
  <si>
    <r>
      <rPr>
        <sz val="10"/>
        <rFont val="Arial"/>
        <family val="0"/>
        <charset val="1"/>
      </rPr>
      <t xml:space="preserve">7</t>
    </r>
    <r>
      <rPr>
        <sz val="10"/>
        <rFont val="WenQuanYi Zen Hei"/>
        <family val="2"/>
      </rPr>
      <t xml:space="preserve">부의 도청 논쟁</t>
    </r>
  </si>
  <si>
    <r>
      <rPr>
        <sz val="10"/>
        <rFont val="Arial"/>
        <family val="0"/>
        <charset val="1"/>
      </rPr>
      <t xml:space="preserve">7</t>
    </r>
    <r>
      <rPr>
        <sz val="10"/>
        <rFont val="WenQuanYi Zen Hei"/>
        <family val="2"/>
      </rPr>
      <t xml:space="preserve">부 </t>
    </r>
    <r>
      <rPr>
        <sz val="10"/>
        <rFont val="Arial"/>
        <family val="0"/>
        <charset val="1"/>
      </rPr>
      <t xml:space="preserve">8</t>
    </r>
    <r>
      <rPr>
        <sz val="10"/>
        <rFont val="WenQuanYi Zen Hei"/>
        <family val="2"/>
      </rPr>
      <t xml:space="preserve">화</t>
    </r>
  </si>
  <si>
    <r>
      <rPr>
        <sz val="10"/>
        <rFont val="Arial"/>
        <family val="0"/>
        <charset val="1"/>
      </rPr>
      <t xml:space="preserve">12</t>
    </r>
    <r>
      <rPr>
        <sz val="10"/>
        <rFont val="WenQuanYi Zen Hei"/>
        <family val="2"/>
      </rPr>
      <t xml:space="preserve">부 </t>
    </r>
    <r>
      <rPr>
        <sz val="10"/>
        <rFont val="Arial"/>
        <family val="0"/>
        <charset val="1"/>
      </rPr>
      <t xml:space="preserve">5</t>
    </r>
    <r>
      <rPr>
        <sz val="10"/>
        <rFont val="WenQuanYi Zen Hei"/>
        <family val="2"/>
      </rPr>
      <t xml:space="preserve">화 — 개인 간 도청 논쟁이 국가적 스캔들로 확장</t>
    </r>
  </si>
  <si>
    <t xml:space="preserve">Curie, Nicolas, Voltaire</t>
  </si>
  <si>
    <r>
      <rPr>
        <sz val="10"/>
        <rFont val="Arial"/>
        <family val="0"/>
        <charset val="1"/>
      </rPr>
      <t xml:space="preserve">Voltaire</t>
    </r>
    <r>
      <rPr>
        <sz val="10"/>
        <rFont val="WenQuanYi Zen Hei"/>
        <family val="2"/>
      </rPr>
      <t xml:space="preserve">의 </t>
    </r>
    <r>
      <rPr>
        <sz val="10"/>
        <rFont val="Arial"/>
        <family val="0"/>
        <charset val="1"/>
      </rPr>
      <t xml:space="preserve">«Il me faut deux sources.»</t>
    </r>
  </si>
  <si>
    <r>
      <rPr>
        <sz val="10"/>
        <rFont val="Arial"/>
        <family val="0"/>
        <charset val="1"/>
      </rPr>
      <t xml:space="preserve">1</t>
    </r>
    <r>
      <rPr>
        <sz val="10"/>
        <rFont val="WenQuanYi Zen Hei"/>
        <family val="2"/>
      </rPr>
      <t xml:space="preserve">부 </t>
    </r>
    <r>
      <rPr>
        <sz val="10"/>
        <rFont val="Arial"/>
        <family val="0"/>
        <charset val="1"/>
      </rPr>
      <t xml:space="preserve">11</t>
    </r>
    <r>
      <rPr>
        <sz val="10"/>
        <rFont val="WenQuanYi Zen Hei"/>
        <family val="2"/>
      </rPr>
      <t xml:space="preserve">화</t>
    </r>
  </si>
  <si>
    <r>
      <rPr>
        <sz val="10"/>
        <rFont val="Arial"/>
        <family val="0"/>
        <charset val="1"/>
      </rPr>
      <t xml:space="preserve">9</t>
    </r>
    <r>
      <rPr>
        <sz val="10"/>
        <rFont val="WenQuanYi Zen Hei"/>
        <family val="2"/>
      </rPr>
      <t xml:space="preserve">부 </t>
    </r>
    <r>
      <rPr>
        <sz val="10"/>
        <rFont val="Arial"/>
        <family val="0"/>
        <charset val="1"/>
      </rPr>
      <t xml:space="preserve">8</t>
    </r>
    <r>
      <rPr>
        <sz val="10"/>
        <rFont val="WenQuanYi Zen Hei"/>
        <family val="2"/>
      </rPr>
      <t xml:space="preserve">화 — 폭로 기사에서 두 개의 출처를 갖추는 장면</t>
    </r>
  </si>
  <si>
    <t xml:space="preserve">Voltaire, Curie</t>
  </si>
  <si>
    <t xml:space="preserve">평균 간격(부)</t>
  </si>
  <si>
    <t xml:space="preserve">가장 긴 복선(부)</t>
  </si>
  <si>
    <t xml:space="preserve">복선 개수</t>
  </si>
  <si>
    <t xml:space="preserve">프랑스 현안 18개 배치표</t>
  </si>
  <si>
    <t xml:space="preserve">현재 프랑스의 쟁점을 이야기 곳곳에 녹이는 계획. 현실의 정당·정치인·참사 희생자는 특정하지 않고 가상 설정으로 각색하며, 제도와 통계만 현실 기준으로 쓴다.</t>
  </si>
  <si>
    <t xml:space="preserve">ID</t>
  </si>
  <si>
    <t xml:space="preserve">분야</t>
  </si>
  <si>
    <t xml:space="preserve">프랑스어 키워드</t>
  </si>
  <si>
    <t xml:space="preserve">이야기 속 가상 설정</t>
  </si>
  <si>
    <t xml:space="preserve">주요 배치 (전용 화)</t>
  </si>
  <si>
    <t xml:space="preserve">곁가지 배치</t>
  </si>
  <si>
    <t xml:space="preserve">권한 소재</t>
  </si>
  <si>
    <t xml:space="preserve">관련 제도·법</t>
  </si>
  <si>
    <t xml:space="preserve">낭독 어휘</t>
  </si>
  <si>
    <t xml:space="preserve">균형·민감도 유의</t>
  </si>
  <si>
    <t xml:space="preserve">현실 기준값·확인</t>
  </si>
  <si>
    <t xml:space="preserve">상대다수 의회와 정부 불안정</t>
  </si>
  <si>
    <t xml:space="preserve">Assemblée fracturée, majorité relative, 49.3, motion de censure, coalition</t>
  </si>
  <si>
    <r>
      <rPr>
        <sz val="10"/>
        <rFont val="Noto Sans CJK SC"/>
        <family val="2"/>
        <charset val="1"/>
      </rPr>
      <t xml:space="preserve">2024</t>
    </r>
    <r>
      <rPr>
        <sz val="10"/>
        <rFont val="WenQuanYi Zen Hei"/>
        <family val="2"/>
      </rPr>
      <t xml:space="preserve">년 조기 총선 이후처럼 어떤 진영도 과반이 없는 하원</t>
    </r>
    <r>
      <rPr>
        <sz val="10"/>
        <rFont val="Noto Sans CJK SC"/>
        <family val="2"/>
        <charset val="1"/>
      </rPr>
      <t xml:space="preserve">. </t>
    </r>
    <r>
      <rPr>
        <sz val="10"/>
        <rFont val="WenQuanYi Zen Hei"/>
        <family val="2"/>
      </rPr>
      <t xml:space="preserve">법안마다 협상 비용이 들고 불신임안이 상시 위협이다</t>
    </r>
    <r>
      <rPr>
        <sz val="10"/>
        <rFont val="Noto Sans CJK SC"/>
        <family val="2"/>
        <charset val="1"/>
      </rPr>
      <t xml:space="preserve">. Maison Commune </t>
    </r>
    <r>
      <rPr>
        <sz val="10"/>
        <rFont val="WenQuanYi Zen Hei"/>
        <family val="2"/>
      </rPr>
      <t xml:space="preserve">정부도 표결마다 다른 파트너를 찾아야 한다</t>
    </r>
    <r>
      <rPr>
        <sz val="10"/>
        <rFont val="Noto Sans CJK SC"/>
        <family val="2"/>
        <charset val="1"/>
      </rPr>
      <t xml:space="preserve">.</t>
    </r>
  </si>
  <si>
    <r>
      <rPr>
        <sz val="10"/>
        <rFont val="Arial"/>
        <family val="0"/>
        <charset val="1"/>
      </rPr>
      <t xml:space="preserve">9</t>
    </r>
    <r>
      <rPr>
        <sz val="10"/>
        <rFont val="WenQuanYi Zen Hei"/>
        <family val="2"/>
      </rPr>
      <t xml:space="preserve">부 </t>
    </r>
    <r>
      <rPr>
        <sz val="10"/>
        <rFont val="Arial"/>
        <family val="0"/>
        <charset val="1"/>
      </rPr>
      <t xml:space="preserve">5</t>
    </r>
    <r>
      <rPr>
        <sz val="10"/>
        <rFont val="WenQuanYi Zen Hei"/>
        <family val="2"/>
      </rPr>
      <t xml:space="preserve">화 불편한 동맹</t>
    </r>
    <r>
      <rPr>
        <sz val="10"/>
        <rFont val="Arial"/>
        <family val="0"/>
        <charset val="1"/>
      </rPr>
      <t xml:space="preserve">, 10</t>
    </r>
    <r>
      <rPr>
        <sz val="10"/>
        <rFont val="WenQuanYi Zen Hei"/>
        <family val="2"/>
      </rPr>
      <t xml:space="preserve">부 </t>
    </r>
    <r>
      <rPr>
        <sz val="10"/>
        <rFont val="Arial"/>
        <family val="0"/>
        <charset val="1"/>
      </rPr>
      <t xml:space="preserve">9~12</t>
    </r>
    <r>
      <rPr>
        <sz val="10"/>
        <rFont val="WenQuanYi Zen Hei"/>
        <family val="2"/>
      </rPr>
      <t xml:space="preserve">화 해산</t>
    </r>
    <r>
      <rPr>
        <sz val="10"/>
        <rFont val="Arial"/>
        <family val="0"/>
        <charset val="1"/>
      </rPr>
      <t xml:space="preserve">·</t>
    </r>
    <r>
      <rPr>
        <sz val="10"/>
        <rFont val="WenQuanYi Zen Hei"/>
        <family val="2"/>
      </rPr>
      <t xml:space="preserve">총선</t>
    </r>
    <r>
      <rPr>
        <sz val="10"/>
        <rFont val="Arial"/>
        <family val="0"/>
        <charset val="1"/>
      </rPr>
      <t xml:space="preserve">·</t>
    </r>
    <r>
      <rPr>
        <sz val="10"/>
        <rFont val="WenQuanYi Zen Hei"/>
        <family val="2"/>
      </rPr>
      <t xml:space="preserve">불신임안</t>
    </r>
    <r>
      <rPr>
        <sz val="10"/>
        <rFont val="Arial"/>
        <family val="0"/>
        <charset val="1"/>
      </rPr>
      <t xml:space="preserve">, 12</t>
    </r>
    <r>
      <rPr>
        <sz val="10"/>
        <rFont val="WenQuanYi Zen Hei"/>
        <family val="2"/>
      </rPr>
      <t xml:space="preserve">부 </t>
    </r>
    <r>
      <rPr>
        <sz val="10"/>
        <rFont val="Arial"/>
        <family val="0"/>
        <charset val="1"/>
      </rPr>
      <t xml:space="preserve">7</t>
    </r>
    <r>
      <rPr>
        <sz val="10"/>
        <rFont val="WenQuanYi Zen Hei"/>
        <family val="2"/>
      </rPr>
      <t xml:space="preserve">화 두 번째 불신임안</t>
    </r>
  </si>
  <si>
    <r>
      <rPr>
        <sz val="10"/>
        <rFont val="Arial"/>
        <family val="0"/>
        <charset val="1"/>
      </rPr>
      <t xml:space="preserve">8</t>
    </r>
    <r>
      <rPr>
        <sz val="10"/>
        <rFont val="WenQuanYi Zen Hei"/>
        <family val="2"/>
      </rPr>
      <t xml:space="preserve">부 </t>
    </r>
    <r>
      <rPr>
        <sz val="10"/>
        <rFont val="Arial"/>
        <family val="0"/>
        <charset val="1"/>
      </rPr>
      <t xml:space="preserve">6</t>
    </r>
    <r>
      <rPr>
        <sz val="10"/>
        <rFont val="WenQuanYi Zen Hei"/>
        <family val="2"/>
      </rPr>
      <t xml:space="preserve">화</t>
    </r>
    <r>
      <rPr>
        <sz val="10"/>
        <rFont val="Arial"/>
        <family val="0"/>
        <charset val="1"/>
      </rPr>
      <t xml:space="preserve">(</t>
    </r>
    <r>
      <rPr>
        <sz val="10"/>
        <rFont val="WenQuanYi Zen Hei"/>
        <family val="2"/>
      </rPr>
      <t xml:space="preserve">왜 새 정당인가</t>
    </r>
    <r>
      <rPr>
        <sz val="10"/>
        <rFont val="Arial"/>
        <family val="0"/>
        <charset val="1"/>
      </rPr>
      <t xml:space="preserve">: </t>
    </r>
    <r>
      <rPr>
        <sz val="10"/>
        <rFont val="WenQuanYi Zen Hei"/>
        <family val="2"/>
      </rPr>
      <t xml:space="preserve">정치 피로</t>
    </r>
    <r>
      <rPr>
        <sz val="10"/>
        <rFont val="Arial"/>
        <family val="0"/>
        <charset val="1"/>
      </rPr>
      <t xml:space="preserve">), 7</t>
    </r>
    <r>
      <rPr>
        <sz val="10"/>
        <rFont val="WenQuanYi Zen Hei"/>
        <family val="2"/>
      </rPr>
      <t xml:space="preserve">부 </t>
    </r>
    <r>
      <rPr>
        <sz val="10"/>
        <rFont val="Arial"/>
        <family val="0"/>
        <charset val="1"/>
      </rPr>
      <t xml:space="preserve">12</t>
    </r>
    <r>
      <rPr>
        <sz val="10"/>
        <rFont val="WenQuanYi Zen Hei"/>
        <family val="2"/>
      </rPr>
      <t xml:space="preserve">화</t>
    </r>
    <r>
      <rPr>
        <sz val="10"/>
        <rFont val="Arial"/>
        <family val="0"/>
        <charset val="1"/>
      </rPr>
      <t xml:space="preserve">, 11</t>
    </r>
    <r>
      <rPr>
        <sz val="10"/>
        <rFont val="WenQuanYi Zen Hei"/>
        <family val="2"/>
      </rPr>
      <t xml:space="preserve">부 </t>
    </r>
    <r>
      <rPr>
        <sz val="10"/>
        <rFont val="Arial"/>
        <family val="0"/>
        <charset val="1"/>
      </rPr>
      <t xml:space="preserve">1</t>
    </r>
    <r>
      <rPr>
        <sz val="10"/>
        <rFont val="WenQuanYi Zen Hei"/>
        <family val="2"/>
      </rPr>
      <t xml:space="preserve">화</t>
    </r>
  </si>
  <si>
    <t xml:space="preserve">Léa, Nicolas, Karim, Olympe</t>
  </si>
  <si>
    <t xml:space="preserve">하원·파리 시의회</t>
  </si>
  <si>
    <t xml:space="preserve">헌법 제8·12·49조, 정당 간 협약</t>
  </si>
  <si>
    <t xml:space="preserve">majorité relative, censure, compromis, blocage, 49.3</t>
  </si>
  <si>
    <t xml:space="preserve">특정 실존 정당·인물을 비난하는 대사 금지. 가상 정당(UCN·PPS·FS·AE·CT)으로만.</t>
  </si>
  <si>
    <t xml:space="preserve">현실: 2024년 이후 하원은 3개 진영으로 분열, 2025년 9월 정부 신임 부결 뒤 Lecornu 정부(2026-09 확인). 이야기에는 쓰지 않음</t>
  </si>
  <si>
    <t xml:space="preserve">P2</t>
  </si>
  <si>
    <t xml:space="preserve">지역 자치 갈등(코르시카·누벨칼레도니)</t>
  </si>
  <si>
    <t xml:space="preserve">autonomie, Corse, Nouvelle-Calédonie, révision constitutionnelle</t>
  </si>
  <si>
    <t xml:space="preserve">지역 정당 연합 CT가 지지의 대가로 코르시카 자치 개헌 협상 재개와 해외영토 협정 이행을 요구한다. 총리 인선과 첫 불신임안이 여기에 걸린다.</t>
  </si>
  <si>
    <r>
      <rPr>
        <sz val="10"/>
        <rFont val="Arial"/>
        <family val="0"/>
        <charset val="1"/>
      </rPr>
      <t xml:space="preserve">10</t>
    </r>
    <r>
      <rPr>
        <sz val="10"/>
        <rFont val="WenQuanYi Zen Hei"/>
        <family val="2"/>
      </rPr>
      <t xml:space="preserve">부 </t>
    </r>
    <r>
      <rPr>
        <sz val="10"/>
        <rFont val="Arial"/>
        <family val="0"/>
        <charset val="1"/>
      </rPr>
      <t xml:space="preserve">11</t>
    </r>
    <r>
      <rPr>
        <sz val="10"/>
        <rFont val="WenQuanYi Zen Hei"/>
        <family val="2"/>
      </rPr>
      <t xml:space="preserve">화 마티뇽 협상</t>
    </r>
  </si>
  <si>
    <r>
      <rPr>
        <sz val="10"/>
        <rFont val="Arial"/>
        <family val="0"/>
        <charset val="1"/>
      </rPr>
      <t xml:space="preserve">10</t>
    </r>
    <r>
      <rPr>
        <sz val="10"/>
        <rFont val="WenQuanYi Zen Hei"/>
        <family val="2"/>
      </rPr>
      <t xml:space="preserve">부 </t>
    </r>
    <r>
      <rPr>
        <sz val="10"/>
        <rFont val="Arial"/>
        <family val="0"/>
        <charset val="1"/>
      </rPr>
      <t xml:space="preserve">3</t>
    </r>
    <r>
      <rPr>
        <sz val="10"/>
        <rFont val="WenQuanYi Zen Hei"/>
        <family val="2"/>
      </rPr>
      <t xml:space="preserve">화</t>
    </r>
    <r>
      <rPr>
        <sz val="10"/>
        <rFont val="Arial"/>
        <family val="0"/>
        <charset val="1"/>
      </rPr>
      <t xml:space="preserve">(TV </t>
    </r>
    <r>
      <rPr>
        <sz val="10"/>
        <rFont val="WenQuanYi Zen Hei"/>
        <family val="2"/>
      </rPr>
      <t xml:space="preserve">토론 공격</t>
    </r>
    <r>
      <rPr>
        <sz val="10"/>
        <rFont val="Arial"/>
        <family val="0"/>
        <charset val="1"/>
      </rPr>
      <t xml:space="preserve">), 12</t>
    </r>
    <r>
      <rPr>
        <sz val="10"/>
        <rFont val="WenQuanYi Zen Hei"/>
        <family val="2"/>
      </rPr>
      <t xml:space="preserve">부 </t>
    </r>
    <r>
      <rPr>
        <sz val="10"/>
        <rFont val="Arial"/>
        <family val="0"/>
        <charset val="1"/>
      </rPr>
      <t xml:space="preserve">7</t>
    </r>
    <r>
      <rPr>
        <sz val="10"/>
        <rFont val="WenQuanYi Zen Hei"/>
        <family val="2"/>
      </rPr>
      <t xml:space="preserve">화</t>
    </r>
    <r>
      <rPr>
        <sz val="10"/>
        <rFont val="Arial"/>
        <family val="0"/>
        <charset val="1"/>
      </rPr>
      <t xml:space="preserve">(</t>
    </r>
    <r>
      <rPr>
        <sz val="10"/>
        <rFont val="WenQuanYi Zen Hei"/>
        <family val="2"/>
      </rPr>
      <t xml:space="preserve">두 번째 불신임안에서 </t>
    </r>
    <r>
      <rPr>
        <sz val="10"/>
        <rFont val="Arial"/>
        <family val="0"/>
        <charset val="1"/>
      </rPr>
      <t xml:space="preserve">CT</t>
    </r>
    <r>
      <rPr>
        <sz val="10"/>
        <rFont val="WenQuanYi Zen Hei"/>
        <family val="2"/>
      </rPr>
      <t xml:space="preserve">의 기권</t>
    </r>
    <r>
      <rPr>
        <sz val="10"/>
        <rFont val="Arial"/>
        <family val="0"/>
        <charset val="1"/>
      </rPr>
      <t xml:space="preserve">)</t>
    </r>
  </si>
  <si>
    <t xml:space="preserve">Nicolas, Olympe, Karim, Léa</t>
  </si>
  <si>
    <t xml:space="preserve">의회(개헌은 양원 동일 문안 + 양원합동회의 3/5 또는 국민투표), 헌법재판소</t>
  </si>
  <si>
    <t xml:space="preserve">헌법 제72·74·89조, 누벨칼레도니 관련 헌법 제13장</t>
  </si>
  <si>
    <t xml:space="preserve">autonomie, unité de la République, statut, référendum</t>
  </si>
  <si>
    <t xml:space="preserve">가장 민감. 찬성·반대 논거를 각 인물이 나눠 말하게 하고 결론은 열어 둔다(Nicolas는 공화국 불가분성 우려, Karim은 지역 형평, Léa는 현실 협상).</t>
  </si>
  <si>
    <t xml:space="preserve">코르시카 자치 개헌안·누벨칼레도니 합의(2025) 진행 상황은 반영 전 확인</t>
  </si>
  <si>
    <t xml:space="preserve">사법부 독립과 정치적 대립</t>
  </si>
  <si>
    <t xml:space="preserve">indépendance du parquet, CSM, PNF, attaques contre les juges, agrément anticorruption</t>
  </si>
  <si>
    <t xml:space="preserve">검찰 인사 개혁은 개헌 교착으로 멈추고, 정치인 판결 뒤 판사를 향한 공격이 이어진다. 반부패 단체의 인가가 흔들리며 사무소의 고소가 표류한다.</t>
  </si>
  <si>
    <r>
      <rPr>
        <sz val="10"/>
        <rFont val="Arial"/>
        <family val="0"/>
        <charset val="1"/>
      </rPr>
      <t xml:space="preserve">7</t>
    </r>
    <r>
      <rPr>
        <sz val="10"/>
        <rFont val="WenQuanYi Zen Hei"/>
        <family val="2"/>
      </rPr>
      <t xml:space="preserve">부</t>
    </r>
    <r>
      <rPr>
        <sz val="10"/>
        <rFont val="Arial"/>
        <family val="0"/>
        <charset val="1"/>
      </rPr>
      <t xml:space="preserve">(</t>
    </r>
    <r>
      <rPr>
        <sz val="10"/>
        <rFont val="WenQuanYi Zen Hei"/>
        <family val="2"/>
      </rPr>
      <t xml:space="preserve">고소</t>
    </r>
    <r>
      <rPr>
        <sz val="10"/>
        <rFont val="Arial"/>
        <family val="0"/>
        <charset val="1"/>
      </rPr>
      <t xml:space="preserve">·</t>
    </r>
    <r>
      <rPr>
        <sz val="10"/>
        <rFont val="WenQuanYi Zen Hei"/>
        <family val="2"/>
      </rPr>
      <t xml:space="preserve">예심</t>
    </r>
    <r>
      <rPr>
        <sz val="10"/>
        <rFont val="Arial"/>
        <family val="0"/>
        <charset val="1"/>
      </rPr>
      <t xml:space="preserve">·</t>
    </r>
    <r>
      <rPr>
        <sz val="10"/>
        <rFont val="WenQuanYi Zen Hei"/>
        <family val="2"/>
      </rPr>
      <t xml:space="preserve">보복</t>
    </r>
    <r>
      <rPr>
        <sz val="10"/>
        <rFont val="Arial"/>
        <family val="0"/>
        <charset val="1"/>
      </rPr>
      <t xml:space="preserve">), 9</t>
    </r>
    <r>
      <rPr>
        <sz val="10"/>
        <rFont val="WenQuanYi Zen Hei"/>
        <family val="2"/>
      </rPr>
      <t xml:space="preserve">부 </t>
    </r>
    <r>
      <rPr>
        <sz val="10"/>
        <rFont val="Arial"/>
        <family val="0"/>
        <charset val="1"/>
      </rPr>
      <t xml:space="preserve">9</t>
    </r>
    <r>
      <rPr>
        <sz val="10"/>
        <rFont val="WenQuanYi Zen Hei"/>
        <family val="2"/>
      </rPr>
      <t xml:space="preserve">화 고소장</t>
    </r>
  </si>
  <si>
    <r>
      <rPr>
        <sz val="10"/>
        <rFont val="Arial"/>
        <family val="0"/>
        <charset val="1"/>
      </rPr>
      <t xml:space="preserve">2</t>
    </r>
    <r>
      <rPr>
        <sz val="10"/>
        <rFont val="WenQuanYi Zen Hei"/>
        <family val="2"/>
      </rPr>
      <t xml:space="preserve">부 </t>
    </r>
    <r>
      <rPr>
        <sz val="10"/>
        <rFont val="Arial"/>
        <family val="0"/>
        <charset val="1"/>
      </rPr>
      <t xml:space="preserve">8</t>
    </r>
    <r>
      <rPr>
        <sz val="10"/>
        <rFont val="WenQuanYi Zen Hei"/>
        <family val="2"/>
      </rPr>
      <t xml:space="preserve">화</t>
    </r>
    <r>
      <rPr>
        <sz val="10"/>
        <rFont val="Arial"/>
        <family val="0"/>
        <charset val="1"/>
      </rPr>
      <t xml:space="preserve">(</t>
    </r>
    <r>
      <rPr>
        <sz val="10"/>
        <rFont val="WenQuanYi Zen Hei"/>
        <family val="2"/>
      </rPr>
      <t xml:space="preserve">재판</t>
    </r>
    <r>
      <rPr>
        <sz val="10"/>
        <rFont val="Arial"/>
        <family val="0"/>
        <charset val="1"/>
      </rPr>
      <t xml:space="preserve">), 3</t>
    </r>
    <r>
      <rPr>
        <sz val="10"/>
        <rFont val="WenQuanYi Zen Hei"/>
        <family val="2"/>
      </rPr>
      <t xml:space="preserve">부</t>
    </r>
    <r>
      <rPr>
        <sz val="10"/>
        <rFont val="Arial"/>
        <family val="0"/>
        <charset val="1"/>
      </rPr>
      <t xml:space="preserve">(</t>
    </r>
    <r>
      <rPr>
        <sz val="10"/>
        <rFont val="WenQuanYi Zen Hei"/>
        <family val="2"/>
      </rPr>
      <t xml:space="preserve">징계</t>
    </r>
    <r>
      <rPr>
        <sz val="10"/>
        <rFont val="Arial"/>
        <family val="0"/>
        <charset val="1"/>
      </rPr>
      <t xml:space="preserve">), 4</t>
    </r>
    <r>
      <rPr>
        <sz val="10"/>
        <rFont val="WenQuanYi Zen Hei"/>
        <family val="2"/>
      </rPr>
      <t xml:space="preserve">부 </t>
    </r>
    <r>
      <rPr>
        <sz val="10"/>
        <rFont val="Arial"/>
        <family val="0"/>
        <charset val="1"/>
      </rPr>
      <t xml:space="preserve">7</t>
    </r>
    <r>
      <rPr>
        <sz val="10"/>
        <rFont val="WenQuanYi Zen Hei"/>
        <family val="2"/>
      </rPr>
      <t xml:space="preserve">화</t>
    </r>
    <r>
      <rPr>
        <sz val="10"/>
        <rFont val="Arial"/>
        <family val="0"/>
        <charset val="1"/>
      </rPr>
      <t xml:space="preserve">, 10</t>
    </r>
    <r>
      <rPr>
        <sz val="10"/>
        <rFont val="WenQuanYi Zen Hei"/>
        <family val="2"/>
      </rPr>
      <t xml:space="preserve">부 </t>
    </r>
    <r>
      <rPr>
        <sz val="10"/>
        <rFont val="Arial"/>
        <family val="0"/>
        <charset val="1"/>
      </rPr>
      <t xml:space="preserve">11</t>
    </r>
    <r>
      <rPr>
        <sz val="10"/>
        <rFont val="WenQuanYi Zen Hei"/>
        <family val="2"/>
      </rPr>
      <t xml:space="preserve">화</t>
    </r>
    <r>
      <rPr>
        <sz val="10"/>
        <rFont val="Arial"/>
        <family val="0"/>
        <charset val="1"/>
      </rPr>
      <t xml:space="preserve">(</t>
    </r>
    <r>
      <rPr>
        <sz val="10"/>
        <rFont val="WenQuanYi Zen Hei"/>
        <family val="2"/>
      </rPr>
      <t xml:space="preserve">협상 조건</t>
    </r>
    <r>
      <rPr>
        <sz val="10"/>
        <rFont val="Arial"/>
        <family val="0"/>
        <charset val="1"/>
      </rPr>
      <t xml:space="preserve">), 12</t>
    </r>
    <r>
      <rPr>
        <sz val="10"/>
        <rFont val="WenQuanYi Zen Hei"/>
        <family val="2"/>
      </rPr>
      <t xml:space="preserve">부 </t>
    </r>
    <r>
      <rPr>
        <sz val="10"/>
        <rFont val="Arial"/>
        <family val="0"/>
        <charset val="1"/>
      </rPr>
      <t xml:space="preserve">7</t>
    </r>
    <r>
      <rPr>
        <sz val="10"/>
        <rFont val="WenQuanYi Zen Hei"/>
        <family val="2"/>
      </rPr>
      <t xml:space="preserve">화</t>
    </r>
    <r>
      <rPr>
        <sz val="10"/>
        <rFont val="Arial"/>
        <family val="0"/>
        <charset val="1"/>
      </rPr>
      <t xml:space="preserve">(</t>
    </r>
    <r>
      <rPr>
        <sz val="10"/>
        <rFont val="WenQuanYi Zen Hei"/>
        <family val="2"/>
      </rPr>
      <t xml:space="preserve">교착</t>
    </r>
    <r>
      <rPr>
        <sz val="10"/>
        <rFont val="Arial"/>
        <family val="0"/>
        <charset val="1"/>
      </rPr>
      <t xml:space="preserve">)</t>
    </r>
  </si>
  <si>
    <t xml:space="preserve">Nicolas, Voltaire, Curie</t>
  </si>
  <si>
    <t xml:space="preserve">사법부·최고사법관회의(CSM)·의회</t>
  </si>
  <si>
    <t xml:space="preserve">헌법 제64·65조, 형사소송법 제2-23조</t>
  </si>
  <si>
    <t xml:space="preserve">indépendance, parquet, agrément, instruction, délais</t>
  </si>
  <si>
    <t xml:space="preserve">여야 모두가 사법부를 압박한다는 비판을 각각 담는다. 실제 재판 결과를 단정하지 않는다.</t>
  </si>
  <si>
    <t xml:space="preserve">검찰 독립 개헌·반부패 단체 인가 소송 최신 상황 확인</t>
  </si>
  <si>
    <t xml:space="preserve">경제</t>
  </si>
  <si>
    <t xml:space="preserve">주거난·임대료 상한·단기 관광 임대</t>
  </si>
  <si>
    <t xml:space="preserve">logement, encadrement des loyers, meublé de tourisme, zone tendue, expulsion</t>
  </si>
  <si>
    <t xml:space="preserve">월세가 임금보다 빨리 오르고 관광 단기임대가 동네를 비운다. 소규모 임대인의 입장(Monique의 친구)도 대사에 넣는다.</t>
  </si>
  <si>
    <r>
      <rPr>
        <sz val="10"/>
        <rFont val="Arial"/>
        <family val="0"/>
        <charset val="1"/>
      </rPr>
      <t xml:space="preserve">2</t>
    </r>
    <r>
      <rPr>
        <sz val="10"/>
        <rFont val="WenQuanYi Zen Hei"/>
        <family val="2"/>
      </rPr>
      <t xml:space="preserve">부 </t>
    </r>
    <r>
      <rPr>
        <sz val="10"/>
        <rFont val="Arial"/>
        <family val="0"/>
        <charset val="1"/>
      </rPr>
      <t xml:space="preserve">6</t>
    </r>
    <r>
      <rPr>
        <sz val="10"/>
        <rFont val="WenQuanYi Zen Hei"/>
        <family val="2"/>
      </rPr>
      <t xml:space="preserve">화</t>
    </r>
    <r>
      <rPr>
        <sz val="10"/>
        <rFont val="Arial"/>
        <family val="0"/>
        <charset val="1"/>
      </rPr>
      <t xml:space="preserve">(</t>
    </r>
    <r>
      <rPr>
        <sz val="10"/>
        <rFont val="WenQuanYi Zen Hei"/>
        <family val="2"/>
      </rPr>
      <t xml:space="preserve">조항 설계</t>
    </r>
    <r>
      <rPr>
        <sz val="10"/>
        <rFont val="Arial"/>
        <family val="0"/>
        <charset val="1"/>
      </rPr>
      <t xml:space="preserve">), 6</t>
    </r>
    <r>
      <rPr>
        <sz val="10"/>
        <rFont val="WenQuanYi Zen Hei"/>
        <family val="2"/>
      </rPr>
      <t xml:space="preserve">부 </t>
    </r>
    <r>
      <rPr>
        <sz val="10"/>
        <rFont val="Arial"/>
        <family val="0"/>
        <charset val="1"/>
      </rPr>
      <t xml:space="preserve">1·3·8·10</t>
    </r>
    <r>
      <rPr>
        <sz val="10"/>
        <rFont val="WenQuanYi Zen Hei"/>
        <family val="2"/>
      </rPr>
      <t xml:space="preserve">화</t>
    </r>
    <r>
      <rPr>
        <sz val="10"/>
        <rFont val="Arial"/>
        <family val="0"/>
        <charset val="1"/>
      </rPr>
      <t xml:space="preserve">(Saint-Denis), 9</t>
    </r>
    <r>
      <rPr>
        <sz val="10"/>
        <rFont val="WenQuanYi Zen Hei"/>
        <family val="2"/>
      </rPr>
      <t xml:space="preserve">부 </t>
    </r>
    <r>
      <rPr>
        <sz val="10"/>
        <rFont val="Arial"/>
        <family val="0"/>
        <charset val="1"/>
      </rPr>
      <t xml:space="preserve">6</t>
    </r>
    <r>
      <rPr>
        <sz val="10"/>
        <rFont val="WenQuanYi Zen Hei"/>
        <family val="2"/>
      </rPr>
      <t xml:space="preserve">화</t>
    </r>
    <r>
      <rPr>
        <sz val="10"/>
        <rFont val="Arial"/>
        <family val="0"/>
        <charset val="1"/>
      </rPr>
      <t xml:space="preserve">(</t>
    </r>
    <r>
      <rPr>
        <sz val="10"/>
        <rFont val="WenQuanYi Zen Hei"/>
        <family val="2"/>
      </rPr>
      <t xml:space="preserve">주거 보조 삭감</t>
    </r>
    <r>
      <rPr>
        <sz val="10"/>
        <rFont val="Arial"/>
        <family val="0"/>
        <charset val="1"/>
      </rPr>
      <t xml:space="preserve">·</t>
    </r>
    <r>
      <rPr>
        <sz val="10"/>
        <rFont val="WenQuanYi Zen Hei"/>
        <family val="2"/>
      </rPr>
      <t xml:space="preserve">단기임대 조항</t>
    </r>
    <r>
      <rPr>
        <sz val="10"/>
        <rFont val="Arial"/>
        <family val="0"/>
        <charset val="1"/>
      </rPr>
      <t xml:space="preserve">), 11</t>
    </r>
    <r>
      <rPr>
        <sz val="10"/>
        <rFont val="WenQuanYi Zen Hei"/>
        <family val="2"/>
      </rPr>
      <t xml:space="preserve">부 </t>
    </r>
    <r>
      <rPr>
        <sz val="10"/>
        <rFont val="Arial"/>
        <family val="0"/>
        <charset val="1"/>
      </rPr>
      <t xml:space="preserve">2·3</t>
    </r>
    <r>
      <rPr>
        <sz val="10"/>
        <rFont val="WenQuanYi Zen Hei"/>
        <family val="2"/>
      </rPr>
      <t xml:space="preserve">화</t>
    </r>
  </si>
  <si>
    <r>
      <rPr>
        <sz val="10"/>
        <rFont val="Arial"/>
        <family val="0"/>
        <charset val="1"/>
      </rPr>
      <t xml:space="preserve">1</t>
    </r>
    <r>
      <rPr>
        <sz val="10"/>
        <rFont val="WenQuanYi Zen Hei"/>
        <family val="2"/>
      </rPr>
      <t xml:space="preserve">부 </t>
    </r>
    <r>
      <rPr>
        <sz val="10"/>
        <rFont val="Arial"/>
        <family val="0"/>
        <charset val="1"/>
      </rPr>
      <t xml:space="preserve">1·2</t>
    </r>
    <r>
      <rPr>
        <sz val="10"/>
        <rFont val="WenQuanYi Zen Hei"/>
        <family val="2"/>
      </rPr>
      <t xml:space="preserve">화</t>
    </r>
    <r>
      <rPr>
        <sz val="10"/>
        <rFont val="Arial"/>
        <family val="0"/>
        <charset val="1"/>
      </rPr>
      <t xml:space="preserve">(Fatima), 8</t>
    </r>
    <r>
      <rPr>
        <sz val="10"/>
        <rFont val="WenQuanYi Zen Hei"/>
        <family val="2"/>
      </rPr>
      <t xml:space="preserve">부 </t>
    </r>
    <r>
      <rPr>
        <sz val="10"/>
        <rFont val="Arial"/>
        <family val="0"/>
        <charset val="1"/>
      </rPr>
      <t xml:space="preserve">1·9</t>
    </r>
    <r>
      <rPr>
        <sz val="10"/>
        <rFont val="WenQuanYi Zen Hei"/>
        <family val="2"/>
      </rPr>
      <t xml:space="preserve">화</t>
    </r>
    <r>
      <rPr>
        <sz val="10"/>
        <rFont val="Arial"/>
        <family val="0"/>
        <charset val="1"/>
      </rPr>
      <t xml:space="preserve">, 13</t>
    </r>
    <r>
      <rPr>
        <sz val="10"/>
        <rFont val="WenQuanYi Zen Hei"/>
        <family val="2"/>
      </rPr>
      <t xml:space="preserve">부</t>
    </r>
  </si>
  <si>
    <t xml:space="preserve">Monique, Manon, Julien, Nicolas</t>
  </si>
  <si>
    <t xml:space="preserve">국가(임대차법·세제), 파리시(임대료 상한 신청·용도변경), 메트로폴</t>
  </si>
  <si>
    <r>
      <rPr>
        <sz val="10"/>
        <rFont val="Arial"/>
        <family val="0"/>
        <charset val="1"/>
      </rPr>
      <t xml:space="preserve">1989</t>
    </r>
    <r>
      <rPr>
        <sz val="10"/>
        <rFont val="WenQuanYi Zen Hei"/>
        <family val="2"/>
      </rPr>
      <t xml:space="preserve">년 임대차법</t>
    </r>
    <r>
      <rPr>
        <sz val="10"/>
        <rFont val="Arial"/>
        <family val="0"/>
        <charset val="1"/>
      </rPr>
      <t xml:space="preserve">, ELAN</t>
    </r>
    <r>
      <rPr>
        <sz val="10"/>
        <rFont val="WenQuanYi Zen Hei"/>
        <family val="2"/>
      </rPr>
      <t xml:space="preserve">법</t>
    </r>
    <r>
      <rPr>
        <sz val="10"/>
        <rFont val="Arial"/>
        <family val="0"/>
        <charset val="1"/>
      </rPr>
      <t xml:space="preserve">(2018) </t>
    </r>
    <r>
      <rPr>
        <sz val="10"/>
        <rFont val="WenQuanYi Zen Hei"/>
        <family val="2"/>
      </rPr>
      <t xml:space="preserve">임대료 상한</t>
    </r>
    <r>
      <rPr>
        <sz val="10"/>
        <rFont val="Arial"/>
        <family val="0"/>
        <charset val="1"/>
      </rPr>
      <t xml:space="preserve">, 2024</t>
    </r>
    <r>
      <rPr>
        <sz val="10"/>
        <rFont val="WenQuanYi Zen Hei"/>
        <family val="2"/>
      </rPr>
      <t xml:space="preserve">년 단기임대법</t>
    </r>
    <r>
      <rPr>
        <sz val="10"/>
        <rFont val="Arial"/>
        <family val="0"/>
        <charset val="1"/>
      </rPr>
      <t xml:space="preserve">(</t>
    </r>
    <r>
      <rPr>
        <sz val="10"/>
        <rFont val="WenQuanYi Zen Hei"/>
        <family val="2"/>
      </rPr>
      <t xml:space="preserve">르뫼르법</t>
    </r>
    <r>
      <rPr>
        <sz val="10"/>
        <rFont val="Arial"/>
        <family val="0"/>
        <charset val="1"/>
      </rPr>
      <t xml:space="preserve">)</t>
    </r>
  </si>
  <si>
    <t xml:space="preserve">meublé de tourisme, encadrement, petit propriétaire, trêve hivernale</t>
  </si>
  <si>
    <t xml:space="preserve">임차인만 피해자로 그리지 않는다. 소규모 임대인·대형 보유자를 구분해서 말한다.</t>
  </si>
  <si>
    <t xml:space="preserve">단기임대 규제 세부(연간 일수 상한 등)는 확인</t>
  </si>
  <si>
    <t xml:space="preserve">탈산업화와 영세 기업 구조</t>
  </si>
  <si>
    <t xml:space="preserve">désindustrialisation, TPE, PME, productivité, réindustrialisation</t>
  </si>
  <si>
    <r>
      <rPr>
        <sz val="10"/>
        <rFont val="Arial"/>
        <family val="0"/>
        <charset val="1"/>
      </rPr>
      <t xml:space="preserve">Léa</t>
    </r>
    <r>
      <rPr>
        <sz val="10"/>
        <rFont val="WenQuanYi Zen Hei"/>
        <family val="2"/>
      </rPr>
      <t xml:space="preserve">가 컨설팅한 규모의 경제 없는 영세 제조업체들</t>
    </r>
    <r>
      <rPr>
        <sz val="10"/>
        <rFont val="Arial"/>
        <family val="0"/>
        <charset val="1"/>
      </rPr>
      <t xml:space="preserve">: </t>
    </r>
    <r>
      <rPr>
        <sz val="10"/>
        <rFont val="WenQuanYi Zen Hei"/>
        <family val="2"/>
      </rPr>
      <t xml:space="preserve">해고 없이 살릴 길을 못 찾았던 과거</t>
    </r>
    <r>
      <rPr>
        <sz val="10"/>
        <rFont val="Arial"/>
        <family val="0"/>
        <charset val="1"/>
      </rPr>
      <t xml:space="preserve">. 11</t>
    </r>
    <r>
      <rPr>
        <sz val="10"/>
        <rFont val="WenQuanYi Zen Hei"/>
        <family val="2"/>
      </rPr>
      <t xml:space="preserve">부에서 영세 기업 통합</t>
    </r>
    <r>
      <rPr>
        <sz val="10"/>
        <rFont val="Arial"/>
        <family val="0"/>
        <charset val="1"/>
      </rPr>
      <t xml:space="preserve">·</t>
    </r>
    <r>
      <rPr>
        <sz val="10"/>
        <rFont val="WenQuanYi Zen Hei"/>
        <family val="2"/>
      </rPr>
      <t xml:space="preserve">연구개발 전환 사업을 설계한다</t>
    </r>
    <r>
      <rPr>
        <sz val="10"/>
        <rFont val="Arial"/>
        <family val="0"/>
        <charset val="1"/>
      </rPr>
      <t xml:space="preserve">.</t>
    </r>
  </si>
  <si>
    <r>
      <rPr>
        <sz val="10"/>
        <rFont val="Arial"/>
        <family val="0"/>
        <charset val="1"/>
      </rPr>
      <t xml:space="preserve">5</t>
    </r>
    <r>
      <rPr>
        <sz val="10"/>
        <rFont val="WenQuanYi Zen Hei"/>
        <family val="2"/>
      </rPr>
      <t xml:space="preserve">부 </t>
    </r>
    <r>
      <rPr>
        <sz val="10"/>
        <rFont val="Arial"/>
        <family val="0"/>
        <charset val="1"/>
      </rPr>
      <t xml:space="preserve">3</t>
    </r>
    <r>
      <rPr>
        <sz val="10"/>
        <rFont val="WenQuanYi Zen Hei"/>
        <family val="2"/>
      </rPr>
      <t xml:space="preserve">화 </t>
    </r>
    <r>
      <rPr>
        <sz val="10"/>
        <rFont val="Arial"/>
        <family val="0"/>
        <charset val="1"/>
      </rPr>
      <t xml:space="preserve">Garnier </t>
    </r>
    <r>
      <rPr>
        <sz val="10"/>
        <rFont val="WenQuanYi Zen Hei"/>
        <family val="2"/>
      </rPr>
      <t xml:space="preserve">공방</t>
    </r>
  </si>
  <si>
    <r>
      <rPr>
        <sz val="10"/>
        <rFont val="Arial"/>
        <family val="0"/>
        <charset val="1"/>
      </rPr>
      <t xml:space="preserve">8</t>
    </r>
    <r>
      <rPr>
        <sz val="10"/>
        <rFont val="WenQuanYi Zen Hei"/>
        <family val="2"/>
      </rPr>
      <t xml:space="preserve">부 </t>
    </r>
    <r>
      <rPr>
        <sz val="10"/>
        <rFont val="Arial"/>
        <family val="0"/>
        <charset val="1"/>
      </rPr>
      <t xml:space="preserve">9</t>
    </r>
    <r>
      <rPr>
        <sz val="10"/>
        <rFont val="WenQuanYi Zen Hei"/>
        <family val="2"/>
      </rPr>
      <t xml:space="preserve">화</t>
    </r>
    <r>
      <rPr>
        <sz val="10"/>
        <rFont val="Arial"/>
        <family val="0"/>
        <charset val="1"/>
      </rPr>
      <t xml:space="preserve">(</t>
    </r>
    <r>
      <rPr>
        <sz val="10"/>
        <rFont val="WenQuanYi Zen Hei"/>
        <family val="2"/>
      </rPr>
      <t xml:space="preserve">골목 상권</t>
    </r>
    <r>
      <rPr>
        <sz val="10"/>
        <rFont val="Arial"/>
        <family val="0"/>
        <charset val="1"/>
      </rPr>
      <t xml:space="preserve">), 11</t>
    </r>
    <r>
      <rPr>
        <sz val="10"/>
        <rFont val="WenQuanYi Zen Hei"/>
        <family val="2"/>
      </rPr>
      <t xml:space="preserve">부 </t>
    </r>
    <r>
      <rPr>
        <sz val="10"/>
        <rFont val="Arial"/>
        <family val="0"/>
        <charset val="1"/>
      </rPr>
      <t xml:space="preserve">6</t>
    </r>
    <r>
      <rPr>
        <sz val="10"/>
        <rFont val="WenQuanYi Zen Hei"/>
        <family val="2"/>
      </rPr>
      <t xml:space="preserve">화</t>
    </r>
    <r>
      <rPr>
        <sz val="10"/>
        <rFont val="Arial"/>
        <family val="0"/>
        <charset val="1"/>
      </rPr>
      <t xml:space="preserve">, 13</t>
    </r>
    <r>
      <rPr>
        <sz val="10"/>
        <rFont val="WenQuanYi Zen Hei"/>
        <family val="2"/>
      </rPr>
      <t xml:space="preserve">부 </t>
    </r>
    <r>
      <rPr>
        <sz val="10"/>
        <rFont val="Arial"/>
        <family val="0"/>
        <charset val="1"/>
      </rPr>
      <t xml:space="preserve">7</t>
    </r>
    <r>
      <rPr>
        <sz val="10"/>
        <rFont val="WenQuanYi Zen Hei"/>
        <family val="2"/>
      </rPr>
      <t xml:space="preserve">화</t>
    </r>
  </si>
  <si>
    <t xml:space="preserve">Léa, Monique, Karim</t>
  </si>
  <si>
    <t xml:space="preserve">국가·레지옹(경제 개발)</t>
  </si>
  <si>
    <t xml:space="preserve">연구세액공제(CIR), 경제적 해고(PSE)</t>
  </si>
  <si>
    <t xml:space="preserve">productivité, scaler, consolidation, R&amp;D</t>
  </si>
  <si>
    <r>
      <rPr>
        <sz val="10"/>
        <rFont val="Arial"/>
        <family val="0"/>
        <charset val="1"/>
      </rPr>
      <t xml:space="preserve">'</t>
    </r>
    <r>
      <rPr>
        <sz val="10"/>
        <rFont val="WenQuanYi Zen Hei"/>
        <family val="2"/>
      </rPr>
      <t xml:space="preserve">영세 기업이 문제</t>
    </r>
    <r>
      <rPr>
        <sz val="10"/>
        <rFont val="Arial"/>
        <family val="0"/>
        <charset val="1"/>
      </rPr>
      <t xml:space="preserve">'</t>
    </r>
    <r>
      <rPr>
        <sz val="10"/>
        <rFont val="WenQuanYi Zen Hei"/>
        <family val="2"/>
      </rPr>
      <t xml:space="preserve">라는 식의 낙인 대신 구조 문제로 설명한다</t>
    </r>
    <r>
      <rPr>
        <sz val="10"/>
        <rFont val="Arial"/>
        <family val="0"/>
        <charset val="1"/>
      </rPr>
      <t xml:space="preserve">.</t>
    </r>
  </si>
  <si>
    <t xml:space="preserve">통계 수치는 반영 전 확인</t>
  </si>
  <si>
    <t xml:space="preserve">국가 부채·재정적자·연금</t>
  </si>
  <si>
    <t xml:space="preserve">dette publique, déficit, procédure de déficit excessif, retraites</t>
  </si>
  <si>
    <t xml:space="preserve">적자를 줄이라는 EU 절차와 연금·보건·국방 지출 증가 사이의 줄타기. Julien이 숫자로 설명하고 Manon이 되묻는다.</t>
  </si>
  <si>
    <r>
      <rPr>
        <sz val="10"/>
        <rFont val="Arial"/>
        <family val="0"/>
        <charset val="1"/>
      </rPr>
      <t xml:space="preserve">11</t>
    </r>
    <r>
      <rPr>
        <sz val="10"/>
        <rFont val="WenQuanYi Zen Hei"/>
        <family val="2"/>
      </rPr>
      <t xml:space="preserve">부 </t>
    </r>
    <r>
      <rPr>
        <sz val="10"/>
        <rFont val="Arial"/>
        <family val="0"/>
        <charset val="1"/>
      </rPr>
      <t xml:space="preserve">10</t>
    </r>
    <r>
      <rPr>
        <sz val="10"/>
        <rFont val="WenQuanYi Zen Hei"/>
        <family val="2"/>
      </rPr>
      <t xml:space="preserve">화</t>
    </r>
    <r>
      <rPr>
        <sz val="10"/>
        <rFont val="Arial"/>
        <family val="0"/>
        <charset val="1"/>
      </rPr>
      <t xml:space="preserve">(EU </t>
    </r>
    <r>
      <rPr>
        <sz val="10"/>
        <rFont val="WenQuanYi Zen Hei"/>
        <family val="2"/>
      </rPr>
      <t xml:space="preserve">재정규칙</t>
    </r>
    <r>
      <rPr>
        <sz val="10"/>
        <rFont val="Arial"/>
        <family val="0"/>
        <charset val="1"/>
      </rPr>
      <t xml:space="preserve">), 12</t>
    </r>
    <r>
      <rPr>
        <sz val="10"/>
        <rFont val="WenQuanYi Zen Hei"/>
        <family val="2"/>
      </rPr>
      <t xml:space="preserve">부 </t>
    </r>
    <r>
      <rPr>
        <sz val="10"/>
        <rFont val="Arial"/>
        <family val="0"/>
        <charset val="1"/>
      </rPr>
      <t xml:space="preserve">11~12</t>
    </r>
    <r>
      <rPr>
        <sz val="10"/>
        <rFont val="WenQuanYi Zen Hei"/>
        <family val="2"/>
      </rPr>
      <t xml:space="preserve">화</t>
    </r>
    <r>
      <rPr>
        <sz val="10"/>
        <rFont val="Arial"/>
        <family val="0"/>
        <charset val="1"/>
      </rPr>
      <t xml:space="preserve">(</t>
    </r>
    <r>
      <rPr>
        <sz val="10"/>
        <rFont val="WenQuanYi Zen Hei"/>
        <family val="2"/>
      </rPr>
      <t xml:space="preserve">예산안</t>
    </r>
    <r>
      <rPr>
        <sz val="10"/>
        <rFont val="Arial"/>
        <family val="0"/>
        <charset val="1"/>
      </rPr>
      <t xml:space="preserve">)</t>
    </r>
  </si>
  <si>
    <r>
      <rPr>
        <sz val="10"/>
        <rFont val="Arial"/>
        <family val="0"/>
        <charset val="1"/>
      </rPr>
      <t xml:space="preserve">10</t>
    </r>
    <r>
      <rPr>
        <sz val="10"/>
        <rFont val="WenQuanYi Zen Hei"/>
        <family val="2"/>
      </rPr>
      <t xml:space="preserve">부 </t>
    </r>
    <r>
      <rPr>
        <sz val="10"/>
        <rFont val="Arial"/>
        <family val="0"/>
        <charset val="1"/>
      </rPr>
      <t xml:space="preserve">6</t>
    </r>
    <r>
      <rPr>
        <sz val="10"/>
        <rFont val="WenQuanYi Zen Hei"/>
        <family val="2"/>
      </rPr>
      <t xml:space="preserve">화</t>
    </r>
    <r>
      <rPr>
        <sz val="10"/>
        <rFont val="Arial"/>
        <family val="0"/>
        <charset val="1"/>
      </rPr>
      <t xml:space="preserve">(</t>
    </r>
    <r>
      <rPr>
        <sz val="10"/>
        <rFont val="WenQuanYi Zen Hei"/>
        <family val="2"/>
      </rPr>
      <t xml:space="preserve">결선 토론</t>
    </r>
    <r>
      <rPr>
        <sz val="10"/>
        <rFont val="Arial"/>
        <family val="0"/>
        <charset val="1"/>
      </rPr>
      <t xml:space="preserve">), 12</t>
    </r>
    <r>
      <rPr>
        <sz val="10"/>
        <rFont val="WenQuanYi Zen Hei"/>
        <family val="2"/>
      </rPr>
      <t xml:space="preserve">부 </t>
    </r>
    <r>
      <rPr>
        <sz val="10"/>
        <rFont val="Arial"/>
        <family val="0"/>
        <charset val="1"/>
      </rPr>
      <t xml:space="preserve">3·9</t>
    </r>
    <r>
      <rPr>
        <sz val="10"/>
        <rFont val="WenQuanYi Zen Hei"/>
        <family val="2"/>
      </rPr>
      <t xml:space="preserve">화</t>
    </r>
    <r>
      <rPr>
        <sz val="10"/>
        <rFont val="Arial"/>
        <family val="0"/>
        <charset val="1"/>
      </rPr>
      <t xml:space="preserve">, 13</t>
    </r>
    <r>
      <rPr>
        <sz val="10"/>
        <rFont val="WenQuanYi Zen Hei"/>
        <family val="2"/>
      </rPr>
      <t xml:space="preserve">부 </t>
    </r>
    <r>
      <rPr>
        <sz val="10"/>
        <rFont val="Arial"/>
        <family val="0"/>
        <charset val="1"/>
      </rPr>
      <t xml:space="preserve">7</t>
    </r>
    <r>
      <rPr>
        <sz val="10"/>
        <rFont val="WenQuanYi Zen Hei"/>
        <family val="2"/>
      </rPr>
      <t xml:space="preserve">화</t>
    </r>
  </si>
  <si>
    <r>
      <rPr>
        <sz val="10"/>
        <rFont val="Arial"/>
        <family val="0"/>
        <charset val="1"/>
      </rPr>
      <t xml:space="preserve">Julien, Napoléon(</t>
    </r>
    <r>
      <rPr>
        <sz val="10"/>
        <rFont val="WenQuanYi Zen Hei"/>
        <family val="2"/>
      </rPr>
      <t xml:space="preserve">메모</t>
    </r>
    <r>
      <rPr>
        <sz val="10"/>
        <rFont val="Arial"/>
        <family val="0"/>
        <charset val="1"/>
      </rPr>
      <t xml:space="preserve">), Philippe</t>
    </r>
  </si>
  <si>
    <t xml:space="preserve">국가·EU</t>
  </si>
  <si>
    <t xml:space="preserve">헌법 제47조·LOLF, TFUE 제126조, 2023년 연금 개혁</t>
  </si>
  <si>
    <t xml:space="preserve">dette, déficit, trajectoire, soutenabilité</t>
  </si>
  <si>
    <t xml:space="preserve">긴축 vs 확대 양쪽 논거를 모두 숫자로 제시한다.</t>
  </si>
  <si>
    <t xml:space="preserve">부채 GDP 대비 117.5% (2026년 1분기 말, INSEE). 2분기 수치는 2026-09-29 발표 예정</t>
  </si>
  <si>
    <t xml:space="preserve">사회</t>
  </si>
  <si>
    <t xml:space="preserve">청년 고용 불안</t>
  </si>
  <si>
    <t xml:space="preserve">stage, CDD, intérim, apprentissage, précarité</t>
  </si>
  <si>
    <t xml:space="preserve">기간제·인턴과 저임금으로 청년의 자립이 늦어진다. Manon이 그 당사자이자 질문자다.</t>
  </si>
  <si>
    <r>
      <rPr>
        <sz val="10"/>
        <rFont val="Arial"/>
        <family val="0"/>
        <charset val="1"/>
      </rPr>
      <t xml:space="preserve">1</t>
    </r>
    <r>
      <rPr>
        <sz val="10"/>
        <rFont val="WenQuanYi Zen Hei"/>
        <family val="2"/>
      </rPr>
      <t xml:space="preserve">부 </t>
    </r>
    <r>
      <rPr>
        <sz val="10"/>
        <rFont val="Arial"/>
        <family val="0"/>
        <charset val="1"/>
      </rPr>
      <t xml:space="preserve">3~6</t>
    </r>
    <r>
      <rPr>
        <sz val="10"/>
        <rFont val="WenQuanYi Zen Hei"/>
        <family val="2"/>
      </rPr>
      <t xml:space="preserve">화</t>
    </r>
    <r>
      <rPr>
        <sz val="10"/>
        <rFont val="Arial"/>
        <family val="0"/>
        <charset val="1"/>
      </rPr>
      <t xml:space="preserve">, 11</t>
    </r>
    <r>
      <rPr>
        <sz val="10"/>
        <rFont val="WenQuanYi Zen Hei"/>
        <family val="2"/>
      </rPr>
      <t xml:space="preserve">부 </t>
    </r>
    <r>
      <rPr>
        <sz val="10"/>
        <rFont val="Arial"/>
        <family val="0"/>
        <charset val="1"/>
      </rPr>
      <t xml:space="preserve">6</t>
    </r>
    <r>
      <rPr>
        <sz val="10"/>
        <rFont val="WenQuanYi Zen Hei"/>
        <family val="2"/>
      </rPr>
      <t xml:space="preserve">화</t>
    </r>
    <r>
      <rPr>
        <sz val="10"/>
        <rFont val="Arial"/>
        <family val="0"/>
        <charset val="1"/>
      </rPr>
      <t xml:space="preserve">, 13</t>
    </r>
    <r>
      <rPr>
        <sz val="10"/>
        <rFont val="WenQuanYi Zen Hei"/>
        <family val="2"/>
      </rPr>
      <t xml:space="preserve">부 </t>
    </r>
    <r>
      <rPr>
        <sz val="10"/>
        <rFont val="Arial"/>
        <family val="0"/>
        <charset val="1"/>
      </rPr>
      <t xml:space="preserve">5·6</t>
    </r>
    <r>
      <rPr>
        <sz val="10"/>
        <rFont val="WenQuanYi Zen Hei"/>
        <family val="2"/>
      </rPr>
      <t xml:space="preserve">화</t>
    </r>
  </si>
  <si>
    <r>
      <rPr>
        <sz val="10"/>
        <rFont val="Arial"/>
        <family val="0"/>
        <charset val="1"/>
      </rPr>
      <t xml:space="preserve">5</t>
    </r>
    <r>
      <rPr>
        <sz val="10"/>
        <rFont val="WenQuanYi Zen Hei"/>
        <family val="2"/>
      </rPr>
      <t xml:space="preserve">부</t>
    </r>
    <r>
      <rPr>
        <sz val="10"/>
        <rFont val="Arial"/>
        <family val="0"/>
        <charset val="1"/>
      </rPr>
      <t xml:space="preserve">(Léa</t>
    </r>
    <r>
      <rPr>
        <sz val="10"/>
        <rFont val="WenQuanYi Zen Hei"/>
        <family val="2"/>
      </rPr>
      <t xml:space="preserve">의 인력 감축</t>
    </r>
    <r>
      <rPr>
        <sz val="10"/>
        <rFont val="Arial"/>
        <family val="0"/>
        <charset val="1"/>
      </rPr>
      <t xml:space="preserve">), 6</t>
    </r>
    <r>
      <rPr>
        <sz val="10"/>
        <rFont val="WenQuanYi Zen Hei"/>
        <family val="2"/>
      </rPr>
      <t xml:space="preserve">부</t>
    </r>
    <r>
      <rPr>
        <sz val="10"/>
        <rFont val="Arial"/>
        <family val="0"/>
        <charset val="1"/>
      </rPr>
      <t xml:space="preserve">, 7</t>
    </r>
    <r>
      <rPr>
        <sz val="10"/>
        <rFont val="WenQuanYi Zen Hei"/>
        <family val="2"/>
      </rPr>
      <t xml:space="preserve">부</t>
    </r>
    <r>
      <rPr>
        <sz val="10"/>
        <rFont val="Arial"/>
        <family val="0"/>
        <charset val="1"/>
      </rPr>
      <t xml:space="preserve">, 8</t>
    </r>
    <r>
      <rPr>
        <sz val="10"/>
        <rFont val="WenQuanYi Zen Hei"/>
        <family val="2"/>
      </rPr>
      <t xml:space="preserve">부</t>
    </r>
    <r>
      <rPr>
        <sz val="10"/>
        <rFont val="Arial"/>
        <family val="0"/>
        <charset val="1"/>
      </rPr>
      <t xml:space="preserve">, 10</t>
    </r>
    <r>
      <rPr>
        <sz val="10"/>
        <rFont val="WenQuanYi Zen Hei"/>
        <family val="2"/>
      </rPr>
      <t xml:space="preserve">부 </t>
    </r>
    <r>
      <rPr>
        <sz val="10"/>
        <rFont val="Arial"/>
        <family val="0"/>
        <charset val="1"/>
      </rPr>
      <t xml:space="preserve">3</t>
    </r>
    <r>
      <rPr>
        <sz val="10"/>
        <rFont val="WenQuanYi Zen Hei"/>
        <family val="2"/>
      </rPr>
      <t xml:space="preserve">화</t>
    </r>
  </si>
  <si>
    <t xml:space="preserve">Manon, Karim, Léa</t>
  </si>
  <si>
    <t xml:space="preserve">국가(노동법)·사회적 대화</t>
  </si>
  <si>
    <t xml:space="preserve">노동법전, 인턴 수당(gratification), 견습 지원</t>
  </si>
  <si>
    <t xml:space="preserve">stagiaire, contrat, SMIC, précarité</t>
  </si>
  <si>
    <t xml:space="preserve">청년 vs 기성세대 구도로 몰지 않는다(Karim도 Napoléon도 청년의 편에서 돕는다).</t>
  </si>
  <si>
    <r>
      <rPr>
        <sz val="10"/>
        <rFont val="Arial"/>
        <family val="0"/>
        <charset val="1"/>
      </rPr>
      <t xml:space="preserve">15~24</t>
    </r>
    <r>
      <rPr>
        <sz val="10"/>
        <rFont val="WenQuanYi Zen Hei"/>
        <family val="2"/>
      </rPr>
      <t xml:space="preserve">세 실업률 </t>
    </r>
    <r>
      <rPr>
        <sz val="10"/>
        <rFont val="Arial"/>
        <family val="0"/>
        <charset val="1"/>
      </rPr>
      <t xml:space="preserve">21.6%(2026 2</t>
    </r>
    <r>
      <rPr>
        <sz val="10"/>
        <rFont val="WenQuanYi Zen Hei"/>
        <family val="2"/>
      </rPr>
      <t xml:space="preserve">분기</t>
    </r>
    <r>
      <rPr>
        <sz val="10"/>
        <rFont val="Arial"/>
        <family val="0"/>
        <charset val="1"/>
      </rPr>
      <t xml:space="preserve">), </t>
    </r>
    <r>
      <rPr>
        <sz val="10"/>
        <rFont val="WenQuanYi Zen Hei"/>
        <family val="2"/>
      </rPr>
      <t xml:space="preserve">전체 </t>
    </r>
    <r>
      <rPr>
        <sz val="10"/>
        <rFont val="Arial"/>
        <family val="0"/>
        <charset val="1"/>
      </rPr>
      <t xml:space="preserve">8.3%, </t>
    </r>
    <r>
      <rPr>
        <sz val="10"/>
        <rFont val="WenQuanYi Zen Hei"/>
        <family val="2"/>
      </rPr>
      <t xml:space="preserve">약 </t>
    </r>
    <r>
      <rPr>
        <sz val="10"/>
        <rFont val="Arial"/>
        <family val="0"/>
        <charset val="1"/>
      </rPr>
      <t xml:space="preserve">2.6</t>
    </r>
    <r>
      <rPr>
        <sz val="10"/>
        <rFont val="WenQuanYi Zen Hei"/>
        <family val="2"/>
      </rPr>
      <t xml:space="preserve">배 </t>
    </r>
    <r>
      <rPr>
        <sz val="10"/>
        <rFont val="Arial"/>
        <family val="0"/>
        <charset val="1"/>
      </rPr>
      <t xml:space="preserve">(INSEE, 2026-09 </t>
    </r>
    <r>
      <rPr>
        <sz val="10"/>
        <rFont val="WenQuanYi Zen Hei"/>
        <family val="2"/>
      </rPr>
      <t xml:space="preserve">확인</t>
    </r>
    <r>
      <rPr>
        <sz val="10"/>
        <rFont val="Arial"/>
        <family val="0"/>
        <charset val="1"/>
      </rPr>
      <t xml:space="preserve">)</t>
    </r>
  </si>
  <si>
    <t xml:space="preserve">이민·난민과 수용 분담</t>
  </si>
  <si>
    <t xml:space="preserve">titre de séjour, MNA, AME, asile, campement</t>
  </si>
  <si>
    <r>
      <rPr>
        <sz val="10"/>
        <rFont val="Arial"/>
        <family val="0"/>
        <charset val="1"/>
      </rPr>
      <t xml:space="preserve">Belleville</t>
    </r>
    <r>
      <rPr>
        <sz val="10"/>
        <rFont val="WenQuanYi Zen Hei"/>
        <family val="2"/>
      </rPr>
      <t xml:space="preserve">는 다국적 동네다</t>
    </r>
    <r>
      <rPr>
        <sz val="10"/>
        <rFont val="Arial"/>
        <family val="0"/>
        <charset val="1"/>
      </rPr>
      <t xml:space="preserve">. </t>
    </r>
    <r>
      <rPr>
        <sz val="10"/>
        <rFont val="WenQuanYi Zen Hei"/>
        <family val="2"/>
      </rPr>
      <t xml:space="preserve">서류 없는 이웃</t>
    </r>
    <r>
      <rPr>
        <sz val="10"/>
        <rFont val="Arial"/>
        <family val="0"/>
        <charset val="1"/>
      </rPr>
      <t xml:space="preserve">, </t>
    </r>
    <r>
      <rPr>
        <sz val="10"/>
        <rFont val="WenQuanYi Zen Hei"/>
        <family val="2"/>
      </rPr>
      <t xml:space="preserve">체류 자격 사건</t>
    </r>
    <r>
      <rPr>
        <sz val="10"/>
        <rFont val="Arial"/>
        <family val="0"/>
        <charset val="1"/>
      </rPr>
      <t xml:space="preserve">, </t>
    </r>
    <r>
      <rPr>
        <sz val="10"/>
        <rFont val="WenQuanYi Zen Hei"/>
        <family val="2"/>
      </rPr>
      <t xml:space="preserve">파리 북부 텐트촌과 보호자 없는 미성년 이주민을 둘러싼 도</t>
    </r>
    <r>
      <rPr>
        <sz val="10"/>
        <rFont val="Arial"/>
        <family val="0"/>
        <charset val="1"/>
      </rPr>
      <t xml:space="preserve">(département) </t>
    </r>
    <r>
      <rPr>
        <sz val="10"/>
        <rFont val="WenQuanYi Zen Hei"/>
        <family val="2"/>
      </rPr>
      <t xml:space="preserve">간 떠넘기기</t>
    </r>
    <r>
      <rPr>
        <sz val="10"/>
        <rFont val="Arial"/>
        <family val="0"/>
        <charset val="1"/>
      </rPr>
      <t xml:space="preserve">.</t>
    </r>
  </si>
  <si>
    <r>
      <rPr>
        <sz val="10"/>
        <rFont val="Arial"/>
        <family val="0"/>
        <charset val="1"/>
      </rPr>
      <t xml:space="preserve">1</t>
    </r>
    <r>
      <rPr>
        <sz val="10"/>
        <rFont val="WenQuanYi Zen Hei"/>
        <family val="2"/>
      </rPr>
      <t xml:space="preserve">부 </t>
    </r>
    <r>
      <rPr>
        <sz val="10"/>
        <rFont val="Arial"/>
        <family val="0"/>
        <charset val="1"/>
      </rPr>
      <t xml:space="preserve">7~8</t>
    </r>
    <r>
      <rPr>
        <sz val="10"/>
        <rFont val="WenQuanYi Zen Hei"/>
        <family val="2"/>
      </rPr>
      <t xml:space="preserve">화</t>
    </r>
    <r>
      <rPr>
        <sz val="10"/>
        <rFont val="Arial"/>
        <family val="0"/>
        <charset val="1"/>
      </rPr>
      <t xml:space="preserve">(AME), 6</t>
    </r>
    <r>
      <rPr>
        <sz val="10"/>
        <rFont val="WenQuanYi Zen Hei"/>
        <family val="2"/>
      </rPr>
      <t xml:space="preserve">부 </t>
    </r>
    <r>
      <rPr>
        <sz val="10"/>
        <rFont val="Arial"/>
        <family val="0"/>
        <charset val="1"/>
      </rPr>
      <t xml:space="preserve">8·9</t>
    </r>
    <r>
      <rPr>
        <sz val="10"/>
        <rFont val="WenQuanYi Zen Hei"/>
        <family val="2"/>
      </rPr>
      <t xml:space="preserve">화</t>
    </r>
    <r>
      <rPr>
        <sz val="10"/>
        <rFont val="Arial"/>
        <family val="0"/>
        <charset val="1"/>
      </rPr>
      <t xml:space="preserve">, 7</t>
    </r>
    <r>
      <rPr>
        <sz val="10"/>
        <rFont val="WenQuanYi Zen Hei"/>
        <family val="2"/>
      </rPr>
      <t xml:space="preserve">부 </t>
    </r>
    <r>
      <rPr>
        <sz val="10"/>
        <rFont val="Arial"/>
        <family val="0"/>
        <charset val="1"/>
      </rPr>
      <t xml:space="preserve">4</t>
    </r>
    <r>
      <rPr>
        <sz val="10"/>
        <rFont val="WenQuanYi Zen Hei"/>
        <family val="2"/>
      </rPr>
      <t xml:space="preserve">화</t>
    </r>
    <r>
      <rPr>
        <sz val="10"/>
        <rFont val="Arial"/>
        <family val="0"/>
        <charset val="1"/>
      </rPr>
      <t xml:space="preserve">(</t>
    </r>
    <r>
      <rPr>
        <sz val="10"/>
        <rFont val="WenQuanYi Zen Hei"/>
        <family val="2"/>
      </rPr>
      <t xml:space="preserve">체류 자격</t>
    </r>
    <r>
      <rPr>
        <sz val="10"/>
        <rFont val="Arial"/>
        <family val="0"/>
        <charset val="1"/>
      </rPr>
      <t xml:space="preserve">), 11</t>
    </r>
    <r>
      <rPr>
        <sz val="10"/>
        <rFont val="WenQuanYi Zen Hei"/>
        <family val="2"/>
      </rPr>
      <t xml:space="preserve">부 </t>
    </r>
    <r>
      <rPr>
        <sz val="10"/>
        <rFont val="Arial"/>
        <family val="0"/>
        <charset val="1"/>
      </rPr>
      <t xml:space="preserve">5</t>
    </r>
    <r>
      <rPr>
        <sz val="10"/>
        <rFont val="WenQuanYi Zen Hei"/>
        <family val="2"/>
      </rPr>
      <t xml:space="preserve">화 분담</t>
    </r>
  </si>
  <si>
    <r>
      <rPr>
        <sz val="10"/>
        <rFont val="Arial"/>
        <family val="0"/>
        <charset val="1"/>
      </rPr>
      <t xml:space="preserve">3</t>
    </r>
    <r>
      <rPr>
        <sz val="10"/>
        <rFont val="WenQuanYi Zen Hei"/>
        <family val="2"/>
      </rPr>
      <t xml:space="preserve">부 </t>
    </r>
    <r>
      <rPr>
        <sz val="10"/>
        <rFont val="Arial"/>
        <family val="0"/>
        <charset val="1"/>
      </rPr>
      <t xml:space="preserve">6</t>
    </r>
    <r>
      <rPr>
        <sz val="10"/>
        <rFont val="WenQuanYi Zen Hei"/>
        <family val="2"/>
      </rPr>
      <t xml:space="preserve">화</t>
    </r>
    <r>
      <rPr>
        <sz val="10"/>
        <rFont val="Arial"/>
        <family val="0"/>
        <charset val="1"/>
      </rPr>
      <t xml:space="preserve">(</t>
    </r>
    <r>
      <rPr>
        <sz val="10"/>
        <rFont val="WenQuanYi Zen Hei"/>
        <family val="2"/>
      </rPr>
      <t xml:space="preserve">서류 없는 환자</t>
    </r>
    <r>
      <rPr>
        <sz val="10"/>
        <rFont val="Arial"/>
        <family val="0"/>
        <charset val="1"/>
      </rPr>
      <t xml:space="preserve">), 8</t>
    </r>
    <r>
      <rPr>
        <sz val="10"/>
        <rFont val="WenQuanYi Zen Hei"/>
        <family val="2"/>
      </rPr>
      <t xml:space="preserve">부</t>
    </r>
    <r>
      <rPr>
        <sz val="10"/>
        <rFont val="Arial"/>
        <family val="0"/>
        <charset val="1"/>
      </rPr>
      <t xml:space="preserve">(</t>
    </r>
    <r>
      <rPr>
        <sz val="10"/>
        <rFont val="WenQuanYi Zen Hei"/>
        <family val="2"/>
      </rPr>
      <t xml:space="preserve">투표권 없는 이웃</t>
    </r>
    <r>
      <rPr>
        <sz val="10"/>
        <rFont val="Arial"/>
        <family val="0"/>
        <charset val="1"/>
      </rPr>
      <t xml:space="preserve">), 10</t>
    </r>
    <r>
      <rPr>
        <sz val="10"/>
        <rFont val="WenQuanYi Zen Hei"/>
        <family val="2"/>
      </rPr>
      <t xml:space="preserve">부 </t>
    </r>
    <r>
      <rPr>
        <sz val="10"/>
        <rFont val="Arial"/>
        <family val="0"/>
        <charset val="1"/>
      </rPr>
      <t xml:space="preserve">3</t>
    </r>
    <r>
      <rPr>
        <sz val="10"/>
        <rFont val="WenQuanYi Zen Hei"/>
        <family val="2"/>
      </rPr>
      <t xml:space="preserve">화</t>
    </r>
  </si>
  <si>
    <t xml:space="preserve">Monique, Camille, Nicolas, Karim, Sartre</t>
  </si>
  <si>
    <t xml:space="preserve">국가(체류·망명), 도(아동 보호 ASE)</t>
  </si>
  <si>
    <r>
      <rPr>
        <sz val="10"/>
        <rFont val="Arial"/>
        <family val="0"/>
        <charset val="1"/>
      </rPr>
      <t xml:space="preserve">CESEDA, 2024</t>
    </r>
    <r>
      <rPr>
        <sz val="10"/>
        <rFont val="WenQuanYi Zen Hei"/>
        <family val="2"/>
      </rPr>
      <t xml:space="preserve">년 이민법</t>
    </r>
    <r>
      <rPr>
        <sz val="10"/>
        <rFont val="Arial"/>
        <family val="0"/>
        <charset val="1"/>
      </rPr>
      <t xml:space="preserve">, EU </t>
    </r>
    <r>
      <rPr>
        <sz val="10"/>
        <rFont val="WenQuanYi Zen Hei"/>
        <family val="2"/>
      </rPr>
      <t xml:space="preserve">이민</t>
    </r>
    <r>
      <rPr>
        <sz val="10"/>
        <rFont val="Arial"/>
        <family val="0"/>
        <charset val="1"/>
      </rPr>
      <t xml:space="preserve">·</t>
    </r>
    <r>
      <rPr>
        <sz val="10"/>
        <rFont val="WenQuanYi Zen Hei"/>
        <family val="2"/>
      </rPr>
      <t xml:space="preserve">망명 협약</t>
    </r>
    <r>
      <rPr>
        <sz val="10"/>
        <rFont val="Arial"/>
        <family val="0"/>
        <charset val="1"/>
      </rPr>
      <t xml:space="preserve">(2026 </t>
    </r>
    <r>
      <rPr>
        <sz val="10"/>
        <rFont val="WenQuanYi Zen Hei"/>
        <family val="2"/>
      </rPr>
      <t xml:space="preserve">시행</t>
    </r>
    <r>
      <rPr>
        <sz val="10"/>
        <rFont val="Arial"/>
        <family val="0"/>
        <charset val="1"/>
      </rPr>
      <t xml:space="preserve">)</t>
    </r>
  </si>
  <si>
    <t xml:space="preserve">titre de séjour, régularisation, mineur non accompagné, demande d'asile</t>
  </si>
  <si>
    <t xml:space="preserve">반이민 여론(FS)과 수용 부담 지역의 실제 어려움을 함께 담고, 이주민을 배경이 아닌 화자로 세운다.</t>
  </si>
  <si>
    <t xml:space="preserve">예외적 체류 허가 지침·EU 협약 시행 상태 확인</t>
  </si>
  <si>
    <t xml:space="preserve">고령화·농촌 공동화·의료 사막</t>
  </si>
  <si>
    <t xml:space="preserve">désert médical, diagonale du vide, vieillissement, fermeture de services</t>
  </si>
  <si>
    <t xml:space="preserve">시립 보건센터가 문을 닫고 파리 북동부·센생드니가 의료 사막이 된다(9부). Jeanne의 고향 근처 마을은 학교도 병원도 문을 닫았고, 추천서 순회가 그곳을 지나며 의료·일자리·연금 문제가 되풀이된다(10부).</t>
  </si>
  <si>
    <r>
      <rPr>
        <sz val="10"/>
        <rFont val="Arial"/>
        <family val="0"/>
        <charset val="1"/>
      </rPr>
      <t xml:space="preserve">9</t>
    </r>
    <r>
      <rPr>
        <sz val="10"/>
        <rFont val="WenQuanYi Zen Hei"/>
        <family val="2"/>
      </rPr>
      <t xml:space="preserve">부 </t>
    </r>
    <r>
      <rPr>
        <sz val="10"/>
        <rFont val="Arial"/>
        <family val="0"/>
        <charset val="1"/>
      </rPr>
      <t xml:space="preserve">7</t>
    </r>
    <r>
      <rPr>
        <sz val="10"/>
        <rFont val="WenQuanYi Zen Hei"/>
        <family val="2"/>
      </rPr>
      <t xml:space="preserve">화 시의회에서의 보건</t>
    </r>
  </si>
  <si>
    <r>
      <rPr>
        <sz val="10"/>
        <rFont val="Arial"/>
        <family val="0"/>
        <charset val="1"/>
      </rPr>
      <t xml:space="preserve">3</t>
    </r>
    <r>
      <rPr>
        <sz val="10"/>
        <rFont val="WenQuanYi Zen Hei"/>
        <family val="2"/>
      </rPr>
      <t xml:space="preserve">부</t>
    </r>
    <r>
      <rPr>
        <sz val="10"/>
        <rFont val="Arial"/>
        <family val="0"/>
        <charset val="1"/>
      </rPr>
      <t xml:space="preserve">(</t>
    </r>
    <r>
      <rPr>
        <sz val="10"/>
        <rFont val="WenQuanYi Zen Hei"/>
        <family val="2"/>
      </rPr>
      <t xml:space="preserve">응급실 고령 환자</t>
    </r>
    <r>
      <rPr>
        <sz val="10"/>
        <rFont val="Arial"/>
        <family val="0"/>
        <charset val="1"/>
      </rPr>
      <t xml:space="preserve">), 10</t>
    </r>
    <r>
      <rPr>
        <sz val="10"/>
        <rFont val="WenQuanYi Zen Hei"/>
        <family val="2"/>
      </rPr>
      <t xml:space="preserve">부 </t>
    </r>
    <r>
      <rPr>
        <sz val="10"/>
        <rFont val="Arial"/>
        <family val="0"/>
        <charset val="1"/>
      </rPr>
      <t xml:space="preserve">2</t>
    </r>
    <r>
      <rPr>
        <sz val="10"/>
        <rFont val="WenQuanYi Zen Hei"/>
        <family val="2"/>
      </rPr>
      <t xml:space="preserve">화</t>
    </r>
    <r>
      <rPr>
        <sz val="10"/>
        <rFont val="Arial"/>
        <family val="0"/>
        <charset val="1"/>
      </rPr>
      <t xml:space="preserve">(</t>
    </r>
    <r>
      <rPr>
        <sz val="10"/>
        <rFont val="WenQuanYi Zen Hei"/>
        <family val="2"/>
      </rPr>
      <t xml:space="preserve">농촌 순회</t>
    </r>
    <r>
      <rPr>
        <sz val="10"/>
        <rFont val="Arial"/>
        <family val="0"/>
        <charset val="1"/>
      </rPr>
      <t xml:space="preserve">), 11</t>
    </r>
    <r>
      <rPr>
        <sz val="10"/>
        <rFont val="WenQuanYi Zen Hei"/>
        <family val="2"/>
      </rPr>
      <t xml:space="preserve">부 </t>
    </r>
    <r>
      <rPr>
        <sz val="10"/>
        <rFont val="Arial"/>
        <family val="0"/>
        <charset val="1"/>
      </rPr>
      <t xml:space="preserve">4</t>
    </r>
    <r>
      <rPr>
        <sz val="10"/>
        <rFont val="WenQuanYi Zen Hei"/>
        <family val="2"/>
      </rPr>
      <t xml:space="preserve">화</t>
    </r>
    <r>
      <rPr>
        <sz val="10"/>
        <rFont val="Arial"/>
        <family val="0"/>
        <charset val="1"/>
      </rPr>
      <t xml:space="preserve">, 13</t>
    </r>
    <r>
      <rPr>
        <sz val="10"/>
        <rFont val="WenQuanYi Zen Hei"/>
        <family val="2"/>
      </rPr>
      <t xml:space="preserve">부</t>
    </r>
  </si>
  <si>
    <t xml:space="preserve">Jeanne, Camille, Manon</t>
  </si>
  <si>
    <t xml:space="preserve">국가(ARS)·도·코뮌</t>
  </si>
  <si>
    <t xml:space="preserve">공중보건법전, 의사 배치 규제 논쟁</t>
  </si>
  <si>
    <t xml:space="preserve">désert médical, vieillissement, maison de santé</t>
  </si>
  <si>
    <r>
      <rPr>
        <sz val="10"/>
        <rFont val="Arial"/>
        <family val="0"/>
        <charset val="1"/>
      </rPr>
      <t xml:space="preserve">'</t>
    </r>
    <r>
      <rPr>
        <sz val="10"/>
        <rFont val="WenQuanYi Zen Hei"/>
        <family val="2"/>
      </rPr>
      <t xml:space="preserve">시골</t>
    </r>
    <r>
      <rPr>
        <sz val="10"/>
        <rFont val="Arial"/>
        <family val="0"/>
        <charset val="1"/>
      </rPr>
      <t xml:space="preserve">'</t>
    </r>
    <r>
      <rPr>
        <sz val="10"/>
        <rFont val="WenQuanYi Zen Hei"/>
        <family val="2"/>
      </rPr>
      <t xml:space="preserve">을 동정하지 않고 마을 사람들이 직접 말하게 한다</t>
    </r>
    <r>
      <rPr>
        <sz val="10"/>
        <rFont val="Arial"/>
        <family val="0"/>
        <charset val="1"/>
      </rPr>
      <t xml:space="preserve">.</t>
    </r>
  </si>
  <si>
    <t xml:space="preserve">인구·의사 밀도 통계는 반영 전 확인</t>
  </si>
  <si>
    <t xml:space="preserve">폭염·가뭄과 에너지 전환 부담</t>
  </si>
  <si>
    <t xml:space="preserve">canicule, sécheresse, restrictions d'eau, transition énergétique</t>
  </si>
  <si>
    <t xml:space="preserve">폭염에 응급실이 넘치고(3부), 저수지가 마른 마을을 지나며(10부), 초고액 자산 최저세 재원을 전환 비용에 쓸지 논쟁한다(11부).</t>
  </si>
  <si>
    <r>
      <rPr>
        <sz val="10"/>
        <rFont val="Arial"/>
        <family val="0"/>
        <charset val="1"/>
      </rPr>
      <t xml:space="preserve">3</t>
    </r>
    <r>
      <rPr>
        <sz val="10"/>
        <rFont val="WenQuanYi Zen Hei"/>
        <family val="2"/>
      </rPr>
      <t xml:space="preserve">부 </t>
    </r>
    <r>
      <rPr>
        <sz val="10"/>
        <rFont val="Arial"/>
        <family val="0"/>
        <charset val="1"/>
      </rPr>
      <t xml:space="preserve">3·10</t>
    </r>
    <r>
      <rPr>
        <sz val="10"/>
        <rFont val="WenQuanYi Zen Hei"/>
        <family val="2"/>
      </rPr>
      <t xml:space="preserve">화</t>
    </r>
    <r>
      <rPr>
        <sz val="10"/>
        <rFont val="Arial"/>
        <family val="0"/>
        <charset val="1"/>
      </rPr>
      <t xml:space="preserve">(</t>
    </r>
    <r>
      <rPr>
        <sz val="10"/>
        <rFont val="WenQuanYi Zen Hei"/>
        <family val="2"/>
      </rPr>
      <t xml:space="preserve">폭염 응급실</t>
    </r>
    <r>
      <rPr>
        <sz val="10"/>
        <rFont val="Arial"/>
        <family val="0"/>
        <charset val="1"/>
      </rPr>
      <t xml:space="preserve">)</t>
    </r>
  </si>
  <si>
    <r>
      <rPr>
        <sz val="10"/>
        <rFont val="Arial"/>
        <family val="0"/>
        <charset val="1"/>
      </rPr>
      <t xml:space="preserve">10</t>
    </r>
    <r>
      <rPr>
        <sz val="10"/>
        <rFont val="WenQuanYi Zen Hei"/>
        <family val="2"/>
      </rPr>
      <t xml:space="preserve">부 </t>
    </r>
    <r>
      <rPr>
        <sz val="10"/>
        <rFont val="Arial"/>
        <family val="0"/>
        <charset val="1"/>
      </rPr>
      <t xml:space="preserve">2</t>
    </r>
    <r>
      <rPr>
        <sz val="10"/>
        <rFont val="WenQuanYi Zen Hei"/>
        <family val="2"/>
      </rPr>
      <t xml:space="preserve">화</t>
    </r>
    <r>
      <rPr>
        <sz val="10"/>
        <rFont val="Arial"/>
        <family val="0"/>
        <charset val="1"/>
      </rPr>
      <t xml:space="preserve">, 11</t>
    </r>
    <r>
      <rPr>
        <sz val="10"/>
        <rFont val="WenQuanYi Zen Hei"/>
        <family val="2"/>
      </rPr>
      <t xml:space="preserve">부 </t>
    </r>
    <r>
      <rPr>
        <sz val="10"/>
        <rFont val="Arial"/>
        <family val="0"/>
        <charset val="1"/>
      </rPr>
      <t xml:space="preserve">4·8</t>
    </r>
    <r>
      <rPr>
        <sz val="10"/>
        <rFont val="WenQuanYi Zen Hei"/>
        <family val="2"/>
      </rPr>
      <t xml:space="preserve">화</t>
    </r>
    <r>
      <rPr>
        <sz val="10"/>
        <rFont val="Arial"/>
        <family val="0"/>
        <charset val="1"/>
      </rPr>
      <t xml:space="preserve">, 12</t>
    </r>
    <r>
      <rPr>
        <sz val="10"/>
        <rFont val="WenQuanYi Zen Hei"/>
        <family val="2"/>
      </rPr>
      <t xml:space="preserve">부 </t>
    </r>
    <r>
      <rPr>
        <sz val="10"/>
        <rFont val="Arial"/>
        <family val="0"/>
        <charset val="1"/>
      </rPr>
      <t xml:space="preserve">8</t>
    </r>
    <r>
      <rPr>
        <sz val="10"/>
        <rFont val="WenQuanYi Zen Hei"/>
        <family val="2"/>
      </rPr>
      <t xml:space="preserve">화</t>
    </r>
  </si>
  <si>
    <t xml:space="preserve">Camille, Jeanne, Julien</t>
  </si>
  <si>
    <t xml:space="preserve">국가·도·유역기관</t>
  </si>
  <si>
    <t xml:space="preserve">폭염 경보 계획, 물 사용 제한 도지사 명령</t>
  </si>
  <si>
    <t xml:space="preserve">canicule, sécheresse, Météo-France, transition énergétique</t>
  </si>
  <si>
    <t xml:space="preserve">기후를 정치적 구호로 쓰지 않고 현장 사건으로 보여 준다.</t>
  </si>
  <si>
    <t xml:space="preserve">최신 폭염·가뭄 통계 확인</t>
  </si>
  <si>
    <t xml:space="preserve">N1</t>
  </si>
  <si>
    <t xml:space="preserve">재난</t>
  </si>
  <si>
    <t xml:space="preserve">지중해성 폭우·급류와 방재 체계</t>
  </si>
  <si>
    <t xml:space="preserve">épisode méditerranéen, crue éclair, vigilance rouge, FR-Alert, catastrophe naturelle</t>
  </si>
  <si>
    <t xml:space="preserve">남부 해안 지방을 가상의 폭우와 급류가 덮친다. 경보·대피 명령을 둘러싼 도지사–시장 책임 공방, 자연재해 지정, 민방위 군부대 투입, 복구와 보험 보상.</t>
  </si>
  <si>
    <r>
      <rPr>
        <sz val="10"/>
        <rFont val="Arial"/>
        <family val="0"/>
        <charset val="1"/>
      </rPr>
      <t xml:space="preserve">12</t>
    </r>
    <r>
      <rPr>
        <sz val="10"/>
        <rFont val="WenQuanYi Zen Hei"/>
        <family val="2"/>
      </rPr>
      <t xml:space="preserve">부 </t>
    </r>
    <r>
      <rPr>
        <sz val="10"/>
        <rFont val="Arial"/>
        <family val="0"/>
        <charset val="1"/>
      </rPr>
      <t xml:space="preserve">8</t>
    </r>
    <r>
      <rPr>
        <sz val="10"/>
        <rFont val="WenQuanYi Zen Hei"/>
        <family val="2"/>
      </rPr>
      <t xml:space="preserve">화 </t>
    </r>
    <r>
      <rPr>
        <sz val="10"/>
        <rFont val="Arial"/>
        <family val="0"/>
        <charset val="1"/>
      </rPr>
      <t xml:space="preserve">L'Épisode méditerranéen</t>
    </r>
  </si>
  <si>
    <r>
      <rPr>
        <sz val="10"/>
        <rFont val="Arial"/>
        <family val="0"/>
        <charset val="1"/>
      </rPr>
      <t xml:space="preserve">13</t>
    </r>
    <r>
      <rPr>
        <sz val="10"/>
        <rFont val="WenQuanYi Zen Hei"/>
        <family val="2"/>
      </rPr>
      <t xml:space="preserve">부</t>
    </r>
    <r>
      <rPr>
        <sz val="10"/>
        <rFont val="Arial"/>
        <family val="0"/>
        <charset val="1"/>
      </rPr>
      <t xml:space="preserve">(</t>
    </r>
    <r>
      <rPr>
        <sz val="10"/>
        <rFont val="WenQuanYi Zen Hei"/>
        <family val="2"/>
      </rPr>
      <t xml:space="preserve">복구 결산</t>
    </r>
    <r>
      <rPr>
        <sz val="10"/>
        <rFont val="Arial"/>
        <family val="0"/>
        <charset val="1"/>
      </rPr>
      <t xml:space="preserve">)</t>
    </r>
  </si>
  <si>
    <t xml:space="preserve">국가(도지사 ORSEC), 코뮌(시 보호계획), EU</t>
  </si>
  <si>
    <t xml:space="preserve">국내안전법전, 자연재해 보상제도(CatNat), EU 연대기금</t>
  </si>
  <si>
    <t xml:space="preserve">vigilance rouge, évacuation, sinistrés, catastrophe naturelle</t>
  </si>
  <si>
    <t xml:space="preserve">실제 참사와 희생자를 연상시키므로 추모의 톤을 지키고, 특정 정치인 비난 없이 제도의 공백을 보여 준다.</t>
  </si>
  <si>
    <t xml:space="preserve">실제 재난의 후속 조치·소송은 반영 전 확인</t>
  </si>
  <si>
    <t xml:space="preserve">EU</t>
  </si>
  <si>
    <r>
      <rPr>
        <sz val="10"/>
        <rFont val="Noto Sans CJK SC"/>
        <family val="2"/>
        <charset val="1"/>
      </rPr>
      <t xml:space="preserve">EU </t>
    </r>
    <r>
      <rPr>
        <sz val="10"/>
        <rFont val="WenQuanYi Zen Hei"/>
        <family val="2"/>
      </rPr>
      <t xml:space="preserve">회복기금 집행</t>
    </r>
  </si>
  <si>
    <t xml:space="preserve">plan de relance, PNRR, jalons, fonds européens</t>
  </si>
  <si>
    <t xml:space="preserve">회복기금 사업이 시 계약으로 흘러가 소수 업체가 독점하고 행정 병목으로 지연된다. Julien·Philippe가 자금 흐름을 추적한다.</t>
  </si>
  <si>
    <r>
      <rPr>
        <sz val="10"/>
        <rFont val="Arial"/>
        <family val="0"/>
        <charset val="1"/>
      </rPr>
      <t xml:space="preserve">9</t>
    </r>
    <r>
      <rPr>
        <sz val="10"/>
        <rFont val="WenQuanYi Zen Hei"/>
        <family val="2"/>
      </rPr>
      <t xml:space="preserve">부 </t>
    </r>
    <r>
      <rPr>
        <sz val="10"/>
        <rFont val="Arial"/>
        <family val="0"/>
        <charset val="1"/>
      </rPr>
      <t xml:space="preserve">4</t>
    </r>
    <r>
      <rPr>
        <sz val="10"/>
        <rFont val="WenQuanYi Zen Hei"/>
        <family val="2"/>
      </rPr>
      <t xml:space="preserve">화 돋보기 아래의 계약들</t>
    </r>
  </si>
  <si>
    <r>
      <rPr>
        <sz val="10"/>
        <rFont val="Arial"/>
        <family val="0"/>
        <charset val="1"/>
      </rPr>
      <t xml:space="preserve">11</t>
    </r>
    <r>
      <rPr>
        <sz val="10"/>
        <rFont val="WenQuanYi Zen Hei"/>
        <family val="2"/>
      </rPr>
      <t xml:space="preserve">부 </t>
    </r>
    <r>
      <rPr>
        <sz val="10"/>
        <rFont val="Arial"/>
        <family val="0"/>
        <charset val="1"/>
      </rPr>
      <t xml:space="preserve">2</t>
    </r>
    <r>
      <rPr>
        <sz val="10"/>
        <rFont val="WenQuanYi Zen Hei"/>
        <family val="2"/>
      </rPr>
      <t xml:space="preserve">화</t>
    </r>
    <r>
      <rPr>
        <sz val="10"/>
        <rFont val="Arial"/>
        <family val="0"/>
        <charset val="1"/>
      </rPr>
      <t xml:space="preserve">, 13</t>
    </r>
    <r>
      <rPr>
        <sz val="10"/>
        <rFont val="WenQuanYi Zen Hei"/>
        <family val="2"/>
      </rPr>
      <t xml:space="preserve">부 </t>
    </r>
    <r>
      <rPr>
        <sz val="10"/>
        <rFont val="Arial"/>
        <family val="0"/>
        <charset val="1"/>
      </rPr>
      <t xml:space="preserve">7</t>
    </r>
    <r>
      <rPr>
        <sz val="10"/>
        <rFont val="WenQuanYi Zen Hei"/>
        <family val="2"/>
      </rPr>
      <t xml:space="preserve">화</t>
    </r>
  </si>
  <si>
    <t xml:space="preserve">Julien, Philippe, Léa</t>
  </si>
  <si>
    <t xml:space="preserve">국가·지자체·EU</t>
  </si>
  <si>
    <r>
      <rPr>
        <sz val="10"/>
        <rFont val="Arial"/>
        <family val="0"/>
        <charset val="1"/>
      </rPr>
      <t xml:space="preserve">EU </t>
    </r>
    <r>
      <rPr>
        <sz val="10"/>
        <rFont val="WenQuanYi Zen Hei"/>
        <family val="2"/>
      </rPr>
      <t xml:space="preserve">규칙 </t>
    </r>
    <r>
      <rPr>
        <sz val="10"/>
        <rFont val="Arial"/>
        <family val="0"/>
        <charset val="1"/>
      </rPr>
      <t xml:space="preserve">2021/241, </t>
    </r>
    <r>
      <rPr>
        <sz val="10"/>
        <rFont val="WenQuanYi Zen Hei"/>
        <family val="2"/>
      </rPr>
      <t xml:space="preserve">공공조달법전</t>
    </r>
  </si>
  <si>
    <t xml:space="preserve">fonds européens, appel d'offres, jalon, exécution</t>
  </si>
  <si>
    <r>
      <rPr>
        <sz val="10"/>
        <rFont val="Arial"/>
        <family val="0"/>
        <charset val="1"/>
      </rPr>
      <t xml:space="preserve">'</t>
    </r>
    <r>
      <rPr>
        <sz val="10"/>
        <rFont val="WenQuanYi Zen Hei"/>
        <family val="2"/>
      </rPr>
      <t xml:space="preserve">기금이 낭비된다</t>
    </r>
    <r>
      <rPr>
        <sz val="10"/>
        <rFont val="Arial"/>
        <family val="0"/>
        <charset val="1"/>
      </rPr>
      <t xml:space="preserve">'</t>
    </r>
    <r>
      <rPr>
        <sz val="10"/>
        <rFont val="WenQuanYi Zen Hei"/>
        <family val="2"/>
      </rPr>
      <t xml:space="preserve">는 단정 대신 병목의 원인</t>
    </r>
    <r>
      <rPr>
        <sz val="10"/>
        <rFont val="Arial"/>
        <family val="0"/>
        <charset val="1"/>
      </rPr>
      <t xml:space="preserve">(</t>
    </r>
    <r>
      <rPr>
        <sz val="10"/>
        <rFont val="WenQuanYi Zen Hei"/>
        <family val="2"/>
      </rPr>
      <t xml:space="preserve">절차</t>
    </r>
    <r>
      <rPr>
        <sz val="10"/>
        <rFont val="Arial"/>
        <family val="0"/>
        <charset val="1"/>
      </rPr>
      <t xml:space="preserve">·</t>
    </r>
    <r>
      <rPr>
        <sz val="10"/>
        <rFont val="WenQuanYi Zen Hei"/>
        <family val="2"/>
      </rPr>
      <t xml:space="preserve">인력</t>
    </r>
    <r>
      <rPr>
        <sz val="10"/>
        <rFont val="Arial"/>
        <family val="0"/>
        <charset val="1"/>
      </rPr>
      <t xml:space="preserve">·</t>
    </r>
    <r>
      <rPr>
        <sz val="10"/>
        <rFont val="WenQuanYi Zen Hei"/>
        <family val="2"/>
      </rPr>
      <t xml:space="preserve">배분</t>
    </r>
    <r>
      <rPr>
        <sz val="10"/>
        <rFont val="Arial"/>
        <family val="0"/>
        <charset val="1"/>
      </rPr>
      <t xml:space="preserve">)</t>
    </r>
    <r>
      <rPr>
        <sz val="10"/>
        <rFont val="WenQuanYi Zen Hei"/>
        <family val="2"/>
      </rPr>
      <t xml:space="preserve">을 나눠서 보여 준다</t>
    </r>
    <r>
      <rPr>
        <sz val="10"/>
        <rFont val="Arial"/>
        <family val="0"/>
        <charset val="1"/>
      </rPr>
      <t xml:space="preserve">.</t>
    </r>
  </si>
  <si>
    <t xml:space="preserve">회복기금은 2026년 8월 시한 — 이야기 시점에는 '사후 감사'로 다룰지 확인</t>
  </si>
  <si>
    <t xml:space="preserve">EU·NATO</t>
  </si>
  <si>
    <t xml:space="preserve">국방비 증액과 NATO</t>
  </si>
  <si>
    <t xml:space="preserve">dépenses de défense, OTAN, LPM, dissuasion</t>
  </si>
  <si>
    <r>
      <rPr>
        <sz val="10"/>
        <rFont val="Arial"/>
        <family val="0"/>
        <charset val="1"/>
      </rPr>
      <t xml:space="preserve">2025</t>
    </r>
    <r>
      <rPr>
        <sz val="10"/>
        <rFont val="WenQuanYi Zen Hei"/>
        <family val="2"/>
      </rPr>
      <t xml:space="preserve">년 헤이그 합의로 </t>
    </r>
    <r>
      <rPr>
        <sz val="10"/>
        <rFont val="Arial"/>
        <family val="0"/>
        <charset val="1"/>
      </rPr>
      <t xml:space="preserve">NATO</t>
    </r>
    <r>
      <rPr>
        <sz val="10"/>
        <rFont val="WenQuanYi Zen Hei"/>
        <family val="2"/>
      </rPr>
      <t xml:space="preserve">가 </t>
    </r>
    <r>
      <rPr>
        <sz val="10"/>
        <rFont val="Arial"/>
        <family val="0"/>
        <charset val="1"/>
      </rPr>
      <t xml:space="preserve">5%(3.5%+1.5%) </t>
    </r>
    <r>
      <rPr>
        <sz val="10"/>
        <rFont val="WenQuanYi Zen Hei"/>
        <family val="2"/>
      </rPr>
      <t xml:space="preserve">목표를 </t>
    </r>
    <r>
      <rPr>
        <sz val="10"/>
        <rFont val="Arial"/>
        <family val="0"/>
        <charset val="1"/>
      </rPr>
      <t xml:space="preserve">2035</t>
    </r>
    <r>
      <rPr>
        <sz val="10"/>
        <rFont val="WenQuanYi Zen Hei"/>
        <family val="2"/>
      </rPr>
      <t xml:space="preserve">년까지 세웠다</t>
    </r>
    <r>
      <rPr>
        <sz val="10"/>
        <rFont val="Arial"/>
        <family val="0"/>
        <charset val="1"/>
      </rPr>
      <t xml:space="preserve">. </t>
    </r>
    <r>
      <rPr>
        <sz val="10"/>
        <rFont val="WenQuanYi Zen Hei"/>
        <family val="2"/>
      </rPr>
      <t xml:space="preserve">과도한 적자 절차 속의 프랑스에서 </t>
    </r>
    <r>
      <rPr>
        <sz val="10"/>
        <rFont val="Arial"/>
        <family val="0"/>
        <charset val="1"/>
      </rPr>
      <t xml:space="preserve">Napoléon</t>
    </r>
    <r>
      <rPr>
        <sz val="10"/>
        <rFont val="WenQuanYi Zen Hei"/>
        <family val="2"/>
      </rPr>
      <t xml:space="preserve">이 </t>
    </r>
    <r>
      <rPr>
        <sz val="10"/>
        <rFont val="Arial"/>
        <family val="0"/>
        <charset val="1"/>
      </rPr>
      <t xml:space="preserve">11</t>
    </r>
    <r>
      <rPr>
        <sz val="10"/>
        <rFont val="WenQuanYi Zen Hei"/>
        <family val="2"/>
      </rPr>
      <t xml:space="preserve">부에 대통령 특사로 나서 검증 가능한 증액 경로와 재정 유연성을 얻어내고</t>
    </r>
    <r>
      <rPr>
        <sz val="10"/>
        <rFont val="Arial"/>
        <family val="0"/>
        <charset val="1"/>
      </rPr>
      <t xml:space="preserve">, 12</t>
    </r>
    <r>
      <rPr>
        <sz val="10"/>
        <rFont val="WenQuanYi Zen Hei"/>
        <family val="2"/>
      </rPr>
      <t xml:space="preserve">부에서 그 경로를 예산</t>
    </r>
    <r>
      <rPr>
        <sz val="10"/>
        <rFont val="Arial"/>
        <family val="0"/>
        <charset val="1"/>
      </rPr>
      <t xml:space="preserve">·</t>
    </r>
    <r>
      <rPr>
        <sz val="10"/>
        <rFont val="WenQuanYi Zen Hei"/>
        <family val="2"/>
      </rPr>
      <t xml:space="preserve">군사계획법에 반영하는 논쟁이 이어진다</t>
    </r>
    <r>
      <rPr>
        <sz val="10"/>
        <rFont val="Arial"/>
        <family val="0"/>
        <charset val="1"/>
      </rPr>
      <t xml:space="preserve">.</t>
    </r>
  </si>
  <si>
    <r>
      <rPr>
        <sz val="10"/>
        <rFont val="Arial"/>
        <family val="0"/>
        <charset val="1"/>
      </rPr>
      <t xml:space="preserve">11</t>
    </r>
    <r>
      <rPr>
        <sz val="10"/>
        <rFont val="WenQuanYi Zen Hei"/>
        <family val="2"/>
      </rPr>
      <t xml:space="preserve">부 </t>
    </r>
    <r>
      <rPr>
        <sz val="10"/>
        <rFont val="Arial"/>
        <family val="0"/>
        <charset val="1"/>
      </rPr>
      <t xml:space="preserve">9~11</t>
    </r>
    <r>
      <rPr>
        <sz val="10"/>
        <rFont val="WenQuanYi Zen Hei"/>
        <family val="2"/>
      </rPr>
      <t xml:space="preserve">화</t>
    </r>
    <r>
      <rPr>
        <sz val="10"/>
        <rFont val="Arial"/>
        <family val="0"/>
        <charset val="1"/>
      </rPr>
      <t xml:space="preserve">(Napoléon</t>
    </r>
    <r>
      <rPr>
        <sz val="10"/>
        <rFont val="WenQuanYi Zen Hei"/>
        <family val="2"/>
      </rPr>
      <t xml:space="preserve">의 직접 협상</t>
    </r>
    <r>
      <rPr>
        <sz val="10"/>
        <rFont val="Arial"/>
        <family val="0"/>
        <charset val="1"/>
      </rPr>
      <t xml:space="preserve">), 11</t>
    </r>
    <r>
      <rPr>
        <sz val="10"/>
        <rFont val="WenQuanYi Zen Hei"/>
        <family val="2"/>
      </rPr>
      <t xml:space="preserve">부 </t>
    </r>
    <r>
      <rPr>
        <sz val="10"/>
        <rFont val="Arial"/>
        <family val="0"/>
        <charset val="1"/>
      </rPr>
      <t xml:space="preserve">12</t>
    </r>
    <r>
      <rPr>
        <sz val="10"/>
        <rFont val="WenQuanYi Zen Hei"/>
        <family val="2"/>
      </rPr>
      <t xml:space="preserve">화</t>
    </r>
    <r>
      <rPr>
        <sz val="10"/>
        <rFont val="Arial"/>
        <family val="0"/>
        <charset val="1"/>
      </rPr>
      <t xml:space="preserve">(</t>
    </r>
    <r>
      <rPr>
        <sz val="10"/>
        <rFont val="WenQuanYi Zen Hei"/>
        <family val="2"/>
      </rPr>
      <t xml:space="preserve">사망</t>
    </r>
    <r>
      <rPr>
        <sz val="10"/>
        <rFont val="Arial"/>
        <family val="0"/>
        <charset val="1"/>
      </rPr>
      <t xml:space="preserve">)</t>
    </r>
  </si>
  <si>
    <r>
      <rPr>
        <sz val="10"/>
        <rFont val="Arial"/>
        <family val="0"/>
        <charset val="1"/>
      </rPr>
      <t xml:space="preserve">10</t>
    </r>
    <r>
      <rPr>
        <sz val="10"/>
        <rFont val="WenQuanYi Zen Hei"/>
        <family val="2"/>
      </rPr>
      <t xml:space="preserve">부 </t>
    </r>
    <r>
      <rPr>
        <sz val="10"/>
        <rFont val="Arial"/>
        <family val="0"/>
        <charset val="1"/>
      </rPr>
      <t xml:space="preserve">3</t>
    </r>
    <r>
      <rPr>
        <sz val="10"/>
        <rFont val="WenQuanYi Zen Hei"/>
        <family val="2"/>
      </rPr>
      <t xml:space="preserve">화</t>
    </r>
    <r>
      <rPr>
        <sz val="10"/>
        <rFont val="Arial"/>
        <family val="0"/>
        <charset val="1"/>
      </rPr>
      <t xml:space="preserve">(TV </t>
    </r>
    <r>
      <rPr>
        <sz val="10"/>
        <rFont val="WenQuanYi Zen Hei"/>
        <family val="2"/>
      </rPr>
      <t xml:space="preserve">토론</t>
    </r>
    <r>
      <rPr>
        <sz val="10"/>
        <rFont val="Arial"/>
        <family val="0"/>
        <charset val="1"/>
      </rPr>
      <t xml:space="preserve">), 12</t>
    </r>
    <r>
      <rPr>
        <sz val="10"/>
        <rFont val="WenQuanYi Zen Hei"/>
        <family val="2"/>
      </rPr>
      <t xml:space="preserve">부 </t>
    </r>
    <r>
      <rPr>
        <sz val="10"/>
        <rFont val="Arial"/>
        <family val="0"/>
        <charset val="1"/>
      </rPr>
      <t xml:space="preserve">3</t>
    </r>
    <r>
      <rPr>
        <sz val="10"/>
        <rFont val="WenQuanYi Zen Hei"/>
        <family val="2"/>
      </rPr>
      <t xml:space="preserve">화</t>
    </r>
    <r>
      <rPr>
        <sz val="10"/>
        <rFont val="Arial"/>
        <family val="0"/>
        <charset val="1"/>
      </rPr>
      <t xml:space="preserve">(</t>
    </r>
    <r>
      <rPr>
        <sz val="10"/>
        <rFont val="WenQuanYi Zen Hei"/>
        <family val="2"/>
      </rPr>
      <t xml:space="preserve">후속 협상</t>
    </r>
    <r>
      <rPr>
        <sz val="10"/>
        <rFont val="Arial"/>
        <family val="0"/>
        <charset val="1"/>
      </rPr>
      <t xml:space="preserve">), 12</t>
    </r>
    <r>
      <rPr>
        <sz val="10"/>
        <rFont val="WenQuanYi Zen Hei"/>
        <family val="2"/>
      </rPr>
      <t xml:space="preserve">부 </t>
    </r>
    <r>
      <rPr>
        <sz val="10"/>
        <rFont val="Arial"/>
        <family val="0"/>
        <charset val="1"/>
      </rPr>
      <t xml:space="preserve">11</t>
    </r>
    <r>
      <rPr>
        <sz val="10"/>
        <rFont val="WenQuanYi Zen Hei"/>
        <family val="2"/>
      </rPr>
      <t xml:space="preserve">화</t>
    </r>
    <r>
      <rPr>
        <sz val="10"/>
        <rFont val="Arial"/>
        <family val="0"/>
        <charset val="1"/>
      </rPr>
      <t xml:space="preserve">(</t>
    </r>
    <r>
      <rPr>
        <sz val="10"/>
        <rFont val="WenQuanYi Zen Hei"/>
        <family val="2"/>
      </rPr>
      <t xml:space="preserve">예산 반영</t>
    </r>
    <r>
      <rPr>
        <sz val="10"/>
        <rFont val="Arial"/>
        <family val="0"/>
        <charset val="1"/>
      </rPr>
      <t xml:space="preserve">)</t>
    </r>
  </si>
  <si>
    <t xml:space="preserve">Napoléon, Julien, Hugo, Jeanne, Nicolas</t>
  </si>
  <si>
    <t xml:space="preserve">국가(대통령·의회)·NATO·EU</t>
  </si>
  <si>
    <r>
      <rPr>
        <sz val="10"/>
        <rFont val="Arial"/>
        <family val="0"/>
        <charset val="1"/>
      </rPr>
      <t xml:space="preserve">2025 </t>
    </r>
    <r>
      <rPr>
        <sz val="10"/>
        <rFont val="WenQuanYi Zen Hei"/>
        <family val="2"/>
      </rPr>
      <t xml:space="preserve">헤이그 합의</t>
    </r>
    <r>
      <rPr>
        <sz val="10"/>
        <rFont val="Arial"/>
        <family val="0"/>
        <charset val="1"/>
      </rPr>
      <t xml:space="preserve">, </t>
    </r>
    <r>
      <rPr>
        <sz val="10"/>
        <rFont val="WenQuanYi Zen Hei"/>
        <family val="2"/>
      </rPr>
      <t xml:space="preserve">군사계획법</t>
    </r>
    <r>
      <rPr>
        <sz val="10"/>
        <rFont val="Arial"/>
        <family val="0"/>
        <charset val="1"/>
      </rPr>
      <t xml:space="preserve">(LPM), </t>
    </r>
    <r>
      <rPr>
        <sz val="10"/>
        <rFont val="WenQuanYi Zen Hei"/>
        <family val="2"/>
      </rPr>
      <t xml:space="preserve">헌법 제</t>
    </r>
    <r>
      <rPr>
        <sz val="10"/>
        <rFont val="Arial"/>
        <family val="0"/>
        <charset val="1"/>
      </rPr>
      <t xml:space="preserve">47</t>
    </r>
    <r>
      <rPr>
        <sz val="10"/>
        <rFont val="WenQuanYi Zen Hei"/>
        <family val="2"/>
      </rPr>
      <t xml:space="preserve">조</t>
    </r>
  </si>
  <si>
    <t xml:space="preserve">défense, capacités, engagement, dissuasion, trajectoire</t>
  </si>
  <si>
    <t xml:space="preserve">안보 강화 vs 복지 우선 두 입장을 모두 설득력 있게 들려준다.</t>
  </si>
  <si>
    <r>
      <rPr>
        <sz val="10"/>
        <rFont val="Arial"/>
        <family val="0"/>
        <charset val="1"/>
      </rPr>
      <t xml:space="preserve">NATO </t>
    </r>
    <r>
      <rPr>
        <sz val="10"/>
        <rFont val="WenQuanYi Zen Hei"/>
        <family val="2"/>
      </rPr>
      <t xml:space="preserve">목표 수치</t>
    </r>
    <r>
      <rPr>
        <sz val="10"/>
        <rFont val="Arial"/>
        <family val="0"/>
        <charset val="1"/>
      </rPr>
      <t xml:space="preserve">·</t>
    </r>
    <r>
      <rPr>
        <sz val="10"/>
        <rFont val="WenQuanYi Zen Hei"/>
        <family val="2"/>
      </rPr>
      <t xml:space="preserve">프랑스 </t>
    </r>
    <r>
      <rPr>
        <sz val="10"/>
        <rFont val="Arial"/>
        <family val="0"/>
        <charset val="1"/>
      </rPr>
      <t xml:space="preserve">LPM </t>
    </r>
    <r>
      <rPr>
        <sz val="10"/>
        <rFont val="WenQuanYi Zen Hei"/>
        <family val="2"/>
      </rPr>
      <t xml:space="preserve">개정 상황 확인</t>
    </r>
  </si>
  <si>
    <t xml:space="preserve">젠더</t>
  </si>
  <si>
    <t xml:space="preserve">성폭력·동의 개념 법 논쟁</t>
  </si>
  <si>
    <t xml:space="preserve">consentement, viol, classement sans suite, plainte</t>
  </si>
  <si>
    <r>
      <rPr>
        <sz val="10"/>
        <rFont val="Arial"/>
        <family val="0"/>
        <charset val="1"/>
      </rPr>
      <t xml:space="preserve">2025</t>
    </r>
    <r>
      <rPr>
        <sz val="10"/>
        <rFont val="WenQuanYi Zen Hei"/>
        <family val="2"/>
      </rPr>
      <t xml:space="preserve">년 법으로 형법 강간</t>
    </r>
    <r>
      <rPr>
        <sz val="10"/>
        <rFont val="Arial"/>
        <family val="0"/>
        <charset val="1"/>
      </rPr>
      <t xml:space="preserve">·</t>
    </r>
    <r>
      <rPr>
        <sz val="10"/>
        <rFont val="WenQuanYi Zen Hei"/>
        <family val="2"/>
      </rPr>
      <t xml:space="preserve">성폭력 정의에 </t>
    </r>
    <r>
      <rPr>
        <sz val="10"/>
        <rFont val="Arial"/>
        <family val="0"/>
        <charset val="1"/>
      </rPr>
      <t xml:space="preserve">'</t>
    </r>
    <r>
      <rPr>
        <sz val="10"/>
        <rFont val="WenQuanYi Zen Hei"/>
        <family val="2"/>
      </rPr>
      <t xml:space="preserve">비동의</t>
    </r>
    <r>
      <rPr>
        <sz val="10"/>
        <rFont val="Arial"/>
        <family val="0"/>
        <charset val="1"/>
      </rPr>
      <t xml:space="preserve">'</t>
    </r>
    <r>
      <rPr>
        <sz val="10"/>
        <rFont val="WenQuanYi Zen Hei"/>
        <family val="2"/>
      </rPr>
      <t xml:space="preserve">가 들어갔지만</t>
    </r>
    <r>
      <rPr>
        <sz val="10"/>
        <rFont val="Arial"/>
        <family val="0"/>
        <charset val="1"/>
      </rPr>
      <t xml:space="preserve">, </t>
    </r>
    <r>
      <rPr>
        <sz val="10"/>
        <rFont val="WenQuanYi Zen Hei"/>
        <family val="2"/>
      </rPr>
      <t xml:space="preserve">고소의 상당수가 불기소되는 현실은 그대로다</t>
    </r>
    <r>
      <rPr>
        <sz val="10"/>
        <rFont val="Arial"/>
        <family val="0"/>
        <charset val="1"/>
      </rPr>
      <t xml:space="preserve">. </t>
    </r>
    <r>
      <rPr>
        <sz val="10"/>
        <rFont val="WenQuanYi Zen Hei"/>
        <family val="2"/>
      </rPr>
      <t xml:space="preserve">사무소가 피해자 사건을 돕고 </t>
    </r>
    <r>
      <rPr>
        <sz val="10"/>
        <rFont val="Arial"/>
        <family val="0"/>
        <charset val="1"/>
      </rPr>
      <t xml:space="preserve">Olympe</t>
    </r>
    <r>
      <rPr>
        <sz val="10"/>
        <rFont val="WenQuanYi Zen Hei"/>
        <family val="2"/>
      </rPr>
      <t xml:space="preserve">와 </t>
    </r>
    <r>
      <rPr>
        <sz val="10"/>
        <rFont val="Arial"/>
        <family val="0"/>
        <charset val="1"/>
      </rPr>
      <t xml:space="preserve">Nicolas</t>
    </r>
    <r>
      <rPr>
        <sz val="10"/>
        <rFont val="WenQuanYi Zen Hei"/>
        <family val="2"/>
      </rPr>
      <t xml:space="preserve">는 법 문구와 수사 현실 사이를 마주한다</t>
    </r>
    <r>
      <rPr>
        <sz val="10"/>
        <rFont val="Arial"/>
        <family val="0"/>
        <charset val="1"/>
      </rPr>
      <t xml:space="preserve">.</t>
    </r>
  </si>
  <si>
    <r>
      <rPr>
        <sz val="10"/>
        <rFont val="Arial"/>
        <family val="0"/>
        <charset val="1"/>
      </rPr>
      <t xml:space="preserve">7</t>
    </r>
    <r>
      <rPr>
        <sz val="10"/>
        <rFont val="WenQuanYi Zen Hei"/>
        <family val="2"/>
      </rPr>
      <t xml:space="preserve">부 </t>
    </r>
    <r>
      <rPr>
        <sz val="10"/>
        <rFont val="Arial"/>
        <family val="0"/>
        <charset val="1"/>
      </rPr>
      <t xml:space="preserve">3</t>
    </r>
    <r>
      <rPr>
        <sz val="10"/>
        <rFont val="WenQuanYi Zen Hei"/>
        <family val="2"/>
      </rPr>
      <t xml:space="preserve">화 불기소 처분</t>
    </r>
  </si>
  <si>
    <r>
      <rPr>
        <sz val="10"/>
        <rFont val="Arial"/>
        <family val="0"/>
        <charset val="1"/>
      </rPr>
      <t xml:space="preserve">8</t>
    </r>
    <r>
      <rPr>
        <sz val="10"/>
        <rFont val="WenQuanYi Zen Hei"/>
        <family val="2"/>
      </rPr>
      <t xml:space="preserve">부 </t>
    </r>
    <r>
      <rPr>
        <sz val="10"/>
        <rFont val="Arial"/>
        <family val="0"/>
        <charset val="1"/>
      </rPr>
      <t xml:space="preserve">6·8</t>
    </r>
    <r>
      <rPr>
        <sz val="10"/>
        <rFont val="WenQuanYi Zen Hei"/>
        <family val="2"/>
      </rPr>
      <t xml:space="preserve">화</t>
    </r>
    <r>
      <rPr>
        <sz val="10"/>
        <rFont val="Arial"/>
        <family val="0"/>
        <charset val="1"/>
      </rPr>
      <t xml:space="preserve">(</t>
    </r>
    <r>
      <rPr>
        <sz val="10"/>
        <rFont val="WenQuanYi Zen Hei"/>
        <family val="2"/>
      </rPr>
      <t xml:space="preserve">남녀 동수 정관</t>
    </r>
    <r>
      <rPr>
        <sz val="10"/>
        <rFont val="Arial"/>
        <family val="0"/>
        <charset val="1"/>
      </rPr>
      <t xml:space="preserve">·</t>
    </r>
    <r>
      <rPr>
        <sz val="10"/>
        <rFont val="WenQuanYi Zen Hei"/>
        <family val="2"/>
      </rPr>
      <t xml:space="preserve">명부</t>
    </r>
    <r>
      <rPr>
        <sz val="10"/>
        <rFont val="Arial"/>
        <family val="0"/>
        <charset val="1"/>
      </rPr>
      <t xml:space="preserve">), 10</t>
    </r>
    <r>
      <rPr>
        <sz val="10"/>
        <rFont val="WenQuanYi Zen Hei"/>
        <family val="2"/>
      </rPr>
      <t xml:space="preserve">부 </t>
    </r>
    <r>
      <rPr>
        <sz val="10"/>
        <rFont val="Arial"/>
        <family val="0"/>
        <charset val="1"/>
      </rPr>
      <t xml:space="preserve">3</t>
    </r>
    <r>
      <rPr>
        <sz val="10"/>
        <rFont val="WenQuanYi Zen Hei"/>
        <family val="2"/>
      </rPr>
      <t xml:space="preserve">화</t>
    </r>
    <r>
      <rPr>
        <sz val="10"/>
        <rFont val="Arial"/>
        <family val="0"/>
        <charset val="1"/>
      </rPr>
      <t xml:space="preserve">(TV </t>
    </r>
    <r>
      <rPr>
        <sz val="10"/>
        <rFont val="WenQuanYi Zen Hei"/>
        <family val="2"/>
      </rPr>
      <t xml:space="preserve">토론</t>
    </r>
    <r>
      <rPr>
        <sz val="10"/>
        <rFont val="Arial"/>
        <family val="0"/>
        <charset val="1"/>
      </rPr>
      <t xml:space="preserve">)</t>
    </r>
  </si>
  <si>
    <t xml:space="preserve">Olympe, Nicolas, Sartre, Voltaire</t>
  </si>
  <si>
    <t xml:space="preserve">국가(형법·검찰)</t>
  </si>
  <si>
    <r>
      <rPr>
        <sz val="10"/>
        <rFont val="Arial"/>
        <family val="0"/>
        <charset val="1"/>
      </rPr>
      <t xml:space="preserve">2025</t>
    </r>
    <r>
      <rPr>
        <sz val="10"/>
        <rFont val="WenQuanYi Zen Hei"/>
        <family val="2"/>
      </rPr>
      <t xml:space="preserve">년 </t>
    </r>
    <r>
      <rPr>
        <sz val="10"/>
        <rFont val="Arial"/>
        <family val="0"/>
        <charset val="1"/>
      </rPr>
      <t xml:space="preserve">11</t>
    </r>
    <r>
      <rPr>
        <sz val="10"/>
        <rFont val="WenQuanYi Zen Hei"/>
        <family val="2"/>
      </rPr>
      <t xml:space="preserve">월 </t>
    </r>
    <r>
      <rPr>
        <sz val="10"/>
        <rFont val="Arial"/>
        <family val="0"/>
        <charset val="1"/>
      </rPr>
      <t xml:space="preserve">6</t>
    </r>
    <r>
      <rPr>
        <sz val="10"/>
        <rFont val="WenQuanYi Zen Hei"/>
        <family val="2"/>
      </rPr>
      <t xml:space="preserve">일 법</t>
    </r>
    <r>
      <rPr>
        <sz val="10"/>
        <rFont val="Arial"/>
        <family val="0"/>
        <charset val="1"/>
      </rPr>
      <t xml:space="preserve">(2025-1057), </t>
    </r>
    <r>
      <rPr>
        <sz val="10"/>
        <rFont val="WenQuanYi Zen Hei"/>
        <family val="2"/>
      </rPr>
      <t xml:space="preserve">형법 제</t>
    </r>
    <r>
      <rPr>
        <sz val="10"/>
        <rFont val="Arial"/>
        <family val="0"/>
        <charset val="1"/>
      </rPr>
      <t xml:space="preserve">222-22</t>
    </r>
    <r>
      <rPr>
        <sz val="10"/>
        <rFont val="WenQuanYi Zen Hei"/>
        <family val="2"/>
      </rPr>
      <t xml:space="preserve">조</t>
    </r>
    <r>
      <rPr>
        <sz val="10"/>
        <rFont val="Arial"/>
        <family val="0"/>
        <charset val="1"/>
      </rPr>
      <t xml:space="preserve">, </t>
    </r>
    <r>
      <rPr>
        <sz val="10"/>
        <rFont val="WenQuanYi Zen Hei"/>
        <family val="2"/>
      </rPr>
      <t xml:space="preserve">형사소송법 제</t>
    </r>
    <r>
      <rPr>
        <sz val="10"/>
        <rFont val="Arial"/>
        <family val="0"/>
        <charset val="1"/>
      </rPr>
      <t xml:space="preserve">40-1</t>
    </r>
    <r>
      <rPr>
        <sz val="10"/>
        <rFont val="WenQuanYi Zen Hei"/>
        <family val="2"/>
      </rPr>
      <t xml:space="preserve">조</t>
    </r>
  </si>
  <si>
    <t xml:space="preserve">consentement, victime, classement sans suite, plainte</t>
  </si>
  <si>
    <t xml:space="preserve">개정 찬성·신중론을 각자의 가장 강한 논거로 제시한다. 실존 재판·피해자를 연상시키는 설정은 피한다.</t>
  </si>
  <si>
    <t xml:space="preserve">법률 번호·조문 검색 확인 (2026-09-25)</t>
  </si>
  <si>
    <t xml:space="preserve">N5</t>
  </si>
  <si>
    <t xml:space="preserve">에너지</t>
  </si>
  <si>
    <t xml:space="preserve">재생에너지 입지 갈등(녹색 대 녹색)</t>
  </si>
  <si>
    <t xml:space="preserve">agrivoltaïsme, éolien, zone d'accélération, enquête publique</t>
  </si>
  <si>
    <t xml:space="preserve">농촌 마을 옆 대형 영농형 태양광 단지 계획: 일자리·세수 vs 농지·경관·생태. 주민 찬반이 갈리고 Sartre가 '각자 무엇을 선택하는가'로 중재한다.</t>
  </si>
  <si>
    <r>
      <rPr>
        <sz val="10"/>
        <rFont val="Arial"/>
        <family val="0"/>
        <charset val="1"/>
      </rPr>
      <t xml:space="preserve">10</t>
    </r>
    <r>
      <rPr>
        <sz val="10"/>
        <rFont val="WenQuanYi Zen Hei"/>
        <family val="2"/>
      </rPr>
      <t xml:space="preserve">부 </t>
    </r>
    <r>
      <rPr>
        <sz val="10"/>
        <rFont val="Arial"/>
        <family val="0"/>
        <charset val="1"/>
      </rPr>
      <t xml:space="preserve">2</t>
    </r>
    <r>
      <rPr>
        <sz val="10"/>
        <rFont val="WenQuanYi Zen Hei"/>
        <family val="2"/>
      </rPr>
      <t xml:space="preserve">화 시장들을 찾아서 </t>
    </r>
    <r>
      <rPr>
        <sz val="10"/>
        <rFont val="Arial"/>
        <family val="0"/>
        <charset val="1"/>
      </rPr>
      <t xml:space="preserve">(</t>
    </r>
    <r>
      <rPr>
        <sz val="10"/>
        <rFont val="WenQuanYi Zen Hei"/>
        <family val="2"/>
      </rPr>
      <t xml:space="preserve">농촌 마을의 태양광 단지</t>
    </r>
    <r>
      <rPr>
        <sz val="10"/>
        <rFont val="Arial"/>
        <family val="0"/>
        <charset val="1"/>
      </rPr>
      <t xml:space="preserve">)</t>
    </r>
  </si>
  <si>
    <r>
      <rPr>
        <sz val="10"/>
        <rFont val="Arial"/>
        <family val="0"/>
        <charset val="1"/>
      </rPr>
      <t xml:space="preserve">11</t>
    </r>
    <r>
      <rPr>
        <sz val="10"/>
        <rFont val="WenQuanYi Zen Hei"/>
        <family val="2"/>
      </rPr>
      <t xml:space="preserve">부 </t>
    </r>
    <r>
      <rPr>
        <sz val="10"/>
        <rFont val="Arial"/>
        <family val="0"/>
        <charset val="1"/>
      </rPr>
      <t xml:space="preserve">8</t>
    </r>
    <r>
      <rPr>
        <sz val="10"/>
        <rFont val="WenQuanYi Zen Hei"/>
        <family val="2"/>
      </rPr>
      <t xml:space="preserve">화</t>
    </r>
    <r>
      <rPr>
        <sz val="10"/>
        <rFont val="Arial"/>
        <family val="0"/>
        <charset val="1"/>
      </rPr>
      <t xml:space="preserve">(</t>
    </r>
    <r>
      <rPr>
        <sz val="10"/>
        <rFont val="WenQuanYi Zen Hei"/>
        <family val="2"/>
      </rPr>
      <t xml:space="preserve">재원</t>
    </r>
    <r>
      <rPr>
        <sz val="10"/>
        <rFont val="Arial"/>
        <family val="0"/>
        <charset val="1"/>
      </rPr>
      <t xml:space="preserve">), 12</t>
    </r>
    <r>
      <rPr>
        <sz val="10"/>
        <rFont val="WenQuanYi Zen Hei"/>
        <family val="2"/>
      </rPr>
      <t xml:space="preserve">부 </t>
    </r>
    <r>
      <rPr>
        <sz val="10"/>
        <rFont val="Arial"/>
        <family val="0"/>
        <charset val="1"/>
      </rPr>
      <t xml:space="preserve">11</t>
    </r>
    <r>
      <rPr>
        <sz val="10"/>
        <rFont val="WenQuanYi Zen Hei"/>
        <family val="2"/>
      </rPr>
      <t xml:space="preserve">화</t>
    </r>
    <r>
      <rPr>
        <sz val="10"/>
        <rFont val="Arial"/>
        <family val="0"/>
        <charset val="1"/>
      </rPr>
      <t xml:space="preserve">, 13</t>
    </r>
    <r>
      <rPr>
        <sz val="10"/>
        <rFont val="WenQuanYi Zen Hei"/>
        <family val="2"/>
      </rPr>
      <t xml:space="preserve">부 </t>
    </r>
    <r>
      <rPr>
        <sz val="10"/>
        <rFont val="Arial"/>
        <family val="0"/>
        <charset val="1"/>
      </rPr>
      <t xml:space="preserve">7</t>
    </r>
    <r>
      <rPr>
        <sz val="10"/>
        <rFont val="WenQuanYi Zen Hei"/>
        <family val="2"/>
      </rPr>
      <t xml:space="preserve">화</t>
    </r>
  </si>
  <si>
    <t xml:space="preserve">Jeanne, Hugo, Manon, Sartre</t>
  </si>
  <si>
    <t xml:space="preserve">국가(도지사 환경 허가)·코뮌(가속 구역)</t>
  </si>
  <si>
    <r>
      <rPr>
        <sz val="10"/>
        <rFont val="Arial"/>
        <family val="0"/>
        <charset val="1"/>
      </rPr>
      <t xml:space="preserve">2023</t>
    </r>
    <r>
      <rPr>
        <sz val="10"/>
        <rFont val="WenQuanYi Zen Hei"/>
        <family val="2"/>
      </rPr>
      <t xml:space="preserve">년 재생에너지 가속법</t>
    </r>
    <r>
      <rPr>
        <sz val="10"/>
        <rFont val="Arial"/>
        <family val="0"/>
        <charset val="1"/>
      </rPr>
      <t xml:space="preserve">, </t>
    </r>
    <r>
      <rPr>
        <sz val="10"/>
        <rFont val="WenQuanYi Zen Hei"/>
        <family val="2"/>
      </rPr>
      <t xml:space="preserve">환경법전</t>
    </r>
  </si>
  <si>
    <t xml:space="preserve">agrivoltaïsme, étude d'impact, enquête publique, agriculteur</t>
  </si>
  <si>
    <t xml:space="preserve">어느 쪽도 악역으로 만들지 않는다. 마을 안의 두 목소리가 모두 옳다는 형태로.</t>
  </si>
  <si>
    <t xml:space="preserve">영농형 태양광 시행령 세부는 확인</t>
  </si>
  <si>
    <t xml:space="preserve">노동</t>
  </si>
  <si>
    <t xml:space="preserve">플랫폼 노동과 고용 지위</t>
  </si>
  <si>
    <t xml:space="preserve">livreur, algorithme, plateforme, présomption de salariat</t>
  </si>
  <si>
    <t xml:space="preserve">배달 라이더가 알고리즘 배차·일방적 계정 정지에 항의한다. EU 플랫폼노동 지침 국내 이행을 앞두고 고용 지위 분쟁이 계속됨을 Karim이 현장에서 겪는다.</t>
  </si>
  <si>
    <r>
      <rPr>
        <sz val="10"/>
        <rFont val="Arial"/>
        <family val="0"/>
        <charset val="1"/>
      </rPr>
      <t xml:space="preserve">12</t>
    </r>
    <r>
      <rPr>
        <sz val="10"/>
        <rFont val="WenQuanYi Zen Hei"/>
        <family val="2"/>
      </rPr>
      <t xml:space="preserve">부 </t>
    </r>
    <r>
      <rPr>
        <sz val="10"/>
        <rFont val="Arial"/>
        <family val="0"/>
        <charset val="1"/>
      </rPr>
      <t xml:space="preserve">4</t>
    </r>
    <r>
      <rPr>
        <sz val="10"/>
        <rFont val="WenQuanYi Zen Hei"/>
        <family val="2"/>
      </rPr>
      <t xml:space="preserve">화 </t>
    </r>
    <r>
      <rPr>
        <sz val="10"/>
        <rFont val="Arial"/>
        <family val="0"/>
        <charset val="1"/>
      </rPr>
      <t xml:space="preserve">L'Application qui décide</t>
    </r>
  </si>
  <si>
    <r>
      <rPr>
        <sz val="10"/>
        <rFont val="Arial"/>
        <family val="0"/>
        <charset val="1"/>
      </rPr>
      <t xml:space="preserve">5</t>
    </r>
    <r>
      <rPr>
        <sz val="10"/>
        <rFont val="WenQuanYi Zen Hei"/>
        <family val="2"/>
      </rPr>
      <t xml:space="preserve">부</t>
    </r>
    <r>
      <rPr>
        <sz val="10"/>
        <rFont val="Arial"/>
        <family val="0"/>
        <charset val="1"/>
      </rPr>
      <t xml:space="preserve">(Léa</t>
    </r>
    <r>
      <rPr>
        <sz val="10"/>
        <rFont val="WenQuanYi Zen Hei"/>
        <family val="2"/>
      </rPr>
      <t xml:space="preserve">의 과거</t>
    </r>
    <r>
      <rPr>
        <sz val="10"/>
        <rFont val="Arial"/>
        <family val="0"/>
        <charset val="1"/>
      </rPr>
      <t xml:space="preserve">, </t>
    </r>
    <r>
      <rPr>
        <sz val="10"/>
        <rFont val="WenQuanYi Zen Hei"/>
        <family val="2"/>
      </rPr>
      <t xml:space="preserve">곁가지</t>
    </r>
    <r>
      <rPr>
        <sz val="10"/>
        <rFont val="Arial"/>
        <family val="0"/>
        <charset val="1"/>
      </rPr>
      <t xml:space="preserve">)</t>
    </r>
  </si>
  <si>
    <t xml:space="preserve">국가(노동법)·EU</t>
  </si>
  <si>
    <r>
      <rPr>
        <sz val="10"/>
        <rFont val="Arial"/>
        <family val="0"/>
        <charset val="1"/>
      </rPr>
      <t xml:space="preserve">EU </t>
    </r>
    <r>
      <rPr>
        <sz val="10"/>
        <rFont val="WenQuanYi Zen Hei"/>
        <family val="2"/>
      </rPr>
      <t xml:space="preserve">지침 </t>
    </r>
    <r>
      <rPr>
        <sz val="10"/>
        <rFont val="Arial"/>
        <family val="0"/>
        <charset val="1"/>
      </rPr>
      <t xml:space="preserve">2024/2831(2026</t>
    </r>
    <r>
      <rPr>
        <sz val="10"/>
        <rFont val="WenQuanYi Zen Hei"/>
        <family val="2"/>
      </rPr>
      <t xml:space="preserve">년 </t>
    </r>
    <r>
      <rPr>
        <sz val="10"/>
        <rFont val="Arial"/>
        <family val="0"/>
        <charset val="1"/>
      </rPr>
      <t xml:space="preserve">12</t>
    </r>
    <r>
      <rPr>
        <sz val="10"/>
        <rFont val="WenQuanYi Zen Hei"/>
        <family val="2"/>
      </rPr>
      <t xml:space="preserve">월까지 이행</t>
    </r>
    <r>
      <rPr>
        <sz val="10"/>
        <rFont val="Arial"/>
        <family val="0"/>
        <charset val="1"/>
      </rPr>
      <t xml:space="preserve">), ARPE</t>
    </r>
  </si>
  <si>
    <t xml:space="preserve">algorithme, plateforme, auto-entrepreneur, désactivation</t>
  </si>
  <si>
    <t xml:space="preserve">플랫폼 vs 라이더 구도를 단순화하지 않는다. 자영업을 원하는 라이더의 목소리도 담는다.</t>
  </si>
  <si>
    <t xml:space="preserve">지침 국내 이행 법안 진행 상황 확인</t>
  </si>
  <si>
    <t xml:space="preserve">사법·통제</t>
  </si>
  <si>
    <t xml:space="preserve">정보기관 사찰·스파이웨어 스캔들</t>
  </si>
  <si>
    <t xml:space="preserve">logiciel espion, écoutes illégales, CNCTR, commission d'enquête</t>
  </si>
  <si>
    <t xml:space="preserve">야당 정치인과 기자 휴대전화에 스파이웨어가 심어졌다는 의혹. Curie가 포렌식으로 흔적을 찾아내고 Nicolas는 합법적 감독 경로를 고집한다.</t>
  </si>
  <si>
    <r>
      <rPr>
        <sz val="10"/>
        <rFont val="Arial"/>
        <family val="0"/>
        <charset val="1"/>
      </rPr>
      <t xml:space="preserve">12</t>
    </r>
    <r>
      <rPr>
        <sz val="10"/>
        <rFont val="WenQuanYi Zen Hei"/>
        <family val="2"/>
      </rPr>
      <t xml:space="preserve">부 </t>
    </r>
    <r>
      <rPr>
        <sz val="10"/>
        <rFont val="Arial"/>
        <family val="0"/>
        <charset val="1"/>
      </rPr>
      <t xml:space="preserve">5</t>
    </r>
    <r>
      <rPr>
        <sz val="10"/>
        <rFont val="WenQuanYi Zen Hei"/>
        <family val="2"/>
      </rPr>
      <t xml:space="preserve">화 </t>
    </r>
    <r>
      <rPr>
        <sz val="10"/>
        <rFont val="Arial"/>
        <family val="0"/>
        <charset val="1"/>
      </rPr>
      <t xml:space="preserve">Le Logiciel que personne n'a autorisé</t>
    </r>
  </si>
  <si>
    <r>
      <rPr>
        <sz val="10"/>
        <rFont val="Arial"/>
        <family val="0"/>
        <charset val="1"/>
      </rPr>
      <t xml:space="preserve">7</t>
    </r>
    <r>
      <rPr>
        <sz val="10"/>
        <rFont val="WenQuanYi Zen Hei"/>
        <family val="2"/>
      </rPr>
      <t xml:space="preserve">부 </t>
    </r>
    <r>
      <rPr>
        <sz val="10"/>
        <rFont val="Arial"/>
        <family val="0"/>
        <charset val="1"/>
      </rPr>
      <t xml:space="preserve">8</t>
    </r>
    <r>
      <rPr>
        <sz val="10"/>
        <rFont val="WenQuanYi Zen Hei"/>
        <family val="2"/>
      </rPr>
      <t xml:space="preserve">화</t>
    </r>
    <r>
      <rPr>
        <sz val="10"/>
        <rFont val="Arial"/>
        <family val="0"/>
        <charset val="1"/>
      </rPr>
      <t xml:space="preserve">(</t>
    </r>
    <r>
      <rPr>
        <sz val="10"/>
        <rFont val="WenQuanYi Zen Hei"/>
        <family val="2"/>
      </rPr>
      <t xml:space="preserve">도청 논쟁</t>
    </r>
    <r>
      <rPr>
        <sz val="10"/>
        <rFont val="Arial"/>
        <family val="0"/>
        <charset val="1"/>
      </rPr>
      <t xml:space="preserve">)</t>
    </r>
    <r>
      <rPr>
        <sz val="10"/>
        <rFont val="WenQuanYi Zen Hei"/>
        <family val="2"/>
      </rPr>
      <t xml:space="preserve">와 연결</t>
    </r>
    <r>
      <rPr>
        <sz val="10"/>
        <rFont val="Arial"/>
        <family val="0"/>
        <charset val="1"/>
      </rPr>
      <t xml:space="preserve">·</t>
    </r>
    <r>
      <rPr>
        <sz val="10"/>
        <rFont val="WenQuanYi Zen Hei"/>
        <family val="2"/>
      </rPr>
      <t xml:space="preserve">확장</t>
    </r>
  </si>
  <si>
    <t xml:space="preserve">총리(정보 기법 허가)·CNCTR·국무원·의회</t>
  </si>
  <si>
    <r>
      <rPr>
        <sz val="10"/>
        <rFont val="Arial"/>
        <family val="0"/>
        <charset val="1"/>
      </rPr>
      <t xml:space="preserve">2015</t>
    </r>
    <r>
      <rPr>
        <sz val="10"/>
        <rFont val="WenQuanYi Zen Hei"/>
        <family val="2"/>
      </rPr>
      <t xml:space="preserve">년 정보법</t>
    </r>
    <r>
      <rPr>
        <sz val="10"/>
        <rFont val="Arial"/>
        <family val="0"/>
        <charset val="1"/>
      </rPr>
      <t xml:space="preserve">(</t>
    </r>
    <r>
      <rPr>
        <sz val="10"/>
        <rFont val="WenQuanYi Zen Hei"/>
        <family val="2"/>
      </rPr>
      <t xml:space="preserve">국내안전법전 </t>
    </r>
    <r>
      <rPr>
        <sz val="10"/>
        <rFont val="Arial"/>
        <family val="0"/>
        <charset val="1"/>
      </rPr>
      <t xml:space="preserve">L.801-1</t>
    </r>
    <r>
      <rPr>
        <sz val="10"/>
        <rFont val="WenQuanYi Zen Hei"/>
        <family val="2"/>
      </rPr>
      <t xml:space="preserve">조 이하</t>
    </r>
    <r>
      <rPr>
        <sz val="10"/>
        <rFont val="Arial"/>
        <family val="0"/>
        <charset val="1"/>
      </rPr>
      <t xml:space="preserve">)</t>
    </r>
  </si>
  <si>
    <t xml:space="preserve">logiciel espion, contrôle, commission d'enquête</t>
  </si>
  <si>
    <t xml:space="preserve">실제 사건을 특정하지 않는다. 가상의 스캔들로 각색하고 여야 모두를 향한 감독 공백을 보여 준다.</t>
  </si>
  <si>
    <t xml:space="preserve">스파이웨어 관련 실제 보도가 있음. 세부는 반영 전 확인</t>
  </si>
  <si>
    <t xml:space="preserve">청년 정신건강 위기</t>
  </si>
  <si>
    <t xml:space="preserve">santé mentale, anxiété, liste d'attente, Mon soutien psy, CMP</t>
  </si>
  <si>
    <t xml:space="preserve">청년 정신건강 상담 대기가 몇 달씩 밀린다. Sartre가 카페의 청년들과, Manon이 자신의 불안을 처음 인정하며, Camille가 제도로 함께 부딪힌다.</t>
  </si>
  <si>
    <r>
      <rPr>
        <sz val="10"/>
        <rFont val="Arial"/>
        <family val="0"/>
        <charset val="1"/>
      </rPr>
      <t xml:space="preserve">12</t>
    </r>
    <r>
      <rPr>
        <sz val="10"/>
        <rFont val="WenQuanYi Zen Hei"/>
        <family val="2"/>
      </rPr>
      <t xml:space="preserve">부 </t>
    </r>
    <r>
      <rPr>
        <sz val="10"/>
        <rFont val="Arial"/>
        <family val="0"/>
        <charset val="1"/>
      </rPr>
      <t xml:space="preserve">6</t>
    </r>
    <r>
      <rPr>
        <sz val="10"/>
        <rFont val="WenQuanYi Zen Hei"/>
        <family val="2"/>
      </rPr>
      <t xml:space="preserve">화 </t>
    </r>
    <r>
      <rPr>
        <sz val="10"/>
        <rFont val="Arial"/>
        <family val="0"/>
        <charset val="1"/>
      </rPr>
      <t xml:space="preserve">Les Listes d'attente</t>
    </r>
  </si>
  <si>
    <r>
      <rPr>
        <sz val="10"/>
        <rFont val="Arial"/>
        <family val="0"/>
        <charset val="1"/>
      </rPr>
      <t xml:space="preserve">1</t>
    </r>
    <r>
      <rPr>
        <sz val="10"/>
        <rFont val="WenQuanYi Zen Hei"/>
        <family val="2"/>
      </rPr>
      <t xml:space="preserve">부</t>
    </r>
    <r>
      <rPr>
        <sz val="10"/>
        <rFont val="Arial"/>
        <family val="0"/>
        <charset val="1"/>
      </rPr>
      <t xml:space="preserve">(Manon</t>
    </r>
    <r>
      <rPr>
        <sz val="10"/>
        <rFont val="WenQuanYi Zen Hei"/>
        <family val="2"/>
      </rPr>
      <t xml:space="preserve">의 폭발과 연결 가능</t>
    </r>
    <r>
      <rPr>
        <sz val="10"/>
        <rFont val="Arial"/>
        <family val="0"/>
        <charset val="1"/>
      </rPr>
      <t xml:space="preserve">, </t>
    </r>
    <r>
      <rPr>
        <sz val="10"/>
        <rFont val="WenQuanYi Zen Hei"/>
        <family val="2"/>
      </rPr>
      <t xml:space="preserve">곁가지</t>
    </r>
    <r>
      <rPr>
        <sz val="10"/>
        <rFont val="Arial"/>
        <family val="0"/>
        <charset val="1"/>
      </rPr>
      <t xml:space="preserve">)</t>
    </r>
  </si>
  <si>
    <t xml:space="preserve">국가(건강보험)·ARS</t>
  </si>
  <si>
    <t xml:space="preserve">공공 심리상담 지원(Mon soutien psy), 의료심리센터(CMP)</t>
  </si>
  <si>
    <t xml:space="preserve">santé mentale, anxiété, psychologue, liste d'attente</t>
  </si>
  <si>
    <t xml:space="preserve">청년 정신건강을 극적 소재로만 소비하지 않는다. 낙인 없이, 도움을 구하는 것이 자연스럽다는 톤으로.</t>
  </si>
  <si>
    <t xml:space="preserve">정신건강은 2025년 '국가적 대의(grande cause nationale)'. 최신 통계 확인</t>
  </si>
  <si>
    <t xml:space="preserve">현실 기준값 (확인일 2026-09-25)</t>
  </si>
  <si>
    <t xml:space="preserve">구분</t>
  </si>
  <si>
    <t xml:space="preserve">항목</t>
  </si>
  <si>
    <t xml:space="preserve">값</t>
  </si>
  <si>
    <t xml:space="preserve">출처·비고</t>
  </si>
  <si>
    <t xml:space="preserve">정부 부채 / GDP</t>
  </si>
  <si>
    <r>
      <rPr>
        <sz val="10"/>
        <rFont val="Noto Sans CJK SC"/>
        <family val="2"/>
        <charset val="1"/>
      </rPr>
      <t xml:space="preserve">117.5% (2026</t>
    </r>
    <r>
      <rPr>
        <sz val="10"/>
        <rFont val="WenQuanYi Zen Hei"/>
        <family val="2"/>
      </rPr>
      <t xml:space="preserve">년 </t>
    </r>
    <r>
      <rPr>
        <sz val="10"/>
        <rFont val="Noto Sans CJK SC"/>
        <family val="2"/>
        <charset val="1"/>
      </rPr>
      <t xml:space="preserve">1</t>
    </r>
    <r>
      <rPr>
        <sz val="10"/>
        <rFont val="WenQuanYi Zen Hei"/>
        <family val="2"/>
      </rPr>
      <t xml:space="preserve">분기 말</t>
    </r>
    <r>
      <rPr>
        <sz val="10"/>
        <rFont val="Noto Sans CJK SC"/>
        <family val="2"/>
        <charset val="1"/>
      </rPr>
      <t xml:space="preserve">)</t>
    </r>
  </si>
  <si>
    <r>
      <rPr>
        <sz val="10"/>
        <rFont val="Noto Sans CJK SC"/>
        <family val="2"/>
        <charset val="1"/>
      </rPr>
      <t xml:space="preserve">INSEE, </t>
    </r>
    <r>
      <rPr>
        <sz val="10"/>
        <rFont val="WenQuanYi Zen Hei"/>
        <family val="2"/>
      </rPr>
      <t xml:space="preserve">분기 부채 통계</t>
    </r>
    <r>
      <rPr>
        <sz val="10"/>
        <rFont val="Noto Sans CJK SC"/>
        <family val="2"/>
        <charset val="1"/>
      </rPr>
      <t xml:space="preserve">. 2</t>
    </r>
    <r>
      <rPr>
        <sz val="10"/>
        <rFont val="WenQuanYi Zen Hei"/>
        <family val="2"/>
      </rPr>
      <t xml:space="preserve">분기 수치는 </t>
    </r>
    <r>
      <rPr>
        <sz val="10"/>
        <rFont val="Noto Sans CJK SC"/>
        <family val="2"/>
        <charset val="1"/>
      </rPr>
      <t xml:space="preserve">2026-09-29 </t>
    </r>
    <r>
      <rPr>
        <sz val="10"/>
        <rFont val="WenQuanYi Zen Hei"/>
        <family val="2"/>
      </rPr>
      <t xml:space="preserve">발표 예정</t>
    </r>
    <r>
      <rPr>
        <sz val="10"/>
        <rFont val="Noto Sans CJK SC"/>
        <family val="2"/>
        <charset val="1"/>
      </rPr>
      <t xml:space="preserve">.</t>
    </r>
  </si>
  <si>
    <r>
      <rPr>
        <sz val="10"/>
        <rFont val="Arial"/>
        <family val="0"/>
        <charset val="1"/>
      </rPr>
      <t xml:space="preserve">15~24</t>
    </r>
    <r>
      <rPr>
        <sz val="10"/>
        <rFont val="WenQuanYi Zen Hei"/>
        <family val="2"/>
      </rPr>
      <t xml:space="preserve">세 실업률</t>
    </r>
  </si>
  <si>
    <r>
      <rPr>
        <sz val="10"/>
        <rFont val="Arial"/>
        <family val="0"/>
        <charset val="1"/>
      </rPr>
      <t xml:space="preserve">21.6% (2026 2</t>
    </r>
    <r>
      <rPr>
        <sz val="10"/>
        <rFont val="WenQuanYi Zen Hei"/>
        <family val="2"/>
      </rPr>
      <t xml:space="preserve">분기</t>
    </r>
    <r>
      <rPr>
        <sz val="10"/>
        <rFont val="Arial"/>
        <family val="0"/>
        <charset val="1"/>
      </rPr>
      <t xml:space="preserve">), </t>
    </r>
    <r>
      <rPr>
        <sz val="10"/>
        <rFont val="WenQuanYi Zen Hei"/>
        <family val="2"/>
      </rPr>
      <t xml:space="preserve">전체 </t>
    </r>
    <r>
      <rPr>
        <sz val="10"/>
        <rFont val="Arial"/>
        <family val="0"/>
        <charset val="1"/>
      </rPr>
      <t xml:space="preserve">8.3%</t>
    </r>
  </si>
  <si>
    <r>
      <rPr>
        <sz val="10"/>
        <rFont val="Arial"/>
        <family val="0"/>
        <charset val="1"/>
      </rPr>
      <t xml:space="preserve">INSEE </t>
    </r>
    <r>
      <rPr>
        <sz val="10"/>
        <rFont val="WenQuanYi Zen Hei"/>
        <family val="2"/>
      </rPr>
      <t xml:space="preserve">고용조사</t>
    </r>
    <r>
      <rPr>
        <sz val="10"/>
        <rFont val="Arial"/>
        <family val="0"/>
        <charset val="1"/>
      </rPr>
      <t xml:space="preserve">. </t>
    </r>
    <r>
      <rPr>
        <sz val="10"/>
        <rFont val="WenQuanYi Zen Hei"/>
        <family val="2"/>
      </rPr>
      <t xml:space="preserve">청년 실업은 전체의 약 </t>
    </r>
    <r>
      <rPr>
        <sz val="10"/>
        <rFont val="Arial"/>
        <family val="0"/>
        <charset val="1"/>
      </rPr>
      <t xml:space="preserve">2.6</t>
    </r>
    <r>
      <rPr>
        <sz val="10"/>
        <rFont val="WenQuanYi Zen Hei"/>
        <family val="2"/>
      </rPr>
      <t xml:space="preserve">배</t>
    </r>
    <r>
      <rPr>
        <sz val="10"/>
        <rFont val="Arial"/>
        <family val="0"/>
        <charset val="1"/>
      </rPr>
      <t xml:space="preserve">.</t>
    </r>
  </si>
  <si>
    <t xml:space="preserve">현 정부 형태</t>
  </si>
  <si>
    <t xml:space="preserve">과반 없는 하원(3개 진영) + 소수 정부</t>
  </si>
  <si>
    <t xml:space="preserve">이야기에는 실존 정당·인물을 쓰지 않는다. 표현은 '여소야대'가 아니라 '상대다수 정부'.</t>
  </si>
  <si>
    <t xml:space="preserve">확인 필요</t>
  </si>
  <si>
    <t xml:space="preserve">변동이 잦은 항목</t>
  </si>
  <si>
    <t xml:space="preserve">코르시카 자치 개헌, 누벨칼레도니 합의, 연금 개혁 유예, NATO 목표, EU 이민 협약 시행</t>
  </si>
  <si>
    <t xml:space="preserve">교재에 넣기 직전 최신 상태를 확인한다.</t>
  </si>
  <si>
    <t xml:space="preserve">현안 분포표 (부 × 현안)</t>
  </si>
  <si>
    <r>
      <rPr>
        <i val="true"/>
        <sz val="9"/>
        <color rgb="FF595959"/>
        <rFont val="Arial"/>
        <family val="0"/>
        <charset val="1"/>
      </rPr>
      <t xml:space="preserve">● = </t>
    </r>
    <r>
      <rPr>
        <i val="true"/>
        <sz val="9"/>
        <color rgb="FF595959"/>
        <rFont val="WenQuanYi Zen Hei"/>
        <family val="2"/>
      </rPr>
      <t xml:space="preserve">그 화의 주된 사건</t>
    </r>
    <r>
      <rPr>
        <i val="true"/>
        <sz val="9"/>
        <color rgb="FF595959"/>
        <rFont val="Arial"/>
        <family val="0"/>
        <charset val="1"/>
      </rPr>
      <t xml:space="preserve">(</t>
    </r>
    <r>
      <rPr>
        <i val="true"/>
        <sz val="9"/>
        <color rgb="FF595959"/>
        <rFont val="WenQuanYi Zen Hei"/>
        <family val="2"/>
      </rPr>
      <t xml:space="preserve">전용 화</t>
    </r>
    <r>
      <rPr>
        <i val="true"/>
        <sz val="9"/>
        <color rgb="FF595959"/>
        <rFont val="Arial"/>
        <family val="0"/>
        <charset val="1"/>
      </rPr>
      <t xml:space="preserve">), ○ = </t>
    </r>
    <r>
      <rPr>
        <i val="true"/>
        <sz val="9"/>
        <color rgb="FF595959"/>
        <rFont val="WenQuanYi Zen Hei"/>
        <family val="2"/>
      </rPr>
      <t xml:space="preserve">곁가지</t>
    </r>
    <r>
      <rPr>
        <i val="true"/>
        <sz val="9"/>
        <color rgb="FF595959"/>
        <rFont val="Arial"/>
        <family val="0"/>
        <charset val="1"/>
      </rPr>
      <t xml:space="preserve">(</t>
    </r>
    <r>
      <rPr>
        <i val="true"/>
        <sz val="9"/>
        <color rgb="FF595959"/>
        <rFont val="WenQuanYi Zen Hei"/>
        <family val="2"/>
      </rPr>
      <t xml:space="preserve">대사</t>
    </r>
    <r>
      <rPr>
        <i val="true"/>
        <sz val="9"/>
        <color rgb="FF595959"/>
        <rFont val="Arial"/>
        <family val="0"/>
        <charset val="1"/>
      </rPr>
      <t xml:space="preserve">·</t>
    </r>
    <r>
      <rPr>
        <i val="true"/>
        <sz val="9"/>
        <color rgb="FF595959"/>
        <rFont val="WenQuanYi Zen Hei"/>
        <family val="2"/>
      </rPr>
      <t xml:space="preserve">서브플롯</t>
    </r>
    <r>
      <rPr>
        <i val="true"/>
        <sz val="9"/>
        <color rgb="FF595959"/>
        <rFont val="Arial"/>
        <family val="0"/>
        <charset val="1"/>
      </rPr>
      <t xml:space="preserve">). </t>
    </r>
    <r>
      <rPr>
        <i val="true"/>
        <sz val="9"/>
        <color rgb="FF595959"/>
        <rFont val="WenQuanYi Zen Hei"/>
        <family val="2"/>
      </rPr>
      <t xml:space="preserve">기호를 바꾸면 아래 집계가 자동 갱신됩니다</t>
    </r>
    <r>
      <rPr>
        <i val="true"/>
        <sz val="9"/>
        <color rgb="FF595959"/>
        <rFont val="Arial"/>
        <family val="0"/>
        <charset val="1"/>
      </rPr>
      <t xml:space="preserve">.</t>
    </r>
  </si>
  <si>
    <t xml:space="preserve">● 수</t>
  </si>
  <si>
    <t xml:space="preserve">○ 수</t>
  </si>
  <si>
    <t xml:space="preserve">상대다수 의회·정부 불안정</t>
  </si>
  <si>
    <t xml:space="preserve">○</t>
  </si>
  <si>
    <t xml:space="preserve">●</t>
  </si>
  <si>
    <t xml:space="preserve">지역 자치(코르시카·누벨칼레도니)</t>
  </si>
  <si>
    <t xml:space="preserve">사법부 독립·정치 대립</t>
  </si>
  <si>
    <t xml:space="preserve">주거난·임대료 상한·단기임대</t>
  </si>
  <si>
    <t xml:space="preserve">탈산업화·영세 기업</t>
  </si>
  <si>
    <t xml:space="preserve">부채·재정적자·연금</t>
  </si>
  <si>
    <t xml:space="preserve">이민·난민·수용 분담</t>
  </si>
  <si>
    <t xml:space="preserve">폭염·가뭄·에너지 전환</t>
  </si>
  <si>
    <t xml:space="preserve">지중해성 폭우·방재</t>
  </si>
  <si>
    <t xml:space="preserve">국방비·NATO</t>
  </si>
  <si>
    <t xml:space="preserve">성폭력·동의 개념 법</t>
  </si>
  <si>
    <t xml:space="preserve">녹색 대 녹색</t>
  </si>
  <si>
    <t xml:space="preserve">플랫폼 노동</t>
  </si>
  <si>
    <t xml:space="preserve">정보기관 사찰 스캔들</t>
  </si>
  <si>
    <t xml:space="preserve">청년 정신건강</t>
  </si>
  <si>
    <t xml:space="preserve">부별 ● 수</t>
  </si>
  <si>
    <t xml:space="preserve">부별 ○ 수</t>
  </si>
  <si>
    <t xml:space="preserve">읽는 법: 1~5부는 곁가지 중심이라 B1~B2 난이도를 지키고, 9~12부에서 전용 화가 몰린다. 화당 전용 현안은 1개(+곁가지 1~2개)로 제한해 낭독 분량을 지킨다. N6~N8은 12부의 신규 현안으로 각 1개 전용 화를 받는다.</t>
  </si>
  <si>
    <t xml:space="preserve">현안 ID와 설명은 '현안_배치' 시트, 화별 반영은 '화별목차_전체'의 '반영 현안' 열을 참고.</t>
  </si>
  <si>
    <t xml:space="preserve">현실 정치 제도 기준표 (프랑스 제5공화국)</t>
  </si>
  <si>
    <r>
      <rPr>
        <i val="true"/>
        <sz val="9"/>
        <color rgb="FF595959"/>
        <rFont val="Arial"/>
        <family val="0"/>
        <charset val="1"/>
      </rPr>
      <t xml:space="preserve">8~13</t>
    </r>
    <r>
      <rPr>
        <i val="true"/>
        <sz val="9"/>
        <color rgb="FF595959"/>
        <rFont val="WenQuanYi Zen Hei"/>
        <family val="2"/>
      </rPr>
      <t xml:space="preserve">부에 반영한 실제 제도</t>
    </r>
    <r>
      <rPr>
        <i val="true"/>
        <sz val="9"/>
        <color rgb="FF595959"/>
        <rFont val="Arial"/>
        <family val="0"/>
        <charset val="1"/>
      </rPr>
      <t xml:space="preserve">. </t>
    </r>
    <r>
      <rPr>
        <i val="true"/>
        <sz val="9"/>
        <color rgb="FF595959"/>
        <rFont val="WenQuanYi Zen Hei"/>
        <family val="2"/>
      </rPr>
      <t xml:space="preserve">정당</t>
    </r>
    <r>
      <rPr>
        <i val="true"/>
        <sz val="9"/>
        <color rgb="FF595959"/>
        <rFont val="Arial"/>
        <family val="0"/>
        <charset val="1"/>
      </rPr>
      <t xml:space="preserve">·</t>
    </r>
    <r>
      <rPr>
        <i val="true"/>
        <sz val="9"/>
        <color rgb="FF595959"/>
        <rFont val="WenQuanYi Zen Hei"/>
        <family val="2"/>
      </rPr>
      <t xml:space="preserve">정치인은 전부 가상이며 실존 정치인의 대사는 쓰지 않는다</t>
    </r>
    <r>
      <rPr>
        <i val="true"/>
        <sz val="9"/>
        <color rgb="FF595959"/>
        <rFont val="Arial"/>
        <family val="0"/>
        <charset val="1"/>
      </rPr>
      <t xml:space="preserve">. '</t>
    </r>
    <r>
      <rPr>
        <i val="true"/>
        <sz val="9"/>
        <color rgb="FF595959"/>
        <rFont val="WenQuanYi Zen Hei"/>
        <family val="2"/>
      </rPr>
      <t xml:space="preserve">검색 확인</t>
    </r>
    <r>
      <rPr>
        <i val="true"/>
        <sz val="9"/>
        <color rgb="FF595959"/>
        <rFont val="Arial"/>
        <family val="0"/>
        <charset val="1"/>
      </rPr>
      <t xml:space="preserve">' </t>
    </r>
    <r>
      <rPr>
        <i val="true"/>
        <sz val="9"/>
        <color rgb="FF595959"/>
        <rFont val="WenQuanYi Zen Hei"/>
        <family val="2"/>
      </rPr>
      <t xml:space="preserve">표시는 해당 날짜에 공개 자료로 확인한 항목</t>
    </r>
    <r>
      <rPr>
        <i val="true"/>
        <sz val="9"/>
        <color rgb="FF595959"/>
        <rFont val="Arial"/>
        <family val="0"/>
        <charset val="1"/>
      </rPr>
      <t xml:space="preserve">.</t>
    </r>
  </si>
  <si>
    <t xml:space="preserve">영역</t>
  </si>
  <si>
    <t xml:space="preserve">제도·규칙</t>
  </si>
  <si>
    <t xml:space="preserve">근거</t>
  </si>
  <si>
    <t xml:space="preserve">이야기 반영</t>
  </si>
  <si>
    <t xml:space="preserve">확인 상태</t>
  </si>
  <si>
    <t xml:space="preserve">정당·선거</t>
  </si>
  <si>
    <t xml:space="preserve">정당 결성</t>
  </si>
  <si>
    <t xml:space="preserve">정당은 1901년 결사법상 단체로 자유롭게 결성한다(등록 의무 없음). 공적 보조·후원을 받으려면 정치자금 수탁 단체 또는 수탁자(mandataire financier)를 두고 CNCCFP 승인을 받아야 한다.</t>
  </si>
  <si>
    <t xml:space="preserve">헌법 제4조, 1901년 7월 1일 법, 1988년 3월 11일 법(88-227)</t>
  </si>
  <si>
    <r>
      <rPr>
        <sz val="10"/>
        <rFont val="Arial"/>
        <family val="0"/>
        <charset val="1"/>
      </rPr>
      <t xml:space="preserve">8</t>
    </r>
    <r>
      <rPr>
        <sz val="10"/>
        <rFont val="WenQuanYi Zen Hei"/>
        <family val="2"/>
      </rPr>
      <t xml:space="preserve">부 </t>
    </r>
    <r>
      <rPr>
        <sz val="10"/>
        <rFont val="Arial"/>
        <family val="0"/>
        <charset val="1"/>
      </rPr>
      <t xml:space="preserve">5</t>
    </r>
    <r>
      <rPr>
        <sz val="10"/>
        <rFont val="WenQuanYi Zen Hei"/>
        <family val="2"/>
      </rPr>
      <t xml:space="preserve">화</t>
    </r>
  </si>
  <si>
    <t xml:space="preserve">association, statuts, mandataire financier, CNCCFP</t>
  </si>
  <si>
    <t xml:space="preserve">기획 시점 지식 — Légifrance 확인 필요</t>
  </si>
  <si>
    <t xml:space="preserve">정당 내부 운영</t>
  </si>
  <si>
    <t xml:space="preserve">헌법은 정당의 자유·다원주의·남녀 동등 접근 기여만 규정하고, 내부 민주주의를 법적 의무로 두지 않는다(정관의 선택).</t>
  </si>
  <si>
    <t xml:space="preserve">헌법 제4조</t>
  </si>
  <si>
    <r>
      <rPr>
        <sz val="10"/>
        <rFont val="Arial"/>
        <family val="0"/>
        <charset val="1"/>
      </rPr>
      <t xml:space="preserve">8</t>
    </r>
    <r>
      <rPr>
        <sz val="10"/>
        <rFont val="WenQuanYi Zen Hei"/>
        <family val="2"/>
      </rPr>
      <t xml:space="preserve">부 </t>
    </r>
    <r>
      <rPr>
        <sz val="10"/>
        <rFont val="Arial"/>
        <family val="0"/>
        <charset val="1"/>
      </rPr>
      <t xml:space="preserve">6</t>
    </r>
    <r>
      <rPr>
        <sz val="10"/>
        <rFont val="WenQuanYi Zen Hei"/>
        <family val="2"/>
      </rPr>
      <t xml:space="preserve">화</t>
    </r>
  </si>
  <si>
    <t xml:space="preserve">pluralisme, adhérent, statuts</t>
  </si>
  <si>
    <t xml:space="preserve">정당 재정</t>
  </si>
  <si>
    <t xml:space="preserve">개인 후원은 1인당 연 7,500유로 상한(모든 정당 합산), 법인 후원은 금지. CNCCFP가 정당·선거 회계를 감독한다.</t>
  </si>
  <si>
    <r>
      <rPr>
        <sz val="10"/>
        <rFont val="Noto Sans CJK SC"/>
        <family val="2"/>
        <charset val="1"/>
      </rPr>
      <t xml:space="preserve">1988</t>
    </r>
    <r>
      <rPr>
        <sz val="10"/>
        <rFont val="WenQuanYi Zen Hei"/>
        <family val="2"/>
      </rPr>
      <t xml:space="preserve">년 </t>
    </r>
    <r>
      <rPr>
        <sz val="10"/>
        <rFont val="Noto Sans CJK SC"/>
        <family val="2"/>
        <charset val="1"/>
      </rPr>
      <t xml:space="preserve">3</t>
    </r>
    <r>
      <rPr>
        <sz val="10"/>
        <rFont val="WenQuanYi Zen Hei"/>
        <family val="2"/>
      </rPr>
      <t xml:space="preserve">월 </t>
    </r>
    <r>
      <rPr>
        <sz val="10"/>
        <rFont val="Noto Sans CJK SC"/>
        <family val="2"/>
        <charset val="1"/>
      </rPr>
      <t xml:space="preserve">11</t>
    </r>
    <r>
      <rPr>
        <sz val="10"/>
        <rFont val="WenQuanYi Zen Hei"/>
        <family val="2"/>
      </rPr>
      <t xml:space="preserve">일 법 제</t>
    </r>
    <r>
      <rPr>
        <sz val="10"/>
        <rFont val="Noto Sans CJK SC"/>
        <family val="2"/>
        <charset val="1"/>
      </rPr>
      <t xml:space="preserve">11-4</t>
    </r>
    <r>
      <rPr>
        <sz val="10"/>
        <rFont val="WenQuanYi Zen Hei"/>
        <family val="2"/>
      </rPr>
      <t xml:space="preserve">조</t>
    </r>
  </si>
  <si>
    <r>
      <rPr>
        <sz val="10"/>
        <rFont val="Arial"/>
        <family val="0"/>
        <charset val="1"/>
      </rPr>
      <t xml:space="preserve">8</t>
    </r>
    <r>
      <rPr>
        <sz val="10"/>
        <rFont val="WenQuanYi Zen Hei"/>
        <family val="2"/>
      </rPr>
      <t xml:space="preserve">부 </t>
    </r>
    <r>
      <rPr>
        <sz val="10"/>
        <rFont val="Arial"/>
        <family val="0"/>
        <charset val="1"/>
      </rPr>
      <t xml:space="preserve">7</t>
    </r>
    <r>
      <rPr>
        <sz val="10"/>
        <rFont val="WenQuanYi Zen Hei"/>
        <family val="2"/>
      </rPr>
      <t xml:space="preserve">화</t>
    </r>
  </si>
  <si>
    <t xml:space="preserve">don, plafond, comptes, CNCCFP</t>
  </si>
  <si>
    <t xml:space="preserve">계좌 개설권</t>
  </si>
  <si>
    <t xml:space="preserve">은행이 계좌 개설을 거부하면 프랑스은행(Banque de France)이 지정한 은행이 계좌를 열어 주어야 한다.</t>
  </si>
  <si>
    <t xml:space="preserve">통화금융법전 L.312-1조</t>
  </si>
  <si>
    <t xml:space="preserve">droit au compte, Banque de France</t>
  </si>
  <si>
    <t xml:space="preserve">시위 사전 신고</t>
  </si>
  <si>
    <t xml:space="preserve">공공 도로 시위는 3일 전(최대 15일 전)까지 도청에 신고한다. 파리는 경찰청(Préfecture de police).</t>
  </si>
  <si>
    <t xml:space="preserve">국내안전법전 L.211-1~L.211-4조</t>
  </si>
  <si>
    <r>
      <rPr>
        <sz val="10"/>
        <rFont val="Arial"/>
        <family val="0"/>
        <charset val="1"/>
      </rPr>
      <t xml:space="preserve">8</t>
    </r>
    <r>
      <rPr>
        <sz val="10"/>
        <rFont val="WenQuanYi Zen Hei"/>
        <family val="2"/>
      </rPr>
      <t xml:space="preserve">부 </t>
    </r>
    <r>
      <rPr>
        <sz val="10"/>
        <rFont val="Arial"/>
        <family val="0"/>
        <charset val="1"/>
      </rPr>
      <t xml:space="preserve">1</t>
    </r>
    <r>
      <rPr>
        <sz val="10"/>
        <rFont val="WenQuanYi Zen Hei"/>
        <family val="2"/>
      </rPr>
      <t xml:space="preserve">화</t>
    </r>
  </si>
  <si>
    <t xml:space="preserve">déclaration préalable, manifestation, préfecture de police</t>
  </si>
  <si>
    <t xml:space="preserve">하원 시민청원</t>
  </si>
  <si>
    <t xml:space="preserve">하원 전자청원은 서명이 많으면 공개되고, 50만 명(여러 도·해외영토에 걸쳐) 이상이면 의장단 회의가 본회의 토론을 결정할 수 있다. 토론만 있고 표결·입법 효력은 없다.</t>
  </si>
  <si>
    <t xml:space="preserve">하원 의사규칙 제147~148조</t>
  </si>
  <si>
    <r>
      <rPr>
        <sz val="10"/>
        <rFont val="Arial"/>
        <family val="0"/>
        <charset val="1"/>
      </rPr>
      <t xml:space="preserve">8</t>
    </r>
    <r>
      <rPr>
        <sz val="10"/>
        <rFont val="WenQuanYi Zen Hei"/>
        <family val="2"/>
      </rPr>
      <t xml:space="preserve">부 </t>
    </r>
    <r>
      <rPr>
        <sz val="10"/>
        <rFont val="Arial"/>
        <family val="0"/>
        <charset val="1"/>
      </rPr>
      <t xml:space="preserve">3~4</t>
    </r>
    <r>
      <rPr>
        <sz val="10"/>
        <rFont val="WenQuanYi Zen Hei"/>
        <family val="2"/>
      </rPr>
      <t xml:space="preserve">화</t>
    </r>
  </si>
  <si>
    <t xml:space="preserve">pétition, Conférence des présidents, débat en séance</t>
  </si>
  <si>
    <t xml:space="preserve">공동발의 국민투표 (RIP)</t>
  </si>
  <si>
    <t xml:space="preserve">의원 1/5 발의 + 유권자 1/10 지지로 국민투표를 열 수 있다. 문턱이 높아 실제 성립 사례가 없다.</t>
  </si>
  <si>
    <t xml:space="preserve">헌법 제11조</t>
  </si>
  <si>
    <r>
      <rPr>
        <sz val="10"/>
        <rFont val="Arial"/>
        <family val="0"/>
        <charset val="1"/>
      </rPr>
      <t xml:space="preserve">8</t>
    </r>
    <r>
      <rPr>
        <sz val="10"/>
        <rFont val="WenQuanYi Zen Hei"/>
        <family val="2"/>
      </rPr>
      <t xml:space="preserve">부 </t>
    </r>
    <r>
      <rPr>
        <sz val="10"/>
        <rFont val="Arial"/>
        <family val="0"/>
        <charset val="1"/>
      </rPr>
      <t xml:space="preserve">2</t>
    </r>
    <r>
      <rPr>
        <sz val="10"/>
        <rFont val="WenQuanYi Zen Hei"/>
        <family val="2"/>
      </rPr>
      <t xml:space="preserve">화</t>
    </r>
  </si>
  <si>
    <t xml:space="preserve">référendum d'initiative partagée, soutiens</t>
  </si>
  <si>
    <t xml:space="preserve">대통령 선거</t>
  </si>
  <si>
    <r>
      <rPr>
        <sz val="10"/>
        <rFont val="Noto Sans CJK SC"/>
        <family val="2"/>
        <charset val="1"/>
      </rPr>
      <t xml:space="preserve">5</t>
    </r>
    <r>
      <rPr>
        <sz val="10"/>
        <rFont val="WenQuanYi Zen Hei"/>
        <family val="2"/>
      </rPr>
      <t xml:space="preserve">년 임기 직선</t>
    </r>
    <r>
      <rPr>
        <sz val="10"/>
        <rFont val="Noto Sans CJK SC"/>
        <family val="2"/>
        <charset val="1"/>
      </rPr>
      <t xml:space="preserve">, 2</t>
    </r>
    <r>
      <rPr>
        <sz val="10"/>
        <rFont val="WenQuanYi Zen Hei"/>
        <family val="2"/>
      </rPr>
      <t xml:space="preserve">회 투표</t>
    </r>
    <r>
      <rPr>
        <sz val="10"/>
        <rFont val="Noto Sans CJK SC"/>
        <family val="2"/>
        <charset val="1"/>
      </rPr>
      <t xml:space="preserve">. 1</t>
    </r>
    <r>
      <rPr>
        <sz val="10"/>
        <rFont val="WenQuanYi Zen Hei"/>
        <family val="2"/>
      </rPr>
      <t xml:space="preserve">차에서 유효표 과반이 없으면 상위 </t>
    </r>
    <r>
      <rPr>
        <sz val="10"/>
        <rFont val="Noto Sans CJK SC"/>
        <family val="2"/>
        <charset val="1"/>
      </rPr>
      <t xml:space="preserve">2</t>
    </r>
    <r>
      <rPr>
        <sz val="10"/>
        <rFont val="WenQuanYi Zen Hei"/>
        <family val="2"/>
      </rPr>
      <t xml:space="preserve">인이 </t>
    </r>
    <r>
      <rPr>
        <sz val="10"/>
        <rFont val="Noto Sans CJK SC"/>
        <family val="2"/>
        <charset val="1"/>
      </rPr>
      <t xml:space="preserve">14</t>
    </r>
    <r>
      <rPr>
        <sz val="10"/>
        <rFont val="WenQuanYi Zen Hei"/>
        <family val="2"/>
      </rPr>
      <t xml:space="preserve">일 뒤 결선</t>
    </r>
    <r>
      <rPr>
        <sz val="10"/>
        <rFont val="Noto Sans CJK SC"/>
        <family val="2"/>
        <charset val="1"/>
      </rPr>
      <t xml:space="preserve">. </t>
    </r>
    <r>
      <rPr>
        <sz val="10"/>
        <rFont val="WenQuanYi Zen Hei"/>
        <family val="2"/>
      </rPr>
      <t xml:space="preserve">연속 </t>
    </r>
    <r>
      <rPr>
        <sz val="10"/>
        <rFont val="Noto Sans CJK SC"/>
        <family val="2"/>
        <charset val="1"/>
      </rPr>
      <t xml:space="preserve">2</t>
    </r>
    <r>
      <rPr>
        <sz val="10"/>
        <rFont val="WenQuanYi Zen Hei"/>
        <family val="2"/>
      </rPr>
      <t xml:space="preserve">회 초과 연임 불가</t>
    </r>
    <r>
      <rPr>
        <sz val="10"/>
        <rFont val="Noto Sans CJK SC"/>
        <family val="2"/>
        <charset val="1"/>
      </rPr>
      <t xml:space="preserve">.</t>
    </r>
  </si>
  <si>
    <t xml:space="preserve">헌법 제6·7조, 1962년 11월 6일 법</t>
  </si>
  <si>
    <r>
      <rPr>
        <sz val="10"/>
        <rFont val="Arial"/>
        <family val="0"/>
        <charset val="1"/>
      </rPr>
      <t xml:space="preserve">10</t>
    </r>
    <r>
      <rPr>
        <sz val="10"/>
        <rFont val="WenQuanYi Zen Hei"/>
        <family val="2"/>
      </rPr>
      <t xml:space="preserve">부</t>
    </r>
  </si>
  <si>
    <t xml:space="preserve">élection présidentielle, premier tour, second tour, quinquennat</t>
  </si>
  <si>
    <t xml:space="preserve">추천서 (parrainages)</t>
  </si>
  <si>
    <t xml:space="preserve">선출직(시장·의원 등) 500명 이상의 추천, 30개 이상의 도·해외영토에 걸쳐야 하고 한 도에서 10%를 넘을 수 없다. 헌법재판소가 받아 공개한다.</t>
  </si>
  <si>
    <r>
      <rPr>
        <sz val="10"/>
        <rFont val="Noto Sans CJK SC"/>
        <family val="2"/>
        <charset val="1"/>
      </rPr>
      <t xml:space="preserve">1962</t>
    </r>
    <r>
      <rPr>
        <sz val="10"/>
        <rFont val="WenQuanYi Zen Hei"/>
        <family val="2"/>
      </rPr>
      <t xml:space="preserve">년 </t>
    </r>
    <r>
      <rPr>
        <sz val="10"/>
        <rFont val="Noto Sans CJK SC"/>
        <family val="2"/>
        <charset val="1"/>
      </rPr>
      <t xml:space="preserve">11</t>
    </r>
    <r>
      <rPr>
        <sz val="10"/>
        <rFont val="WenQuanYi Zen Hei"/>
        <family val="2"/>
      </rPr>
      <t xml:space="preserve">월 </t>
    </r>
    <r>
      <rPr>
        <sz val="10"/>
        <rFont val="Noto Sans CJK SC"/>
        <family val="2"/>
        <charset val="1"/>
      </rPr>
      <t xml:space="preserve">6</t>
    </r>
    <r>
      <rPr>
        <sz val="10"/>
        <rFont val="WenQuanYi Zen Hei"/>
        <family val="2"/>
      </rPr>
      <t xml:space="preserve">일 법 제</t>
    </r>
    <r>
      <rPr>
        <sz val="10"/>
        <rFont val="Noto Sans CJK SC"/>
        <family val="2"/>
        <charset val="1"/>
      </rPr>
      <t xml:space="preserve">3</t>
    </r>
    <r>
      <rPr>
        <sz val="10"/>
        <rFont val="WenQuanYi Zen Hei"/>
        <family val="2"/>
      </rPr>
      <t xml:space="preserve">조</t>
    </r>
  </si>
  <si>
    <r>
      <rPr>
        <sz val="10"/>
        <rFont val="Arial"/>
        <family val="0"/>
        <charset val="1"/>
      </rPr>
      <t xml:space="preserve">9</t>
    </r>
    <r>
      <rPr>
        <sz val="10"/>
        <rFont val="WenQuanYi Zen Hei"/>
        <family val="2"/>
      </rPr>
      <t xml:space="preserve">부 </t>
    </r>
    <r>
      <rPr>
        <sz val="10"/>
        <rFont val="Arial"/>
        <family val="0"/>
        <charset val="1"/>
      </rPr>
      <t xml:space="preserve">12</t>
    </r>
    <r>
      <rPr>
        <sz val="10"/>
        <rFont val="WenQuanYi Zen Hei"/>
        <family val="2"/>
      </rPr>
      <t xml:space="preserve">화</t>
    </r>
    <r>
      <rPr>
        <sz val="10"/>
        <rFont val="Arial"/>
        <family val="0"/>
        <charset val="1"/>
      </rPr>
      <t xml:space="preserve">, 10</t>
    </r>
    <r>
      <rPr>
        <sz val="10"/>
        <rFont val="WenQuanYi Zen Hei"/>
        <family val="2"/>
      </rPr>
      <t xml:space="preserve">부 </t>
    </r>
    <r>
      <rPr>
        <sz val="10"/>
        <rFont val="Arial"/>
        <family val="0"/>
        <charset val="1"/>
      </rPr>
      <t xml:space="preserve">1~2</t>
    </r>
    <r>
      <rPr>
        <sz val="10"/>
        <rFont val="WenQuanYi Zen Hei"/>
        <family val="2"/>
      </rPr>
      <t xml:space="preserve">화</t>
    </r>
  </si>
  <si>
    <t xml:space="preserve">parrainage, élu, Conseil constitutionnel</t>
  </si>
  <si>
    <t xml:space="preserve">선거운동 규칙</t>
  </si>
  <si>
    <t xml:space="preserve">공식 선거운동 기간 방송 발언 시간 균등(Arcom). 투표 전날·당일 선거운동과 여론조사 공표 금지, 20시 투표 종료 전 결과 추정 공표 금지.</t>
  </si>
  <si>
    <t xml:space="preserve">선거법전 L.49·L.52-2조, 1977년 7월 19일 법(여론조사)</t>
  </si>
  <si>
    <r>
      <rPr>
        <sz val="10"/>
        <rFont val="Arial"/>
        <family val="0"/>
        <charset val="1"/>
      </rPr>
      <t xml:space="preserve">8</t>
    </r>
    <r>
      <rPr>
        <sz val="10"/>
        <rFont val="WenQuanYi Zen Hei"/>
        <family val="2"/>
      </rPr>
      <t xml:space="preserve">부 </t>
    </r>
    <r>
      <rPr>
        <sz val="10"/>
        <rFont val="Arial"/>
        <family val="0"/>
        <charset val="1"/>
      </rPr>
      <t xml:space="preserve">11</t>
    </r>
    <r>
      <rPr>
        <sz val="10"/>
        <rFont val="WenQuanYi Zen Hei"/>
        <family val="2"/>
      </rPr>
      <t xml:space="preserve">화</t>
    </r>
    <r>
      <rPr>
        <sz val="10"/>
        <rFont val="Arial"/>
        <family val="0"/>
        <charset val="1"/>
      </rPr>
      <t xml:space="preserve">, 10</t>
    </r>
    <r>
      <rPr>
        <sz val="10"/>
        <rFont val="WenQuanYi Zen Hei"/>
        <family val="2"/>
      </rPr>
      <t xml:space="preserve">부 </t>
    </r>
    <r>
      <rPr>
        <sz val="10"/>
        <rFont val="Arial"/>
        <family val="0"/>
        <charset val="1"/>
      </rPr>
      <t xml:space="preserve">3~4</t>
    </r>
    <r>
      <rPr>
        <sz val="10"/>
        <rFont val="WenQuanYi Zen Hei"/>
        <family val="2"/>
      </rPr>
      <t xml:space="preserve">화</t>
    </r>
  </si>
  <si>
    <t xml:space="preserve">temps de parole, réserve électorale, sondage, estimation</t>
  </si>
  <si>
    <t xml:space="preserve">헌법재판소가 대선의 적법성을 감시하고 결과를 선포한다. 취임식은 권한 이양식(passation de pouvoirs)이며 선서는 없다.</t>
  </si>
  <si>
    <t xml:space="preserve">헌법 제58조</t>
  </si>
  <si>
    <r>
      <rPr>
        <sz val="10"/>
        <rFont val="Arial"/>
        <family val="0"/>
        <charset val="1"/>
      </rPr>
      <t xml:space="preserve">10</t>
    </r>
    <r>
      <rPr>
        <sz val="10"/>
        <rFont val="WenQuanYi Zen Hei"/>
        <family val="2"/>
      </rPr>
      <t xml:space="preserve">부 </t>
    </r>
    <r>
      <rPr>
        <sz val="10"/>
        <rFont val="Arial"/>
        <family val="0"/>
        <charset val="1"/>
      </rPr>
      <t xml:space="preserve">8</t>
    </r>
    <r>
      <rPr>
        <sz val="10"/>
        <rFont val="WenQuanYi Zen Hei"/>
        <family val="2"/>
      </rPr>
      <t xml:space="preserve">화</t>
    </r>
  </si>
  <si>
    <t xml:space="preserve">proclamation, investiture, passation de pouvoirs</t>
  </si>
  <si>
    <t xml:space="preserve">하원 577석, 소선거구 2회 투표. 1차는 유효표 과반 + 등록 유권자 25% 득표 시 당선, 결선은 등록 유권자 12.5% 이상 득표 후보가 진출. 과반은 289석.</t>
  </si>
  <si>
    <t xml:space="preserve">선거법전 L.123~L.126조</t>
  </si>
  <si>
    <r>
      <rPr>
        <sz val="10"/>
        <rFont val="Arial"/>
        <family val="0"/>
        <charset val="1"/>
      </rPr>
      <t xml:space="preserve">10</t>
    </r>
    <r>
      <rPr>
        <sz val="10"/>
        <rFont val="WenQuanYi Zen Hei"/>
        <family val="2"/>
      </rPr>
      <t xml:space="preserve">부 </t>
    </r>
    <r>
      <rPr>
        <sz val="10"/>
        <rFont val="Arial"/>
        <family val="0"/>
        <charset val="1"/>
      </rPr>
      <t xml:space="preserve">10</t>
    </r>
    <r>
      <rPr>
        <sz val="10"/>
        <rFont val="WenQuanYi Zen Hei"/>
        <family val="2"/>
      </rPr>
      <t xml:space="preserve">화</t>
    </r>
  </si>
  <si>
    <t xml:space="preserve">circonscription, ballottage, triangulaire, majorité absolue</t>
  </si>
  <si>
    <t xml:space="preserve">파리 시의회 선거</t>
  </si>
  <si>
    <r>
      <rPr>
        <sz val="10"/>
        <rFont val="Noto Sans CJK SC"/>
        <family val="2"/>
        <charset val="1"/>
      </rPr>
      <t xml:space="preserve">2025</t>
    </r>
    <r>
      <rPr>
        <sz val="10"/>
        <rFont val="WenQuanYi Zen Hei"/>
        <family val="2"/>
      </rPr>
      <t xml:space="preserve">년 </t>
    </r>
    <r>
      <rPr>
        <sz val="10"/>
        <rFont val="Noto Sans CJK SC"/>
        <family val="2"/>
        <charset val="1"/>
      </rPr>
      <t xml:space="preserve">PLM</t>
    </r>
    <r>
      <rPr>
        <sz val="10"/>
        <rFont val="WenQuanYi Zen Hei"/>
        <family val="2"/>
      </rPr>
      <t xml:space="preserve">법으로 파리 시의회</t>
    </r>
    <r>
      <rPr>
        <sz val="10"/>
        <rFont val="Noto Sans CJK SC"/>
        <family val="2"/>
        <charset val="1"/>
      </rPr>
      <t xml:space="preserve">(Conseil de Paris)</t>
    </r>
    <r>
      <rPr>
        <sz val="10"/>
        <rFont val="WenQuanYi Zen Hei"/>
        <family val="2"/>
      </rPr>
      <t xml:space="preserve">와 구의회를 같은 날 별도 투표로 선출한다</t>
    </r>
    <r>
      <rPr>
        <sz val="10"/>
        <rFont val="Noto Sans CJK SC"/>
        <family val="2"/>
        <charset val="1"/>
      </rPr>
      <t xml:space="preserve">. 2</t>
    </r>
    <r>
      <rPr>
        <sz val="10"/>
        <rFont val="WenQuanYi Zen Hei"/>
        <family val="2"/>
      </rPr>
      <t xml:space="preserve">회 투표 명부 비례제</t>
    </r>
    <r>
      <rPr>
        <sz val="10"/>
        <rFont val="Noto Sans CJK SC"/>
        <family val="2"/>
        <charset val="1"/>
      </rPr>
      <t xml:space="preserve">, 1</t>
    </r>
    <r>
      <rPr>
        <sz val="10"/>
        <rFont val="WenQuanYi Zen Hei"/>
        <family val="2"/>
      </rPr>
      <t xml:space="preserve">위 명부 다수파 보너스 </t>
    </r>
    <r>
      <rPr>
        <sz val="10"/>
        <rFont val="Noto Sans CJK SC"/>
        <family val="2"/>
        <charset val="1"/>
      </rPr>
      <t xml:space="preserve">25%(</t>
    </r>
    <r>
      <rPr>
        <sz val="10"/>
        <rFont val="WenQuanYi Zen Hei"/>
        <family val="2"/>
      </rPr>
      <t xml:space="preserve">다른 코뮌은 </t>
    </r>
    <r>
      <rPr>
        <sz val="10"/>
        <rFont val="Noto Sans CJK SC"/>
        <family val="2"/>
        <charset val="1"/>
      </rPr>
      <t xml:space="preserve">50%). 2026</t>
    </r>
    <r>
      <rPr>
        <sz val="10"/>
        <rFont val="WenQuanYi Zen Hei"/>
        <family val="2"/>
      </rPr>
      <t xml:space="preserve">년 </t>
    </r>
    <r>
      <rPr>
        <sz val="10"/>
        <rFont val="Noto Sans CJK SC"/>
        <family val="2"/>
        <charset val="1"/>
      </rPr>
      <t xml:space="preserve">3</t>
    </r>
    <r>
      <rPr>
        <sz val="10"/>
        <rFont val="WenQuanYi Zen Hei"/>
        <family val="2"/>
      </rPr>
      <t xml:space="preserve">월 첫 적용</t>
    </r>
    <r>
      <rPr>
        <sz val="10"/>
        <rFont val="Noto Sans CJK SC"/>
        <family val="2"/>
        <charset val="1"/>
      </rPr>
      <t xml:space="preserve">.</t>
    </r>
  </si>
  <si>
    <r>
      <rPr>
        <sz val="10"/>
        <rFont val="Noto Sans CJK SC"/>
        <family val="2"/>
        <charset val="1"/>
      </rPr>
      <t xml:space="preserve">2025</t>
    </r>
    <r>
      <rPr>
        <sz val="10"/>
        <rFont val="WenQuanYi Zen Hei"/>
        <family val="2"/>
      </rPr>
      <t xml:space="preserve">년 </t>
    </r>
    <r>
      <rPr>
        <sz val="10"/>
        <rFont val="Noto Sans CJK SC"/>
        <family val="2"/>
        <charset val="1"/>
      </rPr>
      <t xml:space="preserve">8</t>
    </r>
    <r>
      <rPr>
        <sz val="10"/>
        <rFont val="WenQuanYi Zen Hei"/>
        <family val="2"/>
      </rPr>
      <t xml:space="preserve">월 </t>
    </r>
    <r>
      <rPr>
        <sz val="10"/>
        <rFont val="Noto Sans CJK SC"/>
        <family val="2"/>
        <charset val="1"/>
      </rPr>
      <t xml:space="preserve">11</t>
    </r>
    <r>
      <rPr>
        <sz val="10"/>
        <rFont val="WenQuanYi Zen Hei"/>
        <family val="2"/>
      </rPr>
      <t xml:space="preserve">일 법</t>
    </r>
    <r>
      <rPr>
        <sz val="10"/>
        <rFont val="Noto Sans CJK SC"/>
        <family val="2"/>
        <charset val="1"/>
      </rPr>
      <t xml:space="preserve">(2025-795), </t>
    </r>
    <r>
      <rPr>
        <sz val="10"/>
        <rFont val="WenQuanYi Zen Hei"/>
        <family val="2"/>
      </rPr>
      <t xml:space="preserve">선거법전</t>
    </r>
  </si>
  <si>
    <r>
      <rPr>
        <sz val="10"/>
        <rFont val="Arial"/>
        <family val="0"/>
        <charset val="1"/>
      </rPr>
      <t xml:space="preserve">8</t>
    </r>
    <r>
      <rPr>
        <sz val="10"/>
        <rFont val="WenQuanYi Zen Hei"/>
        <family val="2"/>
      </rPr>
      <t xml:space="preserve">부 </t>
    </r>
    <r>
      <rPr>
        <sz val="10"/>
        <rFont val="Arial"/>
        <family val="0"/>
        <charset val="1"/>
      </rPr>
      <t xml:space="preserve">12</t>
    </r>
    <r>
      <rPr>
        <sz val="10"/>
        <rFont val="WenQuanYi Zen Hei"/>
        <family val="2"/>
      </rPr>
      <t xml:space="preserve">화</t>
    </r>
    <r>
      <rPr>
        <sz val="10"/>
        <rFont val="Arial"/>
        <family val="0"/>
        <charset val="1"/>
      </rPr>
      <t xml:space="preserve">, 9</t>
    </r>
    <r>
      <rPr>
        <sz val="10"/>
        <rFont val="WenQuanYi Zen Hei"/>
        <family val="2"/>
      </rPr>
      <t xml:space="preserve">부</t>
    </r>
  </si>
  <si>
    <t xml:space="preserve">liste, prime majoritaire, fusion de listes</t>
  </si>
  <si>
    <t xml:space="preserve">검색 확인 (2026-09-25)</t>
  </si>
  <si>
    <t xml:space="preserve">시장 선출</t>
  </si>
  <si>
    <t xml:space="preserve">시의회가 시장을 선출한다: 1·2차 절대다수, 3차 상대다수.</t>
  </si>
  <si>
    <t xml:space="preserve">지방자치법전 L.2122-7조</t>
  </si>
  <si>
    <r>
      <rPr>
        <sz val="10"/>
        <rFont val="Arial"/>
        <family val="0"/>
        <charset val="1"/>
      </rPr>
      <t xml:space="preserve">9</t>
    </r>
    <r>
      <rPr>
        <sz val="10"/>
        <rFont val="WenQuanYi Zen Hei"/>
        <family val="2"/>
      </rPr>
      <t xml:space="preserve">부 </t>
    </r>
    <r>
      <rPr>
        <sz val="10"/>
        <rFont val="Arial"/>
        <family val="0"/>
        <charset val="1"/>
      </rPr>
      <t xml:space="preserve">1</t>
    </r>
    <r>
      <rPr>
        <sz val="10"/>
        <rFont val="WenQuanYi Zen Hei"/>
        <family val="2"/>
      </rPr>
      <t xml:space="preserve">화</t>
    </r>
  </si>
  <si>
    <t xml:space="preserve">élection du maire, majorité relative</t>
  </si>
  <si>
    <t xml:space="preserve">남녀 교대 명부</t>
  </si>
  <si>
    <t xml:space="preserve">명부식 선거는 남녀 교대 순서가 의무다. 총선은 후보 성비 불균형 시 정당 보조금이 깎인다.</t>
  </si>
  <si>
    <t xml:space="preserve">헌법 제1조 2항, 2000년 6월 6일 법</t>
  </si>
  <si>
    <r>
      <rPr>
        <sz val="10"/>
        <rFont val="Arial"/>
        <family val="0"/>
        <charset val="1"/>
      </rPr>
      <t xml:space="preserve">8</t>
    </r>
    <r>
      <rPr>
        <sz val="10"/>
        <rFont val="WenQuanYi Zen Hei"/>
        <family val="2"/>
      </rPr>
      <t xml:space="preserve">부 </t>
    </r>
    <r>
      <rPr>
        <sz val="10"/>
        <rFont val="Arial"/>
        <family val="0"/>
        <charset val="1"/>
      </rPr>
      <t xml:space="preserve">6·8</t>
    </r>
    <r>
      <rPr>
        <sz val="10"/>
        <rFont val="WenQuanYi Zen Hei"/>
        <family val="2"/>
      </rPr>
      <t xml:space="preserve">화</t>
    </r>
  </si>
  <si>
    <t xml:space="preserve">parité, alternance femme-homme</t>
  </si>
  <si>
    <t xml:space="preserve">반론권·허위정보</t>
  </si>
  <si>
    <t xml:space="preserve">신문에 이름이 언급된 사람은 반론 게재를 요구할 수 있다. 선거 기간 허위정보는 가처분으로 삭제를 청구할 수 있다.</t>
  </si>
  <si>
    <r>
      <rPr>
        <sz val="10"/>
        <rFont val="Noto Sans CJK SC"/>
        <family val="2"/>
        <charset val="1"/>
      </rPr>
      <t xml:space="preserve">1881</t>
    </r>
    <r>
      <rPr>
        <sz val="10"/>
        <rFont val="WenQuanYi Zen Hei"/>
        <family val="2"/>
      </rPr>
      <t xml:space="preserve">년 </t>
    </r>
    <r>
      <rPr>
        <sz val="10"/>
        <rFont val="Noto Sans CJK SC"/>
        <family val="2"/>
        <charset val="1"/>
      </rPr>
      <t xml:space="preserve">7</t>
    </r>
    <r>
      <rPr>
        <sz val="10"/>
        <rFont val="WenQuanYi Zen Hei"/>
        <family val="2"/>
      </rPr>
      <t xml:space="preserve">월 </t>
    </r>
    <r>
      <rPr>
        <sz val="10"/>
        <rFont val="Noto Sans CJK SC"/>
        <family val="2"/>
        <charset val="1"/>
      </rPr>
      <t xml:space="preserve">29</t>
    </r>
    <r>
      <rPr>
        <sz val="10"/>
        <rFont val="WenQuanYi Zen Hei"/>
        <family val="2"/>
      </rPr>
      <t xml:space="preserve">일 법 제</t>
    </r>
    <r>
      <rPr>
        <sz val="10"/>
        <rFont val="Noto Sans CJK SC"/>
        <family val="2"/>
        <charset val="1"/>
      </rPr>
      <t xml:space="preserve">13</t>
    </r>
    <r>
      <rPr>
        <sz val="10"/>
        <rFont val="WenQuanYi Zen Hei"/>
        <family val="2"/>
      </rPr>
      <t xml:space="preserve">조</t>
    </r>
    <r>
      <rPr>
        <sz val="10"/>
        <rFont val="Noto Sans CJK SC"/>
        <family val="2"/>
        <charset val="1"/>
      </rPr>
      <t xml:space="preserve">, 2018</t>
    </r>
    <r>
      <rPr>
        <sz val="10"/>
        <rFont val="WenQuanYi Zen Hei"/>
        <family val="2"/>
      </rPr>
      <t xml:space="preserve">년 </t>
    </r>
    <r>
      <rPr>
        <sz val="10"/>
        <rFont val="Noto Sans CJK SC"/>
        <family val="2"/>
        <charset val="1"/>
      </rPr>
      <t xml:space="preserve">12</t>
    </r>
    <r>
      <rPr>
        <sz val="10"/>
        <rFont val="WenQuanYi Zen Hei"/>
        <family val="2"/>
      </rPr>
      <t xml:space="preserve">월 </t>
    </r>
    <r>
      <rPr>
        <sz val="10"/>
        <rFont val="Noto Sans CJK SC"/>
        <family val="2"/>
        <charset val="1"/>
      </rPr>
      <t xml:space="preserve">22</t>
    </r>
    <r>
      <rPr>
        <sz val="10"/>
        <rFont val="WenQuanYi Zen Hei"/>
        <family val="2"/>
      </rPr>
      <t xml:space="preserve">일 법</t>
    </r>
  </si>
  <si>
    <r>
      <rPr>
        <sz val="10"/>
        <rFont val="Arial"/>
        <family val="0"/>
        <charset val="1"/>
      </rPr>
      <t xml:space="preserve">8</t>
    </r>
    <r>
      <rPr>
        <sz val="10"/>
        <rFont val="WenQuanYi Zen Hei"/>
        <family val="2"/>
      </rPr>
      <t xml:space="preserve">부 </t>
    </r>
    <r>
      <rPr>
        <sz val="10"/>
        <rFont val="Arial"/>
        <family val="0"/>
        <charset val="1"/>
      </rPr>
      <t xml:space="preserve">10</t>
    </r>
    <r>
      <rPr>
        <sz val="10"/>
        <rFont val="WenQuanYi Zen Hei"/>
        <family val="2"/>
      </rPr>
      <t xml:space="preserve">화</t>
    </r>
  </si>
  <si>
    <t xml:space="preserve">droit de réponse, fausse information, référé</t>
  </si>
  <si>
    <t xml:space="preserve">선거비용</t>
  </si>
  <si>
    <t xml:space="preserve">후보별 지출 상한과 선거비용 계정, CNCCFP 심사. 일정 득표 이상이면 비용 일부를 국가가 보전한다.</t>
  </si>
  <si>
    <t xml:space="preserve">선거법전 L.52-4조 이하</t>
  </si>
  <si>
    <r>
      <rPr>
        <sz val="10"/>
        <rFont val="Arial"/>
        <family val="0"/>
        <charset val="1"/>
      </rPr>
      <t xml:space="preserve">8</t>
    </r>
    <r>
      <rPr>
        <sz val="10"/>
        <rFont val="WenQuanYi Zen Hei"/>
        <family val="2"/>
      </rPr>
      <t xml:space="preserve">부 </t>
    </r>
    <r>
      <rPr>
        <sz val="10"/>
        <rFont val="Arial"/>
        <family val="0"/>
        <charset val="1"/>
      </rPr>
      <t xml:space="preserve">9</t>
    </r>
    <r>
      <rPr>
        <sz val="10"/>
        <rFont val="WenQuanYi Zen Hei"/>
        <family val="2"/>
      </rPr>
      <t xml:space="preserve">화</t>
    </r>
    <r>
      <rPr>
        <sz val="10"/>
        <rFont val="Arial"/>
        <family val="0"/>
        <charset val="1"/>
      </rPr>
      <t xml:space="preserve">, 10</t>
    </r>
    <r>
      <rPr>
        <sz val="10"/>
        <rFont val="WenQuanYi Zen Hei"/>
        <family val="2"/>
      </rPr>
      <t xml:space="preserve">부</t>
    </r>
  </si>
  <si>
    <t xml:space="preserve">compte de campagne, plafond de dépenses, remboursement</t>
  </si>
  <si>
    <t xml:space="preserve">의회</t>
  </si>
  <si>
    <t xml:space="preserve">양원제</t>
  </si>
  <si>
    <t xml:space="preserve">하원(Assemblée nationale)과 상원(Sénat). 이견 시 합동위원회(CMP)를 거쳐 정부 요청으로 하원이 최종 결정한다.</t>
  </si>
  <si>
    <t xml:space="preserve">헌법 제24·45조</t>
  </si>
  <si>
    <r>
      <rPr>
        <sz val="10"/>
        <rFont val="Arial"/>
        <family val="0"/>
        <charset val="1"/>
      </rPr>
      <t xml:space="preserve">10~12</t>
    </r>
    <r>
      <rPr>
        <sz val="10"/>
        <rFont val="WenQuanYi Zen Hei"/>
        <family val="2"/>
      </rPr>
      <t xml:space="preserve">부</t>
    </r>
  </si>
  <si>
    <t xml:space="preserve">navette, CMP, dernier mot</t>
  </si>
  <si>
    <t xml:space="preserve">입법 절차</t>
  </si>
  <si>
    <t xml:space="preserve">정부 법안(국무원 의견 후 국무회의 의결)·의원 법안 → 위원회·본회의 → 상원 → 대통령 공포(15일 내) → 관보(Journal officiel).</t>
  </si>
  <si>
    <t xml:space="preserve">헌법 제39·45·10조</t>
  </si>
  <si>
    <r>
      <rPr>
        <sz val="10"/>
        <rFont val="Arial"/>
        <family val="0"/>
        <charset val="1"/>
      </rPr>
      <t xml:space="preserve">11</t>
    </r>
    <r>
      <rPr>
        <sz val="10"/>
        <rFont val="WenQuanYi Zen Hei"/>
        <family val="2"/>
      </rPr>
      <t xml:space="preserve">부</t>
    </r>
  </si>
  <si>
    <t xml:space="preserve">projet de loi, proposition de loi, amendement, promulgation, Journal officiel</t>
  </si>
  <si>
    <t xml:space="preserve">법률 사항과 명령 사항</t>
  </si>
  <si>
    <t xml:space="preserve">조세·기본권·형벌 등은 법률로, 그 밖은 명령(décret)으로 정한다. 정부는 수권법으로 오르도낭스(ordonnance)를 낼 수 있다.</t>
  </si>
  <si>
    <t xml:space="preserve">헌법 제34·37·38조</t>
  </si>
  <si>
    <r>
      <rPr>
        <sz val="10"/>
        <rFont val="Arial"/>
        <family val="0"/>
        <charset val="1"/>
      </rPr>
      <t xml:space="preserve">11</t>
    </r>
    <r>
      <rPr>
        <sz val="10"/>
        <rFont val="WenQuanYi Zen Hei"/>
        <family val="2"/>
      </rPr>
      <t xml:space="preserve">부 </t>
    </r>
    <r>
      <rPr>
        <sz val="10"/>
        <rFont val="Arial"/>
        <family val="0"/>
        <charset val="1"/>
      </rPr>
      <t xml:space="preserve">8</t>
    </r>
    <r>
      <rPr>
        <sz val="10"/>
        <rFont val="WenQuanYi Zen Hei"/>
        <family val="2"/>
      </rPr>
      <t xml:space="preserve">화</t>
    </r>
  </si>
  <si>
    <t xml:space="preserve">domaine de la loi, décret, ordonnance, loi d'habilitation</t>
  </si>
  <si>
    <t xml:space="preserve">헌법 제49조 3항</t>
  </si>
  <si>
    <t xml:space="preserve">총리가 법안에 정부 책임을 걸면 불신임안이 가결되지 않는 한 표결 없이 채택된다. 재정법·사회보장재정법 외에는 회기당 1회.</t>
  </si>
  <si>
    <r>
      <rPr>
        <sz val="10"/>
        <rFont val="Arial"/>
        <family val="0"/>
        <charset val="1"/>
      </rPr>
      <t xml:space="preserve">12</t>
    </r>
    <r>
      <rPr>
        <sz val="10"/>
        <rFont val="WenQuanYi Zen Hei"/>
        <family val="2"/>
      </rPr>
      <t xml:space="preserve">부 </t>
    </r>
    <r>
      <rPr>
        <sz val="10"/>
        <rFont val="Arial"/>
        <family val="0"/>
        <charset val="1"/>
      </rPr>
      <t xml:space="preserve">7</t>
    </r>
    <r>
      <rPr>
        <sz val="10"/>
        <rFont val="WenQuanYi Zen Hei"/>
        <family val="2"/>
      </rPr>
      <t xml:space="preserve">화</t>
    </r>
  </si>
  <si>
    <t xml:space="preserve">engager la responsabilité, adoption sans vote</t>
  </si>
  <si>
    <t xml:space="preserve">예산안</t>
  </si>
  <si>
    <t xml:space="preserve">재정법안은 10월 첫 화요일까지 제출. 의회가 70일 내 의결하지 않으면 정부가 오르도낭스로 시행할 수 있고, 연말까지 미성립 시 특별법(loi spéciale)으로 세입 징수를 승인받는다.</t>
  </si>
  <si>
    <t xml:space="preserve">헌법 제47조, LOLF(2001) 제39·45조</t>
  </si>
  <si>
    <r>
      <rPr>
        <sz val="10"/>
        <rFont val="Arial"/>
        <family val="0"/>
        <charset val="1"/>
      </rPr>
      <t xml:space="preserve">12</t>
    </r>
    <r>
      <rPr>
        <sz val="10"/>
        <rFont val="WenQuanYi Zen Hei"/>
        <family val="2"/>
      </rPr>
      <t xml:space="preserve">부 </t>
    </r>
    <r>
      <rPr>
        <sz val="10"/>
        <rFont val="Arial"/>
        <family val="0"/>
        <charset val="1"/>
      </rPr>
      <t xml:space="preserve">11~12</t>
    </r>
    <r>
      <rPr>
        <sz val="10"/>
        <rFont val="WenQuanYi Zen Hei"/>
        <family val="2"/>
      </rPr>
      <t xml:space="preserve">화</t>
    </r>
  </si>
  <si>
    <t xml:space="preserve">projet de loi de finances, loi spéciale</t>
  </si>
  <si>
    <t xml:space="preserve">사회보장재정법</t>
  </si>
  <si>
    <t xml:space="preserve">매년 LFSS로 건강보험 지출 목표(ONDAM)를 정한다. 병원 예산의 틀이다.</t>
  </si>
  <si>
    <t xml:space="preserve">헌법 제47-1조</t>
  </si>
  <si>
    <r>
      <rPr>
        <sz val="10"/>
        <rFont val="Arial"/>
        <family val="0"/>
        <charset val="1"/>
      </rPr>
      <t xml:space="preserve">11</t>
    </r>
    <r>
      <rPr>
        <sz val="10"/>
        <rFont val="WenQuanYi Zen Hei"/>
        <family val="2"/>
      </rPr>
      <t xml:space="preserve">부 </t>
    </r>
    <r>
      <rPr>
        <sz val="10"/>
        <rFont val="Arial"/>
        <family val="0"/>
        <charset val="1"/>
      </rPr>
      <t xml:space="preserve">4</t>
    </r>
    <r>
      <rPr>
        <sz val="10"/>
        <rFont val="WenQuanYi Zen Hei"/>
        <family val="2"/>
      </rPr>
      <t xml:space="preserve">화</t>
    </r>
  </si>
  <si>
    <t xml:space="preserve">PLFSS, ONDAM</t>
  </si>
  <si>
    <t xml:space="preserve">의원 특권</t>
  </si>
  <si>
    <t xml:space="preserve">직무상 발언 면책(irresponsabilité), 체포·자유 제한에는 의장단 허가 필요(inviolabilité).</t>
  </si>
  <si>
    <t xml:space="preserve">헌법 제26조</t>
  </si>
  <si>
    <t xml:space="preserve">irresponsabilité, inviolabilité</t>
  </si>
  <si>
    <t xml:space="preserve">조사위원회</t>
  </si>
  <si>
    <t xml:space="preserve">양원은 조사위원회를 설치할 수 있고 소환 불응은 처벌된다.</t>
  </si>
  <si>
    <t xml:space="preserve">헌법 제51-2조, 1958년 11월 17일 오르도낭스 제6조</t>
  </si>
  <si>
    <r>
      <rPr>
        <sz val="10"/>
        <rFont val="Arial"/>
        <family val="0"/>
        <charset val="1"/>
      </rPr>
      <t xml:space="preserve">9~12</t>
    </r>
    <r>
      <rPr>
        <sz val="10"/>
        <rFont val="WenQuanYi Zen Hei"/>
        <family val="2"/>
      </rPr>
      <t xml:space="preserve">부</t>
    </r>
  </si>
  <si>
    <t xml:space="preserve">commission d'enquête, audition</t>
  </si>
  <si>
    <t xml:space="preserve">정부</t>
  </si>
  <si>
    <t xml:space="preserve">대통령의 권한</t>
  </si>
  <si>
    <t xml:space="preserve">총리 임명(제8조), 국무회의 주재(제9조), 해산(제12조), 군 통수(제15조), 조약 협상(제52조), 비상대권(제16조). 대부분의 행위는 총리 부서(副署)가 필요하다(제19조).</t>
  </si>
  <si>
    <t xml:space="preserve">헌법 제5·8·9·12·15·19·52조</t>
  </si>
  <si>
    <r>
      <rPr>
        <sz val="10"/>
        <rFont val="Arial"/>
        <family val="0"/>
        <charset val="1"/>
      </rPr>
      <t xml:space="preserve">10~13</t>
    </r>
    <r>
      <rPr>
        <sz val="10"/>
        <rFont val="WenQuanYi Zen Hei"/>
        <family val="2"/>
      </rPr>
      <t xml:space="preserve">부</t>
    </r>
  </si>
  <si>
    <t xml:space="preserve">Président de la République, contreseing</t>
  </si>
  <si>
    <t xml:space="preserve">총리와 정부</t>
  </si>
  <si>
    <t xml:space="preserve">총리는 정부 활동을 지휘하고 정부는 국정을 결정·수행한다. 대통령이 총리를 임명하지만 하원 불신임으로 물러난다. 장관은 총리 제청으로 대통령이 임명.</t>
  </si>
  <si>
    <t xml:space="preserve">헌법 제8·20·21조</t>
  </si>
  <si>
    <r>
      <rPr>
        <sz val="10"/>
        <rFont val="Arial"/>
        <family val="0"/>
        <charset val="1"/>
      </rPr>
      <t xml:space="preserve">10</t>
    </r>
    <r>
      <rPr>
        <sz val="10"/>
        <rFont val="WenQuanYi Zen Hei"/>
        <family val="2"/>
      </rPr>
      <t xml:space="preserve">부 </t>
    </r>
    <r>
      <rPr>
        <sz val="10"/>
        <rFont val="Arial"/>
        <family val="0"/>
        <charset val="1"/>
      </rPr>
      <t xml:space="preserve">11</t>
    </r>
    <r>
      <rPr>
        <sz val="10"/>
        <rFont val="WenQuanYi Zen Hei"/>
        <family val="2"/>
      </rPr>
      <t xml:space="preserve">화</t>
    </r>
    <r>
      <rPr>
        <sz val="10"/>
        <rFont val="Arial"/>
        <family val="0"/>
        <charset val="1"/>
      </rPr>
      <t xml:space="preserve">, 11</t>
    </r>
    <r>
      <rPr>
        <sz val="10"/>
        <rFont val="WenQuanYi Zen Hei"/>
        <family val="2"/>
      </rPr>
      <t xml:space="preserve">부</t>
    </r>
  </si>
  <si>
    <t xml:space="preserve">Premier ministre, Matignon, gouvernement</t>
  </si>
  <si>
    <t xml:space="preserve">국무회의</t>
  </si>
  <si>
    <t xml:space="preserve">대통령이 주재하며 통상 매주 수요일 엘리제궁에서 열린다.</t>
  </si>
  <si>
    <t xml:space="preserve">헌법 제9조</t>
  </si>
  <si>
    <r>
      <rPr>
        <sz val="10"/>
        <rFont val="Arial"/>
        <family val="0"/>
        <charset val="1"/>
      </rPr>
      <t xml:space="preserve">11</t>
    </r>
    <r>
      <rPr>
        <sz val="10"/>
        <rFont val="WenQuanYi Zen Hei"/>
        <family val="2"/>
      </rPr>
      <t xml:space="preserve">부 </t>
    </r>
    <r>
      <rPr>
        <sz val="10"/>
        <rFont val="Arial"/>
        <family val="0"/>
        <charset val="1"/>
      </rPr>
      <t xml:space="preserve">1</t>
    </r>
    <r>
      <rPr>
        <sz val="10"/>
        <rFont val="WenQuanYi Zen Hei"/>
        <family val="2"/>
      </rPr>
      <t xml:space="preserve">화</t>
    </r>
  </si>
  <si>
    <t xml:space="preserve">Conseil des ministres</t>
  </si>
  <si>
    <t xml:space="preserve">엘리제 직제</t>
  </si>
  <si>
    <t xml:space="preserve">엘리제궁 비서실장(secrétaire général), 대통령 비서실(cabinet), 특별참모(conseiller spécial), 대변인. 정부 대변인은 별도로 장관급.</t>
  </si>
  <si>
    <t xml:space="preserve">관행 및 대통령 명령</t>
  </si>
  <si>
    <t xml:space="preserve">secrétaire général de l'Élysée, conseiller spécial, porte-parole</t>
  </si>
  <si>
    <t xml:space="preserve">신임·불신임</t>
  </si>
  <si>
    <t xml:space="preserve">총리는 일반정책연설에 신임을 물을 수 있다(단순다수). 불신임안은 하원의원 1/10(58명) 서명, 48시간 후 표결, 찬성표만 세어 재적 과반(289)이면 가결. 의원은 정기회기당 3회까지만 서명 가능(49조 3항 대응 불신임안은 예외).</t>
  </si>
  <si>
    <t xml:space="preserve">헌법 제49·50조</t>
  </si>
  <si>
    <r>
      <rPr>
        <sz val="10"/>
        <rFont val="Arial"/>
        <family val="0"/>
        <charset val="1"/>
      </rPr>
      <t xml:space="preserve">10</t>
    </r>
    <r>
      <rPr>
        <sz val="10"/>
        <rFont val="WenQuanYi Zen Hei"/>
        <family val="2"/>
      </rPr>
      <t xml:space="preserve">부 </t>
    </r>
    <r>
      <rPr>
        <sz val="10"/>
        <rFont val="Arial"/>
        <family val="0"/>
        <charset val="1"/>
      </rPr>
      <t xml:space="preserve">12</t>
    </r>
    <r>
      <rPr>
        <sz val="10"/>
        <rFont val="WenQuanYi Zen Hei"/>
        <family val="2"/>
      </rPr>
      <t xml:space="preserve">화</t>
    </r>
    <r>
      <rPr>
        <sz val="10"/>
        <rFont val="Arial"/>
        <family val="0"/>
        <charset val="1"/>
      </rPr>
      <t xml:space="preserve">, 12</t>
    </r>
    <r>
      <rPr>
        <sz val="10"/>
        <rFont val="WenQuanYi Zen Hei"/>
        <family val="2"/>
      </rPr>
      <t xml:space="preserve">부 </t>
    </r>
    <r>
      <rPr>
        <sz val="10"/>
        <rFont val="Arial"/>
        <family val="0"/>
        <charset val="1"/>
      </rPr>
      <t xml:space="preserve">7</t>
    </r>
    <r>
      <rPr>
        <sz val="10"/>
        <rFont val="WenQuanYi Zen Hei"/>
        <family val="2"/>
      </rPr>
      <t xml:space="preserve">화</t>
    </r>
  </si>
  <si>
    <t xml:space="preserve">motion de censure, question de confiance, déclaration de politique générale</t>
  </si>
  <si>
    <t xml:space="preserve">동거정부 (cohabitation)</t>
  </si>
  <si>
    <t xml:space="preserve">하원 다수가 대통령과 반대면 반대 진영 총리를 임명하는 것이 관행이다.</t>
  </si>
  <si>
    <t xml:space="preserve">헌법 제8·20조 (관행)</t>
  </si>
  <si>
    <r>
      <rPr>
        <sz val="10"/>
        <rFont val="Arial"/>
        <family val="0"/>
        <charset val="1"/>
      </rPr>
      <t xml:space="preserve">10</t>
    </r>
    <r>
      <rPr>
        <sz val="10"/>
        <rFont val="WenQuanYi Zen Hei"/>
        <family val="2"/>
      </rPr>
      <t xml:space="preserve">부 </t>
    </r>
    <r>
      <rPr>
        <sz val="10"/>
        <rFont val="Arial"/>
        <family val="0"/>
        <charset val="1"/>
      </rPr>
      <t xml:space="preserve">10~11</t>
    </r>
    <r>
      <rPr>
        <sz val="10"/>
        <rFont val="WenQuanYi Zen Hei"/>
        <family val="2"/>
      </rPr>
      <t xml:space="preserve">화</t>
    </r>
  </si>
  <si>
    <t xml:space="preserve">cohabitation</t>
  </si>
  <si>
    <t xml:space="preserve">고위공직 윤리</t>
  </si>
  <si>
    <t xml:space="preserve">각료는 의원직·직업 활동을 겸할 수 없다. 고위공직투명성청(HATVP)에 재산·이해관계를 신고한다.</t>
  </si>
  <si>
    <t xml:space="preserve">헌법 제23조, 2013년 10월 11일 법</t>
  </si>
  <si>
    <r>
      <rPr>
        <sz val="10"/>
        <rFont val="Arial"/>
        <family val="0"/>
        <charset val="1"/>
      </rPr>
      <t xml:space="preserve">13</t>
    </r>
    <r>
      <rPr>
        <sz val="10"/>
        <rFont val="WenQuanYi Zen Hei"/>
        <family val="2"/>
      </rPr>
      <t xml:space="preserve">부 </t>
    </r>
    <r>
      <rPr>
        <sz val="10"/>
        <rFont val="Arial"/>
        <family val="0"/>
        <charset val="1"/>
      </rPr>
      <t xml:space="preserve">1·4</t>
    </r>
    <r>
      <rPr>
        <sz val="10"/>
        <rFont val="WenQuanYi Zen Hei"/>
        <family val="2"/>
      </rPr>
      <t xml:space="preserve">화</t>
    </r>
  </si>
  <si>
    <t xml:space="preserve">incompatibilité, HATVP, déclaration de patrimoine</t>
  </si>
  <si>
    <t xml:space="preserve">사회적 대화</t>
  </si>
  <si>
    <t xml:space="preserve">노동 관련 개혁 전 노사 협상을 먼저 거친다. 노조(CGT·CFDT·FO 등)와 경영계(MEDEF·CPME·U2P).</t>
  </si>
  <si>
    <t xml:space="preserve">노동법전 L.1조</t>
  </si>
  <si>
    <r>
      <rPr>
        <sz val="10"/>
        <rFont val="Arial"/>
        <family val="0"/>
        <charset val="1"/>
      </rPr>
      <t xml:space="preserve">11</t>
    </r>
    <r>
      <rPr>
        <sz val="10"/>
        <rFont val="WenQuanYi Zen Hei"/>
        <family val="2"/>
      </rPr>
      <t xml:space="preserve">부 </t>
    </r>
    <r>
      <rPr>
        <sz val="10"/>
        <rFont val="Arial"/>
        <family val="0"/>
        <charset val="1"/>
      </rPr>
      <t xml:space="preserve">6</t>
    </r>
    <r>
      <rPr>
        <sz val="10"/>
        <rFont val="WenQuanYi Zen Hei"/>
        <family val="2"/>
      </rPr>
      <t xml:space="preserve">화</t>
    </r>
    <r>
      <rPr>
        <sz val="10"/>
        <rFont val="Arial"/>
        <family val="0"/>
        <charset val="1"/>
      </rPr>
      <t xml:space="preserve">, 12</t>
    </r>
    <r>
      <rPr>
        <sz val="10"/>
        <rFont val="WenQuanYi Zen Hei"/>
        <family val="2"/>
      </rPr>
      <t xml:space="preserve">부 </t>
    </r>
    <r>
      <rPr>
        <sz val="10"/>
        <rFont val="Arial"/>
        <family val="0"/>
        <charset val="1"/>
      </rPr>
      <t xml:space="preserve">9</t>
    </r>
    <r>
      <rPr>
        <sz val="10"/>
        <rFont val="WenQuanYi Zen Hei"/>
        <family val="2"/>
      </rPr>
      <t xml:space="preserve">화</t>
    </r>
  </si>
  <si>
    <t xml:space="preserve">dialogue social, partenaires sociaux</t>
  </si>
  <si>
    <t xml:space="preserve">연금</t>
  </si>
  <si>
    <r>
      <rPr>
        <sz val="10"/>
        <rFont val="Noto Sans CJK SC"/>
        <family val="2"/>
        <charset val="1"/>
      </rPr>
      <t xml:space="preserve">2023</t>
    </r>
    <r>
      <rPr>
        <sz val="10"/>
        <rFont val="WenQuanYi Zen Hei"/>
        <family val="2"/>
      </rPr>
      <t xml:space="preserve">년 개혁</t>
    </r>
    <r>
      <rPr>
        <sz val="10"/>
        <rFont val="Noto Sans CJK SC"/>
        <family val="2"/>
        <charset val="1"/>
      </rPr>
      <t xml:space="preserve">(</t>
    </r>
    <r>
      <rPr>
        <sz val="10"/>
        <rFont val="WenQuanYi Zen Hei"/>
        <family val="2"/>
      </rPr>
      <t xml:space="preserve">법정 연령 </t>
    </r>
    <r>
      <rPr>
        <sz val="10"/>
        <rFont val="Noto Sans CJK SC"/>
        <family val="2"/>
        <charset val="1"/>
      </rPr>
      <t xml:space="preserve">62→64</t>
    </r>
    <r>
      <rPr>
        <sz val="10"/>
        <rFont val="WenQuanYi Zen Hei"/>
        <family val="2"/>
      </rPr>
      <t xml:space="preserve">세</t>
    </r>
    <r>
      <rPr>
        <sz val="10"/>
        <rFont val="Noto Sans CJK SC"/>
        <family val="2"/>
        <charset val="1"/>
      </rPr>
      <t xml:space="preserve">)</t>
    </r>
    <r>
      <rPr>
        <sz val="10"/>
        <rFont val="WenQuanYi Zen Hei"/>
        <family val="2"/>
      </rPr>
      <t xml:space="preserve">과 그 시행 유예를 둘러싼 논쟁이 이어진다</t>
    </r>
    <r>
      <rPr>
        <sz val="10"/>
        <rFont val="Noto Sans CJK SC"/>
        <family val="2"/>
        <charset val="1"/>
      </rPr>
      <t xml:space="preserve">.</t>
    </r>
  </si>
  <si>
    <r>
      <rPr>
        <sz val="10"/>
        <rFont val="Noto Sans CJK SC"/>
        <family val="2"/>
        <charset val="1"/>
      </rPr>
      <t xml:space="preserve">2023</t>
    </r>
    <r>
      <rPr>
        <sz val="10"/>
        <rFont val="WenQuanYi Zen Hei"/>
        <family val="2"/>
      </rPr>
      <t xml:space="preserve">년 </t>
    </r>
    <r>
      <rPr>
        <sz val="10"/>
        <rFont val="Noto Sans CJK SC"/>
        <family val="2"/>
        <charset val="1"/>
      </rPr>
      <t xml:space="preserve">4</t>
    </r>
    <r>
      <rPr>
        <sz val="10"/>
        <rFont val="WenQuanYi Zen Hei"/>
        <family val="2"/>
      </rPr>
      <t xml:space="preserve">월 </t>
    </r>
    <r>
      <rPr>
        <sz val="10"/>
        <rFont val="Noto Sans CJK SC"/>
        <family val="2"/>
        <charset val="1"/>
      </rPr>
      <t xml:space="preserve">14</t>
    </r>
    <r>
      <rPr>
        <sz val="10"/>
        <rFont val="WenQuanYi Zen Hei"/>
        <family val="2"/>
      </rPr>
      <t xml:space="preserve">일 사회보장재정수정법</t>
    </r>
  </si>
  <si>
    <t xml:space="preserve">retraites, âge légal, suspension</t>
  </si>
  <si>
    <t xml:space="preserve">기획 시점 지식 — Légifrance 확인 필요 (최신 상태)</t>
  </si>
  <si>
    <t xml:space="preserve">지방</t>
  </si>
  <si>
    <t xml:space="preserve">지방자치 체계</t>
  </si>
  <si>
    <t xml:space="preserve">레지옹·도(département)·코뮌. 파리는 코뮌이자 도의 권한을 가진 Ville de Paris(2019). 보건은 국가(ARS), 아동보호(ASE)·사회부조는 도, 주택은 국가·메트로폴·코뮌이 나눠 가진다.</t>
  </si>
  <si>
    <t xml:space="preserve">헌법 제72조, 2017년 2월 28일 파리 지위법</t>
  </si>
  <si>
    <r>
      <rPr>
        <sz val="10"/>
        <rFont val="Arial"/>
        <family val="0"/>
        <charset val="1"/>
      </rPr>
      <t xml:space="preserve">9</t>
    </r>
    <r>
      <rPr>
        <sz val="10"/>
        <rFont val="WenQuanYi Zen Hei"/>
        <family val="2"/>
      </rPr>
      <t xml:space="preserve">부</t>
    </r>
    <r>
      <rPr>
        <sz val="10"/>
        <rFont val="Arial"/>
        <family val="0"/>
        <charset val="1"/>
      </rPr>
      <t xml:space="preserve">, 11</t>
    </r>
    <r>
      <rPr>
        <sz val="10"/>
        <rFont val="WenQuanYi Zen Hei"/>
        <family val="2"/>
      </rPr>
      <t xml:space="preserve">부 </t>
    </r>
    <r>
      <rPr>
        <sz val="10"/>
        <rFont val="Arial"/>
        <family val="0"/>
        <charset val="1"/>
      </rPr>
      <t xml:space="preserve">3~5</t>
    </r>
    <r>
      <rPr>
        <sz val="10"/>
        <rFont val="WenQuanYi Zen Hei"/>
        <family val="2"/>
      </rPr>
      <t xml:space="preserve">화</t>
    </r>
  </si>
  <si>
    <t xml:space="preserve">collectivités territoriales, compétence, ARS, ASE</t>
  </si>
  <si>
    <r>
      <rPr>
        <sz val="10"/>
        <rFont val="Noto Sans CJK SC"/>
        <family val="2"/>
        <charset val="1"/>
      </rPr>
      <t xml:space="preserve">Conseil de Paris 163</t>
    </r>
    <r>
      <rPr>
        <sz val="10"/>
        <rFont val="WenQuanYi Zen Hei"/>
        <family val="2"/>
      </rPr>
      <t xml:space="preserve">석</t>
    </r>
    <r>
      <rPr>
        <sz val="10"/>
        <rFont val="Noto Sans CJK SC"/>
        <family val="2"/>
        <charset val="1"/>
      </rPr>
      <t xml:space="preserve">, </t>
    </r>
    <r>
      <rPr>
        <sz val="10"/>
        <rFont val="WenQuanYi Zen Hei"/>
        <family val="2"/>
      </rPr>
      <t xml:space="preserve">시장이 의장</t>
    </r>
    <r>
      <rPr>
        <sz val="10"/>
        <rFont val="Noto Sans CJK SC"/>
        <family val="2"/>
        <charset val="1"/>
      </rPr>
      <t xml:space="preserve">. </t>
    </r>
    <r>
      <rPr>
        <sz val="10"/>
        <rFont val="WenQuanYi Zen Hei"/>
        <family val="2"/>
      </rPr>
      <t xml:space="preserve">심의</t>
    </r>
    <r>
      <rPr>
        <sz val="10"/>
        <rFont val="Noto Sans CJK SC"/>
        <family val="2"/>
        <charset val="1"/>
      </rPr>
      <t xml:space="preserve">(délibération), </t>
    </r>
    <r>
      <rPr>
        <sz val="10"/>
        <rFont val="WenQuanYi Zen Hei"/>
        <family val="2"/>
      </rPr>
      <t xml:space="preserve">결의안</t>
    </r>
    <r>
      <rPr>
        <sz val="10"/>
        <rFont val="Noto Sans CJK SC"/>
        <family val="2"/>
        <charset val="1"/>
      </rPr>
      <t xml:space="preserve">(vœu), </t>
    </r>
    <r>
      <rPr>
        <sz val="10"/>
        <rFont val="WenQuanYi Zen Hei"/>
        <family val="2"/>
      </rPr>
      <t xml:space="preserve">시정 질의</t>
    </r>
    <r>
      <rPr>
        <sz val="10"/>
        <rFont val="Noto Sans CJK SC"/>
        <family val="2"/>
        <charset val="1"/>
      </rPr>
      <t xml:space="preserve">. </t>
    </r>
    <r>
      <rPr>
        <sz val="10"/>
        <rFont val="WenQuanYi Zen Hei"/>
        <family val="2"/>
      </rPr>
      <t xml:space="preserve">파리 시장은 </t>
    </r>
    <r>
      <rPr>
        <sz val="10"/>
        <rFont val="Noto Sans CJK SC"/>
        <family val="2"/>
        <charset val="1"/>
      </rPr>
      <t xml:space="preserve">AP-HP </t>
    </r>
    <r>
      <rPr>
        <sz val="10"/>
        <rFont val="WenQuanYi Zen Hei"/>
        <family val="2"/>
      </rPr>
      <t xml:space="preserve">감독위원회 의장이다</t>
    </r>
    <r>
      <rPr>
        <sz val="10"/>
        <rFont val="Noto Sans CJK SC"/>
        <family val="2"/>
        <charset val="1"/>
      </rPr>
      <t xml:space="preserve">.</t>
    </r>
  </si>
  <si>
    <t xml:space="preserve">지방자치법전 L.2512-1조 이하, 공중보건법전 L.6147-1조</t>
  </si>
  <si>
    <r>
      <rPr>
        <sz val="10"/>
        <rFont val="Arial"/>
        <family val="0"/>
        <charset val="1"/>
      </rPr>
      <t xml:space="preserve">9</t>
    </r>
    <r>
      <rPr>
        <sz val="10"/>
        <rFont val="WenQuanYi Zen Hei"/>
        <family val="2"/>
      </rPr>
      <t xml:space="preserve">부</t>
    </r>
  </si>
  <si>
    <t xml:space="preserve">Conseil de Paris, vœu, délibération, AP-HP</t>
  </si>
  <si>
    <t xml:space="preserve">지방재정 통제</t>
  </si>
  <si>
    <t xml:space="preserve">지방재정감사원(CRC)이 결산·경영을 감사한다. 단일 결산서(CFU) 도입.</t>
  </si>
  <si>
    <t xml:space="preserve">재정법원법전</t>
  </si>
  <si>
    <r>
      <rPr>
        <sz val="10"/>
        <rFont val="Arial"/>
        <family val="0"/>
        <charset val="1"/>
      </rPr>
      <t xml:space="preserve">9</t>
    </r>
    <r>
      <rPr>
        <sz val="10"/>
        <rFont val="WenQuanYi Zen Hei"/>
        <family val="2"/>
      </rPr>
      <t xml:space="preserve">부 </t>
    </r>
    <r>
      <rPr>
        <sz val="10"/>
        <rFont val="Arial"/>
        <family val="0"/>
        <charset val="1"/>
      </rPr>
      <t xml:space="preserve">3</t>
    </r>
    <r>
      <rPr>
        <sz val="10"/>
        <rFont val="WenQuanYi Zen Hei"/>
        <family val="2"/>
      </rPr>
      <t xml:space="preserve">화</t>
    </r>
  </si>
  <si>
    <t xml:space="preserve">Chambre régionale des comptes, compte financier unique</t>
  </si>
  <si>
    <t xml:space="preserve">공공조달</t>
  </si>
  <si>
    <t xml:space="preserve">기준액 이상은 공개 경쟁 입찰, 기준을 피하려는 분할 발주는 금지.</t>
  </si>
  <si>
    <t xml:space="preserve">공공조달법전</t>
  </si>
  <si>
    <r>
      <rPr>
        <sz val="10"/>
        <rFont val="Arial"/>
        <family val="0"/>
        <charset val="1"/>
      </rPr>
      <t xml:space="preserve">9</t>
    </r>
    <r>
      <rPr>
        <sz val="10"/>
        <rFont val="WenQuanYi Zen Hei"/>
        <family val="2"/>
      </rPr>
      <t xml:space="preserve">부 </t>
    </r>
    <r>
      <rPr>
        <sz val="10"/>
        <rFont val="Arial"/>
        <family val="0"/>
        <charset val="1"/>
      </rPr>
      <t xml:space="preserve">4</t>
    </r>
    <r>
      <rPr>
        <sz val="10"/>
        <rFont val="WenQuanYi Zen Hei"/>
        <family val="2"/>
      </rPr>
      <t xml:space="preserve">화</t>
    </r>
  </si>
  <si>
    <t xml:space="preserve">marché public, appel d'offres, saucissonnage</t>
  </si>
  <si>
    <t xml:space="preserve">임대료 상한</t>
  </si>
  <si>
    <t xml:space="preserve">긴장 지역의 시가 신청하면 명령으로 기준 임대료 상한을 둔다(파리 2019~).</t>
  </si>
  <si>
    <r>
      <rPr>
        <sz val="10"/>
        <rFont val="Noto Sans CJK SC"/>
        <family val="2"/>
        <charset val="1"/>
      </rPr>
      <t xml:space="preserve">2018</t>
    </r>
    <r>
      <rPr>
        <sz val="10"/>
        <rFont val="WenQuanYi Zen Hei"/>
        <family val="2"/>
      </rPr>
      <t xml:space="preserve">년 </t>
    </r>
    <r>
      <rPr>
        <sz val="10"/>
        <rFont val="Noto Sans CJK SC"/>
        <family val="2"/>
        <charset val="1"/>
      </rPr>
      <t xml:space="preserve">ELAN</t>
    </r>
    <r>
      <rPr>
        <sz val="10"/>
        <rFont val="WenQuanYi Zen Hei"/>
        <family val="2"/>
      </rPr>
      <t xml:space="preserve">법 제</t>
    </r>
    <r>
      <rPr>
        <sz val="10"/>
        <rFont val="Noto Sans CJK SC"/>
        <family val="2"/>
        <charset val="1"/>
      </rPr>
      <t xml:space="preserve">140</t>
    </r>
    <r>
      <rPr>
        <sz val="10"/>
        <rFont val="WenQuanYi Zen Hei"/>
        <family val="2"/>
      </rPr>
      <t xml:space="preserve">조</t>
    </r>
    <r>
      <rPr>
        <sz val="10"/>
        <rFont val="Noto Sans CJK SC"/>
        <family val="2"/>
        <charset val="1"/>
      </rPr>
      <t xml:space="preserve">, 2022</t>
    </r>
    <r>
      <rPr>
        <sz val="10"/>
        <rFont val="WenQuanYi Zen Hei"/>
        <family val="2"/>
      </rPr>
      <t xml:space="preserve">년 </t>
    </r>
    <r>
      <rPr>
        <sz val="10"/>
        <rFont val="Noto Sans CJK SC"/>
        <family val="2"/>
        <charset val="1"/>
      </rPr>
      <t xml:space="preserve">3DS</t>
    </r>
    <r>
      <rPr>
        <sz val="10"/>
        <rFont val="WenQuanYi Zen Hei"/>
        <family val="2"/>
      </rPr>
      <t xml:space="preserve">법</t>
    </r>
  </si>
  <si>
    <r>
      <rPr>
        <sz val="10"/>
        <rFont val="Arial"/>
        <family val="0"/>
        <charset val="1"/>
      </rPr>
      <t xml:space="preserve">1</t>
    </r>
    <r>
      <rPr>
        <sz val="10"/>
        <rFont val="WenQuanYi Zen Hei"/>
        <family val="2"/>
      </rPr>
      <t xml:space="preserve">부</t>
    </r>
    <r>
      <rPr>
        <sz val="10"/>
        <rFont val="Arial"/>
        <family val="0"/>
        <charset val="1"/>
      </rPr>
      <t xml:space="preserve">, 11</t>
    </r>
    <r>
      <rPr>
        <sz val="10"/>
        <rFont val="WenQuanYi Zen Hei"/>
        <family val="2"/>
      </rPr>
      <t xml:space="preserve">부 </t>
    </r>
    <r>
      <rPr>
        <sz val="10"/>
        <rFont val="Arial"/>
        <family val="0"/>
        <charset val="1"/>
      </rPr>
      <t xml:space="preserve">3</t>
    </r>
    <r>
      <rPr>
        <sz val="10"/>
        <rFont val="WenQuanYi Zen Hei"/>
        <family val="2"/>
      </rPr>
      <t xml:space="preserve">화</t>
    </r>
  </si>
  <si>
    <t xml:space="preserve">encadrement des loyers, loyer de référence</t>
  </si>
  <si>
    <t xml:space="preserve">단기 관광 임대</t>
  </si>
  <si>
    <t xml:space="preserve">파리는 주거의 관광 용도 전환에 허가·보상을 요구하고, 주거지 단기임대 연간 일수를 제한한다. 2024년 법으로 지자체 권한 강화.</t>
  </si>
  <si>
    <t xml:space="preserve">건설주거법전 L.631-7조, 관광법전, 2024년 11월 19일 법</t>
  </si>
  <si>
    <r>
      <rPr>
        <sz val="10"/>
        <rFont val="Arial"/>
        <family val="0"/>
        <charset val="1"/>
      </rPr>
      <t xml:space="preserve">9</t>
    </r>
    <r>
      <rPr>
        <sz val="10"/>
        <rFont val="WenQuanYi Zen Hei"/>
        <family val="2"/>
      </rPr>
      <t xml:space="preserve">부 </t>
    </r>
    <r>
      <rPr>
        <sz val="10"/>
        <rFont val="Arial"/>
        <family val="0"/>
        <charset val="1"/>
      </rPr>
      <t xml:space="preserve">6</t>
    </r>
    <r>
      <rPr>
        <sz val="10"/>
        <rFont val="WenQuanYi Zen Hei"/>
        <family val="2"/>
      </rPr>
      <t xml:space="preserve">화</t>
    </r>
  </si>
  <si>
    <t xml:space="preserve">meublé de tourisme, changement d'usage</t>
  </si>
  <si>
    <t xml:space="preserve">퇴거</t>
  </si>
  <si>
    <t xml:space="preserve">판결 → 퇴거 명령 → 2개월 → 도지사의 경찰 지원 결정. 11월 1일~3월 31일 겨울 퇴거 유예. 2023년 법으로 무단점유 처벌 강화.</t>
  </si>
  <si>
    <t xml:space="preserve">민사집행법전 L.412-1·L.412-6조, 2023년 7월 27일 법</t>
  </si>
  <si>
    <r>
      <rPr>
        <sz val="10"/>
        <rFont val="Arial"/>
        <family val="0"/>
        <charset val="1"/>
      </rPr>
      <t xml:space="preserve">1</t>
    </r>
    <r>
      <rPr>
        <sz val="10"/>
        <rFont val="WenQuanYi Zen Hei"/>
        <family val="2"/>
      </rPr>
      <t xml:space="preserve">부 </t>
    </r>
    <r>
      <rPr>
        <sz val="10"/>
        <rFont val="Arial"/>
        <family val="0"/>
        <charset val="1"/>
      </rPr>
      <t xml:space="preserve">3~4</t>
    </r>
    <r>
      <rPr>
        <sz val="10"/>
        <rFont val="WenQuanYi Zen Hei"/>
        <family val="2"/>
      </rPr>
      <t xml:space="preserve">화</t>
    </r>
    <r>
      <rPr>
        <sz val="10"/>
        <rFont val="Arial"/>
        <family val="0"/>
        <charset val="1"/>
      </rPr>
      <t xml:space="preserve">, 6</t>
    </r>
    <r>
      <rPr>
        <sz val="10"/>
        <rFont val="WenQuanYi Zen Hei"/>
        <family val="2"/>
      </rPr>
      <t xml:space="preserve">부</t>
    </r>
  </si>
  <si>
    <t xml:space="preserve">trêve hivernale, commandement de quitter les lieux, concours de la force publique</t>
  </si>
  <si>
    <t xml:space="preserve">재난·민방위</t>
  </si>
  <si>
    <t xml:space="preserve">도지사(préfet)가 ORSEC 계획으로 지휘하고 시장은 시 보호계획(PCS)을 맡는다. 기상청 적색 경보, FR-Alert 문자. 자연재해 지정(CatNat) 부처 합동 명령 → 보험 보상. 민방위 군부대 투입, EU 연대기금.</t>
  </si>
  <si>
    <t xml:space="preserve">국내안전법전 L.741-1조 이하, 보험법전 L.125-1조</t>
  </si>
  <si>
    <r>
      <rPr>
        <sz val="10"/>
        <rFont val="Arial"/>
        <family val="0"/>
        <charset val="1"/>
      </rPr>
      <t xml:space="preserve">12</t>
    </r>
    <r>
      <rPr>
        <sz val="10"/>
        <rFont val="WenQuanYi Zen Hei"/>
        <family val="2"/>
      </rPr>
      <t xml:space="preserve">부 </t>
    </r>
    <r>
      <rPr>
        <sz val="10"/>
        <rFont val="Arial"/>
        <family val="0"/>
        <charset val="1"/>
      </rPr>
      <t xml:space="preserve">8</t>
    </r>
    <r>
      <rPr>
        <sz val="10"/>
        <rFont val="WenQuanYi Zen Hei"/>
        <family val="2"/>
      </rPr>
      <t xml:space="preserve">화</t>
    </r>
  </si>
  <si>
    <t xml:space="preserve">ORSEC, vigilance rouge, FR-Alert, catastrophe naturelle</t>
  </si>
  <si>
    <t xml:space="preserve">헌법재판소</t>
  </si>
  <si>
    <t xml:space="preserve">법률 공포 전 사전 심사(대통령·총리·양원 의장·의원 60명 청구)와 사후 위헌 심사(QPC).</t>
  </si>
  <si>
    <t xml:space="preserve">헌법 제61·61-1조</t>
  </si>
  <si>
    <r>
      <rPr>
        <sz val="10"/>
        <rFont val="Arial"/>
        <family val="0"/>
        <charset val="1"/>
      </rPr>
      <t xml:space="preserve">11</t>
    </r>
    <r>
      <rPr>
        <sz val="10"/>
        <rFont val="WenQuanYi Zen Hei"/>
        <family val="2"/>
      </rPr>
      <t xml:space="preserve">부 </t>
    </r>
    <r>
      <rPr>
        <sz val="10"/>
        <rFont val="Arial"/>
        <family val="0"/>
        <charset val="1"/>
      </rPr>
      <t xml:space="preserve">3</t>
    </r>
    <r>
      <rPr>
        <sz val="10"/>
        <rFont val="WenQuanYi Zen Hei"/>
        <family val="2"/>
      </rPr>
      <t xml:space="preserve">화</t>
    </r>
  </si>
  <si>
    <t xml:space="preserve">Conseil constitutionnel, saisine, QPC</t>
  </si>
  <si>
    <t xml:space="preserve">반부패 사법</t>
  </si>
  <si>
    <t xml:space="preserve">국가금융검찰(PNF)과 파리 금융 전담 예심판사. 인가받은 반부패 단체는 사소 당사자가 될 수 있다. 불기소 처분은 검찰총장에게 이의할 수 있다.</t>
  </si>
  <si>
    <t xml:space="preserve">형사소송법 제2-23·40-1·85조</t>
  </si>
  <si>
    <r>
      <rPr>
        <sz val="10"/>
        <rFont val="Arial"/>
        <family val="0"/>
        <charset val="1"/>
      </rPr>
      <t xml:space="preserve">7</t>
    </r>
    <r>
      <rPr>
        <sz val="10"/>
        <rFont val="WenQuanYi Zen Hei"/>
        <family val="2"/>
      </rPr>
      <t xml:space="preserve">부</t>
    </r>
    <r>
      <rPr>
        <sz val="10"/>
        <rFont val="Arial"/>
        <family val="0"/>
        <charset val="1"/>
      </rPr>
      <t xml:space="preserve">, 9</t>
    </r>
    <r>
      <rPr>
        <sz val="10"/>
        <rFont val="WenQuanYi Zen Hei"/>
        <family val="2"/>
      </rPr>
      <t xml:space="preserve">부 </t>
    </r>
    <r>
      <rPr>
        <sz val="10"/>
        <rFont val="Arial"/>
        <family val="0"/>
        <charset val="1"/>
      </rPr>
      <t xml:space="preserve">9</t>
    </r>
    <r>
      <rPr>
        <sz val="10"/>
        <rFont val="WenQuanYi Zen Hei"/>
        <family val="2"/>
      </rPr>
      <t xml:space="preserve">화</t>
    </r>
  </si>
  <si>
    <t xml:space="preserve">PNF, juge d'instruction, partie civile, agrément</t>
  </si>
  <si>
    <t xml:space="preserve">내부고발자 보호</t>
  </si>
  <si>
    <t xml:space="preserve">내부·외부 신고 채널, 보복 금지, 권리보호관(Défenseur des droits)의 지원.</t>
  </si>
  <si>
    <r>
      <rPr>
        <sz val="10"/>
        <rFont val="Noto Sans CJK SC"/>
        <family val="2"/>
        <charset val="1"/>
      </rPr>
      <t xml:space="preserve">2016</t>
    </r>
    <r>
      <rPr>
        <sz val="10"/>
        <rFont val="WenQuanYi Zen Hei"/>
        <family val="2"/>
      </rPr>
      <t xml:space="preserve">년 </t>
    </r>
    <r>
      <rPr>
        <sz val="10"/>
        <rFont val="Noto Sans CJK SC"/>
        <family val="2"/>
        <charset val="1"/>
      </rPr>
      <t xml:space="preserve">Sapin II</t>
    </r>
    <r>
      <rPr>
        <sz val="10"/>
        <rFont val="WenQuanYi Zen Hei"/>
        <family val="2"/>
      </rPr>
      <t xml:space="preserve">법</t>
    </r>
    <r>
      <rPr>
        <sz val="10"/>
        <rFont val="Noto Sans CJK SC"/>
        <family val="2"/>
        <charset val="1"/>
      </rPr>
      <t xml:space="preserve">, 2022</t>
    </r>
    <r>
      <rPr>
        <sz val="10"/>
        <rFont val="WenQuanYi Zen Hei"/>
        <family val="2"/>
      </rPr>
      <t xml:space="preserve">년 </t>
    </r>
    <r>
      <rPr>
        <sz val="10"/>
        <rFont val="Noto Sans CJK SC"/>
        <family val="2"/>
        <charset val="1"/>
      </rPr>
      <t xml:space="preserve">3</t>
    </r>
    <r>
      <rPr>
        <sz val="10"/>
        <rFont val="WenQuanYi Zen Hei"/>
        <family val="2"/>
      </rPr>
      <t xml:space="preserve">월 </t>
    </r>
    <r>
      <rPr>
        <sz val="10"/>
        <rFont val="Noto Sans CJK SC"/>
        <family val="2"/>
        <charset val="1"/>
      </rPr>
      <t xml:space="preserve">21</t>
    </r>
    <r>
      <rPr>
        <sz val="10"/>
        <rFont val="WenQuanYi Zen Hei"/>
        <family val="2"/>
      </rPr>
      <t xml:space="preserve">일 법</t>
    </r>
  </si>
  <si>
    <r>
      <rPr>
        <sz val="10"/>
        <rFont val="Arial"/>
        <family val="0"/>
        <charset val="1"/>
      </rPr>
      <t xml:space="preserve">7</t>
    </r>
    <r>
      <rPr>
        <sz val="10"/>
        <rFont val="WenQuanYi Zen Hei"/>
        <family val="2"/>
      </rPr>
      <t xml:space="preserve">부</t>
    </r>
    <r>
      <rPr>
        <sz val="10"/>
        <rFont val="Arial"/>
        <family val="0"/>
        <charset val="1"/>
      </rPr>
      <t xml:space="preserve">, 9</t>
    </r>
    <r>
      <rPr>
        <sz val="10"/>
        <rFont val="WenQuanYi Zen Hei"/>
        <family val="2"/>
      </rPr>
      <t xml:space="preserve">부 </t>
    </r>
    <r>
      <rPr>
        <sz val="10"/>
        <rFont val="Arial"/>
        <family val="0"/>
        <charset val="1"/>
      </rPr>
      <t xml:space="preserve">8</t>
    </r>
    <r>
      <rPr>
        <sz val="10"/>
        <rFont val="WenQuanYi Zen Hei"/>
        <family val="2"/>
      </rPr>
      <t xml:space="preserve">화</t>
    </r>
  </si>
  <si>
    <t xml:space="preserve">lanceur d'alerte, signalement, représailles</t>
  </si>
  <si>
    <t xml:space="preserve">증거와 사생활</t>
  </si>
  <si>
    <t xml:space="preserve">수사기관이 위법하게 얻은 증거는 무효지만, 사인이 제출한 증거는 형사 절차에서 원칙적으로 허용된다. 다만 몰래 녹음·도청 자체는 사생활 침해죄가 될 수 있다.</t>
  </si>
  <si>
    <t xml:space="preserve">형법 제226-1조, 형사소송법 제427조</t>
  </si>
  <si>
    <r>
      <rPr>
        <sz val="10"/>
        <rFont val="Arial"/>
        <family val="0"/>
        <charset val="1"/>
      </rPr>
      <t xml:space="preserve">7</t>
    </r>
    <r>
      <rPr>
        <sz val="10"/>
        <rFont val="WenQuanYi Zen Hei"/>
        <family val="2"/>
      </rPr>
      <t xml:space="preserve">부 </t>
    </r>
    <r>
      <rPr>
        <sz val="10"/>
        <rFont val="Arial"/>
        <family val="0"/>
        <charset val="1"/>
      </rPr>
      <t xml:space="preserve">8</t>
    </r>
    <r>
      <rPr>
        <sz val="10"/>
        <rFont val="WenQuanYi Zen Hei"/>
        <family val="2"/>
      </rPr>
      <t xml:space="preserve">화</t>
    </r>
    <r>
      <rPr>
        <sz val="10"/>
        <rFont val="Arial"/>
        <family val="0"/>
        <charset val="1"/>
      </rPr>
      <t xml:space="preserve">, 11</t>
    </r>
    <r>
      <rPr>
        <sz val="10"/>
        <rFont val="WenQuanYi Zen Hei"/>
        <family val="2"/>
      </rPr>
      <t xml:space="preserve">부 </t>
    </r>
    <r>
      <rPr>
        <sz val="10"/>
        <rFont val="Arial"/>
        <family val="0"/>
        <charset val="1"/>
      </rPr>
      <t xml:space="preserve">7</t>
    </r>
    <r>
      <rPr>
        <sz val="10"/>
        <rFont val="WenQuanYi Zen Hei"/>
        <family val="2"/>
      </rPr>
      <t xml:space="preserve">화</t>
    </r>
  </si>
  <si>
    <t xml:space="preserve">preuve déloyale, atteinte à la vie privée</t>
  </si>
  <si>
    <t xml:space="preserve">정보기관 통제</t>
  </si>
  <si>
    <t xml:space="preserve">정보 수집 기법은 총리 허가와 CNCTR 사전 의견을 거치고, 국무원(Conseil d'État)이 사후 통제한다.</t>
  </si>
  <si>
    <t xml:space="preserve">국내안전법전 L.801-1조 이하 (2015년 정보법)</t>
  </si>
  <si>
    <r>
      <rPr>
        <sz val="10"/>
        <rFont val="Arial"/>
        <family val="0"/>
        <charset val="1"/>
      </rPr>
      <t xml:space="preserve">12</t>
    </r>
    <r>
      <rPr>
        <sz val="10"/>
        <rFont val="WenQuanYi Zen Hei"/>
        <family val="2"/>
      </rPr>
      <t xml:space="preserve">부 </t>
    </r>
    <r>
      <rPr>
        <sz val="10"/>
        <rFont val="Arial"/>
        <family val="0"/>
        <charset val="1"/>
      </rPr>
      <t xml:space="preserve">5</t>
    </r>
    <r>
      <rPr>
        <sz val="10"/>
        <rFont val="WenQuanYi Zen Hei"/>
        <family val="2"/>
      </rPr>
      <t xml:space="preserve">화</t>
    </r>
  </si>
  <si>
    <t xml:space="preserve">CNCTR, techniques de renseignement, Conseil d'État</t>
  </si>
  <si>
    <t xml:space="preserve">최고사법관회의 (CSM)</t>
  </si>
  <si>
    <t xml:space="preserve">판사·검사 인사에 관여한다. 검사 임명에 대한 CSM 구속적 의견을 도입하는 개헌안이 오래 계류 중이다.</t>
  </si>
  <si>
    <t xml:space="preserve">헌법 제64·65조</t>
  </si>
  <si>
    <t xml:space="preserve">CSM, indépendance du parquet</t>
  </si>
  <si>
    <t xml:space="preserve">성폭력 관련 법</t>
  </si>
  <si>
    <r>
      <rPr>
        <sz val="10"/>
        <rFont val="Noto Sans CJK SC"/>
        <family val="2"/>
        <charset val="1"/>
      </rPr>
      <t xml:space="preserve">2025</t>
    </r>
    <r>
      <rPr>
        <sz val="10"/>
        <rFont val="WenQuanYi Zen Hei"/>
        <family val="2"/>
      </rPr>
      <t xml:space="preserve">년 법으로 형법에 동의를 명시했다</t>
    </r>
    <r>
      <rPr>
        <sz val="10"/>
        <rFont val="Noto Sans CJK SC"/>
        <family val="2"/>
        <charset val="1"/>
      </rPr>
      <t xml:space="preserve">: </t>
    </r>
    <r>
      <rPr>
        <sz val="10"/>
        <rFont val="WenQuanYi Zen Hei"/>
        <family val="2"/>
      </rPr>
      <t xml:space="preserve">동의는 자유롭고 명확하며</t>
    </r>
    <r>
      <rPr>
        <sz val="10"/>
        <rFont val="Noto Sans CJK SC"/>
        <family val="2"/>
        <charset val="1"/>
      </rPr>
      <t xml:space="preserve">, </t>
    </r>
    <r>
      <rPr>
        <sz val="10"/>
        <rFont val="WenQuanYi Zen Hei"/>
        <family val="2"/>
      </rPr>
      <t xml:space="preserve">구체적</t>
    </r>
    <r>
      <rPr>
        <sz val="10"/>
        <rFont val="Noto Sans CJK SC"/>
        <family val="2"/>
        <charset val="1"/>
      </rPr>
      <t xml:space="preserve">·</t>
    </r>
    <r>
      <rPr>
        <sz val="10"/>
        <rFont val="WenQuanYi Zen Hei"/>
        <family val="2"/>
      </rPr>
      <t xml:space="preserve">사전적</t>
    </r>
    <r>
      <rPr>
        <sz val="10"/>
        <rFont val="Noto Sans CJK SC"/>
        <family val="2"/>
        <charset val="1"/>
      </rPr>
      <t xml:space="preserve">·</t>
    </r>
    <r>
      <rPr>
        <sz val="10"/>
        <rFont val="WenQuanYi Zen Hei"/>
        <family val="2"/>
      </rPr>
      <t xml:space="preserve">철회 가능해야 하고</t>
    </r>
    <r>
      <rPr>
        <sz val="10"/>
        <rFont val="Noto Sans CJK SC"/>
        <family val="2"/>
        <charset val="1"/>
      </rPr>
      <t xml:space="preserve">, </t>
    </r>
    <r>
      <rPr>
        <sz val="10"/>
        <rFont val="WenQuanYi Zen Hei"/>
        <family val="2"/>
      </rPr>
      <t xml:space="preserve">침묵이나 무반응만으로 추정할 수 없다</t>
    </r>
    <r>
      <rPr>
        <sz val="10"/>
        <rFont val="Noto Sans CJK SC"/>
        <family val="2"/>
        <charset val="1"/>
      </rPr>
      <t xml:space="preserve">.</t>
    </r>
  </si>
  <si>
    <r>
      <rPr>
        <sz val="10"/>
        <rFont val="Noto Sans CJK SC"/>
        <family val="2"/>
        <charset val="1"/>
      </rPr>
      <t xml:space="preserve">2025</t>
    </r>
    <r>
      <rPr>
        <sz val="10"/>
        <rFont val="WenQuanYi Zen Hei"/>
        <family val="2"/>
      </rPr>
      <t xml:space="preserve">년 </t>
    </r>
    <r>
      <rPr>
        <sz val="10"/>
        <rFont val="Noto Sans CJK SC"/>
        <family val="2"/>
        <charset val="1"/>
      </rPr>
      <t xml:space="preserve">11</t>
    </r>
    <r>
      <rPr>
        <sz val="10"/>
        <rFont val="WenQuanYi Zen Hei"/>
        <family val="2"/>
      </rPr>
      <t xml:space="preserve">월 </t>
    </r>
    <r>
      <rPr>
        <sz val="10"/>
        <rFont val="Noto Sans CJK SC"/>
        <family val="2"/>
        <charset val="1"/>
      </rPr>
      <t xml:space="preserve">6</t>
    </r>
    <r>
      <rPr>
        <sz val="10"/>
        <rFont val="WenQuanYi Zen Hei"/>
        <family val="2"/>
      </rPr>
      <t xml:space="preserve">일 법</t>
    </r>
    <r>
      <rPr>
        <sz val="10"/>
        <rFont val="Noto Sans CJK SC"/>
        <family val="2"/>
        <charset val="1"/>
      </rPr>
      <t xml:space="preserve">(2025-1057), </t>
    </r>
    <r>
      <rPr>
        <sz val="10"/>
        <rFont val="WenQuanYi Zen Hei"/>
        <family val="2"/>
      </rPr>
      <t xml:space="preserve">형법 제</t>
    </r>
    <r>
      <rPr>
        <sz val="10"/>
        <rFont val="Noto Sans CJK SC"/>
        <family val="2"/>
        <charset val="1"/>
      </rPr>
      <t xml:space="preserve">222-22</t>
    </r>
    <r>
      <rPr>
        <sz val="10"/>
        <rFont val="WenQuanYi Zen Hei"/>
        <family val="2"/>
      </rPr>
      <t xml:space="preserve">조</t>
    </r>
  </si>
  <si>
    <r>
      <rPr>
        <sz val="10"/>
        <rFont val="Arial"/>
        <family val="0"/>
        <charset val="1"/>
      </rPr>
      <t xml:space="preserve">7</t>
    </r>
    <r>
      <rPr>
        <sz val="10"/>
        <rFont val="WenQuanYi Zen Hei"/>
        <family val="2"/>
      </rPr>
      <t xml:space="preserve">부 </t>
    </r>
    <r>
      <rPr>
        <sz val="10"/>
        <rFont val="Arial"/>
        <family val="0"/>
        <charset val="1"/>
      </rPr>
      <t xml:space="preserve">3</t>
    </r>
    <r>
      <rPr>
        <sz val="10"/>
        <rFont val="WenQuanYi Zen Hei"/>
        <family val="2"/>
      </rPr>
      <t xml:space="preserve">화</t>
    </r>
  </si>
  <si>
    <t xml:space="preserve">consentement, viol, agression sexuelle</t>
  </si>
  <si>
    <t xml:space="preserve">이민·외국인</t>
  </si>
  <si>
    <t xml:space="preserve">체류는 국가 권한(CESEDA)이지만 보호자 없는 미성년 이주민 보호는 도의 아동보호(ASE) 권한이라 분담 갈등이 생긴다. 2024년 이민법, EU 이민·망명 협약 2026년 시행.</t>
  </si>
  <si>
    <r>
      <rPr>
        <sz val="10"/>
        <rFont val="Noto Sans CJK SC"/>
        <family val="2"/>
        <charset val="1"/>
      </rPr>
      <t xml:space="preserve">CESEDA, 2024</t>
    </r>
    <r>
      <rPr>
        <sz val="10"/>
        <rFont val="WenQuanYi Zen Hei"/>
        <family val="2"/>
      </rPr>
      <t xml:space="preserve">년 </t>
    </r>
    <r>
      <rPr>
        <sz val="10"/>
        <rFont val="Noto Sans CJK SC"/>
        <family val="2"/>
        <charset val="1"/>
      </rPr>
      <t xml:space="preserve">1</t>
    </r>
    <r>
      <rPr>
        <sz val="10"/>
        <rFont val="WenQuanYi Zen Hei"/>
        <family val="2"/>
      </rPr>
      <t xml:space="preserve">월 </t>
    </r>
    <r>
      <rPr>
        <sz val="10"/>
        <rFont val="Noto Sans CJK SC"/>
        <family val="2"/>
        <charset val="1"/>
      </rPr>
      <t xml:space="preserve">26</t>
    </r>
    <r>
      <rPr>
        <sz val="10"/>
        <rFont val="WenQuanYi Zen Hei"/>
        <family val="2"/>
      </rPr>
      <t xml:space="preserve">일 법</t>
    </r>
    <r>
      <rPr>
        <sz val="10"/>
        <rFont val="Noto Sans CJK SC"/>
        <family val="2"/>
        <charset val="1"/>
      </rPr>
      <t xml:space="preserve">, EU </t>
    </r>
    <r>
      <rPr>
        <sz val="10"/>
        <rFont val="WenQuanYi Zen Hei"/>
        <family val="2"/>
      </rPr>
      <t xml:space="preserve">이민</t>
    </r>
    <r>
      <rPr>
        <sz val="10"/>
        <rFont val="Noto Sans CJK SC"/>
        <family val="2"/>
        <charset val="1"/>
      </rPr>
      <t xml:space="preserve">·</t>
    </r>
    <r>
      <rPr>
        <sz val="10"/>
        <rFont val="WenQuanYi Zen Hei"/>
        <family val="2"/>
      </rPr>
      <t xml:space="preserve">망명 협약</t>
    </r>
  </si>
  <si>
    <r>
      <rPr>
        <sz val="10"/>
        <rFont val="Arial"/>
        <family val="0"/>
        <charset val="1"/>
      </rPr>
      <t xml:space="preserve">7</t>
    </r>
    <r>
      <rPr>
        <sz val="10"/>
        <rFont val="WenQuanYi Zen Hei"/>
        <family val="2"/>
      </rPr>
      <t xml:space="preserve">부 </t>
    </r>
    <r>
      <rPr>
        <sz val="10"/>
        <rFont val="Arial"/>
        <family val="0"/>
        <charset val="1"/>
      </rPr>
      <t xml:space="preserve">4</t>
    </r>
    <r>
      <rPr>
        <sz val="10"/>
        <rFont val="WenQuanYi Zen Hei"/>
        <family val="2"/>
      </rPr>
      <t xml:space="preserve">화</t>
    </r>
    <r>
      <rPr>
        <sz val="10"/>
        <rFont val="Arial"/>
        <family val="0"/>
        <charset val="1"/>
      </rPr>
      <t xml:space="preserve">, 11</t>
    </r>
    <r>
      <rPr>
        <sz val="10"/>
        <rFont val="WenQuanYi Zen Hei"/>
        <family val="2"/>
      </rPr>
      <t xml:space="preserve">부 </t>
    </r>
    <r>
      <rPr>
        <sz val="10"/>
        <rFont val="Arial"/>
        <family val="0"/>
        <charset val="1"/>
      </rPr>
      <t xml:space="preserve">5</t>
    </r>
    <r>
      <rPr>
        <sz val="10"/>
        <rFont val="WenQuanYi Zen Hei"/>
        <family val="2"/>
      </rPr>
      <t xml:space="preserve">화</t>
    </r>
  </si>
  <si>
    <t xml:space="preserve">titre de séjour, MNA, ASE</t>
  </si>
  <si>
    <t xml:space="preserve">기획 시점 지식 — Légifrance 확인 필요 (협약 시행 세부)</t>
  </si>
  <si>
    <r>
      <rPr>
        <sz val="10"/>
        <rFont val="Noto Sans CJK SC"/>
        <family val="2"/>
        <charset val="1"/>
      </rPr>
      <t xml:space="preserve">EU </t>
    </r>
    <r>
      <rPr>
        <sz val="10"/>
        <rFont val="WenQuanYi Zen Hei"/>
        <family val="2"/>
      </rPr>
      <t xml:space="preserve">재정 규칙</t>
    </r>
  </si>
  <si>
    <r>
      <rPr>
        <sz val="10"/>
        <rFont val="Noto Sans CJK SC"/>
        <family val="2"/>
        <charset val="1"/>
      </rPr>
      <t xml:space="preserve">2024</t>
    </r>
    <r>
      <rPr>
        <sz val="10"/>
        <rFont val="WenQuanYi Zen Hei"/>
        <family val="2"/>
      </rPr>
      <t xml:space="preserve">년 개정 규칙에 따라 중기 재정구조계획을 제출</t>
    </r>
    <r>
      <rPr>
        <sz val="10"/>
        <rFont val="Noto Sans CJK SC"/>
        <family val="2"/>
        <charset val="1"/>
      </rPr>
      <t xml:space="preserve">·</t>
    </r>
    <r>
      <rPr>
        <sz val="10"/>
        <rFont val="WenQuanYi Zen Hei"/>
        <family val="2"/>
      </rPr>
      <t xml:space="preserve">협의한다</t>
    </r>
    <r>
      <rPr>
        <sz val="10"/>
        <rFont val="Noto Sans CJK SC"/>
        <family val="2"/>
        <charset val="1"/>
      </rPr>
      <t xml:space="preserve">. </t>
    </r>
    <r>
      <rPr>
        <sz val="10"/>
        <rFont val="WenQuanYi Zen Hei"/>
        <family val="2"/>
      </rPr>
      <t xml:space="preserve">프랑스는 </t>
    </r>
    <r>
      <rPr>
        <sz val="10"/>
        <rFont val="Noto Sans CJK SC"/>
        <family val="2"/>
        <charset val="1"/>
      </rPr>
      <t xml:space="preserve">2024</t>
    </r>
    <r>
      <rPr>
        <sz val="10"/>
        <rFont val="WenQuanYi Zen Hei"/>
        <family val="2"/>
      </rPr>
      <t xml:space="preserve">년부터 과도한 적자 절차 대상이다</t>
    </r>
    <r>
      <rPr>
        <sz val="10"/>
        <rFont val="Noto Sans CJK SC"/>
        <family val="2"/>
        <charset val="1"/>
      </rPr>
      <t xml:space="preserve">.</t>
    </r>
  </si>
  <si>
    <r>
      <rPr>
        <sz val="10"/>
        <rFont val="Noto Sans CJK SC"/>
        <family val="2"/>
        <charset val="1"/>
      </rPr>
      <t xml:space="preserve">TFUE </t>
    </r>
    <r>
      <rPr>
        <sz val="10"/>
        <rFont val="WenQuanYi Zen Hei"/>
        <family val="2"/>
      </rPr>
      <t xml:space="preserve">제</t>
    </r>
    <r>
      <rPr>
        <sz val="10"/>
        <rFont val="Noto Sans CJK SC"/>
        <family val="2"/>
        <charset val="1"/>
      </rPr>
      <t xml:space="preserve">126</t>
    </r>
    <r>
      <rPr>
        <sz val="10"/>
        <rFont val="WenQuanYi Zen Hei"/>
        <family val="2"/>
      </rPr>
      <t xml:space="preserve">조</t>
    </r>
    <r>
      <rPr>
        <sz val="10"/>
        <rFont val="Noto Sans CJK SC"/>
        <family val="2"/>
        <charset val="1"/>
      </rPr>
      <t xml:space="preserve">, EU </t>
    </r>
    <r>
      <rPr>
        <sz val="10"/>
        <rFont val="WenQuanYi Zen Hei"/>
        <family val="2"/>
      </rPr>
      <t xml:space="preserve">규칙 </t>
    </r>
    <r>
      <rPr>
        <sz val="10"/>
        <rFont val="Noto Sans CJK SC"/>
        <family val="2"/>
        <charset val="1"/>
      </rPr>
      <t xml:space="preserve">2024/1263</t>
    </r>
  </si>
  <si>
    <r>
      <rPr>
        <sz val="10"/>
        <rFont val="Arial"/>
        <family val="0"/>
        <charset val="1"/>
      </rPr>
      <t xml:space="preserve">11</t>
    </r>
    <r>
      <rPr>
        <sz val="10"/>
        <rFont val="WenQuanYi Zen Hei"/>
        <family val="2"/>
      </rPr>
      <t xml:space="preserve">부 </t>
    </r>
    <r>
      <rPr>
        <sz val="10"/>
        <rFont val="Arial"/>
        <family val="0"/>
        <charset val="1"/>
      </rPr>
      <t xml:space="preserve">9~10</t>
    </r>
    <r>
      <rPr>
        <sz val="10"/>
        <rFont val="WenQuanYi Zen Hei"/>
        <family val="2"/>
      </rPr>
      <t xml:space="preserve">화</t>
    </r>
    <r>
      <rPr>
        <sz val="10"/>
        <rFont val="Arial"/>
        <family val="0"/>
        <charset val="1"/>
      </rPr>
      <t xml:space="preserve">, 12</t>
    </r>
    <r>
      <rPr>
        <sz val="10"/>
        <rFont val="WenQuanYi Zen Hei"/>
        <family val="2"/>
      </rPr>
      <t xml:space="preserve">부 </t>
    </r>
    <r>
      <rPr>
        <sz val="10"/>
        <rFont val="Arial"/>
        <family val="0"/>
        <charset val="1"/>
      </rPr>
      <t xml:space="preserve">3</t>
    </r>
    <r>
      <rPr>
        <sz val="10"/>
        <rFont val="WenQuanYi Zen Hei"/>
        <family val="2"/>
      </rPr>
      <t xml:space="preserve">화</t>
    </r>
  </si>
  <si>
    <t xml:space="preserve">déficit excessif, plan budgétaire et structurel à moyen terme, ECOFIN</t>
  </si>
  <si>
    <t xml:space="preserve">회복기금 (NextGenerationEU)</t>
  </si>
  <si>
    <t xml:space="preserve">프랑스는 회복·복원력 계획(PNRR)으로 EU 회복기금을 받는다. 집행 시한은 2026년 8월.</t>
  </si>
  <si>
    <r>
      <rPr>
        <sz val="10"/>
        <rFont val="Noto Sans CJK SC"/>
        <family val="2"/>
        <charset val="1"/>
      </rPr>
      <t xml:space="preserve">EU </t>
    </r>
    <r>
      <rPr>
        <sz val="10"/>
        <rFont val="WenQuanYi Zen Hei"/>
        <family val="2"/>
      </rPr>
      <t xml:space="preserve">규칙 </t>
    </r>
    <r>
      <rPr>
        <sz val="10"/>
        <rFont val="Noto Sans CJK SC"/>
        <family val="2"/>
        <charset val="1"/>
      </rPr>
      <t xml:space="preserve">2021/241</t>
    </r>
  </si>
  <si>
    <t xml:space="preserve">plan de relance, jalons, fonds européens</t>
  </si>
  <si>
    <t xml:space="preserve">국방비와 NATO</t>
  </si>
  <si>
    <r>
      <rPr>
        <sz val="10"/>
        <rFont val="Noto Sans CJK SC"/>
        <family val="2"/>
        <charset val="1"/>
      </rPr>
      <t xml:space="preserve">2025</t>
    </r>
    <r>
      <rPr>
        <sz val="10"/>
        <rFont val="WenQuanYi Zen Hei"/>
        <family val="2"/>
      </rPr>
      <t xml:space="preserve">년 헤이그 정상회의에서 </t>
    </r>
    <r>
      <rPr>
        <sz val="10"/>
        <rFont val="Noto Sans CJK SC"/>
        <family val="2"/>
        <charset val="1"/>
      </rPr>
      <t xml:space="preserve">NATO</t>
    </r>
    <r>
      <rPr>
        <sz val="10"/>
        <rFont val="WenQuanYi Zen Hei"/>
        <family val="2"/>
      </rPr>
      <t xml:space="preserve">가 </t>
    </r>
    <r>
      <rPr>
        <sz val="10"/>
        <rFont val="Noto Sans CJK SC"/>
        <family val="2"/>
        <charset val="1"/>
      </rPr>
      <t xml:space="preserve">GDP 5%(</t>
    </r>
    <r>
      <rPr>
        <sz val="10"/>
        <rFont val="WenQuanYi Zen Hei"/>
        <family val="2"/>
      </rPr>
      <t xml:space="preserve">핵심 방위 </t>
    </r>
    <r>
      <rPr>
        <sz val="10"/>
        <rFont val="Noto Sans CJK SC"/>
        <family val="2"/>
        <charset val="1"/>
      </rPr>
      <t xml:space="preserve">3.5% + </t>
    </r>
    <r>
      <rPr>
        <sz val="10"/>
        <rFont val="WenQuanYi Zen Hei"/>
        <family val="2"/>
      </rPr>
      <t xml:space="preserve">관련 지출 </t>
    </r>
    <r>
      <rPr>
        <sz val="10"/>
        <rFont val="Noto Sans CJK SC"/>
        <family val="2"/>
        <charset val="1"/>
      </rPr>
      <t xml:space="preserve">1.5%)</t>
    </r>
    <r>
      <rPr>
        <sz val="10"/>
        <rFont val="WenQuanYi Zen Hei"/>
        <family val="2"/>
      </rPr>
      <t xml:space="preserve">를 </t>
    </r>
    <r>
      <rPr>
        <sz val="10"/>
        <rFont val="Noto Sans CJK SC"/>
        <family val="2"/>
        <charset val="1"/>
      </rPr>
      <t xml:space="preserve">2035</t>
    </r>
    <r>
      <rPr>
        <sz val="10"/>
        <rFont val="WenQuanYi Zen Hei"/>
        <family val="2"/>
      </rPr>
      <t xml:space="preserve">년까지 합의했고 </t>
    </r>
    <r>
      <rPr>
        <sz val="10"/>
        <rFont val="Noto Sans CJK SC"/>
        <family val="2"/>
        <charset val="1"/>
      </rPr>
      <t xml:space="preserve">2029</t>
    </r>
    <r>
      <rPr>
        <sz val="10"/>
        <rFont val="WenQuanYi Zen Hei"/>
        <family val="2"/>
      </rPr>
      <t xml:space="preserve">년 중간 점검이 예정되어 있다</t>
    </r>
    <r>
      <rPr>
        <sz val="10"/>
        <rFont val="Noto Sans CJK SC"/>
        <family val="2"/>
        <charset val="1"/>
      </rPr>
      <t xml:space="preserve">. </t>
    </r>
    <r>
      <rPr>
        <sz val="10"/>
        <rFont val="WenQuanYi Zen Hei"/>
        <family val="2"/>
      </rPr>
      <t xml:space="preserve">이 틀 속에서 </t>
    </r>
    <r>
      <rPr>
        <sz val="10"/>
        <rFont val="Noto Sans CJK SC"/>
        <family val="2"/>
        <charset val="1"/>
      </rPr>
      <t xml:space="preserve">Napoléon</t>
    </r>
    <r>
      <rPr>
        <sz val="10"/>
        <rFont val="WenQuanYi Zen Hei"/>
        <family val="2"/>
      </rPr>
      <t xml:space="preserve">이 검증 가능한 증액 경로를 협상한다</t>
    </r>
    <r>
      <rPr>
        <sz val="10"/>
        <rFont val="Noto Sans CJK SC"/>
        <family val="2"/>
        <charset val="1"/>
      </rPr>
      <t xml:space="preserve">.</t>
    </r>
  </si>
  <si>
    <r>
      <rPr>
        <sz val="10"/>
        <rFont val="Noto Sans CJK SC"/>
        <family val="2"/>
        <charset val="1"/>
      </rPr>
      <t xml:space="preserve">2025 </t>
    </r>
    <r>
      <rPr>
        <sz val="10"/>
        <rFont val="WenQuanYi Zen Hei"/>
        <family val="2"/>
      </rPr>
      <t xml:space="preserve">헤이그 선언</t>
    </r>
    <r>
      <rPr>
        <sz val="10"/>
        <rFont val="Noto Sans CJK SC"/>
        <family val="2"/>
        <charset val="1"/>
      </rPr>
      <t xml:space="preserve">, </t>
    </r>
    <r>
      <rPr>
        <sz val="10"/>
        <rFont val="WenQuanYi Zen Hei"/>
        <family val="2"/>
      </rPr>
      <t xml:space="preserve">군사계획법</t>
    </r>
    <r>
      <rPr>
        <sz val="10"/>
        <rFont val="Noto Sans CJK SC"/>
        <family val="2"/>
        <charset val="1"/>
      </rPr>
      <t xml:space="preserve">(LPM)</t>
    </r>
  </si>
  <si>
    <r>
      <rPr>
        <sz val="10"/>
        <rFont val="Arial"/>
        <family val="0"/>
        <charset val="1"/>
      </rPr>
      <t xml:space="preserve">11</t>
    </r>
    <r>
      <rPr>
        <sz val="10"/>
        <rFont val="WenQuanYi Zen Hei"/>
        <family val="2"/>
      </rPr>
      <t xml:space="preserve">부 </t>
    </r>
    <r>
      <rPr>
        <sz val="10"/>
        <rFont val="Arial"/>
        <family val="0"/>
        <charset val="1"/>
      </rPr>
      <t xml:space="preserve">9~11</t>
    </r>
    <r>
      <rPr>
        <sz val="10"/>
        <rFont val="WenQuanYi Zen Hei"/>
        <family val="2"/>
      </rPr>
      <t xml:space="preserve">화</t>
    </r>
    <r>
      <rPr>
        <sz val="10"/>
        <rFont val="Arial"/>
        <family val="0"/>
        <charset val="1"/>
      </rPr>
      <t xml:space="preserve">, 12</t>
    </r>
    <r>
      <rPr>
        <sz val="10"/>
        <rFont val="WenQuanYi Zen Hei"/>
        <family val="2"/>
      </rPr>
      <t xml:space="preserve">부 </t>
    </r>
    <r>
      <rPr>
        <sz val="10"/>
        <rFont val="Arial"/>
        <family val="0"/>
        <charset val="1"/>
      </rPr>
      <t xml:space="preserve">3·11</t>
    </r>
    <r>
      <rPr>
        <sz val="10"/>
        <rFont val="WenQuanYi Zen Hei"/>
        <family val="2"/>
      </rPr>
      <t xml:space="preserve">화</t>
    </r>
  </si>
  <si>
    <t xml:space="preserve">dépenses de défense, OTAN, LPM</t>
  </si>
  <si>
    <t xml:space="preserve">검색 확인 (2026-09-22, 이전 판)</t>
  </si>
  <si>
    <t xml:space="preserve">재생에너지 인허가</t>
  </si>
  <si>
    <t xml:space="preserve">도지사의 환경 허가와 공개 협의, 2023년 재생에너지 가속법의 가속 구역, 영농형 태양광 규정. 농촌 주민의 찬반이 갈린다.</t>
  </si>
  <si>
    <t xml:space="preserve">환경법전, 2023년 3월 10일 법</t>
  </si>
  <si>
    <r>
      <rPr>
        <sz val="10"/>
        <rFont val="Arial"/>
        <family val="0"/>
        <charset val="1"/>
      </rPr>
      <t xml:space="preserve">10</t>
    </r>
    <r>
      <rPr>
        <sz val="10"/>
        <rFont val="WenQuanYi Zen Hei"/>
        <family val="2"/>
      </rPr>
      <t xml:space="preserve">부 </t>
    </r>
    <r>
      <rPr>
        <sz val="10"/>
        <rFont val="Arial"/>
        <family val="0"/>
        <charset val="1"/>
      </rPr>
      <t xml:space="preserve">2</t>
    </r>
    <r>
      <rPr>
        <sz val="10"/>
        <rFont val="WenQuanYi Zen Hei"/>
        <family val="2"/>
      </rPr>
      <t xml:space="preserve">화</t>
    </r>
    <r>
      <rPr>
        <sz val="10"/>
        <rFont val="Arial"/>
        <family val="0"/>
        <charset val="1"/>
      </rPr>
      <t xml:space="preserve">, 11</t>
    </r>
    <r>
      <rPr>
        <sz val="10"/>
        <rFont val="WenQuanYi Zen Hei"/>
        <family val="2"/>
      </rPr>
      <t xml:space="preserve">부 </t>
    </r>
    <r>
      <rPr>
        <sz val="10"/>
        <rFont val="Arial"/>
        <family val="0"/>
        <charset val="1"/>
      </rPr>
      <t xml:space="preserve">8</t>
    </r>
    <r>
      <rPr>
        <sz val="10"/>
        <rFont val="WenQuanYi Zen Hei"/>
        <family val="2"/>
      </rPr>
      <t xml:space="preserve">화</t>
    </r>
  </si>
  <si>
    <t xml:space="preserve">agrivoltaïsme, zone d'accélération, enquête publique</t>
  </si>
  <si>
    <r>
      <rPr>
        <sz val="10"/>
        <rFont val="Noto Sans CJK SC"/>
        <family val="2"/>
        <charset val="1"/>
      </rPr>
      <t xml:space="preserve">EU </t>
    </r>
    <r>
      <rPr>
        <sz val="10"/>
        <rFont val="WenQuanYi Zen Hei"/>
        <family val="2"/>
      </rPr>
      <t xml:space="preserve">플랫폼노동 지침</t>
    </r>
    <r>
      <rPr>
        <sz val="10"/>
        <rFont val="Noto Sans CJK SC"/>
        <family val="2"/>
        <charset val="1"/>
      </rPr>
      <t xml:space="preserve">(</t>
    </r>
    <r>
      <rPr>
        <sz val="10"/>
        <rFont val="WenQuanYi Zen Hei"/>
        <family val="2"/>
      </rPr>
      <t xml:space="preserve">고용 추정</t>
    </r>
    <r>
      <rPr>
        <sz val="10"/>
        <rFont val="Noto Sans CJK SC"/>
        <family val="2"/>
        <charset val="1"/>
      </rPr>
      <t xml:space="preserve">·</t>
    </r>
    <r>
      <rPr>
        <sz val="10"/>
        <rFont val="WenQuanYi Zen Hei"/>
        <family val="2"/>
      </rPr>
      <t xml:space="preserve">알고리즘 투명성</t>
    </r>
    <r>
      <rPr>
        <sz val="10"/>
        <rFont val="Noto Sans CJK SC"/>
        <family val="2"/>
        <charset val="1"/>
      </rPr>
      <t xml:space="preserve">, 2026</t>
    </r>
    <r>
      <rPr>
        <sz val="10"/>
        <rFont val="WenQuanYi Zen Hei"/>
        <family val="2"/>
      </rPr>
      <t xml:space="preserve">년 </t>
    </r>
    <r>
      <rPr>
        <sz val="10"/>
        <rFont val="Noto Sans CJK SC"/>
        <family val="2"/>
        <charset val="1"/>
      </rPr>
      <t xml:space="preserve">12</t>
    </r>
    <r>
      <rPr>
        <sz val="10"/>
        <rFont val="WenQuanYi Zen Hei"/>
        <family val="2"/>
      </rPr>
      <t xml:space="preserve">월까지 국내 이행</t>
    </r>
    <r>
      <rPr>
        <sz val="10"/>
        <rFont val="Noto Sans CJK SC"/>
        <family val="2"/>
        <charset val="1"/>
      </rPr>
      <t xml:space="preserve">)</t>
    </r>
    <r>
      <rPr>
        <sz val="10"/>
        <rFont val="WenQuanYi Zen Hei"/>
        <family val="2"/>
      </rPr>
      <t xml:space="preserve">과 </t>
    </r>
    <r>
      <rPr>
        <sz val="10"/>
        <rFont val="Noto Sans CJK SC"/>
        <family val="2"/>
        <charset val="1"/>
      </rPr>
      <t xml:space="preserve">ARPE</t>
    </r>
    <r>
      <rPr>
        <sz val="10"/>
        <rFont val="WenQuanYi Zen Hei"/>
        <family val="2"/>
      </rPr>
      <t xml:space="preserve">를 통한 플랫폼–노동자 대표 협상</t>
    </r>
    <r>
      <rPr>
        <sz val="10"/>
        <rFont val="Noto Sans CJK SC"/>
        <family val="2"/>
        <charset val="1"/>
      </rPr>
      <t xml:space="preserve">.</t>
    </r>
  </si>
  <si>
    <r>
      <rPr>
        <sz val="10"/>
        <rFont val="Noto Sans CJK SC"/>
        <family val="2"/>
        <charset val="1"/>
      </rPr>
      <t xml:space="preserve">EU </t>
    </r>
    <r>
      <rPr>
        <sz val="10"/>
        <rFont val="WenQuanYi Zen Hei"/>
        <family val="2"/>
      </rPr>
      <t xml:space="preserve">지침 </t>
    </r>
    <r>
      <rPr>
        <sz val="10"/>
        <rFont val="Noto Sans CJK SC"/>
        <family val="2"/>
        <charset val="1"/>
      </rPr>
      <t xml:space="preserve">2024/2831, </t>
    </r>
    <r>
      <rPr>
        <sz val="10"/>
        <rFont val="WenQuanYi Zen Hei"/>
        <family val="2"/>
      </rPr>
      <t xml:space="preserve">노동법전 </t>
    </r>
    <r>
      <rPr>
        <sz val="10"/>
        <rFont val="Noto Sans CJK SC"/>
        <family val="2"/>
        <charset val="1"/>
      </rPr>
      <t xml:space="preserve">L.7343-1</t>
    </r>
    <r>
      <rPr>
        <sz val="10"/>
        <rFont val="WenQuanYi Zen Hei"/>
        <family val="2"/>
      </rPr>
      <t xml:space="preserve">조 이하</t>
    </r>
  </si>
  <si>
    <r>
      <rPr>
        <sz val="10"/>
        <rFont val="Arial"/>
        <family val="0"/>
        <charset val="1"/>
      </rPr>
      <t xml:space="preserve">12</t>
    </r>
    <r>
      <rPr>
        <sz val="10"/>
        <rFont val="WenQuanYi Zen Hei"/>
        <family val="2"/>
      </rPr>
      <t xml:space="preserve">부 </t>
    </r>
    <r>
      <rPr>
        <sz val="10"/>
        <rFont val="Arial"/>
        <family val="0"/>
        <charset val="1"/>
      </rPr>
      <t xml:space="preserve">4</t>
    </r>
    <r>
      <rPr>
        <sz val="10"/>
        <rFont val="WenQuanYi Zen Hei"/>
        <family val="2"/>
      </rPr>
      <t xml:space="preserve">화</t>
    </r>
  </si>
  <si>
    <t xml:space="preserve">plateforme, présomption de salariat, ARPE</t>
  </si>
  <si>
    <t xml:space="preserve">※ 법령 번호·조항은 교재에 넣기 전에 Légifrance의 현행 텍스트(version en vigueur)로 반드시 확인하세요. '검색 확인'은 공개 자료에서 교차 확인한 항목이며, 나머지는 기획 시점 지식입니다.</t>
  </si>
  <si>
    <t xml:space="preserve">정치 경로와 가상 의석 시뮬레이션</t>
  </si>
  <si>
    <t xml:space="preserve">창당에서 대통령까지의 경로를 프랑스 제5공화국 제도에 맞춰 단계화했다. 정당·득표율·의석 수는 전부 가상의 교육용 수치이며, 파란 숫자·표결 값은 수정하면 결과가 자동 갱신된다.</t>
  </si>
  <si>
    <r>
      <rPr>
        <b val="true"/>
        <sz val="10"/>
        <rFont val="Arial"/>
        <family val="0"/>
        <charset val="1"/>
      </rPr>
      <t xml:space="preserve">1. </t>
    </r>
    <r>
      <rPr>
        <b val="true"/>
        <sz val="10"/>
        <rFont val="WenQuanYi Zen Hei"/>
        <family val="2"/>
      </rPr>
      <t xml:space="preserve">정치 경로 </t>
    </r>
    <r>
      <rPr>
        <b val="true"/>
        <sz val="10"/>
        <rFont val="Arial"/>
        <family val="0"/>
        <charset val="1"/>
      </rPr>
      <t xml:space="preserve">(</t>
    </r>
    <r>
      <rPr>
        <b val="true"/>
        <sz val="10"/>
        <rFont val="WenQuanYi Zen Hei"/>
        <family val="2"/>
      </rPr>
      <t xml:space="preserve">창당 → 대통령</t>
    </r>
    <r>
      <rPr>
        <b val="true"/>
        <sz val="10"/>
        <rFont val="Arial"/>
        <family val="0"/>
        <charset val="1"/>
      </rPr>
      <t xml:space="preserve">)</t>
    </r>
  </si>
  <si>
    <t xml:space="preserve">단계</t>
  </si>
  <si>
    <t xml:space="preserve">부·화</t>
  </si>
  <si>
    <t xml:space="preserve">이야기 사건</t>
  </si>
  <si>
    <r>
      <rPr>
        <sz val="10"/>
        <rFont val="Arial"/>
        <family val="0"/>
        <charset val="1"/>
      </rPr>
      <t xml:space="preserve">8</t>
    </r>
    <r>
      <rPr>
        <sz val="10"/>
        <rFont val="WenQuanYi Zen Hei"/>
        <family val="2"/>
      </rPr>
      <t xml:space="preserve">부 </t>
    </r>
    <r>
      <rPr>
        <sz val="10"/>
        <rFont val="Arial"/>
        <family val="0"/>
        <charset val="1"/>
      </rPr>
      <t xml:space="preserve">1~4</t>
    </r>
    <r>
      <rPr>
        <sz val="10"/>
        <rFont val="WenQuanYi Zen Hei"/>
        <family val="2"/>
      </rPr>
      <t xml:space="preserve">화</t>
    </r>
  </si>
  <si>
    <t xml:space="preserve">레퓌블리크 집회 → 하원 청원 50만 서명이 표결 없는 본회의 토론으로 끝남</t>
  </si>
  <si>
    <t xml:space="preserve">시위 사전 신고, 하원 청원 50만·의장단 회의(의사규칙 제148조)</t>
  </si>
  <si>
    <t xml:space="preserve">기획 지식</t>
  </si>
  <si>
    <r>
      <rPr>
        <sz val="10"/>
        <rFont val="Arial"/>
        <family val="0"/>
        <charset val="1"/>
      </rPr>
      <t xml:space="preserve">8</t>
    </r>
    <r>
      <rPr>
        <sz val="10"/>
        <rFont val="WenQuanYi Zen Hei"/>
        <family val="2"/>
      </rPr>
      <t xml:space="preserve">부 </t>
    </r>
    <r>
      <rPr>
        <sz val="10"/>
        <rFont val="Arial"/>
        <family val="0"/>
        <charset val="1"/>
      </rPr>
      <t xml:space="preserve">5~7</t>
    </r>
    <r>
      <rPr>
        <sz val="10"/>
        <rFont val="WenQuanYi Zen Hei"/>
        <family val="2"/>
      </rPr>
      <t xml:space="preserve">화</t>
    </r>
  </si>
  <si>
    <t xml:space="preserve">정당 «Maison Commune» 창당</t>
  </si>
  <si>
    <r>
      <rPr>
        <sz val="10"/>
        <rFont val="Arial"/>
        <family val="0"/>
        <charset val="1"/>
      </rPr>
      <t xml:space="preserve">1901</t>
    </r>
    <r>
      <rPr>
        <sz val="10"/>
        <rFont val="WenQuanYi Zen Hei"/>
        <family val="2"/>
      </rPr>
      <t xml:space="preserve">년 결사법상 단체 </t>
    </r>
    <r>
      <rPr>
        <sz val="10"/>
        <rFont val="Arial"/>
        <family val="0"/>
        <charset val="1"/>
      </rPr>
      <t xml:space="preserve">+ </t>
    </r>
    <r>
      <rPr>
        <sz val="10"/>
        <rFont val="WenQuanYi Zen Hei"/>
        <family val="2"/>
      </rPr>
      <t xml:space="preserve">정치자금 수탁자</t>
    </r>
    <r>
      <rPr>
        <sz val="10"/>
        <rFont val="Arial"/>
        <family val="0"/>
        <charset val="1"/>
      </rPr>
      <t xml:space="preserve">·CNCCFP </t>
    </r>
    <r>
      <rPr>
        <sz val="10"/>
        <rFont val="WenQuanYi Zen Hei"/>
        <family val="2"/>
      </rPr>
      <t xml:space="preserve">승인</t>
    </r>
    <r>
      <rPr>
        <sz val="10"/>
        <rFont val="Arial"/>
        <family val="0"/>
        <charset val="1"/>
      </rPr>
      <t xml:space="preserve">(1988</t>
    </r>
    <r>
      <rPr>
        <sz val="10"/>
        <rFont val="WenQuanYi Zen Hei"/>
        <family val="2"/>
      </rPr>
      <t xml:space="preserve">년 법</t>
    </r>
    <r>
      <rPr>
        <sz val="10"/>
        <rFont val="Arial"/>
        <family val="0"/>
        <charset val="1"/>
      </rPr>
      <t xml:space="preserve">), </t>
    </r>
    <r>
      <rPr>
        <sz val="10"/>
        <rFont val="WenQuanYi Zen Hei"/>
        <family val="2"/>
      </rPr>
      <t xml:space="preserve">개인 후원 연 </t>
    </r>
    <r>
      <rPr>
        <sz val="10"/>
        <rFont val="Arial"/>
        <family val="0"/>
        <charset val="1"/>
      </rPr>
      <t xml:space="preserve">7,500</t>
    </r>
    <r>
      <rPr>
        <sz val="10"/>
        <rFont val="WenQuanYi Zen Hei"/>
        <family val="2"/>
      </rPr>
      <t xml:space="preserve">유로 상한</t>
    </r>
  </si>
  <si>
    <r>
      <rPr>
        <sz val="10"/>
        <rFont val="Arial"/>
        <family val="0"/>
        <charset val="1"/>
      </rPr>
      <t xml:space="preserve">8</t>
    </r>
    <r>
      <rPr>
        <sz val="10"/>
        <rFont val="WenQuanYi Zen Hei"/>
        <family val="2"/>
      </rPr>
      <t xml:space="preserve">부 </t>
    </r>
    <r>
      <rPr>
        <sz val="10"/>
        <rFont val="Arial"/>
        <family val="0"/>
        <charset val="1"/>
      </rPr>
      <t xml:space="preserve">8~12</t>
    </r>
    <r>
      <rPr>
        <sz val="10"/>
        <rFont val="WenQuanYi Zen Hei"/>
        <family val="2"/>
      </rPr>
      <t xml:space="preserve">화</t>
    </r>
  </si>
  <si>
    <t xml:space="preserve">파리 시의회 선거 출마, 163석 중 12석 (가상 수치)</t>
  </si>
  <si>
    <r>
      <rPr>
        <sz val="10"/>
        <rFont val="Arial"/>
        <family val="0"/>
        <charset val="1"/>
      </rPr>
      <t xml:space="preserve">2025</t>
    </r>
    <r>
      <rPr>
        <sz val="10"/>
        <rFont val="WenQuanYi Zen Hei"/>
        <family val="2"/>
      </rPr>
      <t xml:space="preserve">년 </t>
    </r>
    <r>
      <rPr>
        <sz val="10"/>
        <rFont val="Arial"/>
        <family val="0"/>
        <charset val="1"/>
      </rPr>
      <t xml:space="preserve">PLM</t>
    </r>
    <r>
      <rPr>
        <sz val="10"/>
        <rFont val="WenQuanYi Zen Hei"/>
        <family val="2"/>
      </rPr>
      <t xml:space="preserve">법</t>
    </r>
    <r>
      <rPr>
        <sz val="10"/>
        <rFont val="Arial"/>
        <family val="0"/>
        <charset val="1"/>
      </rPr>
      <t xml:space="preserve">: </t>
    </r>
    <r>
      <rPr>
        <sz val="10"/>
        <rFont val="WenQuanYi Zen Hei"/>
        <family val="2"/>
      </rPr>
      <t xml:space="preserve">시의회 별도 투표</t>
    </r>
    <r>
      <rPr>
        <sz val="10"/>
        <rFont val="Arial"/>
        <family val="0"/>
        <charset val="1"/>
      </rPr>
      <t xml:space="preserve">, </t>
    </r>
    <r>
      <rPr>
        <sz val="10"/>
        <rFont val="WenQuanYi Zen Hei"/>
        <family val="2"/>
      </rPr>
      <t xml:space="preserve">결선 진출 </t>
    </r>
    <r>
      <rPr>
        <sz val="10"/>
        <rFont val="Arial"/>
        <family val="0"/>
        <charset val="1"/>
      </rPr>
      <t xml:space="preserve">10%·</t>
    </r>
    <r>
      <rPr>
        <sz val="10"/>
        <rFont val="WenQuanYi Zen Hei"/>
        <family val="2"/>
      </rPr>
      <t xml:space="preserve">연합 </t>
    </r>
    <r>
      <rPr>
        <sz val="10"/>
        <rFont val="Arial"/>
        <family val="0"/>
        <charset val="1"/>
      </rPr>
      <t xml:space="preserve">5%, </t>
    </r>
    <r>
      <rPr>
        <sz val="10"/>
        <rFont val="WenQuanYi Zen Hei"/>
        <family val="2"/>
      </rPr>
      <t xml:space="preserve">다수파 보너스 </t>
    </r>
    <r>
      <rPr>
        <sz val="10"/>
        <rFont val="Arial"/>
        <family val="0"/>
        <charset val="1"/>
      </rPr>
      <t xml:space="preserve">25%, </t>
    </r>
    <r>
      <rPr>
        <sz val="10"/>
        <rFont val="WenQuanYi Zen Hei"/>
        <family val="2"/>
      </rPr>
      <t xml:space="preserve">남녀 교대 명부</t>
    </r>
  </si>
  <si>
    <t xml:space="preserve">검색 확인 (PLM법)</t>
  </si>
  <si>
    <t xml:space="preserve">시의회 개원, 시장 선출은 다른 당의 몫</t>
  </si>
  <si>
    <r>
      <rPr>
        <sz val="10"/>
        <rFont val="Arial"/>
        <family val="0"/>
        <charset val="1"/>
      </rPr>
      <t xml:space="preserve">1·2</t>
    </r>
    <r>
      <rPr>
        <sz val="10"/>
        <rFont val="WenQuanYi Zen Hei"/>
        <family val="2"/>
      </rPr>
      <t xml:space="preserve">차 절대다수</t>
    </r>
    <r>
      <rPr>
        <sz val="10"/>
        <rFont val="Arial"/>
        <family val="0"/>
        <charset val="1"/>
      </rPr>
      <t xml:space="preserve">, 3</t>
    </r>
    <r>
      <rPr>
        <sz val="10"/>
        <rFont val="WenQuanYi Zen Hei"/>
        <family val="2"/>
      </rPr>
      <t xml:space="preserve">차 상대다수 </t>
    </r>
    <r>
      <rPr>
        <sz val="10"/>
        <rFont val="Arial"/>
        <family val="0"/>
        <charset val="1"/>
      </rPr>
      <t xml:space="preserve">(</t>
    </r>
    <r>
      <rPr>
        <sz val="10"/>
        <rFont val="WenQuanYi Zen Hei"/>
        <family val="2"/>
      </rPr>
      <t xml:space="preserve">지방자치법전 </t>
    </r>
    <r>
      <rPr>
        <sz val="10"/>
        <rFont val="Arial"/>
        <family val="0"/>
        <charset val="1"/>
      </rPr>
      <t xml:space="preserve">L.2122-7</t>
    </r>
    <r>
      <rPr>
        <sz val="10"/>
        <rFont val="WenQuanYi Zen Hei"/>
        <family val="2"/>
      </rPr>
      <t xml:space="preserve">조</t>
    </r>
    <r>
      <rPr>
        <sz val="10"/>
        <rFont val="Arial"/>
        <family val="0"/>
        <charset val="1"/>
      </rPr>
      <t xml:space="preserve">)</t>
    </r>
  </si>
  <si>
    <r>
      <rPr>
        <sz val="10"/>
        <rFont val="Arial"/>
        <family val="0"/>
        <charset val="1"/>
      </rPr>
      <t xml:space="preserve">9</t>
    </r>
    <r>
      <rPr>
        <sz val="10"/>
        <rFont val="WenQuanYi Zen Hei"/>
        <family val="2"/>
      </rPr>
      <t xml:space="preserve">부 </t>
    </r>
    <r>
      <rPr>
        <sz val="10"/>
        <rFont val="Arial"/>
        <family val="0"/>
        <charset val="1"/>
      </rPr>
      <t xml:space="preserve">2~11</t>
    </r>
    <r>
      <rPr>
        <sz val="10"/>
        <rFont val="WenQuanYi Zen Hei"/>
        <family val="2"/>
      </rPr>
      <t xml:space="preserve">화</t>
    </r>
  </si>
  <si>
    <r>
      <rPr>
        <sz val="10"/>
        <rFont val="Arial"/>
        <family val="0"/>
        <charset val="1"/>
      </rPr>
      <t xml:space="preserve">Julien</t>
    </r>
    <r>
      <rPr>
        <sz val="10"/>
        <rFont val="WenQuanYi Zen Hei"/>
        <family val="2"/>
      </rPr>
      <t xml:space="preserve">은 예산</t>
    </r>
    <r>
      <rPr>
        <sz val="10"/>
        <rFont val="Arial"/>
        <family val="0"/>
        <charset val="1"/>
      </rPr>
      <t xml:space="preserve">, Camille</t>
    </r>
    <r>
      <rPr>
        <sz val="10"/>
        <rFont val="WenQuanYi Zen Hei"/>
        <family val="2"/>
      </rPr>
      <t xml:space="preserve">는 보건</t>
    </r>
    <r>
      <rPr>
        <sz val="10"/>
        <rFont val="Arial"/>
        <family val="0"/>
        <charset val="1"/>
      </rPr>
      <t xml:space="preserve">(</t>
    </r>
    <r>
      <rPr>
        <sz val="10"/>
        <rFont val="WenQuanYi Zen Hei"/>
        <family val="2"/>
      </rPr>
      <t xml:space="preserve">시립 보건센터</t>
    </r>
    <r>
      <rPr>
        <sz val="10"/>
        <rFont val="Arial"/>
        <family val="0"/>
        <charset val="1"/>
      </rPr>
      <t xml:space="preserve">·AP-HP </t>
    </r>
    <r>
      <rPr>
        <sz val="10"/>
        <rFont val="WenQuanYi Zen Hei"/>
        <family val="2"/>
      </rPr>
      <t xml:space="preserve">감독위원회</t>
    </r>
    <r>
      <rPr>
        <sz val="10"/>
        <rFont val="Arial"/>
        <family val="0"/>
        <charset val="1"/>
      </rPr>
      <t xml:space="preserve">)</t>
    </r>
    <r>
      <rPr>
        <sz val="10"/>
        <rFont val="WenQuanYi Zen Hei"/>
        <family val="2"/>
      </rPr>
      <t xml:space="preserve">에서 활동</t>
    </r>
    <r>
      <rPr>
        <sz val="10"/>
        <rFont val="Arial"/>
        <family val="0"/>
        <charset val="1"/>
      </rPr>
      <t xml:space="preserve">. </t>
    </r>
    <r>
      <rPr>
        <sz val="10"/>
        <rFont val="WenQuanYi Zen Hei"/>
        <family val="2"/>
      </rPr>
      <t xml:space="preserve">스캔들 폭로</t>
    </r>
    <r>
      <rPr>
        <sz val="10"/>
        <rFont val="Arial"/>
        <family val="0"/>
        <charset val="1"/>
      </rPr>
      <t xml:space="preserve">, </t>
    </r>
    <r>
      <rPr>
        <sz val="10"/>
        <rFont val="WenQuanYi Zen Hei"/>
        <family val="2"/>
      </rPr>
      <t xml:space="preserve">사소 고소</t>
    </r>
  </si>
  <si>
    <t xml:space="preserve">지방자치법전, 공공조달법전, Sapin II법, 형사소송법 제2-23조</t>
  </si>
  <si>
    <r>
      <rPr>
        <sz val="10"/>
        <rFont val="Arial"/>
        <family val="0"/>
        <charset val="1"/>
      </rPr>
      <t xml:space="preserve">9</t>
    </r>
    <r>
      <rPr>
        <sz val="10"/>
        <rFont val="WenQuanYi Zen Hei"/>
        <family val="2"/>
      </rPr>
      <t xml:space="preserve">부 </t>
    </r>
    <r>
      <rPr>
        <sz val="10"/>
        <rFont val="Arial"/>
        <family val="0"/>
        <charset val="1"/>
      </rPr>
      <t xml:space="preserve">12</t>
    </r>
    <r>
      <rPr>
        <sz val="10"/>
        <rFont val="WenQuanYi Zen Hei"/>
        <family val="2"/>
      </rPr>
      <t xml:space="preserve">화</t>
    </r>
  </si>
  <si>
    <t xml:space="preserve">현직 대통령(UCN)이 연임 제한으로 불출마 → Nicolas 출마 선언, 추천서 수집 시작</t>
  </si>
  <si>
    <t xml:space="preserve">헌법 제6조(연속 2회 제한), 추천서 500장·30개 도·도별 10% 이하(1962년 법)</t>
  </si>
  <si>
    <r>
      <rPr>
        <sz val="10"/>
        <rFont val="Arial"/>
        <family val="0"/>
        <charset val="1"/>
      </rPr>
      <t xml:space="preserve">10</t>
    </r>
    <r>
      <rPr>
        <sz val="10"/>
        <rFont val="WenQuanYi Zen Hei"/>
        <family val="2"/>
      </rPr>
      <t xml:space="preserve">부 </t>
    </r>
    <r>
      <rPr>
        <sz val="10"/>
        <rFont val="Arial"/>
        <family val="0"/>
        <charset val="1"/>
      </rPr>
      <t xml:space="preserve">1~3</t>
    </r>
    <r>
      <rPr>
        <sz val="10"/>
        <rFont val="WenQuanYi Zen Hei"/>
        <family val="2"/>
      </rPr>
      <t xml:space="preserve">화</t>
    </r>
  </si>
  <si>
    <t xml:space="preserve">추천서 확보(농촌 시장 순회), 다자 TV 토론</t>
  </si>
  <si>
    <t xml:space="preserve">헌법재판소 추천서 접수·공개, 공식 선거운동 기간 발언 시간 균등(Arcom)</t>
  </si>
  <si>
    <r>
      <rPr>
        <sz val="10"/>
        <rFont val="Arial"/>
        <family val="0"/>
        <charset val="1"/>
      </rPr>
      <t xml:space="preserve">10</t>
    </r>
    <r>
      <rPr>
        <sz val="10"/>
        <rFont val="WenQuanYi Zen Hei"/>
        <family val="2"/>
      </rPr>
      <t xml:space="preserve">부 </t>
    </r>
    <r>
      <rPr>
        <sz val="10"/>
        <rFont val="Arial"/>
        <family val="0"/>
        <charset val="1"/>
      </rPr>
      <t xml:space="preserve">4</t>
    </r>
    <r>
      <rPr>
        <sz val="10"/>
        <rFont val="WenQuanYi Zen Hei"/>
        <family val="2"/>
      </rPr>
      <t xml:space="preserve">화</t>
    </r>
  </si>
  <si>
    <r>
      <rPr>
        <sz val="10"/>
        <rFont val="Arial"/>
        <family val="0"/>
        <charset val="1"/>
      </rPr>
      <t xml:space="preserve">1</t>
    </r>
    <r>
      <rPr>
        <sz val="10"/>
        <rFont val="WenQuanYi Zen Hei"/>
        <family val="2"/>
      </rPr>
      <t xml:space="preserve">차 투표</t>
    </r>
    <r>
      <rPr>
        <sz val="10"/>
        <rFont val="Arial"/>
        <family val="0"/>
        <charset val="1"/>
      </rPr>
      <t xml:space="preserve">: FS </t>
    </r>
    <r>
      <rPr>
        <sz val="10"/>
        <rFont val="WenQuanYi Zen Hei"/>
        <family val="2"/>
      </rPr>
      <t xml:space="preserve">후보 </t>
    </r>
    <r>
      <rPr>
        <sz val="10"/>
        <rFont val="Arial"/>
        <family val="0"/>
        <charset val="1"/>
      </rPr>
      <t xml:space="preserve">1</t>
    </r>
    <r>
      <rPr>
        <sz val="10"/>
        <rFont val="WenQuanYi Zen Hei"/>
        <family val="2"/>
      </rPr>
      <t xml:space="preserve">위</t>
    </r>
    <r>
      <rPr>
        <sz val="10"/>
        <rFont val="Arial"/>
        <family val="0"/>
        <charset val="1"/>
      </rPr>
      <t xml:space="preserve">, Nicolas 2</t>
    </r>
    <r>
      <rPr>
        <sz val="10"/>
        <rFont val="WenQuanYi Zen Hei"/>
        <family val="2"/>
      </rPr>
      <t xml:space="preserve">위로 결선 진출 </t>
    </r>
    <r>
      <rPr>
        <sz val="10"/>
        <rFont val="Arial"/>
        <family val="0"/>
        <charset val="1"/>
      </rPr>
      <t xml:space="preserve">(</t>
    </r>
    <r>
      <rPr>
        <sz val="10"/>
        <rFont val="WenQuanYi Zen Hei"/>
        <family val="2"/>
      </rPr>
      <t xml:space="preserve">아래 </t>
    </r>
    <r>
      <rPr>
        <sz val="10"/>
        <rFont val="Arial"/>
        <family val="0"/>
        <charset val="1"/>
      </rPr>
      <t xml:space="preserve">A</t>
    </r>
    <r>
      <rPr>
        <sz val="10"/>
        <rFont val="WenQuanYi Zen Hei"/>
        <family val="2"/>
      </rPr>
      <t xml:space="preserve">블록</t>
    </r>
    <r>
      <rPr>
        <sz val="10"/>
        <rFont val="Arial"/>
        <family val="0"/>
        <charset val="1"/>
      </rPr>
      <t xml:space="preserve">)</t>
    </r>
  </si>
  <si>
    <t xml:space="preserve">유효표 과반 없으면 상위 2인이 결선 (헌법 제7조)</t>
  </si>
  <si>
    <r>
      <rPr>
        <sz val="10"/>
        <rFont val="Arial"/>
        <family val="0"/>
        <charset val="1"/>
      </rPr>
      <t xml:space="preserve">10</t>
    </r>
    <r>
      <rPr>
        <sz val="10"/>
        <rFont val="WenQuanYi Zen Hei"/>
        <family val="2"/>
      </rPr>
      <t xml:space="preserve">부 </t>
    </r>
    <r>
      <rPr>
        <sz val="10"/>
        <rFont val="Arial"/>
        <family val="0"/>
        <charset val="1"/>
      </rPr>
      <t xml:space="preserve">5~7</t>
    </r>
    <r>
      <rPr>
        <sz val="10"/>
        <rFont val="WenQuanYi Zen Hei"/>
        <family val="2"/>
      </rPr>
      <t xml:space="preserve">화</t>
    </r>
  </si>
  <si>
    <t xml:space="preserve">결선까지의 2주: 지지 선언 협상, 결선 토론, 결선 승리 (A블록)</t>
  </si>
  <si>
    <t xml:space="preserve">결선은 1차 14일 뒤</t>
  </si>
  <si>
    <t xml:space="preserve">헌법재판소 결과 선포, 엘리제 권한 이양식</t>
  </si>
  <si>
    <t xml:space="preserve">헌법 제58조. 프랑스 대통령은 선서하지 않는다</t>
  </si>
  <si>
    <r>
      <rPr>
        <sz val="10"/>
        <rFont val="Arial"/>
        <family val="0"/>
        <charset val="1"/>
      </rPr>
      <t xml:space="preserve">10</t>
    </r>
    <r>
      <rPr>
        <sz val="10"/>
        <rFont val="WenQuanYi Zen Hei"/>
        <family val="2"/>
      </rPr>
      <t xml:space="preserve">부 </t>
    </r>
    <r>
      <rPr>
        <sz val="10"/>
        <rFont val="Arial"/>
        <family val="0"/>
        <charset val="1"/>
      </rPr>
      <t xml:space="preserve">9</t>
    </r>
    <r>
      <rPr>
        <sz val="10"/>
        <rFont val="WenQuanYi Zen Hei"/>
        <family val="2"/>
      </rPr>
      <t xml:space="preserve">화</t>
    </r>
  </si>
  <si>
    <t xml:space="preserve">하원에 의석이 없는 대통령 → 국회 해산</t>
  </si>
  <si>
    <t xml:space="preserve">헌법 제12조: 20~40일 내 총선, 총선 후 1년 내 재해산 불가</t>
  </si>
  <si>
    <t xml:space="preserve">총선: Maison Commune 198석 1당, 과반 289석에 91석 부족 (B블록)</t>
  </si>
  <si>
    <r>
      <rPr>
        <sz val="10"/>
        <rFont val="Arial"/>
        <family val="0"/>
        <charset val="1"/>
      </rPr>
      <t xml:space="preserve">577</t>
    </r>
    <r>
      <rPr>
        <sz val="10"/>
        <rFont val="WenQuanYi Zen Hei"/>
        <family val="2"/>
      </rPr>
      <t xml:space="preserve">석 소선거구 </t>
    </r>
    <r>
      <rPr>
        <sz val="10"/>
        <rFont val="Arial"/>
        <family val="0"/>
        <charset val="1"/>
      </rPr>
      <t xml:space="preserve">2</t>
    </r>
    <r>
      <rPr>
        <sz val="10"/>
        <rFont val="WenQuanYi Zen Hei"/>
        <family val="2"/>
      </rPr>
      <t xml:space="preserve">회 투표</t>
    </r>
  </si>
  <si>
    <t xml:space="preserve">가상 수치</t>
  </si>
  <si>
    <r>
      <rPr>
        <sz val="10"/>
        <rFont val="Arial"/>
        <family val="0"/>
        <charset val="1"/>
      </rPr>
      <t xml:space="preserve">10</t>
    </r>
    <r>
      <rPr>
        <sz val="10"/>
        <rFont val="WenQuanYi Zen Hei"/>
        <family val="2"/>
      </rPr>
      <t xml:space="preserve">부 </t>
    </r>
    <r>
      <rPr>
        <sz val="10"/>
        <rFont val="Arial"/>
        <family val="0"/>
        <charset val="1"/>
      </rPr>
      <t xml:space="preserve">11</t>
    </r>
    <r>
      <rPr>
        <sz val="10"/>
        <rFont val="WenQuanYi Zen Hei"/>
        <family val="2"/>
      </rPr>
      <t xml:space="preserve">화</t>
    </r>
  </si>
  <si>
    <t xml:space="preserve">총리 Olympe 임명, CT(지역 정당 연합)와 코르시카 자치 협상</t>
  </si>
  <si>
    <t xml:space="preserve">총리 임명(헌법 제8조), 정당 간 협약</t>
  </si>
  <si>
    <r>
      <rPr>
        <sz val="10"/>
        <rFont val="Arial"/>
        <family val="0"/>
        <charset val="1"/>
      </rPr>
      <t xml:space="preserve">10</t>
    </r>
    <r>
      <rPr>
        <sz val="10"/>
        <rFont val="WenQuanYi Zen Hei"/>
        <family val="2"/>
      </rPr>
      <t xml:space="preserve">부 </t>
    </r>
    <r>
      <rPr>
        <sz val="10"/>
        <rFont val="Arial"/>
        <family val="0"/>
        <charset val="1"/>
      </rPr>
      <t xml:space="preserve">12</t>
    </r>
    <r>
      <rPr>
        <sz val="10"/>
        <rFont val="WenQuanYi Zen Hei"/>
        <family val="2"/>
      </rPr>
      <t xml:space="preserve">화</t>
    </r>
  </si>
  <si>
    <t xml:space="preserve">일반정책연설 직후 첫 불신임안: 찬성 288표, 1표 부족으로 부결 (B블록)</t>
  </si>
  <si>
    <t xml:space="preserve">헌법 제49조 2항: 58명 서명, 48시간 후 표결, 찬성표만 집계, 재적 과반 289</t>
  </si>
  <si>
    <t xml:space="preserve">첫 국무회의, 장관 임명</t>
  </si>
  <si>
    <t xml:space="preserve">헌법 제8·9조, 매주 수요일 엘리제</t>
  </si>
  <si>
    <r>
      <rPr>
        <sz val="10"/>
        <rFont val="Arial"/>
        <family val="0"/>
        <charset val="1"/>
      </rPr>
      <t xml:space="preserve">11</t>
    </r>
    <r>
      <rPr>
        <sz val="10"/>
        <rFont val="WenQuanYi Zen Hei"/>
        <family val="2"/>
      </rPr>
      <t xml:space="preserve">부 </t>
    </r>
    <r>
      <rPr>
        <sz val="10"/>
        <rFont val="Arial"/>
        <family val="0"/>
        <charset val="1"/>
      </rPr>
      <t xml:space="preserve">2~5·8</t>
    </r>
    <r>
      <rPr>
        <sz val="10"/>
        <rFont val="WenQuanYi Zen Hei"/>
        <family val="2"/>
      </rPr>
      <t xml:space="preserve">화</t>
    </r>
  </si>
  <si>
    <t xml:space="preserve">국정: 주거법(위헌 심사), 응급실(LFSS·ONDAM), 이민(도의 아동 보호), 조세는 법률로</t>
  </si>
  <si>
    <t xml:space="preserve">헌법 제34·47-1·61조, CESEDA</t>
  </si>
  <si>
    <r>
      <rPr>
        <sz val="10"/>
        <rFont val="Arial"/>
        <family val="0"/>
        <charset val="1"/>
      </rPr>
      <t xml:space="preserve">11</t>
    </r>
    <r>
      <rPr>
        <sz val="10"/>
        <rFont val="WenQuanYi Zen Hei"/>
        <family val="2"/>
      </rPr>
      <t xml:space="preserve">부 </t>
    </r>
    <r>
      <rPr>
        <sz val="10"/>
        <rFont val="Arial"/>
        <family val="0"/>
        <charset val="1"/>
      </rPr>
      <t xml:space="preserve">9~12</t>
    </r>
    <r>
      <rPr>
        <sz val="10"/>
        <rFont val="WenQuanYi Zen Hei"/>
        <family val="2"/>
      </rPr>
      <t xml:space="preserve">화</t>
    </r>
  </si>
  <si>
    <t xml:space="preserve">대통령 특사 Napoléon의 브뤼셀 협상 승리, 귀국 직후 사망</t>
  </si>
  <si>
    <t xml:space="preserve">대통령의 외교권(헌법 제52조), TFUE 제126조, NATO 헤이그 합의</t>
  </si>
  <si>
    <t xml:space="preserve">예산 조항에 49조 3항 → 두 번째 불신임안, CT 기권으로 부결 (C블록)</t>
  </si>
  <si>
    <t xml:space="preserve">남부 지중해성 폭우(가상): 도지사 ORSEC 지휘, 자연재해 지정, 보상</t>
  </si>
  <si>
    <t xml:space="preserve">국내안전법전, 보험법전(CatNat), EU 연대기금</t>
  </si>
  <si>
    <t xml:space="preserve">예산안 제출 준비 (연금·부채·방위비 사이의 줄타기)</t>
  </si>
  <si>
    <t xml:space="preserve">헌법 제47조, LOLF: 10월 첫 화요일 제출, 70일, 특별법</t>
  </si>
  <si>
    <r>
      <rPr>
        <sz val="10"/>
        <rFont val="Arial"/>
        <family val="0"/>
        <charset val="1"/>
      </rPr>
      <t xml:space="preserve">13</t>
    </r>
    <r>
      <rPr>
        <sz val="10"/>
        <rFont val="WenQuanYi Zen Hei"/>
        <family val="2"/>
      </rPr>
      <t xml:space="preserve">부</t>
    </r>
  </si>
  <si>
    <t xml:space="preserve">임기 후반, 사무소를 재단으로 전환</t>
  </si>
  <si>
    <t xml:space="preserve">각료 겸직 금지(헌법 제23조), HATVP 신고</t>
  </si>
  <si>
    <r>
      <rPr>
        <b val="true"/>
        <sz val="10"/>
        <rFont val="Arial"/>
        <family val="0"/>
        <charset val="1"/>
      </rPr>
      <t xml:space="preserve">2. </t>
    </r>
    <r>
      <rPr>
        <b val="true"/>
        <sz val="10"/>
        <rFont val="WenQuanYi Zen Hei"/>
        <family val="2"/>
      </rPr>
      <t xml:space="preserve">가상 정당 </t>
    </r>
    <r>
      <rPr>
        <b val="true"/>
        <sz val="10"/>
        <rFont val="Arial"/>
        <family val="0"/>
        <charset val="1"/>
      </rPr>
      <t xml:space="preserve">(</t>
    </r>
    <r>
      <rPr>
        <b val="true"/>
        <sz val="10"/>
        <rFont val="WenQuanYi Zen Hei"/>
        <family val="2"/>
      </rPr>
      <t xml:space="preserve">실존 정당</t>
    </r>
    <r>
      <rPr>
        <b val="true"/>
        <sz val="10"/>
        <rFont val="Arial"/>
        <family val="0"/>
        <charset val="1"/>
      </rPr>
      <t xml:space="preserve">·</t>
    </r>
    <r>
      <rPr>
        <b val="true"/>
        <sz val="10"/>
        <rFont val="WenQuanYi Zen Hei"/>
        <family val="2"/>
      </rPr>
      <t xml:space="preserve">정치인 사용 금지</t>
    </r>
    <r>
      <rPr>
        <b val="true"/>
        <sz val="10"/>
        <rFont val="Arial"/>
        <family val="0"/>
        <charset val="1"/>
      </rPr>
      <t xml:space="preserve">)</t>
    </r>
  </si>
  <si>
    <t xml:space="preserve">정당명 (가상)</t>
  </si>
  <si>
    <t xml:space="preserve">성격</t>
  </si>
  <si>
    <t xml:space="preserve">이야기 속 역할</t>
  </si>
  <si>
    <t xml:space="preserve">CC</t>
  </si>
  <si>
    <t xml:space="preserve">Maison Commune</t>
  </si>
  <si>
    <t xml:space="preserve">주인공 정당. Monique의 식탁에서 나온 이름</t>
  </si>
  <si>
    <t xml:space="preserve">시민 정당. 창당 → 파리 시의회 → 대선 승리 → 총선 1당(상대다수)</t>
  </si>
  <si>
    <t xml:space="preserve">UCN</t>
  </si>
  <si>
    <t xml:space="preserve">Union Civique Nationale</t>
  </si>
  <si>
    <t xml:space="preserve">거대 보수 정당</t>
  </si>
  <si>
    <t xml:space="preserve">현직 대통령 배출(연임 제한으로 불출마), 대선 1차 3위, 총선 2당, 불신임안 주도</t>
  </si>
  <si>
    <t xml:space="preserve">FS</t>
  </si>
  <si>
    <t xml:space="preserve">France Souveraine</t>
  </si>
  <si>
    <t xml:space="preserve">민족주의 성향 정당</t>
  </si>
  <si>
    <t xml:space="preserve">대선 1차 1위·결선 패배, 불신임안 찬성</t>
  </si>
  <si>
    <t xml:space="preserve">PPS</t>
  </si>
  <si>
    <t xml:space="preserve">Parti du Progrès Social</t>
  </si>
  <si>
    <t xml:space="preserve">중도좌파 정당</t>
  </si>
  <si>
    <t xml:space="preserve">결선에서 Nicolas 지지 선언, 총선 후 법안별 조건부 지지</t>
  </si>
  <si>
    <t xml:space="preserve">AE</t>
  </si>
  <si>
    <t xml:space="preserve">Alliance Écologiste</t>
  </si>
  <si>
    <t xml:space="preserve">환경 정당</t>
  </si>
  <si>
    <t xml:space="preserve">조건부 친여 (불신임안 불참)</t>
  </si>
  <si>
    <t xml:space="preserve">CT</t>
  </si>
  <si>
    <t xml:space="preserve">Coalition des Territoires</t>
  </si>
  <si>
    <t xml:space="preserve">코르시카·해외영토 지역 정당 연합</t>
  </si>
  <si>
    <t xml:space="preserve">캐스팅보트: 10부 첫 불신임안에 찬성 → 12부 자치 협상 후 기권 (협상의 열쇠)</t>
  </si>
  <si>
    <r>
      <rPr>
        <b val="true"/>
        <sz val="10"/>
        <rFont val="Arial"/>
        <family val="0"/>
        <charset val="1"/>
      </rPr>
      <t xml:space="preserve">3-A. </t>
    </r>
    <r>
      <rPr>
        <b val="true"/>
        <sz val="10"/>
        <rFont val="WenQuanYi Zen Hei"/>
        <family val="2"/>
      </rPr>
      <t xml:space="preserve">대통령 선거 </t>
    </r>
    <r>
      <rPr>
        <b val="true"/>
        <sz val="10"/>
        <rFont val="Arial"/>
        <family val="0"/>
        <charset val="1"/>
      </rPr>
      <t xml:space="preserve">1</t>
    </r>
    <r>
      <rPr>
        <b val="true"/>
        <sz val="10"/>
        <rFont val="WenQuanYi Zen Hei"/>
        <family val="2"/>
      </rPr>
      <t xml:space="preserve">차</t>
    </r>
    <r>
      <rPr>
        <b val="true"/>
        <sz val="10"/>
        <rFont val="Arial"/>
        <family val="0"/>
        <charset val="1"/>
      </rPr>
      <t xml:space="preserve">·</t>
    </r>
    <r>
      <rPr>
        <b val="true"/>
        <sz val="10"/>
        <rFont val="WenQuanYi Zen Hei"/>
        <family val="2"/>
      </rPr>
      <t xml:space="preserve">결선 </t>
    </r>
    <r>
      <rPr>
        <b val="true"/>
        <sz val="10"/>
        <rFont val="Arial"/>
        <family val="0"/>
        <charset val="1"/>
      </rPr>
      <t xml:space="preserve">(</t>
    </r>
    <r>
      <rPr>
        <b val="true"/>
        <sz val="10"/>
        <rFont val="WenQuanYi Zen Hei"/>
        <family val="2"/>
      </rPr>
      <t xml:space="preserve">가상</t>
    </r>
    <r>
      <rPr>
        <b val="true"/>
        <sz val="10"/>
        <rFont val="Arial"/>
        <family val="0"/>
        <charset val="1"/>
      </rPr>
      <t xml:space="preserve">, 10</t>
    </r>
    <r>
      <rPr>
        <b val="true"/>
        <sz val="10"/>
        <rFont val="WenQuanYi Zen Hei"/>
        <family val="2"/>
      </rPr>
      <t xml:space="preserve">부 </t>
    </r>
    <r>
      <rPr>
        <b val="true"/>
        <sz val="10"/>
        <rFont val="Arial"/>
        <family val="0"/>
        <charset val="1"/>
      </rPr>
      <t xml:space="preserve">4·7</t>
    </r>
    <r>
      <rPr>
        <b val="true"/>
        <sz val="10"/>
        <rFont val="WenQuanYi Zen Hei"/>
        <family val="2"/>
      </rPr>
      <t xml:space="preserve">화</t>
    </r>
    <r>
      <rPr>
        <b val="true"/>
        <sz val="10"/>
        <rFont val="Arial"/>
        <family val="0"/>
        <charset val="1"/>
      </rPr>
      <t xml:space="preserve">)</t>
    </r>
  </si>
  <si>
    <t xml:space="preserve">후보 (정당)</t>
  </si>
  <si>
    <r>
      <rPr>
        <b val="true"/>
        <sz val="10"/>
        <color rgb="FFFFFFFF"/>
        <rFont val="Noto Sans CJK SC"/>
        <family val="2"/>
        <charset val="1"/>
      </rPr>
      <t xml:space="preserve">1</t>
    </r>
    <r>
      <rPr>
        <b val="true"/>
        <sz val="10"/>
        <color rgb="FFFFFFFF"/>
        <rFont val="WenQuanYi Zen Hei"/>
        <family val="2"/>
      </rPr>
      <t xml:space="preserve">차 득표율</t>
    </r>
  </si>
  <si>
    <t xml:space="preserve">순위</t>
  </si>
  <si>
    <r>
      <rPr>
        <b val="true"/>
        <sz val="10"/>
        <color rgb="FFFFFFFF"/>
        <rFont val="Noto Sans CJK SC"/>
        <family val="2"/>
        <charset val="1"/>
      </rPr>
      <t xml:space="preserve">1</t>
    </r>
    <r>
      <rPr>
        <b val="true"/>
        <sz val="10"/>
        <color rgb="FFFFFFFF"/>
        <rFont val="WenQuanYi Zen Hei"/>
        <family val="2"/>
      </rPr>
      <t xml:space="preserve">차 결과</t>
    </r>
  </si>
  <si>
    <t xml:space="preserve">결선 이동 비율 → Nicolas (CC)</t>
  </si>
  <si>
    <t xml:space="preserve">결선 이동 비율 → FS 후보</t>
  </si>
  <si>
    <t xml:space="preserve">Nicolas (CC)</t>
  </si>
  <si>
    <r>
      <rPr>
        <b val="true"/>
        <sz val="10"/>
        <rFont val="Arial"/>
        <family val="0"/>
        <charset val="1"/>
      </rPr>
      <t xml:space="preserve">FS </t>
    </r>
    <r>
      <rPr>
        <b val="true"/>
        <sz val="10"/>
        <rFont val="WenQuanYi Zen Hei"/>
        <family val="2"/>
      </rPr>
      <t xml:space="preserve">후보</t>
    </r>
  </si>
  <si>
    <r>
      <rPr>
        <b val="true"/>
        <sz val="10"/>
        <rFont val="Arial"/>
        <family val="0"/>
        <charset val="1"/>
      </rPr>
      <t xml:space="preserve">UCN </t>
    </r>
    <r>
      <rPr>
        <b val="true"/>
        <sz val="10"/>
        <rFont val="WenQuanYi Zen Hei"/>
        <family val="2"/>
      </rPr>
      <t xml:space="preserve">후보</t>
    </r>
  </si>
  <si>
    <r>
      <rPr>
        <b val="true"/>
        <sz val="10"/>
        <rFont val="Arial"/>
        <family val="0"/>
        <charset val="1"/>
      </rPr>
      <t xml:space="preserve">PPS </t>
    </r>
    <r>
      <rPr>
        <b val="true"/>
        <sz val="10"/>
        <rFont val="WenQuanYi Zen Hei"/>
        <family val="2"/>
      </rPr>
      <t xml:space="preserve">후보</t>
    </r>
  </si>
  <si>
    <r>
      <rPr>
        <b val="true"/>
        <sz val="10"/>
        <rFont val="Arial"/>
        <family val="0"/>
        <charset val="1"/>
      </rPr>
      <t xml:space="preserve">AE </t>
    </r>
    <r>
      <rPr>
        <b val="true"/>
        <sz val="10"/>
        <rFont val="WenQuanYi Zen Hei"/>
        <family val="2"/>
      </rPr>
      <t xml:space="preserve">후보</t>
    </r>
  </si>
  <si>
    <t xml:space="preserve">기타 후보 합계</t>
  </si>
  <si>
    <r>
      <rPr>
        <b val="true"/>
        <sz val="10"/>
        <rFont val="Noto Sans CJK SC"/>
        <family val="2"/>
        <charset val="1"/>
      </rPr>
      <t xml:space="preserve">1</t>
    </r>
    <r>
      <rPr>
        <b val="true"/>
        <sz val="10"/>
        <rFont val="WenQuanYi Zen Hei"/>
        <family val="2"/>
      </rPr>
      <t xml:space="preserve">차 당선 여부</t>
    </r>
  </si>
  <si>
    <t xml:space="preserve">결선 득표 (1차 유효표 기준 환산)</t>
  </si>
  <si>
    <t xml:space="preserve">결선 득표율 (유효표)</t>
  </si>
  <si>
    <t xml:space="preserve">결선 결과</t>
  </si>
  <si>
    <t xml:space="preserve">기권·무효로 빠지는 몫</t>
  </si>
  <si>
    <t xml:space="preserve">해석: 1차는 FS 후보 24.1%, Nicolas 22.3%, UCN 21.5%로 3파전 — Nicolas는 0.8%p 차이로 결선에 오른다. 결선은 탈락 후보 지지층의 이동 비율(파란 셀, 가정값)로 환산하며, 기본값에서 Nicolas가 약 53%로 당선된다. UCN 지지층의 이동 비율이 10부 5화(결선까지의 2주) 협상의 서스펜스.</t>
  </si>
  <si>
    <r>
      <rPr>
        <b val="true"/>
        <sz val="10"/>
        <rFont val="Arial"/>
        <family val="0"/>
        <charset val="1"/>
      </rPr>
      <t xml:space="preserve">3-B. </t>
    </r>
    <r>
      <rPr>
        <b val="true"/>
        <sz val="10"/>
        <rFont val="WenQuanYi Zen Hei"/>
        <family val="2"/>
      </rPr>
      <t xml:space="preserve">총선 결과와 첫 불신임안 </t>
    </r>
    <r>
      <rPr>
        <b val="true"/>
        <sz val="10"/>
        <rFont val="Arial"/>
        <family val="0"/>
        <charset val="1"/>
      </rPr>
      <t xml:space="preserve">(</t>
    </r>
    <r>
      <rPr>
        <b val="true"/>
        <sz val="10"/>
        <rFont val="WenQuanYi Zen Hei"/>
        <family val="2"/>
      </rPr>
      <t xml:space="preserve">가상</t>
    </r>
    <r>
      <rPr>
        <b val="true"/>
        <sz val="10"/>
        <rFont val="Arial"/>
        <family val="0"/>
        <charset val="1"/>
      </rPr>
      <t xml:space="preserve">, 10</t>
    </r>
    <r>
      <rPr>
        <b val="true"/>
        <sz val="10"/>
        <rFont val="WenQuanYi Zen Hei"/>
        <family val="2"/>
      </rPr>
      <t xml:space="preserve">부 </t>
    </r>
    <r>
      <rPr>
        <b val="true"/>
        <sz val="10"/>
        <rFont val="Arial"/>
        <family val="0"/>
        <charset val="1"/>
      </rPr>
      <t xml:space="preserve">10·12</t>
    </r>
    <r>
      <rPr>
        <b val="true"/>
        <sz val="10"/>
        <rFont val="WenQuanYi Zen Hei"/>
        <family val="2"/>
      </rPr>
      <t xml:space="preserve">화</t>
    </r>
    <r>
      <rPr>
        <b val="true"/>
        <sz val="10"/>
        <rFont val="Arial"/>
        <family val="0"/>
        <charset val="1"/>
      </rPr>
      <t xml:space="preserve">)</t>
    </r>
  </si>
  <si>
    <t xml:space="preserve">정당</t>
  </si>
  <si>
    <t xml:space="preserve">의석</t>
  </si>
  <si>
    <t xml:space="preserve">불신임안 표결 (찬성만 집계)</t>
  </si>
  <si>
    <t xml:space="preserve">비고</t>
  </si>
  <si>
    <t xml:space="preserve">찬성</t>
  </si>
  <si>
    <t xml:space="preserve">총 의석</t>
  </si>
  <si>
    <t xml:space="preserve">절대다수 (재적 과반)</t>
  </si>
  <si>
    <r>
      <rPr>
        <b val="true"/>
        <sz val="10"/>
        <rFont val="Noto Sans CJK SC"/>
        <family val="2"/>
        <charset val="1"/>
      </rPr>
      <t xml:space="preserve">CC </t>
    </r>
    <r>
      <rPr>
        <b val="true"/>
        <sz val="10"/>
        <rFont val="WenQuanYi Zen Hei"/>
        <family val="2"/>
      </rPr>
      <t xml:space="preserve">과반까지 부족 의석</t>
    </r>
  </si>
  <si>
    <t xml:space="preserve">불신임안 찬성</t>
  </si>
  <si>
    <t xml:space="preserve">결과</t>
  </si>
  <si>
    <t xml:space="preserve">찬성 ≥ 재적 과반이면 가결 (헌법 제49조 2항)</t>
  </si>
  <si>
    <t xml:space="preserve">부족 표</t>
  </si>
  <si>
    <t xml:space="preserve">발의 필요 서명 (1/10)</t>
  </si>
  <si>
    <t xml:space="preserve">해석: Maison Commune은 198석으로 1당이지만 과반 289석에 91석 모자란 상대다수 정부다. 코르시카 자치 협상이 절반만 타결되자 CT가 불신임안에 찬성해 찬성은 UCN 158 + FS 96 + CT 34 = 288표 — 재적 과반 289에 딱 1표 부족해 부결된다. 불신임안은 찬성표만 세므로 반대·불참은 결과에 같은 효과를 낸다(표결 결과 낭독: 하원의장).</t>
  </si>
  <si>
    <r>
      <rPr>
        <b val="true"/>
        <sz val="10"/>
        <rFont val="Arial"/>
        <family val="0"/>
        <charset val="1"/>
      </rPr>
      <t xml:space="preserve">3-C. </t>
    </r>
    <r>
      <rPr>
        <b val="true"/>
        <sz val="10"/>
        <rFont val="WenQuanYi Zen Hei"/>
        <family val="2"/>
      </rPr>
      <t xml:space="preserve">두 번째 불신임안 </t>
    </r>
    <r>
      <rPr>
        <b val="true"/>
        <sz val="10"/>
        <rFont val="Arial"/>
        <family val="0"/>
        <charset val="1"/>
      </rPr>
      <t xml:space="preserve">(</t>
    </r>
    <r>
      <rPr>
        <b val="true"/>
        <sz val="10"/>
        <rFont val="WenQuanYi Zen Hei"/>
        <family val="2"/>
      </rPr>
      <t xml:space="preserve">가상</t>
    </r>
    <r>
      <rPr>
        <b val="true"/>
        <sz val="10"/>
        <rFont val="Arial"/>
        <family val="0"/>
        <charset val="1"/>
      </rPr>
      <t xml:space="preserve">, 12</t>
    </r>
    <r>
      <rPr>
        <b val="true"/>
        <sz val="10"/>
        <rFont val="WenQuanYi Zen Hei"/>
        <family val="2"/>
      </rPr>
      <t xml:space="preserve">부 </t>
    </r>
    <r>
      <rPr>
        <b val="true"/>
        <sz val="10"/>
        <rFont val="Arial"/>
        <family val="0"/>
        <charset val="1"/>
      </rPr>
      <t xml:space="preserve">7</t>
    </r>
    <r>
      <rPr>
        <b val="true"/>
        <sz val="10"/>
        <rFont val="WenQuanYi Zen Hei"/>
        <family val="2"/>
      </rPr>
      <t xml:space="preserve">화 — 헌법 제</t>
    </r>
    <r>
      <rPr>
        <b val="true"/>
        <sz val="10"/>
        <rFont val="Arial"/>
        <family val="0"/>
        <charset val="1"/>
      </rPr>
      <t xml:space="preserve">49</t>
    </r>
    <r>
      <rPr>
        <b val="true"/>
        <sz val="10"/>
        <rFont val="WenQuanYi Zen Hei"/>
        <family val="2"/>
      </rPr>
      <t xml:space="preserve">조 </t>
    </r>
    <r>
      <rPr>
        <b val="true"/>
        <sz val="10"/>
        <rFont val="Arial"/>
        <family val="0"/>
        <charset val="1"/>
      </rPr>
      <t xml:space="preserve">3</t>
    </r>
    <r>
      <rPr>
        <b val="true"/>
        <sz val="10"/>
        <rFont val="WenQuanYi Zen Hei"/>
        <family val="2"/>
      </rPr>
      <t xml:space="preserve">항 사용 후</t>
    </r>
    <r>
      <rPr>
        <b val="true"/>
        <sz val="10"/>
        <rFont val="Arial"/>
        <family val="0"/>
        <charset val="1"/>
      </rPr>
      <t xml:space="preserve">)</t>
    </r>
  </si>
  <si>
    <t xml:space="preserve">기권</t>
  </si>
  <si>
    <t xml:space="preserve">코르시카 자치 협상 지속을 조건으로 기권</t>
  </si>
  <si>
    <t xml:space="preserve">해석: 49조 3항으로 예산 조항을 표결 없이 통과시키자 야당이 불신임안을 내지만, CT가 기권으로 돌아서 찬성은 254표에 그친다. 불신임안이 부결되면 해당 조항은 채택된 것으로 본다. PPS가 등을 돌리면 가결도 가능하다는 긴장이 이 화의 서스펜스.</t>
  </si>
  <si>
    <r>
      <rPr>
        <b val="true"/>
        <sz val="10"/>
        <rFont val="Arial"/>
        <family val="0"/>
        <charset val="1"/>
      </rPr>
      <t xml:space="preserve">4. </t>
    </r>
    <r>
      <rPr>
        <b val="true"/>
        <sz val="10"/>
        <rFont val="WenQuanYi Zen Hei"/>
        <family val="2"/>
      </rPr>
      <t xml:space="preserve">이야기 속 엑스트라 화자 </t>
    </r>
    <r>
      <rPr>
        <b val="true"/>
        <sz val="10"/>
        <rFont val="Arial"/>
        <family val="0"/>
        <charset val="1"/>
      </rPr>
      <t xml:space="preserve">(</t>
    </r>
    <r>
      <rPr>
        <b val="true"/>
        <sz val="10"/>
        <rFont val="WenQuanYi Zen Hei"/>
        <family val="2"/>
      </rPr>
      <t xml:space="preserve">전부 가상</t>
    </r>
    <r>
      <rPr>
        <b val="true"/>
        <sz val="10"/>
        <rFont val="Arial"/>
        <family val="0"/>
        <charset val="1"/>
      </rPr>
      <t xml:space="preserve">)</t>
    </r>
  </si>
  <si>
    <r>
      <rPr>
        <sz val="10"/>
        <rFont val="Arial"/>
        <family val="0"/>
        <charset val="1"/>
      </rPr>
      <t xml:space="preserve">PRÉSIDENTE DE L'ASSEMBLÉE NATIONALE(</t>
    </r>
    <r>
      <rPr>
        <sz val="10"/>
        <rFont val="WenQuanYi Zen Hei"/>
        <family val="2"/>
      </rPr>
      <t xml:space="preserve">표결 결과 낭독</t>
    </r>
    <r>
      <rPr>
        <sz val="10"/>
        <rFont val="Arial"/>
        <family val="0"/>
        <charset val="1"/>
      </rPr>
      <t xml:space="preserve">), PRÉSIDENT DU CONSEIL CONSTITUTIONNEL(</t>
    </r>
    <r>
      <rPr>
        <sz val="10"/>
        <rFont val="WenQuanYi Zen Hei"/>
        <family val="2"/>
      </rPr>
      <t xml:space="preserve">대선 결과 선포</t>
    </r>
    <r>
      <rPr>
        <sz val="10"/>
        <rFont val="Arial"/>
        <family val="0"/>
        <charset val="1"/>
      </rPr>
      <t xml:space="preserve">), MAIRE DE PARIS(</t>
    </r>
    <r>
      <rPr>
        <sz val="10"/>
        <rFont val="WenQuanYi Zen Hei"/>
        <family val="2"/>
      </rPr>
      <t xml:space="preserve">다른 당</t>
    </r>
    <r>
      <rPr>
        <sz val="10"/>
        <rFont val="Arial"/>
        <family val="0"/>
        <charset val="1"/>
      </rPr>
      <t xml:space="preserve">, </t>
    </r>
    <r>
      <rPr>
        <sz val="10"/>
        <rFont val="WenQuanYi Zen Hei"/>
        <family val="2"/>
      </rPr>
      <t xml:space="preserve">가상</t>
    </r>
    <r>
      <rPr>
        <sz val="10"/>
        <rFont val="Arial"/>
        <family val="0"/>
        <charset val="1"/>
      </rPr>
      <t xml:space="preserve">), PRÉSIDENT SORTANT(UCN, </t>
    </r>
    <r>
      <rPr>
        <sz val="10"/>
        <rFont val="WenQuanYi Zen Hei"/>
        <family val="2"/>
      </rPr>
      <t xml:space="preserve">권한 이양식</t>
    </r>
    <r>
      <rPr>
        <sz val="10"/>
        <rFont val="Arial"/>
        <family val="0"/>
        <charset val="1"/>
      </rPr>
      <t xml:space="preserve">), MODÉRATRICE(TV </t>
    </r>
    <r>
      <rPr>
        <sz val="10"/>
        <rFont val="WenQuanYi Zen Hei"/>
        <family val="2"/>
      </rPr>
      <t xml:space="preserve">토론</t>
    </r>
    <r>
      <rPr>
        <sz val="10"/>
        <rFont val="Arial"/>
        <family val="0"/>
        <charset val="1"/>
      </rPr>
      <t xml:space="preserve">), </t>
    </r>
    <r>
      <rPr>
        <sz val="10"/>
        <rFont val="WenQuanYi Zen Hei"/>
        <family val="2"/>
      </rPr>
      <t xml:space="preserve">상대 후보들</t>
    </r>
    <r>
      <rPr>
        <sz val="10"/>
        <rFont val="Arial"/>
        <family val="0"/>
        <charset val="1"/>
      </rPr>
      <t xml:space="preserve">(FS·UCN, </t>
    </r>
    <r>
      <rPr>
        <sz val="10"/>
        <rFont val="WenQuanYi Zen Hei"/>
        <family val="2"/>
      </rPr>
      <t xml:space="preserve">가상</t>
    </r>
    <r>
      <rPr>
        <sz val="10"/>
        <rFont val="Arial"/>
        <family val="0"/>
        <charset val="1"/>
      </rPr>
      <t xml:space="preserve">), NOTAIRE(13</t>
    </r>
    <r>
      <rPr>
        <sz val="10"/>
        <rFont val="WenQuanYi Zen Hei"/>
        <family val="2"/>
      </rPr>
      <t xml:space="preserve">부 유언장</t>
    </r>
    <r>
      <rPr>
        <sz val="10"/>
        <rFont val="Arial"/>
        <family val="0"/>
        <charset val="1"/>
      </rPr>
      <t xml:space="preserve">). </t>
    </r>
    <r>
      <rPr>
        <sz val="10"/>
        <rFont val="WenQuanYi Zen Hei"/>
        <family val="2"/>
      </rPr>
      <t xml:space="preserve">실존 정치인</t>
    </r>
    <r>
      <rPr>
        <sz val="10"/>
        <rFont val="Arial"/>
        <family val="0"/>
        <charset val="1"/>
      </rPr>
      <t xml:space="preserve">·</t>
    </r>
    <r>
      <rPr>
        <sz val="10"/>
        <rFont val="WenQuanYi Zen Hei"/>
        <family val="2"/>
      </rPr>
      <t xml:space="preserve">정당명은 쓰지 않는다</t>
    </r>
    <r>
      <rPr>
        <sz val="10"/>
        <rFont val="Arial"/>
        <family val="0"/>
        <charset val="1"/>
      </rPr>
      <t xml:space="preserve">.</t>
    </r>
  </si>
  <si>
    <t xml:space="preserve">호칭 규칙 (tu / vous)</t>
  </si>
  <si>
    <t xml:space="preserve">표준 프랑스어 기준. 스페인어의 tú/usted/vosotros/ustedes 4분 체계 대신 tu(친밀한 단수)와 vous(존칭 단수·모든 복수)의 2분 체계다. 집단에게는 누구나 vous를 쓰므로 호칭 전환의 드라마는 1:1 관계에서만 생긴다. 2~5부 프레임 장면은 1부 규칙을 따른다.</t>
  </si>
  <si>
    <t xml:space="preserve">화자 → 청자</t>
  </si>
  <si>
    <r>
      <rPr>
        <b val="true"/>
        <sz val="10"/>
        <color rgb="FFFFFFFF"/>
        <rFont val="Arial"/>
        <family val="0"/>
        <charset val="1"/>
      </rPr>
      <t xml:space="preserve">1</t>
    </r>
    <r>
      <rPr>
        <b val="true"/>
        <sz val="10"/>
        <color rgb="FFFFFFFF"/>
        <rFont val="WenQuanYi Zen Hei"/>
        <family val="2"/>
      </rPr>
      <t xml:space="preserve">부 </t>
    </r>
    <r>
      <rPr>
        <b val="true"/>
        <sz val="10"/>
        <color rgb="FFFFFFFF"/>
        <rFont val="Arial"/>
        <family val="0"/>
        <charset val="1"/>
      </rPr>
      <t xml:space="preserve">(</t>
    </r>
    <r>
      <rPr>
        <b val="true"/>
        <sz val="10"/>
        <color rgb="FFFFFFFF"/>
        <rFont val="WenQuanYi Zen Hei"/>
        <family val="2"/>
      </rPr>
      <t xml:space="preserve">현재</t>
    </r>
    <r>
      <rPr>
        <b val="true"/>
        <sz val="10"/>
        <color rgb="FFFFFFFF"/>
        <rFont val="Arial"/>
        <family val="0"/>
        <charset val="1"/>
      </rPr>
      <t xml:space="preserve">)</t>
    </r>
  </si>
  <si>
    <r>
      <rPr>
        <b val="true"/>
        <sz val="10"/>
        <color rgb="FFFFFFFF"/>
        <rFont val="Arial"/>
        <family val="0"/>
        <charset val="1"/>
      </rPr>
      <t xml:space="preserve">2~5</t>
    </r>
    <r>
      <rPr>
        <b val="true"/>
        <sz val="10"/>
        <color rgb="FFFFFFFF"/>
        <rFont val="WenQuanYi Zen Hei"/>
        <family val="2"/>
      </rPr>
      <t xml:space="preserve">부 </t>
    </r>
    <r>
      <rPr>
        <b val="true"/>
        <sz val="10"/>
        <color rgb="FFFFFFFF"/>
        <rFont val="Arial"/>
        <family val="0"/>
        <charset val="1"/>
      </rPr>
      <t xml:space="preserve">(</t>
    </r>
    <r>
      <rPr>
        <b val="true"/>
        <sz val="10"/>
        <color rgb="FFFFFFFF"/>
        <rFont val="WenQuanYi Zen Hei"/>
        <family val="2"/>
      </rPr>
      <t xml:space="preserve">각자의 과거</t>
    </r>
    <r>
      <rPr>
        <b val="true"/>
        <sz val="10"/>
        <color rgb="FFFFFFFF"/>
        <rFont val="Arial"/>
        <family val="0"/>
        <charset val="1"/>
      </rPr>
      <t xml:space="preserve">)</t>
    </r>
  </si>
  <si>
    <r>
      <rPr>
        <b val="true"/>
        <sz val="10"/>
        <color rgb="FFFFFFFF"/>
        <rFont val="Arial"/>
        <family val="0"/>
        <charset val="1"/>
      </rPr>
      <t xml:space="preserve">6</t>
    </r>
    <r>
      <rPr>
        <b val="true"/>
        <sz val="10"/>
        <color rgb="FFFFFFFF"/>
        <rFont val="WenQuanYi Zen Hei"/>
        <family val="2"/>
      </rPr>
      <t xml:space="preserve">부 이후</t>
    </r>
  </si>
  <si>
    <t xml:space="preserve">주력 4인 상호</t>
  </si>
  <si>
    <t xml:space="preserve">tu</t>
  </si>
  <si>
    <r>
      <rPr>
        <sz val="10"/>
        <rFont val="Arial"/>
        <family val="0"/>
        <charset val="1"/>
      </rPr>
      <t xml:space="preserve">vous (</t>
    </r>
    <r>
      <rPr>
        <sz val="10"/>
        <rFont val="WenQuanYi Zen Hei"/>
        <family val="2"/>
      </rPr>
      <t xml:space="preserve">만나기 전이라</t>
    </r>
    <r>
      <rPr>
        <sz val="10"/>
        <rFont val="Arial"/>
        <family val="0"/>
        <charset val="1"/>
      </rPr>
      <t xml:space="preserve">)</t>
    </r>
  </si>
  <si>
    <r>
      <rPr>
        <sz val="10"/>
        <rFont val="Arial"/>
        <family val="0"/>
        <charset val="1"/>
      </rPr>
      <t xml:space="preserve">6</t>
    </r>
    <r>
      <rPr>
        <sz val="10"/>
        <rFont val="WenQuanYi Zen Hei"/>
        <family val="2"/>
      </rPr>
      <t xml:space="preserve">부 만남을 기점으로 전환</t>
    </r>
    <r>
      <rPr>
        <sz val="10"/>
        <rFont val="Arial"/>
        <family val="0"/>
        <charset val="1"/>
      </rPr>
      <t xml:space="preserve">(«On se tutoie ?») — </t>
    </r>
    <r>
      <rPr>
        <sz val="10"/>
        <rFont val="WenQuanYi Zen Hei"/>
        <family val="2"/>
      </rPr>
      <t xml:space="preserve">전환 순간을 대사로 드러낼 것</t>
    </r>
  </si>
  <si>
    <t xml:space="preserve">주력 4인 → Manon</t>
  </si>
  <si>
    <r>
      <rPr>
        <sz val="10"/>
        <rFont val="Arial"/>
        <family val="0"/>
        <charset val="1"/>
      </rPr>
      <t xml:space="preserve">tu (</t>
    </r>
    <r>
      <rPr>
        <sz val="10"/>
        <rFont val="WenQuanYi Zen Hei"/>
        <family val="2"/>
      </rPr>
      <t xml:space="preserve">프레임 장면</t>
    </r>
    <r>
      <rPr>
        <sz val="10"/>
        <rFont val="Arial"/>
        <family val="0"/>
        <charset val="1"/>
      </rPr>
      <t xml:space="preserve">)</t>
    </r>
  </si>
  <si>
    <r>
      <rPr>
        <b val="true"/>
        <sz val="10"/>
        <rFont val="Arial"/>
        <family val="0"/>
        <charset val="1"/>
      </rPr>
      <t xml:space="preserve">Manon → </t>
    </r>
    <r>
      <rPr>
        <b val="true"/>
        <sz val="10"/>
        <rFont val="WenQuanYi Zen Hei"/>
        <family val="2"/>
      </rPr>
      <t xml:space="preserve">주력 </t>
    </r>
    <r>
      <rPr>
        <b val="true"/>
        <sz val="10"/>
        <rFont val="Arial"/>
        <family val="0"/>
        <charset val="1"/>
      </rPr>
      <t xml:space="preserve">4</t>
    </r>
    <r>
      <rPr>
        <b val="true"/>
        <sz val="10"/>
        <rFont val="WenQuanYi Zen Hei"/>
        <family val="2"/>
      </rPr>
      <t xml:space="preserve">인</t>
    </r>
  </si>
  <si>
    <t xml:space="preserve">vous</t>
  </si>
  <si>
    <r>
      <rPr>
        <sz val="10"/>
        <rFont val="Arial"/>
        <family val="0"/>
        <charset val="1"/>
      </rPr>
      <t xml:space="preserve">vous (</t>
    </r>
    <r>
      <rPr>
        <sz val="10"/>
        <rFont val="WenQuanYi Zen Hei"/>
        <family val="2"/>
      </rPr>
      <t xml:space="preserve">프레임 장면</t>
    </r>
    <r>
      <rPr>
        <sz val="10"/>
        <rFont val="Arial"/>
        <family val="0"/>
        <charset val="1"/>
      </rPr>
      <t xml:space="preserve">)</t>
    </r>
  </si>
  <si>
    <r>
      <rPr>
        <sz val="10"/>
        <rFont val="Arial"/>
        <family val="0"/>
        <charset val="1"/>
      </rPr>
      <t xml:space="preserve">tu (</t>
    </r>
    <r>
      <rPr>
        <sz val="10"/>
        <rFont val="WenQuanYi Zen Hei"/>
        <family val="2"/>
      </rPr>
      <t xml:space="preserve">제안</t>
    </r>
    <r>
      <rPr>
        <sz val="10"/>
        <rFont val="Arial"/>
        <family val="0"/>
        <charset val="1"/>
      </rPr>
      <t xml:space="preserve">)</t>
    </r>
  </si>
  <si>
    <r>
      <rPr>
        <sz val="10"/>
        <rFont val="Arial"/>
        <family val="0"/>
        <charset val="1"/>
      </rPr>
      <t xml:space="preserve">6</t>
    </r>
    <r>
      <rPr>
        <sz val="10"/>
        <rFont val="WenQuanYi Zen Hei"/>
        <family val="2"/>
      </rPr>
      <t xml:space="preserve">부에서는 이웃 사이라 </t>
    </r>
    <r>
      <rPr>
        <sz val="10"/>
        <rFont val="Arial"/>
        <family val="0"/>
        <charset val="1"/>
      </rPr>
      <t xml:space="preserve">tu, </t>
    </r>
    <r>
      <rPr>
        <sz val="10"/>
        <rFont val="WenQuanYi Zen Hei"/>
        <family val="2"/>
      </rPr>
      <t xml:space="preserve">인턴이 되면서</t>
    </r>
    <r>
      <rPr>
        <sz val="10"/>
        <rFont val="Arial"/>
        <family val="0"/>
        <charset val="1"/>
      </rPr>
      <t xml:space="preserve">(1</t>
    </r>
    <r>
      <rPr>
        <sz val="10"/>
        <rFont val="WenQuanYi Zen Hei"/>
        <family val="2"/>
      </rPr>
      <t xml:space="preserve">부</t>
    </r>
    <r>
      <rPr>
        <sz val="10"/>
        <rFont val="Arial"/>
        <family val="0"/>
        <charset val="1"/>
      </rPr>
      <t xml:space="preserve">) vous</t>
    </r>
    <r>
      <rPr>
        <sz val="10"/>
        <rFont val="WenQuanYi Zen Hei"/>
        <family val="2"/>
      </rPr>
      <t xml:space="preserve">로 바뀐다 — </t>
    </r>
    <r>
      <rPr>
        <sz val="10"/>
        <rFont val="Arial"/>
        <family val="0"/>
        <charset val="1"/>
      </rPr>
      <t xml:space="preserve">1</t>
    </r>
    <r>
      <rPr>
        <sz val="10"/>
        <rFont val="WenQuanYi Zen Hei"/>
        <family val="2"/>
      </rPr>
      <t xml:space="preserve">부 </t>
    </r>
    <r>
      <rPr>
        <sz val="10"/>
        <rFont val="Arial"/>
        <family val="0"/>
        <charset val="1"/>
      </rPr>
      <t xml:space="preserve">1</t>
    </r>
    <r>
      <rPr>
        <sz val="10"/>
        <rFont val="WenQuanYi Zen Hei"/>
        <family val="2"/>
      </rPr>
      <t xml:space="preserve">화 대본에서 </t>
    </r>
    <r>
      <rPr>
        <sz val="10"/>
        <rFont val="Arial"/>
        <family val="0"/>
        <charset val="1"/>
      </rPr>
      <t xml:space="preserve">«À Saint-Denis, tu me tutoyais.»</t>
    </r>
    <r>
      <rPr>
        <sz val="10"/>
        <rFont val="WenQuanYi Zen Hei"/>
        <family val="2"/>
      </rPr>
      <t xml:space="preserve">로 대사 설명</t>
    </r>
    <r>
      <rPr>
        <sz val="10"/>
        <rFont val="Arial"/>
        <family val="0"/>
        <charset val="1"/>
      </rPr>
      <t xml:space="preserve">. </t>
    </r>
    <r>
      <rPr>
        <sz val="10"/>
        <rFont val="WenQuanYi Zen Hei"/>
        <family val="2"/>
      </rPr>
      <t xml:space="preserve">이후 </t>
    </r>
    <r>
      <rPr>
        <sz val="10"/>
        <rFont val="Arial"/>
        <family val="0"/>
        <charset val="1"/>
      </rPr>
      <t xml:space="preserve">tu</t>
    </r>
    <r>
      <rPr>
        <sz val="10"/>
        <rFont val="WenQuanYi Zen Hei"/>
        <family val="2"/>
      </rPr>
      <t xml:space="preserve">로 돌아갈 시점은 미확정</t>
    </r>
  </si>
  <si>
    <t xml:space="preserve">Manon → Napoléon</t>
  </si>
  <si>
    <r>
      <rPr>
        <sz val="10"/>
        <rFont val="Arial"/>
        <family val="0"/>
        <charset val="1"/>
      </rPr>
      <t xml:space="preserve">vous </t>
    </r>
    <r>
      <rPr>
        <sz val="10"/>
        <rFont val="WenQuanYi Zen Hei"/>
        <family val="2"/>
      </rPr>
      <t xml:space="preserve">유지 → </t>
    </r>
    <r>
      <rPr>
        <sz val="10"/>
        <rFont val="Arial"/>
        <family val="0"/>
        <charset val="1"/>
      </rPr>
      <t xml:space="preserve">12</t>
    </r>
    <r>
      <rPr>
        <sz val="10"/>
        <rFont val="WenQuanYi Zen Hei"/>
        <family val="2"/>
      </rPr>
      <t xml:space="preserve">부 </t>
    </r>
    <r>
      <rPr>
        <sz val="10"/>
        <rFont val="Arial"/>
        <family val="0"/>
        <charset val="1"/>
      </rPr>
      <t xml:space="preserve">1</t>
    </r>
    <r>
      <rPr>
        <sz val="10"/>
        <rFont val="WenQuanYi Zen Hei"/>
        <family val="2"/>
      </rPr>
      <t xml:space="preserve">화 추도사에서 처음 </t>
    </r>
    <r>
      <rPr>
        <sz val="10"/>
        <rFont val="Arial"/>
        <family val="0"/>
        <charset val="1"/>
      </rPr>
      <t xml:space="preserve">tu</t>
    </r>
  </si>
  <si>
    <r>
      <rPr>
        <sz val="10"/>
        <rFont val="Arial"/>
        <family val="0"/>
        <charset val="1"/>
      </rPr>
      <t xml:space="preserve">7</t>
    </r>
    <r>
      <rPr>
        <sz val="10"/>
        <rFont val="WenQuanYi Zen Hei"/>
        <family val="2"/>
      </rPr>
      <t xml:space="preserve">부에서 </t>
    </r>
    <r>
      <rPr>
        <sz val="10"/>
        <rFont val="Arial"/>
        <family val="0"/>
        <charset val="1"/>
      </rPr>
      <t xml:space="preserve">Napoléon</t>
    </r>
    <r>
      <rPr>
        <sz val="10"/>
        <rFont val="WenQuanYi Zen Hei"/>
        <family val="2"/>
      </rPr>
      <t xml:space="preserve">이 </t>
    </r>
    <r>
      <rPr>
        <sz val="10"/>
        <rFont val="Arial"/>
        <family val="0"/>
        <charset val="1"/>
      </rPr>
      <t xml:space="preserve">«Tu peux me tutoyer.»</t>
    </r>
    <r>
      <rPr>
        <sz val="10"/>
        <rFont val="WenQuanYi Zen Hei"/>
        <family val="2"/>
      </rPr>
      <t xml:space="preserve">라고 허락해도 </t>
    </r>
    <r>
      <rPr>
        <sz val="10"/>
        <rFont val="Arial"/>
        <family val="0"/>
        <charset val="1"/>
      </rPr>
      <t xml:space="preserve">Manon</t>
    </r>
    <r>
      <rPr>
        <sz val="10"/>
        <rFont val="WenQuanYi Zen Hei"/>
        <family val="2"/>
      </rPr>
      <t xml:space="preserve">은 습관 때문에 끝내 </t>
    </r>
    <r>
      <rPr>
        <sz val="10"/>
        <rFont val="Arial"/>
        <family val="0"/>
        <charset val="1"/>
      </rPr>
      <t xml:space="preserve">vous. </t>
    </r>
    <r>
      <rPr>
        <sz val="10"/>
        <rFont val="WenQuanYi Zen Hei"/>
        <family val="2"/>
      </rPr>
      <t xml:space="preserve">폭발 중에도 </t>
    </r>
    <r>
      <rPr>
        <sz val="10"/>
        <rFont val="Arial"/>
        <family val="0"/>
        <charset val="1"/>
      </rPr>
      <t xml:space="preserve">vous (</t>
    </r>
    <r>
      <rPr>
        <sz val="10"/>
        <rFont val="WenQuanYi Zen Hei"/>
        <family val="2"/>
      </rPr>
      <t xml:space="preserve">예</t>
    </r>
    <r>
      <rPr>
        <sz val="10"/>
        <rFont val="Arial"/>
        <family val="0"/>
        <charset val="1"/>
      </rPr>
      <t xml:space="preserve">: «Vous, justement vous, ne me traitez pas de bécasse !»). </t>
    </r>
    <r>
      <rPr>
        <sz val="10"/>
        <rFont val="WenQuanYi Zen Hei"/>
        <family val="2"/>
      </rPr>
      <t xml:space="preserve">폭발 중 </t>
    </r>
    <r>
      <rPr>
        <sz val="10"/>
        <rFont val="Arial"/>
        <family val="0"/>
        <charset val="1"/>
      </rPr>
      <t xml:space="preserve">tu </t>
    </r>
    <r>
      <rPr>
        <sz val="10"/>
        <rFont val="WenQuanYi Zen Hei"/>
        <family val="2"/>
      </rPr>
      <t xml:space="preserve">실수 금지 — 장례식 전환의 복선</t>
    </r>
    <r>
      <rPr>
        <sz val="10"/>
        <rFont val="Arial"/>
        <family val="0"/>
        <charset val="1"/>
      </rPr>
      <t xml:space="preserve">.</t>
    </r>
  </si>
  <si>
    <t xml:space="preserve">Manon → Philippe, Curie</t>
  </si>
  <si>
    <t xml:space="preserve">해당 없음</t>
  </si>
  <si>
    <r>
      <rPr>
        <sz val="10"/>
        <rFont val="Arial"/>
        <family val="0"/>
        <charset val="1"/>
      </rPr>
      <t xml:space="preserve">vous (</t>
    </r>
    <r>
      <rPr>
        <sz val="10"/>
        <rFont val="WenQuanYi Zen Hei"/>
        <family val="2"/>
      </rPr>
      <t xml:space="preserve">전환 시점 미정</t>
    </r>
    <r>
      <rPr>
        <sz val="10"/>
        <rFont val="Arial"/>
        <family val="0"/>
        <charset val="1"/>
      </rPr>
      <t xml:space="preserve">)</t>
    </r>
  </si>
  <si>
    <t xml:space="preserve">Napoléon → Manon</t>
  </si>
  <si>
    <t xml:space="preserve">tu («petite», «soldat»)</t>
  </si>
  <si>
    <t xml:space="preserve">처음부터 tu — 욕(bécasse)도 Manon에게만</t>
  </si>
  <si>
    <r>
      <rPr>
        <b val="true"/>
        <sz val="10"/>
        <rFont val="Arial"/>
        <family val="0"/>
        <charset val="1"/>
      </rPr>
      <t xml:space="preserve">Napoléon → </t>
    </r>
    <r>
      <rPr>
        <b val="true"/>
        <sz val="10"/>
        <rFont val="WenQuanYi Zen Hei"/>
        <family val="2"/>
      </rPr>
      <t xml:space="preserve">여럿</t>
    </r>
    <r>
      <rPr>
        <b val="true"/>
        <sz val="10"/>
        <rFont val="Arial"/>
        <family val="0"/>
        <charset val="1"/>
      </rPr>
      <t xml:space="preserve">(</t>
    </r>
    <r>
      <rPr>
        <b val="true"/>
        <sz val="10"/>
        <rFont val="WenQuanYi Zen Hei"/>
        <family val="2"/>
      </rPr>
      <t xml:space="preserve">집단</t>
    </r>
    <r>
      <rPr>
        <b val="true"/>
        <sz val="10"/>
        <rFont val="Arial"/>
        <family val="0"/>
        <charset val="1"/>
      </rPr>
      <t xml:space="preserve">)</t>
    </r>
  </si>
  <si>
    <t xml:space="preserve">vous + «Messieurs, mesdames»</t>
  </si>
  <si>
    <t xml:space="preserve">같음</t>
  </si>
  <si>
    <t xml:space="preserve">집단에는 누구나 vous이므로, Napoléon의 거리 두기는 호칭(«Messieurs», «Citoyens»)과 3인칭 화법으로 드러낸다. (스페인판의 ustedes 장치를 대체)</t>
  </si>
  <si>
    <r>
      <rPr>
        <b val="true"/>
        <sz val="10"/>
        <rFont val="Arial"/>
        <family val="0"/>
        <charset val="1"/>
      </rPr>
      <t xml:space="preserve">Napoléon → </t>
    </r>
    <r>
      <rPr>
        <b val="true"/>
        <sz val="10"/>
        <rFont val="WenQuanYi Zen Hei"/>
        <family val="2"/>
      </rPr>
      <t xml:space="preserve">개인 </t>
    </r>
    <r>
      <rPr>
        <b val="true"/>
        <sz val="10"/>
        <rFont val="Arial"/>
        <family val="0"/>
        <charset val="1"/>
      </rPr>
      <t xml:space="preserve">(Manon </t>
    </r>
    <r>
      <rPr>
        <b val="true"/>
        <sz val="10"/>
        <rFont val="WenQuanYi Zen Hei"/>
        <family val="2"/>
      </rPr>
      <t xml:space="preserve">외</t>
    </r>
    <r>
      <rPr>
        <b val="true"/>
        <sz val="10"/>
        <rFont val="Arial"/>
        <family val="0"/>
        <charset val="1"/>
      </rPr>
      <t xml:space="preserve">)</t>
    </r>
  </si>
  <si>
    <t xml:space="preserve">소수에게만 tu</t>
  </si>
  <si>
    <r>
      <rPr>
        <sz val="10"/>
        <rFont val="Arial"/>
        <family val="0"/>
        <charset val="1"/>
      </rPr>
      <t xml:space="preserve">Jeanne</t>
    </r>
    <r>
      <rPr>
        <sz val="10"/>
        <rFont val="WenQuanYi Zen Hei"/>
        <family val="2"/>
      </rPr>
      <t xml:space="preserve">에게는 처음부터 </t>
    </r>
    <r>
      <rPr>
        <sz val="10"/>
        <rFont val="Arial"/>
        <family val="0"/>
        <charset val="1"/>
      </rPr>
      <t xml:space="preserve">tu — </t>
    </r>
    <r>
      <rPr>
        <sz val="10"/>
        <rFont val="WenQuanYi Zen Hei"/>
        <family val="2"/>
      </rPr>
      <t xml:space="preserve">옛 군인끼리</t>
    </r>
  </si>
  <si>
    <r>
      <rPr>
        <b val="true"/>
        <sz val="10"/>
        <rFont val="Arial"/>
        <family val="0"/>
        <charset val="1"/>
      </rPr>
      <t xml:space="preserve">Jeanne → </t>
    </r>
    <r>
      <rPr>
        <b val="true"/>
        <sz val="10"/>
        <rFont val="WenQuanYi Zen Hei"/>
        <family val="2"/>
      </rPr>
      <t xml:space="preserve">후배들</t>
    </r>
  </si>
  <si>
    <r>
      <rPr>
        <sz val="10"/>
        <rFont val="Arial"/>
        <family val="0"/>
        <charset val="1"/>
      </rPr>
      <t xml:space="preserve">tu (</t>
    </r>
    <r>
      <rPr>
        <sz val="10"/>
        <rFont val="WenQuanYi Zen Hei"/>
        <family val="2"/>
      </rPr>
      <t xml:space="preserve">명령조</t>
    </r>
    <r>
      <rPr>
        <sz val="10"/>
        <rFont val="Arial"/>
        <family val="0"/>
        <charset val="1"/>
      </rPr>
      <t xml:space="preserve">)</t>
    </r>
  </si>
  <si>
    <r>
      <rPr>
        <sz val="10"/>
        <rFont val="Arial"/>
        <family val="0"/>
        <charset val="1"/>
      </rPr>
      <t xml:space="preserve">tu / vous </t>
    </r>
    <r>
      <rPr>
        <sz val="10"/>
        <rFont val="WenQuanYi Zen Hei"/>
        <family val="2"/>
      </rPr>
      <t xml:space="preserve">혼용</t>
    </r>
  </si>
  <si>
    <t xml:space="preserve">정치 무대에서는 vous</t>
  </si>
  <si>
    <r>
      <rPr>
        <b val="true"/>
        <sz val="10"/>
        <rFont val="Arial"/>
        <family val="0"/>
        <charset val="1"/>
      </rPr>
      <t xml:space="preserve">Curie → </t>
    </r>
    <r>
      <rPr>
        <b val="true"/>
        <sz val="10"/>
        <rFont val="WenQuanYi Zen Hei"/>
        <family val="2"/>
      </rPr>
      <t xml:space="preserve">전원</t>
    </r>
  </si>
  <si>
    <t xml:space="preserve">모두에게 tu — 그래서 더 위협적이다. «Cherche toi-même.»</t>
  </si>
  <si>
    <r>
      <rPr>
        <b val="true"/>
        <sz val="10"/>
        <rFont val="Arial"/>
        <family val="0"/>
        <charset val="1"/>
      </rPr>
      <t xml:space="preserve">Monique, Karim → </t>
    </r>
    <r>
      <rPr>
        <b val="true"/>
        <sz val="10"/>
        <rFont val="WenQuanYi Zen Hei"/>
        <family val="2"/>
      </rPr>
      <t xml:space="preserve">전원</t>
    </r>
  </si>
  <si>
    <r>
      <rPr>
        <sz val="10"/>
        <rFont val="Arial"/>
        <family val="0"/>
        <charset val="1"/>
      </rPr>
      <t xml:space="preserve">Monique</t>
    </r>
    <r>
      <rPr>
        <sz val="10"/>
        <rFont val="WenQuanYi Zen Hei"/>
        <family val="2"/>
      </rPr>
      <t xml:space="preserve">는 </t>
    </r>
    <r>
      <rPr>
        <sz val="10"/>
        <rFont val="Arial"/>
        <family val="0"/>
        <charset val="1"/>
      </rPr>
      <t xml:space="preserve">'mon petit / ma petite'</t>
    </r>
  </si>
  <si>
    <r>
      <rPr>
        <b val="true"/>
        <sz val="10"/>
        <rFont val="Arial"/>
        <family val="0"/>
        <charset val="1"/>
      </rPr>
      <t xml:space="preserve">Voltaire → </t>
    </r>
    <r>
      <rPr>
        <b val="true"/>
        <sz val="10"/>
        <rFont val="WenQuanYi Zen Hei"/>
        <family val="2"/>
      </rPr>
      <t xml:space="preserve">취재 대상</t>
    </r>
  </si>
  <si>
    <r>
      <rPr>
        <sz val="10"/>
        <rFont val="Arial"/>
        <family val="0"/>
        <charset val="1"/>
      </rPr>
      <t xml:space="preserve">vous (</t>
    </r>
    <r>
      <rPr>
        <sz val="10"/>
        <rFont val="WenQuanYi Zen Hei"/>
        <family val="2"/>
      </rPr>
      <t xml:space="preserve">취재 시</t>
    </r>
    <r>
      <rPr>
        <sz val="10"/>
        <rFont val="Arial"/>
        <family val="0"/>
        <charset val="1"/>
      </rPr>
      <t xml:space="preserve">)</t>
    </r>
  </si>
  <si>
    <t xml:space="preserve">친해지면 tu</t>
  </si>
  <si>
    <t xml:space="preserve">집단 대화 (사무소 안)</t>
  </si>
  <si>
    <r>
      <rPr>
        <sz val="10"/>
        <rFont val="Arial"/>
        <family val="0"/>
        <charset val="1"/>
      </rPr>
      <t xml:space="preserve">vous (</t>
    </r>
    <r>
      <rPr>
        <sz val="10"/>
        <rFont val="WenQuanYi Zen Hei"/>
        <family val="2"/>
      </rPr>
      <t xml:space="preserve">복수</t>
    </r>
    <r>
      <rPr>
        <sz val="10"/>
        <rFont val="Arial"/>
        <family val="0"/>
        <charset val="1"/>
      </rPr>
      <t xml:space="preserve">)</t>
    </r>
  </si>
  <si>
    <t xml:space="preserve">예: «Asseyez-vous, je vous apporte quelque chose.» 친한 사이여도 복수는 vous. 친밀한 집단 호칭은 «les amis», «les enfants».</t>
  </si>
  <si>
    <t xml:space="preserve">공식 연설·의회</t>
  </si>
  <si>
    <t xml:space="preserve">vous / «Mesdames et Messieurs»</t>
  </si>
  <si>
    <r>
      <rPr>
        <sz val="10"/>
        <rFont val="Arial"/>
        <family val="0"/>
        <charset val="1"/>
      </rPr>
      <t xml:space="preserve">8</t>
    </r>
    <r>
      <rPr>
        <sz val="10"/>
        <rFont val="WenQuanYi Zen Hei"/>
        <family val="2"/>
      </rPr>
      <t xml:space="preserve">부 이후 대중 연설</t>
    </r>
    <r>
      <rPr>
        <sz val="10"/>
        <rFont val="Arial"/>
        <family val="0"/>
        <charset val="1"/>
      </rPr>
      <t xml:space="preserve">, 9</t>
    </r>
    <r>
      <rPr>
        <sz val="10"/>
        <rFont val="WenQuanYi Zen Hei"/>
        <family val="2"/>
      </rPr>
      <t xml:space="preserve">부 이후 시의회</t>
    </r>
    <r>
      <rPr>
        <sz val="10"/>
        <rFont val="Arial"/>
        <family val="0"/>
        <charset val="1"/>
      </rPr>
      <t xml:space="preserve">·</t>
    </r>
    <r>
      <rPr>
        <sz val="10"/>
        <rFont val="WenQuanYi Zen Hei"/>
        <family val="2"/>
      </rPr>
      <t xml:space="preserve">하원 토론</t>
    </r>
  </si>
  <si>
    <t xml:space="preserve">하원 (Assemblée nationale)</t>
  </si>
  <si>
    <r>
      <rPr>
        <sz val="10"/>
        <rFont val="Arial"/>
        <family val="0"/>
        <charset val="1"/>
      </rPr>
      <t xml:space="preserve">«Madame la Présidente»(</t>
    </r>
    <r>
      <rPr>
        <sz val="10"/>
        <rFont val="WenQuanYi Zen Hei"/>
        <family val="2"/>
      </rPr>
      <t xml:space="preserve">하원의장</t>
    </r>
    <r>
      <rPr>
        <sz val="10"/>
        <rFont val="Arial"/>
        <family val="0"/>
        <charset val="1"/>
      </rPr>
      <t xml:space="preserve">), «Madame la Première ministre», «Monsieur le ministre»</t>
    </r>
  </si>
  <si>
    <t xml:space="preserve">의원끼리는 «mon cher collègue / ma chère collègue». 대통령은 하원 토론에 나오지 않는다(양원합동회의 연설만 가능, 헌법 제18조).</t>
  </si>
  <si>
    <t xml:space="preserve">시의회 (Conseil de Paris)</t>
  </si>
  <si>
    <t xml:space="preserve">«Madame la Maire / Monsieur le Maire», «Madame la conseillère»</t>
  </si>
  <si>
    <t xml:space="preserve">발언은 vous, 회의 밖 동료끼리는 tu로 돌아간다</t>
  </si>
  <si>
    <t xml:space="preserve">대통령</t>
  </si>
  <si>
    <t xml:space="preserve">«Monsieur le Président»</t>
  </si>
  <si>
    <t xml:space="preserve">대통령은 직접 대사를 준다(국왕 행 대체). 취임 뒤 사무소 식구들이 Nicolas를 tu로 부를지 «Monsieur le Président»으로 부를지가 13부의 작은 개그.</t>
  </si>
  <si>
    <r>
      <rPr>
        <b val="true"/>
        <sz val="14"/>
        <color rgb="FF1F3864"/>
        <rFont val="Arial"/>
        <family val="0"/>
        <charset val="1"/>
      </rPr>
      <t xml:space="preserve">Manon</t>
    </r>
    <r>
      <rPr>
        <b val="true"/>
        <sz val="14"/>
        <color rgb="FF1F3864"/>
        <rFont val="WenQuanYi Zen Hei"/>
        <family val="2"/>
      </rPr>
      <t xml:space="preserve">의 폭발 </t>
    </r>
    <r>
      <rPr>
        <b val="true"/>
        <sz val="14"/>
        <color rgb="FF1F3864"/>
        <rFont val="Arial"/>
        <family val="0"/>
        <charset val="1"/>
      </rPr>
      <t xml:space="preserve">(L'Explosion) </t>
    </r>
    <r>
      <rPr>
        <b val="true"/>
        <sz val="14"/>
        <color rgb="FF1F3864"/>
        <rFont val="WenQuanYi Zen Hei"/>
        <family val="2"/>
      </rPr>
      <t xml:space="preserve">과 욕 배정</t>
    </r>
  </si>
  <si>
    <t xml:space="preserve">폭발은 총 2회. 희소성이 가치다. 폭발 뒤에는 반드시 쉬운 말로 다시 설명하는 어휘 교습 장면이 이어진다.</t>
  </si>
  <si>
    <r>
      <rPr>
        <b val="true"/>
        <sz val="10"/>
        <rFont val="Arial"/>
        <family val="0"/>
        <charset val="1"/>
      </rPr>
      <t xml:space="preserve">1. </t>
    </r>
    <r>
      <rPr>
        <b val="true"/>
        <sz val="10"/>
        <rFont val="WenQuanYi Zen Hei"/>
        <family val="2"/>
      </rPr>
      <t xml:space="preserve">폭발 배치 </t>
    </r>
    <r>
      <rPr>
        <b val="true"/>
        <sz val="10"/>
        <rFont val="Arial"/>
        <family val="0"/>
        <charset val="1"/>
      </rPr>
      <t xml:space="preserve">(</t>
    </r>
    <r>
      <rPr>
        <b val="true"/>
        <sz val="10"/>
        <rFont val="WenQuanYi Zen Hei"/>
        <family val="2"/>
      </rPr>
      <t xml:space="preserve">총 </t>
    </r>
    <r>
      <rPr>
        <b val="true"/>
        <sz val="10"/>
        <rFont val="Arial"/>
        <family val="0"/>
        <charset val="1"/>
      </rPr>
      <t xml:space="preserve">2</t>
    </r>
    <r>
      <rPr>
        <b val="true"/>
        <sz val="10"/>
        <rFont val="WenQuanYi Zen Hei"/>
        <family val="2"/>
      </rPr>
      <t xml:space="preserve">회</t>
    </r>
    <r>
      <rPr>
        <b val="true"/>
        <sz val="10"/>
        <rFont val="Arial"/>
        <family val="0"/>
        <charset val="1"/>
      </rPr>
      <t xml:space="preserve">)</t>
    </r>
  </si>
  <si>
    <t xml:space="preserve">회차</t>
  </si>
  <si>
    <t xml:space="preserve">위치</t>
  </si>
  <si>
    <t xml:space="preserve">단계 구성</t>
  </si>
  <si>
    <t xml:space="preserve">특기 사항</t>
  </si>
  <si>
    <r>
      <rPr>
        <b val="true"/>
        <sz val="10"/>
        <rFont val="Arial"/>
        <family val="0"/>
        <charset val="1"/>
      </rPr>
      <t xml:space="preserve">1</t>
    </r>
    <r>
      <rPr>
        <b val="true"/>
        <sz val="10"/>
        <rFont val="WenQuanYi Zen Hei"/>
        <family val="2"/>
      </rPr>
      <t xml:space="preserve">차 폭발</t>
    </r>
  </si>
  <si>
    <r>
      <rPr>
        <sz val="10"/>
        <rFont val="Arial"/>
        <family val="0"/>
        <charset val="1"/>
      </rPr>
      <t xml:space="preserve">1</t>
    </r>
    <r>
      <rPr>
        <sz val="10"/>
        <rFont val="WenQuanYi Zen Hei"/>
        <family val="2"/>
      </rPr>
      <t xml:space="preserve">부 </t>
    </r>
    <r>
      <rPr>
        <sz val="10"/>
        <rFont val="Arial"/>
        <family val="0"/>
        <charset val="1"/>
      </rPr>
      <t xml:space="preserve">6</t>
    </r>
    <r>
      <rPr>
        <sz val="10"/>
        <rFont val="WenQuanYi Zen Hei"/>
        <family val="2"/>
      </rPr>
      <t xml:space="preserve">화 </t>
    </r>
    <r>
      <rPr>
        <sz val="10"/>
        <rFont val="Arial"/>
        <family val="0"/>
        <charset val="1"/>
      </rPr>
      <t xml:space="preserve">«Ça suffit !» (</t>
    </r>
    <r>
      <rPr>
        <sz val="10"/>
        <rFont val="WenQuanYi Zen Hei"/>
        <family val="2"/>
      </rPr>
      <t xml:space="preserve">사건</t>
    </r>
    <r>
      <rPr>
        <sz val="10"/>
        <rFont val="Arial"/>
        <family val="0"/>
        <charset val="1"/>
      </rPr>
      <t xml:space="preserve">3 </t>
    </r>
    <r>
      <rPr>
        <sz val="10"/>
        <rFont val="WenQuanYi Zen Hei"/>
        <family val="2"/>
      </rPr>
      <t xml:space="preserve">해결 화</t>
    </r>
    <r>
      <rPr>
        <sz val="10"/>
        <rFont val="Arial"/>
        <family val="0"/>
        <charset val="1"/>
      </rPr>
      <t xml:space="preserve">, Léa</t>
    </r>
    <r>
      <rPr>
        <sz val="10"/>
        <rFont val="WenQuanYi Zen Hei"/>
        <family val="2"/>
      </rPr>
      <t xml:space="preserve">의 경영 용어가 협상을 막는 장면</t>
    </r>
    <r>
      <rPr>
        <sz val="10"/>
        <rFont val="Arial"/>
        <family val="0"/>
        <charset val="1"/>
      </rPr>
      <t xml:space="preserve">)</t>
    </r>
  </si>
  <si>
    <t xml:space="preserve">코미디 — 「몰라서 화내는 Manon」</t>
  </si>
  <si>
    <r>
      <rPr>
        <sz val="10"/>
        <rFont val="Arial"/>
        <family val="0"/>
        <charset val="1"/>
      </rPr>
      <t xml:space="preserve">1</t>
    </r>
    <r>
      <rPr>
        <sz val="10"/>
        <rFont val="WenQuanYi Zen Hei"/>
        <family val="2"/>
      </rPr>
      <t xml:space="preserve">단계 → </t>
    </r>
    <r>
      <rPr>
        <sz val="10"/>
        <rFont val="Arial"/>
        <family val="0"/>
        <charset val="1"/>
      </rPr>
      <t xml:space="preserve">2</t>
    </r>
    <r>
      <rPr>
        <sz val="10"/>
        <rFont val="WenQuanYi Zen Hei"/>
        <family val="2"/>
      </rPr>
      <t xml:space="preserve">단계 → </t>
    </r>
    <r>
      <rPr>
        <sz val="10"/>
        <rFont val="Arial"/>
        <family val="0"/>
        <charset val="1"/>
      </rPr>
      <t xml:space="preserve">3</t>
    </r>
    <r>
      <rPr>
        <sz val="10"/>
        <rFont val="WenQuanYi Zen Hei"/>
        <family val="2"/>
      </rPr>
      <t xml:space="preserve">단계 전부 노출</t>
    </r>
  </si>
  <si>
    <t xml:space="preserve">인물별 고정 반응 패턴을 여기서 한 번에 보여 준다. Jeanne·Monique·Curie가 이 화에 함께 등장 — Karim의 욕은 9부 2차 폭발로 이관해 과밀을 피함.</t>
  </si>
  <si>
    <r>
      <rPr>
        <b val="true"/>
        <sz val="10"/>
        <rFont val="Arial"/>
        <family val="0"/>
        <charset val="1"/>
      </rPr>
      <t xml:space="preserve">2</t>
    </r>
    <r>
      <rPr>
        <b val="true"/>
        <sz val="10"/>
        <rFont val="WenQuanYi Zen Hei"/>
        <family val="2"/>
      </rPr>
      <t xml:space="preserve">차 폭발</t>
    </r>
  </si>
  <si>
    <r>
      <rPr>
        <sz val="10"/>
        <rFont val="Arial"/>
        <family val="0"/>
        <charset val="1"/>
      </rPr>
      <t xml:space="preserve">9</t>
    </r>
    <r>
      <rPr>
        <sz val="10"/>
        <rFont val="WenQuanYi Zen Hei"/>
        <family val="2"/>
      </rPr>
      <t xml:space="preserve">부 </t>
    </r>
    <r>
      <rPr>
        <sz val="10"/>
        <rFont val="Arial"/>
        <family val="0"/>
        <charset val="1"/>
      </rPr>
      <t xml:space="preserve">6</t>
    </r>
    <r>
      <rPr>
        <sz val="10"/>
        <rFont val="WenQuanYi Zen Hei"/>
        <family val="2"/>
      </rPr>
      <t xml:space="preserve">화 </t>
    </r>
    <r>
      <rPr>
        <sz val="10"/>
        <rFont val="Arial"/>
        <family val="0"/>
        <charset val="1"/>
      </rPr>
      <t xml:space="preserve">(</t>
    </r>
    <r>
      <rPr>
        <sz val="10"/>
        <rFont val="WenQuanYi Zen Hei"/>
        <family val="2"/>
      </rPr>
      <t xml:space="preserve">파리 시의회 예산 심의</t>
    </r>
    <r>
      <rPr>
        <sz val="10"/>
        <rFont val="Arial"/>
        <family val="0"/>
        <charset val="1"/>
      </rPr>
      <t xml:space="preserve">)</t>
    </r>
  </si>
  <si>
    <t xml:space="preserve">역전 — 「알아서 화내는 Manon」. 이번엔 Manon이 옳다.</t>
  </si>
  <si>
    <r>
      <rPr>
        <sz val="10"/>
        <rFont val="Arial"/>
        <family val="0"/>
        <charset val="1"/>
      </rPr>
      <t xml:space="preserve">1</t>
    </r>
    <r>
      <rPr>
        <sz val="10"/>
        <rFont val="WenQuanYi Zen Hei"/>
        <family val="2"/>
      </rPr>
      <t xml:space="preserve">단계에서 곧바로 </t>
    </r>
    <r>
      <rPr>
        <sz val="10"/>
        <rFont val="Arial"/>
        <family val="0"/>
        <charset val="1"/>
      </rPr>
      <t xml:space="preserve">3</t>
    </r>
    <r>
      <rPr>
        <sz val="10"/>
        <rFont val="WenQuanYi Zen Hei"/>
        <family val="2"/>
      </rPr>
      <t xml:space="preserve">단계로 </t>
    </r>
    <r>
      <rPr>
        <sz val="10"/>
        <rFont val="Arial"/>
        <family val="0"/>
        <charset val="1"/>
      </rPr>
      <t xml:space="preserve">(2</t>
    </r>
    <r>
      <rPr>
        <sz val="10"/>
        <rFont val="WenQuanYi Zen Hei"/>
        <family val="2"/>
      </rPr>
      <t xml:space="preserve">단계 생략</t>
    </r>
    <r>
      <rPr>
        <sz val="10"/>
        <rFont val="Arial"/>
        <family val="0"/>
        <charset val="1"/>
      </rPr>
      <t xml:space="preserve">: '</t>
    </r>
    <r>
      <rPr>
        <sz val="10"/>
        <rFont val="WenQuanYi Zen Hei"/>
        <family val="2"/>
      </rPr>
      <t xml:space="preserve">이번엔 참지 않는다</t>
    </r>
    <r>
      <rPr>
        <sz val="10"/>
        <rFont val="Arial"/>
        <family val="0"/>
        <charset val="1"/>
      </rPr>
      <t xml:space="preserve">')</t>
    </r>
  </si>
  <si>
    <t xml:space="preserve">행정 전문 용어 속에 서민 주거 보조를 깎는 조항이 숨어 있었고 Manon이 짚어 낸다. Napoléon이 선을 넘는 말을 하고 Jeanne·Monique가 나무란다.</t>
  </si>
  <si>
    <t xml:space="preserve">사이 구간</t>
  </si>
  <si>
    <r>
      <rPr>
        <sz val="10"/>
        <rFont val="Arial"/>
        <family val="0"/>
        <charset val="1"/>
      </rPr>
      <t xml:space="preserve">2~8</t>
    </r>
    <r>
      <rPr>
        <sz val="10"/>
        <rFont val="WenQuanYi Zen Hei"/>
        <family val="2"/>
      </rPr>
      <t xml:space="preserve">부</t>
    </r>
  </si>
  <si>
    <t xml:space="preserve">폭발 없음</t>
  </si>
  <si>
    <r>
      <rPr>
        <sz val="10"/>
        <rFont val="Arial"/>
        <family val="0"/>
        <charset val="1"/>
      </rPr>
      <t xml:space="preserve">1</t>
    </r>
    <r>
      <rPr>
        <sz val="10"/>
        <rFont val="WenQuanYi Zen Hei"/>
        <family val="2"/>
      </rPr>
      <t xml:space="preserve">단계 질문만 일상 장치로 반복</t>
    </r>
  </si>
  <si>
    <t xml:space="preserve">어휘 학습의 핵심은 1단계 질문. 폭발은 정점 이벤트일 뿐.</t>
  </si>
  <si>
    <r>
      <rPr>
        <b val="true"/>
        <sz val="10"/>
        <rFont val="Arial"/>
        <family val="0"/>
        <charset val="1"/>
      </rPr>
      <t xml:space="preserve">2. 3</t>
    </r>
    <r>
      <rPr>
        <b val="true"/>
        <sz val="10"/>
        <rFont val="WenQuanYi Zen Hei"/>
        <family val="2"/>
      </rPr>
      <t xml:space="preserve">단계 계단</t>
    </r>
  </si>
  <si>
    <t xml:space="preserve">대사 (FR)</t>
  </si>
  <si>
    <t xml:space="preserve">분위기</t>
  </si>
  <si>
    <t xml:space="preserve">사용</t>
  </si>
  <si>
    <r>
      <rPr>
        <b val="true"/>
        <sz val="10"/>
        <rFont val="Arial"/>
        <family val="0"/>
        <charset val="1"/>
      </rPr>
      <t xml:space="preserve">1</t>
    </r>
    <r>
      <rPr>
        <b val="true"/>
        <sz val="10"/>
        <rFont val="WenQuanYi Zen Hei"/>
        <family val="2"/>
      </rPr>
      <t xml:space="preserve">단계</t>
    </r>
  </si>
  <si>
    <t xml:space="preserve">Pardon, ça veut dire quoi ?</t>
  </si>
  <si>
    <t xml:space="preserve">실례지만, 그게 무슨 뜻이에요?</t>
  </si>
  <si>
    <t xml:space="preserve">정중한 질문</t>
  </si>
  <si>
    <t xml:space="preserve">상시 (매 화 가능)</t>
  </si>
  <si>
    <r>
      <rPr>
        <b val="true"/>
        <sz val="10"/>
        <rFont val="Arial"/>
        <family val="0"/>
        <charset val="1"/>
      </rPr>
      <t xml:space="preserve">2</t>
    </r>
    <r>
      <rPr>
        <b val="true"/>
        <sz val="10"/>
        <rFont val="WenQuanYi Zen Hei"/>
        <family val="2"/>
      </rPr>
      <t xml:space="preserve">단계</t>
    </r>
  </si>
  <si>
    <t xml:space="preserve">Vous pouvez m'expliquer comme si j'avais cinq ans ?</t>
  </si>
  <si>
    <t xml:space="preserve">다섯 살한테 설명하듯 해 주실래요?</t>
  </si>
  <si>
    <t xml:space="preserve">슬슬 짜증</t>
  </si>
  <si>
    <r>
      <rPr>
        <sz val="10"/>
        <rFont val="Arial"/>
        <family val="0"/>
        <charset val="1"/>
      </rPr>
      <t xml:space="preserve">1</t>
    </r>
    <r>
      <rPr>
        <sz val="10"/>
        <rFont val="WenQuanYi Zen Hei"/>
        <family val="2"/>
      </rPr>
      <t xml:space="preserve">차 폭발에서만</t>
    </r>
  </si>
  <si>
    <r>
      <rPr>
        <b val="true"/>
        <sz val="10"/>
        <rFont val="Arial"/>
        <family val="0"/>
        <charset val="1"/>
      </rPr>
      <t xml:space="preserve">3</t>
    </r>
    <r>
      <rPr>
        <b val="true"/>
        <sz val="10"/>
        <rFont val="WenQuanYi Zen Hei"/>
        <family val="2"/>
      </rPr>
      <t xml:space="preserve">단계</t>
    </r>
  </si>
  <si>
    <t xml:space="preserve">ÇA SUFFIT ! Je comprends rien !</t>
  </si>
  <si>
    <t xml:space="preserve">그만! 하나도 모르겠다고요!</t>
  </si>
  <si>
    <t xml:space="preserve">폭발</t>
  </si>
  <si>
    <r>
      <rPr>
        <sz val="10"/>
        <rFont val="Arial"/>
        <family val="0"/>
        <charset val="1"/>
      </rPr>
      <t xml:space="preserve">1</t>
    </r>
    <r>
      <rPr>
        <sz val="10"/>
        <rFont val="WenQuanYi Zen Hei"/>
        <family val="2"/>
      </rPr>
      <t xml:space="preserve">차 </t>
    </r>
    <r>
      <rPr>
        <sz val="10"/>
        <rFont val="Arial"/>
        <family val="0"/>
        <charset val="1"/>
      </rPr>
      <t xml:space="preserve">· 2</t>
    </r>
    <r>
      <rPr>
        <sz val="10"/>
        <rFont val="WenQuanYi Zen Hei"/>
        <family val="2"/>
      </rPr>
      <t xml:space="preserve">차</t>
    </r>
    <r>
      <rPr>
        <sz val="10"/>
        <rFont val="Arial"/>
        <family val="0"/>
        <charset val="1"/>
      </rPr>
      <t xml:space="preserve">(9</t>
    </r>
    <r>
      <rPr>
        <sz val="10"/>
        <rFont val="WenQuanYi Zen Hei"/>
        <family val="2"/>
      </rPr>
      <t xml:space="preserve">부</t>
    </r>
    <r>
      <rPr>
        <sz val="10"/>
        <rFont val="Arial"/>
        <family val="0"/>
        <charset val="1"/>
      </rPr>
      <t xml:space="preserve">)</t>
    </r>
  </si>
  <si>
    <r>
      <rPr>
        <b val="true"/>
        <sz val="10"/>
        <rFont val="Arial"/>
        <family val="0"/>
        <charset val="1"/>
      </rPr>
      <t xml:space="preserve">3. </t>
    </r>
    <r>
      <rPr>
        <b val="true"/>
        <sz val="10"/>
        <rFont val="WenQuanYi Zen Hei"/>
        <family val="2"/>
      </rPr>
      <t xml:space="preserve">폭발 직후 고정 반응 </t>
    </r>
    <r>
      <rPr>
        <b val="true"/>
        <sz val="10"/>
        <rFont val="Arial"/>
        <family val="0"/>
        <charset val="1"/>
      </rPr>
      <t xml:space="preserve">(</t>
    </r>
    <r>
      <rPr>
        <b val="true"/>
        <sz val="10"/>
        <rFont val="WenQuanYi Zen Hei"/>
        <family val="2"/>
      </rPr>
      <t xml:space="preserve">전부 대사로 처리 — 지문 폐기</t>
    </r>
    <r>
      <rPr>
        <b val="true"/>
        <sz val="10"/>
        <rFont val="Arial"/>
        <family val="0"/>
        <charset val="1"/>
      </rPr>
      <t xml:space="preserve">)</t>
    </r>
  </si>
  <si>
    <t xml:space="preserve">반응 대사 (FR)</t>
  </si>
  <si>
    <t xml:space="preserve">기존 지문 (폐기)</t>
  </si>
  <si>
    <t xml:space="preserve">D'abord, respire.</t>
  </si>
  <si>
    <t xml:space="preserve">우선, 숨 쉬어.</t>
  </si>
  <si>
    <r>
      <rPr>
        <sz val="10"/>
        <rFont val="Arial"/>
        <family val="0"/>
        <charset val="1"/>
      </rPr>
      <t xml:space="preserve">Manon: «Ne me dites pas “respire” !»</t>
    </r>
    <r>
      <rPr>
        <sz val="10"/>
        <rFont val="WenQuanYi Zen Hei"/>
        <family val="2"/>
      </rPr>
      <t xml:space="preserve">로 받는다</t>
    </r>
  </si>
  <si>
    <t xml:space="preserve">Oh là. Je pose cette assiette avant qu'elle s'envole.</t>
  </si>
  <si>
    <t xml:space="preserve">어이쿠. 접시 날아가기 전에 내려놔야겠네.</t>
  </si>
  <si>
    <t xml:space="preserve">말없이 접시를 내려놓음</t>
  </si>
  <si>
    <t xml:space="preserve">정적의 순간을 웃음으로 대신한다</t>
  </si>
  <si>
    <t xml:space="preserve">Rien à sig… Non. Je ferais mieux de me taire.</t>
  </si>
  <si>
    <t xml:space="preserve">이상 없… 아니. 입 다무는 게 낫겠어.</t>
  </si>
  <si>
    <r>
      <rPr>
        <sz val="10"/>
        <rFont val="Arial"/>
        <family val="0"/>
        <charset val="1"/>
      </rPr>
      <t xml:space="preserve">«Rien à signaler»</t>
    </r>
    <r>
      <rPr>
        <sz val="10"/>
        <rFont val="WenQuanYi Zen Hei"/>
        <family val="2"/>
      </rPr>
      <t xml:space="preserve">를 하려다 입을 다묾</t>
    </r>
  </si>
  <si>
    <t xml:space="preserve">Je n'ai rien dit.</t>
  </si>
  <si>
    <t xml:space="preserve">나는 아무 말도 안 했어.</t>
  </si>
  <si>
    <t xml:space="preserve">아무 말도 하지 않아 오히려 가장 긴장됨</t>
  </si>
  <si>
    <t xml:space="preserve">침묵 설정을 폐지하고 시그니처 대사로 대체</t>
  </si>
  <si>
    <r>
      <rPr>
        <b val="true"/>
        <sz val="10"/>
        <rFont val="Arial"/>
        <family val="0"/>
        <charset val="1"/>
      </rPr>
      <t xml:space="preserve">4. </t>
    </r>
    <r>
      <rPr>
        <b val="true"/>
        <sz val="10"/>
        <rFont val="WenQuanYi Zen Hei"/>
        <family val="2"/>
      </rPr>
      <t xml:space="preserve">욕 배정 </t>
    </r>
    <r>
      <rPr>
        <b val="true"/>
        <sz val="10"/>
        <rFont val="Arial"/>
        <family val="0"/>
        <charset val="1"/>
      </rPr>
      <t xml:space="preserve">(</t>
    </r>
    <r>
      <rPr>
        <b val="true"/>
        <sz val="10"/>
        <rFont val="WenQuanYi Zen Hei"/>
        <family val="2"/>
      </rPr>
      <t xml:space="preserve">폭발 장면 한정 — 교재용 순한 표현만</t>
    </r>
    <r>
      <rPr>
        <b val="true"/>
        <sz val="10"/>
        <rFont val="Arial"/>
        <family val="0"/>
        <charset val="1"/>
      </rPr>
      <t xml:space="preserve">)</t>
    </r>
  </si>
  <si>
    <t xml:space="preserve">표현</t>
  </si>
  <si>
    <t xml:space="preserve">뉘앙스</t>
  </si>
  <si>
    <t xml:space="preserve">사용 규칙</t>
  </si>
  <si>
    <t xml:space="preserve">Bécasse / Tête de linotte</t>
  </si>
  <si>
    <t xml:space="preserve">고풍스럽고 격식 있는 욕 — 우아하게 기분 나쁨</t>
  </si>
  <si>
    <r>
      <rPr>
        <sz val="10"/>
        <rFont val="Arial"/>
        <family val="0"/>
        <charset val="1"/>
      </rPr>
      <t xml:space="preserve">1</t>
    </r>
    <r>
      <rPr>
        <sz val="10"/>
        <rFont val="WenQuanYi Zen Hei"/>
        <family val="2"/>
      </rPr>
      <t xml:space="preserve">차</t>
    </r>
    <r>
      <rPr>
        <sz val="10"/>
        <rFont val="Arial"/>
        <family val="0"/>
        <charset val="1"/>
      </rPr>
      <t xml:space="preserve">·2</t>
    </r>
    <r>
      <rPr>
        <sz val="10"/>
        <rFont val="WenQuanYi Zen Hei"/>
        <family val="2"/>
      </rPr>
      <t xml:space="preserve">차 폭발에서만</t>
    </r>
    <r>
      <rPr>
        <sz val="10"/>
        <rFont val="Arial"/>
        <family val="0"/>
        <charset val="1"/>
      </rPr>
      <t xml:space="preserve">, Manon</t>
    </r>
    <r>
      <rPr>
        <sz val="10"/>
        <rFont val="WenQuanYi Zen Hei"/>
        <family val="2"/>
      </rPr>
      <t xml:space="preserve">에게만</t>
    </r>
  </si>
  <si>
    <r>
      <rPr>
        <sz val="10"/>
        <rFont val="Arial"/>
        <family val="0"/>
        <charset val="1"/>
      </rPr>
      <t xml:space="preserve">11</t>
    </r>
    <r>
      <rPr>
        <sz val="10"/>
        <rFont val="WenQuanYi Zen Hei"/>
        <family val="2"/>
      </rPr>
      <t xml:space="preserve">부 </t>
    </r>
    <r>
      <rPr>
        <sz val="10"/>
        <rFont val="Arial"/>
        <family val="0"/>
        <charset val="1"/>
      </rPr>
      <t xml:space="preserve">12</t>
    </r>
    <r>
      <rPr>
        <sz val="10"/>
        <rFont val="WenQuanYi Zen Hei"/>
        <family val="2"/>
      </rPr>
      <t xml:space="preserve">화 마지막에 </t>
    </r>
    <r>
      <rPr>
        <sz val="10"/>
        <rFont val="Arial"/>
        <family val="0"/>
        <charset val="1"/>
      </rPr>
      <t xml:space="preserve">«bécasse» </t>
    </r>
    <r>
      <rPr>
        <sz val="10"/>
        <rFont val="WenQuanYi Zen Hei"/>
        <family val="2"/>
      </rPr>
      <t xml:space="preserve">대신 </t>
    </r>
    <r>
      <rPr>
        <sz val="10"/>
        <rFont val="Arial"/>
        <family val="0"/>
        <charset val="1"/>
      </rPr>
      <t xml:space="preserve">«Pas mal.»</t>
    </r>
    <r>
      <rPr>
        <sz val="10"/>
        <rFont val="WenQuanYi Zen Hei"/>
        <family val="2"/>
      </rPr>
      <t xml:space="preserve">이 나올 때 낙차가 커진다</t>
    </r>
    <r>
      <rPr>
        <sz val="10"/>
        <rFont val="Arial"/>
        <family val="0"/>
        <charset val="1"/>
      </rPr>
      <t xml:space="preserve">.</t>
    </r>
  </si>
  <si>
    <t xml:space="preserve">Recrue ! / Bleue !</t>
  </si>
  <si>
    <t xml:space="preserve">군대식 신병 취급</t>
  </si>
  <si>
    <r>
      <rPr>
        <sz val="10"/>
        <rFont val="Arial"/>
        <family val="0"/>
        <charset val="1"/>
      </rPr>
      <t xml:space="preserve">1</t>
    </r>
    <r>
      <rPr>
        <sz val="10"/>
        <rFont val="WenQuanYi Zen Hei"/>
        <family val="2"/>
      </rPr>
      <t xml:space="preserve">차에서 </t>
    </r>
    <r>
      <rPr>
        <sz val="10"/>
        <rFont val="Arial"/>
        <family val="0"/>
        <charset val="1"/>
      </rPr>
      <t xml:space="preserve">1</t>
    </r>
    <r>
      <rPr>
        <sz val="10"/>
        <rFont val="WenQuanYi Zen Hei"/>
        <family val="2"/>
      </rPr>
      <t xml:space="preserve">회</t>
    </r>
  </si>
  <si>
    <r>
      <rPr>
        <sz val="10"/>
        <rFont val="Arial"/>
        <family val="0"/>
        <charset val="1"/>
      </rPr>
      <t xml:space="preserve">1</t>
    </r>
    <r>
      <rPr>
        <sz val="10"/>
        <rFont val="WenQuanYi Zen Hei"/>
        <family val="2"/>
      </rPr>
      <t xml:space="preserve">부 </t>
    </r>
    <r>
      <rPr>
        <sz val="10"/>
        <rFont val="Arial"/>
        <family val="0"/>
        <charset val="1"/>
      </rPr>
      <t xml:space="preserve">6</t>
    </r>
    <r>
      <rPr>
        <sz val="10"/>
        <rFont val="WenQuanYi Zen Hei"/>
        <family val="2"/>
      </rPr>
      <t xml:space="preserve">화</t>
    </r>
    <r>
      <rPr>
        <sz val="10"/>
        <rFont val="Arial"/>
        <family val="0"/>
        <charset val="1"/>
      </rPr>
      <t xml:space="preserve">(</t>
    </r>
    <r>
      <rPr>
        <sz val="10"/>
        <rFont val="WenQuanYi Zen Hei"/>
        <family val="2"/>
      </rPr>
      <t xml:space="preserve">폭발 화</t>
    </r>
    <r>
      <rPr>
        <sz val="10"/>
        <rFont val="Arial"/>
        <family val="0"/>
        <charset val="1"/>
      </rPr>
      <t xml:space="preserve">)</t>
    </r>
    <r>
      <rPr>
        <sz val="10"/>
        <rFont val="WenQuanYi Zen Hei"/>
        <family val="2"/>
      </rPr>
      <t xml:space="preserve">에 카메오로 함께 있으므로 여기서 </t>
    </r>
    <r>
      <rPr>
        <sz val="10"/>
        <rFont val="Arial"/>
        <family val="0"/>
        <charset val="1"/>
      </rPr>
      <t xml:space="preserve">1</t>
    </r>
    <r>
      <rPr>
        <sz val="10"/>
        <rFont val="WenQuanYi Zen Hei"/>
        <family val="2"/>
      </rPr>
      <t xml:space="preserve">회 </t>
    </r>
    <r>
      <rPr>
        <sz val="10"/>
        <rFont val="Arial"/>
        <family val="0"/>
        <charset val="1"/>
      </rPr>
      <t xml:space="preserve">(</t>
    </r>
    <r>
      <rPr>
        <sz val="10"/>
        <rFont val="WenQuanYi Zen Hei"/>
        <family val="2"/>
      </rPr>
      <t xml:space="preserve">확정</t>
    </r>
    <r>
      <rPr>
        <sz val="10"/>
        <rFont val="Arial"/>
        <family val="0"/>
        <charset val="1"/>
      </rPr>
      <t xml:space="preserve">)</t>
    </r>
  </si>
  <si>
    <t xml:space="preserve">Andouille / Patate</t>
  </si>
  <si>
    <t xml:space="preserve">시장통식 직설</t>
  </si>
  <si>
    <r>
      <rPr>
        <sz val="10"/>
        <rFont val="Arial"/>
        <family val="0"/>
        <charset val="1"/>
      </rPr>
      <t xml:space="preserve">2</t>
    </r>
    <r>
      <rPr>
        <sz val="10"/>
        <rFont val="WenQuanYi Zen Hei"/>
        <family val="2"/>
      </rPr>
      <t xml:space="preserve">차</t>
    </r>
    <r>
      <rPr>
        <sz val="10"/>
        <rFont val="Arial"/>
        <family val="0"/>
        <charset val="1"/>
      </rPr>
      <t xml:space="preserve">(9</t>
    </r>
    <r>
      <rPr>
        <sz val="10"/>
        <rFont val="WenQuanYi Zen Hei"/>
        <family val="2"/>
      </rPr>
      <t xml:space="preserve">부</t>
    </r>
    <r>
      <rPr>
        <sz val="10"/>
        <rFont val="Arial"/>
        <family val="0"/>
        <charset val="1"/>
      </rPr>
      <t xml:space="preserve">)</t>
    </r>
    <r>
      <rPr>
        <sz val="10"/>
        <rFont val="WenQuanYi Zen Hei"/>
        <family val="2"/>
      </rPr>
      <t xml:space="preserve">에서 </t>
    </r>
    <r>
      <rPr>
        <sz val="10"/>
        <rFont val="Arial"/>
        <family val="0"/>
        <charset val="1"/>
      </rPr>
      <t xml:space="preserve">1</t>
    </r>
    <r>
      <rPr>
        <sz val="10"/>
        <rFont val="WenQuanYi Zen Hei"/>
        <family val="2"/>
      </rPr>
      <t xml:space="preserve">회</t>
    </r>
  </si>
  <si>
    <r>
      <rPr>
        <sz val="10"/>
        <rFont val="Arial"/>
        <family val="0"/>
        <charset val="1"/>
      </rPr>
      <t xml:space="preserve">1</t>
    </r>
    <r>
      <rPr>
        <sz val="10"/>
        <rFont val="WenQuanYi Zen Hei"/>
        <family val="2"/>
      </rPr>
      <t xml:space="preserve">차 폭발 화의 카메오 과밀을 피해 이관 </t>
    </r>
    <r>
      <rPr>
        <sz val="10"/>
        <rFont val="Arial"/>
        <family val="0"/>
        <charset val="1"/>
      </rPr>
      <t xml:space="preserve">(</t>
    </r>
    <r>
      <rPr>
        <sz val="10"/>
        <rFont val="WenQuanYi Zen Hei"/>
        <family val="2"/>
      </rPr>
      <t xml:space="preserve">확정</t>
    </r>
    <r>
      <rPr>
        <sz val="10"/>
        <rFont val="Arial"/>
        <family val="0"/>
        <charset val="1"/>
      </rPr>
      <t xml:space="preserve">)</t>
    </r>
  </si>
  <si>
    <t xml:space="preserve">Nigaude / Cruche + «ma petite»</t>
  </si>
  <si>
    <t xml:space="preserve">애정이 섞여 욕인 줄 모름</t>
  </si>
  <si>
    <t xml:space="preserve">욕하지 않음</t>
  </si>
  <si>
    <t xml:space="preserve">대신 출처를 가리킨다</t>
  </si>
  <si>
    <t xml:space="preserve">«Cherche toi-même.»</t>
  </si>
  <si>
    <r>
      <rPr>
        <b val="true"/>
        <sz val="10"/>
        <rFont val="Arial"/>
        <family val="0"/>
        <charset val="1"/>
      </rPr>
      <t xml:space="preserve">5. </t>
    </r>
    <r>
      <rPr>
        <b val="true"/>
        <sz val="10"/>
        <rFont val="WenQuanYi Zen Hei"/>
        <family val="2"/>
      </rPr>
      <t xml:space="preserve">유지 규칙</t>
    </r>
  </si>
  <si>
    <r>
      <rPr>
        <sz val="10"/>
        <rFont val="Arial"/>
        <family val="0"/>
        <charset val="1"/>
      </rPr>
      <t xml:space="preserve">1. Manon</t>
    </r>
    <r>
      <rPr>
        <sz val="10"/>
        <rFont val="WenQuanYi Zen Hei"/>
        <family val="2"/>
      </rPr>
      <t xml:space="preserve">이 옳은 경우가 있어야 한다</t>
    </r>
    <r>
      <rPr>
        <sz val="10"/>
        <rFont val="Arial"/>
        <family val="0"/>
        <charset val="1"/>
      </rPr>
      <t xml:space="preserve">. 2</t>
    </r>
    <r>
      <rPr>
        <sz val="10"/>
        <rFont val="WenQuanYi Zen Hei"/>
        <family val="2"/>
      </rPr>
      <t xml:space="preserve">차</t>
    </r>
    <r>
      <rPr>
        <sz val="10"/>
        <rFont val="Arial"/>
        <family val="0"/>
        <charset val="1"/>
      </rPr>
      <t xml:space="preserve">(9</t>
    </r>
    <r>
      <rPr>
        <sz val="10"/>
        <rFont val="WenQuanYi Zen Hei"/>
        <family val="2"/>
      </rPr>
      <t xml:space="preserve">부</t>
    </r>
    <r>
      <rPr>
        <sz val="10"/>
        <rFont val="Arial"/>
        <family val="0"/>
        <charset val="1"/>
      </rPr>
      <t xml:space="preserve">)</t>
    </r>
    <r>
      <rPr>
        <sz val="10"/>
        <rFont val="WenQuanYi Zen Hei"/>
        <family val="2"/>
      </rPr>
      <t xml:space="preserve">에서는 행정 용어에 숨은 삭감 조항을 짚어 낸다</t>
    </r>
    <r>
      <rPr>
        <sz val="10"/>
        <rFont val="Arial"/>
        <family val="0"/>
        <charset val="1"/>
      </rPr>
      <t xml:space="preserve">. 1</t>
    </r>
    <r>
      <rPr>
        <sz val="10"/>
        <rFont val="WenQuanYi Zen Hei"/>
        <family val="2"/>
      </rPr>
      <t xml:space="preserve">차에서도 </t>
    </r>
    <r>
      <rPr>
        <sz val="10"/>
        <rFont val="Arial"/>
        <family val="0"/>
        <charset val="1"/>
      </rPr>
      <t xml:space="preserve">Léa</t>
    </r>
    <r>
      <rPr>
        <sz val="10"/>
        <rFont val="WenQuanYi Zen Hei"/>
        <family val="2"/>
      </rPr>
      <t xml:space="preserve">의 용어</t>
    </r>
    <r>
      <rPr>
        <sz val="10"/>
        <rFont val="Arial"/>
        <family val="0"/>
        <charset val="1"/>
      </rPr>
      <t xml:space="preserve">(synergies, scalable)</t>
    </r>
    <r>
      <rPr>
        <sz val="10"/>
        <rFont val="WenQuanYi Zen Hei"/>
        <family val="2"/>
      </rPr>
      <t xml:space="preserve">가 알맹이 없었음이 드러난다</t>
    </r>
    <r>
      <rPr>
        <sz val="10"/>
        <rFont val="Arial"/>
        <family val="0"/>
        <charset val="1"/>
      </rPr>
      <t xml:space="preserve">. Manon</t>
    </r>
    <r>
      <rPr>
        <sz val="10"/>
        <rFont val="WenQuanYi Zen Hei"/>
        <family val="2"/>
      </rPr>
      <t xml:space="preserve">은 </t>
    </r>
    <r>
      <rPr>
        <sz val="10"/>
        <rFont val="Arial"/>
        <family val="0"/>
        <charset val="1"/>
      </rPr>
      <t xml:space="preserve">'</t>
    </r>
    <r>
      <rPr>
        <sz val="10"/>
        <rFont val="WenQuanYi Zen Hei"/>
        <family val="2"/>
      </rPr>
      <t xml:space="preserve">어려운 말로 숨는 어른들</t>
    </r>
    <r>
      <rPr>
        <sz val="10"/>
        <rFont val="Arial"/>
        <family val="0"/>
        <charset val="1"/>
      </rPr>
      <t xml:space="preserve">'</t>
    </r>
    <r>
      <rPr>
        <sz val="10"/>
        <rFont val="WenQuanYi Zen Hei"/>
        <family val="2"/>
      </rPr>
      <t xml:space="preserve">을 드러내는 인물이다</t>
    </r>
    <r>
      <rPr>
        <sz val="10"/>
        <rFont val="Arial"/>
        <family val="0"/>
        <charset val="1"/>
      </rPr>
      <t xml:space="preserve">.</t>
    </r>
  </si>
  <si>
    <r>
      <rPr>
        <sz val="10"/>
        <rFont val="Arial"/>
        <family val="0"/>
        <charset val="1"/>
      </rPr>
      <t xml:space="preserve">2. </t>
    </r>
    <r>
      <rPr>
        <sz val="10"/>
        <rFont val="WenQuanYi Zen Hei"/>
        <family val="2"/>
      </rPr>
      <t xml:space="preserve">폭발 직후에는 누군가 쉬운 말로 다시 설명한다 </t>
    </r>
    <r>
      <rPr>
        <sz val="10"/>
        <rFont val="Arial"/>
        <family val="0"/>
        <charset val="1"/>
      </rPr>
      <t xml:space="preserve">(</t>
    </r>
    <r>
      <rPr>
        <sz val="10"/>
        <rFont val="WenQuanYi Zen Hei"/>
        <family val="2"/>
      </rPr>
      <t xml:space="preserve">전문 표현 → 쉬운 표현 짝 학습</t>
    </r>
    <r>
      <rPr>
        <sz val="10"/>
        <rFont val="Arial"/>
        <family val="0"/>
        <charset val="1"/>
      </rPr>
      <t xml:space="preserve">). 1</t>
    </r>
    <r>
      <rPr>
        <sz val="10"/>
        <rFont val="WenQuanYi Zen Hei"/>
        <family val="2"/>
      </rPr>
      <t xml:space="preserve">차 담당</t>
    </r>
    <r>
      <rPr>
        <sz val="10"/>
        <rFont val="Arial"/>
        <family val="0"/>
        <charset val="1"/>
      </rPr>
      <t xml:space="preserve">: Julien — «Je traduis. Ça veut dire : licencier des gens pour économiser.»</t>
    </r>
  </si>
  <si>
    <r>
      <rPr>
        <sz val="10"/>
        <rFont val="Arial"/>
        <family val="0"/>
        <charset val="1"/>
      </rPr>
      <t xml:space="preserve">3. </t>
    </r>
    <r>
      <rPr>
        <sz val="10"/>
        <rFont val="WenQuanYi Zen Hei"/>
        <family val="2"/>
      </rPr>
      <t xml:space="preserve">욕과 괴롭힘의 선</t>
    </r>
    <r>
      <rPr>
        <sz val="10"/>
        <rFont val="Arial"/>
        <family val="0"/>
        <charset val="1"/>
      </rPr>
      <t xml:space="preserve">: </t>
    </r>
    <r>
      <rPr>
        <sz val="10"/>
        <rFont val="WenQuanYi Zen Hei"/>
        <family val="2"/>
      </rPr>
      <t xml:space="preserve">별도 에피소드를 만들지 않고 </t>
    </r>
    <r>
      <rPr>
        <sz val="10"/>
        <rFont val="Arial"/>
        <family val="0"/>
        <charset val="1"/>
      </rPr>
      <t xml:space="preserve">2</t>
    </r>
    <r>
      <rPr>
        <sz val="10"/>
        <rFont val="WenQuanYi Zen Hei"/>
        <family val="2"/>
      </rPr>
      <t xml:space="preserve">차 폭발에 합친다</t>
    </r>
    <r>
      <rPr>
        <sz val="10"/>
        <rFont val="Arial"/>
        <family val="0"/>
        <charset val="1"/>
      </rPr>
      <t xml:space="preserve">. Napoléon</t>
    </r>
    <r>
      <rPr>
        <sz val="10"/>
        <rFont val="WenQuanYi Zen Hei"/>
        <family val="2"/>
      </rPr>
      <t xml:space="preserve">이 정말 아픈 말을 하고 </t>
    </r>
    <r>
      <rPr>
        <sz val="10"/>
        <rFont val="Arial"/>
        <family val="0"/>
        <charset val="1"/>
      </rPr>
      <t xml:space="preserve">Jeanne·Monique</t>
    </r>
    <r>
      <rPr>
        <sz val="10"/>
        <rFont val="WenQuanYi Zen Hei"/>
        <family val="2"/>
      </rPr>
      <t xml:space="preserve">가 나무라며</t>
    </r>
    <r>
      <rPr>
        <sz val="10"/>
        <rFont val="Arial"/>
        <family val="0"/>
        <charset val="1"/>
      </rPr>
      <t xml:space="preserve">, </t>
    </r>
    <r>
      <rPr>
        <sz val="10"/>
        <rFont val="WenQuanYi Zen Hei"/>
        <family val="2"/>
      </rPr>
      <t xml:space="preserve">사과는 </t>
    </r>
    <r>
      <rPr>
        <sz val="10"/>
        <rFont val="Arial"/>
        <family val="0"/>
        <charset val="1"/>
      </rPr>
      <t xml:space="preserve">«Je retire ce que j'ai dit… en partie.» </t>
    </r>
    <r>
      <rPr>
        <sz val="10"/>
        <rFont val="WenQuanYi Zen Hei"/>
        <family val="2"/>
      </rPr>
      <t xml:space="preserve">정도로 삐딱하게</t>
    </r>
    <r>
      <rPr>
        <sz val="10"/>
        <rFont val="Arial"/>
        <family val="0"/>
        <charset val="1"/>
      </rPr>
      <t xml:space="preserve">.</t>
    </r>
  </si>
  <si>
    <r>
      <rPr>
        <sz val="10"/>
        <rFont val="Arial"/>
        <family val="0"/>
        <charset val="1"/>
      </rPr>
      <t xml:space="preserve">4. </t>
    </r>
    <r>
      <rPr>
        <sz val="10"/>
        <rFont val="WenQuanYi Zen Hei"/>
        <family val="2"/>
      </rPr>
      <t xml:space="preserve">욕설 수위</t>
    </r>
    <r>
      <rPr>
        <sz val="10"/>
        <rFont val="Arial"/>
        <family val="0"/>
        <charset val="1"/>
      </rPr>
      <t xml:space="preserve">: putain, merde </t>
    </r>
    <r>
      <rPr>
        <sz val="10"/>
        <rFont val="WenQuanYi Zen Hei"/>
        <family val="2"/>
      </rPr>
      <t xml:space="preserve">등은 교재에서 제외</t>
    </r>
    <r>
      <rPr>
        <sz val="10"/>
        <rFont val="Arial"/>
        <family val="0"/>
        <charset val="1"/>
      </rPr>
      <t xml:space="preserve">. </t>
    </r>
    <r>
      <rPr>
        <sz val="10"/>
        <rFont val="WenQuanYi Zen Hei"/>
        <family val="2"/>
      </rPr>
      <t xml:space="preserve">필요하면 각주로 </t>
    </r>
    <r>
      <rPr>
        <sz val="10"/>
        <rFont val="Arial"/>
        <family val="0"/>
        <charset val="1"/>
      </rPr>
      <t xml:space="preserve">'</t>
    </r>
    <r>
      <rPr>
        <sz val="10"/>
        <rFont val="WenQuanYi Zen Hei"/>
        <family val="2"/>
      </rPr>
      <t xml:space="preserve">실제로는 더 거칠게 말한다</t>
    </r>
    <r>
      <rPr>
        <sz val="10"/>
        <rFont val="Arial"/>
        <family val="0"/>
        <charset val="1"/>
      </rPr>
      <t xml:space="preserve">'</t>
    </r>
    <r>
      <rPr>
        <sz val="10"/>
        <rFont val="WenQuanYi Zen Hei"/>
        <family val="2"/>
      </rPr>
      <t xml:space="preserve">고만 알려 준다</t>
    </r>
    <r>
      <rPr>
        <sz val="10"/>
        <rFont val="Arial"/>
        <family val="0"/>
        <charset val="1"/>
      </rPr>
      <t xml:space="preserve">.</t>
    </r>
  </si>
  <si>
    <r>
      <rPr>
        <b val="true"/>
        <sz val="14"/>
        <color rgb="FF1F3864"/>
        <rFont val="Arial"/>
        <family val="0"/>
        <charset val="1"/>
      </rPr>
      <t xml:space="preserve">Napoléon — </t>
    </r>
    <r>
      <rPr>
        <b val="true"/>
        <sz val="14"/>
        <color rgb="FF1F3864"/>
        <rFont val="WenQuanYi Zen Hei"/>
        <family val="2"/>
      </rPr>
      <t xml:space="preserve">부활한 황제</t>
    </r>
    <r>
      <rPr>
        <b val="true"/>
        <sz val="14"/>
        <color rgb="FF1F3864"/>
        <rFont val="Arial"/>
        <family val="0"/>
        <charset val="1"/>
      </rPr>
      <t xml:space="preserve">, </t>
    </r>
    <r>
      <rPr>
        <b val="true"/>
        <sz val="14"/>
        <color rgb="FF1F3864"/>
        <rFont val="WenQuanYi Zen Hei"/>
        <family val="2"/>
      </rPr>
      <t xml:space="preserve">협상 승리 직후 두 번째 죽음</t>
    </r>
  </si>
  <si>
    <r>
      <rPr>
        <i val="true"/>
        <sz val="9"/>
        <color rgb="FF595959"/>
        <rFont val="Arial"/>
        <family val="0"/>
        <charset val="1"/>
      </rPr>
      <t xml:space="preserve">10</t>
    </r>
    <r>
      <rPr>
        <i val="true"/>
        <sz val="9"/>
        <color rgb="FF595959"/>
        <rFont val="WenQuanYi Zen Hei"/>
        <family val="2"/>
      </rPr>
      <t xml:space="preserve">부 동안 매 겨울 </t>
    </r>
    <r>
      <rPr>
        <i val="true"/>
        <sz val="9"/>
        <color rgb="FF595959"/>
        <rFont val="Arial"/>
        <family val="0"/>
        <charset val="1"/>
      </rPr>
      <t xml:space="preserve">'</t>
    </r>
    <r>
      <rPr>
        <i val="true"/>
        <sz val="9"/>
        <color rgb="FF595959"/>
        <rFont val="WenQuanYi Zen Hei"/>
        <family val="2"/>
      </rPr>
      <t xml:space="preserve">마지막</t>
    </r>
    <r>
      <rPr>
        <i val="true"/>
        <sz val="9"/>
        <color rgb="FF595959"/>
        <rFont val="Arial"/>
        <family val="0"/>
        <charset val="1"/>
      </rPr>
      <t xml:space="preserve">'</t>
    </r>
    <r>
      <rPr>
        <i val="true"/>
        <sz val="9"/>
        <color rgb="FF595959"/>
        <rFont val="WenQuanYi Zen Hei"/>
        <family val="2"/>
      </rPr>
      <t xml:space="preserve">이라고 외치는 양치기 소년 → </t>
    </r>
    <r>
      <rPr>
        <i val="true"/>
        <sz val="9"/>
        <color rgb="FF595959"/>
        <rFont val="Arial"/>
        <family val="0"/>
        <charset val="1"/>
      </rPr>
      <t xml:space="preserve">11</t>
    </r>
    <r>
      <rPr>
        <i val="true"/>
        <sz val="9"/>
        <color rgb="FF595959"/>
        <rFont val="WenQuanYi Zen Hei"/>
        <family val="2"/>
      </rPr>
      <t xml:space="preserve">부에서 대통령 특사가 되어 브뤼셀에서 승리하고</t>
    </r>
    <r>
      <rPr>
        <i val="true"/>
        <sz val="9"/>
        <color rgb="FF595959"/>
        <rFont val="Arial"/>
        <family val="0"/>
        <charset val="1"/>
      </rPr>
      <t xml:space="preserve">, </t>
    </r>
    <r>
      <rPr>
        <i val="true"/>
        <sz val="9"/>
        <color rgb="FF595959"/>
        <rFont val="WenQuanYi Zen Hei"/>
        <family val="2"/>
      </rPr>
      <t xml:space="preserve">그 직후 </t>
    </r>
    <r>
      <rPr>
        <i val="true"/>
        <sz val="9"/>
        <color rgb="FF595959"/>
        <rFont val="Arial"/>
        <family val="0"/>
        <charset val="1"/>
      </rPr>
      <t xml:space="preserve">12</t>
    </r>
    <r>
      <rPr>
        <i val="true"/>
        <sz val="9"/>
        <color rgb="FF595959"/>
        <rFont val="WenQuanYi Zen Hei"/>
        <family val="2"/>
      </rPr>
      <t xml:space="preserve">화에서 진짜로</t>
    </r>
    <r>
      <rPr>
        <i val="true"/>
        <sz val="9"/>
        <color rgb="FF595959"/>
        <rFont val="Arial"/>
        <family val="0"/>
        <charset val="1"/>
      </rPr>
      <t xml:space="preserve">(</t>
    </r>
    <r>
      <rPr>
        <i val="true"/>
        <sz val="9"/>
        <color rgb="FF595959"/>
        <rFont val="WenQuanYi Zen Hei"/>
        <family val="2"/>
      </rPr>
      <t xml:space="preserve">두 번째로</t>
    </r>
    <r>
      <rPr>
        <i val="true"/>
        <sz val="9"/>
        <color rgb="FF595959"/>
        <rFont val="Arial"/>
        <family val="0"/>
        <charset val="1"/>
      </rPr>
      <t xml:space="preserve">) </t>
    </r>
    <r>
      <rPr>
        <i val="true"/>
        <sz val="9"/>
        <color rgb="FF595959"/>
        <rFont val="WenQuanYi Zen Hei"/>
        <family val="2"/>
      </rPr>
      <t xml:space="preserve">죽는다</t>
    </r>
    <r>
      <rPr>
        <i val="true"/>
        <sz val="9"/>
        <color rgb="FF595959"/>
        <rFont val="Arial"/>
        <family val="0"/>
        <charset val="1"/>
      </rPr>
      <t xml:space="preserve">.</t>
    </r>
  </si>
  <si>
    <t xml:space="preserve">내용</t>
  </si>
  <si>
    <t xml:space="preserve">나이</t>
  </si>
  <si>
    <t xml:space="preserve">정중하게 독을 뿌리는 심술 황제. 예의를 지키며 비꼬는 화법이라 Karim의 큰 소리 화법과 구분된다. 낭독하면 '정중한데 기분 나쁜' 억양 연습이 된다.</t>
  </si>
  <si>
    <t xml:space="preserve">심술 패턴</t>
  </si>
  <si>
    <t xml:space="preserve">커피가 맛없다고 매일 불평(«Quelle façon de massacrer un bon café.»). Léa를 «la dame aux slides», Hugo의 원고를 «les mille brouillons»라고 놀림. 모든 것이 «De mon temps»보다 못하다 — 그의 시대가 1800년대라 더 우습다.</t>
  </si>
  <si>
    <t xml:space="preserve">반복 개그</t>
  </si>
  <si>
    <t xml:space="preserve">매 겨울 «Cet hiver sera mon dernier.» 선언(«L'hiver ne m'a jamais réussi. Demandez à la Russie.»), 유언장을 계속 고쳐 씀 (Manon에게 이각모를 물려주겠다 등). 입버릇 «Notez-le dans mon testament.» 모두 '또 시작이네' 하며 웃어넘긴다.</t>
  </si>
  <si>
    <t xml:space="preserve">가짜 병</t>
  </si>
  <si>
    <t xml:space="preserve">무릎, 불면, '세인트헬레나의 습기' 탓이라는 기침 — 전부 엄살. 소란스러운 엄살이 진짜 병의 위장이 된다.</t>
  </si>
  <si>
    <t xml:space="preserve">진짜 병</t>
  </si>
  <si>
    <t xml:space="preserve">첫 번째 죽음과 같은 위(胃)의 병 (1821년 세인트헬레나의 사인). 이것만 숨긴다. 되살아난 몸이 같은 결말을 반복한다는 운명의 아이러니.</t>
  </si>
  <si>
    <r>
      <rPr>
        <b val="true"/>
        <sz val="10"/>
        <rFont val="Arial"/>
        <family val="0"/>
        <charset val="1"/>
      </rPr>
      <t xml:space="preserve">Camille</t>
    </r>
    <r>
      <rPr>
        <b val="true"/>
        <sz val="10"/>
        <rFont val="WenQuanYi Zen Hei"/>
        <family val="2"/>
      </rPr>
      <t xml:space="preserve">의 딜레마</t>
    </r>
  </si>
  <si>
    <t xml:space="preserve">진단을 알지만 의사의 직업상 비밀(secret médical)을 지킨다. Napoléon이 «Docteure, ceci reste entre nous.»라고 못 박았기 때문. 시청자가 뒤늦게 'Camille가 왜 조용했는지' 깨닫는 구조.</t>
  </si>
  <si>
    <t xml:space="preserve">최고의 칭찬</t>
  </si>
  <si>
    <r>
      <rPr>
        <sz val="10"/>
        <rFont val="Arial"/>
        <family val="0"/>
        <charset val="1"/>
      </rPr>
      <t xml:space="preserve">«Pas mal.» — </t>
    </r>
    <r>
      <rPr>
        <sz val="10"/>
        <rFont val="WenQuanYi Zen Hei"/>
        <family val="2"/>
      </rPr>
      <t xml:space="preserve">극히 드물게 쓰는 표현</t>
    </r>
    <r>
      <rPr>
        <sz val="10"/>
        <rFont val="Arial"/>
        <family val="0"/>
        <charset val="1"/>
      </rPr>
      <t xml:space="preserve">. Manon</t>
    </r>
    <r>
      <rPr>
        <sz val="10"/>
        <rFont val="WenQuanYi Zen Hei"/>
        <family val="2"/>
      </rPr>
      <t xml:space="preserve">에게는 </t>
    </r>
    <r>
      <rPr>
        <sz val="10"/>
        <rFont val="Arial"/>
        <family val="0"/>
        <charset val="1"/>
      </rPr>
      <t xml:space="preserve">11</t>
    </r>
    <r>
      <rPr>
        <sz val="10"/>
        <rFont val="WenQuanYi Zen Hei"/>
        <family val="2"/>
      </rPr>
      <t xml:space="preserve">부 </t>
    </r>
    <r>
      <rPr>
        <sz val="10"/>
        <rFont val="Arial"/>
        <family val="0"/>
        <charset val="1"/>
      </rPr>
      <t xml:space="preserve">12</t>
    </r>
    <r>
      <rPr>
        <sz val="10"/>
        <rFont val="WenQuanYi Zen Hei"/>
        <family val="2"/>
      </rPr>
      <t xml:space="preserve">화</t>
    </r>
    <r>
      <rPr>
        <sz val="10"/>
        <rFont val="Arial"/>
        <family val="0"/>
        <charset val="1"/>
      </rPr>
      <t xml:space="preserve">(</t>
    </r>
    <r>
      <rPr>
        <sz val="10"/>
        <rFont val="WenQuanYi Zen Hei"/>
        <family val="2"/>
      </rPr>
      <t xml:space="preserve">사망 직전</t>
    </r>
    <r>
      <rPr>
        <sz val="10"/>
        <rFont val="Arial"/>
        <family val="0"/>
        <charset val="1"/>
      </rPr>
      <t xml:space="preserve">)</t>
    </r>
    <r>
      <rPr>
        <sz val="10"/>
        <rFont val="WenQuanYi Zen Hei"/>
        <family val="2"/>
      </rPr>
      <t xml:space="preserve">가 사실상 처음이어야 낙차가 산다</t>
    </r>
    <r>
      <rPr>
        <sz val="10"/>
        <rFont val="Arial"/>
        <family val="0"/>
        <charset val="1"/>
      </rPr>
      <t xml:space="preserve">.</t>
    </r>
  </si>
  <si>
    <t xml:space="preserve">호칭·욕</t>
  </si>
  <si>
    <t xml:space="preserve">여럿에게는 «Messieurs, mesdames» + vous, Manon에게는 tu(«petite», «soldat»). 욕(«bécasse»)은 Manon에게만, 폭발 장면 2회 한정.</t>
  </si>
  <si>
    <t xml:space="preserve">죽음 이후</t>
  </si>
  <si>
    <r>
      <rPr>
        <sz val="10"/>
        <rFont val="Arial"/>
        <family val="0"/>
        <charset val="1"/>
      </rPr>
      <t xml:space="preserve">La Vieille Garde</t>
    </r>
    <r>
      <rPr>
        <sz val="10"/>
        <rFont val="WenQuanYi Zen Hei"/>
        <family val="2"/>
      </rPr>
      <t xml:space="preserve">는 </t>
    </r>
    <r>
      <rPr>
        <sz val="10"/>
        <rFont val="Arial"/>
        <family val="0"/>
        <charset val="1"/>
      </rPr>
      <t xml:space="preserve">Jeanne + Curie + </t>
    </r>
    <r>
      <rPr>
        <sz val="10"/>
        <rFont val="WenQuanYi Zen Hei"/>
        <family val="2"/>
      </rPr>
      <t xml:space="preserve">빈 의자</t>
    </r>
    <r>
      <rPr>
        <sz val="10"/>
        <rFont val="Arial"/>
        <family val="0"/>
        <charset val="1"/>
      </rPr>
      <t xml:space="preserve">. 12</t>
    </r>
    <r>
      <rPr>
        <sz val="10"/>
        <rFont val="WenQuanYi Zen Hei"/>
        <family val="2"/>
      </rPr>
      <t xml:space="preserve">부 </t>
    </r>
    <r>
      <rPr>
        <sz val="10"/>
        <rFont val="Arial"/>
        <family val="0"/>
        <charset val="1"/>
      </rPr>
      <t xml:space="preserve">10</t>
    </r>
    <r>
      <rPr>
        <sz val="10"/>
        <rFont val="WenQuanYi Zen Hei"/>
        <family val="2"/>
      </rPr>
      <t xml:space="preserve">화 </t>
    </r>
    <r>
      <rPr>
        <sz val="10"/>
        <rFont val="Arial"/>
        <family val="0"/>
        <charset val="1"/>
      </rPr>
      <t xml:space="preserve">'Le vide dans la garde'</t>
    </r>
    <r>
      <rPr>
        <sz val="10"/>
        <rFont val="WenQuanYi Zen Hei"/>
        <family val="2"/>
      </rPr>
      <t xml:space="preserve">에서 정면으로 다룬다</t>
    </r>
    <r>
      <rPr>
        <sz val="10"/>
        <rFont val="Arial"/>
        <family val="0"/>
        <charset val="1"/>
      </rPr>
      <t xml:space="preserve">. (La Vieille Garde</t>
    </r>
    <r>
      <rPr>
        <sz val="10"/>
        <rFont val="WenQuanYi Zen Hei"/>
        <family val="2"/>
      </rPr>
      <t xml:space="preserve">는 실제 나폴레옹 근위대의 이름이기도 하다</t>
    </r>
    <r>
      <rPr>
        <sz val="10"/>
        <rFont val="Arial"/>
        <family val="0"/>
        <charset val="1"/>
      </rPr>
      <t xml:space="preserve">.)</t>
    </r>
  </si>
  <si>
    <r>
      <rPr>
        <b val="true"/>
        <sz val="10"/>
        <rFont val="Arial"/>
        <family val="0"/>
        <charset val="1"/>
      </rPr>
      <t xml:space="preserve">2. </t>
    </r>
    <r>
      <rPr>
        <b val="true"/>
        <sz val="10"/>
        <rFont val="WenQuanYi Zen Hei"/>
        <family val="2"/>
      </rPr>
      <t xml:space="preserve">복선</t>
    </r>
    <r>
      <rPr>
        <b val="true"/>
        <sz val="10"/>
        <rFont val="Arial"/>
        <family val="0"/>
        <charset val="1"/>
      </rPr>
      <t xml:space="preserve">·</t>
    </r>
    <r>
      <rPr>
        <b val="true"/>
        <sz val="10"/>
        <rFont val="WenQuanYi Zen Hei"/>
        <family val="2"/>
      </rPr>
      <t xml:space="preserve">사망 타임라인 </t>
    </r>
    <r>
      <rPr>
        <b val="true"/>
        <sz val="10"/>
        <rFont val="Arial"/>
        <family val="0"/>
        <charset val="1"/>
      </rPr>
      <t xml:space="preserve">(</t>
    </r>
    <r>
      <rPr>
        <b val="true"/>
        <sz val="10"/>
        <rFont val="WenQuanYi Zen Hei"/>
        <family val="2"/>
      </rPr>
      <t xml:space="preserve">전부 대사로 처리</t>
    </r>
    <r>
      <rPr>
        <b val="true"/>
        <sz val="10"/>
        <rFont val="Arial"/>
        <family val="0"/>
        <charset val="1"/>
      </rPr>
      <t xml:space="preserve">)</t>
    </r>
  </si>
  <si>
    <t xml:space="preserve">대화문 처리 방식</t>
  </si>
  <si>
    <t xml:space="preserve">대사 예시 (FR)</t>
  </si>
  <si>
    <t xml:space="preserve">학습 어휘</t>
  </si>
  <si>
    <r>
      <rPr>
        <b val="true"/>
        <sz val="10"/>
        <rFont val="Arial"/>
        <family val="0"/>
        <charset val="1"/>
      </rPr>
      <t xml:space="preserve">1~10</t>
    </r>
    <r>
      <rPr>
        <b val="true"/>
        <sz val="10"/>
        <rFont val="WenQuanYi Zen Hei"/>
        <family val="2"/>
      </rPr>
      <t xml:space="preserve">부 </t>
    </r>
    <r>
      <rPr>
        <b val="true"/>
        <sz val="10"/>
        <rFont val="Arial"/>
        <family val="0"/>
        <charset val="1"/>
      </rPr>
      <t xml:space="preserve">(</t>
    </r>
    <r>
      <rPr>
        <b val="true"/>
        <sz val="10"/>
        <rFont val="WenQuanYi Zen Hei"/>
        <family val="2"/>
      </rPr>
      <t xml:space="preserve">매 겨울</t>
    </r>
    <r>
      <rPr>
        <b val="true"/>
        <sz val="10"/>
        <rFont val="Arial"/>
        <family val="0"/>
        <charset val="1"/>
      </rPr>
      <t xml:space="preserve">)</t>
    </r>
  </si>
  <si>
    <r>
      <rPr>
        <sz val="10"/>
        <rFont val="Arial"/>
        <family val="0"/>
        <charset val="1"/>
      </rPr>
      <t xml:space="preserve">'</t>
    </r>
    <r>
      <rPr>
        <sz val="10"/>
        <rFont val="WenQuanYi Zen Hei"/>
        <family val="2"/>
      </rPr>
      <t xml:space="preserve">마지막 겨울</t>
    </r>
    <r>
      <rPr>
        <sz val="10"/>
        <rFont val="Arial"/>
        <family val="0"/>
        <charset val="1"/>
      </rPr>
      <t xml:space="preserve">' </t>
    </r>
    <r>
      <rPr>
        <sz val="10"/>
        <rFont val="WenQuanYi Zen Hei"/>
        <family val="2"/>
      </rPr>
      <t xml:space="preserve">선언과 유언장 수정</t>
    </r>
    <r>
      <rPr>
        <sz val="10"/>
        <rFont val="Arial"/>
        <family val="0"/>
        <charset val="1"/>
      </rPr>
      <t xml:space="preserve">. 1</t>
    </r>
    <r>
      <rPr>
        <sz val="10"/>
        <rFont val="WenQuanYi Zen Hei"/>
        <family val="2"/>
      </rPr>
      <t xml:space="preserve">부 </t>
    </r>
    <r>
      <rPr>
        <sz val="10"/>
        <rFont val="Arial"/>
        <family val="0"/>
        <charset val="1"/>
      </rPr>
      <t xml:space="preserve">1</t>
    </r>
    <r>
      <rPr>
        <sz val="10"/>
        <rFont val="WenQuanYi Zen Hei"/>
        <family val="2"/>
      </rPr>
      <t xml:space="preserve">화</t>
    </r>
    <r>
      <rPr>
        <sz val="10"/>
        <rFont val="Arial"/>
        <family val="0"/>
        <charset val="1"/>
      </rPr>
      <t xml:space="preserve">(</t>
    </r>
    <r>
      <rPr>
        <sz val="10"/>
        <rFont val="WenQuanYi Zen Hei"/>
        <family val="2"/>
      </rPr>
      <t xml:space="preserve">개소 </t>
    </r>
    <r>
      <rPr>
        <sz val="10"/>
        <rFont val="Arial"/>
        <family val="0"/>
        <charset val="1"/>
      </rPr>
      <t xml:space="preserve">1</t>
    </r>
    <r>
      <rPr>
        <sz val="10"/>
        <rFont val="WenQuanYi Zen Hei"/>
        <family val="2"/>
      </rPr>
      <t xml:space="preserve">개월 시점</t>
    </r>
    <r>
      <rPr>
        <sz val="10"/>
        <rFont val="Arial"/>
        <family val="0"/>
        <charset val="1"/>
      </rPr>
      <t xml:space="preserve">)</t>
    </r>
    <r>
      <rPr>
        <sz val="10"/>
        <rFont val="WenQuanYi Zen Hei"/>
        <family val="2"/>
      </rPr>
      <t xml:space="preserve">부터 이미 반복되어 온 농담으로 등장한다</t>
    </r>
    <r>
      <rPr>
        <sz val="10"/>
        <rFont val="Arial"/>
        <family val="0"/>
        <charset val="1"/>
      </rPr>
      <t xml:space="preserve">.</t>
    </r>
  </si>
  <si>
    <t xml:space="preserve">본인이 선언하고 주변이 «Encore…»로 받는다.</t>
  </si>
  <si>
    <t xml:space="preserve">Cet hiver sera mon dernier. Notez-le dans mon testament.</t>
  </si>
  <si>
    <t xml:space="preserve">testament, léguer, hiver</t>
  </si>
  <si>
    <r>
      <rPr>
        <b val="true"/>
        <sz val="10"/>
        <rFont val="Arial"/>
        <family val="0"/>
        <charset val="1"/>
      </rPr>
      <t xml:space="preserve">1~11</t>
    </r>
    <r>
      <rPr>
        <b val="true"/>
        <sz val="10"/>
        <rFont val="WenQuanYi Zen Hei"/>
        <family val="2"/>
      </rPr>
      <t xml:space="preserve">부</t>
    </r>
  </si>
  <si>
    <t xml:space="preserve">가짜 병 (무릎·불면·기침)</t>
  </si>
  <si>
    <r>
      <rPr>
        <sz val="10"/>
        <rFont val="Arial"/>
        <family val="0"/>
        <charset val="1"/>
      </rPr>
      <t xml:space="preserve">Camille</t>
    </r>
    <r>
      <rPr>
        <sz val="10"/>
        <rFont val="WenQuanYi Zen Hei"/>
        <family val="2"/>
      </rPr>
      <t xml:space="preserve">가 </t>
    </r>
    <r>
      <rPr>
        <sz val="10"/>
        <rFont val="Arial"/>
        <family val="0"/>
        <charset val="1"/>
      </rPr>
      <t xml:space="preserve">«Vous n'avez rien.»</t>
    </r>
    <r>
      <rPr>
        <sz val="10"/>
        <rFont val="WenQuanYi Zen Hei"/>
        <family val="2"/>
      </rPr>
      <t xml:space="preserve">으로 넘긴다</t>
    </r>
    <r>
      <rPr>
        <sz val="10"/>
        <rFont val="Arial"/>
        <family val="0"/>
        <charset val="1"/>
      </rPr>
      <t xml:space="preserve">.</t>
    </r>
  </si>
  <si>
    <t xml:space="preserve">J'ai mal au genou. C'est la fin.</t>
  </si>
  <si>
    <t xml:space="preserve">genou, insomnie, toux, maux</t>
  </si>
  <si>
    <r>
      <rPr>
        <sz val="10"/>
        <rFont val="Arial"/>
        <family val="0"/>
        <charset val="1"/>
      </rPr>
      <t xml:space="preserve">«Tu peux me tutoyer.» </t>
    </r>
    <r>
      <rPr>
        <sz val="10"/>
        <rFont val="WenQuanYi Zen Hei"/>
        <family val="2"/>
      </rPr>
      <t xml:space="preserve">허락 — </t>
    </r>
    <r>
      <rPr>
        <sz val="10"/>
        <rFont val="Arial"/>
        <family val="0"/>
        <charset val="1"/>
      </rPr>
      <t xml:space="preserve">Manon</t>
    </r>
    <r>
      <rPr>
        <sz val="10"/>
        <rFont val="WenQuanYi Zen Hei"/>
        <family val="2"/>
      </rPr>
      <t xml:space="preserve">은 습관 때문에 </t>
    </r>
    <r>
      <rPr>
        <sz val="10"/>
        <rFont val="Arial"/>
        <family val="0"/>
        <charset val="1"/>
      </rPr>
      <t xml:space="preserve">vous </t>
    </r>
    <r>
      <rPr>
        <sz val="10"/>
        <rFont val="WenQuanYi Zen Hei"/>
        <family val="2"/>
      </rPr>
      <t xml:space="preserve">유지</t>
    </r>
  </si>
  <si>
    <t xml:space="preserve">허락과 거절이 모두 대사로 나온다.</t>
  </si>
  <si>
    <t xml:space="preserve">Tu peux me tutoyer, petite. / Pardon, c'est l'habitude.</t>
  </si>
  <si>
    <t xml:space="preserve">tutoyer, vouvoyer, habitude</t>
  </si>
  <si>
    <r>
      <rPr>
        <sz val="10"/>
        <rFont val="Arial"/>
        <family val="0"/>
        <charset val="1"/>
      </rPr>
      <t xml:space="preserve">Manon 2</t>
    </r>
    <r>
      <rPr>
        <sz val="10"/>
        <rFont val="WenQuanYi Zen Hei"/>
        <family val="2"/>
      </rPr>
      <t xml:space="preserve">차 폭발에서 </t>
    </r>
    <r>
      <rPr>
        <sz val="10"/>
        <rFont val="Arial"/>
        <family val="0"/>
        <charset val="1"/>
      </rPr>
      <t xml:space="preserve">Napoléon</t>
    </r>
    <r>
      <rPr>
        <sz val="10"/>
        <rFont val="WenQuanYi Zen Hei"/>
        <family val="2"/>
      </rPr>
      <t xml:space="preserve">이 선을 넘음 → </t>
    </r>
    <r>
      <rPr>
        <sz val="10"/>
        <rFont val="Arial"/>
        <family val="0"/>
        <charset val="1"/>
      </rPr>
      <t xml:space="preserve">Jeanne·Monique</t>
    </r>
    <r>
      <rPr>
        <sz val="10"/>
        <rFont val="WenQuanYi Zen Hei"/>
        <family val="2"/>
      </rPr>
      <t xml:space="preserve">가 나무람</t>
    </r>
  </si>
  <si>
    <t xml:space="preserve">선을 넘는 말과 사과 모두 대사로.</t>
  </si>
  <si>
    <t xml:space="preserve">Je retire ce que j'ai dit… en partie.</t>
  </si>
  <si>
    <t xml:space="preserve">retirer ses paroles, s'excuser</t>
  </si>
  <si>
    <r>
      <rPr>
        <b val="true"/>
        <sz val="10"/>
        <rFont val="Arial"/>
        <family val="0"/>
        <charset val="1"/>
      </rPr>
      <t xml:space="preserve">11</t>
    </r>
    <r>
      <rPr>
        <b val="true"/>
        <sz val="10"/>
        <rFont val="WenQuanYi Zen Hei"/>
        <family val="2"/>
      </rPr>
      <t xml:space="preserve">부 </t>
    </r>
    <r>
      <rPr>
        <b val="true"/>
        <sz val="10"/>
        <rFont val="Arial"/>
        <family val="0"/>
        <charset val="1"/>
      </rPr>
      <t xml:space="preserve">6</t>
    </r>
    <r>
      <rPr>
        <b val="true"/>
        <sz val="10"/>
        <rFont val="WenQuanYi Zen Hei"/>
        <family val="2"/>
      </rPr>
      <t xml:space="preserve">화</t>
    </r>
  </si>
  <si>
    <t xml:space="preserve">청년 고용 협상에서 좋은 조언을 하지만 계단에서 배를 움켜쥐는 게 처음으로 드러남 (죽음은 아직 아님)</t>
  </si>
  <si>
    <r>
      <rPr>
        <sz val="10"/>
        <rFont val="Arial"/>
        <family val="0"/>
        <charset val="1"/>
      </rPr>
      <t xml:space="preserve">«Je n'ai rien»</t>
    </r>
    <r>
      <rPr>
        <sz val="10"/>
        <rFont val="WenQuanYi Zen Hei"/>
        <family val="2"/>
      </rPr>
      <t xml:space="preserve">이 아니라 </t>
    </r>
    <r>
      <rPr>
        <sz val="10"/>
        <rFont val="Arial"/>
        <family val="0"/>
        <charset val="1"/>
      </rPr>
      <t xml:space="preserve">«Ce n'est rien, c'est l'escalier»</t>
    </r>
    <r>
      <rPr>
        <sz val="10"/>
        <rFont val="WenQuanYi Zen Hei"/>
        <family val="2"/>
      </rPr>
      <t xml:space="preserve">로 처음 균열</t>
    </r>
    <r>
      <rPr>
        <sz val="10"/>
        <rFont val="Arial"/>
        <family val="0"/>
        <charset val="1"/>
      </rPr>
      <t xml:space="preserve">.</t>
    </r>
  </si>
  <si>
    <t xml:space="preserve">Ce n'est rien. C'est l'escalier, petite.</t>
  </si>
  <si>
    <t xml:space="preserve">escalier, souffle, douleur</t>
  </si>
  <si>
    <r>
      <rPr>
        <b val="true"/>
        <sz val="10"/>
        <rFont val="Arial"/>
        <family val="0"/>
        <charset val="1"/>
      </rPr>
      <t xml:space="preserve">11</t>
    </r>
    <r>
      <rPr>
        <b val="true"/>
        <sz val="10"/>
        <rFont val="WenQuanYi Zen Hei"/>
        <family val="2"/>
      </rPr>
      <t xml:space="preserve">부 </t>
    </r>
    <r>
      <rPr>
        <b val="true"/>
        <sz val="10"/>
        <rFont val="Arial"/>
        <family val="0"/>
        <charset val="1"/>
      </rPr>
      <t xml:space="preserve">9</t>
    </r>
    <r>
      <rPr>
        <b val="true"/>
        <sz val="10"/>
        <rFont val="WenQuanYi Zen Hei"/>
        <family val="2"/>
      </rPr>
      <t xml:space="preserve">화</t>
    </r>
  </si>
  <si>
    <t xml:space="preserve">브뤼셀行 자원. Hugo에게 짐을 싸며 두 지도자를 특징으로만 묘사 — 건물에 금박 이름을 새긴 사업가 출신과, 정보기관 출신으로 이웃 나라 땅을 가져간 인물. 이름·국가는 끝내 말하지 않는다.</t>
  </si>
  <si>
    <t xml:space="preserve">실명 대신 행동·이력의 특징만 나열. 실존 인물 실명 미사용.</t>
  </si>
  <si>
    <t xml:space="preserve">L'un a mis son nom en lettres dorées sur ses immeubles. Maintenant, il vend des droits de douane, en criant. / Cela ressemble à qui vous voulez, jeune homme. Moi, je décris le paysage.</t>
  </si>
  <si>
    <t xml:space="preserve">droits de douane, services secrets, régime, discrétion diplomatique</t>
  </si>
  <si>
    <r>
      <rPr>
        <b val="true"/>
        <sz val="10"/>
        <rFont val="Arial"/>
        <family val="0"/>
        <charset val="1"/>
      </rPr>
      <t xml:space="preserve">11</t>
    </r>
    <r>
      <rPr>
        <b val="true"/>
        <sz val="10"/>
        <rFont val="WenQuanYi Zen Hei"/>
        <family val="2"/>
      </rPr>
      <t xml:space="preserve">부 </t>
    </r>
    <r>
      <rPr>
        <b val="true"/>
        <sz val="10"/>
        <rFont val="Arial"/>
        <family val="0"/>
        <charset val="1"/>
      </rPr>
      <t xml:space="preserve">10</t>
    </r>
    <r>
      <rPr>
        <b val="true"/>
        <sz val="10"/>
        <rFont val="WenQuanYi Zen Hei"/>
        <family val="2"/>
      </rPr>
      <t xml:space="preserve">화</t>
    </r>
  </si>
  <si>
    <t xml:space="preserve">직접 협상. 상대의 과장·거짓 주장을 밤새 읽은 기록의 날짜로 정확히 반박</t>
  </si>
  <si>
    <r>
      <rPr>
        <sz val="10"/>
        <rFont val="Arial"/>
        <family val="0"/>
        <charset val="1"/>
      </rPr>
      <t xml:space="preserve">«Permettez-moi de vous corriger»</t>
    </r>
    <r>
      <rPr>
        <sz val="10"/>
        <rFont val="WenQuanYi Zen Hei"/>
        <family val="2"/>
      </rPr>
      <t xml:space="preserve">로 시작하는 반박 대사</t>
    </r>
    <r>
      <rPr>
        <sz val="10"/>
        <rFont val="Arial"/>
        <family val="0"/>
        <charset val="1"/>
      </rPr>
      <t xml:space="preserve">.</t>
    </r>
  </si>
  <si>
    <t xml:space="preserve">J'ai lu les archives toute la nuit, jeune homme. Lisez-les avec plus d'attention.</t>
  </si>
  <si>
    <t xml:space="preserve">corriger, archives, précision diplomatique</t>
  </si>
  <si>
    <r>
      <rPr>
        <b val="true"/>
        <sz val="10"/>
        <rFont val="Arial"/>
        <family val="0"/>
        <charset val="1"/>
      </rPr>
      <t xml:space="preserve">11</t>
    </r>
    <r>
      <rPr>
        <b val="true"/>
        <sz val="10"/>
        <rFont val="WenQuanYi Zen Hei"/>
        <family val="2"/>
      </rPr>
      <t xml:space="preserve">부 </t>
    </r>
    <r>
      <rPr>
        <b val="true"/>
        <sz val="10"/>
        <rFont val="Arial"/>
        <family val="0"/>
        <charset val="1"/>
      </rPr>
      <t xml:space="preserve">11</t>
    </r>
    <r>
      <rPr>
        <b val="true"/>
        <sz val="10"/>
        <rFont val="WenQuanYi Zen Hei"/>
        <family val="2"/>
      </rPr>
      <t xml:space="preserve">화</t>
    </r>
  </si>
  <si>
    <t xml:space="preserve">타결. 귀국길에 피로를 숨기고 Julien에게 메모를 남기라고 지시</t>
  </si>
  <si>
    <t xml:space="preserve">직접 증상을 말하지 않고 '메모를 남기라'는 명령으로 암시.</t>
  </si>
  <si>
    <t xml:space="preserve">Au cas où, notez ceci aussi, Julien.</t>
  </si>
  <si>
    <t xml:space="preserve">au cas où, héritage, instruction</t>
  </si>
  <si>
    <r>
      <rPr>
        <b val="true"/>
        <sz val="10"/>
        <rFont val="Arial"/>
        <family val="0"/>
        <charset val="1"/>
      </rPr>
      <t xml:space="preserve">11</t>
    </r>
    <r>
      <rPr>
        <b val="true"/>
        <sz val="10"/>
        <rFont val="WenQuanYi Zen Hei"/>
        <family val="2"/>
      </rPr>
      <t xml:space="preserve">부 </t>
    </r>
    <r>
      <rPr>
        <b val="true"/>
        <sz val="10"/>
        <rFont val="Arial"/>
        <family val="0"/>
        <charset val="1"/>
      </rPr>
      <t xml:space="preserve">12</t>
    </r>
    <r>
      <rPr>
        <b val="true"/>
        <sz val="10"/>
        <rFont val="WenQuanYi Zen Hei"/>
        <family val="2"/>
      </rPr>
      <t xml:space="preserve">화 </t>
    </r>
    <r>
      <rPr>
        <b val="true"/>
        <sz val="10"/>
        <rFont val="Arial"/>
        <family val="0"/>
        <charset val="1"/>
      </rPr>
      <t xml:space="preserve">(</t>
    </r>
    <r>
      <rPr>
        <b val="true"/>
        <sz val="10"/>
        <rFont val="WenQuanYi Zen Hei"/>
        <family val="2"/>
      </rPr>
      <t xml:space="preserve">사망</t>
    </r>
    <r>
      <rPr>
        <b val="true"/>
        <sz val="10"/>
        <rFont val="Arial"/>
        <family val="0"/>
        <charset val="1"/>
      </rPr>
      <t xml:space="preserve">)</t>
    </r>
  </si>
  <si>
    <t xml:space="preserve">귀국 직후 자택에서 위의 병으로 사망. Manon이 서명을 받으러 왔다가 발견</t>
  </si>
  <si>
    <t xml:space="preserve">사망은 지문 없이 호명과 확인 대사로: Manon이 부르고 Camille가 «Il est parti.»라고 말한다.</t>
  </si>
  <si>
    <t xml:space="preserve">Pas mal.  /  Napoléon ? — Il est parti, Manon.</t>
  </si>
  <si>
    <t xml:space="preserve">pouls, arrêt cardiaque, réanimation, décéder</t>
  </si>
  <si>
    <r>
      <rPr>
        <b val="true"/>
        <sz val="10"/>
        <rFont val="Arial"/>
        <family val="0"/>
        <charset val="1"/>
      </rPr>
      <t xml:space="preserve">12</t>
    </r>
    <r>
      <rPr>
        <b val="true"/>
        <sz val="10"/>
        <rFont val="WenQuanYi Zen Hei"/>
        <family val="2"/>
      </rPr>
      <t xml:space="preserve">부 </t>
    </r>
    <r>
      <rPr>
        <b val="true"/>
        <sz val="10"/>
        <rFont val="Arial"/>
        <family val="0"/>
        <charset val="1"/>
      </rPr>
      <t xml:space="preserve">1</t>
    </r>
    <r>
      <rPr>
        <b val="true"/>
        <sz val="10"/>
        <rFont val="WenQuanYi Zen Hei"/>
        <family val="2"/>
      </rPr>
      <t xml:space="preserve">화</t>
    </r>
  </si>
  <si>
    <t xml:space="preserve">장례식이 첫 화. Chez Monique에 빈자리, Monique가 커피 한 잔을 계속 내놓음. Manon이 추도사에서 처음으로 tu 사용</t>
  </si>
  <si>
    <t xml:space="preserve">장소·상황은 Monique·Manon의 대사로.</t>
  </si>
  <si>
    <t xml:space="preserve">Un café pour Napoléon. Comme d'habitude. / Pour toi, « pas mal », c'était le plus beau compliment.</t>
  </si>
  <si>
    <r>
      <rPr>
        <b val="true"/>
        <sz val="10"/>
        <rFont val="Arial"/>
        <family val="0"/>
        <charset val="1"/>
      </rPr>
      <t xml:space="preserve">12</t>
    </r>
    <r>
      <rPr>
        <b val="true"/>
        <sz val="10"/>
        <rFont val="WenQuanYi Zen Hei"/>
        <family val="2"/>
      </rPr>
      <t xml:space="preserve">부 </t>
    </r>
    <r>
      <rPr>
        <b val="true"/>
        <sz val="10"/>
        <rFont val="Arial"/>
        <family val="0"/>
        <charset val="1"/>
      </rPr>
      <t xml:space="preserve">2~3</t>
    </r>
    <r>
      <rPr>
        <b val="true"/>
        <sz val="10"/>
        <rFont val="WenQuanYi Zen Hei"/>
        <family val="2"/>
      </rPr>
      <t xml:space="preserve">화</t>
    </r>
  </si>
  <si>
    <t xml:space="preserve">유작 메모 발견 → 2차 브뤼셀 협상에서 Hugo가 다듬은 그의 문장을 인용</t>
  </si>
  <si>
    <r>
      <rPr>
        <sz val="10"/>
        <rFont val="Arial"/>
        <family val="0"/>
        <charset val="1"/>
      </rPr>
      <t xml:space="preserve">Hugo</t>
    </r>
    <r>
      <rPr>
        <sz val="10"/>
        <rFont val="WenQuanYi Zen Hei"/>
        <family val="2"/>
      </rPr>
      <t xml:space="preserve">가 메모를 소리 내어 읽고 </t>
    </r>
    <r>
      <rPr>
        <sz val="10"/>
        <rFont val="Arial"/>
        <family val="0"/>
        <charset val="1"/>
      </rPr>
      <t xml:space="preserve">Julien</t>
    </r>
    <r>
      <rPr>
        <sz val="10"/>
        <rFont val="WenQuanYi Zen Hei"/>
        <family val="2"/>
      </rPr>
      <t xml:space="preserve">이 협상장에서 그 문장을 인용한다</t>
    </r>
    <r>
      <rPr>
        <sz val="10"/>
        <rFont val="Arial"/>
        <family val="0"/>
        <charset val="1"/>
      </rPr>
      <t xml:space="preserve">.</t>
    </r>
  </si>
  <si>
    <t xml:space="preserve">Permettez-moi une dernière précision : ce n'était pas mal.</t>
  </si>
  <si>
    <t xml:space="preserve">mémorandum, héritage, précision, ECOFIN</t>
  </si>
  <si>
    <r>
      <rPr>
        <b val="true"/>
        <sz val="10"/>
        <rFont val="Arial"/>
        <family val="0"/>
        <charset val="1"/>
      </rPr>
      <t xml:space="preserve">12</t>
    </r>
    <r>
      <rPr>
        <b val="true"/>
        <sz val="10"/>
        <rFont val="WenQuanYi Zen Hei"/>
        <family val="2"/>
      </rPr>
      <t xml:space="preserve">부 </t>
    </r>
    <r>
      <rPr>
        <b val="true"/>
        <sz val="10"/>
        <rFont val="Arial"/>
        <family val="0"/>
        <charset val="1"/>
      </rPr>
      <t xml:space="preserve">10</t>
    </r>
    <r>
      <rPr>
        <b val="true"/>
        <sz val="10"/>
        <rFont val="WenQuanYi Zen Hei"/>
        <family val="2"/>
      </rPr>
      <t xml:space="preserve">화</t>
    </r>
  </si>
  <si>
    <r>
      <rPr>
        <sz val="10"/>
        <rFont val="Arial"/>
        <family val="0"/>
        <charset val="1"/>
      </rPr>
      <t xml:space="preserve">'</t>
    </r>
    <r>
      <rPr>
        <sz val="10"/>
        <rFont val="WenQuanYi Zen Hei"/>
        <family val="2"/>
      </rPr>
      <t xml:space="preserve">근위대의 빈자리</t>
    </r>
    <r>
      <rPr>
        <sz val="10"/>
        <rFont val="Arial"/>
        <family val="0"/>
        <charset val="1"/>
      </rPr>
      <t xml:space="preserve">' — Jeanne·Curie</t>
    </r>
    <r>
      <rPr>
        <sz val="10"/>
        <rFont val="WenQuanYi Zen Hei"/>
        <family val="2"/>
      </rPr>
      <t xml:space="preserve">가 그의 커피 불평을 그리워한다고 인정</t>
    </r>
  </si>
  <si>
    <t xml:space="preserve">회상은 Monique·Jeanne·Curie의 대사로.</t>
  </si>
  <si>
    <t xml:space="preserve">Il manque quelqu'un à cette table, et il manque son café froid.</t>
  </si>
  <si>
    <t xml:space="preserve">se souvenir, vide, absence</t>
  </si>
  <si>
    <r>
      <rPr>
        <b val="true"/>
        <sz val="10"/>
        <rFont val="Arial"/>
        <family val="0"/>
        <charset val="1"/>
      </rPr>
      <t xml:space="preserve">13</t>
    </r>
    <r>
      <rPr>
        <b val="true"/>
        <sz val="10"/>
        <rFont val="WenQuanYi Zen Hei"/>
        <family val="2"/>
      </rPr>
      <t xml:space="preserve">부 </t>
    </r>
    <r>
      <rPr>
        <b val="true"/>
        <sz val="10"/>
        <rFont val="Arial"/>
        <family val="0"/>
        <charset val="1"/>
      </rPr>
      <t xml:space="preserve">2</t>
    </r>
    <r>
      <rPr>
        <b val="true"/>
        <sz val="10"/>
        <rFont val="WenQuanYi Zen Hei"/>
        <family val="2"/>
      </rPr>
      <t xml:space="preserve">화</t>
    </r>
  </si>
  <si>
    <t xml:space="preserve">유언장: 공증인 앞에서 이각모가 Manon에게 간다 (양치기 소년 개그의 회수). Jeanne이 유언집행자(exécuteur testamentaire)</t>
  </si>
  <si>
    <t xml:space="preserve">공증인(NOTAIRE)이 유언 내용을 낭독하고 Manon이 되묻는다.</t>
  </si>
  <si>
    <t xml:space="preserve">Pour Manon, mon bicorne. Notez-le dans mon testament.</t>
  </si>
  <si>
    <t xml:space="preserve">testament, exécuteur testamentaire, notaire, dernières volontés</t>
  </si>
  <si>
    <r>
      <rPr>
        <b val="true"/>
        <sz val="10"/>
        <rFont val="Arial"/>
        <family val="0"/>
        <charset val="1"/>
      </rPr>
      <t xml:space="preserve">12</t>
    </r>
    <r>
      <rPr>
        <b val="true"/>
        <sz val="10"/>
        <rFont val="WenQuanYi Zen Hei"/>
        <family val="2"/>
      </rPr>
      <t xml:space="preserve">부 </t>
    </r>
    <r>
      <rPr>
        <b val="true"/>
        <sz val="10"/>
        <rFont val="Arial"/>
        <family val="0"/>
        <charset val="1"/>
      </rPr>
      <t xml:space="preserve">(</t>
    </r>
    <r>
      <rPr>
        <b val="true"/>
        <sz val="10"/>
        <rFont val="WenQuanYi Zen Hei"/>
        <family val="2"/>
      </rPr>
      <t xml:space="preserve">선택</t>
    </r>
    <r>
      <rPr>
        <b val="true"/>
        <sz val="10"/>
        <rFont val="Arial"/>
        <family val="0"/>
        <charset val="1"/>
      </rPr>
      <t xml:space="preserve">)</t>
    </r>
  </si>
  <si>
    <r>
      <rPr>
        <sz val="10"/>
        <rFont val="Arial"/>
        <family val="0"/>
        <charset val="1"/>
      </rPr>
      <t xml:space="preserve">Sartre</t>
    </r>
    <r>
      <rPr>
        <sz val="10"/>
        <rFont val="WenQuanYi Zen Hei"/>
        <family val="2"/>
      </rPr>
      <t xml:space="preserve">의 애도 대화</t>
    </r>
  </si>
  <si>
    <t xml:space="preserve">다들 질색하던 «Et toi, qu'est-ce que tu choisis ?»가 처음으로 진지하게 쓰인다.</t>
  </si>
  <si>
    <t xml:space="preserve">Et toi, qu'est-ce que tu choisis, maintenant qu'il n'est plus là ?</t>
  </si>
  <si>
    <t xml:space="preserve">deuil, perte, chagrin</t>
  </si>
  <si>
    <r>
      <rPr>
        <b val="true"/>
        <sz val="14"/>
        <color rgb="FF1F3864"/>
        <rFont val="Arial"/>
        <family val="0"/>
        <charset val="1"/>
      </rPr>
      <t xml:space="preserve">Curie — </t>
    </r>
    <r>
      <rPr>
        <b val="true"/>
        <sz val="14"/>
        <color rgb="FF1F3864"/>
        <rFont val="WenQuanYi Zen Hei"/>
        <family val="2"/>
      </rPr>
      <t xml:space="preserve">결론 대신 출처를 가리키는 사람</t>
    </r>
  </si>
  <si>
    <t xml:space="preserve">직접 답하지 않고 '어디를 찾을지'만 알려 준다. 과학자의 논리: 답은 측정과 원자료에 있고, 그 대부분은 공개 출처에 있다.</t>
  </si>
  <si>
    <r>
      <rPr>
        <b val="true"/>
        <sz val="10"/>
        <rFont val="Arial"/>
        <family val="0"/>
        <charset val="1"/>
      </rPr>
      <t xml:space="preserve">1. </t>
    </r>
    <r>
      <rPr>
        <b val="true"/>
        <sz val="10"/>
        <rFont val="WenQuanYi Zen Hei"/>
        <family val="2"/>
      </rPr>
      <t xml:space="preserve">설정 변경</t>
    </r>
  </si>
  <si>
    <t xml:space="preserve">답하는 방식</t>
  </si>
  <si>
    <t xml:space="preserve">결론은 말하지 않고 출처만 가리킨다. 실험 노트처럼 정확하게.</t>
  </si>
  <si>
    <t xml:space="preserve">시그니처</t>
  </si>
  <si>
    <t xml:space="preserve">«Je n'ai rien dit. Mais regarde dans…» / «Je ne te le dis pas. Je te dis où c'est.» / «Presque tout est dans des sources ouvertes. Il suffit de savoir lire.»</t>
  </si>
  <si>
    <t xml:space="preserve">도구 (대화문 처리)</t>
  </si>
  <si>
    <t xml:space="preserve">책을 꺼내 건네거나 카드에 적어 주는 행동은 지문 대신 대사로 말한다: «Troisième rayon, à ta gauche.» / «Note. Cherche : …»</t>
  </si>
  <si>
    <t xml:space="preserve">전원에게 tu — «Cherche toi-même.»가 명령조라 더 섬뜩하다.</t>
  </si>
  <si>
    <r>
      <rPr>
        <b val="true"/>
        <sz val="10"/>
        <rFont val="Arial"/>
        <family val="0"/>
        <charset val="1"/>
      </rPr>
      <t xml:space="preserve">Manon</t>
    </r>
    <r>
      <rPr>
        <b val="true"/>
        <sz val="10"/>
        <rFont val="WenQuanYi Zen Hei"/>
        <family val="2"/>
      </rPr>
      <t xml:space="preserve">과의 관계</t>
    </r>
  </si>
  <si>
    <r>
      <rPr>
        <sz val="10"/>
        <rFont val="Arial"/>
        <family val="0"/>
        <charset val="1"/>
      </rPr>
      <t xml:space="preserve">Manon</t>
    </r>
    <r>
      <rPr>
        <sz val="10"/>
        <rFont val="WenQuanYi Zen Hei"/>
        <family val="2"/>
      </rPr>
      <t xml:space="preserve">이 </t>
    </r>
    <r>
      <rPr>
        <sz val="10"/>
        <rFont val="Arial"/>
        <family val="0"/>
        <charset val="1"/>
      </rPr>
      <t xml:space="preserve">«Dites-moi la réponse !» </t>
    </r>
    <r>
      <rPr>
        <sz val="10"/>
        <rFont val="WenQuanYi Zen Hei"/>
        <family val="2"/>
      </rPr>
      <t xml:space="preserve">하면 서가 위치만 말한다</t>
    </r>
    <r>
      <rPr>
        <sz val="10"/>
        <rFont val="Arial"/>
        <family val="0"/>
        <charset val="1"/>
      </rPr>
      <t xml:space="preserve">. </t>
    </r>
    <r>
      <rPr>
        <sz val="10"/>
        <rFont val="WenQuanYi Zen Hei"/>
        <family val="2"/>
      </rPr>
      <t xml:space="preserve">짜증 나지만 정답을 떠먹이지 않는 이 교재의 태도와 같다</t>
    </r>
    <r>
      <rPr>
        <sz val="10"/>
        <rFont val="Arial"/>
        <family val="0"/>
        <charset val="1"/>
      </rPr>
      <t xml:space="preserve">.</t>
    </r>
  </si>
  <si>
    <t xml:space="preserve">현실 요소</t>
  </si>
  <si>
    <t xml:space="preserve">센 강변 헌책방(bouquinistes des quais de Seine)과 프랑스 국립도서관(BnF, François-Mitterrand관), 5구 퀴리 박물관을 단골 출처로. 학습자가 실제 파리에서 따라 걸어 볼 수 있다.</t>
  </si>
  <si>
    <t xml:space="preserve">서점 원칙</t>
  </si>
  <si>
    <t xml:space="preserve">강변 헌책방 친구의 상자 한 칸을 빌려 쓴다. 손님이 찾던 답이 든 책일 때만 값을 받지 않는다.</t>
  </si>
  <si>
    <r>
      <rPr>
        <b val="true"/>
        <sz val="10"/>
        <rFont val="Arial"/>
        <family val="0"/>
        <charset val="1"/>
      </rPr>
      <t xml:space="preserve">2. </t>
    </r>
    <r>
      <rPr>
        <b val="true"/>
        <sz val="10"/>
        <rFont val="WenQuanYi Zen Hei"/>
        <family val="2"/>
      </rPr>
      <t xml:space="preserve">그의 서가 </t>
    </r>
    <r>
      <rPr>
        <b val="true"/>
        <sz val="10"/>
        <rFont val="Arial"/>
        <family val="0"/>
        <charset val="1"/>
      </rPr>
      <t xml:space="preserve">4</t>
    </r>
    <r>
      <rPr>
        <b val="true"/>
        <sz val="10"/>
        <rFont val="WenQuanYi Zen Hei"/>
        <family val="2"/>
      </rPr>
      <t xml:space="preserve">칸</t>
    </r>
  </si>
  <si>
    <t xml:space="preserve">칸</t>
  </si>
  <si>
    <t xml:space="preserve">대표 출처</t>
  </si>
  <si>
    <t xml:space="preserve">법령칸</t>
  </si>
  <si>
    <t xml:space="preserve">법과 조문</t>
  </si>
  <si>
    <r>
      <rPr>
        <sz val="10"/>
        <rFont val="Arial"/>
        <family val="0"/>
        <charset val="1"/>
      </rPr>
      <t xml:space="preserve">Légifrance(legifrance.gouv.fr), </t>
    </r>
    <r>
      <rPr>
        <sz val="10"/>
        <rFont val="WenQuanYi Zen Hei"/>
        <family val="2"/>
      </rPr>
      <t xml:space="preserve">헌법</t>
    </r>
    <r>
      <rPr>
        <sz val="10"/>
        <rFont val="Arial"/>
        <family val="0"/>
        <charset val="1"/>
      </rPr>
      <t xml:space="preserve">, </t>
    </r>
    <r>
      <rPr>
        <sz val="10"/>
        <rFont val="WenQuanYi Zen Hei"/>
        <family val="2"/>
      </rPr>
      <t xml:space="preserve">각 법전</t>
    </r>
    <r>
      <rPr>
        <sz val="10"/>
        <rFont val="Arial"/>
        <family val="0"/>
        <charset val="1"/>
      </rPr>
      <t xml:space="preserve">(Code)</t>
    </r>
  </si>
  <si>
    <t xml:space="preserve">문서칸</t>
  </si>
  <si>
    <t xml:space="preserve">기록과 자료</t>
  </si>
  <si>
    <t xml:space="preserve">국립문서보관소(Archives nationales), 관보(Journal officiel), 하원 회의록(assemblee-nationale.fr)</t>
  </si>
  <si>
    <t xml:space="preserve">신문칸</t>
  </si>
  <si>
    <t xml:space="preserve">과거 기사</t>
  </si>
  <si>
    <r>
      <rPr>
        <sz val="10"/>
        <rFont val="Noto Sans CJK SC"/>
        <family val="2"/>
        <charset val="1"/>
      </rPr>
      <t xml:space="preserve">BnF </t>
    </r>
    <r>
      <rPr>
        <sz val="10"/>
        <rFont val="WenQuanYi Zen Hei"/>
        <family val="2"/>
      </rPr>
      <t xml:space="preserve">디지털 도서관 </t>
    </r>
    <r>
      <rPr>
        <sz val="10"/>
        <rFont val="Noto Sans CJK SC"/>
        <family val="2"/>
        <charset val="1"/>
      </rPr>
      <t xml:space="preserve">Gallica, </t>
    </r>
    <r>
      <rPr>
        <sz val="10"/>
        <rFont val="WenQuanYi Zen Hei"/>
        <family val="2"/>
      </rPr>
      <t xml:space="preserve">신문 아카이브 </t>
    </r>
    <r>
      <rPr>
        <sz val="10"/>
        <rFont val="Noto Sans CJK SC"/>
        <family val="2"/>
        <charset val="1"/>
      </rPr>
      <t xml:space="preserve">RetroNews</t>
    </r>
  </si>
  <si>
    <t xml:space="preserve">사전칸</t>
  </si>
  <si>
    <t xml:space="preserve">용어</t>
  </si>
  <si>
    <t xml:space="preserve">아카데미 프랑세즈 사전(dictionnaire-academie.fr), CNRTL(TLFi), vie-publique.fr 용어 해설</t>
  </si>
  <si>
    <r>
      <rPr>
        <b val="true"/>
        <sz val="10"/>
        <rFont val="Arial"/>
        <family val="0"/>
        <charset val="1"/>
      </rPr>
      <t xml:space="preserve">3. </t>
    </r>
    <r>
      <rPr>
        <b val="true"/>
        <sz val="10"/>
        <rFont val="WenQuanYi Zen Hei"/>
        <family val="2"/>
      </rPr>
      <t xml:space="preserve">주제별 출처표 </t>
    </r>
    <r>
      <rPr>
        <b val="true"/>
        <sz val="10"/>
        <rFont val="Arial"/>
        <family val="0"/>
        <charset val="1"/>
      </rPr>
      <t xml:space="preserve">(</t>
    </r>
    <r>
      <rPr>
        <b val="true"/>
        <sz val="10"/>
        <rFont val="WenQuanYi Zen Hei"/>
        <family val="2"/>
      </rPr>
      <t xml:space="preserve">기획한 에피소드 기준</t>
    </r>
    <r>
      <rPr>
        <b val="true"/>
        <sz val="10"/>
        <rFont val="Arial"/>
        <family val="0"/>
        <charset val="1"/>
      </rPr>
      <t xml:space="preserve">)</t>
    </r>
  </si>
  <si>
    <t xml:space="preserve">상황</t>
  </si>
  <si>
    <t xml:space="preserve">관련 부·화</t>
  </si>
  <si>
    <r>
      <rPr>
        <b val="true"/>
        <sz val="10"/>
        <color rgb="FFFFFFFF"/>
        <rFont val="Arial"/>
        <family val="0"/>
        <charset val="1"/>
      </rPr>
      <t xml:space="preserve">Curie</t>
    </r>
    <r>
      <rPr>
        <b val="true"/>
        <sz val="10"/>
        <color rgb="FFFFFFFF"/>
        <rFont val="WenQuanYi Zen Hei"/>
        <family val="2"/>
      </rPr>
      <t xml:space="preserve">의 대사 </t>
    </r>
    <r>
      <rPr>
        <b val="true"/>
        <sz val="10"/>
        <color rgb="FFFFFFFF"/>
        <rFont val="Arial"/>
        <family val="0"/>
        <charset val="1"/>
      </rPr>
      <t xml:space="preserve">(FR)</t>
    </r>
  </si>
  <si>
    <t xml:space="preserve">찾을 곳</t>
  </si>
  <si>
    <t xml:space="preserve">검색어·키워드</t>
  </si>
  <si>
    <t xml:space="preserve">서가칸</t>
  </si>
  <si>
    <t xml:space="preserve">Commence par la loi qui les encadre.</t>
  </si>
  <si>
    <t xml:space="preserve">국내안전법전 L.801-1조 이하(2015년 정보법), CNCTR 연례 보고서 — Légifrance·cnctr.fr</t>
  </si>
  <si>
    <t xml:space="preserve">techniques de renseignement; CNCTR; contrôle a priori</t>
  </si>
  <si>
    <t xml:space="preserve">도청의 합법성</t>
  </si>
  <si>
    <t xml:space="preserve">Une preuve volée reste une preuve… mais le voleur est puni. Cherche.</t>
  </si>
  <si>
    <t xml:space="preserve">형법 제226-1조(사생활 침해), 형사소송법 제427조(증거의 자유), 파기원 판례(증거의 공정성)</t>
  </si>
  <si>
    <t xml:space="preserve">enregistrement clandestin, atteinte à la vie privée, preuve déloyale</t>
  </si>
  <si>
    <t xml:space="preserve">기밀 지정과 공개</t>
  </si>
  <si>
    <r>
      <rPr>
        <sz val="10"/>
        <rFont val="Noto Sans CJK SC"/>
        <family val="2"/>
        <charset val="1"/>
      </rPr>
      <t xml:space="preserve">12</t>
    </r>
    <r>
      <rPr>
        <sz val="10"/>
        <rFont val="WenQuanYi Zen Hei"/>
        <family val="2"/>
      </rPr>
      <t xml:space="preserve">부 </t>
    </r>
    <r>
      <rPr>
        <sz val="10"/>
        <rFont val="Noto Sans CJK SC"/>
        <family val="2"/>
        <charset val="1"/>
      </rPr>
      <t xml:space="preserve">5</t>
    </r>
    <r>
      <rPr>
        <sz val="10"/>
        <rFont val="WenQuanYi Zen Hei"/>
        <family val="2"/>
      </rPr>
      <t xml:space="preserve">화 관련</t>
    </r>
  </si>
  <si>
    <t xml:space="preserve">Il y a un secret défense. Et une commission pour le lever.</t>
  </si>
  <si>
    <t xml:space="preserve">형법 제413-9조 이하(국방기밀), 국방기밀자문위원회(CSDN), 행정문서공개위원회(CADA)</t>
  </si>
  <si>
    <t xml:space="preserve">secret de la défense nationale, déclassification</t>
  </si>
  <si>
    <t xml:space="preserve">법령칸 (절차 최신본 확인)</t>
  </si>
  <si>
    <t xml:space="preserve">의사의 비밀유지</t>
  </si>
  <si>
    <r>
      <rPr>
        <sz val="10"/>
        <rFont val="Arial"/>
        <family val="0"/>
        <charset val="1"/>
      </rPr>
      <t xml:space="preserve">11</t>
    </r>
    <r>
      <rPr>
        <sz val="10"/>
        <rFont val="WenQuanYi Zen Hei"/>
        <family val="2"/>
      </rPr>
      <t xml:space="preserve">부 </t>
    </r>
    <r>
      <rPr>
        <sz val="10"/>
        <rFont val="Arial"/>
        <family val="0"/>
        <charset val="1"/>
      </rPr>
      <t xml:space="preserve">6~12</t>
    </r>
    <r>
      <rPr>
        <sz val="10"/>
        <rFont val="WenQuanYi Zen Hei"/>
        <family val="2"/>
      </rPr>
      <t xml:space="preserve">화 </t>
    </r>
    <r>
      <rPr>
        <sz val="10"/>
        <rFont val="Arial"/>
        <family val="0"/>
        <charset val="1"/>
      </rPr>
      <t xml:space="preserve">(Napoléon </t>
    </r>
    <r>
      <rPr>
        <sz val="10"/>
        <rFont val="WenQuanYi Zen Hei"/>
        <family val="2"/>
      </rPr>
      <t xml:space="preserve">복선</t>
    </r>
    <r>
      <rPr>
        <sz val="10"/>
        <rFont val="Arial"/>
        <family val="0"/>
        <charset val="1"/>
      </rPr>
      <t xml:space="preserve">)</t>
    </r>
  </si>
  <si>
    <t xml:space="preserve">Demande à la docteure ce que dit son code.</t>
  </si>
  <si>
    <t xml:space="preserve">공중보건법전 L.1110-4조, 형법 제226-13조, 의사윤리강령(Code de déontologie médicale)</t>
  </si>
  <si>
    <t xml:space="preserve">secret médical, dossier médical</t>
  </si>
  <si>
    <t xml:space="preserve">자금 세탁</t>
  </si>
  <si>
    <r>
      <rPr>
        <sz val="10"/>
        <rFont val="Arial"/>
        <family val="0"/>
        <charset val="1"/>
      </rPr>
      <t xml:space="preserve">4</t>
    </r>
    <r>
      <rPr>
        <sz val="10"/>
        <rFont val="WenQuanYi Zen Hei"/>
        <family val="2"/>
      </rPr>
      <t xml:space="preserve">부</t>
    </r>
    <r>
      <rPr>
        <sz val="10"/>
        <rFont val="Arial"/>
        <family val="0"/>
        <charset val="1"/>
      </rPr>
      <t xml:space="preserve">, 11</t>
    </r>
    <r>
      <rPr>
        <sz val="10"/>
        <rFont val="WenQuanYi Zen Hei"/>
        <family val="2"/>
      </rPr>
      <t xml:space="preserve">부 </t>
    </r>
    <r>
      <rPr>
        <sz val="10"/>
        <rFont val="Arial"/>
        <family val="0"/>
        <charset val="1"/>
      </rPr>
      <t xml:space="preserve">2</t>
    </r>
    <r>
      <rPr>
        <sz val="10"/>
        <rFont val="WenQuanYi Zen Hei"/>
        <family val="2"/>
      </rPr>
      <t xml:space="preserve">화</t>
    </r>
  </si>
  <si>
    <t xml:space="preserve">Tout argent a une loi qui le surveille. Cherche-la.</t>
  </si>
  <si>
    <t xml:space="preserve">통화금융법전 L.561-1조 이하, TRACFIN(재무부 산하 금융정보기구), 실소유자 등록부</t>
  </si>
  <si>
    <t xml:space="preserve">blanchiment, bénéficiaire effectif, paradis fiscal</t>
  </si>
  <si>
    <t xml:space="preserve">문서칸·법령칸</t>
  </si>
  <si>
    <t xml:space="preserve">주거·퇴거</t>
  </si>
  <si>
    <r>
      <rPr>
        <sz val="10"/>
        <rFont val="Arial"/>
        <family val="0"/>
        <charset val="1"/>
      </rPr>
      <t xml:space="preserve">1·2·11</t>
    </r>
    <r>
      <rPr>
        <sz val="10"/>
        <rFont val="WenQuanYi Zen Hei"/>
        <family val="2"/>
      </rPr>
      <t xml:space="preserve">부</t>
    </r>
  </si>
  <si>
    <t xml:space="preserve">Compare ce qu'ils disent avec ce qui existe.</t>
  </si>
  <si>
    <r>
      <rPr>
        <sz val="10"/>
        <rFont val="Arial"/>
        <family val="0"/>
        <charset val="1"/>
      </rPr>
      <t xml:space="preserve">1989</t>
    </r>
    <r>
      <rPr>
        <sz val="10"/>
        <rFont val="WenQuanYi Zen Hei"/>
        <family val="2"/>
      </rPr>
      <t xml:space="preserve">년 </t>
    </r>
    <r>
      <rPr>
        <sz val="10"/>
        <rFont val="Arial"/>
        <family val="0"/>
        <charset val="1"/>
      </rPr>
      <t xml:space="preserve">7</t>
    </r>
    <r>
      <rPr>
        <sz val="10"/>
        <rFont val="WenQuanYi Zen Hei"/>
        <family val="2"/>
      </rPr>
      <t xml:space="preserve">월 </t>
    </r>
    <r>
      <rPr>
        <sz val="10"/>
        <rFont val="Arial"/>
        <family val="0"/>
        <charset val="1"/>
      </rPr>
      <t xml:space="preserve">6</t>
    </r>
    <r>
      <rPr>
        <sz val="10"/>
        <rFont val="WenQuanYi Zen Hei"/>
        <family val="2"/>
      </rPr>
      <t xml:space="preserve">일 법</t>
    </r>
    <r>
      <rPr>
        <sz val="10"/>
        <rFont val="Arial"/>
        <family val="0"/>
        <charset val="1"/>
      </rPr>
      <t xml:space="preserve">(</t>
    </r>
    <r>
      <rPr>
        <sz val="10"/>
        <rFont val="WenQuanYi Zen Hei"/>
        <family val="2"/>
      </rPr>
      <t xml:space="preserve">임대차</t>
    </r>
    <r>
      <rPr>
        <sz val="10"/>
        <rFont val="Arial"/>
        <family val="0"/>
        <charset val="1"/>
      </rPr>
      <t xml:space="preserve">), </t>
    </r>
    <r>
      <rPr>
        <sz val="10"/>
        <rFont val="WenQuanYi Zen Hei"/>
        <family val="2"/>
      </rPr>
      <t xml:space="preserve">민사집행법전 </t>
    </r>
    <r>
      <rPr>
        <sz val="10"/>
        <rFont val="Arial"/>
        <family val="0"/>
        <charset val="1"/>
      </rPr>
      <t xml:space="preserve">L.412-1</t>
    </r>
    <r>
      <rPr>
        <sz val="10"/>
        <rFont val="WenQuanYi Zen Hei"/>
        <family val="2"/>
      </rPr>
      <t xml:space="preserve">조 이하</t>
    </r>
    <r>
      <rPr>
        <sz val="10"/>
        <rFont val="Arial"/>
        <family val="0"/>
        <charset val="1"/>
      </rPr>
      <t xml:space="preserve">(</t>
    </r>
    <r>
      <rPr>
        <sz val="10"/>
        <rFont val="WenQuanYi Zen Hei"/>
        <family val="2"/>
      </rPr>
      <t xml:space="preserve">퇴거</t>
    </r>
    <r>
      <rPr>
        <sz val="10"/>
        <rFont val="Arial"/>
        <family val="0"/>
        <charset val="1"/>
      </rPr>
      <t xml:space="preserve">·</t>
    </r>
    <r>
      <rPr>
        <sz val="10"/>
        <rFont val="WenQuanYi Zen Hei"/>
        <family val="2"/>
      </rPr>
      <t xml:space="preserve">겨울 유예</t>
    </r>
    <r>
      <rPr>
        <sz val="10"/>
        <rFont val="Arial"/>
        <family val="0"/>
        <charset val="1"/>
      </rPr>
      <t xml:space="preserve">), </t>
    </r>
    <r>
      <rPr>
        <sz val="10"/>
        <rFont val="WenQuanYi Zen Hei"/>
        <family val="2"/>
      </rPr>
      <t xml:space="preserve">건설주거법전</t>
    </r>
  </si>
  <si>
    <t xml:space="preserve">expulsion, bail, congé, trêve hivernale</t>
  </si>
  <si>
    <t xml:space="preserve">가격 담합</t>
  </si>
  <si>
    <r>
      <rPr>
        <sz val="10"/>
        <rFont val="Arial"/>
        <family val="0"/>
        <charset val="1"/>
      </rPr>
      <t xml:space="preserve">11</t>
    </r>
    <r>
      <rPr>
        <sz val="10"/>
        <rFont val="WenQuanYi Zen Hei"/>
        <family val="2"/>
      </rPr>
      <t xml:space="preserve">부 </t>
    </r>
    <r>
      <rPr>
        <sz val="10"/>
        <rFont val="Arial"/>
        <family val="0"/>
        <charset val="1"/>
      </rPr>
      <t xml:space="preserve">7</t>
    </r>
    <r>
      <rPr>
        <sz val="10"/>
        <rFont val="WenQuanYi Zen Hei"/>
        <family val="2"/>
      </rPr>
      <t xml:space="preserve">화</t>
    </r>
  </si>
  <si>
    <t xml:space="preserve">Regarde du côté de la Concurrence.</t>
  </si>
  <si>
    <t xml:space="preserve">상법전 L.420-1조, 경쟁당국(autoritedelaconcurrence.fr) 제재 결정</t>
  </si>
  <si>
    <t xml:space="preserve">entente, sanction, concurrence</t>
  </si>
  <si>
    <t xml:space="preserve">법령칸·문서칸</t>
  </si>
  <si>
    <t xml:space="preserve">초과이윤·고액자산 과세</t>
  </si>
  <si>
    <t xml:space="preserve">Tu ne l'as pas inventé. Ça a déjà été fait.</t>
  </si>
  <si>
    <r>
      <rPr>
        <sz val="10"/>
        <rFont val="Arial"/>
        <family val="0"/>
        <charset val="1"/>
      </rPr>
      <t xml:space="preserve">2023</t>
    </r>
    <r>
      <rPr>
        <sz val="10"/>
        <rFont val="WenQuanYi Zen Hei"/>
        <family val="2"/>
      </rPr>
      <t xml:space="preserve">년 재정법의 전력 초과수익 부담금</t>
    </r>
    <r>
      <rPr>
        <sz val="10"/>
        <rFont val="Arial"/>
        <family val="0"/>
        <charset val="1"/>
      </rPr>
      <t xml:space="preserve">(contribution sur la rente inframarginale), </t>
    </r>
    <r>
      <rPr>
        <sz val="10"/>
        <rFont val="WenQuanYi Zen Hei"/>
        <family val="2"/>
      </rPr>
      <t xml:space="preserve">헌법 제</t>
    </r>
    <r>
      <rPr>
        <sz val="10"/>
        <rFont val="Arial"/>
        <family val="0"/>
        <charset val="1"/>
      </rPr>
      <t xml:space="preserve">34</t>
    </r>
    <r>
      <rPr>
        <sz val="10"/>
        <rFont val="WenQuanYi Zen Hei"/>
        <family val="2"/>
      </rPr>
      <t xml:space="preserve">조</t>
    </r>
  </si>
  <si>
    <t xml:space="preserve">contribution exceptionnelle, rente inframarginale</t>
  </si>
  <si>
    <r>
      <rPr>
        <b val="true"/>
        <sz val="10"/>
        <rFont val="Arial"/>
        <family val="0"/>
        <charset val="1"/>
      </rPr>
      <t xml:space="preserve">EU </t>
    </r>
    <r>
      <rPr>
        <b val="true"/>
        <sz val="10"/>
        <rFont val="WenQuanYi Zen Hei"/>
        <family val="2"/>
      </rPr>
      <t xml:space="preserve">긴축 압박</t>
    </r>
  </si>
  <si>
    <t xml:space="preserve">Cet article ne dit pas ce qu'on t'a dit.</t>
  </si>
  <si>
    <r>
      <rPr>
        <sz val="10"/>
        <rFont val="Noto Sans CJK SC"/>
        <family val="2"/>
        <charset val="1"/>
      </rPr>
      <t xml:space="preserve">TFUE </t>
    </r>
    <r>
      <rPr>
        <sz val="10"/>
        <rFont val="WenQuanYi Zen Hei"/>
        <family val="2"/>
      </rPr>
      <t xml:space="preserve">제</t>
    </r>
    <r>
      <rPr>
        <sz val="10"/>
        <rFont val="Noto Sans CJK SC"/>
        <family val="2"/>
        <charset val="1"/>
      </rPr>
      <t xml:space="preserve">126</t>
    </r>
    <r>
      <rPr>
        <sz val="10"/>
        <rFont val="WenQuanYi Zen Hei"/>
        <family val="2"/>
      </rPr>
      <t xml:space="preserve">조</t>
    </r>
    <r>
      <rPr>
        <sz val="10"/>
        <rFont val="Noto Sans CJK SC"/>
        <family val="2"/>
        <charset val="1"/>
      </rPr>
      <t xml:space="preserve">, EU </t>
    </r>
    <r>
      <rPr>
        <sz val="10"/>
        <rFont val="WenQuanYi Zen Hei"/>
        <family val="2"/>
      </rPr>
      <t xml:space="preserve">규칙 </t>
    </r>
    <r>
      <rPr>
        <sz val="10"/>
        <rFont val="Noto Sans CJK SC"/>
        <family val="2"/>
        <charset val="1"/>
      </rPr>
      <t xml:space="preserve">2024/1263, EUR-Lex(eur-lex.europa.eu)</t>
    </r>
  </si>
  <si>
    <t xml:space="preserve">procédure de déficit excessif</t>
  </si>
  <si>
    <t xml:space="preserve">과거 스캔들 조사</t>
  </si>
  <si>
    <r>
      <rPr>
        <sz val="10"/>
        <rFont val="Arial"/>
        <family val="0"/>
        <charset val="1"/>
      </rPr>
      <t xml:space="preserve">6~7</t>
    </r>
    <r>
      <rPr>
        <sz val="10"/>
        <rFont val="WenQuanYi Zen Hei"/>
        <family val="2"/>
      </rPr>
      <t xml:space="preserve">부</t>
    </r>
  </si>
  <si>
    <t xml:space="preserve">Les journaux gardent ce que les gens oublient.</t>
  </si>
  <si>
    <t xml:space="preserve">Gallica·RetroNews</t>
  </si>
  <si>
    <r>
      <rPr>
        <sz val="10"/>
        <rFont val="Arial"/>
        <family val="0"/>
        <charset val="1"/>
      </rPr>
      <t xml:space="preserve">'écoutes de l'Élysée'</t>
    </r>
    <r>
      <rPr>
        <sz val="10"/>
        <rFont val="WenQuanYi Zen Hei"/>
        <family val="2"/>
      </rPr>
      <t xml:space="preserve">로 검색</t>
    </r>
  </si>
  <si>
    <t xml:space="preserve">의회 발언 확인 (제안)</t>
  </si>
  <si>
    <t xml:space="preserve">Tout ce qui s'est dit à la tribune est écrit.</t>
  </si>
  <si>
    <t xml:space="preserve">파리 시의회 공식 회의록(Bulletin officiel des débats), 하원 회의록</t>
  </si>
  <si>
    <t xml:space="preserve">compte rendu, séance, intervention</t>
  </si>
  <si>
    <t xml:space="preserve">정당 창당</t>
  </si>
  <si>
    <r>
      <rPr>
        <sz val="10"/>
        <rFont val="Arial"/>
        <family val="0"/>
        <charset val="1"/>
      </rPr>
      <t xml:space="preserve">8</t>
    </r>
    <r>
      <rPr>
        <sz val="10"/>
        <rFont val="WenQuanYi Zen Hei"/>
        <family val="2"/>
      </rPr>
      <t xml:space="preserve">부 </t>
    </r>
    <r>
      <rPr>
        <sz val="10"/>
        <rFont val="Arial"/>
        <family val="0"/>
        <charset val="1"/>
      </rPr>
      <t xml:space="preserve">5~6</t>
    </r>
    <r>
      <rPr>
        <sz val="10"/>
        <rFont val="WenQuanYi Zen Hei"/>
        <family val="2"/>
      </rPr>
      <t xml:space="preserve">화</t>
    </r>
  </si>
  <si>
    <t xml:space="preserve">Un parti commence par un papier. Cherche-le.</t>
  </si>
  <si>
    <r>
      <rPr>
        <sz val="10"/>
        <rFont val="Arial"/>
        <family val="0"/>
        <charset val="1"/>
      </rPr>
      <t xml:space="preserve">1901</t>
    </r>
    <r>
      <rPr>
        <sz val="10"/>
        <rFont val="WenQuanYi Zen Hei"/>
        <family val="2"/>
      </rPr>
      <t xml:space="preserve">년 결사법</t>
    </r>
    <r>
      <rPr>
        <sz val="10"/>
        <rFont val="Arial"/>
        <family val="0"/>
        <charset val="1"/>
      </rPr>
      <t xml:space="preserve">, 1988</t>
    </r>
    <r>
      <rPr>
        <sz val="10"/>
        <rFont val="WenQuanYi Zen Hei"/>
        <family val="2"/>
      </rPr>
      <t xml:space="preserve">년 정치자금법</t>
    </r>
    <r>
      <rPr>
        <sz val="10"/>
        <rFont val="Arial"/>
        <family val="0"/>
        <charset val="1"/>
      </rPr>
      <t xml:space="preserve">, </t>
    </r>
    <r>
      <rPr>
        <sz val="10"/>
        <rFont val="WenQuanYi Zen Hei"/>
        <family val="2"/>
      </rPr>
      <t xml:space="preserve">단체 신고 관보</t>
    </r>
    <r>
      <rPr>
        <sz val="10"/>
        <rFont val="Arial"/>
        <family val="0"/>
        <charset val="1"/>
      </rPr>
      <t xml:space="preserve">(JOAFE)</t>
    </r>
  </si>
  <si>
    <t xml:space="preserve">association, statuts, déclaration en préfecture, mandataire financier</t>
  </si>
  <si>
    <t xml:space="preserve">Celui qui compte l'argent d'un parti laisse aussi une trace.</t>
  </si>
  <si>
    <r>
      <rPr>
        <sz val="10"/>
        <rFont val="Arial"/>
        <family val="0"/>
        <charset val="1"/>
      </rPr>
      <t xml:space="preserve">1988</t>
    </r>
    <r>
      <rPr>
        <sz val="10"/>
        <rFont val="WenQuanYi Zen Hei"/>
        <family val="2"/>
      </rPr>
      <t xml:space="preserve">년 법</t>
    </r>
    <r>
      <rPr>
        <sz val="10"/>
        <rFont val="Arial"/>
        <family val="0"/>
        <charset val="1"/>
      </rPr>
      <t xml:space="preserve">, CNCCFP </t>
    </r>
    <r>
      <rPr>
        <sz val="10"/>
        <rFont val="WenQuanYi Zen Hei"/>
        <family val="2"/>
      </rPr>
      <t xml:space="preserve">공개 회계</t>
    </r>
  </si>
  <si>
    <t xml:space="preserve">financement des partis, comptes</t>
  </si>
  <si>
    <t xml:space="preserve">선거 규칙</t>
  </si>
  <si>
    <r>
      <rPr>
        <sz val="10"/>
        <rFont val="Arial"/>
        <family val="0"/>
        <charset val="1"/>
      </rPr>
      <t xml:space="preserve">8</t>
    </r>
    <r>
      <rPr>
        <sz val="10"/>
        <rFont val="WenQuanYi Zen Hei"/>
        <family val="2"/>
      </rPr>
      <t xml:space="preserve">부</t>
    </r>
    <r>
      <rPr>
        <sz val="10"/>
        <rFont val="Arial"/>
        <family val="0"/>
        <charset val="1"/>
      </rPr>
      <t xml:space="preserve">·10</t>
    </r>
    <r>
      <rPr>
        <sz val="10"/>
        <rFont val="WenQuanYi Zen Hei"/>
        <family val="2"/>
      </rPr>
      <t xml:space="preserve">부</t>
    </r>
  </si>
  <si>
    <t xml:space="preserve">Les règles du jeu sont dans le Code électoral.</t>
  </si>
  <si>
    <t xml:space="preserve">선거법전, 1962년 대선법(추천서), 2025년 PLM법</t>
  </si>
  <si>
    <t xml:space="preserve">parrainages, circonscription, compte de campagne</t>
  </si>
  <si>
    <t xml:space="preserve">대선·해산·불신임안</t>
  </si>
  <si>
    <t xml:space="preserve">Article 49. Lis-le lentement, deux fois.</t>
  </si>
  <si>
    <t xml:space="preserve">헌법 제7조(대선), 제12조(해산), 제49조(불신임안)</t>
  </si>
  <si>
    <t xml:space="preserve">élection présidentielle, dissolution, motion de censure</t>
  </si>
  <si>
    <t xml:space="preserve">권한 배분</t>
  </si>
  <si>
    <r>
      <rPr>
        <sz val="10"/>
        <rFont val="Arial"/>
        <family val="0"/>
        <charset val="1"/>
      </rPr>
      <t xml:space="preserve">9</t>
    </r>
    <r>
      <rPr>
        <sz val="10"/>
        <rFont val="WenQuanYi Zen Hei"/>
        <family val="2"/>
      </rPr>
      <t xml:space="preserve">부</t>
    </r>
    <r>
      <rPr>
        <sz val="10"/>
        <rFont val="Arial"/>
        <family val="0"/>
        <charset val="1"/>
      </rPr>
      <t xml:space="preserve">·11</t>
    </r>
    <r>
      <rPr>
        <sz val="10"/>
        <rFont val="WenQuanYi Zen Hei"/>
        <family val="2"/>
      </rPr>
      <t xml:space="preserve">부</t>
    </r>
  </si>
  <si>
    <t xml:space="preserve">Qui décide de ça ? Regarde le titre XII.</t>
  </si>
  <si>
    <t xml:space="preserve">헌법 제12장(제72조 이하, 지방자치), 지방자치법전(CGCT)</t>
  </si>
  <si>
    <t xml:space="preserve">compétence, collectivité territoriale</t>
  </si>
  <si>
    <r>
      <rPr>
        <sz val="10"/>
        <rFont val="Arial"/>
        <family val="0"/>
        <charset val="1"/>
      </rPr>
      <t xml:space="preserve">7</t>
    </r>
    <r>
      <rPr>
        <sz val="10"/>
        <rFont val="WenQuanYi Zen Hei"/>
        <family val="2"/>
      </rPr>
      <t xml:space="preserve">부</t>
    </r>
    <r>
      <rPr>
        <sz val="10"/>
        <rFont val="Arial"/>
        <family val="0"/>
        <charset val="1"/>
      </rPr>
      <t xml:space="preserve">·9</t>
    </r>
    <r>
      <rPr>
        <sz val="10"/>
        <rFont val="WenQuanYi Zen Hei"/>
        <family val="2"/>
      </rPr>
      <t xml:space="preserve">부</t>
    </r>
  </si>
  <si>
    <t xml:space="preserve">Il y a une loi pour ceux qui préviennent.</t>
  </si>
  <si>
    <r>
      <rPr>
        <sz val="10"/>
        <rFont val="Arial"/>
        <family val="0"/>
        <charset val="1"/>
      </rPr>
      <t xml:space="preserve">Sapin II</t>
    </r>
    <r>
      <rPr>
        <sz val="10"/>
        <rFont val="WenQuanYi Zen Hei"/>
        <family val="2"/>
      </rPr>
      <t xml:space="preserve">법</t>
    </r>
    <r>
      <rPr>
        <sz val="10"/>
        <rFont val="Arial"/>
        <family val="0"/>
        <charset val="1"/>
      </rPr>
      <t xml:space="preserve">(2016), 2022</t>
    </r>
    <r>
      <rPr>
        <sz val="10"/>
        <rFont val="WenQuanYi Zen Hei"/>
        <family val="2"/>
      </rPr>
      <t xml:space="preserve">년 </t>
    </r>
    <r>
      <rPr>
        <sz val="10"/>
        <rFont val="Arial"/>
        <family val="0"/>
        <charset val="1"/>
      </rPr>
      <t xml:space="preserve">3</t>
    </r>
    <r>
      <rPr>
        <sz val="10"/>
        <rFont val="WenQuanYi Zen Hei"/>
        <family val="2"/>
      </rPr>
      <t xml:space="preserve">월 </t>
    </r>
    <r>
      <rPr>
        <sz val="10"/>
        <rFont val="Arial"/>
        <family val="0"/>
        <charset val="1"/>
      </rPr>
      <t xml:space="preserve">21</t>
    </r>
    <r>
      <rPr>
        <sz val="10"/>
        <rFont val="WenQuanYi Zen Hei"/>
        <family val="2"/>
      </rPr>
      <t xml:space="preserve">일 법</t>
    </r>
    <r>
      <rPr>
        <sz val="10"/>
        <rFont val="Arial"/>
        <family val="0"/>
        <charset val="1"/>
      </rPr>
      <t xml:space="preserve">, </t>
    </r>
    <r>
      <rPr>
        <sz val="10"/>
        <rFont val="WenQuanYi Zen Hei"/>
        <family val="2"/>
      </rPr>
      <t xml:space="preserve">권리보호관</t>
    </r>
    <r>
      <rPr>
        <sz val="10"/>
        <rFont val="Arial"/>
        <family val="0"/>
        <charset val="1"/>
      </rPr>
      <t xml:space="preserve">(Défenseur des droits)</t>
    </r>
  </si>
  <si>
    <t xml:space="preserve">lanceur d'alerte, représailles, signalement</t>
  </si>
  <si>
    <t xml:space="preserve">하원 표결 확인</t>
  </si>
  <si>
    <t xml:space="preserve">Chaque vote reste écrit.</t>
  </si>
  <si>
    <t xml:space="preserve">하원 공개 표결 기록(scrutins publics, assemblee-nationale.fr)</t>
  </si>
  <si>
    <t xml:space="preserve">scrutin public, analyse du scrutin</t>
  </si>
  <si>
    <t xml:space="preserve">모르는 단어</t>
  </si>
  <si>
    <t xml:space="preserve">전 부</t>
  </si>
  <si>
    <t xml:space="preserve">Si tu ne connais pas le mot, tu ne connais pas la loi.</t>
  </si>
  <si>
    <t xml:space="preserve">아카데미 프랑세즈 사전, CNRTL</t>
  </si>
  <si>
    <t xml:space="preserve">※ 법령 번호와 조항은 기획 시점 지식으로 정리한 것입니다. 교재에 넣기 전에 Légifrance의 현행 텍스트(version en vigueur)로 반드시 확인하세요. 참고 도서 제목은 지어낼 위험이 있어 제외하고 검색어만 적었습니다.</t>
  </si>
  <si>
    <r>
      <rPr>
        <b val="true"/>
        <sz val="10"/>
        <rFont val="Arial"/>
        <family val="0"/>
        <charset val="1"/>
      </rPr>
      <t xml:space="preserve">4. </t>
    </r>
    <r>
      <rPr>
        <b val="true"/>
        <sz val="10"/>
        <rFont val="WenQuanYi Zen Hei"/>
        <family val="2"/>
      </rPr>
      <t xml:space="preserve">카드</t>
    </r>
    <r>
      <rPr>
        <b val="true"/>
        <sz val="10"/>
        <rFont val="Arial"/>
        <family val="0"/>
        <charset val="1"/>
      </rPr>
      <t xml:space="preserve">(FICHA) </t>
    </r>
    <r>
      <rPr>
        <b val="true"/>
        <sz val="10"/>
        <rFont val="WenQuanYi Zen Hei"/>
        <family val="2"/>
      </rPr>
      <t xml:space="preserve">구술 템플릿 — 지문 없이 대사로만</t>
    </r>
  </si>
  <si>
    <t xml:space="preserve">화자</t>
  </si>
  <si>
    <t xml:space="preserve">기능</t>
  </si>
  <si>
    <t xml:space="preserve">CURIE</t>
  </si>
  <si>
    <t xml:space="preserve">검색어 (Cherche)</t>
  </si>
  <si>
    <t xml:space="preserve">Note. Cherche : « preuve déloyale ».</t>
  </si>
  <si>
    <t xml:space="preserve">적어. 찾을 것: «불공정하게 얻은 증거».</t>
  </si>
  <si>
    <t xml:space="preserve">MANON</t>
  </si>
  <si>
    <t xml:space="preserve">질문으로 다음 항목을 끌어냄</t>
  </si>
  <si>
    <t xml:space="preserve">D'accord. Où ?</t>
  </si>
  <si>
    <t xml:space="preserve">알겠어요. 어디서요?</t>
  </si>
  <si>
    <t xml:space="preserve">출처 (Où)</t>
  </si>
  <si>
    <t xml:space="preserve">Légifrance. Code pénal, article 226-1.</t>
  </si>
  <si>
    <t xml:space="preserve">레지프랑스. 형법 제226-1조.</t>
  </si>
  <si>
    <t xml:space="preserve">질문</t>
  </si>
  <si>
    <t xml:space="preserve">Et je cherche quels mots ?</t>
  </si>
  <si>
    <t xml:space="preserve">그럼 어떤 단어를 찾죠?</t>
  </si>
  <si>
    <t xml:space="preserve">키워드 (Mots-clés)</t>
  </si>
  <si>
    <t xml:space="preserve">Enregistrement clandestin. Vie privée. Loyauté de la preuve.</t>
  </si>
  <si>
    <t xml:space="preserve">몰래 녹음. 사생활. 증거의 공정성.</t>
  </si>
  <si>
    <r>
      <rPr>
        <sz val="10"/>
        <rFont val="Arial"/>
        <family val="0"/>
        <charset val="1"/>
      </rPr>
      <t xml:space="preserve">Manon</t>
    </r>
    <r>
      <rPr>
        <sz val="10"/>
        <rFont val="WenQuanYi Zen Hei"/>
        <family val="2"/>
      </rPr>
      <t xml:space="preserve">의 조급함</t>
    </r>
  </si>
  <si>
    <t xml:space="preserve">Et la réponse ?</t>
  </si>
  <si>
    <t xml:space="preserve">그럼 답은요?</t>
  </si>
  <si>
    <t xml:space="preserve">시그니처 + 서가 위치 (손짓 지문 대체)</t>
  </si>
  <si>
    <t xml:space="preserve">Je n'ai rien dit. Troisième rayon, à ta gauche.</t>
  </si>
  <si>
    <t xml:space="preserve">나는 아무 말도 안 했어. 세 번째 선반, 왼쪽이야.</t>
  </si>
  <si>
    <t xml:space="preserve">카드는 3줄(검색어·출처·키워드)과 마지막 시그니처로 짧게 유지한다. 이 카드가 모이면 교재 전체의 프랑스어 자료 색인이 된다. 카드를 넣을 화의 범위(전 화 vs Curie 등장 화)는 미결사항 참고.</t>
  </si>
  <si>
    <t xml:space="preserve">대화문 규칙 — 모든 것은 대화문으로 풀어간다</t>
  </si>
  <si>
    <t xml:space="preserve">이전 안(상황 30% + 대화 70%)을 폐기하고, 전 화를 「화자명: 대사」만으로 구성한다.</t>
  </si>
  <si>
    <r>
      <rPr>
        <b val="true"/>
        <sz val="10"/>
        <rFont val="Arial"/>
        <family val="0"/>
        <charset val="1"/>
      </rPr>
      <t xml:space="preserve">1. </t>
    </r>
    <r>
      <rPr>
        <b val="true"/>
        <sz val="10"/>
        <rFont val="WenQuanYi Zen Hei"/>
        <family val="2"/>
      </rPr>
      <t xml:space="preserve">원칙</t>
    </r>
  </si>
  <si>
    <t xml:space="preserve">예시</t>
  </si>
  <si>
    <t xml:space="preserve">전 화 100% 대화문</t>
  </si>
  <si>
    <t xml:space="preserve">지문(didascalies)은 0%. 각 화는 화자명 + 대사로만 구성한다.</t>
  </si>
  <si>
    <t xml:space="preserve">MONIQUE : Il est cinq heures. La réunion commence.</t>
  </si>
  <si>
    <t xml:space="preserve">화 머리 표기</t>
  </si>
  <si>
    <t xml:space="preserve">부·화 번호, 제목, 장소·날짜는 낭독하지 않는 표기 전용 한 줄(메타). 낭독 본문에는 넣지 않는다.</t>
  </si>
  <si>
    <r>
      <rPr>
        <sz val="10"/>
        <rFont val="Arial"/>
        <family val="0"/>
        <charset val="1"/>
      </rPr>
      <t xml:space="preserve">[11</t>
    </r>
    <r>
      <rPr>
        <sz val="10"/>
        <rFont val="WenQuanYi Zen Hei"/>
        <family val="2"/>
      </rPr>
      <t xml:space="preserve">부 </t>
    </r>
    <r>
      <rPr>
        <sz val="10"/>
        <rFont val="Arial"/>
        <family val="0"/>
        <charset val="1"/>
      </rPr>
      <t xml:space="preserve">4</t>
    </r>
    <r>
      <rPr>
        <sz val="10"/>
        <rFont val="WenQuanYi Zen Hei"/>
        <family val="2"/>
      </rPr>
      <t xml:space="preserve">화 </t>
    </r>
    <r>
      <rPr>
        <sz val="10"/>
        <rFont val="Arial"/>
        <family val="0"/>
        <charset val="1"/>
      </rPr>
      <t xml:space="preserve">· Urgences saturées]</t>
    </r>
  </si>
  <si>
    <t xml:space="preserve">괄호 무대지시 금지</t>
  </si>
  <si>
    <t xml:space="preserve">행동·표정·침묵은 괄호 지문이 아니라 대사로 표현한다.</t>
  </si>
  <si>
    <t xml:space="preserve">(Monique pose l'assiette) → MONIQUE : Je pose cette assiette avant qu'elle s'envole.</t>
  </si>
  <si>
    <t xml:space="preserve">장소·시간 소개</t>
  </si>
  <si>
    <t xml:space="preserve">지정 화자가 대사로 알린다: Monique(식사·장소), Manon(질문), Jeanne(보고).</t>
  </si>
  <si>
    <t xml:space="preserve">MONIQUE : Il est cinq heures. Réunion à ma table.</t>
  </si>
  <si>
    <t xml:space="preserve">시간 경과·장면 전환</t>
  </si>
  <si>
    <t xml:space="preserve">인물이 말로 알린다. 전환은 화자 교체 + 장소 언급으로.</t>
  </si>
  <si>
    <t xml:space="preserve">VOLTAIRE : Ça fait trois mois depuis l'expulsion, non ?</t>
  </si>
  <si>
    <t xml:space="preserve">문서·기사·메모</t>
  </si>
  <si>
    <t xml:space="preserve">소리 내어 읽는다: Nicolas=조항, Voltaire=기사, Hugo=초고·메모, Curie=카드.</t>
  </si>
  <si>
    <t xml:space="preserve">NICOLAS : Article premier : « La France est une République indivisible, laïque, démocratique et sociale. »</t>
  </si>
  <si>
    <t xml:space="preserve">무거운 장면 (죽음·침묵)</t>
  </si>
  <si>
    <t xml:space="preserve">짧은 호명·확인 대사로 처리한다.</t>
  </si>
  <si>
    <t xml:space="preserve">MANON : Napoléon ? / CAMILLE : Il est parti, Manon.</t>
  </si>
  <si>
    <t xml:space="preserve">내면·감정</t>
  </si>
  <si>
    <t xml:space="preserve">독백은 '소리 내어 하는 말'로만 허용. 감정 노출은 Sartre의 되묻기 화법을 활용.</t>
  </si>
  <si>
    <t xml:space="preserve">SARTRE : Alors tu te sens seule. Et qu'est-ce que tu en fais ?</t>
  </si>
  <si>
    <t xml:space="preserve">문장 길이</t>
  </si>
  <si>
    <r>
      <rPr>
        <sz val="10"/>
        <rFont val="Arial"/>
        <family val="0"/>
        <charset val="1"/>
      </rPr>
      <t xml:space="preserve">1</t>
    </r>
    <r>
      <rPr>
        <sz val="10"/>
        <rFont val="WenQuanYi Zen Hei"/>
        <family val="2"/>
      </rPr>
      <t xml:space="preserve">부</t>
    </r>
    <r>
      <rPr>
        <sz val="10"/>
        <rFont val="Arial"/>
        <family val="0"/>
        <charset val="1"/>
      </rPr>
      <t xml:space="preserve">(B1): </t>
    </r>
    <r>
      <rPr>
        <sz val="10"/>
        <rFont val="WenQuanYi Zen Hei"/>
        <family val="2"/>
      </rPr>
      <t xml:space="preserve">대사 한 줄 </t>
    </r>
    <r>
      <rPr>
        <sz val="10"/>
        <rFont val="Arial"/>
        <family val="0"/>
        <charset val="1"/>
      </rPr>
      <t xml:space="preserve">15</t>
    </r>
    <r>
      <rPr>
        <sz val="10"/>
        <rFont val="WenQuanYi Zen Hei"/>
        <family val="2"/>
      </rPr>
      <t xml:space="preserve">단어 이내</t>
    </r>
    <r>
      <rPr>
        <sz val="10"/>
        <rFont val="Arial"/>
        <family val="0"/>
        <charset val="1"/>
      </rPr>
      <t xml:space="preserve">. Napoléon·Nicolas</t>
    </r>
    <r>
      <rPr>
        <sz val="10"/>
        <rFont val="WenQuanYi Zen Hei"/>
        <family val="2"/>
      </rPr>
      <t xml:space="preserve">의 격식체는 한두 줄만 </t>
    </r>
    <r>
      <rPr>
        <sz val="10"/>
        <rFont val="Arial"/>
        <family val="0"/>
        <charset val="1"/>
      </rPr>
      <t xml:space="preserve">'</t>
    </r>
    <r>
      <rPr>
        <sz val="10"/>
        <rFont val="WenQuanYi Zen Hei"/>
        <family val="2"/>
      </rPr>
      <t xml:space="preserve">어른들 말투 맛보기</t>
    </r>
    <r>
      <rPr>
        <sz val="10"/>
        <rFont val="Arial"/>
        <family val="0"/>
        <charset val="1"/>
      </rPr>
      <t xml:space="preserve">'. </t>
    </r>
    <r>
      <rPr>
        <sz val="10"/>
        <rFont val="WenQuanYi Zen Hei"/>
        <family val="2"/>
      </rPr>
      <t xml:space="preserve">부가 올라갈수록 인물별 허용 길이 확대</t>
    </r>
    <r>
      <rPr>
        <sz val="10"/>
        <rFont val="Arial"/>
        <family val="0"/>
        <charset val="1"/>
      </rPr>
      <t xml:space="preserve">. Manon</t>
    </r>
    <r>
      <rPr>
        <sz val="10"/>
        <rFont val="WenQuanYi Zen Hei"/>
        <family val="2"/>
      </rPr>
      <t xml:space="preserve">의 질문은 끝까지 짧게</t>
    </r>
    <r>
      <rPr>
        <sz val="10"/>
        <rFont val="Arial"/>
        <family val="0"/>
        <charset val="1"/>
      </rPr>
      <t xml:space="preserve">.</t>
    </r>
  </si>
  <si>
    <r>
      <rPr>
        <sz val="10"/>
        <rFont val="Arial"/>
        <family val="0"/>
        <charset val="1"/>
      </rPr>
      <t xml:space="preserve">1</t>
    </r>
    <r>
      <rPr>
        <sz val="10"/>
        <rFont val="WenQuanYi Zen Hei"/>
        <family val="2"/>
      </rPr>
      <t xml:space="preserve">부 대본 집필 시 대사별 단어 수를 점검한다 </t>
    </r>
    <r>
      <rPr>
        <sz val="10"/>
        <rFont val="Arial"/>
        <family val="0"/>
        <charset val="1"/>
      </rPr>
      <t xml:space="preserve">(15</t>
    </r>
    <r>
      <rPr>
        <sz val="10"/>
        <rFont val="WenQuanYi Zen Hei"/>
        <family val="2"/>
      </rPr>
      <t xml:space="preserve">단어 이내</t>
    </r>
    <r>
      <rPr>
        <sz val="10"/>
        <rFont val="Arial"/>
        <family val="0"/>
        <charset val="1"/>
      </rPr>
      <t xml:space="preserve">)</t>
    </r>
  </si>
  <si>
    <t xml:space="preserve">화당 분량 = 120턴</t>
  </si>
  <si>
    <t xml:space="preserve">한 화는 대화 120턴(화자 교대 1회 = 1턴)으로 구성한다. 한 턴은 1부 15단어 이내, 연설·조항·기사 낭독은 긴 턴 1개로 세되 화당 3개까지. 화 유형별 도입·장면·절정·마무리 배분과 화자 점유율은 '턴_설계' 시트.</t>
  </si>
  <si>
    <r>
      <rPr>
        <sz val="10"/>
        <rFont val="Arial"/>
        <family val="0"/>
        <charset val="1"/>
      </rPr>
      <t xml:space="preserve">120</t>
    </r>
    <r>
      <rPr>
        <sz val="10"/>
        <rFont val="WenQuanYi Zen Hei"/>
        <family val="2"/>
      </rPr>
      <t xml:space="preserve">턴 중 장면 전환</t>
    </r>
    <r>
      <rPr>
        <sz val="10"/>
        <rFont val="Arial"/>
        <family val="0"/>
        <charset val="1"/>
      </rPr>
      <t xml:space="preserve">·</t>
    </r>
    <r>
      <rPr>
        <sz val="10"/>
        <rFont val="WenQuanYi Zen Hei"/>
        <family val="2"/>
      </rPr>
      <t xml:space="preserve">시간</t>
    </r>
    <r>
      <rPr>
        <sz val="10"/>
        <rFont val="Arial"/>
        <family val="0"/>
        <charset val="1"/>
      </rPr>
      <t xml:space="preserve">·</t>
    </r>
    <r>
      <rPr>
        <sz val="10"/>
        <rFont val="WenQuanYi Zen Hei"/>
        <family val="2"/>
      </rPr>
      <t xml:space="preserve">장소 안내 </t>
    </r>
    <r>
      <rPr>
        <sz val="10"/>
        <rFont val="Arial"/>
        <family val="0"/>
        <charset val="1"/>
      </rPr>
      <t xml:space="preserve">5~10</t>
    </r>
    <r>
      <rPr>
        <sz val="10"/>
        <rFont val="WenQuanYi Zen Hei"/>
        <family val="2"/>
      </rPr>
      <t xml:space="preserve">턴</t>
    </r>
    <r>
      <rPr>
        <sz val="10"/>
        <rFont val="Arial"/>
        <family val="0"/>
        <charset val="1"/>
      </rPr>
      <t xml:space="preserve">, Manon </t>
    </r>
    <r>
      <rPr>
        <sz val="10"/>
        <rFont val="WenQuanYi Zen Hei"/>
        <family val="2"/>
      </rPr>
      <t xml:space="preserve">질문→재설명 </t>
    </r>
    <r>
      <rPr>
        <sz val="10"/>
        <rFont val="Arial"/>
        <family val="0"/>
        <charset val="1"/>
      </rPr>
      <t xml:space="preserve">6~12</t>
    </r>
    <r>
      <rPr>
        <sz val="10"/>
        <rFont val="WenQuanYi Zen Hei"/>
        <family val="2"/>
      </rPr>
      <t xml:space="preserve">턴</t>
    </r>
  </si>
  <si>
    <t xml:space="preserve">화자 식별 장치이자 반복 학습 문장. 한 화에 화자당 1~2회까지.</t>
  </si>
  <si>
    <r>
      <rPr>
        <sz val="10"/>
        <rFont val="Arial"/>
        <family val="0"/>
        <charset val="1"/>
      </rPr>
      <t xml:space="preserve">Manon</t>
    </r>
    <r>
      <rPr>
        <sz val="10"/>
        <rFont val="WenQuanYi Zen Hei"/>
        <family val="2"/>
      </rPr>
      <t xml:space="preserve">의 질문 장치</t>
    </r>
  </si>
  <si>
    <t xml:space="preserve">어려운 용어 뒤에는 Manon의 질문 → 쉬운 재설명이 온다 (전문 표현 → 쉬운 표현 짝).</t>
  </si>
  <si>
    <t xml:space="preserve">MANON : Pardon, ça veut dire quoi ?</t>
  </si>
  <si>
    <r>
      <rPr>
        <sz val="10"/>
        <rFont val="Arial"/>
        <family val="0"/>
        <charset val="1"/>
      </rPr>
      <t xml:space="preserve">Curie</t>
    </r>
    <r>
      <rPr>
        <sz val="10"/>
        <rFont val="WenQuanYi Zen Hei"/>
        <family val="2"/>
      </rPr>
      <t xml:space="preserve">의 카드</t>
    </r>
  </si>
  <si>
    <t xml:space="preserve">카드는 구술로 처리한다 (Curie_출처 시트 템플릿).</t>
  </si>
  <si>
    <t xml:space="preserve">CURIE : Note. Cherche : …</t>
  </si>
  <si>
    <t xml:space="preserve">욕설 수위</t>
  </si>
  <si>
    <r>
      <rPr>
        <sz val="10"/>
        <rFont val="Arial"/>
        <family val="0"/>
        <charset val="1"/>
      </rPr>
      <t xml:space="preserve">putain, merde </t>
    </r>
    <r>
      <rPr>
        <sz val="10"/>
        <rFont val="WenQuanYi Zen Hei"/>
        <family val="2"/>
      </rPr>
      <t xml:space="preserve">등은 교재 제외</t>
    </r>
    <r>
      <rPr>
        <sz val="10"/>
        <rFont val="Arial"/>
        <family val="0"/>
        <charset val="1"/>
      </rPr>
      <t xml:space="preserve">. </t>
    </r>
    <r>
      <rPr>
        <sz val="10"/>
        <rFont val="WenQuanYi Zen Hei"/>
        <family val="2"/>
      </rPr>
      <t xml:space="preserve">순한 표현만 </t>
    </r>
    <r>
      <rPr>
        <sz val="10"/>
        <rFont val="Arial"/>
        <family val="0"/>
        <charset val="1"/>
      </rPr>
      <t xml:space="preserve">(Manon_</t>
    </r>
    <r>
      <rPr>
        <sz val="10"/>
        <rFont val="WenQuanYi Zen Hei"/>
        <family val="2"/>
      </rPr>
      <t xml:space="preserve">폭발과욕 시트</t>
    </r>
    <r>
      <rPr>
        <sz val="10"/>
        <rFont val="Arial"/>
        <family val="0"/>
        <charset val="1"/>
      </rPr>
      <t xml:space="preserve">).</t>
    </r>
  </si>
  <si>
    <t xml:space="preserve">호칭 전환</t>
  </si>
  <si>
    <r>
      <rPr>
        <sz val="10"/>
        <rFont val="Arial"/>
        <family val="0"/>
        <charset val="1"/>
      </rPr>
      <t xml:space="preserve">tu/vous </t>
    </r>
    <r>
      <rPr>
        <sz val="10"/>
        <rFont val="WenQuanYi Zen Hei"/>
        <family val="2"/>
      </rPr>
      <t xml:space="preserve">전환</t>
    </r>
    <r>
      <rPr>
        <sz val="10"/>
        <rFont val="Arial"/>
        <family val="0"/>
        <charset val="1"/>
      </rPr>
      <t xml:space="preserve">(tutoiement)</t>
    </r>
    <r>
      <rPr>
        <sz val="10"/>
        <rFont val="WenQuanYi Zen Hei"/>
        <family val="2"/>
      </rPr>
      <t xml:space="preserve">은 대사로 명시한다 </t>
    </r>
    <r>
      <rPr>
        <sz val="10"/>
        <rFont val="Arial"/>
        <family val="0"/>
        <charset val="1"/>
      </rPr>
      <t xml:space="preserve">(</t>
    </r>
    <r>
      <rPr>
        <sz val="10"/>
        <rFont val="WenQuanYi Zen Hei"/>
        <family val="2"/>
      </rPr>
      <t xml:space="preserve">호칭규칙 시트</t>
    </r>
    <r>
      <rPr>
        <sz val="10"/>
        <rFont val="Arial"/>
        <family val="0"/>
        <charset val="1"/>
      </rPr>
      <t xml:space="preserve">).</t>
    </r>
  </si>
  <si>
    <t xml:space="preserve">NAPOLÉON : Tu peux me tutoyer.</t>
  </si>
  <si>
    <t xml:space="preserve">가상 정치 세계</t>
  </si>
  <si>
    <t xml:space="preserve">정당·정치인은 전부 가상. 실존 정치인·정당명을 쓰지 않는다. 공식 절차 문구는 하원의장(표결)·헌법재판소장(대선 결과) 대사로 전달한다.</t>
  </si>
  <si>
    <t xml:space="preserve">PRÉSIDENTE DE L'ASSEMBLÉE NATIONALE : Pour l'adoption : deux cent quatre-vingt-huit.</t>
  </si>
  <si>
    <t xml:space="preserve">현안을 다루는 법</t>
  </si>
  <si>
    <t xml:space="preserve">시사 현안은 가상 설정으로 각색하고 실존 인물·참사 희생자를 특정하지 않는다. 찬반 양측이 각자의 가장 강한 논거를 말하게 하고, 결론은 화 안에서 제도의 결과(표결·판결·협약)로만 닫는다. 수치는 Curie의 카드로 출처를 안내한다.</t>
  </si>
  <si>
    <t xml:space="preserve">MANON : Pardon, ça veut dire quoi, « encadrement des loyers » ? / JULIEN : Le loyer ne peut pas dépasser un plafond.</t>
  </si>
  <si>
    <t xml:space="preserve">화자 표기</t>
  </si>
  <si>
    <t xml:space="preserve">화자명은 대문자 + 공백 + 콜론(프랑스식 타이포그래피: ? ! : ; 앞에 공백). 프랑스어 본문과 한국어 번역은 열(또는 파일)을 분리해 낭독 시 번역이 섞이지 않게 한다.</t>
  </si>
  <si>
    <t xml:space="preserve">MANON : ÇA SUFFIT !</t>
  </si>
  <si>
    <t xml:space="preserve">고전 인용</t>
  </si>
  <si>
    <t xml:space="preserve">인물마다 다른 프랑스 고전 출처를 맡겨 화마다 1~2명이 짧게 인용한다. 공유 저작물(저자 사후 70년 경과)만 쓰고, 원문을 정확히 인용한다 (배정표는 아래 3번). 부활한 인물은 자기 글을 인용할 수 있다.</t>
  </si>
  <si>
    <t xml:space="preserve">HUGO : Ceux qui vivent, ce sont ceux qui luttent.</t>
  </si>
  <si>
    <r>
      <rPr>
        <b val="true"/>
        <sz val="10"/>
        <rFont val="Arial"/>
        <family val="0"/>
        <charset val="1"/>
      </rPr>
      <t xml:space="preserve">3. </t>
    </r>
    <r>
      <rPr>
        <b val="true"/>
        <sz val="10"/>
        <rFont val="WenQuanYi Zen Hei"/>
        <family val="2"/>
      </rPr>
      <t xml:space="preserve">고전 인용 배정 </t>
    </r>
    <r>
      <rPr>
        <b val="true"/>
        <sz val="10"/>
        <rFont val="Arial"/>
        <family val="0"/>
        <charset val="1"/>
      </rPr>
      <t xml:space="preserve">(</t>
    </r>
    <r>
      <rPr>
        <b val="true"/>
        <sz val="10"/>
        <rFont val="WenQuanYi Zen Hei"/>
        <family val="2"/>
      </rPr>
      <t xml:space="preserve">화마다 </t>
    </r>
    <r>
      <rPr>
        <b val="true"/>
        <sz val="10"/>
        <rFont val="Arial"/>
        <family val="0"/>
        <charset val="1"/>
      </rPr>
      <t xml:space="preserve">1~2</t>
    </r>
    <r>
      <rPr>
        <b val="true"/>
        <sz val="10"/>
        <rFont val="WenQuanYi Zen Hei"/>
        <family val="2"/>
      </rPr>
      <t xml:space="preserve">명</t>
    </r>
    <r>
      <rPr>
        <b val="true"/>
        <sz val="10"/>
        <rFont val="Arial"/>
        <family val="0"/>
        <charset val="1"/>
      </rPr>
      <t xml:space="preserve">)</t>
    </r>
  </si>
  <si>
    <t xml:space="preserve">인물마다 다른 출처를 맡겨 반복되지 않게 하고, Monique가 거의 전 화에 등장하므로 로테이션 캐스트인 1부에서도 대부분의 화가 커버된다. 공유 저작물(코르네유·라퐁텐·파스칼·볼테르·위고·1789년 인권선언 등)만 쓰고 원문을 정확히 인용한다. Sartre(1980년 사망)의 글은 저작권 보호 중이므로 짧은 인용권 범위로만 쓰거나 창작 대사로 대체한다. 가짜로 떠도는 명언(예: 볼테르가 실제로 쓰지 않은 «Je ne suis pas d'accord avec ce que vous dites, mais je me battrai…» — 실제로는 1906년 전기 작가의 요약문)은 쓰지 않는다.</t>
  </si>
  <si>
    <r>
      <rPr>
        <sz val="10"/>
        <rFont val="Arial"/>
        <family val="0"/>
        <charset val="1"/>
      </rPr>
      <t xml:space="preserve">(Silencio.) </t>
    </r>
    <r>
      <rPr>
        <sz val="10"/>
        <rFont val="WenQuanYi Zen Hei"/>
        <family val="2"/>
      </rPr>
      <t xml:space="preserve">폭발 직후 정적</t>
    </r>
  </si>
  <si>
    <r>
      <rPr>
        <sz val="10"/>
        <rFont val="Arial"/>
        <family val="0"/>
        <charset val="1"/>
      </rPr>
      <t xml:space="preserve">«Oh là.» — </t>
    </r>
    <r>
      <rPr>
        <sz val="10"/>
        <rFont val="WenQuanYi Zen Hei"/>
        <family val="2"/>
      </rPr>
      <t xml:space="preserve">정적 대신 짧은 감탄으로 멈춤을 표현</t>
    </r>
  </si>
  <si>
    <t xml:space="preserve">출처</t>
  </si>
  <si>
    <t xml:space="preserve">쓰는 방식</t>
  </si>
  <si>
    <t xml:space="preserve">실제 인용 예시 (FR)</t>
  </si>
  <si>
    <t xml:space="preserve">등장 부</t>
  </si>
  <si>
    <t xml:space="preserve">프랑스 속담(proverbes)</t>
  </si>
  <si>
    <t xml:space="preserve">인용이 아니라 그냥 말버릇처럼 자연스럽게 섞인다. 따뜻하고 실용적.</t>
  </si>
  <si>
    <t xml:space="preserve">Petit à petit, l'oiseau fait son nid. / Qui se ressemble s'assemble.</t>
  </si>
  <si>
    <t xml:space="preserve">거의 전 화</t>
  </si>
  <si>
    <t xml:space="preserve">코르네유·자기 편지(부활자 특권)</t>
  </si>
  <si>
    <t xml:space="preserve">정중하게 비꼬는 코미디로(평소), 죽음 앞에서는 무겁게(11부).</t>
  </si>
  <si>
    <r>
      <rPr>
        <sz val="10"/>
        <rFont val="Arial"/>
        <family val="0"/>
        <charset val="1"/>
      </rPr>
      <t xml:space="preserve">À vaincre sans péril, on triomphe sans gloire. (Corneille, Le Cid) / « Impossible n'est pas français » — 1813</t>
    </r>
    <r>
      <rPr>
        <sz val="10"/>
        <rFont val="WenQuanYi Zen Hei"/>
        <family val="2"/>
      </rPr>
      <t xml:space="preserve">년 편지 문구가 변형된 말이라 원문 확인 후 사용</t>
    </r>
  </si>
  <si>
    <r>
      <rPr>
        <sz val="10"/>
        <rFont val="Arial"/>
        <family val="0"/>
        <charset val="1"/>
      </rPr>
      <t xml:space="preserve">1</t>
    </r>
    <r>
      <rPr>
        <sz val="10"/>
        <rFont val="WenQuanYi Zen Hei"/>
        <family val="2"/>
      </rPr>
      <t xml:space="preserve">부</t>
    </r>
    <r>
      <rPr>
        <sz val="10"/>
        <rFont val="Arial"/>
        <family val="0"/>
        <charset val="1"/>
      </rPr>
      <t xml:space="preserve">, 11</t>
    </r>
    <r>
      <rPr>
        <sz val="10"/>
        <rFont val="WenQuanYi Zen Hei"/>
        <family val="2"/>
      </rPr>
      <t xml:space="preserve">부</t>
    </r>
  </si>
  <si>
    <t xml:space="preserve">파스칼·라퐁텐 등</t>
  </si>
  <si>
    <t xml:space="preserve">감정으로 낭송하지 않고 서지 정보처럼 인용한다 — 「몇 번째 선반」식 습관과 같은 화법.</t>
  </si>
  <si>
    <t xml:space="preserve">L'homme n'est qu'un roseau, le plus faible de la nature ; mais c'est un roseau pensant. Pascal, Pensées.</t>
  </si>
  <si>
    <r>
      <rPr>
        <sz val="10"/>
        <rFont val="Arial"/>
        <family val="0"/>
        <charset val="1"/>
      </rPr>
      <t xml:space="preserve">1·2·6·11·12</t>
    </r>
    <r>
      <rPr>
        <sz val="10"/>
        <rFont val="WenQuanYi Zen Hei"/>
        <family val="2"/>
      </rPr>
      <t xml:space="preserve">부</t>
    </r>
  </si>
  <si>
    <t xml:space="preserve">자기 작품(위고)</t>
  </si>
  <si>
    <t xml:space="preserve">자기 문장을 인용하다 들키면 모른 척한다 — 부활자의 겸손 개그. 시적이고 장엄한 톤.</t>
  </si>
  <si>
    <t xml:space="preserve">Ceux qui vivent, ce sont ceux qui luttent. (Hugo, Les Châtiments) / Demain, dès l'aube… (Hugo, Les Contemplations)</t>
  </si>
  <si>
    <r>
      <rPr>
        <sz val="10"/>
        <rFont val="Arial"/>
        <family val="0"/>
        <charset val="1"/>
      </rPr>
      <t xml:space="preserve">6</t>
    </r>
    <r>
      <rPr>
        <sz val="10"/>
        <rFont val="WenQuanYi Zen Hei"/>
        <family val="2"/>
      </rPr>
      <t xml:space="preserve">부 이후</t>
    </r>
  </si>
  <si>
    <r>
      <rPr>
        <sz val="10"/>
        <rFont val="Noto Sans CJK SC"/>
        <family val="2"/>
        <charset val="1"/>
      </rPr>
      <t xml:space="preserve">1789</t>
    </r>
    <r>
      <rPr>
        <sz val="10"/>
        <rFont val="WenQuanYi Zen Hei"/>
        <family val="2"/>
      </rPr>
      <t xml:space="preserve">년 인권선언</t>
    </r>
    <r>
      <rPr>
        <sz val="10"/>
        <rFont val="Noto Sans CJK SC"/>
        <family val="2"/>
        <charset val="1"/>
      </rPr>
      <t xml:space="preserve">·</t>
    </r>
    <r>
      <rPr>
        <sz val="10"/>
        <rFont val="WenQuanYi Zen Hei"/>
        <family val="2"/>
      </rPr>
      <t xml:space="preserve">위고의 정치 연설</t>
    </r>
  </si>
  <si>
    <t xml:space="preserve">대통령이 되어 가며 연설에 섞어 쓴다.</t>
  </si>
  <si>
    <r>
      <rPr>
        <sz val="10"/>
        <rFont val="Arial"/>
        <family val="0"/>
        <charset val="1"/>
      </rPr>
      <t xml:space="preserve">Les hommes naissent et demeurent libres et égaux en droits. (</t>
    </r>
    <r>
      <rPr>
        <sz val="10"/>
        <rFont val="WenQuanYi Zen Hei"/>
        <family val="2"/>
      </rPr>
      <t xml:space="preserve">인권선언 제</t>
    </r>
    <r>
      <rPr>
        <sz val="10"/>
        <rFont val="Arial"/>
        <family val="0"/>
        <charset val="1"/>
      </rPr>
      <t xml:space="preserve">1</t>
    </r>
    <r>
      <rPr>
        <sz val="10"/>
        <rFont val="WenQuanYi Zen Hei"/>
        <family val="2"/>
      </rPr>
      <t xml:space="preserve">조</t>
    </r>
    <r>
      <rPr>
        <sz val="10"/>
        <rFont val="Arial"/>
        <family val="0"/>
        <charset val="1"/>
      </rPr>
      <t xml:space="preserve">)</t>
    </r>
  </si>
  <si>
    <r>
      <rPr>
        <sz val="10"/>
        <rFont val="Arial"/>
        <family val="0"/>
        <charset val="1"/>
      </rPr>
      <t xml:space="preserve">8~13</t>
    </r>
    <r>
      <rPr>
        <sz val="10"/>
        <rFont val="WenQuanYi Zen Hei"/>
        <family val="2"/>
      </rPr>
      <t xml:space="preserve">부</t>
    </r>
  </si>
  <si>
    <t xml:space="preserve">시간 경과</t>
  </si>
  <si>
    <t xml:space="preserve">«Ça fait trois mois depuis l'expulsion.»</t>
  </si>
  <si>
    <r>
      <rPr>
        <sz val="10"/>
        <rFont val="Arial"/>
        <family val="0"/>
        <charset val="1"/>
      </rPr>
      <t xml:space="preserve">Voltaire (</t>
    </r>
    <r>
      <rPr>
        <sz val="10"/>
        <rFont val="WenQuanYi Zen Hei"/>
        <family val="2"/>
      </rPr>
      <t xml:space="preserve">질문 형태</t>
    </r>
    <r>
      <rPr>
        <sz val="10"/>
        <rFont val="Arial"/>
        <family val="0"/>
        <charset val="1"/>
      </rPr>
      <t xml:space="preserve">)</t>
    </r>
  </si>
  <si>
    <t xml:space="preserve">신문 기사 삽입</t>
  </si>
  <si>
    <r>
      <rPr>
        <sz val="10"/>
        <rFont val="Arial"/>
        <family val="0"/>
        <charset val="1"/>
      </rPr>
      <t xml:space="preserve">Voltaire</t>
    </r>
    <r>
      <rPr>
        <sz val="10"/>
        <rFont val="WenQuanYi Zen Hei"/>
        <family val="2"/>
      </rPr>
      <t xml:space="preserve">가 기사 첫 문단을 소리 내어 읽는다</t>
    </r>
  </si>
  <si>
    <t xml:space="preserve">연설문 초고 삽입</t>
  </si>
  <si>
    <r>
      <rPr>
        <sz val="10"/>
        <rFont val="Arial"/>
        <family val="0"/>
        <charset val="1"/>
      </rPr>
      <t xml:space="preserve">Hugo</t>
    </r>
    <r>
      <rPr>
        <sz val="10"/>
        <rFont val="WenQuanYi Zen Hei"/>
        <family val="2"/>
      </rPr>
      <t xml:space="preserve">가 초고를 읽고 </t>
    </r>
    <r>
      <rPr>
        <sz val="10"/>
        <rFont val="Arial"/>
        <family val="0"/>
        <charset val="1"/>
      </rPr>
      <t xml:space="preserve">Nicolas</t>
    </r>
    <r>
      <rPr>
        <sz val="10"/>
        <rFont val="WenQuanYi Zen Hei"/>
        <family val="2"/>
      </rPr>
      <t xml:space="preserve">가 고친다</t>
    </r>
  </si>
  <si>
    <t xml:space="preserve">Hugo, Nicolas</t>
  </si>
  <si>
    <t xml:space="preserve">투표 결과 전광판·자막</t>
  </si>
  <si>
    <t xml:space="preserve">하원의장이 표결 결과를 낭독한다: «Majorité requise pour l'adoption de la motion de censure : deux cent quatre-vingt-neuf. Pour l'adoption : deux cent quatre-vingt-huit.»</t>
  </si>
  <si>
    <t xml:space="preserve">PRÉSIDENTE DE L'ASSEMBLÉE NATIONALE</t>
  </si>
  <si>
    <t xml:space="preserve">대선 결과 선포·취임식</t>
  </si>
  <si>
    <t xml:space="preserve">헌법재판소장이 결과를 선포하고, 취임식에서 Nicolas가 첫 연설을 한다 (프랑스 대통령은 선서하지 않는다).</t>
  </si>
  <si>
    <t xml:space="preserve">PRÉSIDENT DU CONSEIL CONSTITUTIONNEL, Nicolas</t>
  </si>
  <si>
    <t xml:space="preserve">변경 이력과 미결 사항</t>
  </si>
  <si>
    <r>
      <rPr>
        <b val="true"/>
        <sz val="10"/>
        <rFont val="Arial"/>
        <family val="0"/>
        <charset val="1"/>
      </rPr>
      <t xml:space="preserve">1. </t>
    </r>
    <r>
      <rPr>
        <b val="true"/>
        <sz val="10"/>
        <rFont val="WenQuanYi Zen Hei"/>
        <family val="2"/>
      </rPr>
      <t xml:space="preserve">변경 이력 </t>
    </r>
    <r>
      <rPr>
        <b val="true"/>
        <sz val="10"/>
        <rFont val="Arial"/>
        <family val="0"/>
        <charset val="1"/>
      </rPr>
      <t xml:space="preserve">(1~47: </t>
    </r>
    <r>
      <rPr>
        <b val="true"/>
        <sz val="10"/>
        <rFont val="WenQuanYi Zen Hei"/>
        <family val="2"/>
      </rPr>
      <t xml:space="preserve">마드리드판 기획 이력 — 인물명은 파리판 대응 인물로 바꿔 표기 </t>
    </r>
    <r>
      <rPr>
        <b val="true"/>
        <sz val="10"/>
        <rFont val="Arial"/>
        <family val="0"/>
        <charset val="1"/>
      </rPr>
      <t xml:space="preserve">/ 48~: </t>
    </r>
    <r>
      <rPr>
        <b val="true"/>
        <sz val="10"/>
        <rFont val="WenQuanYi Zen Hei"/>
        <family val="2"/>
      </rPr>
      <t xml:space="preserve">파리판 현지화</t>
    </r>
    <r>
      <rPr>
        <b val="true"/>
        <sz val="10"/>
        <rFont val="Arial"/>
        <family val="0"/>
        <charset val="1"/>
      </rPr>
      <t xml:space="preserve">)</t>
    </r>
  </si>
  <si>
    <t xml:space="preserve">이전</t>
  </si>
  <si>
    <t xml:space="preserve">이후</t>
  </si>
  <si>
    <t xml:space="preserve">반영 시트</t>
  </si>
  <si>
    <t xml:space="preserve">인원</t>
  </si>
  <si>
    <r>
      <rPr>
        <sz val="10"/>
        <rFont val="Arial"/>
        <family val="0"/>
        <charset val="1"/>
      </rPr>
      <t xml:space="preserve">13</t>
    </r>
    <r>
      <rPr>
        <sz val="10"/>
        <rFont val="WenQuanYi Zen Hei"/>
        <family val="2"/>
      </rPr>
      <t xml:space="preserve">인 </t>
    </r>
    <r>
      <rPr>
        <sz val="10"/>
        <rFont val="Arial"/>
        <family val="0"/>
        <charset val="1"/>
      </rPr>
      <t xml:space="preserve">(</t>
    </r>
    <r>
      <rPr>
        <sz val="10"/>
        <rFont val="WenQuanYi Zen Hei"/>
        <family val="2"/>
      </rPr>
      <t xml:space="preserve">내각</t>
    </r>
    <r>
      <rPr>
        <sz val="10"/>
        <rFont val="Arial"/>
        <family val="0"/>
        <charset val="1"/>
      </rPr>
      <t xml:space="preserve">)</t>
    </r>
  </si>
  <si>
    <r>
      <rPr>
        <sz val="10"/>
        <rFont val="Arial"/>
        <family val="0"/>
        <charset val="1"/>
      </rPr>
      <t xml:space="preserve">14</t>
    </r>
    <r>
      <rPr>
        <sz val="10"/>
        <rFont val="WenQuanYi Zen Hei"/>
        <family val="2"/>
      </rPr>
      <t xml:space="preserve">인 — 출처 담당</t>
    </r>
    <r>
      <rPr>
        <sz val="10"/>
        <rFont val="Arial"/>
        <family val="0"/>
        <charset val="1"/>
      </rPr>
      <t xml:space="preserve">(</t>
    </r>
    <r>
      <rPr>
        <sz val="10"/>
        <rFont val="WenQuanYi Zen Hei"/>
        <family val="2"/>
      </rPr>
      <t xml:space="preserve">현 </t>
    </r>
    <r>
      <rPr>
        <sz val="10"/>
        <rFont val="Arial"/>
        <family val="0"/>
        <charset val="1"/>
      </rPr>
      <t xml:space="preserve">Curie), </t>
    </r>
    <r>
      <rPr>
        <sz val="10"/>
        <rFont val="WenQuanYi Zen Hei"/>
        <family val="2"/>
      </rPr>
      <t xml:space="preserve">은행원</t>
    </r>
    <r>
      <rPr>
        <sz val="10"/>
        <rFont val="Arial"/>
        <family val="0"/>
        <charset val="1"/>
      </rPr>
      <t xml:space="preserve">(</t>
    </r>
    <r>
      <rPr>
        <sz val="10"/>
        <rFont val="WenQuanYi Zen Hei"/>
        <family val="2"/>
      </rPr>
      <t xml:space="preserve">현 </t>
    </r>
    <r>
      <rPr>
        <sz val="10"/>
        <rFont val="Arial"/>
        <family val="0"/>
        <charset val="1"/>
      </rPr>
      <t xml:space="preserve">Philippe) </t>
    </r>
    <r>
      <rPr>
        <sz val="10"/>
        <rFont val="WenQuanYi Zen Hei"/>
        <family val="2"/>
      </rPr>
      <t xml:space="preserve">추가</t>
    </r>
    <r>
      <rPr>
        <sz val="10"/>
        <rFont val="Arial"/>
        <family val="0"/>
        <charset val="1"/>
      </rPr>
      <t xml:space="preserve">. 14</t>
    </r>
    <r>
      <rPr>
        <sz val="10"/>
        <rFont val="WenQuanYi Zen Hei"/>
        <family val="2"/>
      </rPr>
      <t xml:space="preserve">인 모두가 장관은 아니므로 </t>
    </r>
    <r>
      <rPr>
        <sz val="10"/>
        <rFont val="Arial"/>
        <family val="0"/>
        <charset val="1"/>
      </rPr>
      <t xml:space="preserve">'</t>
    </r>
    <r>
      <rPr>
        <sz val="10"/>
        <rFont val="WenQuanYi Zen Hei"/>
        <family val="2"/>
      </rPr>
      <t xml:space="preserve">내각</t>
    </r>
    <r>
      <rPr>
        <sz val="10"/>
        <rFont val="Arial"/>
        <family val="0"/>
        <charset val="1"/>
      </rPr>
      <t xml:space="preserve">'</t>
    </r>
    <r>
      <rPr>
        <sz val="10"/>
        <rFont val="WenQuanYi Zen Hei"/>
        <family val="2"/>
      </rPr>
      <t xml:space="preserve">보다 핵심 그룹 개념 사용 </t>
    </r>
    <r>
      <rPr>
        <sz val="10"/>
        <rFont val="Arial"/>
        <family val="0"/>
        <charset val="1"/>
      </rPr>
      <t xml:space="preserve">(</t>
    </r>
    <r>
      <rPr>
        <sz val="10"/>
        <rFont val="WenQuanYi Zen Hei"/>
        <family val="2"/>
      </rPr>
      <t xml:space="preserve">파리판에서 </t>
    </r>
    <r>
      <rPr>
        <sz val="10"/>
        <rFont val="Arial"/>
        <family val="0"/>
        <charset val="1"/>
      </rPr>
      <t xml:space="preserve">Olympe </t>
    </r>
    <r>
      <rPr>
        <sz val="10"/>
        <rFont val="WenQuanYi Zen Hei"/>
        <family val="2"/>
      </rPr>
      <t xml:space="preserve">추가로 </t>
    </r>
    <r>
      <rPr>
        <sz val="10"/>
        <rFont val="Arial"/>
        <family val="0"/>
        <charset val="1"/>
      </rPr>
      <t xml:space="preserve">15</t>
    </r>
    <r>
      <rPr>
        <sz val="10"/>
        <rFont val="WenQuanYi Zen Hei"/>
        <family val="2"/>
      </rPr>
      <t xml:space="preserve">인</t>
    </r>
    <r>
      <rPr>
        <sz val="10"/>
        <rFont val="Arial"/>
        <family val="0"/>
        <charset val="1"/>
      </rPr>
      <t xml:space="preserve">)</t>
    </r>
  </si>
  <si>
    <t xml:space="preserve">개요, 캐릭터</t>
  </si>
  <si>
    <t xml:space="preserve">출처 담당 인물의 성</t>
  </si>
  <si>
    <r>
      <rPr>
        <sz val="10"/>
        <rFont val="Arial"/>
        <family val="0"/>
        <charset val="1"/>
      </rPr>
      <t xml:space="preserve">(</t>
    </r>
    <r>
      <rPr>
        <sz val="10"/>
        <rFont val="WenQuanYi Zen Hei"/>
        <family val="2"/>
      </rPr>
      <t xml:space="preserve">마드리드판 스페인식 성 교체</t>
    </r>
    <r>
      <rPr>
        <sz val="10"/>
        <rFont val="Arial"/>
        <family val="0"/>
        <charset val="1"/>
      </rPr>
      <t xml:space="preserve">)</t>
    </r>
  </si>
  <si>
    <t xml:space="preserve">파리판에서는 역사 인물 Marie Curie로 대체되어 해당 없음</t>
  </si>
  <si>
    <t xml:space="preserve">가상 상호명</t>
  </si>
  <si>
    <t xml:space="preserve">독일식 가상 상호</t>
  </si>
  <si>
    <r>
      <rPr>
        <sz val="10"/>
        <rFont val="Arial"/>
        <family val="0"/>
        <charset val="1"/>
      </rPr>
      <t xml:space="preserve">Bertin &amp; Roux Audit / Zénith Consulting (</t>
    </r>
    <r>
      <rPr>
        <sz val="10"/>
        <rFont val="WenQuanYi Zen Hei"/>
        <family val="2"/>
      </rPr>
      <t xml:space="preserve">파리판</t>
    </r>
    <r>
      <rPr>
        <sz val="10"/>
        <rFont val="Arial"/>
        <family val="0"/>
        <charset val="1"/>
      </rPr>
      <t xml:space="preserve">)</t>
    </r>
  </si>
  <si>
    <t xml:space="preserve">기관 실명</t>
  </si>
  <si>
    <t xml:space="preserve">실존 은행·병원명</t>
  </si>
  <si>
    <r>
      <rPr>
        <sz val="10"/>
        <rFont val="Arial"/>
        <family val="0"/>
        <charset val="1"/>
      </rPr>
      <t xml:space="preserve">Banque Atlantique, Hôpital Saint-Bernard </t>
    </r>
    <r>
      <rPr>
        <sz val="10"/>
        <rFont val="WenQuanYi Zen Hei"/>
        <family val="2"/>
      </rPr>
      <t xml:space="preserve">등 가상명 </t>
    </r>
    <r>
      <rPr>
        <sz val="10"/>
        <rFont val="Arial"/>
        <family val="0"/>
        <charset val="1"/>
      </rPr>
      <t xml:space="preserve">(</t>
    </r>
    <r>
      <rPr>
        <sz val="10"/>
        <rFont val="WenQuanYi Zen Hei"/>
        <family val="2"/>
      </rPr>
      <t xml:space="preserve">이야기 속에서 부패와 얽히기 때문</t>
    </r>
    <r>
      <rPr>
        <sz val="10"/>
        <rFont val="Arial"/>
        <family val="0"/>
        <charset val="1"/>
      </rPr>
      <t xml:space="preserve">)</t>
    </r>
  </si>
  <si>
    <t xml:space="preserve">우아한 은퇴 인물</t>
  </si>
  <si>
    <t xml:space="preserve">가장 까칠한 심술 영감 + 시한부 (파리판: 부활한 Napoléon, 11부 12화 사망). 가짜 병은 엄살, 진짜 병은 숨김</t>
  </si>
  <si>
    <r>
      <rPr>
        <sz val="10"/>
        <rFont val="Arial"/>
        <family val="0"/>
        <charset val="1"/>
      </rPr>
      <t xml:space="preserve">Napoléon_</t>
    </r>
    <r>
      <rPr>
        <sz val="10"/>
        <rFont val="WenQuanYi Zen Hei"/>
        <family val="2"/>
      </rPr>
      <t xml:space="preserve">죽음</t>
    </r>
  </si>
  <si>
    <r>
      <rPr>
        <sz val="10"/>
        <rFont val="Arial"/>
        <family val="0"/>
        <charset val="1"/>
      </rPr>
      <t xml:space="preserve">Manon </t>
    </r>
    <r>
      <rPr>
        <sz val="10"/>
        <rFont val="WenQuanYi Zen Hei"/>
        <family val="2"/>
      </rPr>
      <t xml:space="preserve">폭발</t>
    </r>
  </si>
  <si>
    <t xml:space="preserve">자주 폭발하는 인물 (안)</t>
  </si>
  <si>
    <t xml:space="preserve">폭발은 1부·9부 딱 2회. 욕은 폭발 장면 한정</t>
  </si>
  <si>
    <r>
      <rPr>
        <sz val="10"/>
        <rFont val="Arial"/>
        <family val="0"/>
        <charset val="1"/>
      </rPr>
      <t xml:space="preserve">Manon_</t>
    </r>
    <r>
      <rPr>
        <sz val="10"/>
        <rFont val="WenQuanYi Zen Hei"/>
        <family val="2"/>
      </rPr>
      <t xml:space="preserve">폭발과욕</t>
    </r>
  </si>
  <si>
    <t xml:space="preserve">침묵으로 대답</t>
  </si>
  <si>
    <t xml:space="preserve">결론 대신 출처(서가 위치·법령·검색어)를 가리킴</t>
  </si>
  <si>
    <r>
      <rPr>
        <sz val="10"/>
        <rFont val="Arial"/>
        <family val="0"/>
        <charset val="1"/>
      </rPr>
      <t xml:space="preserve">Curie_</t>
    </r>
    <r>
      <rPr>
        <sz val="10"/>
        <rFont val="WenQuanYi Zen Hei"/>
        <family val="2"/>
      </rPr>
      <t xml:space="preserve">출처</t>
    </r>
  </si>
  <si>
    <r>
      <rPr>
        <sz val="10"/>
        <rFont val="Arial"/>
        <family val="0"/>
        <charset val="1"/>
      </rPr>
      <t xml:space="preserve">Curie </t>
    </r>
    <r>
      <rPr>
        <sz val="10"/>
        <rFont val="WenQuanYi Zen Hei"/>
        <family val="2"/>
      </rPr>
      <t xml:space="preserve">대사</t>
    </r>
  </si>
  <si>
    <r>
      <rPr>
        <sz val="10"/>
        <rFont val="Arial"/>
        <family val="0"/>
        <charset val="1"/>
      </rPr>
      <t xml:space="preserve">«</t>
    </r>
    <r>
      <rPr>
        <sz val="10"/>
        <rFont val="WenQuanYi Zen Hei"/>
        <family val="2"/>
      </rPr>
      <t xml:space="preserve">돈을 따라가라</t>
    </r>
    <r>
      <rPr>
        <sz val="10"/>
        <rFont val="Arial"/>
        <family val="0"/>
        <charset val="1"/>
      </rPr>
      <t xml:space="preserve">. </t>
    </r>
    <r>
      <rPr>
        <sz val="10"/>
        <rFont val="WenQuanYi Zen Hei"/>
        <family val="2"/>
      </rPr>
      <t xml:space="preserve">그리고 그 돈을 감시하는 법도</t>
    </r>
    <r>
      <rPr>
        <sz val="10"/>
        <rFont val="Arial"/>
        <family val="0"/>
        <charset val="1"/>
      </rPr>
      <t xml:space="preserve">.»</t>
    </r>
  </si>
  <si>
    <r>
      <rPr>
        <sz val="10"/>
        <rFont val="Arial"/>
        <family val="0"/>
        <charset val="1"/>
      </rPr>
      <t xml:space="preserve">«Tout argent a une loi qui le surveille. Cherche-la.» — Philippe</t>
    </r>
    <r>
      <rPr>
        <sz val="10"/>
        <rFont val="WenQuanYi Zen Hei"/>
        <family val="2"/>
      </rPr>
      <t xml:space="preserve">의 시그니처 </t>
    </r>
    <r>
      <rPr>
        <sz val="10"/>
        <rFont val="Arial"/>
        <family val="0"/>
        <charset val="1"/>
      </rPr>
      <t xml:space="preserve">«Suivez l'argent.»</t>
    </r>
    <r>
      <rPr>
        <sz val="10"/>
        <rFont val="WenQuanYi Zen Hei"/>
        <family val="2"/>
      </rPr>
      <t xml:space="preserve">와 중복 방지</t>
    </r>
  </si>
  <si>
    <t xml:space="preserve">출처표 정정</t>
  </si>
  <si>
    <t xml:space="preserve">주거·퇴거: 형사·민사소송법</t>
  </si>
  <si>
    <t xml:space="preserve">민사집행법전의 퇴거(expulsion) 절차 (파리판)</t>
  </si>
  <si>
    <t xml:space="preserve">상황 설명 30% + 대화 70%</t>
  </si>
  <si>
    <t xml:space="preserve">전 화 100% 대화문 (지문 없음)</t>
  </si>
  <si>
    <r>
      <rPr>
        <sz val="10"/>
        <rFont val="Arial"/>
        <family val="0"/>
        <charset val="1"/>
      </rPr>
      <t xml:space="preserve">1</t>
    </r>
    <r>
      <rPr>
        <sz val="10"/>
        <rFont val="WenQuanYi Zen Hei"/>
        <family val="2"/>
      </rPr>
      <t xml:space="preserve">부 시범 장면</t>
    </r>
  </si>
  <si>
    <r>
      <rPr>
        <sz val="10"/>
        <rFont val="Arial"/>
        <family val="0"/>
        <charset val="1"/>
      </rPr>
      <t xml:space="preserve">(Silencio.), (Monique deja el plato…) </t>
    </r>
    <r>
      <rPr>
        <sz val="10"/>
        <rFont val="WenQuanYi Zen Hei"/>
        <family val="2"/>
      </rPr>
      <t xml:space="preserve">등 괄호 지문 포함</t>
    </r>
  </si>
  <si>
    <t xml:space="preserve">모든 지문을 대사로 대체</t>
  </si>
  <si>
    <r>
      <rPr>
        <sz val="10"/>
        <rFont val="Arial"/>
        <family val="0"/>
        <charset val="1"/>
      </rPr>
      <t xml:space="preserve">1</t>
    </r>
    <r>
      <rPr>
        <sz val="10"/>
        <rFont val="WenQuanYi Zen Hei"/>
        <family val="2"/>
      </rPr>
      <t xml:space="preserve">부</t>
    </r>
    <r>
      <rPr>
        <sz val="10"/>
        <rFont val="Arial"/>
        <family val="0"/>
        <charset val="1"/>
      </rPr>
      <t xml:space="preserve">_</t>
    </r>
    <r>
      <rPr>
        <sz val="10"/>
        <rFont val="WenQuanYi Zen Hei"/>
        <family val="2"/>
      </rPr>
      <t xml:space="preserve">시범대사 </t>
    </r>
    <r>
      <rPr>
        <sz val="10"/>
        <rFont val="Arial"/>
        <family val="0"/>
        <charset val="1"/>
      </rPr>
      <t xml:space="preserve">(60</t>
    </r>
    <r>
      <rPr>
        <sz val="10"/>
        <rFont val="WenQuanYi Zen Hei"/>
        <family val="2"/>
      </rPr>
      <t xml:space="preserve">번에서 시트 삭제</t>
    </r>
    <r>
      <rPr>
        <sz val="10"/>
        <rFont val="Arial"/>
        <family val="0"/>
        <charset val="1"/>
      </rPr>
      <t xml:space="preserve">)</t>
    </r>
  </si>
  <si>
    <r>
      <rPr>
        <sz val="10"/>
        <rFont val="Arial"/>
        <family val="0"/>
        <charset val="1"/>
      </rPr>
      <t xml:space="preserve">11</t>
    </r>
    <r>
      <rPr>
        <sz val="10"/>
        <rFont val="WenQuanYi Zen Hei"/>
        <family val="2"/>
      </rPr>
      <t xml:space="preserve">부작 </t>
    </r>
    <r>
      <rPr>
        <sz val="10"/>
        <rFont val="Arial"/>
        <family val="0"/>
        <charset val="1"/>
      </rPr>
      <t xml:space="preserve">(132</t>
    </r>
    <r>
      <rPr>
        <sz val="10"/>
        <rFont val="WenQuanYi Zen Hei"/>
        <family val="2"/>
      </rPr>
      <t xml:space="preserve">화</t>
    </r>
    <r>
      <rPr>
        <sz val="10"/>
        <rFont val="Arial"/>
        <family val="0"/>
        <charset val="1"/>
      </rPr>
      <t xml:space="preserve">)</t>
    </r>
  </si>
  <si>
    <r>
      <rPr>
        <sz val="10"/>
        <rFont val="Arial"/>
        <family val="0"/>
        <charset val="1"/>
      </rPr>
      <t xml:space="preserve">12</t>
    </r>
    <r>
      <rPr>
        <sz val="10"/>
        <rFont val="WenQuanYi Zen Hei"/>
        <family val="2"/>
      </rPr>
      <t xml:space="preserve">부작 </t>
    </r>
    <r>
      <rPr>
        <sz val="10"/>
        <rFont val="Arial"/>
        <family val="0"/>
        <charset val="1"/>
      </rPr>
      <t xml:space="preserve">(144</t>
    </r>
    <r>
      <rPr>
        <sz val="10"/>
        <rFont val="WenQuanYi Zen Hei"/>
        <family val="2"/>
      </rPr>
      <t xml:space="preserve">화</t>
    </r>
    <r>
      <rPr>
        <sz val="10"/>
        <rFont val="Arial"/>
        <family val="0"/>
        <charset val="1"/>
      </rPr>
      <t xml:space="preserve">) — 12</t>
    </r>
    <r>
      <rPr>
        <sz val="10"/>
        <rFont val="WenQuanYi Zen Hei"/>
        <family val="2"/>
      </rPr>
      <t xml:space="preserve">부는 </t>
    </r>
    <r>
      <rPr>
        <sz val="10"/>
        <rFont val="Arial"/>
        <family val="0"/>
        <charset val="1"/>
      </rPr>
      <t xml:space="preserve">1</t>
    </r>
    <r>
      <rPr>
        <sz val="10"/>
        <rFont val="WenQuanYi Zen Hei"/>
        <family val="2"/>
      </rPr>
      <t xml:space="preserve">부 장면으로 돌아오는 원형 구조</t>
    </r>
  </si>
  <si>
    <t xml:space="preserve">개요, 13부_구성</t>
  </si>
  <si>
    <t xml:space="preserve">정치 파트 구성</t>
  </si>
  <si>
    <r>
      <rPr>
        <sz val="10"/>
        <rFont val="Arial"/>
        <family val="0"/>
        <charset val="1"/>
      </rPr>
      <t xml:space="preserve">8 </t>
    </r>
    <r>
      <rPr>
        <sz val="10"/>
        <rFont val="WenQuanYi Zen Hei"/>
        <family val="2"/>
      </rPr>
      <t xml:space="preserve">정치 입문 </t>
    </r>
    <r>
      <rPr>
        <sz val="10"/>
        <rFont val="Arial"/>
        <family val="0"/>
        <charset val="1"/>
      </rPr>
      <t xml:space="preserve">· 9 </t>
    </r>
    <r>
      <rPr>
        <sz val="10"/>
        <rFont val="WenQuanYi Zen Hei"/>
        <family val="2"/>
      </rPr>
      <t xml:space="preserve">의회 </t>
    </r>
    <r>
      <rPr>
        <sz val="10"/>
        <rFont val="Arial"/>
        <family val="0"/>
        <charset val="1"/>
      </rPr>
      <t xml:space="preserve">· 10 </t>
    </r>
    <r>
      <rPr>
        <sz val="10"/>
        <rFont val="WenQuanYi Zen Hei"/>
        <family val="2"/>
      </rPr>
      <t xml:space="preserve">총리실 </t>
    </r>
    <r>
      <rPr>
        <sz val="10"/>
        <rFont val="Arial"/>
        <family val="0"/>
        <charset val="1"/>
      </rPr>
      <t xml:space="preserve">· 11 </t>
    </r>
    <r>
      <rPr>
        <sz val="10"/>
        <rFont val="WenQuanYi Zen Hei"/>
        <family val="2"/>
      </rPr>
      <t xml:space="preserve">사회 현안</t>
    </r>
  </si>
  <si>
    <r>
      <rPr>
        <sz val="10"/>
        <rFont val="Arial"/>
        <family val="0"/>
        <charset val="1"/>
      </rPr>
      <t xml:space="preserve">8 </t>
    </r>
    <r>
      <rPr>
        <sz val="10"/>
        <rFont val="WenQuanYi Zen Hei"/>
        <family val="2"/>
      </rPr>
      <t xml:space="preserve">창당 </t>
    </r>
    <r>
      <rPr>
        <sz val="10"/>
        <rFont val="Arial"/>
        <family val="0"/>
        <charset val="1"/>
      </rPr>
      <t xml:space="preserve">· 9 </t>
    </r>
    <r>
      <rPr>
        <sz val="10"/>
        <rFont val="WenQuanYi Zen Hei"/>
        <family val="2"/>
      </rPr>
      <t xml:space="preserve">시의회 </t>
    </r>
    <r>
      <rPr>
        <sz val="10"/>
        <rFont val="Arial"/>
        <family val="0"/>
        <charset val="1"/>
      </rPr>
      <t xml:space="preserve">· 10 </t>
    </r>
    <r>
      <rPr>
        <sz val="10"/>
        <rFont val="WenQuanYi Zen Hei"/>
        <family val="2"/>
      </rPr>
      <t xml:space="preserve">대선</t>
    </r>
    <r>
      <rPr>
        <sz val="10"/>
        <rFont val="Arial"/>
        <family val="0"/>
        <charset val="1"/>
      </rPr>
      <t xml:space="preserve">~</t>
    </r>
    <r>
      <rPr>
        <sz val="10"/>
        <rFont val="WenQuanYi Zen Hei"/>
        <family val="2"/>
      </rPr>
      <t xml:space="preserve">대통령 </t>
    </r>
    <r>
      <rPr>
        <sz val="10"/>
        <rFont val="Arial"/>
        <family val="0"/>
        <charset val="1"/>
      </rPr>
      <t xml:space="preserve">· 11~12 </t>
    </r>
    <r>
      <rPr>
        <sz val="10"/>
        <rFont val="WenQuanYi Zen Hei"/>
        <family val="2"/>
      </rPr>
      <t xml:space="preserve">국정 </t>
    </r>
    <r>
      <rPr>
        <sz val="10"/>
        <rFont val="Arial"/>
        <family val="0"/>
        <charset val="1"/>
      </rPr>
      <t xml:space="preserve">· 13 </t>
    </r>
    <r>
      <rPr>
        <sz val="10"/>
        <rFont val="WenQuanYi Zen Hei"/>
        <family val="2"/>
      </rPr>
      <t xml:space="preserve">귀환 </t>
    </r>
    <r>
      <rPr>
        <sz val="10"/>
        <rFont val="Arial"/>
        <family val="0"/>
        <charset val="1"/>
      </rPr>
      <t xml:space="preserve">(</t>
    </r>
    <r>
      <rPr>
        <sz val="10"/>
        <rFont val="WenQuanYi Zen Hei"/>
        <family val="2"/>
      </rPr>
      <t xml:space="preserve">파리판</t>
    </r>
    <r>
      <rPr>
        <sz val="10"/>
        <rFont val="Arial"/>
        <family val="0"/>
        <charset val="1"/>
      </rPr>
      <t xml:space="preserve">)</t>
    </r>
  </si>
  <si>
    <r>
      <rPr>
        <sz val="10"/>
        <rFont val="Arial"/>
        <family val="0"/>
        <charset val="1"/>
      </rPr>
      <t xml:space="preserve">13</t>
    </r>
    <r>
      <rPr>
        <sz val="10"/>
        <rFont val="WenQuanYi Zen Hei"/>
        <family val="2"/>
      </rPr>
      <t xml:space="preserve">부</t>
    </r>
    <r>
      <rPr>
        <sz val="10"/>
        <rFont val="Arial"/>
        <family val="0"/>
        <charset val="1"/>
      </rPr>
      <t xml:space="preserve">_</t>
    </r>
    <r>
      <rPr>
        <sz val="10"/>
        <rFont val="WenQuanYi Zen Hei"/>
        <family val="2"/>
      </rPr>
      <t xml:space="preserve">구성</t>
    </r>
    <r>
      <rPr>
        <sz val="10"/>
        <rFont val="Arial"/>
        <family val="0"/>
        <charset val="1"/>
      </rPr>
      <t xml:space="preserve">, </t>
    </r>
    <r>
      <rPr>
        <sz val="10"/>
        <rFont val="WenQuanYi Zen Hei"/>
        <family val="2"/>
      </rPr>
      <t xml:space="preserve">화별목차</t>
    </r>
    <r>
      <rPr>
        <sz val="10"/>
        <rFont val="Arial"/>
        <family val="0"/>
        <charset val="1"/>
      </rPr>
      <t xml:space="preserve">_</t>
    </r>
    <r>
      <rPr>
        <sz val="10"/>
        <rFont val="WenQuanYi Zen Hei"/>
        <family val="2"/>
      </rPr>
      <t xml:space="preserve">전체</t>
    </r>
  </si>
  <si>
    <t xml:space="preserve">정치 용어 정정</t>
  </si>
  <si>
    <r>
      <rPr>
        <sz val="10"/>
        <rFont val="Arial"/>
        <family val="0"/>
        <charset val="1"/>
      </rPr>
      <t xml:space="preserve">«</t>
    </r>
    <r>
      <rPr>
        <sz val="10"/>
        <rFont val="WenQuanYi Zen Hei"/>
        <family val="2"/>
      </rPr>
      <t xml:space="preserve">여소야대</t>
    </r>
    <r>
      <rPr>
        <sz val="10"/>
        <rFont val="Arial"/>
        <family val="0"/>
        <charset val="1"/>
      </rPr>
      <t xml:space="preserve">», </t>
    </r>
    <r>
      <rPr>
        <sz val="10"/>
        <rFont val="WenQuanYi Zen Hei"/>
        <family val="2"/>
      </rPr>
      <t xml:space="preserve">신생 정당 단독 불신임안</t>
    </r>
  </si>
  <si>
    <t xml:space="preserve">마드리드판: 소수 정부·investidura·건설적 불신임안 → 파리판: 대선 2회 투표·해산·총리 임명·불신임안(제49조)</t>
  </si>
  <si>
    <t xml:space="preserve">정치제도, 정치경로_의석</t>
  </si>
  <si>
    <t xml:space="preserve">권한 배분 반영</t>
  </si>
  <si>
    <t xml:space="preserve">대표가 병원 외주·임대료 상한을 직접 결정</t>
  </si>
  <si>
    <t xml:space="preserve">권한 분담으로 재구성 (파리판: 보건은 국가·ARS와 의회 LFSS, 임대료 상한은 시 신청·국가 명령, 아동 보호는 도)</t>
  </si>
  <si>
    <t xml:space="preserve">화별목차_전체 (11부 3~5화)</t>
  </si>
  <si>
    <t xml:space="preserve">횡재세</t>
  </si>
  <si>
    <t xml:space="preserve">긴급 칙령으로 부과</t>
  </si>
  <si>
    <t xml:space="preserve">조세는 법률 사항(헌법 제34조) — 파리판 11부 8화</t>
  </si>
  <si>
    <t xml:space="preserve">화별목차_전체 (11부 8화)</t>
  </si>
  <si>
    <t xml:space="preserve">직책</t>
  </si>
  <si>
    <r>
      <rPr>
        <sz val="10"/>
        <rFont val="Arial"/>
        <family val="0"/>
        <charset val="1"/>
      </rPr>
      <t xml:space="preserve">«</t>
    </r>
    <r>
      <rPr>
        <sz val="10"/>
        <rFont val="WenQuanYi Zen Hei"/>
        <family val="2"/>
      </rPr>
      <t xml:space="preserve">청년비서관</t>
    </r>
    <r>
      <rPr>
        <sz val="10"/>
        <rFont val="Arial"/>
        <family val="0"/>
        <charset val="1"/>
      </rPr>
      <t xml:space="preserve">», «</t>
    </r>
    <r>
      <rPr>
        <sz val="10"/>
        <rFont val="WenQuanYi Zen Hei"/>
        <family val="2"/>
      </rPr>
      <t xml:space="preserve">대변인</t>
    </r>
    <r>
      <rPr>
        <sz val="10"/>
        <rFont val="Arial"/>
        <family val="0"/>
        <charset val="1"/>
      </rPr>
      <t xml:space="preserve">» </t>
    </r>
    <r>
      <rPr>
        <sz val="10"/>
        <rFont val="WenQuanYi Zen Hei"/>
        <family val="2"/>
      </rPr>
      <t xml:space="preserve">등 임의 명칭</t>
    </r>
  </si>
  <si>
    <t xml:space="preserve">현실 직제 기준으로 조정 (파리판: 엘리제궁 비서실장, 대통령 특별참모, 경제·재정부 장관 등)</t>
  </si>
  <si>
    <t xml:space="preserve">정당·정치인 전부 가상 (Maison Commune, UCN, PPS, FS 등), 실명 금지</t>
  </si>
  <si>
    <t xml:space="preserve">등급 기준</t>
  </si>
  <si>
    <t xml:space="preserve">핵심 조연 ≥ 39%</t>
  </si>
  <si>
    <r>
      <rPr>
        <sz val="10"/>
        <rFont val="Arial"/>
        <family val="0"/>
        <charset val="1"/>
      </rPr>
      <t xml:space="preserve">13</t>
    </r>
    <r>
      <rPr>
        <sz val="10"/>
        <rFont val="WenQuanYi Zen Hei"/>
        <family val="2"/>
      </rPr>
      <t xml:space="preserve">부 추가로 비중이 변해 재조정 </t>
    </r>
    <r>
      <rPr>
        <sz val="10"/>
        <rFont val="Arial"/>
        <family val="0"/>
        <charset val="1"/>
      </rPr>
      <t xml:space="preserve">(</t>
    </r>
    <r>
      <rPr>
        <sz val="10"/>
        <rFont val="WenQuanYi Zen Hei"/>
        <family val="2"/>
      </rPr>
      <t xml:space="preserve">같은 등급 구성 유지</t>
    </r>
    <r>
      <rPr>
        <sz val="10"/>
        <rFont val="Arial"/>
        <family val="0"/>
        <charset val="1"/>
      </rPr>
      <t xml:space="preserve">, </t>
    </r>
    <r>
      <rPr>
        <sz val="10"/>
        <rFont val="WenQuanYi Zen Hei"/>
        <family val="2"/>
      </rPr>
      <t xml:space="preserve">수식이 자동 계산</t>
    </r>
    <r>
      <rPr>
        <sz val="10"/>
        <rFont val="Arial"/>
        <family val="0"/>
        <charset val="1"/>
      </rPr>
      <t xml:space="preserve">)</t>
    </r>
  </si>
  <si>
    <r>
      <rPr>
        <sz val="10"/>
        <rFont val="Arial"/>
        <family val="0"/>
        <charset val="1"/>
      </rPr>
      <t xml:space="preserve">11</t>
    </r>
    <r>
      <rPr>
        <sz val="10"/>
        <rFont val="WenQuanYi Zen Hei"/>
        <family val="2"/>
      </rPr>
      <t xml:space="preserve">부 </t>
    </r>
    <r>
      <rPr>
        <sz val="10"/>
        <rFont val="Arial"/>
        <family val="0"/>
        <charset val="1"/>
      </rPr>
      <t xml:space="preserve">9</t>
    </r>
    <r>
      <rPr>
        <sz val="10"/>
        <rFont val="WenQuanYi Zen Hei"/>
        <family val="2"/>
      </rPr>
      <t xml:space="preserve">화 담당</t>
    </r>
  </si>
  <si>
    <r>
      <rPr>
        <sz val="10"/>
        <rFont val="Arial"/>
        <family val="0"/>
        <charset val="1"/>
      </rPr>
      <t xml:space="preserve">Jeanne</t>
    </r>
    <r>
      <rPr>
        <sz val="10"/>
        <rFont val="WenQuanYi Zen Hei"/>
        <family val="2"/>
      </rPr>
      <t xml:space="preserve">이 협상 테이블</t>
    </r>
  </si>
  <si>
    <r>
      <rPr>
        <sz val="10"/>
        <rFont val="Arial"/>
        <family val="0"/>
        <charset val="1"/>
      </rPr>
      <t xml:space="preserve">Julien</t>
    </r>
    <r>
      <rPr>
        <sz val="10"/>
        <rFont val="WenQuanYi Zen Hei"/>
        <family val="2"/>
      </rPr>
      <t xml:space="preserve">이 협상</t>
    </r>
    <r>
      <rPr>
        <sz val="10"/>
        <rFont val="Arial"/>
        <family val="0"/>
        <charset val="1"/>
      </rPr>
      <t xml:space="preserve">, Jeanne</t>
    </r>
    <r>
      <rPr>
        <sz val="10"/>
        <rFont val="WenQuanYi Zen Hei"/>
        <family val="2"/>
      </rPr>
      <t xml:space="preserve">은 대표단 로지스틱스</t>
    </r>
  </si>
  <si>
    <t xml:space="preserve">현안 반영</t>
  </si>
  <si>
    <r>
      <rPr>
        <sz val="10"/>
        <rFont val="Arial"/>
        <family val="0"/>
        <charset val="1"/>
      </rPr>
      <t xml:space="preserve">5</t>
    </r>
    <r>
      <rPr>
        <sz val="10"/>
        <rFont val="WenQuanYi Zen Hei"/>
        <family val="2"/>
      </rPr>
      <t xml:space="preserve">대 사회 현안 중심</t>
    </r>
  </si>
  <si>
    <t xml:space="preserve">마드리드판 현안 15개 → 파리판에서 프랑스 현안 18개로 교체(48번 참고)</t>
  </si>
  <si>
    <t xml:space="preserve">현안_배치, 현안_분포</t>
  </si>
  <si>
    <r>
      <rPr>
        <sz val="10"/>
        <rFont val="Arial"/>
        <family val="0"/>
        <charset val="1"/>
      </rPr>
      <t xml:space="preserve">11</t>
    </r>
    <r>
      <rPr>
        <sz val="10"/>
        <rFont val="WenQuanYi Zen Hei"/>
        <family val="2"/>
      </rPr>
      <t xml:space="preserve">부 재구성</t>
    </r>
  </si>
  <si>
    <r>
      <rPr>
        <sz val="10"/>
        <rFont val="Arial"/>
        <family val="0"/>
        <charset val="1"/>
      </rPr>
      <t xml:space="preserve">4</t>
    </r>
    <r>
      <rPr>
        <sz val="10"/>
        <rFont val="WenQuanYi Zen Hei"/>
        <family val="2"/>
      </rPr>
      <t xml:space="preserve">화 응급실 </t>
    </r>
    <r>
      <rPr>
        <sz val="10"/>
        <rFont val="Arial"/>
        <family val="0"/>
        <charset val="1"/>
      </rPr>
      <t xml:space="preserve">/ 5</t>
    </r>
    <r>
      <rPr>
        <sz val="10"/>
        <rFont val="WenQuanYi Zen Hei"/>
        <family val="2"/>
      </rPr>
      <t xml:space="preserve">화 건강은 상품이 아니다 </t>
    </r>
    <r>
      <rPr>
        <sz val="10"/>
        <rFont val="Arial"/>
        <family val="0"/>
        <charset val="1"/>
      </rPr>
      <t xml:space="preserve">/ 11</t>
    </r>
    <r>
      <rPr>
        <sz val="10"/>
        <rFont val="WenQuanYi Zen Hei"/>
        <family val="2"/>
      </rPr>
      <t xml:space="preserve">화 거리의 변화</t>
    </r>
  </si>
  <si>
    <r>
      <rPr>
        <sz val="10"/>
        <rFont val="Arial"/>
        <family val="0"/>
        <charset val="1"/>
      </rPr>
      <t xml:space="preserve">4·5</t>
    </r>
    <r>
      <rPr>
        <sz val="10"/>
        <rFont val="WenQuanYi Zen Hei"/>
        <family val="2"/>
      </rPr>
      <t xml:space="preserve">화 응급실 통합</t>
    </r>
    <r>
      <rPr>
        <sz val="10"/>
        <rFont val="Arial"/>
        <family val="0"/>
        <charset val="1"/>
      </rPr>
      <t xml:space="preserve">, 5</t>
    </r>
    <r>
      <rPr>
        <sz val="10"/>
        <rFont val="WenQuanYi Zen Hei"/>
        <family val="2"/>
      </rPr>
      <t xml:space="preserve">화 </t>
    </r>
    <r>
      <rPr>
        <sz val="10"/>
        <rFont val="Arial"/>
        <family val="0"/>
        <charset val="1"/>
      </rPr>
      <t xml:space="preserve">«La Répartition»(</t>
    </r>
    <r>
      <rPr>
        <sz val="10"/>
        <rFont val="WenQuanYi Zen Hei"/>
        <family val="2"/>
      </rPr>
      <t xml:space="preserve">이민 분담</t>
    </r>
    <r>
      <rPr>
        <sz val="10"/>
        <rFont val="Arial"/>
        <family val="0"/>
        <charset val="1"/>
      </rPr>
      <t xml:space="preserve">) </t>
    </r>
    <r>
      <rPr>
        <sz val="10"/>
        <rFont val="WenQuanYi Zen Hei"/>
        <family val="2"/>
      </rPr>
      <t xml:space="preserve">신설</t>
    </r>
    <r>
      <rPr>
        <sz val="10"/>
        <rFont val="Arial"/>
        <family val="0"/>
        <charset val="1"/>
      </rPr>
      <t xml:space="preserve">, </t>
    </r>
    <r>
      <rPr>
        <sz val="10"/>
        <rFont val="WenQuanYi Zen Hei"/>
        <family val="2"/>
      </rPr>
      <t xml:space="preserve">재난 화는 파리판 </t>
    </r>
    <r>
      <rPr>
        <sz val="10"/>
        <rFont val="Arial"/>
        <family val="0"/>
        <charset val="1"/>
      </rPr>
      <t xml:space="preserve">12</t>
    </r>
    <r>
      <rPr>
        <sz val="10"/>
        <rFont val="WenQuanYi Zen Hei"/>
        <family val="2"/>
      </rPr>
      <t xml:space="preserve">부 </t>
    </r>
    <r>
      <rPr>
        <sz val="10"/>
        <rFont val="Arial"/>
        <family val="0"/>
        <charset val="1"/>
      </rPr>
      <t xml:space="preserve">8</t>
    </r>
    <r>
      <rPr>
        <sz val="10"/>
        <rFont val="WenQuanYi Zen Hei"/>
        <family val="2"/>
      </rPr>
      <t xml:space="preserve">화 </t>
    </r>
    <r>
      <rPr>
        <sz val="10"/>
        <rFont val="Arial"/>
        <family val="0"/>
        <charset val="1"/>
      </rPr>
      <t xml:space="preserve">«L'Épisode méditerranéen»</t>
    </r>
  </si>
  <si>
    <r>
      <rPr>
        <sz val="10"/>
        <rFont val="Arial"/>
        <family val="0"/>
        <charset val="1"/>
      </rPr>
      <t xml:space="preserve">10</t>
    </r>
    <r>
      <rPr>
        <sz val="10"/>
        <rFont val="WenQuanYi Zen Hei"/>
        <family val="2"/>
      </rPr>
      <t xml:space="preserve">부 </t>
    </r>
    <r>
      <rPr>
        <sz val="10"/>
        <rFont val="Arial"/>
        <family val="0"/>
        <charset val="1"/>
      </rPr>
      <t xml:space="preserve">2</t>
    </r>
    <r>
      <rPr>
        <sz val="10"/>
        <rFont val="WenQuanYi Zen Hei"/>
        <family val="2"/>
      </rPr>
      <t xml:space="preserve">화</t>
    </r>
  </si>
  <si>
    <r>
      <rPr>
        <sz val="10"/>
        <rFont val="Arial"/>
        <family val="0"/>
        <charset val="1"/>
      </rPr>
      <t xml:space="preserve">15</t>
    </r>
    <r>
      <rPr>
        <sz val="10"/>
        <rFont val="WenQuanYi Zen Hei"/>
        <family val="2"/>
      </rPr>
      <t xml:space="preserve">일의 유세</t>
    </r>
    <r>
      <rPr>
        <sz val="10"/>
        <rFont val="Arial"/>
        <family val="0"/>
        <charset val="1"/>
      </rPr>
      <t xml:space="preserve">(</t>
    </r>
    <r>
      <rPr>
        <sz val="10"/>
        <rFont val="WenQuanYi Zen Hei"/>
        <family val="2"/>
      </rPr>
      <t xml:space="preserve">일반</t>
    </r>
    <r>
      <rPr>
        <sz val="10"/>
        <rFont val="Arial"/>
        <family val="0"/>
        <charset val="1"/>
      </rPr>
      <t xml:space="preserve">)</t>
    </r>
  </si>
  <si>
    <t xml:space="preserve">농촌 방문: 농촌 공동화, 가뭄, 태양광 단지 찬반(녹색 대 녹색) — 파리판 10부 2화 추천서 순회</t>
  </si>
  <si>
    <t xml:space="preserve">현실 수치</t>
  </si>
  <si>
    <t xml:space="preserve">붙여 주신 자료의 스페인 수치</t>
  </si>
  <si>
    <t xml:space="preserve">파리판 59번에서 프랑스 수치로 교체</t>
  </si>
  <si>
    <t xml:space="preserve">현안 담당 없음</t>
  </si>
  <si>
    <t xml:space="preserve">캐릭터 시트에 '현안 담당(ID)' 열 추가</t>
  </si>
  <si>
    <t xml:space="preserve">아크 구성 계획</t>
  </si>
  <si>
    <r>
      <rPr>
        <sz val="10"/>
        <rFont val="Arial"/>
        <family val="0"/>
        <charset val="1"/>
      </rPr>
      <t xml:space="preserve">1~12</t>
    </r>
    <r>
      <rPr>
        <sz val="10"/>
        <rFont val="WenQuanYi Zen Hei"/>
        <family val="2"/>
      </rPr>
      <t xml:space="preserve">부 아크별 구성 계획</t>
    </r>
    <r>
      <rPr>
        <sz val="10"/>
        <rFont val="Arial"/>
        <family val="0"/>
        <charset val="1"/>
      </rPr>
      <t xml:space="preserve">(</t>
    </r>
    <r>
      <rPr>
        <sz val="10"/>
        <rFont val="WenQuanYi Zen Hei"/>
        <family val="2"/>
      </rPr>
      <t xml:space="preserve">서사 기능</t>
    </r>
    <r>
      <rPr>
        <sz val="10"/>
        <rFont val="Arial"/>
        <family val="0"/>
        <charset val="1"/>
      </rPr>
      <t xml:space="preserve">·</t>
    </r>
    <r>
      <rPr>
        <sz val="10"/>
        <rFont val="WenQuanYi Zen Hei"/>
        <family val="2"/>
      </rPr>
      <t xml:space="preserve">로그라인</t>
    </r>
    <r>
      <rPr>
        <sz val="10"/>
        <rFont val="Arial"/>
        <family val="0"/>
        <charset val="1"/>
      </rPr>
      <t xml:space="preserve">·</t>
    </r>
    <r>
      <rPr>
        <sz val="10"/>
        <rFont val="WenQuanYi Zen Hei"/>
        <family val="2"/>
      </rPr>
      <t xml:space="preserve">비트</t>
    </r>
    <r>
      <rPr>
        <sz val="10"/>
        <rFont val="Arial"/>
        <family val="0"/>
        <charset val="1"/>
      </rPr>
      <t xml:space="preserve">·</t>
    </r>
    <r>
      <rPr>
        <sz val="10"/>
        <rFont val="WenQuanYi Zen Hei"/>
        <family val="2"/>
      </rPr>
      <t xml:space="preserve">인물 아크</t>
    </r>
    <r>
      <rPr>
        <sz val="10"/>
        <rFont val="Arial"/>
        <family val="0"/>
        <charset val="1"/>
      </rPr>
      <t xml:space="preserve">·</t>
    </r>
    <r>
      <rPr>
        <sz val="10"/>
        <rFont val="WenQuanYi Zen Hei"/>
        <family val="2"/>
      </rPr>
      <t xml:space="preserve">복선</t>
    </r>
    <r>
      <rPr>
        <sz val="10"/>
        <rFont val="Arial"/>
        <family val="0"/>
        <charset val="1"/>
      </rPr>
      <t xml:space="preserve">·</t>
    </r>
    <r>
      <rPr>
        <sz val="10"/>
        <rFont val="WenQuanYi Zen Hei"/>
        <family val="2"/>
      </rPr>
      <t xml:space="preserve">언어 설계</t>
    </r>
    <r>
      <rPr>
        <sz val="10"/>
        <rFont val="Arial"/>
        <family val="0"/>
        <charset val="1"/>
      </rPr>
      <t xml:space="preserve">) </t>
    </r>
    <r>
      <rPr>
        <sz val="10"/>
        <rFont val="WenQuanYi Zen Hei"/>
        <family val="2"/>
      </rPr>
      <t xml:space="preserve">시트 신설</t>
    </r>
  </si>
  <si>
    <t xml:space="preserve">화별 목차</t>
  </si>
  <si>
    <r>
      <rPr>
        <sz val="10"/>
        <rFont val="Arial"/>
        <family val="0"/>
        <charset val="1"/>
      </rPr>
      <t xml:space="preserve">8~12</t>
    </r>
    <r>
      <rPr>
        <sz val="10"/>
        <rFont val="WenQuanYi Zen Hei"/>
        <family val="2"/>
      </rPr>
      <t xml:space="preserve">부 </t>
    </r>
    <r>
      <rPr>
        <sz val="10"/>
        <rFont val="Arial"/>
        <family val="0"/>
        <charset val="1"/>
      </rPr>
      <t xml:space="preserve">60</t>
    </r>
    <r>
      <rPr>
        <sz val="10"/>
        <rFont val="WenQuanYi Zen Hei"/>
        <family val="2"/>
      </rPr>
      <t xml:space="preserve">화</t>
    </r>
  </si>
  <si>
    <r>
      <rPr>
        <sz val="10"/>
        <rFont val="Arial"/>
        <family val="0"/>
        <charset val="1"/>
      </rPr>
      <t xml:space="preserve">1~12</t>
    </r>
    <r>
      <rPr>
        <sz val="10"/>
        <rFont val="WenQuanYi Zen Hei"/>
        <family val="2"/>
      </rPr>
      <t xml:space="preserve">부 </t>
    </r>
    <r>
      <rPr>
        <sz val="10"/>
        <rFont val="Arial"/>
        <family val="0"/>
        <charset val="1"/>
      </rPr>
      <t xml:space="preserve">144</t>
    </r>
    <r>
      <rPr>
        <sz val="10"/>
        <rFont val="WenQuanYi Zen Hei"/>
        <family val="2"/>
      </rPr>
      <t xml:space="preserve">화로 확장</t>
    </r>
    <r>
      <rPr>
        <sz val="10"/>
        <rFont val="Arial"/>
        <family val="0"/>
        <charset val="1"/>
      </rPr>
      <t xml:space="preserve">(1~7</t>
    </r>
    <r>
      <rPr>
        <sz val="10"/>
        <rFont val="WenQuanYi Zen Hei"/>
        <family val="2"/>
      </rPr>
      <t xml:space="preserve">부 </t>
    </r>
    <r>
      <rPr>
        <sz val="10"/>
        <rFont val="Arial"/>
        <family val="0"/>
        <charset val="1"/>
      </rPr>
      <t xml:space="preserve">84</t>
    </r>
    <r>
      <rPr>
        <sz val="10"/>
        <rFont val="WenQuanYi Zen Hei"/>
        <family val="2"/>
      </rPr>
      <t xml:space="preserve">화 신규</t>
    </r>
    <r>
      <rPr>
        <sz val="10"/>
        <rFont val="Arial"/>
        <family val="0"/>
        <charset val="1"/>
      </rPr>
      <t xml:space="preserve">), '</t>
    </r>
    <r>
      <rPr>
        <sz val="10"/>
        <rFont val="WenQuanYi Zen Hei"/>
        <family val="2"/>
      </rPr>
      <t xml:space="preserve">서사 기능</t>
    </r>
    <r>
      <rPr>
        <sz val="10"/>
        <rFont val="Arial"/>
        <family val="0"/>
        <charset val="1"/>
      </rPr>
      <t xml:space="preserve">' </t>
    </r>
    <r>
      <rPr>
        <sz val="10"/>
        <rFont val="WenQuanYi Zen Hei"/>
        <family val="2"/>
      </rPr>
      <t xml:space="preserve">열 추가</t>
    </r>
  </si>
  <si>
    <t xml:space="preserve">공통 악역</t>
  </si>
  <si>
    <r>
      <rPr>
        <sz val="10"/>
        <rFont val="Arial"/>
        <family val="0"/>
        <charset val="1"/>
      </rPr>
      <t xml:space="preserve">Groupe Méridien(</t>
    </r>
    <r>
      <rPr>
        <sz val="10"/>
        <rFont val="WenQuanYi Zen Hei"/>
        <family val="2"/>
      </rPr>
      <t xml:space="preserve">가상</t>
    </r>
    <r>
      <rPr>
        <sz val="10"/>
        <rFont val="Arial"/>
        <family val="0"/>
        <charset val="1"/>
      </rPr>
      <t xml:space="preserve">)</t>
    </r>
    <r>
      <rPr>
        <sz val="10"/>
        <rFont val="WenQuanYi Zen Hei"/>
        <family val="2"/>
      </rPr>
      <t xml:space="preserve">을 </t>
    </r>
    <r>
      <rPr>
        <sz val="10"/>
        <rFont val="Arial"/>
        <family val="0"/>
        <charset val="1"/>
      </rPr>
      <t xml:space="preserve">2~7</t>
    </r>
    <r>
      <rPr>
        <sz val="10"/>
        <rFont val="WenQuanYi Zen Hei"/>
        <family val="2"/>
      </rPr>
      <t xml:space="preserve">부</t>
    </r>
    <r>
      <rPr>
        <sz val="10"/>
        <rFont val="Arial"/>
        <family val="0"/>
        <charset val="1"/>
      </rPr>
      <t xml:space="preserve">·9</t>
    </r>
    <r>
      <rPr>
        <sz val="10"/>
        <rFont val="WenQuanYi Zen Hei"/>
        <family val="2"/>
      </rPr>
      <t xml:space="preserve">부</t>
    </r>
    <r>
      <rPr>
        <sz val="10"/>
        <rFont val="Arial"/>
        <family val="0"/>
        <charset val="1"/>
      </rPr>
      <t xml:space="preserve">·11~13</t>
    </r>
    <r>
      <rPr>
        <sz val="10"/>
        <rFont val="WenQuanYi Zen Hei"/>
        <family val="2"/>
      </rPr>
      <t xml:space="preserve">부를 관통하는 악역으로 설정</t>
    </r>
    <r>
      <rPr>
        <sz val="10"/>
        <rFont val="Arial"/>
        <family val="0"/>
        <charset val="1"/>
      </rPr>
      <t xml:space="preserve">: </t>
    </r>
    <r>
      <rPr>
        <sz val="10"/>
        <rFont val="WenQuanYi Zen Hei"/>
        <family val="2"/>
      </rPr>
      <t xml:space="preserve">부동산</t>
    </r>
    <r>
      <rPr>
        <sz val="10"/>
        <rFont val="Arial"/>
        <family val="0"/>
        <charset val="1"/>
      </rPr>
      <t xml:space="preserve">(</t>
    </r>
    <r>
      <rPr>
        <sz val="10"/>
        <rFont val="WenQuanYi Zen Hei"/>
        <family val="2"/>
      </rPr>
      <t xml:space="preserve">퇴거</t>
    </r>
    <r>
      <rPr>
        <sz val="10"/>
        <rFont val="Arial"/>
        <family val="0"/>
        <charset val="1"/>
      </rPr>
      <t xml:space="preserve">)·</t>
    </r>
    <r>
      <rPr>
        <sz val="10"/>
        <rFont val="WenQuanYi Zen Hei"/>
        <family val="2"/>
      </rPr>
      <t xml:space="preserve">병원 외주</t>
    </r>
    <r>
      <rPr>
        <sz val="10"/>
        <rFont val="Arial"/>
        <family val="0"/>
        <charset val="1"/>
      </rPr>
      <t xml:space="preserve">·</t>
    </r>
    <r>
      <rPr>
        <sz val="10"/>
        <rFont val="WenQuanYi Zen Hei"/>
        <family val="2"/>
      </rPr>
      <t xml:space="preserve">감사 고객</t>
    </r>
    <r>
      <rPr>
        <sz val="10"/>
        <rFont val="Arial"/>
        <family val="0"/>
        <charset val="1"/>
      </rPr>
      <t xml:space="preserve">·</t>
    </r>
    <r>
      <rPr>
        <sz val="10"/>
        <rFont val="WenQuanYi Zen Hei"/>
        <family val="2"/>
      </rPr>
      <t xml:space="preserve">구조조정 고객</t>
    </r>
  </si>
  <si>
    <t xml:space="preserve">프레임 구조</t>
  </si>
  <si>
    <r>
      <rPr>
        <sz val="10"/>
        <rFont val="Arial"/>
        <family val="0"/>
        <charset val="1"/>
      </rPr>
      <t xml:space="preserve">2~5</t>
    </r>
    <r>
      <rPr>
        <sz val="10"/>
        <rFont val="WenQuanYi Zen Hei"/>
        <family val="2"/>
      </rPr>
      <t xml:space="preserve">부는 금요일 밤 </t>
    </r>
    <r>
      <rPr>
        <sz val="10"/>
        <rFont val="Arial"/>
        <family val="0"/>
        <charset val="1"/>
      </rPr>
      <t xml:space="preserve">Monique</t>
    </r>
    <r>
      <rPr>
        <sz val="10"/>
        <rFont val="WenQuanYi Zen Hei"/>
        <family val="2"/>
      </rPr>
      <t xml:space="preserve">의 식탁</t>
    </r>
    <r>
      <rPr>
        <sz val="10"/>
        <rFont val="Arial"/>
        <family val="0"/>
        <charset val="1"/>
      </rPr>
      <t xml:space="preserve">(</t>
    </r>
    <r>
      <rPr>
        <sz val="10"/>
        <rFont val="WenQuanYi Zen Hei"/>
        <family val="2"/>
      </rPr>
      <t xml:space="preserve">프레임</t>
    </r>
    <r>
      <rPr>
        <sz val="10"/>
        <rFont val="Arial"/>
        <family val="0"/>
        <charset val="1"/>
      </rPr>
      <t xml:space="preserve">)</t>
    </r>
    <r>
      <rPr>
        <sz val="10"/>
        <rFont val="WenQuanYi Zen Hei"/>
        <family val="2"/>
      </rPr>
      <t xml:space="preserve">과 과거를 오가는 구조</t>
    </r>
    <r>
      <rPr>
        <sz val="10"/>
        <rFont val="Arial"/>
        <family val="0"/>
        <charset val="1"/>
      </rPr>
      <t xml:space="preserve">. 6</t>
    </r>
    <r>
      <rPr>
        <sz val="10"/>
        <rFont val="WenQuanYi Zen Hei"/>
        <family val="2"/>
      </rPr>
      <t xml:space="preserve">부에서 </t>
    </r>
    <r>
      <rPr>
        <sz val="10"/>
        <rFont val="Arial"/>
        <family val="0"/>
        <charset val="1"/>
      </rPr>
      <t xml:space="preserve">'</t>
    </r>
    <r>
      <rPr>
        <sz val="10"/>
        <rFont val="WenQuanYi Zen Hei"/>
        <family val="2"/>
      </rPr>
      <t xml:space="preserve">금요일 이야기</t>
    </r>
    <r>
      <rPr>
        <sz val="10"/>
        <rFont val="Arial"/>
        <family val="0"/>
        <charset val="1"/>
      </rPr>
      <t xml:space="preserve">' </t>
    </r>
    <r>
      <rPr>
        <sz val="10"/>
        <rFont val="WenQuanYi Zen Hei"/>
        <family val="2"/>
      </rPr>
      <t xml:space="preserve">규칙이 만들어짐</t>
    </r>
  </si>
  <si>
    <t xml:space="preserve">복선 설치→회수 28건과 간격을 수식으로 관리</t>
  </si>
  <si>
    <t xml:space="preserve">확정 사항</t>
  </si>
  <si>
    <t xml:space="preserve">미결: 11부 재구성, 사면·DANA 수위, 젠더 법 범위</t>
  </si>
  <si>
    <t xml:space="preserve">모두 승인. 사면·DANA는 수위를 낮춰 가상 설정으로 (파리판: 코르시카 자치·지중해성 폭우로 대체), 젠더 법은 동의 개념 중심</t>
  </si>
  <si>
    <t xml:space="preserve">카메오 과밀 해소</t>
  </si>
  <si>
    <r>
      <rPr>
        <sz val="10"/>
        <rFont val="Arial"/>
        <family val="0"/>
        <charset val="1"/>
      </rPr>
      <t xml:space="preserve">1</t>
    </r>
    <r>
      <rPr>
        <sz val="10"/>
        <rFont val="WenQuanYi Zen Hei"/>
        <family val="2"/>
      </rPr>
      <t xml:space="preserve">차 폭발 화에 </t>
    </r>
    <r>
      <rPr>
        <sz val="10"/>
        <rFont val="Arial"/>
        <family val="0"/>
        <charset val="1"/>
      </rPr>
      <t xml:space="preserve">Jeanne·Curie·Karim </t>
    </r>
    <r>
      <rPr>
        <sz val="10"/>
        <rFont val="WenQuanYi Zen Hei"/>
        <family val="2"/>
      </rPr>
      <t xml:space="preserve">집중</t>
    </r>
  </si>
  <si>
    <r>
      <rPr>
        <sz val="10"/>
        <rFont val="Arial"/>
        <family val="0"/>
        <charset val="1"/>
      </rPr>
      <t xml:space="preserve">Karim</t>
    </r>
    <r>
      <rPr>
        <sz val="10"/>
        <rFont val="WenQuanYi Zen Hei"/>
        <family val="2"/>
      </rPr>
      <t xml:space="preserve">의 욕은 </t>
    </r>
    <r>
      <rPr>
        <sz val="10"/>
        <rFont val="Arial"/>
        <family val="0"/>
        <charset val="1"/>
      </rPr>
      <t xml:space="preserve">9</t>
    </r>
    <r>
      <rPr>
        <sz val="10"/>
        <rFont val="WenQuanYi Zen Hei"/>
        <family val="2"/>
      </rPr>
      <t xml:space="preserve">부 </t>
    </r>
    <r>
      <rPr>
        <sz val="10"/>
        <rFont val="Arial"/>
        <family val="0"/>
        <charset val="1"/>
      </rPr>
      <t xml:space="preserve">2</t>
    </r>
    <r>
      <rPr>
        <sz val="10"/>
        <rFont val="WenQuanYi Zen Hei"/>
        <family val="2"/>
      </rPr>
      <t xml:space="preserve">차 폭발로 이관</t>
    </r>
  </si>
  <si>
    <t xml:space="preserve">화당 분량 확정</t>
  </si>
  <si>
    <t xml:space="preserve">화당 250~400단어(제안)</t>
  </si>
  <si>
    <t xml:space="preserve">화당 120턴 (부당 1,440턴, 전체 17,280턴). 낭독 시간은 부별 난이도 배율로 추정</t>
  </si>
  <si>
    <t xml:space="preserve">턴_설계, 대화문규칙</t>
  </si>
  <si>
    <t xml:space="preserve">대화량 표 신설</t>
  </si>
  <si>
    <t xml:space="preserve">부별 화자 점유율(턴 기준), 평균 단어/턴, 화당 단어·낭독 시간, 화 유형별 턴 구성을 수식으로 관리</t>
  </si>
  <si>
    <t xml:space="preserve">턴 수 열 없음</t>
  </si>
  <si>
    <t xml:space="preserve">화별목차_전체에 '턴 수' 열과 합계 추가 (120 × 144화)</t>
  </si>
  <si>
    <r>
      <rPr>
        <sz val="10"/>
        <rFont val="Arial"/>
        <family val="0"/>
        <charset val="1"/>
      </rPr>
      <t xml:space="preserve">1</t>
    </r>
    <r>
      <rPr>
        <sz val="10"/>
        <rFont val="WenQuanYi Zen Hei"/>
        <family val="2"/>
      </rPr>
      <t xml:space="preserve">부 </t>
    </r>
    <r>
      <rPr>
        <sz val="10"/>
        <rFont val="Arial"/>
        <family val="0"/>
        <charset val="1"/>
      </rPr>
      <t xml:space="preserve">1</t>
    </r>
    <r>
      <rPr>
        <sz val="10"/>
        <rFont val="WenQuanYi Zen Hei"/>
        <family val="2"/>
      </rPr>
      <t xml:space="preserve">화 대본 </t>
    </r>
    <r>
      <rPr>
        <sz val="10"/>
        <rFont val="Arial"/>
        <family val="0"/>
        <charset val="1"/>
      </rPr>
      <t xml:space="preserve">(v1, </t>
    </r>
    <r>
      <rPr>
        <sz val="10"/>
        <rFont val="WenQuanYi Zen Hei"/>
        <family val="2"/>
      </rPr>
      <t xml:space="preserve">폐기</t>
    </r>
    <r>
      <rPr>
        <sz val="10"/>
        <rFont val="Arial"/>
        <family val="0"/>
        <charset val="1"/>
      </rPr>
      <t xml:space="preserve">)</t>
    </r>
  </si>
  <si>
    <t xml:space="preserve">마드리드판 v1 대본</t>
  </si>
  <si>
    <r>
      <rPr>
        <sz val="10"/>
        <rFont val="Arial"/>
        <family val="0"/>
        <charset val="1"/>
      </rPr>
      <t xml:space="preserve">1</t>
    </r>
    <r>
      <rPr>
        <sz val="10"/>
        <rFont val="WenQuanYi Zen Hei"/>
        <family val="2"/>
      </rPr>
      <t xml:space="preserve">부 전체를 개소 </t>
    </r>
    <r>
      <rPr>
        <sz val="10"/>
        <rFont val="Arial"/>
        <family val="0"/>
        <charset val="1"/>
      </rPr>
      <t xml:space="preserve">1</t>
    </r>
    <r>
      <rPr>
        <sz val="10"/>
        <rFont val="WenQuanYi Zen Hei"/>
        <family val="2"/>
      </rPr>
      <t xml:space="preserve">개월 후 시점으로 재설계하며 폐기</t>
    </r>
    <r>
      <rPr>
        <sz val="10"/>
        <rFont val="Arial"/>
        <family val="0"/>
        <charset val="1"/>
      </rPr>
      <t xml:space="preserve">. </t>
    </r>
    <r>
      <rPr>
        <sz val="10"/>
        <rFont val="WenQuanYi Zen Hei"/>
        <family val="2"/>
      </rPr>
      <t xml:space="preserve">대체</t>
    </r>
    <r>
      <rPr>
        <sz val="10"/>
        <rFont val="Arial"/>
        <family val="0"/>
        <charset val="1"/>
      </rPr>
      <t xml:space="preserve">: v2 (</t>
    </r>
    <r>
      <rPr>
        <sz val="10"/>
        <rFont val="WenQuanYi Zen Hei"/>
        <family val="2"/>
      </rPr>
      <t xml:space="preserve">마드리드판 스페인어 대본 — 파리판은 </t>
    </r>
    <r>
      <rPr>
        <sz val="10"/>
        <rFont val="Arial"/>
        <family val="0"/>
        <charset val="1"/>
      </rPr>
      <t xml:space="preserve">«Encore une lettre»</t>
    </r>
    <r>
      <rPr>
        <sz val="10"/>
        <rFont val="WenQuanYi Zen Hei"/>
        <family val="2"/>
      </rPr>
      <t xml:space="preserve">로 재집필 필요</t>
    </r>
    <r>
      <rPr>
        <sz val="10"/>
        <rFont val="Arial"/>
        <family val="0"/>
        <charset val="1"/>
      </rPr>
      <t xml:space="preserve">)</t>
    </r>
  </si>
  <si>
    <r>
      <rPr>
        <sz val="10"/>
        <rFont val="Arial"/>
        <family val="0"/>
        <charset val="1"/>
      </rPr>
      <t xml:space="preserve">1</t>
    </r>
    <r>
      <rPr>
        <sz val="10"/>
        <rFont val="WenQuanYi Zen Hei"/>
        <family val="2"/>
      </rPr>
      <t xml:space="preserve">부 전체 재설계</t>
    </r>
  </si>
  <si>
    <r>
      <rPr>
        <sz val="10"/>
        <rFont val="Arial"/>
        <family val="0"/>
        <charset val="1"/>
      </rPr>
      <t xml:space="preserve">12</t>
    </r>
    <r>
      <rPr>
        <sz val="10"/>
        <rFont val="WenQuanYi Zen Hei"/>
        <family val="2"/>
      </rPr>
      <t xml:space="preserve">화 </t>
    </r>
    <r>
      <rPr>
        <sz val="10"/>
        <rFont val="Arial"/>
        <family val="0"/>
        <charset val="1"/>
      </rPr>
      <t xml:space="preserve">= </t>
    </r>
    <r>
      <rPr>
        <sz val="10"/>
        <rFont val="WenQuanYi Zen Hei"/>
        <family val="2"/>
      </rPr>
      <t xml:space="preserve">소개</t>
    </r>
    <r>
      <rPr>
        <sz val="10"/>
        <rFont val="Arial"/>
        <family val="0"/>
        <charset val="1"/>
      </rPr>
      <t xml:space="preserve">(1~2) + </t>
    </r>
    <r>
      <rPr>
        <sz val="10"/>
        <rFont val="WenQuanYi Zen Hei"/>
        <family val="2"/>
      </rPr>
      <t xml:space="preserve">산발적 사건 </t>
    </r>
    <r>
      <rPr>
        <sz val="10"/>
        <rFont val="Arial"/>
        <family val="0"/>
        <charset val="1"/>
      </rPr>
      <t xml:space="preserve">3</t>
    </r>
    <r>
      <rPr>
        <sz val="10"/>
        <rFont val="WenQuanYi Zen Hei"/>
        <family val="2"/>
      </rPr>
      <t xml:space="preserve">건</t>
    </r>
  </si>
  <si>
    <r>
      <rPr>
        <sz val="10"/>
        <rFont val="Arial"/>
        <family val="0"/>
        <charset val="1"/>
      </rPr>
      <t xml:space="preserve">1</t>
    </r>
    <r>
      <rPr>
        <sz val="10"/>
        <rFont val="WenQuanYi Zen Hei"/>
        <family val="2"/>
      </rPr>
      <t xml:space="preserve">부를 개소 </t>
    </r>
    <r>
      <rPr>
        <sz val="10"/>
        <rFont val="Arial"/>
        <family val="0"/>
        <charset val="1"/>
      </rPr>
      <t xml:space="preserve">1</t>
    </r>
    <r>
      <rPr>
        <sz val="10"/>
        <rFont val="WenQuanYi Zen Hei"/>
        <family val="2"/>
      </rPr>
      <t xml:space="preserve">개월 후 시점으로 전환</t>
    </r>
    <r>
      <rPr>
        <sz val="10"/>
        <rFont val="Arial"/>
        <family val="0"/>
        <charset val="1"/>
      </rPr>
      <t xml:space="preserve">. </t>
    </r>
    <r>
      <rPr>
        <sz val="10"/>
        <rFont val="WenQuanYi Zen Hei"/>
        <family val="2"/>
      </rPr>
      <t xml:space="preserve">사건 </t>
    </r>
    <r>
      <rPr>
        <sz val="10"/>
        <rFont val="Arial"/>
        <family val="0"/>
        <charset val="1"/>
      </rPr>
      <t xml:space="preserve">6</t>
    </r>
    <r>
      <rPr>
        <sz val="10"/>
        <rFont val="WenQuanYi Zen Hei"/>
        <family val="2"/>
      </rPr>
      <t xml:space="preserve">개</t>
    </r>
    <r>
      <rPr>
        <sz val="10"/>
        <rFont val="Arial"/>
        <family val="0"/>
        <charset val="1"/>
      </rPr>
      <t xml:space="preserve">, </t>
    </r>
    <r>
      <rPr>
        <sz val="10"/>
        <rFont val="WenQuanYi Zen Hei"/>
        <family val="2"/>
      </rPr>
      <t xml:space="preserve">각 </t>
    </r>
    <r>
      <rPr>
        <sz val="10"/>
        <rFont val="Arial"/>
        <family val="0"/>
        <charset val="1"/>
      </rPr>
      <t xml:space="preserve">2</t>
    </r>
    <r>
      <rPr>
        <sz val="10"/>
        <rFont val="WenQuanYi Zen Hei"/>
        <family val="2"/>
      </rPr>
      <t xml:space="preserve">화</t>
    </r>
    <r>
      <rPr>
        <sz val="10"/>
        <rFont val="Arial"/>
        <family val="0"/>
        <charset val="1"/>
      </rPr>
      <t xml:space="preserve">(</t>
    </r>
    <r>
      <rPr>
        <sz val="10"/>
        <rFont val="WenQuanYi Zen Hei"/>
        <family val="2"/>
      </rPr>
      <t xml:space="preserve">도입→해결</t>
    </r>
    <r>
      <rPr>
        <sz val="10"/>
        <rFont val="Arial"/>
        <family val="0"/>
        <charset val="1"/>
      </rPr>
      <t xml:space="preserve">) </t>
    </r>
    <r>
      <rPr>
        <sz val="10"/>
        <rFont val="WenQuanYi Zen Hei"/>
        <family val="2"/>
      </rPr>
      <t xml:space="preserve">구조로 </t>
    </r>
    <r>
      <rPr>
        <sz val="10"/>
        <rFont val="Arial"/>
        <family val="0"/>
        <charset val="1"/>
      </rPr>
      <t xml:space="preserve">12</t>
    </r>
    <r>
      <rPr>
        <sz val="10"/>
        <rFont val="WenQuanYi Zen Hei"/>
        <family val="2"/>
      </rPr>
      <t xml:space="preserve">화 전체를 재편</t>
    </r>
    <r>
      <rPr>
        <sz val="10"/>
        <rFont val="Arial"/>
        <family val="0"/>
        <charset val="1"/>
      </rPr>
      <t xml:space="preserve">: ①Fatima </t>
    </r>
    <r>
      <rPr>
        <sz val="10"/>
        <rFont val="WenQuanYi Zen Hei"/>
        <family val="2"/>
      </rPr>
      <t xml:space="preserve">임대료</t>
    </r>
    <r>
      <rPr>
        <sz val="10"/>
        <rFont val="Arial"/>
        <family val="0"/>
        <charset val="1"/>
      </rPr>
      <t xml:space="preserve">(1~2) ②</t>
    </r>
    <r>
      <rPr>
        <sz val="10"/>
        <rFont val="WenQuanYi Zen Hei"/>
        <family val="2"/>
      </rPr>
      <t xml:space="preserve">퇴거 집행</t>
    </r>
    <r>
      <rPr>
        <sz val="10"/>
        <rFont val="Arial"/>
        <family val="0"/>
        <charset val="1"/>
      </rPr>
      <t xml:space="preserve">(3~4) ③</t>
    </r>
    <r>
      <rPr>
        <sz val="10"/>
        <rFont val="WenQuanYi Zen Hei"/>
        <family val="2"/>
      </rPr>
      <t xml:space="preserve">임금 체불</t>
    </r>
    <r>
      <rPr>
        <sz val="10"/>
        <rFont val="Arial"/>
        <family val="0"/>
        <charset val="1"/>
      </rPr>
      <t xml:space="preserve">·Manon 1</t>
    </r>
    <r>
      <rPr>
        <sz val="10"/>
        <rFont val="WenQuanYi Zen Hei"/>
        <family val="2"/>
      </rPr>
      <t xml:space="preserve">차 폭발</t>
    </r>
    <r>
      <rPr>
        <sz val="10"/>
        <rFont val="Arial"/>
        <family val="0"/>
        <charset val="1"/>
      </rPr>
      <t xml:space="preserve">(5~6) ④</t>
    </r>
    <r>
      <rPr>
        <sz val="10"/>
        <rFont val="WenQuanYi Zen Hei"/>
        <family val="2"/>
      </rPr>
      <t xml:space="preserve">의료 접근</t>
    </r>
    <r>
      <rPr>
        <sz val="10"/>
        <rFont val="Arial"/>
        <family val="0"/>
        <charset val="1"/>
      </rPr>
      <t xml:space="preserve">(7~8) ⑤</t>
    </r>
    <r>
      <rPr>
        <sz val="10"/>
        <rFont val="WenQuanYi Zen Hei"/>
        <family val="2"/>
      </rPr>
      <t xml:space="preserve">금융 사기</t>
    </r>
    <r>
      <rPr>
        <sz val="10"/>
        <rFont val="Arial"/>
        <family val="0"/>
        <charset val="1"/>
      </rPr>
      <t xml:space="preserve">·Philippe(9~10) ⑥</t>
    </r>
    <r>
      <rPr>
        <sz val="10"/>
        <rFont val="WenQuanYi Zen Hei"/>
        <family val="2"/>
      </rPr>
      <t xml:space="preserve">오래된 서류</t>
    </r>
    <r>
      <rPr>
        <sz val="10"/>
        <rFont val="Arial"/>
        <family val="0"/>
        <charset val="1"/>
      </rPr>
      <t xml:space="preserve">·Nicolas </t>
    </r>
    <r>
      <rPr>
        <sz val="10"/>
        <rFont val="WenQuanYi Zen Hei"/>
        <family val="2"/>
      </rPr>
      <t xml:space="preserve">훅</t>
    </r>
    <r>
      <rPr>
        <sz val="10"/>
        <rFont val="Arial"/>
        <family val="0"/>
        <charset val="1"/>
      </rPr>
      <t xml:space="preserve">(11~12)</t>
    </r>
  </si>
  <si>
    <t xml:space="preserve">아크_구성계획, 화별목차_전체, 13부_구성</t>
  </si>
  <si>
    <r>
      <rPr>
        <sz val="10"/>
        <rFont val="Arial"/>
        <family val="0"/>
        <charset val="1"/>
      </rPr>
      <t xml:space="preserve">1</t>
    </r>
    <r>
      <rPr>
        <sz val="10"/>
        <rFont val="WenQuanYi Zen Hei"/>
        <family val="2"/>
      </rPr>
      <t xml:space="preserve">부 </t>
    </r>
    <r>
      <rPr>
        <sz val="10"/>
        <rFont val="Arial"/>
        <family val="0"/>
        <charset val="1"/>
      </rPr>
      <t xml:space="preserve">1</t>
    </r>
    <r>
      <rPr>
        <sz val="10"/>
        <rFont val="WenQuanYi Zen Hei"/>
        <family val="2"/>
      </rPr>
      <t xml:space="preserve">화 대본 </t>
    </r>
    <r>
      <rPr>
        <sz val="10"/>
        <rFont val="Arial"/>
        <family val="0"/>
        <charset val="1"/>
      </rPr>
      <t xml:space="preserve">(v2)</t>
    </r>
  </si>
  <si>
    <t xml:space="preserve">마드리드판 v2(스페인어) 120턴 작성. 파리판 제목은 «Encore une lettre»(또 한 통의 편지) — 프랑스어로 재집필 필요</t>
  </si>
  <si>
    <t xml:space="preserve">등장비중 1부 재조정</t>
  </si>
  <si>
    <t xml:space="preserve">주력 4인 전원 1부 12화 등장(각 11~12)</t>
  </si>
  <si>
    <t xml:space="preserve">사건별로 교대 등장하도록 조정: Nicolas 7·Camille 6·Julien 7·Léa 6·Monique 12(전 화 앵커)·Napoléon 4·Curie 3·Voltaire 2·Karim 2·Philippe 2·Hugo 1·Sartre 1</t>
  </si>
  <si>
    <t xml:space="preserve">부 수 확장</t>
  </si>
  <si>
    <r>
      <rPr>
        <sz val="10"/>
        <rFont val="Arial"/>
        <family val="0"/>
        <charset val="1"/>
      </rPr>
      <t xml:space="preserve">12</t>
    </r>
    <r>
      <rPr>
        <sz val="10"/>
        <rFont val="WenQuanYi Zen Hei"/>
        <family val="2"/>
      </rPr>
      <t xml:space="preserve">부작 </t>
    </r>
    <r>
      <rPr>
        <sz val="10"/>
        <rFont val="Arial"/>
        <family val="0"/>
        <charset val="1"/>
      </rPr>
      <t xml:space="preserve">(144</t>
    </r>
    <r>
      <rPr>
        <sz val="10"/>
        <rFont val="WenQuanYi Zen Hei"/>
        <family val="2"/>
      </rPr>
      <t xml:space="preserve">화</t>
    </r>
    <r>
      <rPr>
        <sz val="10"/>
        <rFont val="Arial"/>
        <family val="0"/>
        <charset val="1"/>
      </rPr>
      <t xml:space="preserve">)</t>
    </r>
  </si>
  <si>
    <r>
      <rPr>
        <sz val="10"/>
        <rFont val="Arial"/>
        <family val="0"/>
        <charset val="1"/>
      </rPr>
      <t xml:space="preserve">13</t>
    </r>
    <r>
      <rPr>
        <sz val="10"/>
        <rFont val="WenQuanYi Zen Hei"/>
        <family val="2"/>
      </rPr>
      <t xml:space="preserve">부작 </t>
    </r>
    <r>
      <rPr>
        <sz val="10"/>
        <rFont val="Arial"/>
        <family val="0"/>
        <charset val="1"/>
      </rPr>
      <t xml:space="preserve">(156</t>
    </r>
    <r>
      <rPr>
        <sz val="10"/>
        <rFont val="WenQuanYi Zen Hei"/>
        <family val="2"/>
      </rPr>
      <t xml:space="preserve">화</t>
    </r>
    <r>
      <rPr>
        <sz val="10"/>
        <rFont val="Arial"/>
        <family val="0"/>
        <charset val="1"/>
      </rPr>
      <t xml:space="preserve">). 11</t>
    </r>
    <r>
      <rPr>
        <sz val="10"/>
        <rFont val="WenQuanYi Zen Hei"/>
        <family val="2"/>
      </rPr>
      <t xml:space="preserve">부를 </t>
    </r>
    <r>
      <rPr>
        <sz val="10"/>
        <rFont val="Arial"/>
        <family val="0"/>
        <charset val="1"/>
      </rPr>
      <t xml:space="preserve">'</t>
    </r>
    <r>
      <rPr>
        <sz val="10"/>
        <rFont val="WenQuanYi Zen Hei"/>
        <family val="2"/>
      </rPr>
      <t xml:space="preserve">국정 </t>
    </r>
    <r>
      <rPr>
        <sz val="10"/>
        <rFont val="Arial"/>
        <family val="0"/>
        <charset val="1"/>
      </rPr>
      <t xml:space="preserve">I'</t>
    </r>
    <r>
      <rPr>
        <sz val="10"/>
        <rFont val="WenQuanYi Zen Hei"/>
        <family val="2"/>
      </rPr>
      <t xml:space="preserve">과 </t>
    </r>
    <r>
      <rPr>
        <sz val="10"/>
        <rFont val="Arial"/>
        <family val="0"/>
        <charset val="1"/>
      </rPr>
      <t xml:space="preserve">'</t>
    </r>
    <r>
      <rPr>
        <sz val="10"/>
        <rFont val="WenQuanYi Zen Hei"/>
        <family val="2"/>
      </rPr>
      <t xml:space="preserve">국정 </t>
    </r>
    <r>
      <rPr>
        <sz val="10"/>
        <rFont val="Arial"/>
        <family val="0"/>
        <charset val="1"/>
      </rPr>
      <t xml:space="preserve">II'</t>
    </r>
    <r>
      <rPr>
        <sz val="10"/>
        <rFont val="WenQuanYi Zen Hei"/>
        <family val="2"/>
      </rPr>
      <t xml:space="preserve">로 분리하고 구 </t>
    </r>
    <r>
      <rPr>
        <sz val="10"/>
        <rFont val="Arial"/>
        <family val="0"/>
        <charset val="1"/>
      </rPr>
      <t xml:space="preserve">12</t>
    </r>
    <r>
      <rPr>
        <sz val="10"/>
        <rFont val="WenQuanYi Zen Hei"/>
        <family val="2"/>
      </rPr>
      <t xml:space="preserve">부</t>
    </r>
    <r>
      <rPr>
        <sz val="10"/>
        <rFont val="Arial"/>
        <family val="0"/>
        <charset val="1"/>
      </rPr>
      <t xml:space="preserve">(</t>
    </r>
    <r>
      <rPr>
        <sz val="10"/>
        <rFont val="WenQuanYi Zen Hei"/>
        <family val="2"/>
      </rPr>
      <t xml:space="preserve">귀환</t>
    </r>
    <r>
      <rPr>
        <sz val="10"/>
        <rFont val="Arial"/>
        <family val="0"/>
        <charset val="1"/>
      </rPr>
      <t xml:space="preserve">)</t>
    </r>
    <r>
      <rPr>
        <sz val="10"/>
        <rFont val="WenQuanYi Zen Hei"/>
        <family val="2"/>
      </rPr>
      <t xml:space="preserve">를 </t>
    </r>
    <r>
      <rPr>
        <sz val="10"/>
        <rFont val="Arial"/>
        <family val="0"/>
        <charset val="1"/>
      </rPr>
      <t xml:space="preserve">13</t>
    </r>
    <r>
      <rPr>
        <sz val="10"/>
        <rFont val="WenQuanYi Zen Hei"/>
        <family val="2"/>
      </rPr>
      <t xml:space="preserve">부로 </t>
    </r>
    <r>
      <rPr>
        <sz val="10"/>
        <rFont val="Arial"/>
        <family val="0"/>
        <charset val="1"/>
      </rPr>
      <t xml:space="preserve">renumber</t>
    </r>
  </si>
  <si>
    <t xml:space="preserve">개요, 13부_구성, 아크_구성계획, 화별목차_전체</t>
  </si>
  <si>
    <r>
      <rPr>
        <sz val="10"/>
        <rFont val="Arial"/>
        <family val="0"/>
        <charset val="1"/>
      </rPr>
      <t xml:space="preserve">Napoléon </t>
    </r>
    <r>
      <rPr>
        <sz val="10"/>
        <rFont val="WenQuanYi Zen Hei"/>
        <family val="2"/>
      </rPr>
      <t xml:space="preserve">사망 시점 이동</t>
    </r>
  </si>
  <si>
    <r>
      <rPr>
        <sz val="10"/>
        <rFont val="Arial"/>
        <family val="0"/>
        <charset val="1"/>
      </rPr>
      <t xml:space="preserve">11</t>
    </r>
    <r>
      <rPr>
        <sz val="10"/>
        <rFont val="WenQuanYi Zen Hei"/>
        <family val="2"/>
      </rPr>
      <t xml:space="preserve">부 </t>
    </r>
    <r>
      <rPr>
        <sz val="10"/>
        <rFont val="Arial"/>
        <family val="0"/>
        <charset val="1"/>
      </rPr>
      <t xml:space="preserve">6</t>
    </r>
    <r>
      <rPr>
        <sz val="10"/>
        <rFont val="WenQuanYi Zen Hei"/>
        <family val="2"/>
      </rPr>
      <t xml:space="preserve">화에서 사망</t>
    </r>
    <r>
      <rPr>
        <sz val="10"/>
        <rFont val="Arial"/>
        <family val="0"/>
        <charset val="1"/>
      </rPr>
      <t xml:space="preserve">, </t>
    </r>
    <r>
      <rPr>
        <sz val="10"/>
        <rFont val="WenQuanYi Zen Hei"/>
        <family val="2"/>
      </rPr>
      <t xml:space="preserve">브뤼셀 협상은 사후 메모로만</t>
    </r>
  </si>
  <si>
    <r>
      <rPr>
        <sz val="10"/>
        <rFont val="Arial"/>
        <family val="0"/>
        <charset val="1"/>
      </rPr>
      <t xml:space="preserve">11</t>
    </r>
    <r>
      <rPr>
        <sz val="10"/>
        <rFont val="WenQuanYi Zen Hei"/>
        <family val="2"/>
      </rPr>
      <t xml:space="preserve">부 </t>
    </r>
    <r>
      <rPr>
        <sz val="10"/>
        <rFont val="Arial"/>
        <family val="0"/>
        <charset val="1"/>
      </rPr>
      <t xml:space="preserve">9~11</t>
    </r>
    <r>
      <rPr>
        <sz val="10"/>
        <rFont val="WenQuanYi Zen Hei"/>
        <family val="2"/>
      </rPr>
      <t xml:space="preserve">화에서 직접 브뤼셀 협상</t>
    </r>
    <r>
      <rPr>
        <sz val="10"/>
        <rFont val="Arial"/>
        <family val="0"/>
        <charset val="1"/>
      </rPr>
      <t xml:space="preserve">(NATO </t>
    </r>
    <r>
      <rPr>
        <sz val="10"/>
        <rFont val="WenQuanYi Zen Hei"/>
        <family val="2"/>
      </rPr>
      <t xml:space="preserve">방위비</t>
    </r>
    <r>
      <rPr>
        <sz val="10"/>
        <rFont val="Arial"/>
        <family val="0"/>
        <charset val="1"/>
      </rPr>
      <t xml:space="preserve">·EU </t>
    </r>
    <r>
      <rPr>
        <sz val="10"/>
        <rFont val="WenQuanYi Zen Hei"/>
        <family val="2"/>
      </rPr>
      <t xml:space="preserve">재정규칙</t>
    </r>
    <r>
      <rPr>
        <sz val="10"/>
        <rFont val="Arial"/>
        <family val="0"/>
        <charset val="1"/>
      </rPr>
      <t xml:space="preserve">)</t>
    </r>
    <r>
      <rPr>
        <sz val="10"/>
        <rFont val="WenQuanYi Zen Hei"/>
        <family val="2"/>
      </rPr>
      <t xml:space="preserve">에 나서 승리한 뒤</t>
    </r>
    <r>
      <rPr>
        <sz val="10"/>
        <rFont val="Arial"/>
        <family val="0"/>
        <charset val="1"/>
      </rPr>
      <t xml:space="preserve">, 11</t>
    </r>
    <r>
      <rPr>
        <sz val="10"/>
        <rFont val="WenQuanYi Zen Hei"/>
        <family val="2"/>
      </rPr>
      <t xml:space="preserve">부 </t>
    </r>
    <r>
      <rPr>
        <sz val="10"/>
        <rFont val="Arial"/>
        <family val="0"/>
        <charset val="1"/>
      </rPr>
      <t xml:space="preserve">12</t>
    </r>
    <r>
      <rPr>
        <sz val="10"/>
        <rFont val="WenQuanYi Zen Hei"/>
        <family val="2"/>
      </rPr>
      <t xml:space="preserve">화</t>
    </r>
    <r>
      <rPr>
        <sz val="10"/>
        <rFont val="Arial"/>
        <family val="0"/>
        <charset val="1"/>
      </rPr>
      <t xml:space="preserve">(</t>
    </r>
    <r>
      <rPr>
        <sz val="10"/>
        <rFont val="WenQuanYi Zen Hei"/>
        <family val="2"/>
      </rPr>
      <t xml:space="preserve">귀국 직후</t>
    </r>
    <r>
      <rPr>
        <sz val="10"/>
        <rFont val="Arial"/>
        <family val="0"/>
        <charset val="1"/>
      </rPr>
      <t xml:space="preserve">)</t>
    </r>
    <r>
      <rPr>
        <sz val="10"/>
        <rFont val="WenQuanYi Zen Hei"/>
        <family val="2"/>
      </rPr>
      <t xml:space="preserve">에 사망</t>
    </r>
    <r>
      <rPr>
        <sz val="10"/>
        <rFont val="Arial"/>
        <family val="0"/>
        <charset val="1"/>
      </rPr>
      <t xml:space="preserve">. 12</t>
    </r>
    <r>
      <rPr>
        <sz val="10"/>
        <rFont val="WenQuanYi Zen Hei"/>
        <family val="2"/>
      </rPr>
      <t xml:space="preserve">부는 장례식으로 열고 유작 메모로 </t>
    </r>
    <r>
      <rPr>
        <sz val="10"/>
        <rFont val="Arial"/>
        <family val="0"/>
        <charset val="1"/>
      </rPr>
      <t xml:space="preserve">2</t>
    </r>
    <r>
      <rPr>
        <sz val="10"/>
        <rFont val="WenQuanYi Zen Hei"/>
        <family val="2"/>
      </rPr>
      <t xml:space="preserve">차 협상을 잇는다</t>
    </r>
  </si>
  <si>
    <t xml:space="preserve">아크_구성계획, Napoléon_죽음, 화별목차_전체</t>
  </si>
  <si>
    <t xml:space="preserve">협상 장면</t>
  </si>
  <si>
    <t xml:space="preserve">상대측의 과장·거짓 주장을 기록의 날짜로 정확히 반박하는 장면(11부 10화) 추가. 실존 정치 지도자는 실명으로 쓰지 않고 특징 묘사로만 — Napoléon이 «이름은 말하지 않겠다»고 스스로 선을 긋는 대사로 처리(11부 9화)</t>
  </si>
  <si>
    <t xml:space="preserve">화별목차_전체, Napoléon_죽음</t>
  </si>
  <si>
    <r>
      <rPr>
        <sz val="10"/>
        <rFont val="Arial"/>
        <family val="0"/>
        <charset val="1"/>
      </rPr>
      <t xml:space="preserve">NATO </t>
    </r>
    <r>
      <rPr>
        <sz val="10"/>
        <rFont val="WenQuanYi Zen Hei"/>
        <family val="2"/>
      </rPr>
      <t xml:space="preserve">방위비 실제 사실 반영</t>
    </r>
  </si>
  <si>
    <t xml:space="preserve">목표 수치 미확인</t>
  </si>
  <si>
    <r>
      <rPr>
        <sz val="10"/>
        <rFont val="Arial"/>
        <family val="0"/>
        <charset val="1"/>
      </rPr>
      <t xml:space="preserve">2025</t>
    </r>
    <r>
      <rPr>
        <sz val="10"/>
        <rFont val="WenQuanYi Zen Hei"/>
        <family val="2"/>
      </rPr>
      <t xml:space="preserve">년 </t>
    </r>
    <r>
      <rPr>
        <sz val="10"/>
        <rFont val="Arial"/>
        <family val="0"/>
        <charset val="1"/>
      </rPr>
      <t xml:space="preserve">6</t>
    </r>
    <r>
      <rPr>
        <sz val="10"/>
        <rFont val="WenQuanYi Zen Hei"/>
        <family val="2"/>
      </rPr>
      <t xml:space="preserve">월 헤이그 정상회의에서 합의된 </t>
    </r>
    <r>
      <rPr>
        <sz val="10"/>
        <rFont val="Arial"/>
        <family val="0"/>
        <charset val="1"/>
      </rPr>
      <t xml:space="preserve">GDP 5%(</t>
    </r>
    <r>
      <rPr>
        <sz val="10"/>
        <rFont val="WenQuanYi Zen Hei"/>
        <family val="2"/>
      </rPr>
      <t xml:space="preserve">핵심 </t>
    </r>
    <r>
      <rPr>
        <sz val="10"/>
        <rFont val="Arial"/>
        <family val="0"/>
        <charset val="1"/>
      </rPr>
      <t xml:space="preserve">3.5%+</t>
    </r>
    <r>
      <rPr>
        <sz val="10"/>
        <rFont val="WenQuanYi Zen Hei"/>
        <family val="2"/>
      </rPr>
      <t xml:space="preserve">관련 </t>
    </r>
    <r>
      <rPr>
        <sz val="10"/>
        <rFont val="Arial"/>
        <family val="0"/>
        <charset val="1"/>
      </rPr>
      <t xml:space="preserve">1.5%, 2035</t>
    </r>
    <r>
      <rPr>
        <sz val="10"/>
        <rFont val="WenQuanYi Zen Hei"/>
        <family val="2"/>
      </rPr>
      <t xml:space="preserve">년 시한</t>
    </r>
    <r>
      <rPr>
        <sz val="10"/>
        <rFont val="Arial"/>
        <family val="0"/>
        <charset val="1"/>
      </rPr>
      <t xml:space="preserve">) </t>
    </r>
    <r>
      <rPr>
        <sz val="10"/>
        <rFont val="WenQuanYi Zen Hei"/>
        <family val="2"/>
      </rPr>
      <t xml:space="preserve">목표를 반영 </t>
    </r>
    <r>
      <rPr>
        <sz val="10"/>
        <rFont val="Arial"/>
        <family val="0"/>
        <charset val="1"/>
      </rPr>
      <t xml:space="preserve">(</t>
    </r>
    <r>
      <rPr>
        <sz val="10"/>
        <rFont val="WenQuanYi Zen Hei"/>
        <family val="2"/>
      </rPr>
      <t xml:space="preserve">검색일 </t>
    </r>
    <r>
      <rPr>
        <sz val="10"/>
        <rFont val="Arial"/>
        <family val="0"/>
        <charset val="1"/>
      </rPr>
      <t xml:space="preserve">2026-09-22). </t>
    </r>
    <r>
      <rPr>
        <sz val="10"/>
        <rFont val="WenQuanYi Zen Hei"/>
        <family val="2"/>
      </rPr>
      <t xml:space="preserve">파리판에서 스페인 예외 관련 서술은 삭제</t>
    </r>
  </si>
  <si>
    <t xml:space="preserve">신규 현안 3개 추가</t>
  </si>
  <si>
    <r>
      <rPr>
        <sz val="10"/>
        <rFont val="Arial"/>
        <family val="0"/>
        <charset val="1"/>
      </rPr>
      <t xml:space="preserve">15</t>
    </r>
    <r>
      <rPr>
        <sz val="10"/>
        <rFont val="WenQuanYi Zen Hei"/>
        <family val="2"/>
      </rPr>
      <t xml:space="preserve">개 현안</t>
    </r>
  </si>
  <si>
    <r>
      <rPr>
        <sz val="10"/>
        <rFont val="Arial"/>
        <family val="0"/>
        <charset val="1"/>
      </rPr>
      <t xml:space="preserve">N6 </t>
    </r>
    <r>
      <rPr>
        <sz val="10"/>
        <rFont val="WenQuanYi Zen Hei"/>
        <family val="2"/>
      </rPr>
      <t xml:space="preserve">플랫폼 노동 </t>
    </r>
    <r>
      <rPr>
        <sz val="10"/>
        <rFont val="Arial"/>
        <family val="0"/>
        <charset val="1"/>
      </rPr>
      <t xml:space="preserve">· N7 </t>
    </r>
    <r>
      <rPr>
        <sz val="10"/>
        <rFont val="WenQuanYi Zen Hei"/>
        <family val="2"/>
      </rPr>
      <t xml:space="preserve">정보기관 사찰 스캔들</t>
    </r>
    <r>
      <rPr>
        <sz val="10"/>
        <rFont val="Arial"/>
        <family val="0"/>
        <charset val="1"/>
      </rPr>
      <t xml:space="preserve">(7</t>
    </r>
    <r>
      <rPr>
        <sz val="10"/>
        <rFont val="WenQuanYi Zen Hei"/>
        <family val="2"/>
      </rPr>
      <t xml:space="preserve">부 도청 논쟁과 연결</t>
    </r>
    <r>
      <rPr>
        <sz val="10"/>
        <rFont val="Arial"/>
        <family val="0"/>
        <charset val="1"/>
      </rPr>
      <t xml:space="preserve">) · N8 </t>
    </r>
    <r>
      <rPr>
        <sz val="10"/>
        <rFont val="WenQuanYi Zen Hei"/>
        <family val="2"/>
      </rPr>
      <t xml:space="preserve">청년 정신건강 위기</t>
    </r>
    <r>
      <rPr>
        <sz val="10"/>
        <rFont val="Arial"/>
        <family val="0"/>
        <charset val="1"/>
      </rPr>
      <t xml:space="preserve">, </t>
    </r>
    <r>
      <rPr>
        <sz val="10"/>
        <rFont val="WenQuanYi Zen Hei"/>
        <family val="2"/>
      </rPr>
      <t xml:space="preserve">모두 </t>
    </r>
    <r>
      <rPr>
        <sz val="10"/>
        <rFont val="Arial"/>
        <family val="0"/>
        <charset val="1"/>
      </rPr>
      <t xml:space="preserve">12</t>
    </r>
    <r>
      <rPr>
        <sz val="10"/>
        <rFont val="WenQuanYi Zen Hei"/>
        <family val="2"/>
      </rPr>
      <t xml:space="preserve">부에 전용 화 배정</t>
    </r>
  </si>
  <si>
    <t xml:space="preserve">고전 인용 장치</t>
  </si>
  <si>
    <t xml:space="preserve">인물마다 다른 고전 출처 — 파리판: Monique=속담, Napoléon=코르네유, Curie=파스칼(서지 톤), Hugo=자기 작품, Nicolas=1789년 인권선언. 공유 저작물의 정확한 원문만 사용</t>
  </si>
  <si>
    <t xml:space="preserve">대화문규칙, 캐릭터</t>
  </si>
  <si>
    <t xml:space="preserve">워크북 갱신 주기 변경</t>
  </si>
  <si>
    <t xml:space="preserve">화 완성마다 즉시 갱신</t>
  </si>
  <si>
    <t xml:space="preserve">부(시즌)가 끝날 때만, 또는 별도 요청 시에만 갱신하는 것으로 변경 (2026-09-22부터)</t>
  </si>
  <si>
    <t xml:space="preserve">운영 방침</t>
  </si>
  <si>
    <r>
      <rPr>
        <sz val="10"/>
        <rFont val="Arial"/>
        <family val="0"/>
        <charset val="1"/>
      </rPr>
      <t xml:space="preserve">1</t>
    </r>
    <r>
      <rPr>
        <sz val="10"/>
        <rFont val="WenQuanYi Zen Hei"/>
        <family val="2"/>
      </rPr>
      <t xml:space="preserve">부 완결 결산</t>
    </r>
  </si>
  <si>
    <t xml:space="preserve">마드리드판 1부 12화 전부 완성(스페인어). 사건1 Fatima(1~2), 사건2 퇴거 저지(3~4), 사건3 청년 노동자(5~6, Manon 1차 폭발), 사건4 서류 없는 가족(7~8), 사건5 사기 피해자(9~10, Philippe 첫 등장), 사건6 오래된 서류(11~12, 옛 로펌 훅 → 2부)</t>
  </si>
  <si>
    <t xml:space="preserve">화별목차_전체, 1부 대본 12편(스페인어)</t>
  </si>
  <si>
    <t xml:space="preserve">무대·언어</t>
  </si>
  <si>
    <t xml:space="preserve">마드리드(스페인어)</t>
  </si>
  <si>
    <t xml:space="preserve">파리(프랑스어) 전면 현지화: 제목·대사 예시·지명·기관·법령을 프랑스 기준으로 교체. 1부 사무소는 Belleville, 6부는 Saint-Denis, 7~8부 광장은 Place de la République</t>
  </si>
  <si>
    <t xml:space="preserve">전 시트</t>
  </si>
  <si>
    <t xml:space="preserve">인물 대응</t>
  </si>
  <si>
    <t xml:space="preserve">Mateo·Javier·Sofía·Diego·Carmen·Pepa·Anselmo·Raimundo·Inés·Lucía·Tomás·Ramón·Nieves·Gonzalo</t>
  </si>
  <si>
    <r>
      <rPr>
        <sz val="10"/>
        <rFont val="Arial"/>
        <family val="0"/>
        <charset val="1"/>
      </rPr>
      <t xml:space="preserve">Nicolas·Camille·Julien·Léa·Manon·Monique·Napoléon·Curie·Voltaire·Sartre·Hugo·Jeanne·Karim·Philippe (+ </t>
    </r>
    <r>
      <rPr>
        <sz val="10"/>
        <rFont val="WenQuanYi Zen Hei"/>
        <family val="2"/>
      </rPr>
      <t xml:space="preserve">신규 </t>
    </r>
    <r>
      <rPr>
        <sz val="10"/>
        <rFont val="Arial"/>
        <family val="0"/>
        <charset val="1"/>
      </rPr>
      <t xml:space="preserve">Olympe). </t>
    </r>
    <r>
      <rPr>
        <sz val="10"/>
        <rFont val="WenQuanYi Zen Hei"/>
        <family val="2"/>
      </rPr>
      <t xml:space="preserve">성별이 바뀐 대응</t>
    </r>
    <r>
      <rPr>
        <sz val="10"/>
        <rFont val="Arial"/>
        <family val="0"/>
        <charset val="1"/>
      </rPr>
      <t xml:space="preserve">(Julien·Léa·Camille·Curie </t>
    </r>
    <r>
      <rPr>
        <sz val="10"/>
        <rFont val="WenQuanYi Zen Hei"/>
        <family val="2"/>
      </rPr>
      <t xml:space="preserve">등</t>
    </r>
    <r>
      <rPr>
        <sz val="10"/>
        <rFont val="Arial"/>
        <family val="0"/>
        <charset val="1"/>
      </rPr>
      <t xml:space="preserve">)</t>
    </r>
    <r>
      <rPr>
        <sz val="10"/>
        <rFont val="WenQuanYi Zen Hei"/>
        <family val="2"/>
      </rPr>
      <t xml:space="preserve">은 서술을 맞춰 고침</t>
    </r>
  </si>
  <si>
    <t xml:space="preserve">의원내각제: 총선 → 국왕 협의 → investidura(총리 선출) → 건설적 불신임안, 자치주 권한</t>
  </si>
  <si>
    <t xml:space="preserve">제5공화국: 추천서 500장 → 대선 1차·결선 → 대통령 취임 → 해산·총선 → 총리 임명 → 불신임안(제49조). Nicolas는 총리가 아니라 대통령</t>
  </si>
  <si>
    <t xml:space="preserve">정치제도, 정치경로_의석, 13부_구성, 아크_구성계획, 화별목차_전체</t>
  </si>
  <si>
    <t xml:space="preserve">총리 배역 신설</t>
  </si>
  <si>
    <t xml:space="preserve">총리 = 주인공</t>
  </si>
  <si>
    <t xml:space="preserve">대통령 Nicolas, 총리 Olympe(신규 배역), 경제·재정 Julien, 보건 Camille, 엘리제 비서실장 Léa, 대통령 특사 Napoléon</t>
  </si>
  <si>
    <t xml:space="preserve">캐릭터, 등장비중</t>
  </si>
  <si>
    <t xml:space="preserve">지방 무대</t>
  </si>
  <si>
    <t xml:space="preserve">마드리드 시의회 + 자치의회(보건)</t>
  </si>
  <si>
    <t xml:space="preserve">파리 시의회 단일 무대: Julien(예산)·Camille(시립 보건센터·AP-HP 감독위원회). 프랑스는 보건이 국가(ARS) 권한이라 지역의회 보건 설정을 폐기</t>
  </si>
  <si>
    <t xml:space="preserve">사회 현안</t>
  </si>
  <si>
    <t xml:space="preserve">스페인 현안 18개 (사면·재정 분권·DANA 등)</t>
  </si>
  <si>
    <t xml:space="preserve">프랑스 현안 18개: P1 상대다수 의회, P2 코르시카·누벨칼레도니 자치, P3 검찰 독립·반부패 단체, N1 지중해성 폭우, N4 2025년 동의법 등 (ID 체계 유지)</t>
  </si>
  <si>
    <t xml:space="preserve">가상 상호 정리</t>
  </si>
  <si>
    <r>
      <rPr>
        <sz val="10"/>
        <rFont val="Arial"/>
        <family val="0"/>
        <charset val="1"/>
      </rPr>
      <t xml:space="preserve">Lefevre &amp; Girard Avocats·Moreau Audit(</t>
    </r>
    <r>
      <rPr>
        <sz val="10"/>
        <rFont val="WenQuanYi Zen Hei"/>
        <family val="2"/>
      </rPr>
      <t xml:space="preserve">주인공 성과 겹침</t>
    </r>
    <r>
      <rPr>
        <sz val="10"/>
        <rFont val="Arial"/>
        <family val="0"/>
        <charset val="1"/>
      </rPr>
      <t xml:space="preserve">), Hôpital Saint-Louis(</t>
    </r>
    <r>
      <rPr>
        <sz val="10"/>
        <rFont val="WenQuanYi Zen Hei"/>
        <family val="2"/>
      </rPr>
      <t xml:space="preserve">실존 병원</t>
    </r>
    <r>
      <rPr>
        <sz val="10"/>
        <rFont val="Arial"/>
        <family val="0"/>
        <charset val="1"/>
      </rPr>
      <t xml:space="preserve">)</t>
    </r>
  </si>
  <si>
    <r>
      <rPr>
        <sz val="10"/>
        <rFont val="Arial"/>
        <family val="0"/>
        <charset val="1"/>
      </rPr>
      <t xml:space="preserve">Vasseur &amp; Delorme Avocats, Bertin &amp; Roux Audit, Hôpital Saint-Bernard(</t>
    </r>
    <r>
      <rPr>
        <sz val="10"/>
        <rFont val="WenQuanYi Zen Hei"/>
        <family val="2"/>
      </rPr>
      <t xml:space="preserve">가상</t>
    </r>
    <r>
      <rPr>
        <sz val="10"/>
        <rFont val="Arial"/>
        <family val="0"/>
        <charset val="1"/>
      </rPr>
      <t xml:space="preserve">)</t>
    </r>
  </si>
  <si>
    <r>
      <rPr>
        <sz val="10"/>
        <rFont val="Arial"/>
        <family val="0"/>
        <charset val="1"/>
      </rPr>
      <t xml:space="preserve">Napoléon </t>
    </r>
    <r>
      <rPr>
        <sz val="10"/>
        <rFont val="WenQuanYi Zen Hei"/>
        <family val="2"/>
      </rPr>
      <t xml:space="preserve">설정</t>
    </r>
  </si>
  <si>
    <t xml:space="preserve">우산·심부전·«No está mal»</t>
  </si>
  <si>
    <t xml:space="preserve">이각모(bicorne)·위의 병(세인트헬레나 사인의 반복)·«Pas mal». 사망 시점을 11부 12화로 통일(캐릭터·개요의 '6화' 표기 정정)</t>
  </si>
  <si>
    <r>
      <rPr>
        <sz val="10"/>
        <rFont val="Arial"/>
        <family val="0"/>
        <charset val="1"/>
      </rPr>
      <t xml:space="preserve">Napoléon_</t>
    </r>
    <r>
      <rPr>
        <sz val="10"/>
        <rFont val="WenQuanYi Zen Hei"/>
        <family val="2"/>
      </rPr>
      <t xml:space="preserve">죽음</t>
    </r>
    <r>
      <rPr>
        <sz val="10"/>
        <rFont val="Arial"/>
        <family val="0"/>
        <charset val="1"/>
      </rPr>
      <t xml:space="preserve">, </t>
    </r>
    <r>
      <rPr>
        <sz val="10"/>
        <rFont val="WenQuanYi Zen Hei"/>
        <family val="2"/>
      </rPr>
      <t xml:space="preserve">캐릭터</t>
    </r>
    <r>
      <rPr>
        <sz val="10"/>
        <rFont val="Arial"/>
        <family val="0"/>
        <charset val="1"/>
      </rPr>
      <t xml:space="preserve">, </t>
    </r>
    <r>
      <rPr>
        <sz val="10"/>
        <rFont val="WenQuanYi Zen Hei"/>
        <family val="2"/>
      </rPr>
      <t xml:space="preserve">개요</t>
    </r>
  </si>
  <si>
    <r>
      <rPr>
        <sz val="10"/>
        <rFont val="Arial"/>
        <family val="0"/>
        <charset val="1"/>
      </rPr>
      <t xml:space="preserve">1</t>
    </r>
    <r>
      <rPr>
        <sz val="10"/>
        <rFont val="WenQuanYi Zen Hei"/>
        <family val="2"/>
      </rPr>
      <t xml:space="preserve">부 사건</t>
    </r>
    <r>
      <rPr>
        <sz val="10"/>
        <rFont val="Arial"/>
        <family val="0"/>
        <charset val="1"/>
      </rPr>
      <t xml:space="preserve">2</t>
    </r>
  </si>
  <si>
    <t xml:space="preserve">겨울 퇴거 집행</t>
  </si>
  <si>
    <t xml:space="preserve">프랑스는 11월 1일~3월 31일 겨울 퇴거 유예(trêve hivernale) → '유예가 끝나는 밤'으로 조정</t>
  </si>
  <si>
    <r>
      <rPr>
        <sz val="10"/>
        <rFont val="Arial"/>
        <family val="0"/>
        <charset val="1"/>
      </rPr>
      <t xml:space="preserve">12</t>
    </r>
    <r>
      <rPr>
        <sz val="10"/>
        <rFont val="WenQuanYi Zen Hei"/>
        <family val="2"/>
      </rPr>
      <t xml:space="preserve">부</t>
    </r>
    <r>
      <rPr>
        <sz val="10"/>
        <rFont val="Arial"/>
        <family val="0"/>
        <charset val="1"/>
      </rPr>
      <t xml:space="preserve">·14</t>
    </r>
    <r>
      <rPr>
        <sz val="10"/>
        <rFont val="WenQuanYi Zen Hei"/>
        <family val="2"/>
      </rPr>
      <t xml:space="preserve">인 표 </t>
    </r>
    <r>
      <rPr>
        <sz val="10"/>
        <rFont val="Arial"/>
        <family val="0"/>
        <charset val="1"/>
      </rPr>
      <t xml:space="preserve">(13</t>
    </r>
    <r>
      <rPr>
        <sz val="10"/>
        <rFont val="WenQuanYi Zen Hei"/>
        <family val="2"/>
      </rPr>
      <t xml:space="preserve">부 미반영</t>
    </r>
    <r>
      <rPr>
        <sz val="10"/>
        <rFont val="Arial"/>
        <family val="0"/>
        <charset val="1"/>
      </rPr>
      <t xml:space="preserve">)</t>
    </r>
  </si>
  <si>
    <r>
      <rPr>
        <sz val="10"/>
        <rFont val="Arial"/>
        <family val="0"/>
        <charset val="1"/>
      </rPr>
      <t xml:space="preserve">13</t>
    </r>
    <r>
      <rPr>
        <sz val="10"/>
        <rFont val="WenQuanYi Zen Hei"/>
        <family val="2"/>
      </rPr>
      <t xml:space="preserve">부</t>
    </r>
    <r>
      <rPr>
        <sz val="10"/>
        <rFont val="Arial"/>
        <family val="0"/>
        <charset val="1"/>
      </rPr>
      <t xml:space="preserve">·15</t>
    </r>
    <r>
      <rPr>
        <sz val="10"/>
        <rFont val="WenQuanYi Zen Hei"/>
        <family val="2"/>
      </rPr>
      <t xml:space="preserve">인</t>
    </r>
    <r>
      <rPr>
        <sz val="10"/>
        <rFont val="Arial"/>
        <family val="0"/>
        <charset val="1"/>
      </rPr>
      <t xml:space="preserve">+</t>
    </r>
    <r>
      <rPr>
        <sz val="10"/>
        <rFont val="WenQuanYi Zen Hei"/>
        <family val="2"/>
      </rPr>
      <t xml:space="preserve">엑스트라로 재구성</t>
    </r>
    <r>
      <rPr>
        <sz val="10"/>
        <rFont val="Arial"/>
        <family val="0"/>
        <charset val="1"/>
      </rPr>
      <t xml:space="preserve">, </t>
    </r>
    <r>
      <rPr>
        <sz val="10"/>
        <rFont val="WenQuanYi Zen Hei"/>
        <family val="2"/>
      </rPr>
      <t xml:space="preserve">아크 시트의 대화량 수식 참조 행 갱신</t>
    </r>
  </si>
  <si>
    <t xml:space="preserve">턴_설계, 아크_구성계획</t>
  </si>
  <si>
    <t xml:space="preserve">시트명</t>
  </si>
  <si>
    <r>
      <rPr>
        <sz val="10"/>
        <rFont val="Arial"/>
        <family val="0"/>
        <charset val="1"/>
      </rPr>
      <t xml:space="preserve">Carmen_</t>
    </r>
    <r>
      <rPr>
        <sz val="10"/>
        <rFont val="WenQuanYi Zen Hei"/>
        <family val="2"/>
      </rPr>
      <t xml:space="preserve">폭발과욕</t>
    </r>
    <r>
      <rPr>
        <sz val="10"/>
        <rFont val="Arial"/>
        <family val="0"/>
        <charset val="1"/>
      </rPr>
      <t xml:space="preserve">, Anselmo_</t>
    </r>
    <r>
      <rPr>
        <sz val="10"/>
        <rFont val="WenQuanYi Zen Hei"/>
        <family val="2"/>
      </rPr>
      <t xml:space="preserve">죽음</t>
    </r>
    <r>
      <rPr>
        <sz val="10"/>
        <rFont val="Arial"/>
        <family val="0"/>
        <charset val="1"/>
      </rPr>
      <t xml:space="preserve">, Raimundo_</t>
    </r>
    <r>
      <rPr>
        <sz val="10"/>
        <rFont val="WenQuanYi Zen Hei"/>
        <family val="2"/>
      </rPr>
      <t xml:space="preserve">출처</t>
    </r>
    <r>
      <rPr>
        <sz val="10"/>
        <rFont val="Arial"/>
        <family val="0"/>
        <charset val="1"/>
      </rPr>
      <t xml:space="preserve">, 12</t>
    </r>
    <r>
      <rPr>
        <sz val="10"/>
        <rFont val="WenQuanYi Zen Hei"/>
        <family val="2"/>
      </rPr>
      <t xml:space="preserve">부</t>
    </r>
    <r>
      <rPr>
        <sz val="10"/>
        <rFont val="Arial"/>
        <family val="0"/>
        <charset val="1"/>
      </rPr>
      <t xml:space="preserve">_</t>
    </r>
    <r>
      <rPr>
        <sz val="10"/>
        <rFont val="WenQuanYi Zen Hei"/>
        <family val="2"/>
      </rPr>
      <t xml:space="preserve">구성</t>
    </r>
  </si>
  <si>
    <r>
      <rPr>
        <sz val="10"/>
        <rFont val="Arial"/>
        <family val="0"/>
        <charset val="1"/>
      </rPr>
      <t xml:space="preserve">Manon_</t>
    </r>
    <r>
      <rPr>
        <sz val="10"/>
        <rFont val="WenQuanYi Zen Hei"/>
        <family val="2"/>
      </rPr>
      <t xml:space="preserve">폭발과욕</t>
    </r>
    <r>
      <rPr>
        <sz val="10"/>
        <rFont val="Arial"/>
        <family val="0"/>
        <charset val="1"/>
      </rPr>
      <t xml:space="preserve">, Napoléon_</t>
    </r>
    <r>
      <rPr>
        <sz val="10"/>
        <rFont val="WenQuanYi Zen Hei"/>
        <family val="2"/>
      </rPr>
      <t xml:space="preserve">죽음</t>
    </r>
    <r>
      <rPr>
        <sz val="10"/>
        <rFont val="Arial"/>
        <family val="0"/>
        <charset val="1"/>
      </rPr>
      <t xml:space="preserve">, Curie_</t>
    </r>
    <r>
      <rPr>
        <sz val="10"/>
        <rFont val="WenQuanYi Zen Hei"/>
        <family val="2"/>
      </rPr>
      <t xml:space="preserve">출처</t>
    </r>
    <r>
      <rPr>
        <sz val="10"/>
        <rFont val="Arial"/>
        <family val="0"/>
        <charset val="1"/>
      </rPr>
      <t xml:space="preserve">, 13</t>
    </r>
    <r>
      <rPr>
        <sz val="10"/>
        <rFont val="WenQuanYi Zen Hei"/>
        <family val="2"/>
      </rPr>
      <t xml:space="preserve">부</t>
    </r>
    <r>
      <rPr>
        <sz val="10"/>
        <rFont val="Arial"/>
        <family val="0"/>
        <charset val="1"/>
      </rPr>
      <t xml:space="preserve">_</t>
    </r>
    <r>
      <rPr>
        <sz val="10"/>
        <rFont val="WenQuanYi Zen Hei"/>
        <family val="2"/>
      </rPr>
      <t xml:space="preserve">구성 </t>
    </r>
    <r>
      <rPr>
        <sz val="10"/>
        <rFont val="Arial"/>
        <family val="0"/>
        <charset val="1"/>
      </rPr>
      <t xml:space="preserve">(</t>
    </r>
    <r>
      <rPr>
        <sz val="10"/>
        <rFont val="WenQuanYi Zen Hei"/>
        <family val="2"/>
      </rPr>
      <t xml:space="preserve">개요 링크 갱신</t>
    </r>
    <r>
      <rPr>
        <sz val="10"/>
        <rFont val="Arial"/>
        <family val="0"/>
        <charset val="1"/>
      </rPr>
      <t xml:space="preserve">)</t>
    </r>
  </si>
  <si>
    <t xml:space="preserve">개요</t>
  </si>
  <si>
    <t xml:space="preserve">스페인 부채 약 100%, 청년 실업 23.8%</t>
  </si>
  <si>
    <t xml:space="preserve">프랑스 부채 117.5%(2026년 1분기 말), 15~24세 실업률 21.6%·전체 8.3%(2026 2분기) — INSEE, 2026-09-25 검색 확인</t>
  </si>
  <si>
    <t xml:space="preserve">시범 장면 시트</t>
  </si>
  <si>
    <t xml:space="preserve">1부_시범대사 (Manon 1차 폭발 22턴 샘플)</t>
  </si>
  <si>
    <t xml:space="preserve">요청에 따라 시트 삭제. 폭발 장면 대사는 Manon_폭발과욕 시트, 단어 수 규칙은 대화문규칙 시트에 남아 있음</t>
  </si>
  <si>
    <t xml:space="preserve">개요, 대화문규칙</t>
  </si>
  <si>
    <r>
      <rPr>
        <b val="true"/>
        <sz val="10"/>
        <rFont val="Arial"/>
        <family val="0"/>
        <charset val="1"/>
      </rPr>
      <t xml:space="preserve">2. </t>
    </r>
    <r>
      <rPr>
        <b val="true"/>
        <sz val="10"/>
        <rFont val="WenQuanYi Zen Hei"/>
        <family val="2"/>
      </rPr>
      <t xml:space="preserve">미결 사항 </t>
    </r>
    <r>
      <rPr>
        <b val="true"/>
        <sz val="10"/>
        <rFont val="Arial"/>
        <family val="0"/>
        <charset val="1"/>
      </rPr>
      <t xml:space="preserve">(</t>
    </r>
    <r>
      <rPr>
        <b val="true"/>
        <sz val="10"/>
        <rFont val="WenQuanYi Zen Hei"/>
        <family val="2"/>
      </rPr>
      <t xml:space="preserve">확정 필요</t>
    </r>
    <r>
      <rPr>
        <b val="true"/>
        <sz val="10"/>
        <rFont val="Arial"/>
        <family val="0"/>
        <charset val="1"/>
      </rPr>
      <t xml:space="preserve">)</t>
    </r>
  </si>
  <si>
    <t xml:space="preserve">제안</t>
  </si>
  <si>
    <t xml:space="preserve">관련 시트</t>
  </si>
  <si>
    <t xml:space="preserve">가상 인명 점검</t>
  </si>
  <si>
    <r>
      <rPr>
        <sz val="10"/>
        <rFont val="Arial"/>
        <family val="0"/>
        <charset val="1"/>
      </rPr>
      <t xml:space="preserve">Delorme·Verdier·Bertin·Garnier·Madeleine·Chloé·Sandrine </t>
    </r>
    <r>
      <rPr>
        <sz val="10"/>
        <rFont val="WenQuanYi Zen Hei"/>
        <family val="2"/>
      </rPr>
      <t xml:space="preserve">등 가상 인물의 이름이 관련 분야의 실존 인물과 겹치지 않는지</t>
    </r>
    <r>
      <rPr>
        <sz val="10"/>
        <rFont val="Arial"/>
        <family val="0"/>
        <charset val="1"/>
      </rPr>
      <t xml:space="preserve">.</t>
    </r>
  </si>
  <si>
    <t xml:space="preserve">집필 전 동명 실존 인물 검색</t>
  </si>
  <si>
    <r>
      <rPr>
        <sz val="10"/>
        <rFont val="Arial"/>
        <family val="0"/>
        <charset val="1"/>
      </rPr>
      <t xml:space="preserve">Curie </t>
    </r>
    <r>
      <rPr>
        <sz val="10"/>
        <rFont val="WenQuanYi Zen Hei"/>
        <family val="2"/>
      </rPr>
      <t xml:space="preserve">카드의 범위</t>
    </r>
  </si>
  <si>
    <t xml:space="preserve">카드를 전 화(156화)에 넣을지, Curie 등장 화에만 넣을지.</t>
  </si>
  <si>
    <t xml:space="preserve">등장 화에만 넣고, 미등장 화는 Manon이 사전(아카데미 사전·CNRTL)을 찾는 짧은 대사로 대체</t>
  </si>
  <si>
    <r>
      <rPr>
        <sz val="10"/>
        <rFont val="Arial"/>
        <family val="0"/>
        <charset val="1"/>
      </rPr>
      <t xml:space="preserve">Manon → </t>
    </r>
    <r>
      <rPr>
        <sz val="10"/>
        <rFont val="WenQuanYi Zen Hei"/>
        <family val="2"/>
      </rPr>
      <t xml:space="preserve">주력 </t>
    </r>
    <r>
      <rPr>
        <sz val="10"/>
        <rFont val="Arial"/>
        <family val="0"/>
        <charset val="1"/>
      </rPr>
      <t xml:space="preserve">4</t>
    </r>
    <r>
      <rPr>
        <sz val="10"/>
        <rFont val="WenQuanYi Zen Hei"/>
        <family val="2"/>
      </rPr>
      <t xml:space="preserve">인 호칭 전환</t>
    </r>
  </si>
  <si>
    <r>
      <rPr>
        <sz val="10"/>
        <rFont val="Arial"/>
        <family val="0"/>
        <charset val="1"/>
      </rPr>
      <t xml:space="preserve">Napoléon</t>
    </r>
    <r>
      <rPr>
        <sz val="10"/>
        <rFont val="WenQuanYi Zen Hei"/>
        <family val="2"/>
      </rPr>
      <t xml:space="preserve">에게만 </t>
    </r>
    <r>
      <rPr>
        <sz val="10"/>
        <rFont val="Arial"/>
        <family val="0"/>
        <charset val="1"/>
      </rPr>
      <t xml:space="preserve">12</t>
    </r>
    <r>
      <rPr>
        <sz val="10"/>
        <rFont val="WenQuanYi Zen Hei"/>
        <family val="2"/>
      </rPr>
      <t xml:space="preserve">부 </t>
    </r>
    <r>
      <rPr>
        <sz val="10"/>
        <rFont val="Arial"/>
        <family val="0"/>
        <charset val="1"/>
      </rPr>
      <t xml:space="preserve">1</t>
    </r>
    <r>
      <rPr>
        <sz val="10"/>
        <rFont val="WenQuanYi Zen Hei"/>
        <family val="2"/>
      </rPr>
      <t xml:space="preserve">화에서 </t>
    </r>
    <r>
      <rPr>
        <sz val="10"/>
        <rFont val="Arial"/>
        <family val="0"/>
        <charset val="1"/>
      </rPr>
      <t xml:space="preserve">tu</t>
    </r>
    <r>
      <rPr>
        <sz val="10"/>
        <rFont val="WenQuanYi Zen Hei"/>
        <family val="2"/>
      </rPr>
      <t xml:space="preserve">로 전환한다는 것 외에</t>
    </r>
    <r>
      <rPr>
        <sz val="10"/>
        <rFont val="Arial"/>
        <family val="0"/>
        <charset val="1"/>
      </rPr>
      <t xml:space="preserve">, </t>
    </r>
    <r>
      <rPr>
        <sz val="10"/>
        <rFont val="WenQuanYi Zen Hei"/>
        <family val="2"/>
      </rPr>
      <t xml:space="preserve">다른 인물에게 언제 </t>
    </r>
    <r>
      <rPr>
        <sz val="10"/>
        <rFont val="Arial"/>
        <family val="0"/>
        <charset val="1"/>
      </rPr>
      <t xml:space="preserve">tu</t>
    </r>
    <r>
      <rPr>
        <sz val="10"/>
        <rFont val="WenQuanYi Zen Hei"/>
        <family val="2"/>
      </rPr>
      <t xml:space="preserve">로 넘어가는지 미정</t>
    </r>
    <r>
      <rPr>
        <sz val="10"/>
        <rFont val="Arial"/>
        <family val="0"/>
        <charset val="1"/>
      </rPr>
      <t xml:space="preserve">.</t>
    </r>
  </si>
  <si>
    <r>
      <rPr>
        <sz val="10"/>
        <rFont val="Arial"/>
        <family val="0"/>
        <charset val="1"/>
      </rPr>
      <t xml:space="preserve">6</t>
    </r>
    <r>
      <rPr>
        <sz val="10"/>
        <rFont val="WenQuanYi Zen Hei"/>
        <family val="2"/>
      </rPr>
      <t xml:space="preserve">부 만남 이후 자연스럽게 </t>
    </r>
    <r>
      <rPr>
        <sz val="10"/>
        <rFont val="Arial"/>
        <family val="0"/>
        <charset val="1"/>
      </rPr>
      <t xml:space="preserve">tu (Napoléon·Philippe·Curie</t>
    </r>
    <r>
      <rPr>
        <sz val="10"/>
        <rFont val="WenQuanYi Zen Hei"/>
        <family val="2"/>
      </rPr>
      <t xml:space="preserve">는 </t>
    </r>
    <r>
      <rPr>
        <sz val="10"/>
        <rFont val="Arial"/>
        <family val="0"/>
        <charset val="1"/>
      </rPr>
      <t xml:space="preserve">vous </t>
    </r>
    <r>
      <rPr>
        <sz val="10"/>
        <rFont val="WenQuanYi Zen Hei"/>
        <family val="2"/>
      </rPr>
      <t xml:space="preserve">유지</t>
    </r>
    <r>
      <rPr>
        <sz val="10"/>
        <rFont val="Arial"/>
        <family val="0"/>
        <charset val="1"/>
      </rPr>
      <t xml:space="preserve">)</t>
    </r>
  </si>
  <si>
    <t xml:space="preserve">경과 연수·부활자 나이</t>
  </si>
  <si>
    <r>
      <rPr>
        <sz val="10"/>
        <rFont val="Arial"/>
        <family val="0"/>
        <charset val="1"/>
      </rPr>
      <t xml:space="preserve">1</t>
    </r>
    <r>
      <rPr>
        <sz val="10"/>
        <rFont val="WenQuanYi Zen Hei"/>
        <family val="2"/>
      </rPr>
      <t xml:space="preserve">부→</t>
    </r>
    <r>
      <rPr>
        <sz val="10"/>
        <rFont val="Arial"/>
        <family val="0"/>
        <charset val="1"/>
      </rPr>
      <t xml:space="preserve">11</t>
    </r>
    <r>
      <rPr>
        <sz val="10"/>
        <rFont val="WenQuanYi Zen Hei"/>
        <family val="2"/>
      </rPr>
      <t xml:space="preserve">부 </t>
    </r>
    <r>
      <rPr>
        <sz val="10"/>
        <rFont val="Arial"/>
        <family val="0"/>
        <charset val="1"/>
      </rPr>
      <t xml:space="preserve">6</t>
    </r>
    <r>
      <rPr>
        <sz val="10"/>
        <rFont val="WenQuanYi Zen Hei"/>
        <family val="2"/>
      </rPr>
      <t xml:space="preserve">년 가정</t>
    </r>
    <r>
      <rPr>
        <sz val="10"/>
        <rFont val="Arial"/>
        <family val="0"/>
        <charset val="1"/>
      </rPr>
      <t xml:space="preserve">(Napoléon </t>
    </r>
    <r>
      <rPr>
        <sz val="10"/>
        <rFont val="WenQuanYi Zen Hei"/>
        <family val="2"/>
      </rPr>
      <t xml:space="preserve">외형 </t>
    </r>
    <r>
      <rPr>
        <sz val="10"/>
        <rFont val="Arial"/>
        <family val="0"/>
        <charset val="1"/>
      </rPr>
      <t xml:space="preserve">51→57</t>
    </r>
    <r>
      <rPr>
        <sz val="10"/>
        <rFont val="WenQuanYi Zen Hei"/>
        <family val="2"/>
      </rPr>
      <t xml:space="preserve">세</t>
    </r>
    <r>
      <rPr>
        <sz val="10"/>
        <rFont val="Arial"/>
        <family val="0"/>
        <charset val="1"/>
      </rPr>
      <t xml:space="preserve">). </t>
    </r>
    <r>
      <rPr>
        <sz val="10"/>
        <rFont val="WenQuanYi Zen Hei"/>
        <family val="2"/>
      </rPr>
      <t xml:space="preserve">부활자의 나이를 외형 나이로 쓸지 생몰년으로 쓸지</t>
    </r>
    <r>
      <rPr>
        <sz val="10"/>
        <rFont val="Arial"/>
        <family val="0"/>
        <charset val="1"/>
      </rPr>
      <t xml:space="preserve">.</t>
    </r>
  </si>
  <si>
    <t xml:space="preserve">확정 시 개요!C11만 수정. 캐릭터 시트는 외형 나이 + 생몰년 병기 유지</t>
  </si>
  <si>
    <t xml:space="preserve">총리 배역</t>
  </si>
  <si>
    <r>
      <rPr>
        <sz val="10"/>
        <rFont val="Arial"/>
        <family val="0"/>
        <charset val="1"/>
      </rPr>
      <t xml:space="preserve">Olympe</t>
    </r>
    <r>
      <rPr>
        <sz val="10"/>
        <rFont val="WenQuanYi Zen Hei"/>
        <family val="2"/>
      </rPr>
      <t xml:space="preserve">를 총리로 설정</t>
    </r>
    <r>
      <rPr>
        <sz val="10"/>
        <rFont val="Arial"/>
        <family val="0"/>
        <charset val="1"/>
      </rPr>
      <t xml:space="preserve">(</t>
    </r>
    <r>
      <rPr>
        <sz val="10"/>
        <rFont val="WenQuanYi Zen Hei"/>
        <family val="2"/>
      </rPr>
      <t xml:space="preserve">신규</t>
    </r>
    <r>
      <rPr>
        <sz val="10"/>
        <rFont val="Arial"/>
        <family val="0"/>
        <charset val="1"/>
      </rPr>
      <t xml:space="preserve">). </t>
    </r>
    <r>
      <rPr>
        <sz val="10"/>
        <rFont val="WenQuanYi Zen Hei"/>
        <family val="2"/>
      </rPr>
      <t xml:space="preserve">대안</t>
    </r>
    <r>
      <rPr>
        <sz val="10"/>
        <rFont val="Arial"/>
        <family val="0"/>
        <charset val="1"/>
      </rPr>
      <t xml:space="preserve">: </t>
    </r>
    <r>
      <rPr>
        <sz val="10"/>
        <rFont val="WenQuanYi Zen Hei"/>
        <family val="2"/>
      </rPr>
      <t xml:space="preserve">가상 외부 인사 총리 </t>
    </r>
    <r>
      <rPr>
        <sz val="10"/>
        <rFont val="Arial"/>
        <family val="0"/>
        <charset val="1"/>
      </rPr>
      <t xml:space="preserve">+ Olympe</t>
    </r>
    <r>
      <rPr>
        <sz val="10"/>
        <rFont val="WenQuanYi Zen Hei"/>
        <family val="2"/>
      </rPr>
      <t xml:space="preserve">는 여성</t>
    </r>
    <r>
      <rPr>
        <sz val="10"/>
        <rFont val="Arial"/>
        <family val="0"/>
        <charset val="1"/>
      </rPr>
      <t xml:space="preserve">·</t>
    </r>
    <r>
      <rPr>
        <sz val="10"/>
        <rFont val="WenQuanYi Zen Hei"/>
        <family val="2"/>
      </rPr>
      <t xml:space="preserve">인권 장관</t>
    </r>
    <r>
      <rPr>
        <sz val="10"/>
        <rFont val="Arial"/>
        <family val="0"/>
        <charset val="1"/>
      </rPr>
      <t xml:space="preserve">.</t>
    </r>
  </si>
  <si>
    <r>
      <rPr>
        <sz val="10"/>
        <rFont val="Arial"/>
        <family val="0"/>
        <charset val="1"/>
      </rPr>
      <t xml:space="preserve">Olympe </t>
    </r>
    <r>
      <rPr>
        <sz val="10"/>
        <rFont val="WenQuanYi Zen Hei"/>
        <family val="2"/>
      </rPr>
      <t xml:space="preserve">총리안 권장 — </t>
    </r>
    <r>
      <rPr>
        <sz val="10"/>
        <rFont val="Arial"/>
        <family val="0"/>
        <charset val="1"/>
      </rPr>
      <t xml:space="preserve">15</t>
    </r>
    <r>
      <rPr>
        <sz val="10"/>
        <rFont val="WenQuanYi Zen Hei"/>
        <family val="2"/>
      </rPr>
      <t xml:space="preserve">번째 배역에 서사 몫이 생기고</t>
    </r>
    <r>
      <rPr>
        <sz val="10"/>
        <rFont val="Arial"/>
        <family val="0"/>
        <charset val="1"/>
      </rPr>
      <t xml:space="preserve">, </t>
    </r>
    <r>
      <rPr>
        <sz val="10"/>
        <rFont val="WenQuanYi Zen Hei"/>
        <family val="2"/>
      </rPr>
      <t xml:space="preserve">불신임안 화의 중심 인물이 된다</t>
    </r>
  </si>
  <si>
    <t xml:space="preserve">캐릭터, 정치경로_의석</t>
  </si>
  <si>
    <t xml:space="preserve">법령·조항 확인</t>
  </si>
  <si>
    <t xml:space="preserve">출처표·제도표의 법령 번호·조항은 기획 시점 지식 기준.</t>
  </si>
  <si>
    <t xml:space="preserve">교재 반영 전 Légifrance 현행본(version en vigueur)으로 확인</t>
  </si>
  <si>
    <r>
      <rPr>
        <sz val="10"/>
        <rFont val="Arial"/>
        <family val="0"/>
        <charset val="1"/>
      </rPr>
      <t xml:space="preserve">Curie_</t>
    </r>
    <r>
      <rPr>
        <sz val="10"/>
        <rFont val="WenQuanYi Zen Hei"/>
        <family val="2"/>
      </rPr>
      <t xml:space="preserve">출처</t>
    </r>
    <r>
      <rPr>
        <sz val="10"/>
        <rFont val="Arial"/>
        <family val="0"/>
        <charset val="1"/>
      </rPr>
      <t xml:space="preserve">, </t>
    </r>
    <r>
      <rPr>
        <sz val="10"/>
        <rFont val="WenQuanYi Zen Hei"/>
        <family val="2"/>
      </rPr>
      <t xml:space="preserve">정치제도</t>
    </r>
  </si>
  <si>
    <t xml:space="preserve">대화량 실측 교정</t>
  </si>
  <si>
    <t xml:space="preserve">화당 120턴은 확정. 화자 점유율·평균 단어/턴·낭독 속도(130단어/분)는 가정값이다.</t>
  </si>
  <si>
    <r>
      <rPr>
        <sz val="10"/>
        <rFont val="Arial"/>
        <family val="0"/>
        <charset val="1"/>
      </rPr>
      <t xml:space="preserve">1</t>
    </r>
    <r>
      <rPr>
        <sz val="10"/>
        <rFont val="WenQuanYi Zen Hei"/>
        <family val="2"/>
      </rPr>
      <t xml:space="preserve">부 </t>
    </r>
    <r>
      <rPr>
        <sz val="10"/>
        <rFont val="Arial"/>
        <family val="0"/>
        <charset val="1"/>
      </rPr>
      <t xml:space="preserve">1~3</t>
    </r>
    <r>
      <rPr>
        <sz val="10"/>
        <rFont val="WenQuanYi Zen Hei"/>
        <family val="2"/>
      </rPr>
      <t xml:space="preserve">화 대본을 쓴 뒤 실제 턴</t>
    </r>
    <r>
      <rPr>
        <sz val="10"/>
        <rFont val="Arial"/>
        <family val="0"/>
        <charset val="1"/>
      </rPr>
      <t xml:space="preserve">·</t>
    </r>
    <r>
      <rPr>
        <sz val="10"/>
        <rFont val="WenQuanYi Zen Hei"/>
        <family val="2"/>
      </rPr>
      <t xml:space="preserve">단어를 재서 </t>
    </r>
    <r>
      <rPr>
        <sz val="10"/>
        <rFont val="Arial"/>
        <family val="0"/>
        <charset val="1"/>
      </rPr>
      <t xml:space="preserve">'</t>
    </r>
    <r>
      <rPr>
        <sz val="10"/>
        <rFont val="WenQuanYi Zen Hei"/>
        <family val="2"/>
      </rPr>
      <t xml:space="preserve">턴</t>
    </r>
    <r>
      <rPr>
        <sz val="10"/>
        <rFont val="Arial"/>
        <family val="0"/>
        <charset val="1"/>
      </rPr>
      <t xml:space="preserve">_</t>
    </r>
    <r>
      <rPr>
        <sz val="10"/>
        <rFont val="WenQuanYi Zen Hei"/>
        <family val="2"/>
      </rPr>
      <t xml:space="preserve">설계</t>
    </r>
    <r>
      <rPr>
        <sz val="10"/>
        <rFont val="Arial"/>
        <family val="0"/>
        <charset val="1"/>
      </rPr>
      <t xml:space="preserve">'</t>
    </r>
    <r>
      <rPr>
        <sz val="10"/>
        <rFont val="WenQuanYi Zen Hei"/>
        <family val="2"/>
      </rPr>
      <t xml:space="preserve">의 파란 값을 교정</t>
    </r>
  </si>
  <si>
    <r>
      <rPr>
        <sz val="10"/>
        <rFont val="Arial"/>
        <family val="0"/>
        <charset val="1"/>
      </rPr>
      <t xml:space="preserve">Sartre </t>
    </r>
    <r>
      <rPr>
        <sz val="10"/>
        <rFont val="WenQuanYi Zen Hei"/>
        <family val="2"/>
      </rPr>
      <t xml:space="preserve">비중</t>
    </r>
    <r>
      <rPr>
        <sz val="10"/>
        <rFont val="Arial"/>
        <family val="0"/>
        <charset val="1"/>
      </rPr>
      <t xml:space="preserve">·</t>
    </r>
    <r>
      <rPr>
        <sz val="10"/>
        <rFont val="WenQuanYi Zen Hei"/>
        <family val="2"/>
      </rPr>
      <t xml:space="preserve">저작권</t>
    </r>
  </si>
  <si>
    <r>
      <rPr>
        <sz val="10"/>
        <rFont val="Arial"/>
        <family val="0"/>
        <charset val="1"/>
      </rPr>
      <t xml:space="preserve">Sartre</t>
    </r>
    <r>
      <rPr>
        <sz val="10"/>
        <rFont val="WenQuanYi Zen Hei"/>
        <family val="2"/>
      </rPr>
      <t xml:space="preserve">가 가장 얇고</t>
    </r>
    <r>
      <rPr>
        <sz val="10"/>
        <rFont val="Arial"/>
        <family val="0"/>
        <charset val="1"/>
      </rPr>
      <t xml:space="preserve">, 1980</t>
    </r>
    <r>
      <rPr>
        <sz val="10"/>
        <rFont val="WenQuanYi Zen Hei"/>
        <family val="2"/>
      </rPr>
      <t xml:space="preserve">년 사망이라 그의 글은 저작권 보호 중이다</t>
    </r>
    <r>
      <rPr>
        <sz val="10"/>
        <rFont val="Arial"/>
        <family val="0"/>
        <charset val="1"/>
      </rPr>
      <t xml:space="preserve">.</t>
    </r>
  </si>
  <si>
    <r>
      <rPr>
        <sz val="10"/>
        <rFont val="Arial"/>
        <family val="0"/>
        <charset val="1"/>
      </rPr>
      <t xml:space="preserve">3·5</t>
    </r>
    <r>
      <rPr>
        <sz val="10"/>
        <rFont val="WenQuanYi Zen Hei"/>
        <family val="2"/>
      </rPr>
      <t xml:space="preserve">부 카페 장면 확대</t>
    </r>
    <r>
      <rPr>
        <sz val="10"/>
        <rFont val="Arial"/>
        <family val="0"/>
        <charset val="1"/>
      </rPr>
      <t xml:space="preserve">, 12</t>
    </r>
    <r>
      <rPr>
        <sz val="10"/>
        <rFont val="WenQuanYi Zen Hei"/>
        <family val="2"/>
      </rPr>
      <t xml:space="preserve">부 애도 장면 배정</t>
    </r>
    <r>
      <rPr>
        <sz val="10"/>
        <rFont val="Arial"/>
        <family val="0"/>
        <charset val="1"/>
      </rPr>
      <t xml:space="preserve">. </t>
    </r>
    <r>
      <rPr>
        <sz val="10"/>
        <rFont val="WenQuanYi Zen Hei"/>
        <family val="2"/>
      </rPr>
      <t xml:space="preserve">인용은 짧은 인용 범위 또는 창작 대사</t>
    </r>
  </si>
  <si>
    <t xml:space="preserve">등장비중, 대화문규칙</t>
  </si>
  <si>
    <t xml:space="preserve">정부 형태</t>
  </si>
  <si>
    <r>
      <rPr>
        <sz val="10"/>
        <rFont val="Arial"/>
        <family val="0"/>
        <charset val="1"/>
      </rPr>
      <t xml:space="preserve">Maison Commune </t>
    </r>
    <r>
      <rPr>
        <sz val="10"/>
        <rFont val="WenQuanYi Zen Hei"/>
        <family val="2"/>
      </rPr>
      <t xml:space="preserve">단독 상대다수 정부 </t>
    </r>
    <r>
      <rPr>
        <sz val="10"/>
        <rFont val="Arial"/>
        <family val="0"/>
        <charset val="1"/>
      </rPr>
      <t xml:space="preserve">+ PPS·AE </t>
    </r>
    <r>
      <rPr>
        <sz val="10"/>
        <rFont val="WenQuanYi Zen Hei"/>
        <family val="2"/>
      </rPr>
      <t xml:space="preserve">법안별 지지 </t>
    </r>
    <r>
      <rPr>
        <sz val="10"/>
        <rFont val="Arial"/>
        <family val="0"/>
        <charset val="1"/>
      </rPr>
      <t xml:space="preserve">(</t>
    </r>
    <r>
      <rPr>
        <sz val="10"/>
        <rFont val="WenQuanYi Zen Hei"/>
        <family val="2"/>
      </rPr>
      <t xml:space="preserve">현재 설정</t>
    </r>
    <r>
      <rPr>
        <sz val="10"/>
        <rFont val="Arial"/>
        <family val="0"/>
        <charset val="1"/>
      </rPr>
      <t xml:space="preserve">)</t>
    </r>
  </si>
  <si>
    <r>
      <rPr>
        <sz val="10"/>
        <rFont val="Arial"/>
        <family val="0"/>
        <charset val="1"/>
      </rPr>
      <t xml:space="preserve">PPS </t>
    </r>
    <r>
      <rPr>
        <sz val="10"/>
        <rFont val="WenQuanYi Zen Hei"/>
        <family val="2"/>
      </rPr>
      <t xml:space="preserve">장관을 포함한 연립으로 갈지 결정</t>
    </r>
  </si>
  <si>
    <t xml:space="preserve">겸직 규정 확인</t>
  </si>
  <si>
    <r>
      <rPr>
        <sz val="10"/>
        <rFont val="Arial"/>
        <family val="0"/>
        <charset val="1"/>
      </rPr>
      <t xml:space="preserve">Julien·Camille</t>
    </r>
    <r>
      <rPr>
        <sz val="10"/>
        <rFont val="WenQuanYi Zen Hei"/>
        <family val="2"/>
      </rPr>
      <t xml:space="preserve">가 장관이 된 뒤 파리 시의원직을 유지할지</t>
    </r>
    <r>
      <rPr>
        <sz val="10"/>
        <rFont val="Arial"/>
        <family val="0"/>
        <charset val="1"/>
      </rPr>
      <t xml:space="preserve">(</t>
    </r>
    <r>
      <rPr>
        <sz val="10"/>
        <rFont val="WenQuanYi Zen Hei"/>
        <family val="2"/>
      </rPr>
      <t xml:space="preserve">법적 겸직 금지 대상은 아니나 관행상 사임하는 경우가 많음</t>
    </r>
    <r>
      <rPr>
        <sz val="10"/>
        <rFont val="Arial"/>
        <family val="0"/>
        <charset val="1"/>
      </rPr>
      <t xml:space="preserve">).</t>
    </r>
  </si>
  <si>
    <t xml:space="preserve">헌법 제23조·선거법전 확인 후 확정</t>
  </si>
  <si>
    <t xml:space="preserve">득표율(22.3%·53%)·의석 수(198·288 등)와 1표 차 설정은 교육용 가상 수치.</t>
  </si>
  <si>
    <t xml:space="preserve">드라마 효과에 맞춰 조정 가능 (정치경로_의석의 파란 셀)</t>
  </si>
  <si>
    <t xml:space="preserve">공식 낭독자 방침</t>
  </si>
  <si>
    <t xml:space="preserve">대선 결과는 헌법재판소장, 불신임안 결과는 하원의장이 낭독. 대통령 Nicolas는 직접 대사를 가진다.</t>
  </si>
  <si>
    <t xml:space="preserve">확정 필요</t>
  </si>
  <si>
    <t xml:space="preserve">법안 형태 세부</t>
  </si>
  <si>
    <r>
      <rPr>
        <sz val="10"/>
        <rFont val="Arial"/>
        <family val="0"/>
        <charset val="1"/>
      </rPr>
      <t xml:space="preserve">11</t>
    </r>
    <r>
      <rPr>
        <sz val="10"/>
        <rFont val="WenQuanYi Zen Hei"/>
        <family val="2"/>
      </rPr>
      <t xml:space="preserve">부 주거법</t>
    </r>
    <r>
      <rPr>
        <sz val="10"/>
        <rFont val="Arial"/>
        <family val="0"/>
        <charset val="1"/>
      </rPr>
      <t xml:space="preserve">(</t>
    </r>
    <r>
      <rPr>
        <sz val="10"/>
        <rFont val="WenQuanYi Zen Hei"/>
        <family val="2"/>
      </rPr>
      <t xml:space="preserve">정부 법안 </t>
    </r>
    <r>
      <rPr>
        <sz val="10"/>
        <rFont val="Arial"/>
        <family val="0"/>
        <charset val="1"/>
      </rPr>
      <t xml:space="preserve">vs </t>
    </r>
    <r>
      <rPr>
        <sz val="10"/>
        <rFont val="WenQuanYi Zen Hei"/>
        <family val="2"/>
      </rPr>
      <t xml:space="preserve">의원 법안</t>
    </r>
    <r>
      <rPr>
        <sz val="10"/>
        <rFont val="Arial"/>
        <family val="0"/>
        <charset val="1"/>
      </rPr>
      <t xml:space="preserve">), </t>
    </r>
    <r>
      <rPr>
        <sz val="10"/>
        <rFont val="WenQuanYi Zen Hei"/>
        <family val="2"/>
      </rPr>
      <t xml:space="preserve">초고액 자산 최저세를 재정법에 넣을지 별도 법률로 할지</t>
    </r>
    <r>
      <rPr>
        <sz val="10"/>
        <rFont val="Arial"/>
        <family val="0"/>
        <charset val="1"/>
      </rPr>
      <t xml:space="preserve">.</t>
    </r>
  </si>
  <si>
    <r>
      <rPr>
        <sz val="10"/>
        <rFont val="Arial"/>
        <family val="0"/>
        <charset val="1"/>
      </rPr>
      <t xml:space="preserve">Légifrance·</t>
    </r>
    <r>
      <rPr>
        <sz val="10"/>
        <rFont val="WenQuanYi Zen Hei"/>
        <family val="2"/>
      </rPr>
      <t xml:space="preserve">하원 자료로 확인 후 집필</t>
    </r>
  </si>
  <si>
    <t xml:space="preserve">등장비중 재조정</t>
  </si>
  <si>
    <r>
      <rPr>
        <sz val="10"/>
        <rFont val="Arial"/>
        <family val="0"/>
        <charset val="1"/>
      </rPr>
      <t xml:space="preserve">Olympe </t>
    </r>
    <r>
      <rPr>
        <sz val="10"/>
        <rFont val="WenQuanYi Zen Hei"/>
        <family val="2"/>
      </rPr>
      <t xml:space="preserve">신설과 인물 대응으로 비중을 재배정했고</t>
    </r>
    <r>
      <rPr>
        <sz val="10"/>
        <rFont val="Arial"/>
        <family val="0"/>
        <charset val="1"/>
      </rPr>
      <t xml:space="preserve">, 1~7</t>
    </r>
    <r>
      <rPr>
        <sz val="10"/>
        <rFont val="WenQuanYi Zen Hei"/>
        <family val="2"/>
      </rPr>
      <t xml:space="preserve">부 화별 목차와 미세한 차이가 있다</t>
    </r>
    <r>
      <rPr>
        <sz val="10"/>
        <rFont val="Arial"/>
        <family val="0"/>
        <charset val="1"/>
      </rPr>
      <t xml:space="preserve">.</t>
    </r>
  </si>
  <si>
    <t xml:space="preserve">화별 대본 집필 전에 표를 화별 목차 기준으로 재집계</t>
  </si>
  <si>
    <t xml:space="preserve">등장비중, 화별목차_전체</t>
  </si>
  <si>
    <t xml:space="preserve">가상 인물 목록</t>
  </si>
  <si>
    <r>
      <rPr>
        <sz val="10"/>
        <rFont val="Arial"/>
        <family val="0"/>
        <charset val="1"/>
      </rPr>
      <t xml:space="preserve">Verdier(GM </t>
    </r>
    <r>
      <rPr>
        <sz val="10"/>
        <rFont val="WenQuanYi Zen Hei"/>
        <family val="2"/>
      </rPr>
      <t xml:space="preserve">회장</t>
    </r>
    <r>
      <rPr>
        <sz val="10"/>
        <rFont val="Arial"/>
        <family val="0"/>
        <charset val="1"/>
      </rPr>
      <t xml:space="preserve">), Delorme·Bertin(</t>
    </r>
    <r>
      <rPr>
        <sz val="10"/>
        <rFont val="WenQuanYi Zen Hei"/>
        <family val="2"/>
      </rPr>
      <t xml:space="preserve">파트너</t>
    </r>
    <r>
      <rPr>
        <sz val="10"/>
        <rFont val="Arial"/>
        <family val="0"/>
        <charset val="1"/>
      </rPr>
      <t xml:space="preserve">), Madeleine·Chloé, Sandrine(</t>
    </r>
    <r>
      <rPr>
        <sz val="10"/>
        <rFont val="WenQuanYi Zen Hei"/>
        <family val="2"/>
      </rPr>
      <t xml:space="preserve">간호사</t>
    </r>
    <r>
      <rPr>
        <sz val="10"/>
        <rFont val="Arial"/>
        <family val="0"/>
        <charset val="1"/>
      </rPr>
      <t xml:space="preserve">), Garnier(</t>
    </r>
    <r>
      <rPr>
        <sz val="10"/>
        <rFont val="WenQuanYi Zen Hei"/>
        <family val="2"/>
      </rPr>
      <t xml:space="preserve">공방</t>
    </r>
    <r>
      <rPr>
        <sz val="10"/>
        <rFont val="Arial"/>
        <family val="0"/>
        <charset val="1"/>
      </rPr>
      <t xml:space="preserve">), Lucas(</t>
    </r>
    <r>
      <rPr>
        <sz val="10"/>
        <rFont val="WenQuanYi Zen Hei"/>
        <family val="2"/>
      </rPr>
      <t xml:space="preserve">새 인턴</t>
    </r>
    <r>
      <rPr>
        <sz val="10"/>
        <rFont val="Arial"/>
        <family val="0"/>
        <charset val="1"/>
      </rPr>
      <t xml:space="preserve">) </t>
    </r>
    <r>
      <rPr>
        <sz val="10"/>
        <rFont val="WenQuanYi Zen Hei"/>
        <family val="2"/>
      </rPr>
      <t xml:space="preserve">등 가상 인물</t>
    </r>
    <r>
      <rPr>
        <sz val="10"/>
        <rFont val="Arial"/>
        <family val="0"/>
        <charset val="1"/>
      </rPr>
      <t xml:space="preserve">.</t>
    </r>
  </si>
  <si>
    <t xml:space="preserve">이름·나이·말투를 캐릭터 바이블 부록으로 확정</t>
  </si>
  <si>
    <r>
      <rPr>
        <sz val="10"/>
        <rFont val="Arial"/>
        <family val="0"/>
        <charset val="1"/>
      </rPr>
      <t xml:space="preserve">Groupe Méridien</t>
    </r>
    <r>
      <rPr>
        <sz val="10"/>
        <rFont val="WenQuanYi Zen Hei"/>
        <family val="2"/>
      </rPr>
      <t xml:space="preserve">의 결말</t>
    </r>
  </si>
  <si>
    <r>
      <rPr>
        <sz val="10"/>
        <rFont val="Arial"/>
        <family val="0"/>
        <charset val="1"/>
      </rPr>
      <t xml:space="preserve">13</t>
    </r>
    <r>
      <rPr>
        <sz val="10"/>
        <rFont val="WenQuanYi Zen Hei"/>
        <family val="2"/>
      </rPr>
      <t xml:space="preserve">부 </t>
    </r>
    <r>
      <rPr>
        <sz val="10"/>
        <rFont val="Arial"/>
        <family val="0"/>
        <charset val="1"/>
      </rPr>
      <t xml:space="preserve">7</t>
    </r>
    <r>
      <rPr>
        <sz val="10"/>
        <rFont val="WenQuanYi Zen Hei"/>
        <family val="2"/>
      </rPr>
      <t xml:space="preserve">화에서 재판 시작만 언급하고 판결은 열어 두는 안</t>
    </r>
    <r>
      <rPr>
        <sz val="10"/>
        <rFont val="Arial"/>
        <family val="0"/>
        <charset val="1"/>
      </rPr>
      <t xml:space="preserve">.</t>
    </r>
  </si>
  <si>
    <t xml:space="preserve">판결 여부를 정할지(열린 결말 vs 유죄/무죄)</t>
  </si>
  <si>
    <r>
      <rPr>
        <sz val="10"/>
        <rFont val="Arial"/>
        <family val="0"/>
        <charset val="1"/>
      </rPr>
      <t xml:space="preserve">7</t>
    </r>
    <r>
      <rPr>
        <sz val="10"/>
        <rFont val="WenQuanYi Zen Hei"/>
        <family val="2"/>
      </rPr>
      <t xml:space="preserve">부 </t>
    </r>
    <r>
      <rPr>
        <sz val="10"/>
        <rFont val="Arial"/>
        <family val="0"/>
        <charset val="1"/>
      </rPr>
      <t xml:space="preserve">3</t>
    </r>
    <r>
      <rPr>
        <sz val="10"/>
        <rFont val="WenQuanYi Zen Hei"/>
        <family val="2"/>
      </rPr>
      <t xml:space="preserve">화의 톤</t>
    </r>
  </si>
  <si>
    <t xml:space="preserve">불기소된 성폭력 사건은 피해자 중심으로, 2025년 동의법에 대한 찬반·신중론을 함께 담아야 한다.</t>
  </si>
  <si>
    <t xml:space="preserve">집필 전 톤 가이드 별도 확정</t>
  </si>
  <si>
    <t xml:space="preserve">스페인어 대본 재집필</t>
  </si>
  <si>
    <t xml:space="preserve">마드리드판 1부 12화와 저장소의 7부 8~12화 대본(docx)은 스페인어·마드리드 설정이다.</t>
  </si>
  <si>
    <t xml:space="preserve">파리판 화별 목차 기준으로 프랑스어로 새로 집필 (번역이 아니라 재집필)</t>
  </si>
  <si>
    <t xml:space="preserve">가상 인물 추가분</t>
  </si>
  <si>
    <r>
      <rPr>
        <sz val="10"/>
        <rFont val="Arial"/>
        <family val="0"/>
        <charset val="1"/>
      </rPr>
      <t xml:space="preserve">Rachid(Fatima</t>
    </r>
    <r>
      <rPr>
        <sz val="10"/>
        <rFont val="WenQuanYi Zen Hei"/>
        <family val="2"/>
      </rPr>
      <t xml:space="preserve">의 남편</t>
    </r>
    <r>
      <rPr>
        <sz val="10"/>
        <rFont val="Arial"/>
        <family val="0"/>
        <charset val="1"/>
      </rPr>
      <t xml:space="preserve">), Théo(</t>
    </r>
    <r>
      <rPr>
        <sz val="10"/>
        <rFont val="WenQuanYi Zen Hei"/>
        <family val="2"/>
      </rPr>
      <t xml:space="preserve">청년 노동자</t>
    </r>
    <r>
      <rPr>
        <sz val="10"/>
        <rFont val="Arial"/>
        <family val="0"/>
        <charset val="1"/>
      </rPr>
      <t xml:space="preserve">), Amina </t>
    </r>
    <r>
      <rPr>
        <sz val="10"/>
        <rFont val="WenQuanYi Zen Hei"/>
        <family val="2"/>
      </rPr>
      <t xml:space="preserve">가족</t>
    </r>
    <r>
      <rPr>
        <sz val="10"/>
        <rFont val="Arial"/>
        <family val="0"/>
        <charset val="1"/>
      </rPr>
      <t xml:space="preserve">(</t>
    </r>
    <r>
      <rPr>
        <sz val="10"/>
        <rFont val="WenQuanYi Zen Hei"/>
        <family val="2"/>
      </rPr>
      <t xml:space="preserve">의료 사건</t>
    </r>
    <r>
      <rPr>
        <sz val="10"/>
        <rFont val="Arial"/>
        <family val="0"/>
        <charset val="1"/>
      </rPr>
      <t xml:space="preserve">), Josette(</t>
    </r>
    <r>
      <rPr>
        <sz val="10"/>
        <rFont val="WenQuanYi Zen Hei"/>
        <family val="2"/>
      </rPr>
      <t xml:space="preserve">사기 피해자</t>
    </r>
    <r>
      <rPr>
        <sz val="10"/>
        <rFont val="Arial"/>
        <family val="0"/>
        <charset val="1"/>
      </rPr>
      <t xml:space="preserve">)</t>
    </r>
    <r>
      <rPr>
        <sz val="10"/>
        <rFont val="WenQuanYi Zen Hei"/>
        <family val="2"/>
      </rPr>
      <t xml:space="preserve">는 </t>
    </r>
    <r>
      <rPr>
        <sz val="10"/>
        <rFont val="Arial"/>
        <family val="0"/>
        <charset val="1"/>
      </rPr>
      <t xml:space="preserve">1</t>
    </r>
    <r>
      <rPr>
        <sz val="10"/>
        <rFont val="WenQuanYi Zen Hei"/>
        <family val="2"/>
      </rPr>
      <t xml:space="preserve">부 가상 인물</t>
    </r>
    <r>
      <rPr>
        <sz val="10"/>
        <rFont val="Arial"/>
        <family val="0"/>
        <charset val="1"/>
      </rPr>
      <t xml:space="preserve">.</t>
    </r>
  </si>
  <si>
    <t xml:space="preserve">부록에서 위 항목과 함께 정리</t>
  </si>
  <si>
    <r>
      <rPr>
        <sz val="10"/>
        <rFont val="Arial"/>
        <family val="0"/>
        <charset val="1"/>
      </rPr>
      <t xml:space="preserve">11~12</t>
    </r>
    <r>
      <rPr>
        <sz val="10"/>
        <rFont val="WenQuanYi Zen Hei"/>
        <family val="2"/>
      </rPr>
      <t xml:space="preserve">부 대본</t>
    </r>
  </si>
  <si>
    <r>
      <rPr>
        <sz val="10"/>
        <rFont val="Arial"/>
        <family val="0"/>
        <charset val="1"/>
      </rPr>
      <t xml:space="preserve">11</t>
    </r>
    <r>
      <rPr>
        <sz val="10"/>
        <rFont val="WenQuanYi Zen Hei"/>
        <family val="2"/>
      </rPr>
      <t xml:space="preserve">부 후반</t>
    </r>
    <r>
      <rPr>
        <sz val="10"/>
        <rFont val="Arial"/>
        <family val="0"/>
        <charset val="1"/>
      </rPr>
      <t xml:space="preserve">(9~12</t>
    </r>
    <r>
      <rPr>
        <sz val="10"/>
        <rFont val="WenQuanYi Zen Hei"/>
        <family val="2"/>
      </rPr>
      <t xml:space="preserve">화</t>
    </r>
    <r>
      <rPr>
        <sz val="10"/>
        <rFont val="Arial"/>
        <family val="0"/>
        <charset val="1"/>
      </rPr>
      <t xml:space="preserve">)·12</t>
    </r>
    <r>
      <rPr>
        <sz val="10"/>
        <rFont val="WenQuanYi Zen Hei"/>
        <family val="2"/>
      </rPr>
      <t xml:space="preserve">부</t>
    </r>
    <r>
      <rPr>
        <sz val="10"/>
        <rFont val="Arial"/>
        <family val="0"/>
        <charset val="1"/>
      </rPr>
      <t xml:space="preserve">(1~12</t>
    </r>
    <r>
      <rPr>
        <sz val="10"/>
        <rFont val="WenQuanYi Zen Hei"/>
        <family val="2"/>
      </rPr>
      <t xml:space="preserve">화</t>
    </r>
    <r>
      <rPr>
        <sz val="10"/>
        <rFont val="Arial"/>
        <family val="0"/>
        <charset val="1"/>
      </rPr>
      <t xml:space="preserve">) </t>
    </r>
    <r>
      <rPr>
        <sz val="10"/>
        <rFont val="WenQuanYi Zen Hei"/>
        <family val="2"/>
      </rPr>
      <t xml:space="preserve">모두 화별 목차만 있고 실제 대본은 미작성</t>
    </r>
    <r>
      <rPr>
        <sz val="10"/>
        <rFont val="Arial"/>
        <family val="0"/>
        <charset val="1"/>
      </rPr>
      <t xml:space="preserve">.</t>
    </r>
  </si>
  <si>
    <t xml:space="preserve">극적 중요도가 높아 우선 집필을 검토</t>
  </si>
  <si>
    <t xml:space="preserve">가상 외교 인사</t>
  </si>
  <si>
    <t xml:space="preserve">브뤼셀 협상의 NATO·EU 상대역(가상)의 이름·직급 미정.</t>
  </si>
  <si>
    <t xml:space="preserve">실명 조직(NATO, 유럽집행위원회)은 실제 기구명을 쓰되, 개인 인사는 전부 가상</t>
  </si>
  <si>
    <t xml:space="preserve">화별목차_전체 11부 9~10화</t>
  </si>
  <si>
    <r>
      <rPr>
        <sz val="10"/>
        <rFont val="Arial"/>
        <family val="0"/>
        <charset val="1"/>
      </rPr>
      <t xml:space="preserve">12</t>
    </r>
    <r>
      <rPr>
        <sz val="10"/>
        <rFont val="WenQuanYi Zen Hei"/>
        <family val="2"/>
      </rPr>
      <t xml:space="preserve">부 </t>
    </r>
    <r>
      <rPr>
        <sz val="10"/>
        <rFont val="Arial"/>
        <family val="0"/>
        <charset val="1"/>
      </rPr>
      <t xml:space="preserve">11</t>
    </r>
    <r>
      <rPr>
        <sz val="10"/>
        <rFont val="WenQuanYi Zen Hei"/>
        <family val="2"/>
      </rPr>
      <t xml:space="preserve">화와 </t>
    </r>
    <r>
      <rPr>
        <sz val="10"/>
        <rFont val="Arial"/>
        <family val="0"/>
        <charset val="1"/>
      </rPr>
      <t xml:space="preserve">N5 </t>
    </r>
    <r>
      <rPr>
        <sz val="10"/>
        <rFont val="WenQuanYi Zen Hei"/>
        <family val="2"/>
      </rPr>
      <t xml:space="preserve">위치</t>
    </r>
  </si>
  <si>
    <r>
      <rPr>
        <sz val="10"/>
        <rFont val="Arial"/>
        <family val="0"/>
        <charset val="1"/>
      </rPr>
      <t xml:space="preserve">N5(</t>
    </r>
    <r>
      <rPr>
        <sz val="10"/>
        <rFont val="WenQuanYi Zen Hei"/>
        <family val="2"/>
      </rPr>
      <t xml:space="preserve">녹색 갈등</t>
    </r>
    <r>
      <rPr>
        <sz val="10"/>
        <rFont val="Arial"/>
        <family val="0"/>
        <charset val="1"/>
      </rPr>
      <t xml:space="preserve">)</t>
    </r>
    <r>
      <rPr>
        <sz val="10"/>
        <rFont val="WenQuanYi Zen Hei"/>
        <family val="2"/>
      </rPr>
      <t xml:space="preserve">의 회수 위치가 </t>
    </r>
    <r>
      <rPr>
        <sz val="10"/>
        <rFont val="Arial"/>
        <family val="0"/>
        <charset val="1"/>
      </rPr>
      <t xml:space="preserve">12</t>
    </r>
    <r>
      <rPr>
        <sz val="10"/>
        <rFont val="WenQuanYi Zen Hei"/>
        <family val="2"/>
      </rPr>
      <t xml:space="preserve">부 </t>
    </r>
    <r>
      <rPr>
        <sz val="10"/>
        <rFont val="Arial"/>
        <family val="0"/>
        <charset val="1"/>
      </rPr>
      <t xml:space="preserve">11</t>
    </r>
    <r>
      <rPr>
        <sz val="10"/>
        <rFont val="WenQuanYi Zen Hei"/>
        <family val="2"/>
      </rPr>
      <t xml:space="preserve">화 예산 논쟁과 맞는지 재확인 필요</t>
    </r>
    <r>
      <rPr>
        <sz val="10"/>
        <rFont val="Arial"/>
        <family val="0"/>
        <charset val="1"/>
      </rPr>
      <t xml:space="preserve">.</t>
    </r>
  </si>
  <si>
    <r>
      <rPr>
        <sz val="10"/>
        <rFont val="Arial"/>
        <family val="0"/>
        <charset val="1"/>
      </rPr>
      <t xml:space="preserve">12</t>
    </r>
    <r>
      <rPr>
        <sz val="10"/>
        <rFont val="WenQuanYi Zen Hei"/>
        <family val="2"/>
      </rPr>
      <t xml:space="preserve">부 </t>
    </r>
    <r>
      <rPr>
        <sz val="10"/>
        <rFont val="Arial"/>
        <family val="0"/>
        <charset val="1"/>
      </rPr>
      <t xml:space="preserve">11</t>
    </r>
    <r>
      <rPr>
        <sz val="10"/>
        <rFont val="WenQuanYi Zen Hei"/>
        <family val="2"/>
      </rPr>
      <t xml:space="preserve">화 대본 집필 시 재생에너지 재원 논쟁과 예산 편성을 함께 다룰지 결정</t>
    </r>
  </si>
  <si>
    <t xml:space="preserve">부활자의 법적 신분</t>
  </si>
  <si>
    <t xml:space="preserve">부활자의 신분증·국적·임명 자격(Napoléon 특사, Olympe 총리)을 이야기에서 어떻게 처리할지.</t>
  </si>
  <si>
    <t xml:space="preserve">첫 등장 부에서 '행정 서류는 이유 없이 갖춰져 있다'는 규칙을 대사로 한 번만 언급하고 더 설명하지 않는다</t>
  </si>
  <si>
    <t xml:space="preserve">앵발리드 무덤</t>
  </si>
  <si>
    <r>
      <rPr>
        <sz val="10"/>
        <rFont val="Arial"/>
        <family val="0"/>
        <charset val="1"/>
      </rPr>
      <t xml:space="preserve">Napoléon</t>
    </r>
    <r>
      <rPr>
        <sz val="10"/>
        <rFont val="WenQuanYi Zen Hei"/>
        <family val="2"/>
      </rPr>
      <t xml:space="preserve">의 실제 무덤</t>
    </r>
    <r>
      <rPr>
        <sz val="10"/>
        <rFont val="Arial"/>
        <family val="0"/>
        <charset val="1"/>
      </rPr>
      <t xml:space="preserve">(</t>
    </r>
    <r>
      <rPr>
        <sz val="10"/>
        <rFont val="WenQuanYi Zen Hei"/>
        <family val="2"/>
      </rPr>
      <t xml:space="preserve">앵발리드</t>
    </r>
    <r>
      <rPr>
        <sz val="10"/>
        <rFont val="Arial"/>
        <family val="0"/>
        <charset val="1"/>
      </rPr>
      <t xml:space="preserve">)</t>
    </r>
    <r>
      <rPr>
        <sz val="10"/>
        <rFont val="WenQuanYi Zen Hei"/>
        <family val="2"/>
      </rPr>
      <t xml:space="preserve">과 두 번째 장례의 관계</t>
    </r>
    <r>
      <rPr>
        <sz val="10"/>
        <rFont val="Arial"/>
        <family val="0"/>
        <charset val="1"/>
      </rPr>
      <t xml:space="preserve">.</t>
    </r>
  </si>
  <si>
    <r>
      <rPr>
        <sz val="10"/>
        <rFont val="Arial"/>
        <family val="0"/>
        <charset val="1"/>
      </rPr>
      <t xml:space="preserve">12</t>
    </r>
    <r>
      <rPr>
        <sz val="10"/>
        <rFont val="WenQuanYi Zen Hei"/>
        <family val="2"/>
      </rPr>
      <t xml:space="preserve">부 </t>
    </r>
    <r>
      <rPr>
        <sz val="10"/>
        <rFont val="Arial"/>
        <family val="0"/>
        <charset val="1"/>
      </rPr>
      <t xml:space="preserve">1</t>
    </r>
    <r>
      <rPr>
        <sz val="10"/>
        <rFont val="WenQuanYi Zen Hei"/>
        <family val="2"/>
      </rPr>
      <t xml:space="preserve">화에서 농담으로만 언급하고 매장지는 열어 둔다</t>
    </r>
  </si>
</sst>
</file>

<file path=xl/styles.xml><?xml version="1.0" encoding="utf-8"?>
<styleSheet xmlns="http://schemas.openxmlformats.org/spreadsheetml/2006/main">
  <numFmts count="6">
    <numFmt numFmtId="164" formatCode="General"/>
    <numFmt numFmtId="165" formatCode="General"/>
    <numFmt numFmtId="166" formatCode="0.0%"/>
    <numFmt numFmtId="167" formatCode="0%"/>
    <numFmt numFmtId="168" formatCode="#,##0"/>
    <numFmt numFmtId="169" formatCode="0.0"/>
  </numFmts>
  <fonts count="29">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b val="true"/>
      <sz val="14"/>
      <color rgb="FF1F3864"/>
      <name val="WenQuanYi Zen Hei"/>
      <family val="2"/>
    </font>
    <font>
      <i val="true"/>
      <sz val="9"/>
      <color rgb="FF595959"/>
      <name val="Arial"/>
      <family val="0"/>
      <charset val="1"/>
    </font>
    <font>
      <i val="true"/>
      <sz val="9"/>
      <color rgb="FF595959"/>
      <name val="WenQuanYi Zen Hei"/>
      <family val="2"/>
    </font>
    <font>
      <b val="true"/>
      <sz val="10"/>
      <name val="WenQuanYi Zen Hei"/>
      <family val="2"/>
      <charset val="1"/>
    </font>
    <font>
      <sz val="10"/>
      <color rgb="FF0000FF"/>
      <name val="Arial"/>
      <family val="0"/>
      <charset val="1"/>
    </font>
    <font>
      <sz val="10"/>
      <name val="Arial"/>
      <family val="0"/>
      <charset val="1"/>
    </font>
    <font>
      <sz val="10"/>
      <name val="WenQuanYi Zen Hei"/>
      <family val="2"/>
    </font>
    <font>
      <sz val="10"/>
      <name val="WenQuanYi Zen Hei"/>
      <family val="2"/>
      <charset val="1"/>
    </font>
    <font>
      <b val="true"/>
      <sz val="10"/>
      <name val="Arial"/>
      <family val="0"/>
      <charset val="1"/>
    </font>
    <font>
      <b val="true"/>
      <sz val="10"/>
      <name val="WenQuanYi Zen Hei"/>
      <family val="2"/>
    </font>
    <font>
      <u val="single"/>
      <sz val="10"/>
      <color rgb="FF0563C1"/>
      <name val="WenQuanYi Zen Hei"/>
      <family val="2"/>
      <charset val="1"/>
    </font>
    <font>
      <u val="single"/>
      <sz val="10"/>
      <color rgb="FF0563C1"/>
      <name val="Arial"/>
      <family val="0"/>
      <charset val="1"/>
    </font>
    <font>
      <u val="single"/>
      <sz val="10"/>
      <color rgb="FF0563C1"/>
      <name val="WenQuanYi Zen Hei"/>
      <family val="2"/>
    </font>
    <font>
      <sz val="10"/>
      <color rgb="FF0000FF"/>
      <name val="WenQuanYi Zen Hei"/>
      <family val="2"/>
      <charset val="1"/>
    </font>
    <font>
      <i val="true"/>
      <sz val="9"/>
      <color rgb="FF595959"/>
      <name val="WenQuanYi Zen Hei"/>
      <family val="2"/>
      <charset val="1"/>
    </font>
    <font>
      <b val="true"/>
      <sz val="14"/>
      <color rgb="FF1F3864"/>
      <name val="WenQuanYi Zen Hei"/>
      <family val="2"/>
      <charset val="1"/>
    </font>
    <font>
      <b val="true"/>
      <sz val="10"/>
      <color rgb="FFFFFFFF"/>
      <name val="Arial"/>
      <family val="0"/>
      <charset val="1"/>
    </font>
    <font>
      <b val="true"/>
      <sz val="10"/>
      <color rgb="FFFFFFFF"/>
      <name val="WenQuanYi Zen Hei"/>
      <family val="2"/>
      <charset val="1"/>
    </font>
    <font>
      <b val="true"/>
      <sz val="10"/>
      <color rgb="FFFFFFFF"/>
      <name val="WenQuanYi Zen Hei"/>
      <family val="2"/>
    </font>
    <font>
      <sz val="10"/>
      <name val="Noto Sans CJK SC"/>
      <family val="2"/>
      <charset val="1"/>
    </font>
    <font>
      <sz val="11"/>
      <color theme="1"/>
      <name val="WenQuanYi Zen Hei"/>
      <family val="2"/>
      <charset val="1"/>
    </font>
    <font>
      <sz val="11"/>
      <color theme="1"/>
      <name val="WenQuanYi Zen Hei"/>
      <family val="2"/>
    </font>
    <font>
      <b val="true"/>
      <sz val="10"/>
      <name val="Noto Sans CJK SC"/>
      <family val="2"/>
      <charset val="1"/>
    </font>
    <font>
      <b val="true"/>
      <sz val="10"/>
      <color rgb="FFFFFFFF"/>
      <name val="Noto Sans CJK SC"/>
      <family val="2"/>
      <charset val="1"/>
    </font>
  </fonts>
  <fills count="6">
    <fill>
      <patternFill patternType="none"/>
    </fill>
    <fill>
      <patternFill patternType="gray125"/>
    </fill>
    <fill>
      <patternFill patternType="solid">
        <fgColor rgb="FFD9E2F3"/>
        <bgColor rgb="FFDDEBF7"/>
      </patternFill>
    </fill>
    <fill>
      <patternFill patternType="solid">
        <fgColor rgb="FFFFFF00"/>
        <bgColor rgb="FFFFFF00"/>
      </patternFill>
    </fill>
    <fill>
      <patternFill patternType="solid">
        <fgColor rgb="FF1F3864"/>
        <bgColor rgb="FF333333"/>
      </patternFill>
    </fill>
    <fill>
      <patternFill patternType="solid">
        <fgColor rgb="FFF2F2F2"/>
        <bgColor rgb="FFDDEBF7"/>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general" vertical="bottom" textRotation="0" wrapText="false" indent="0" shrinkToFit="false"/>
      <protection locked="true" hidden="false"/>
    </xf>
    <xf numFmtId="164" fontId="0" fillId="2" borderId="1" xfId="0" applyFont="false" applyBorder="true" applyAlignment="tru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center" vertical="top"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5" fontId="10" fillId="0" borderId="1" xfId="0" applyFont="true" applyBorder="true" applyAlignment="true" applyProtection="false">
      <alignment horizontal="center" vertical="top" textRotation="0" wrapText="fals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center" vertical="top" textRotation="0" wrapText="false" indent="0" shrinkToFit="false"/>
      <protection locked="true" hidden="false"/>
    </xf>
    <xf numFmtId="164" fontId="8" fillId="0" borderId="1" xfId="0" applyFont="true" applyBorder="true" applyAlignment="true" applyProtection="false">
      <alignment horizontal="general" vertical="bottom" textRotation="0" wrapText="false" indent="0" shrinkToFit="false"/>
      <protection locked="true" hidden="false"/>
    </xf>
    <xf numFmtId="164" fontId="15" fillId="0" borderId="1" xfId="0" applyFont="true" applyBorder="true" applyAlignment="true" applyProtection="false">
      <alignment horizontal="general" vertical="bottom" textRotation="0" wrapText="false" indent="0" shrinkToFit="false"/>
      <protection locked="true" hidden="false"/>
    </xf>
    <xf numFmtId="164" fontId="12" fillId="0" borderId="1" xfId="0" applyFont="true" applyBorder="true" applyAlignment="true" applyProtection="false">
      <alignment horizontal="general" vertical="bottom" textRotation="0" wrapText="false" indent="0" shrinkToFit="false"/>
      <protection locked="true" hidden="false"/>
    </xf>
    <xf numFmtId="164" fontId="16" fillId="0" borderId="1" xfId="0" applyFont="true" applyBorder="true" applyAlignment="true" applyProtection="false">
      <alignment horizontal="general" vertical="bottom" textRotation="0" wrapText="false" indent="0" shrinkToFit="false"/>
      <protection locked="true" hidden="false"/>
    </xf>
    <xf numFmtId="164" fontId="17" fillId="0" borderId="1" xfId="0" applyFont="true" applyBorder="true" applyAlignment="tru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18" fillId="0" borderId="1" xfId="0" applyFont="true" applyBorder="true" applyAlignment="true" applyProtection="false">
      <alignment horizontal="general" vertical="bottom" textRotation="0" wrapText="false" indent="0" shrinkToFit="false"/>
      <protection locked="true" hidden="false"/>
    </xf>
    <xf numFmtId="164" fontId="0" fillId="0" borderId="1" xfId="0" applyFont="false" applyBorder="true" applyAlignment="true" applyProtection="false">
      <alignment horizontal="general" vertical="bottom" textRotation="0" wrapText="false" indent="0" shrinkToFit="false"/>
      <protection locked="true" hidden="false"/>
    </xf>
    <xf numFmtId="164" fontId="12" fillId="3" borderId="1" xfId="0" applyFont="true" applyBorder="true" applyAlignment="tru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4" fontId="21" fillId="4" borderId="1" xfId="0" applyFont="true" applyBorder="true" applyAlignment="true" applyProtection="false">
      <alignment horizontal="center" vertical="center" textRotation="0" wrapText="true" indent="0" shrinkToFit="false"/>
      <protection locked="true" hidden="false"/>
    </xf>
    <xf numFmtId="164" fontId="22" fillId="4"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center" vertical="top" textRotation="0" wrapText="true" indent="0" shrinkToFit="false"/>
      <protection locked="true" hidden="false"/>
    </xf>
    <xf numFmtId="164" fontId="9" fillId="0" borderId="1" xfId="0" applyFont="true" applyBorder="true" applyAlignment="true" applyProtection="false">
      <alignment horizontal="center" vertical="top" textRotation="0" wrapText="true" indent="0" shrinkToFit="false"/>
      <protection locked="true" hidden="false"/>
    </xf>
    <xf numFmtId="164" fontId="12" fillId="0" borderId="1" xfId="0" applyFont="true" applyBorder="true" applyAlignment="true" applyProtection="false">
      <alignment horizontal="center" vertical="top" textRotation="0" wrapText="true" indent="0" shrinkToFit="false"/>
      <protection locked="true" hidden="false"/>
    </xf>
    <xf numFmtId="164" fontId="24" fillId="0" borderId="1" xfId="0" applyFont="true" applyBorder="true" applyAlignment="true" applyProtection="false">
      <alignment horizontal="general" vertical="top" textRotation="0" wrapText="true" indent="0" shrinkToFit="false"/>
      <protection locked="true" hidden="false"/>
    </xf>
    <xf numFmtId="164" fontId="25" fillId="0" borderId="0" xfId="0" applyFont="true" applyBorder="false" applyAlignment="true" applyProtection="false">
      <alignment horizontal="general" vertical="bottom" textRotation="0" wrapText="false" indent="0" shrinkToFit="false"/>
      <protection locked="true" hidden="false"/>
    </xf>
    <xf numFmtId="164" fontId="13" fillId="0" borderId="1" xfId="0" applyFont="true" applyBorder="true" applyAlignment="tru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center" vertical="center" textRotation="0" wrapText="false" indent="0" shrinkToFit="false"/>
      <protection locked="true" hidden="false"/>
    </xf>
    <xf numFmtId="165" fontId="10" fillId="0" borderId="1" xfId="0" applyFont="true" applyBorder="true" applyAlignment="true" applyProtection="false">
      <alignment horizontal="center" vertical="center" textRotation="0" wrapText="false" indent="0" shrinkToFit="false"/>
      <protection locked="true" hidden="false"/>
    </xf>
    <xf numFmtId="166" fontId="10" fillId="0" borderId="1" xfId="0" applyFont="true" applyBorder="true" applyAlignment="true" applyProtection="false">
      <alignment horizontal="center" vertical="center" textRotation="0" wrapText="false" indent="0" shrinkToFit="false"/>
      <protection locked="true" hidden="false"/>
    </xf>
    <xf numFmtId="164" fontId="27" fillId="5" borderId="1" xfId="0" applyFont="true" applyBorder="true" applyAlignment="true" applyProtection="false">
      <alignment horizontal="general" vertical="bottom" textRotation="0" wrapText="false" indent="0" shrinkToFit="false"/>
      <protection locked="true" hidden="false"/>
    </xf>
    <xf numFmtId="164" fontId="13" fillId="5" borderId="1" xfId="0" applyFont="true" applyBorder="true" applyAlignment="true" applyProtection="false">
      <alignment horizontal="center" vertical="bottom" textRotation="0" wrapText="false" indent="0" shrinkToFit="false"/>
      <protection locked="true" hidden="false"/>
    </xf>
    <xf numFmtId="165" fontId="0" fillId="5" borderId="1" xfId="0" applyFont="false" applyBorder="true" applyAlignment="true" applyProtection="false">
      <alignment horizontal="center" vertical="bottom" textRotation="0" wrapText="false" indent="0" shrinkToFit="false"/>
      <protection locked="true" hidden="false"/>
    </xf>
    <xf numFmtId="167" fontId="9"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3" fillId="2" borderId="1" xfId="0" applyFont="true" applyBorder="true" applyAlignment="tru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center" vertical="center" textRotation="0" wrapText="false" indent="0" shrinkToFit="false"/>
      <protection locked="true" hidden="false"/>
    </xf>
    <xf numFmtId="168" fontId="10" fillId="0" borderId="1" xfId="0" applyFont="true" applyBorder="true" applyAlignment="true" applyProtection="false">
      <alignment horizontal="center" vertical="center" textRotation="0" wrapText="false" indent="0" shrinkToFit="false"/>
      <protection locked="true" hidden="false"/>
    </xf>
    <xf numFmtId="164" fontId="12" fillId="0" borderId="0" xfId="0" applyFont="true" applyBorder="false" applyAlignment="true" applyProtection="false">
      <alignment horizontal="left" vertical="bottom" textRotation="0" wrapText="false" indent="0" shrinkToFit="false"/>
      <protection locked="true" hidden="false"/>
    </xf>
    <xf numFmtId="164" fontId="13" fillId="0" borderId="1" xfId="0" applyFont="true" applyBorder="true" applyAlignment="true" applyProtection="false">
      <alignment horizontal="left" vertical="center" textRotation="0" wrapText="false" indent="0" shrinkToFit="false"/>
      <protection locked="true" hidden="false"/>
    </xf>
    <xf numFmtId="167" fontId="9" fillId="0" borderId="1" xfId="0" applyFont="true" applyBorder="true" applyAlignment="true" applyProtection="false">
      <alignment horizontal="center" vertical="center" textRotation="0" wrapText="false" indent="0" shrinkToFit="false"/>
      <protection locked="true" hidden="false"/>
    </xf>
    <xf numFmtId="164" fontId="8" fillId="0" borderId="1" xfId="0" applyFont="true" applyBorder="true" applyAlignment="true" applyProtection="false">
      <alignment horizontal="left" vertical="center" textRotation="0" wrapText="false" indent="0" shrinkToFit="false"/>
      <protection locked="true" hidden="false"/>
    </xf>
    <xf numFmtId="164" fontId="8" fillId="5" borderId="1" xfId="0" applyFont="true" applyBorder="true" applyAlignment="true" applyProtection="false">
      <alignment horizontal="left" vertical="center" textRotation="0" wrapText="false" indent="0" shrinkToFit="false"/>
      <protection locked="true" hidden="false"/>
    </xf>
    <xf numFmtId="167" fontId="10" fillId="5" borderId="1" xfId="0" applyFont="true" applyBorder="true" applyAlignment="true" applyProtection="false">
      <alignment horizontal="center" vertical="center" textRotation="0" wrapText="false" indent="0" shrinkToFit="false"/>
      <protection locked="true" hidden="false"/>
    </xf>
    <xf numFmtId="164" fontId="10" fillId="5"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center" vertical="center" textRotation="0" wrapText="false" indent="0" shrinkToFit="false"/>
      <protection locked="true" hidden="false"/>
    </xf>
    <xf numFmtId="169" fontId="9" fillId="0" borderId="1" xfId="0" applyFont="true" applyBorder="true" applyAlignment="true" applyProtection="false">
      <alignment horizontal="center" vertical="center" textRotation="0" wrapText="false" indent="0" shrinkToFit="false"/>
      <protection locked="true" hidden="false"/>
    </xf>
    <xf numFmtId="169" fontId="10" fillId="0" borderId="1" xfId="0" applyFont="true" applyBorder="true" applyAlignment="true" applyProtection="false">
      <alignment horizontal="center" vertical="center" textRotation="0" wrapText="false" indent="0" shrinkToFit="false"/>
      <protection locked="true" hidden="false"/>
    </xf>
    <xf numFmtId="164" fontId="8" fillId="5" borderId="1" xfId="0" applyFont="true" applyBorder="true" applyAlignment="true" applyProtection="false">
      <alignment horizontal="center" vertical="center" textRotation="0" wrapText="false" indent="0" shrinkToFit="false"/>
      <protection locked="true" hidden="false"/>
    </xf>
    <xf numFmtId="168" fontId="13" fillId="5" borderId="1" xfId="0" applyFont="true" applyBorder="true" applyAlignment="true" applyProtection="false">
      <alignment horizontal="center" vertical="center" textRotation="0" wrapText="false" indent="0" shrinkToFit="false"/>
      <protection locked="true" hidden="false"/>
    </xf>
    <xf numFmtId="164" fontId="8" fillId="0" borderId="1" xfId="0" applyFont="true" applyBorder="true" applyAlignment="true" applyProtection="false">
      <alignment horizontal="left" vertical="center" textRotation="0" wrapText="true" indent="0" shrinkToFit="false"/>
      <protection locked="true" hidden="false"/>
    </xf>
    <xf numFmtId="164" fontId="9" fillId="0" borderId="1" xfId="0" applyFont="true" applyBorder="true" applyAlignment="true" applyProtection="false">
      <alignment horizontal="center" vertical="center" textRotation="0" wrapText="true" indent="0" shrinkToFit="false"/>
      <protection locked="true" hidden="false"/>
    </xf>
    <xf numFmtId="165" fontId="10" fillId="0"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left" vertical="center" textRotation="0" wrapText="true" indent="0" shrinkToFit="false"/>
      <protection locked="true" hidden="false"/>
    </xf>
    <xf numFmtId="164" fontId="24" fillId="0" borderId="1" xfId="0" applyFont="true" applyBorder="true" applyAlignment="true" applyProtection="false">
      <alignment horizontal="left" vertical="center" textRotation="0" wrapText="true" indent="0" shrinkToFit="false"/>
      <protection locked="true" hidden="false"/>
    </xf>
    <xf numFmtId="164" fontId="19" fillId="0" borderId="0" xfId="0" applyFont="true" applyBorder="true" applyAlignment="true" applyProtection="false">
      <alignment horizontal="general" vertical="top" textRotation="0" wrapText="true" indent="0" shrinkToFit="false"/>
      <protection locked="true" hidden="false"/>
    </xf>
    <xf numFmtId="164" fontId="21" fillId="4" borderId="1" xfId="0" applyFont="true" applyBorder="true" applyAlignment="true" applyProtection="false">
      <alignment horizontal="center" vertical="center" textRotation="0" wrapText="false" indent="0" shrinkToFit="false"/>
      <protection locked="true" hidden="false"/>
    </xf>
    <xf numFmtId="164" fontId="21" fillId="4" borderId="1" xfId="0" applyFont="true" applyBorder="true" applyAlignment="true" applyProtection="false">
      <alignment horizontal="general" vertical="center"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8" fontId="13" fillId="0" borderId="0" xfId="0" applyFont="true" applyBorder="false" applyAlignment="true" applyProtection="false">
      <alignment horizontal="general" vertical="bottom" textRotation="0" wrapText="false" indent="0" shrinkToFit="false"/>
      <protection locked="true" hidden="false"/>
    </xf>
    <xf numFmtId="169" fontId="13" fillId="0" borderId="0" xfId="0" applyFont="true" applyBorder="false" applyAlignment="true" applyProtection="false">
      <alignment horizontal="general" vertical="bottom" textRotation="0" wrapText="false" indent="0" shrinkToFit="false"/>
      <protection locked="true" hidden="false"/>
    </xf>
    <xf numFmtId="164" fontId="13" fillId="0" borderId="1" xfId="0" applyFont="true" applyBorder="true" applyAlignment="true" applyProtection="false">
      <alignment horizontal="center" vertical="top" textRotation="0" wrapText="true" indent="0" shrinkToFit="false"/>
      <protection locked="true" hidden="false"/>
    </xf>
    <xf numFmtId="164" fontId="12" fillId="0" borderId="1" xfId="0" applyFont="true" applyBorder="true" applyAlignment="true" applyProtection="false">
      <alignment horizontal="left" vertical="center" textRotation="0" wrapText="false" indent="0" shrinkToFit="false"/>
      <protection locked="true" hidden="false"/>
    </xf>
    <xf numFmtId="164" fontId="24" fillId="0" borderId="1" xfId="0" applyFont="true" applyBorder="true" applyAlignment="true" applyProtection="false">
      <alignment horizontal="left" vertical="center" textRotation="0" wrapText="false" indent="0" shrinkToFit="false"/>
      <protection locked="true" hidden="false"/>
    </xf>
    <xf numFmtId="164" fontId="0" fillId="5" borderId="1" xfId="0" applyFont="false" applyBorder="true" applyAlignment="true" applyProtection="false">
      <alignment horizontal="center" vertical="center" textRotation="0" wrapText="false" indent="0" shrinkToFit="false"/>
      <protection locked="true" hidden="false"/>
    </xf>
    <xf numFmtId="164" fontId="27" fillId="0" borderId="1" xfId="0" applyFont="true" applyBorder="true" applyAlignment="true" applyProtection="false">
      <alignment horizontal="general" vertical="top" textRotation="0" wrapText="true" indent="0" shrinkToFit="false"/>
      <protection locked="true" hidden="false"/>
    </xf>
    <xf numFmtId="164" fontId="28" fillId="4" borderId="1" xfId="0" applyFont="true" applyBorder="true" applyAlignment="true" applyProtection="false">
      <alignment horizontal="center" vertical="center" textRotation="0" wrapText="true" indent="0" shrinkToFit="false"/>
      <protection locked="true" hidden="false"/>
    </xf>
    <xf numFmtId="166" fontId="9" fillId="0" borderId="1" xfId="0" applyFont="true" applyBorder="true" applyAlignment="true" applyProtection="false">
      <alignment horizontal="center" vertical="center" textRotation="0" wrapText="false" indent="0" shrinkToFit="false"/>
      <protection locked="true" hidden="false"/>
    </xf>
    <xf numFmtId="165" fontId="27" fillId="5" borderId="1" xfId="0" applyFont="true" applyBorder="true" applyAlignment="true" applyProtection="false">
      <alignment horizontal="center" vertical="center" textRotation="0" wrapText="true" indent="0" shrinkToFit="false"/>
      <protection locked="true" hidden="false"/>
    </xf>
    <xf numFmtId="164" fontId="12" fillId="5" borderId="1"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false" indent="0" shrinkToFit="false"/>
      <protection locked="true" hidden="false"/>
    </xf>
    <xf numFmtId="164" fontId="8" fillId="5" borderId="1" xfId="0" applyFont="true" applyBorder="true" applyAlignment="true" applyProtection="false">
      <alignment horizontal="center" vertical="center" textRotation="0" wrapText="true" indent="0" shrinkToFit="false"/>
      <protection locked="true" hidden="false"/>
    </xf>
    <xf numFmtId="166" fontId="10" fillId="5" borderId="1" xfId="0" applyFont="true" applyBorder="true" applyAlignment="true" applyProtection="false">
      <alignment horizontal="center" vertical="center" textRotation="0" wrapText="true" indent="0" shrinkToFit="false"/>
      <protection locked="true" hidden="false"/>
    </xf>
    <xf numFmtId="164" fontId="18" fillId="0" borderId="1" xfId="0" applyFont="true" applyBorder="true" applyAlignment="true" applyProtection="false">
      <alignment horizontal="center" vertical="center" textRotation="0" wrapText="false" indent="0" shrinkToFit="false"/>
      <protection locked="true" hidden="false"/>
    </xf>
    <xf numFmtId="164" fontId="12" fillId="4"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bgColor rgb="FF9DC3E6"/>
        </patternFill>
      </fill>
    </dxf>
    <dxf>
      <fill>
        <patternFill>
          <bgColor rgb="FFDDEBF7"/>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548235"/>
      <rgbColor rgb="FF800080"/>
      <rgbColor rgb="FF008080"/>
      <rgbColor rgb="FFBFBFBF"/>
      <rgbColor rgb="FF7F7F7F"/>
      <rgbColor rgb="FF9999FF"/>
      <rgbColor rgb="FF993366"/>
      <rgbColor rgb="FFF2F2F2"/>
      <rgbColor rgb="FFDDEBF7"/>
      <rgbColor rgb="FF660066"/>
      <rgbColor rgb="FFFF8080"/>
      <rgbColor rgb="FF0563C1"/>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BF8F00"/>
      <rgbColor rgb="FFC55A11"/>
      <rgbColor rgb="FF595959"/>
      <rgbColor rgb="FF969696"/>
      <rgbColor rgb="FF1F3864"/>
      <rgbColor rgb="FF339966"/>
      <rgbColor rgb="FF003300"/>
      <rgbColor rgb="FF333300"/>
      <rgbColor rgb="FF993300"/>
      <rgbColor rgb="FF993366"/>
      <rgbColor rgb="FF2F5597"/>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D4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30"/>
    <col collapsed="false" customWidth="true" hidden="false" outlineLevel="0" max="3" min="3" style="1" width="24"/>
    <col collapsed="false" customWidth="true" hidden="false" outlineLevel="0" max="4" min="4" style="1" width="78"/>
  </cols>
  <sheetData>
    <row r="1" customFormat="false" ht="24" hidden="false" customHeight="true" outlineLevel="0" collapsed="false">
      <c r="A1" s="2" t="s">
        <v>0</v>
      </c>
    </row>
    <row r="2" customFormat="false" ht="15" hidden="false" customHeight="true" outlineLevel="0" collapsed="false">
      <c r="A2" s="3" t="s">
        <v>1</v>
      </c>
    </row>
    <row r="4" customFormat="false" ht="15" hidden="false" customHeight="true" outlineLevel="0" collapsed="false">
      <c r="B4" s="4" t="s">
        <v>2</v>
      </c>
      <c r="C4" s="5"/>
      <c r="D4" s="5"/>
    </row>
    <row r="5" customFormat="false" ht="42" hidden="false" customHeight="true" outlineLevel="0" collapsed="false">
      <c r="B5" s="6" t="s">
        <v>3</v>
      </c>
      <c r="C5" s="7" t="n">
        <v>13</v>
      </c>
      <c r="D5" s="8" t="s">
        <v>4</v>
      </c>
    </row>
    <row r="6" customFormat="false" ht="16.5" hidden="false" customHeight="true" outlineLevel="0" collapsed="false">
      <c r="B6" s="6" t="s">
        <v>5</v>
      </c>
      <c r="C6" s="7" t="n">
        <v>12</v>
      </c>
      <c r="D6" s="9" t="s">
        <v>6</v>
      </c>
    </row>
    <row r="7" customFormat="false" ht="16.5" hidden="false" customHeight="true" outlineLevel="0" collapsed="false">
      <c r="B7" s="6" t="s">
        <v>7</v>
      </c>
      <c r="C7" s="10" t="n">
        <f aca="false">C5*C6</f>
        <v>156</v>
      </c>
      <c r="D7" s="9" t="s">
        <v>8</v>
      </c>
    </row>
    <row r="8" customFormat="false" ht="16.5" hidden="false" customHeight="true" outlineLevel="0" collapsed="false">
      <c r="B8" s="6" t="s">
        <v>9</v>
      </c>
      <c r="C8" s="10" t="n">
        <f aca="false">COUNTA(캐릭터!$D$5:$D$19)</f>
        <v>15</v>
      </c>
      <c r="D8" s="9" t="s">
        <v>10</v>
      </c>
    </row>
    <row r="9" customFormat="false" ht="16.5" hidden="false" customHeight="true" outlineLevel="0" collapsed="false">
      <c r="B9" s="6" t="s">
        <v>11</v>
      </c>
      <c r="C9" s="10" t="n">
        <f aca="false">COUNTIF(캐릭터!$G$5:$G$19,"남")</f>
        <v>8</v>
      </c>
      <c r="D9" s="9" t="s">
        <v>12</v>
      </c>
    </row>
    <row r="10" customFormat="false" ht="16.5" hidden="false" customHeight="true" outlineLevel="0" collapsed="false">
      <c r="B10" s="6" t="s">
        <v>13</v>
      </c>
      <c r="C10" s="10" t="n">
        <f aca="false">COUNTIF(캐릭터!$G$5:$G$19,"여")</f>
        <v>7</v>
      </c>
      <c r="D10" s="8"/>
    </row>
    <row r="11" customFormat="false" ht="29.25" hidden="false" customHeight="true" outlineLevel="0" collapsed="false">
      <c r="B11" s="11" t="s">
        <v>14</v>
      </c>
      <c r="C11" s="12" t="n">
        <v>6</v>
      </c>
      <c r="D11" s="9" t="s">
        <v>15</v>
      </c>
    </row>
    <row r="12" customFormat="false" ht="16.5" hidden="false" customHeight="true" outlineLevel="0" collapsed="false">
      <c r="B12" s="6" t="s">
        <v>16</v>
      </c>
      <c r="C12" s="9" t="s">
        <v>17</v>
      </c>
      <c r="D12" s="9" t="s">
        <v>18</v>
      </c>
    </row>
    <row r="13" customFormat="false" ht="29.25" hidden="false" customHeight="true" outlineLevel="0" collapsed="false">
      <c r="B13" s="6" t="s">
        <v>19</v>
      </c>
      <c r="C13" s="9" t="s">
        <v>20</v>
      </c>
      <c r="D13" s="8" t="str">
        <f aca="false">"지문(didascalies) 없음. 화당 "&amp;턴_설계!$B$5&amp;"턴 × "&amp;C7&amp;"화 = "&amp;TEXT(C7*턴_설계!$B$5,"#,##0")&amp;"턴. 상세는 '대화문규칙'·'턴_설계' 시트."</f>
        <v>지문(didascalies) 없음. 화당 120턴 × 156화 = 18,720턴. 상세는 '대화문규칙'·'턴_설계' 시트.</v>
      </c>
    </row>
    <row r="15" customFormat="false" ht="15" hidden="false" customHeight="true" outlineLevel="0" collapsed="false">
      <c r="B15" s="4" t="s">
        <v>21</v>
      </c>
      <c r="C15" s="5"/>
      <c r="D15" s="5"/>
    </row>
    <row r="16" customFormat="false" ht="16.5" hidden="false" customHeight="true" outlineLevel="0" collapsed="false">
      <c r="B16" s="13" t="s">
        <v>22</v>
      </c>
      <c r="C16" s="10" t="n">
        <f aca="false">COUNTIF(캐릭터!$B$5:$B$19,B16)</f>
        <v>4</v>
      </c>
      <c r="D16" s="8" t="s">
        <v>23</v>
      </c>
    </row>
    <row r="17" customFormat="false" ht="29.25" hidden="false" customHeight="true" outlineLevel="0" collapsed="false">
      <c r="B17" s="13" t="s">
        <v>24</v>
      </c>
      <c r="C17" s="10" t="n">
        <f aca="false">COUNTIF(캐릭터!$B$5:$B$19,B17)</f>
        <v>7</v>
      </c>
      <c r="D17" s="8" t="s">
        <v>25</v>
      </c>
    </row>
    <row r="18" customFormat="false" ht="16.5" hidden="false" customHeight="true" outlineLevel="0" collapsed="false">
      <c r="B18" s="13" t="s">
        <v>26</v>
      </c>
      <c r="C18" s="10" t="n">
        <f aca="false">COUNTIF(캐릭터!$B$5:$B$19,B18)</f>
        <v>3</v>
      </c>
      <c r="D18" s="8" t="s">
        <v>27</v>
      </c>
    </row>
    <row r="19" customFormat="false" ht="16.5" hidden="false" customHeight="true" outlineLevel="0" collapsed="false">
      <c r="B19" s="13" t="s">
        <v>28</v>
      </c>
      <c r="C19" s="10" t="n">
        <f aca="false">COUNTIF(캐릭터!$B$5:$B$19,B19)</f>
        <v>1</v>
      </c>
      <c r="D19" s="8" t="s">
        <v>29</v>
      </c>
    </row>
    <row r="22" customFormat="false" ht="15" hidden="false" customHeight="true" outlineLevel="0" collapsed="false">
      <c r="B22" s="4" t="s">
        <v>30</v>
      </c>
      <c r="C22" s="5"/>
      <c r="D22" s="5"/>
    </row>
    <row r="23" customFormat="false" ht="15" hidden="false" customHeight="true" outlineLevel="0" collapsed="false">
      <c r="B23" s="14" t="s">
        <v>31</v>
      </c>
      <c r="C23" s="15" t="s">
        <v>32</v>
      </c>
      <c r="D23" s="8" t="s">
        <v>33</v>
      </c>
    </row>
    <row r="24" customFormat="false" ht="15" hidden="false" customHeight="true" outlineLevel="0" collapsed="false">
      <c r="B24" s="14" t="s">
        <v>34</v>
      </c>
      <c r="C24" s="15" t="s">
        <v>32</v>
      </c>
      <c r="D24" s="8" t="s">
        <v>35</v>
      </c>
    </row>
    <row r="25" customFormat="false" ht="29.25" hidden="false" customHeight="true" outlineLevel="0" collapsed="false">
      <c r="B25" s="14" t="s">
        <v>36</v>
      </c>
      <c r="C25" s="15" t="s">
        <v>32</v>
      </c>
      <c r="D25" s="9" t="s">
        <v>37</v>
      </c>
    </row>
    <row r="26" customFormat="false" ht="15" hidden="false" customHeight="true" outlineLevel="0" collapsed="false">
      <c r="B26" s="16" t="s">
        <v>38</v>
      </c>
      <c r="C26" s="15" t="s">
        <v>39</v>
      </c>
      <c r="D26" s="8" t="s">
        <v>40</v>
      </c>
    </row>
    <row r="27" customFormat="false" ht="15" hidden="false" customHeight="true" outlineLevel="0" collapsed="false">
      <c r="B27" s="14" t="s">
        <v>41</v>
      </c>
      <c r="C27" s="15" t="s">
        <v>42</v>
      </c>
      <c r="D27" s="8" t="s">
        <v>43</v>
      </c>
    </row>
    <row r="28" customFormat="false" ht="15" hidden="false" customHeight="true" outlineLevel="0" collapsed="false">
      <c r="B28" s="14" t="s">
        <v>44</v>
      </c>
      <c r="C28" s="15" t="s">
        <v>45</v>
      </c>
      <c r="D28" s="8" t="s">
        <v>46</v>
      </c>
    </row>
    <row r="29" customFormat="false" ht="15" hidden="false" customHeight="true" outlineLevel="0" collapsed="false">
      <c r="B29" s="14" t="s">
        <v>47</v>
      </c>
      <c r="C29" s="15" t="s">
        <v>42</v>
      </c>
      <c r="D29" s="9" t="s">
        <v>48</v>
      </c>
    </row>
    <row r="30" customFormat="false" ht="15" hidden="false" customHeight="true" outlineLevel="0" collapsed="false">
      <c r="B30" s="14" t="s">
        <v>49</v>
      </c>
      <c r="C30" s="15" t="s">
        <v>50</v>
      </c>
      <c r="D30" s="9" t="s">
        <v>51</v>
      </c>
    </row>
    <row r="31" customFormat="false" ht="15" hidden="false" customHeight="true" outlineLevel="0" collapsed="false">
      <c r="B31" s="14" t="s">
        <v>52</v>
      </c>
      <c r="C31" s="15" t="s">
        <v>50</v>
      </c>
      <c r="D31" s="9" t="s">
        <v>53</v>
      </c>
    </row>
    <row r="32" customFormat="false" ht="15" hidden="false" customHeight="true" outlineLevel="0" collapsed="false">
      <c r="B32" s="14" t="s">
        <v>54</v>
      </c>
      <c r="C32" s="15" t="s">
        <v>55</v>
      </c>
      <c r="D32" s="9" t="s">
        <v>56</v>
      </c>
    </row>
    <row r="33" customFormat="false" ht="15" hidden="false" customHeight="true" outlineLevel="0" collapsed="false">
      <c r="B33" s="14" t="s">
        <v>57</v>
      </c>
      <c r="C33" s="15" t="s">
        <v>55</v>
      </c>
      <c r="D33" s="9" t="s">
        <v>58</v>
      </c>
    </row>
    <row r="34" customFormat="false" ht="15" hidden="false" customHeight="true" outlineLevel="0" collapsed="false">
      <c r="B34" s="14" t="s">
        <v>59</v>
      </c>
      <c r="C34" s="15" t="s">
        <v>60</v>
      </c>
      <c r="D34" s="8" t="s">
        <v>61</v>
      </c>
    </row>
    <row r="35" customFormat="false" ht="15" hidden="false" customHeight="true" outlineLevel="0" collapsed="false">
      <c r="B35" s="16" t="s">
        <v>62</v>
      </c>
      <c r="C35" s="15" t="s">
        <v>60</v>
      </c>
      <c r="D35" s="9" t="s">
        <v>63</v>
      </c>
    </row>
    <row r="36" customFormat="false" ht="15" hidden="false" customHeight="true" outlineLevel="0" collapsed="false">
      <c r="B36" s="16" t="s">
        <v>64</v>
      </c>
      <c r="C36" s="15" t="s">
        <v>65</v>
      </c>
      <c r="D36" s="9" t="s">
        <v>66</v>
      </c>
    </row>
    <row r="37" customFormat="false" ht="15" hidden="false" customHeight="true" outlineLevel="0" collapsed="false">
      <c r="B37" s="16" t="s">
        <v>67</v>
      </c>
      <c r="C37" s="15" t="s">
        <v>65</v>
      </c>
      <c r="D37" s="9" t="s">
        <v>68</v>
      </c>
    </row>
    <row r="38" customFormat="false" ht="15" hidden="false" customHeight="true" outlineLevel="0" collapsed="false">
      <c r="B38" s="14" t="s">
        <v>69</v>
      </c>
      <c r="C38" s="15" t="s">
        <v>60</v>
      </c>
      <c r="D38" s="9" t="s">
        <v>70</v>
      </c>
    </row>
    <row r="39" customFormat="false" ht="15" hidden="false" customHeight="true" outlineLevel="0" collapsed="false">
      <c r="B39" s="17" t="s">
        <v>71</v>
      </c>
      <c r="C39" s="15" t="s">
        <v>72</v>
      </c>
      <c r="D39" s="18" t="s">
        <v>73</v>
      </c>
    </row>
    <row r="40" customFormat="false" ht="15" hidden="false" customHeight="true" outlineLevel="0" collapsed="false">
      <c r="B40" s="14"/>
      <c r="C40" s="15"/>
      <c r="D40" s="9"/>
    </row>
    <row r="42" customFormat="false" ht="15" hidden="false" customHeight="true" outlineLevel="0" collapsed="false">
      <c r="B42" s="4" t="s">
        <v>74</v>
      </c>
      <c r="C42" s="5"/>
      <c r="D42" s="5"/>
    </row>
    <row r="43" customFormat="false" ht="15" hidden="false" customHeight="true" outlineLevel="0" collapsed="false">
      <c r="B43" s="19" t="s">
        <v>75</v>
      </c>
      <c r="C43" s="15" t="s">
        <v>76</v>
      </c>
      <c r="D43" s="20"/>
    </row>
    <row r="44" customFormat="false" ht="15" hidden="false" customHeight="true" outlineLevel="0" collapsed="false">
      <c r="B44" s="21" t="s">
        <v>77</v>
      </c>
      <c r="C44" s="15" t="s">
        <v>78</v>
      </c>
      <c r="D44" s="20"/>
    </row>
    <row r="45" customFormat="false" ht="15" hidden="false" customHeight="true" outlineLevel="0" collapsed="false">
      <c r="B45" s="15" t="s">
        <v>79</v>
      </c>
      <c r="C45" s="15" t="s">
        <v>80</v>
      </c>
      <c r="D45" s="20"/>
    </row>
    <row r="47" customFormat="false" ht="15" hidden="false" customHeight="true" outlineLevel="0" collapsed="false">
      <c r="B47" s="22" t="s">
        <v>81</v>
      </c>
    </row>
  </sheetData>
  <hyperlinks>
    <hyperlink ref="B23" location="'캐릭터'!A1" display="캐릭터"/>
    <hyperlink ref="B24" location="'등장비중'!A1" display="등장비중"/>
    <hyperlink ref="B25" location="'턴_설계'!A1" display="턴_설계"/>
    <hyperlink ref="B26" location="'13부_구성'!A1" display="13부_구성"/>
    <hyperlink ref="B27" location="'아크_구성계획'!A1" display="아크_구성계획"/>
    <hyperlink ref="B28" location="'화별목차_전체'!A1" display="화별목차_전체"/>
    <hyperlink ref="B29" location="'복선_회수'!A1" display="복선_회수"/>
    <hyperlink ref="B30" location="'현안_배치'!A1" display="현안_배치"/>
    <hyperlink ref="B31" location="'현안_분포'!A1" display="현안_분포"/>
    <hyperlink ref="B32" location="'정치제도'!A1" display="정치제도"/>
    <hyperlink ref="B33" location="'정치경로_의석'!A1" display="정치경로_의석"/>
    <hyperlink ref="B34" location="'호칭규칙'!A1" display="호칭규칙"/>
    <hyperlink ref="B35" location="'Manon_폭발과욕'!A1" display="Manon_폭발과욕"/>
    <hyperlink ref="B36" location="'Napoléon_죽음'!A1" display="Napoléon_죽음"/>
    <hyperlink ref="B37" location="'Curie_출처'!A1" display="Curie_출처"/>
    <hyperlink ref="B38" location="'대화문규칙'!A1" display="대화문규칙"/>
    <hyperlink ref="B39" location="'변경이력_미결'!A1" display="변경이력_미결"/>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true"/>
  </sheetPr>
  <dimension ref="A1:S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14"/>
    <col collapsed="false" customWidth="true" hidden="false" outlineLevel="0" max="3" min="3" style="1" width="24"/>
    <col collapsed="false" customWidth="true" hidden="false" outlineLevel="0" max="4" min="4" style="1" width="10"/>
    <col collapsed="false" customWidth="true" hidden="false" outlineLevel="0" max="5" min="5" style="1" width="8"/>
    <col collapsed="false" customWidth="true" hidden="false" outlineLevel="0" max="6" min="6" style="1" width="10"/>
    <col collapsed="false" customWidth="true" hidden="false" outlineLevel="0" max="7" min="7" style="1" width="6"/>
    <col collapsed="false" customWidth="true" hidden="false" outlineLevel="0" max="8" min="8" style="1" width="22"/>
    <col collapsed="false" customWidth="true" hidden="false" outlineLevel="0" max="9" min="9" style="1" width="26"/>
    <col collapsed="false" customWidth="true" hidden="false" outlineLevel="0" max="10" min="10" style="1" width="30"/>
    <col collapsed="false" customWidth="true" hidden="false" outlineLevel="0" max="11" min="11" style="1" width="34"/>
    <col collapsed="false" customWidth="true" hidden="false" outlineLevel="0" max="12" min="12" style="1" width="44"/>
    <col collapsed="false" customWidth="true" hidden="false" outlineLevel="0" max="13" min="13" style="1" width="30"/>
    <col collapsed="false" customWidth="true" hidden="false" outlineLevel="0" max="14" min="14" style="1" width="36"/>
    <col collapsed="false" customWidth="true" hidden="false" outlineLevel="0" max="15" min="15" style="1" width="24"/>
    <col collapsed="false" customWidth="true" hidden="false" outlineLevel="0" max="16" min="16" style="1" width="20"/>
    <col collapsed="false" customWidth="true" hidden="false" outlineLevel="0" max="17" min="17" style="1" width="9"/>
    <col collapsed="false" customWidth="true" hidden="false" outlineLevel="0" max="18" min="18" style="1" width="11"/>
    <col collapsed="false" customWidth="true" hidden="false" outlineLevel="0" max="19" min="19" style="1" width="16"/>
  </cols>
  <sheetData>
    <row r="1" customFormat="false" ht="24" hidden="false" customHeight="true" outlineLevel="0" collapsed="false">
      <c r="A1" s="23" t="s">
        <v>82</v>
      </c>
    </row>
    <row r="2" customFormat="false" ht="15" hidden="false" customHeight="true" outlineLevel="0" collapsed="false">
      <c r="A2" s="3" t="s">
        <v>1</v>
      </c>
    </row>
    <row r="4" customFormat="false" ht="31.5" hidden="false" customHeight="true" outlineLevel="0" collapsed="false">
      <c r="A4" s="24" t="s">
        <v>83</v>
      </c>
      <c r="B4" s="25" t="s">
        <v>84</v>
      </c>
      <c r="C4" s="25" t="s">
        <v>85</v>
      </c>
      <c r="D4" s="25" t="s">
        <v>86</v>
      </c>
      <c r="E4" s="25" t="s">
        <v>87</v>
      </c>
      <c r="F4" s="25" t="s">
        <v>88</v>
      </c>
      <c r="G4" s="25" t="s">
        <v>89</v>
      </c>
      <c r="H4" s="25" t="s">
        <v>90</v>
      </c>
      <c r="I4" s="25" t="s">
        <v>91</v>
      </c>
      <c r="J4" s="25" t="s">
        <v>92</v>
      </c>
      <c r="K4" s="25" t="s">
        <v>93</v>
      </c>
      <c r="L4" s="25" t="s">
        <v>94</v>
      </c>
      <c r="M4" s="25" t="s">
        <v>95</v>
      </c>
      <c r="N4" s="25" t="s">
        <v>96</v>
      </c>
      <c r="O4" s="25" t="s">
        <v>97</v>
      </c>
      <c r="P4" s="24" t="s">
        <v>98</v>
      </c>
      <c r="Q4" s="25" t="s">
        <v>99</v>
      </c>
      <c r="R4" s="25" t="s">
        <v>100</v>
      </c>
      <c r="S4" s="25" t="s">
        <v>101</v>
      </c>
    </row>
    <row r="5" customFormat="false" ht="93" hidden="false" customHeight="true" outlineLevel="0" collapsed="false">
      <c r="A5" s="26" t="n">
        <v>1</v>
      </c>
      <c r="B5" s="9" t="s">
        <v>22</v>
      </c>
      <c r="C5" s="11" t="s">
        <v>102</v>
      </c>
      <c r="D5" s="11" t="s">
        <v>103</v>
      </c>
      <c r="E5" s="27" t="n">
        <v>39</v>
      </c>
      <c r="F5" s="26" t="n">
        <f aca="false">E5+개요!$C$11</f>
        <v>45</v>
      </c>
      <c r="G5" s="28" t="s">
        <v>104</v>
      </c>
      <c r="H5" s="9" t="s">
        <v>105</v>
      </c>
      <c r="I5" s="8" t="s">
        <v>106</v>
      </c>
      <c r="J5" s="9" t="s">
        <v>107</v>
      </c>
      <c r="K5" s="9" t="s">
        <v>108</v>
      </c>
      <c r="L5" s="8" t="s">
        <v>109</v>
      </c>
      <c r="M5" s="9" t="s">
        <v>110</v>
      </c>
      <c r="N5" s="9" t="s">
        <v>111</v>
      </c>
      <c r="O5" s="9" t="s">
        <v>112</v>
      </c>
      <c r="P5" s="9" t="s">
        <v>113</v>
      </c>
      <c r="Q5" s="26" t="n">
        <f aca="false">INDEX(등장비중!$O$5:$O$19,MATCH($D5,등장비중!$A$5:$A$19,0))</f>
        <v>108</v>
      </c>
      <c r="R5" s="26" t="str">
        <f aca="false">INDEX(등장비중!$Q$5:$Q$19,MATCH($D5,등장비중!$A$5:$A$19,0))</f>
        <v>주연</v>
      </c>
      <c r="S5" s="26" t="s">
        <v>114</v>
      </c>
    </row>
    <row r="6" customFormat="false" ht="54.75" hidden="false" customHeight="true" outlineLevel="0" collapsed="false">
      <c r="A6" s="26" t="n">
        <v>2</v>
      </c>
      <c r="B6" s="9" t="s">
        <v>22</v>
      </c>
      <c r="C6" s="11" t="s">
        <v>115</v>
      </c>
      <c r="D6" s="11" t="s">
        <v>116</v>
      </c>
      <c r="E6" s="27" t="n">
        <v>41</v>
      </c>
      <c r="F6" s="26" t="n">
        <f aca="false">E6+개요!$C$11</f>
        <v>47</v>
      </c>
      <c r="G6" s="28" t="s">
        <v>117</v>
      </c>
      <c r="H6" s="9" t="s">
        <v>118</v>
      </c>
      <c r="I6" s="8" t="s">
        <v>119</v>
      </c>
      <c r="J6" s="9" t="s">
        <v>120</v>
      </c>
      <c r="K6" s="9" t="s">
        <v>121</v>
      </c>
      <c r="L6" s="8" t="s">
        <v>122</v>
      </c>
      <c r="M6" s="9" t="s">
        <v>123</v>
      </c>
      <c r="N6" s="9" t="s">
        <v>124</v>
      </c>
      <c r="O6" s="9" t="s">
        <v>125</v>
      </c>
      <c r="P6" s="9" t="s">
        <v>113</v>
      </c>
      <c r="Q6" s="26" t="n">
        <f aca="false">INDEX(등장비중!$O$5:$O$19,MATCH($D6,등장비중!$A$5:$A$19,0))</f>
        <v>98</v>
      </c>
      <c r="R6" s="26" t="str">
        <f aca="false">INDEX(등장비중!$Q$5:$Q$19,MATCH($D6,등장비중!$A$5:$A$19,0))</f>
        <v>준주연</v>
      </c>
      <c r="S6" s="26" t="s">
        <v>126</v>
      </c>
    </row>
    <row r="7" customFormat="false" ht="46.5" hidden="false" customHeight="true" outlineLevel="0" collapsed="false">
      <c r="A7" s="26" t="n">
        <v>3</v>
      </c>
      <c r="B7" s="9" t="s">
        <v>22</v>
      </c>
      <c r="C7" s="11" t="s">
        <v>127</v>
      </c>
      <c r="D7" s="11" t="s">
        <v>128</v>
      </c>
      <c r="E7" s="27" t="n">
        <v>37</v>
      </c>
      <c r="F7" s="26" t="n">
        <f aca="false">E7+개요!$C$11</f>
        <v>43</v>
      </c>
      <c r="G7" s="28" t="s">
        <v>104</v>
      </c>
      <c r="H7" s="9" t="s">
        <v>129</v>
      </c>
      <c r="I7" s="8" t="s">
        <v>130</v>
      </c>
      <c r="J7" s="9" t="s">
        <v>131</v>
      </c>
      <c r="K7" s="9" t="s">
        <v>132</v>
      </c>
      <c r="L7" s="8" t="s">
        <v>133</v>
      </c>
      <c r="M7" s="9" t="s">
        <v>134</v>
      </c>
      <c r="N7" s="9" t="s">
        <v>135</v>
      </c>
      <c r="O7" s="9" t="s">
        <v>136</v>
      </c>
      <c r="P7" s="9" t="s">
        <v>113</v>
      </c>
      <c r="Q7" s="26" t="n">
        <f aca="false">INDEX(등장비중!$O$5:$O$19,MATCH($D7,등장비중!$A$5:$A$19,0))</f>
        <v>110</v>
      </c>
      <c r="R7" s="26" t="str">
        <f aca="false">INDEX(등장비중!$Q$5:$Q$19,MATCH($D7,등장비중!$A$5:$A$19,0))</f>
        <v>주연</v>
      </c>
      <c r="S7" s="26" t="s">
        <v>137</v>
      </c>
    </row>
    <row r="8" customFormat="false" ht="67.5" hidden="false" customHeight="true" outlineLevel="0" collapsed="false">
      <c r="A8" s="26" t="n">
        <v>4</v>
      </c>
      <c r="B8" s="9" t="s">
        <v>22</v>
      </c>
      <c r="C8" s="11" t="s">
        <v>138</v>
      </c>
      <c r="D8" s="11" t="s">
        <v>139</v>
      </c>
      <c r="E8" s="27" t="n">
        <v>36</v>
      </c>
      <c r="F8" s="26" t="n">
        <f aca="false">E8+개요!$C$11</f>
        <v>42</v>
      </c>
      <c r="G8" s="28" t="s">
        <v>117</v>
      </c>
      <c r="H8" s="9" t="s">
        <v>140</v>
      </c>
      <c r="I8" s="8" t="s">
        <v>141</v>
      </c>
      <c r="J8" s="9" t="s">
        <v>142</v>
      </c>
      <c r="K8" s="9" t="s">
        <v>143</v>
      </c>
      <c r="L8" s="8" t="s">
        <v>144</v>
      </c>
      <c r="M8" s="9" t="s">
        <v>145</v>
      </c>
      <c r="N8" s="9" t="s">
        <v>146</v>
      </c>
      <c r="O8" s="9" t="s">
        <v>147</v>
      </c>
      <c r="P8" s="9" t="s">
        <v>113</v>
      </c>
      <c r="Q8" s="26" t="n">
        <f aca="false">INDEX(등장비중!$O$5:$O$19,MATCH($D8,등장비중!$A$5:$A$19,0))</f>
        <v>101</v>
      </c>
      <c r="R8" s="26" t="str">
        <f aca="false">INDEX(등장비중!$Q$5:$Q$19,MATCH($D8,등장비중!$A$5:$A$19,0))</f>
        <v>준주연</v>
      </c>
      <c r="S8" s="26" t="s">
        <v>148</v>
      </c>
    </row>
    <row r="9" customFormat="false" ht="170.25" hidden="false" customHeight="true" outlineLevel="0" collapsed="false">
      <c r="A9" s="26" t="n">
        <v>5</v>
      </c>
      <c r="B9" s="9" t="s">
        <v>24</v>
      </c>
      <c r="C9" s="11" t="s">
        <v>149</v>
      </c>
      <c r="D9" s="11" t="s">
        <v>150</v>
      </c>
      <c r="E9" s="27" t="n">
        <v>51</v>
      </c>
      <c r="F9" s="26" t="n">
        <f aca="false">E9+개요!$C$11</f>
        <v>57</v>
      </c>
      <c r="G9" s="28" t="s">
        <v>104</v>
      </c>
      <c r="H9" s="9" t="s">
        <v>151</v>
      </c>
      <c r="I9" s="9" t="s">
        <v>152</v>
      </c>
      <c r="J9" s="9" t="s">
        <v>153</v>
      </c>
      <c r="K9" s="9" t="s">
        <v>154</v>
      </c>
      <c r="L9" s="8" t="s">
        <v>155</v>
      </c>
      <c r="M9" s="9" t="s">
        <v>156</v>
      </c>
      <c r="N9" s="9" t="s">
        <v>157</v>
      </c>
      <c r="O9" s="9" t="s">
        <v>158</v>
      </c>
      <c r="P9" s="9" t="s">
        <v>159</v>
      </c>
      <c r="Q9" s="26" t="n">
        <f aca="false">INDEX(등장비중!$O$5:$O$19,MATCH($D9,등장비중!$A$5:$A$19,0))</f>
        <v>65</v>
      </c>
      <c r="R9" s="26" t="str">
        <f aca="false">INDEX(등장비중!$Q$5:$Q$19,MATCH($D9,등장비중!$A$5:$A$19,0))</f>
        <v>핵심 조연</v>
      </c>
      <c r="S9" s="26" t="s">
        <v>160</v>
      </c>
    </row>
    <row r="10" customFormat="false" ht="76.5" hidden="false" customHeight="true" outlineLevel="0" collapsed="false">
      <c r="A10" s="26" t="n">
        <v>6</v>
      </c>
      <c r="B10" s="9" t="s">
        <v>24</v>
      </c>
      <c r="C10" s="11" t="s">
        <v>161</v>
      </c>
      <c r="D10" s="11" t="s">
        <v>161</v>
      </c>
      <c r="E10" s="27" t="n">
        <v>83</v>
      </c>
      <c r="F10" s="26" t="n">
        <f aca="false">E10+개요!$C$11</f>
        <v>89</v>
      </c>
      <c r="G10" s="28" t="s">
        <v>104</v>
      </c>
      <c r="H10" s="9" t="s">
        <v>162</v>
      </c>
      <c r="I10" s="9" t="s">
        <v>163</v>
      </c>
      <c r="J10" s="9" t="s">
        <v>164</v>
      </c>
      <c r="K10" s="9" t="s">
        <v>165</v>
      </c>
      <c r="L10" s="8" t="s">
        <v>166</v>
      </c>
      <c r="M10" s="9" t="s">
        <v>167</v>
      </c>
      <c r="N10" s="9" t="s">
        <v>168</v>
      </c>
      <c r="O10" s="9" t="s">
        <v>169</v>
      </c>
      <c r="P10" s="9" t="s">
        <v>170</v>
      </c>
      <c r="Q10" s="26" t="n">
        <f aca="false">INDEX(등장비중!$O$5:$O$19,MATCH($D10,등장비중!$A$5:$A$19,0))</f>
        <v>63</v>
      </c>
      <c r="R10" s="26" t="str">
        <f aca="false">INDEX(등장비중!$Q$5:$Q$19,MATCH($D10,등장비중!$A$5:$A$19,0))</f>
        <v>핵심 조연</v>
      </c>
      <c r="S10" s="26" t="s">
        <v>171</v>
      </c>
    </row>
    <row r="11" customFormat="false" ht="132" hidden="false" customHeight="true" outlineLevel="0" collapsed="false">
      <c r="A11" s="26" t="n">
        <v>7</v>
      </c>
      <c r="B11" s="9" t="s">
        <v>24</v>
      </c>
      <c r="C11" s="11" t="s">
        <v>172</v>
      </c>
      <c r="D11" s="11" t="s">
        <v>173</v>
      </c>
      <c r="E11" s="27" t="n">
        <v>45</v>
      </c>
      <c r="F11" s="26" t="n">
        <f aca="false">E11+개요!$C$11</f>
        <v>51</v>
      </c>
      <c r="G11" s="28" t="s">
        <v>117</v>
      </c>
      <c r="H11" s="9" t="s">
        <v>174</v>
      </c>
      <c r="I11" s="9" t="s">
        <v>175</v>
      </c>
      <c r="J11" s="9" t="s">
        <v>176</v>
      </c>
      <c r="K11" s="9" t="s">
        <v>177</v>
      </c>
      <c r="L11" s="8" t="s">
        <v>178</v>
      </c>
      <c r="M11" s="9" t="s">
        <v>179</v>
      </c>
      <c r="N11" s="9" t="s">
        <v>180</v>
      </c>
      <c r="O11" s="9" t="s">
        <v>181</v>
      </c>
      <c r="P11" s="29" t="s">
        <v>182</v>
      </c>
      <c r="Q11" s="26" t="n">
        <f aca="false">INDEX(등장비중!$O$5:$O$19,MATCH($D11,등장비중!$A$5:$A$19,0))</f>
        <v>59</v>
      </c>
      <c r="R11" s="26" t="str">
        <f aca="false">INDEX(등장비중!$Q$5:$Q$19,MATCH($D11,등장비중!$A$5:$A$19,0))</f>
        <v>조연</v>
      </c>
      <c r="S11" s="26" t="s">
        <v>183</v>
      </c>
    </row>
    <row r="12" customFormat="false" ht="61.5" hidden="false" customHeight="true" outlineLevel="0" collapsed="false">
      <c r="A12" s="26" t="n">
        <v>8</v>
      </c>
      <c r="B12" s="9" t="s">
        <v>24</v>
      </c>
      <c r="C12" s="11" t="s">
        <v>184</v>
      </c>
      <c r="D12" s="11" t="s">
        <v>185</v>
      </c>
      <c r="E12" s="27" t="n">
        <v>19</v>
      </c>
      <c r="F12" s="26" t="n">
        <f aca="false">E12+개요!$C$11</f>
        <v>25</v>
      </c>
      <c r="G12" s="28" t="s">
        <v>117</v>
      </c>
      <c r="H12" s="9" t="s">
        <v>186</v>
      </c>
      <c r="I12" s="9" t="s">
        <v>187</v>
      </c>
      <c r="J12" s="9" t="s">
        <v>188</v>
      </c>
      <c r="K12" s="9" t="s">
        <v>189</v>
      </c>
      <c r="L12" s="8" t="s">
        <v>190</v>
      </c>
      <c r="M12" s="9" t="s">
        <v>191</v>
      </c>
      <c r="N12" s="9" t="s">
        <v>192</v>
      </c>
      <c r="O12" s="9" t="s">
        <v>193</v>
      </c>
      <c r="P12" s="9" t="s">
        <v>170</v>
      </c>
      <c r="Q12" s="26" t="n">
        <f aca="false">INDEX(등장비중!$O$5:$O$19,MATCH($D12,등장비중!$A$5:$A$19,0))</f>
        <v>56</v>
      </c>
      <c r="R12" s="26" t="str">
        <f aca="false">INDEX(등장비중!$Q$5:$Q$19,MATCH($D12,등장비중!$A$5:$A$19,0))</f>
        <v>조연</v>
      </c>
      <c r="S12" s="26" t="s">
        <v>194</v>
      </c>
    </row>
    <row r="13" customFormat="false" ht="76.5" hidden="false" customHeight="true" outlineLevel="0" collapsed="false">
      <c r="A13" s="26" t="n">
        <v>9</v>
      </c>
      <c r="B13" s="9" t="s">
        <v>24</v>
      </c>
      <c r="C13" s="11" t="s">
        <v>195</v>
      </c>
      <c r="D13" s="11" t="s">
        <v>196</v>
      </c>
      <c r="E13" s="27" t="n">
        <v>74</v>
      </c>
      <c r="F13" s="26" t="n">
        <f aca="false">E13+개요!$C$11</f>
        <v>80</v>
      </c>
      <c r="G13" s="28" t="s">
        <v>104</v>
      </c>
      <c r="H13" s="9" t="s">
        <v>197</v>
      </c>
      <c r="I13" s="9" t="s">
        <v>198</v>
      </c>
      <c r="J13" s="9" t="s">
        <v>199</v>
      </c>
      <c r="K13" s="9" t="s">
        <v>200</v>
      </c>
      <c r="L13" s="8" t="s">
        <v>201</v>
      </c>
      <c r="M13" s="9" t="s">
        <v>202</v>
      </c>
      <c r="N13" s="9" t="s">
        <v>203</v>
      </c>
      <c r="O13" s="9" t="s">
        <v>204</v>
      </c>
      <c r="P13" s="9" t="s">
        <v>205</v>
      </c>
      <c r="Q13" s="26" t="n">
        <f aca="false">INDEX(등장비중!$O$5:$O$19,MATCH($D13,등장비중!$A$5:$A$19,0))</f>
        <v>45</v>
      </c>
      <c r="R13" s="26" t="str">
        <f aca="false">INDEX(등장비중!$Q$5:$Q$19,MATCH($D13,등장비중!$A$5:$A$19,0))</f>
        <v>조연</v>
      </c>
      <c r="S13" s="26" t="s">
        <v>206</v>
      </c>
    </row>
    <row r="14" customFormat="false" ht="93" hidden="false" customHeight="true" outlineLevel="0" collapsed="false">
      <c r="A14" s="26" t="n">
        <v>10</v>
      </c>
      <c r="B14" s="9" t="s">
        <v>24</v>
      </c>
      <c r="C14" s="11" t="s">
        <v>207</v>
      </c>
      <c r="D14" s="11" t="s">
        <v>208</v>
      </c>
      <c r="E14" s="27" t="n">
        <v>66</v>
      </c>
      <c r="F14" s="26" t="n">
        <f aca="false">E14+개요!$C$11</f>
        <v>72</v>
      </c>
      <c r="G14" s="28" t="s">
        <v>117</v>
      </c>
      <c r="H14" s="9" t="s">
        <v>209</v>
      </c>
      <c r="I14" s="9" t="s">
        <v>210</v>
      </c>
      <c r="J14" s="9" t="s">
        <v>211</v>
      </c>
      <c r="K14" s="9" t="s">
        <v>212</v>
      </c>
      <c r="L14" s="8" t="s">
        <v>213</v>
      </c>
      <c r="M14" s="9" t="s">
        <v>214</v>
      </c>
      <c r="N14" s="9" t="s">
        <v>215</v>
      </c>
      <c r="O14" s="9" t="s">
        <v>216</v>
      </c>
      <c r="P14" s="9" t="s">
        <v>170</v>
      </c>
      <c r="Q14" s="26" t="n">
        <f aca="false">INDEX(등장비중!$O$5:$O$19,MATCH($D14,등장비중!$A$5:$A$19,0))</f>
        <v>64</v>
      </c>
      <c r="R14" s="26" t="str">
        <f aca="false">INDEX(등장비중!$Q$5:$Q$19,MATCH($D14,등장비중!$A$5:$A$19,0))</f>
        <v>핵심 조연</v>
      </c>
      <c r="S14" s="26" t="s">
        <v>217</v>
      </c>
    </row>
    <row r="15" customFormat="false" ht="46.5" hidden="false" customHeight="true" outlineLevel="0" collapsed="false">
      <c r="A15" s="26" t="n">
        <v>11</v>
      </c>
      <c r="B15" s="9" t="s">
        <v>26</v>
      </c>
      <c r="C15" s="11" t="s">
        <v>218</v>
      </c>
      <c r="D15" s="11" t="s">
        <v>219</v>
      </c>
      <c r="E15" s="27" t="n">
        <v>63</v>
      </c>
      <c r="F15" s="26" t="n">
        <f aca="false">E15+개요!$C$11</f>
        <v>69</v>
      </c>
      <c r="G15" s="28" t="s">
        <v>117</v>
      </c>
      <c r="H15" s="9" t="s">
        <v>220</v>
      </c>
      <c r="I15" s="29" t="s">
        <v>221</v>
      </c>
      <c r="J15" s="9" t="s">
        <v>222</v>
      </c>
      <c r="K15" s="9" t="s">
        <v>223</v>
      </c>
      <c r="L15" s="8" t="s">
        <v>224</v>
      </c>
      <c r="M15" s="9" t="s">
        <v>225</v>
      </c>
      <c r="N15" s="9" t="s">
        <v>226</v>
      </c>
      <c r="O15" s="9" t="s">
        <v>227</v>
      </c>
      <c r="P15" s="9" t="s">
        <v>113</v>
      </c>
      <c r="Q15" s="26" t="n">
        <f aca="false">INDEX(등장비중!$O$5:$O$19,MATCH($D15,등장비중!$A$5:$A$19,0))</f>
        <v>69</v>
      </c>
      <c r="R15" s="26" t="str">
        <f aca="false">INDEX(등장비중!$Q$5:$Q$19,MATCH($D15,등장비중!$A$5:$A$19,0))</f>
        <v>핵심 조연</v>
      </c>
      <c r="S15" s="26" t="s">
        <v>228</v>
      </c>
    </row>
    <row r="16" customFormat="false" ht="67.5" hidden="false" customHeight="true" outlineLevel="0" collapsed="false">
      <c r="A16" s="26" t="n">
        <v>12</v>
      </c>
      <c r="B16" s="9" t="s">
        <v>26</v>
      </c>
      <c r="C16" s="11" t="s">
        <v>229</v>
      </c>
      <c r="D16" s="11" t="s">
        <v>230</v>
      </c>
      <c r="E16" s="27" t="n">
        <v>55</v>
      </c>
      <c r="F16" s="26" t="n">
        <f aca="false">E16+개요!$C$11</f>
        <v>61</v>
      </c>
      <c r="G16" s="28" t="s">
        <v>104</v>
      </c>
      <c r="H16" s="9" t="s">
        <v>231</v>
      </c>
      <c r="I16" s="29" t="s">
        <v>232</v>
      </c>
      <c r="J16" s="9" t="s">
        <v>233</v>
      </c>
      <c r="K16" s="9" t="s">
        <v>234</v>
      </c>
      <c r="L16" s="8" t="s">
        <v>235</v>
      </c>
      <c r="M16" s="9" t="s">
        <v>236</v>
      </c>
      <c r="N16" s="9" t="s">
        <v>237</v>
      </c>
      <c r="O16" s="9" t="s">
        <v>238</v>
      </c>
      <c r="P16" s="9" t="s">
        <v>170</v>
      </c>
      <c r="Q16" s="26" t="n">
        <f aca="false">INDEX(등장비중!$O$5:$O$19,MATCH($D16,등장비중!$A$5:$A$19,0))</f>
        <v>58</v>
      </c>
      <c r="R16" s="26" t="str">
        <f aca="false">INDEX(등장비중!$Q$5:$Q$19,MATCH($D16,등장비중!$A$5:$A$19,0))</f>
        <v>조연</v>
      </c>
      <c r="S16" s="26" t="s">
        <v>239</v>
      </c>
    </row>
    <row r="17" customFormat="false" ht="67.5" hidden="false" customHeight="true" outlineLevel="0" collapsed="false">
      <c r="A17" s="26" t="n">
        <v>13</v>
      </c>
      <c r="B17" s="9" t="s">
        <v>26</v>
      </c>
      <c r="C17" s="11" t="s">
        <v>240</v>
      </c>
      <c r="D17" s="11" t="s">
        <v>241</v>
      </c>
      <c r="E17" s="27" t="n">
        <v>23</v>
      </c>
      <c r="F17" s="26" t="n">
        <f aca="false">E17+개요!$C$11</f>
        <v>29</v>
      </c>
      <c r="G17" s="28" t="s">
        <v>117</v>
      </c>
      <c r="H17" s="9" t="s">
        <v>242</v>
      </c>
      <c r="I17" s="9" t="s">
        <v>243</v>
      </c>
      <c r="J17" s="9" t="s">
        <v>244</v>
      </c>
      <c r="K17" s="8" t="s">
        <v>245</v>
      </c>
      <c r="L17" s="8" t="s">
        <v>246</v>
      </c>
      <c r="M17" s="9" t="s">
        <v>247</v>
      </c>
      <c r="N17" s="9" t="s">
        <v>248</v>
      </c>
      <c r="O17" s="9" t="s">
        <v>249</v>
      </c>
      <c r="P17" s="9" t="s">
        <v>113</v>
      </c>
      <c r="Q17" s="26" t="n">
        <f aca="false">INDEX(등장비중!$O$5:$O$19,MATCH($D17,등장비중!$A$5:$A$19,0))</f>
        <v>99</v>
      </c>
      <c r="R17" s="26" t="str">
        <f aca="false">INDEX(등장비중!$Q$5:$Q$19,MATCH($D17,등장비중!$A$5:$A$19,0))</f>
        <v>준주연</v>
      </c>
      <c r="S17" s="26" t="s">
        <v>250</v>
      </c>
    </row>
    <row r="18" customFormat="false" ht="46.5" hidden="false" customHeight="true" outlineLevel="0" collapsed="false">
      <c r="A18" s="26" t="n">
        <v>14</v>
      </c>
      <c r="B18" s="9" t="s">
        <v>28</v>
      </c>
      <c r="C18" s="11" t="s">
        <v>251</v>
      </c>
      <c r="D18" s="11" t="s">
        <v>252</v>
      </c>
      <c r="E18" s="27" t="n">
        <v>58</v>
      </c>
      <c r="F18" s="26" t="n">
        <f aca="false">E18+개요!$C$11</f>
        <v>64</v>
      </c>
      <c r="G18" s="28" t="s">
        <v>104</v>
      </c>
      <c r="H18" s="9" t="s">
        <v>253</v>
      </c>
      <c r="I18" s="8" t="s">
        <v>254</v>
      </c>
      <c r="J18" s="9" t="s">
        <v>255</v>
      </c>
      <c r="K18" s="9" t="s">
        <v>256</v>
      </c>
      <c r="L18" s="8" t="s">
        <v>257</v>
      </c>
      <c r="M18" s="9" t="s">
        <v>258</v>
      </c>
      <c r="N18" s="9" t="s">
        <v>259</v>
      </c>
      <c r="O18" s="9" t="s">
        <v>260</v>
      </c>
      <c r="P18" s="9" t="s">
        <v>261</v>
      </c>
      <c r="Q18" s="26" t="n">
        <f aca="false">INDEX(등장비중!$O$5:$O$19,MATCH($D18,등장비중!$A$5:$A$19,0))</f>
        <v>56</v>
      </c>
      <c r="R18" s="26" t="str">
        <f aca="false">INDEX(등장비중!$Q$5:$Q$19,MATCH($D18,등장비중!$A$5:$A$19,0))</f>
        <v>조연</v>
      </c>
      <c r="S18" s="26" t="s">
        <v>262</v>
      </c>
    </row>
    <row r="19" customFormat="false" ht="16.5" hidden="false" customHeight="true" outlineLevel="0" collapsed="false">
      <c r="A19" s="1" t="n">
        <v>15</v>
      </c>
      <c r="B19" s="30" t="s">
        <v>24</v>
      </c>
      <c r="C19" s="1" t="s">
        <v>263</v>
      </c>
      <c r="D19" s="1" t="s">
        <v>264</v>
      </c>
      <c r="E19" s="1" t="n">
        <v>83</v>
      </c>
      <c r="F19" s="1" t="n">
        <f aca="false">E19+개요!$C$11</f>
        <v>89</v>
      </c>
      <c r="G19" s="30" t="s">
        <v>104</v>
      </c>
      <c r="H19" s="30" t="s">
        <v>265</v>
      </c>
      <c r="I19" s="30" t="s">
        <v>266</v>
      </c>
      <c r="J19" s="30" t="s">
        <v>267</v>
      </c>
      <c r="K19" s="30" t="s">
        <v>268</v>
      </c>
      <c r="L19" s="1" t="s">
        <v>269</v>
      </c>
      <c r="M19" s="30" t="s">
        <v>270</v>
      </c>
      <c r="N19" s="30" t="s">
        <v>271</v>
      </c>
      <c r="O19" s="30" t="s">
        <v>272</v>
      </c>
      <c r="P19" s="30" t="s">
        <v>170</v>
      </c>
      <c r="Q19" s="1" t="n">
        <f aca="false">INDEX(등장비중!$O$5:$O$19,MATCH($D19,등장비중!$A$5:$A$19,0))</f>
        <v>58</v>
      </c>
      <c r="R19" s="1" t="str">
        <f aca="false">INDEX(등장비중!$Q$5:$Q$19,MATCH($D19,등장비중!$A$5:$A$19,0))</f>
        <v>조연</v>
      </c>
      <c r="S19" s="1" t="s">
        <v>273</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true"/>
  </sheetPr>
  <dimension ref="A1:S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14" min="2" style="1" width="9"/>
    <col collapsed="false" customWidth="true" hidden="false" outlineLevel="0" max="16" min="15" style="1" width="8"/>
    <col collapsed="false" customWidth="true" hidden="false" outlineLevel="0" max="17" min="17" style="1" width="11"/>
    <col collapsed="false" customWidth="true" hidden="false" outlineLevel="0" max="18" min="18" style="1" width="9"/>
    <col collapsed="false" customWidth="true" hidden="false" outlineLevel="0" max="19" min="19" style="1" width="12"/>
  </cols>
  <sheetData>
    <row r="1" customFormat="false" ht="24" hidden="false" customHeight="true" outlineLevel="0" collapsed="false">
      <c r="A1" s="23" t="s">
        <v>274</v>
      </c>
    </row>
    <row r="2" customFormat="false" ht="15" hidden="false" customHeight="true" outlineLevel="0" collapsed="false">
      <c r="A2" s="22" t="s">
        <v>275</v>
      </c>
    </row>
    <row r="4" customFormat="false" ht="61.5" hidden="false" customHeight="true" outlineLevel="0" collapsed="false">
      <c r="A4" s="25" t="s">
        <v>276</v>
      </c>
      <c r="B4" s="24" t="s">
        <v>277</v>
      </c>
      <c r="C4" s="24" t="s">
        <v>278</v>
      </c>
      <c r="D4" s="24" t="s">
        <v>279</v>
      </c>
      <c r="E4" s="24" t="s">
        <v>280</v>
      </c>
      <c r="F4" s="24" t="s">
        <v>281</v>
      </c>
      <c r="G4" s="24" t="s">
        <v>282</v>
      </c>
      <c r="H4" s="24" t="s">
        <v>283</v>
      </c>
      <c r="I4" s="24" t="s">
        <v>284</v>
      </c>
      <c r="J4" s="24" t="s">
        <v>285</v>
      </c>
      <c r="K4" s="24" t="s">
        <v>286</v>
      </c>
      <c r="L4" s="24" t="s">
        <v>287</v>
      </c>
      <c r="M4" s="24" t="s">
        <v>288</v>
      </c>
      <c r="N4" s="24" t="s">
        <v>289</v>
      </c>
      <c r="O4" s="25" t="s">
        <v>290</v>
      </c>
      <c r="P4" s="25" t="s">
        <v>291</v>
      </c>
      <c r="Q4" s="25" t="s">
        <v>100</v>
      </c>
      <c r="R4" s="25" t="s">
        <v>292</v>
      </c>
      <c r="S4" s="25" t="s">
        <v>293</v>
      </c>
    </row>
    <row r="5" customFormat="false" ht="15" hidden="false" customHeight="true" outlineLevel="0" collapsed="false">
      <c r="A5" s="31" t="s">
        <v>103</v>
      </c>
      <c r="B5" s="32" t="n">
        <v>7</v>
      </c>
      <c r="C5" s="32" t="n">
        <v>12</v>
      </c>
      <c r="D5" s="32" t="n">
        <v>3</v>
      </c>
      <c r="E5" s="32" t="n">
        <v>3</v>
      </c>
      <c r="F5" s="32" t="n">
        <v>3</v>
      </c>
      <c r="G5" s="32" t="n">
        <v>12</v>
      </c>
      <c r="H5" s="32" t="n">
        <v>11</v>
      </c>
      <c r="I5" s="32" t="n">
        <v>12</v>
      </c>
      <c r="J5" s="32" t="n">
        <v>11</v>
      </c>
      <c r="K5" s="32" t="n">
        <v>11</v>
      </c>
      <c r="L5" s="32" t="n">
        <v>10</v>
      </c>
      <c r="M5" s="32" t="n">
        <v>3</v>
      </c>
      <c r="N5" s="32" t="n">
        <v>10</v>
      </c>
      <c r="O5" s="33" t="n">
        <f aca="false">SUM(B5:N5)</f>
        <v>108</v>
      </c>
      <c r="P5" s="34" t="n">
        <f aca="false">O5/개요!$C$7</f>
        <v>0.692307692307692</v>
      </c>
      <c r="Q5" s="33" t="str">
        <f aca="false">IF(P5&gt;=$B$23,"주연",IF(P5&gt;=$B$24,"준주연",IF(P5&gt;=$B$25,"핵심 조연","조연")))</f>
        <v>주연</v>
      </c>
      <c r="R5" s="33" t="str">
        <f aca="false">IF(MAX(B5:N5)&lt;=개요!$C$6,"OK","확인")</f>
        <v>OK</v>
      </c>
      <c r="S5" s="33" t="s">
        <v>294</v>
      </c>
    </row>
    <row r="6" customFormat="false" ht="15" hidden="false" customHeight="true" outlineLevel="0" collapsed="false">
      <c r="A6" s="31" t="s">
        <v>116</v>
      </c>
      <c r="B6" s="32" t="n">
        <v>6</v>
      </c>
      <c r="C6" s="32" t="n">
        <v>3</v>
      </c>
      <c r="D6" s="32" t="n">
        <v>12</v>
      </c>
      <c r="E6" s="32" t="n">
        <v>3</v>
      </c>
      <c r="F6" s="32" t="n">
        <v>3</v>
      </c>
      <c r="G6" s="32" t="n">
        <v>12</v>
      </c>
      <c r="H6" s="32" t="n">
        <v>10</v>
      </c>
      <c r="I6" s="32" t="n">
        <v>10</v>
      </c>
      <c r="J6" s="32" t="n">
        <v>8</v>
      </c>
      <c r="K6" s="32" t="n">
        <v>10</v>
      </c>
      <c r="L6" s="32" t="n">
        <v>10</v>
      </c>
      <c r="M6" s="32" t="n">
        <v>2</v>
      </c>
      <c r="N6" s="32" t="n">
        <v>9</v>
      </c>
      <c r="O6" s="33" t="n">
        <f aca="false">SUM(B6:N6)</f>
        <v>98</v>
      </c>
      <c r="P6" s="34" t="n">
        <f aca="false">O6/개요!$C$7</f>
        <v>0.628205128205128</v>
      </c>
      <c r="Q6" s="33" t="str">
        <f aca="false">IF(P6&gt;=$B$23,"주연",IF(P6&gt;=$B$24,"준주연",IF(P6&gt;=$B$25,"핵심 조연","조연")))</f>
        <v>준주연</v>
      </c>
      <c r="R6" s="33" t="str">
        <f aca="false">IF(MAX(B6:N6)&lt;=개요!$C$6,"OK","확인")</f>
        <v>OK</v>
      </c>
      <c r="S6" s="33" t="s">
        <v>294</v>
      </c>
    </row>
    <row r="7" customFormat="false" ht="15" hidden="false" customHeight="true" outlineLevel="0" collapsed="false">
      <c r="A7" s="31" t="s">
        <v>128</v>
      </c>
      <c r="B7" s="32" t="n">
        <v>8</v>
      </c>
      <c r="C7" s="32" t="n">
        <v>3</v>
      </c>
      <c r="D7" s="32" t="n">
        <v>3</v>
      </c>
      <c r="E7" s="32" t="n">
        <v>12</v>
      </c>
      <c r="F7" s="32" t="n">
        <v>3</v>
      </c>
      <c r="G7" s="32" t="n">
        <v>12</v>
      </c>
      <c r="H7" s="32" t="n">
        <v>11</v>
      </c>
      <c r="I7" s="32" t="n">
        <v>10</v>
      </c>
      <c r="J7" s="32" t="n">
        <v>10</v>
      </c>
      <c r="K7" s="32" t="n">
        <v>11</v>
      </c>
      <c r="L7" s="32" t="n">
        <v>10</v>
      </c>
      <c r="M7" s="32" t="n">
        <v>8</v>
      </c>
      <c r="N7" s="32" t="n">
        <v>9</v>
      </c>
      <c r="O7" s="33" t="n">
        <f aca="false">SUM(B7:N7)</f>
        <v>110</v>
      </c>
      <c r="P7" s="34" t="n">
        <f aca="false">O7/개요!$C$7</f>
        <v>0.705128205128205</v>
      </c>
      <c r="Q7" s="33" t="str">
        <f aca="false">IF(P7&gt;=$B$23,"주연",IF(P7&gt;=$B$24,"준주연",IF(P7&gt;=$B$25,"핵심 조연","조연")))</f>
        <v>주연</v>
      </c>
      <c r="R7" s="33" t="str">
        <f aca="false">IF(MAX(B7:N7)&lt;=개요!$C$6,"OK","확인")</f>
        <v>OK</v>
      </c>
      <c r="S7" s="33" t="s">
        <v>294</v>
      </c>
    </row>
    <row r="8" customFormat="false" ht="15" hidden="false" customHeight="true" outlineLevel="0" collapsed="false">
      <c r="A8" s="31" t="s">
        <v>139</v>
      </c>
      <c r="B8" s="32" t="n">
        <v>6</v>
      </c>
      <c r="C8" s="32" t="n">
        <v>3</v>
      </c>
      <c r="D8" s="32" t="n">
        <v>3</v>
      </c>
      <c r="E8" s="32" t="n">
        <v>3</v>
      </c>
      <c r="F8" s="32" t="n">
        <v>12</v>
      </c>
      <c r="G8" s="32" t="n">
        <v>12</v>
      </c>
      <c r="H8" s="32" t="n">
        <v>10</v>
      </c>
      <c r="I8" s="32" t="n">
        <v>11</v>
      </c>
      <c r="J8" s="32" t="n">
        <v>10</v>
      </c>
      <c r="K8" s="32" t="n">
        <v>10</v>
      </c>
      <c r="L8" s="32" t="n">
        <v>9</v>
      </c>
      <c r="M8" s="32" t="n">
        <v>3</v>
      </c>
      <c r="N8" s="32" t="n">
        <v>9</v>
      </c>
      <c r="O8" s="33" t="n">
        <f aca="false">SUM(B8:N8)</f>
        <v>101</v>
      </c>
      <c r="P8" s="34" t="n">
        <f aca="false">O8/개요!$C$7</f>
        <v>0.647435897435898</v>
      </c>
      <c r="Q8" s="33" t="str">
        <f aca="false">IF(P8&gt;=$B$23,"주연",IF(P8&gt;=$B$24,"준주연",IF(P8&gt;=$B$25,"핵심 조연","조연")))</f>
        <v>준주연</v>
      </c>
      <c r="R8" s="33" t="str">
        <f aca="false">IF(MAX(B8:N8)&lt;=개요!$C$6,"OK","확인")</f>
        <v>OK</v>
      </c>
      <c r="S8" s="33" t="s">
        <v>294</v>
      </c>
    </row>
    <row r="9" customFormat="false" ht="15" hidden="false" customHeight="true" outlineLevel="0" collapsed="false">
      <c r="A9" s="31" t="s">
        <v>150</v>
      </c>
      <c r="B9" s="32" t="n">
        <v>4</v>
      </c>
      <c r="C9" s="32" t="n">
        <v>2</v>
      </c>
      <c r="D9" s="32" t="n">
        <v>2</v>
      </c>
      <c r="E9" s="32" t="n">
        <v>2</v>
      </c>
      <c r="F9" s="32" t="n">
        <v>2</v>
      </c>
      <c r="G9" s="32" t="n">
        <v>7</v>
      </c>
      <c r="H9" s="32" t="n">
        <v>9</v>
      </c>
      <c r="I9" s="32" t="n">
        <v>7</v>
      </c>
      <c r="J9" s="32" t="n">
        <v>9</v>
      </c>
      <c r="K9" s="32" t="n">
        <v>9</v>
      </c>
      <c r="L9" s="32" t="n">
        <v>9</v>
      </c>
      <c r="M9" s="32" t="n">
        <v>0</v>
      </c>
      <c r="N9" s="32" t="n">
        <v>3</v>
      </c>
      <c r="O9" s="33" t="n">
        <f aca="false">SUM(B9:N9)</f>
        <v>65</v>
      </c>
      <c r="P9" s="34" t="n">
        <f aca="false">O9/개요!$C$7</f>
        <v>0.416666666666667</v>
      </c>
      <c r="Q9" s="33" t="str">
        <f aca="false">IF(P9&gt;=$B$23,"주연",IF(P9&gt;=$B$24,"준주연",IF(P9&gt;=$B$25,"핵심 조연","조연")))</f>
        <v>핵심 조연</v>
      </c>
      <c r="R9" s="33" t="str">
        <f aca="false">IF(MAX(B9:N9)&lt;=개요!$C$6,"OK","확인")</f>
        <v>OK</v>
      </c>
      <c r="S9" s="32" t="s">
        <v>294</v>
      </c>
    </row>
    <row r="10" customFormat="false" ht="15" hidden="false" customHeight="true" outlineLevel="0" collapsed="false">
      <c r="A10" s="31" t="s">
        <v>161</v>
      </c>
      <c r="B10" s="32" t="n">
        <v>2</v>
      </c>
      <c r="C10" s="32" t="n">
        <v>1</v>
      </c>
      <c r="D10" s="32" t="n">
        <v>1</v>
      </c>
      <c r="E10" s="32" t="n">
        <v>3</v>
      </c>
      <c r="F10" s="32" t="n">
        <v>1</v>
      </c>
      <c r="G10" s="32" t="n">
        <v>5</v>
      </c>
      <c r="H10" s="32" t="n">
        <v>10</v>
      </c>
      <c r="I10" s="32" t="n">
        <v>7</v>
      </c>
      <c r="J10" s="32" t="n">
        <v>8</v>
      </c>
      <c r="K10" s="32" t="n">
        <v>8</v>
      </c>
      <c r="L10" s="32" t="n">
        <v>7</v>
      </c>
      <c r="M10" s="32" t="n">
        <v>3</v>
      </c>
      <c r="N10" s="32" t="n">
        <v>7</v>
      </c>
      <c r="O10" s="33" t="n">
        <f aca="false">SUM(B10:N10)</f>
        <v>63</v>
      </c>
      <c r="P10" s="34" t="n">
        <f aca="false">O10/개요!$C$7</f>
        <v>0.403846153846154</v>
      </c>
      <c r="Q10" s="33" t="str">
        <f aca="false">IF(P10&gt;=$B$23,"주연",IF(P10&gt;=$B$24,"준주연",IF(P10&gt;=$B$25,"핵심 조연","조연")))</f>
        <v>핵심 조연</v>
      </c>
      <c r="R10" s="33" t="str">
        <f aca="false">IF(MAX(B10:N10)&lt;=개요!$C$6,"OK","확인")</f>
        <v>OK</v>
      </c>
      <c r="S10" s="32" t="s">
        <v>294</v>
      </c>
    </row>
    <row r="11" customFormat="false" ht="15" hidden="false" customHeight="true" outlineLevel="0" collapsed="false">
      <c r="A11" s="31" t="s">
        <v>173</v>
      </c>
      <c r="B11" s="32" t="n">
        <v>0</v>
      </c>
      <c r="C11" s="32" t="n">
        <v>0</v>
      </c>
      <c r="D11" s="32" t="n">
        <v>1</v>
      </c>
      <c r="E11" s="32" t="n">
        <v>0</v>
      </c>
      <c r="F11" s="32" t="n">
        <v>0</v>
      </c>
      <c r="G11" s="32" t="n">
        <v>3</v>
      </c>
      <c r="H11" s="32" t="n">
        <v>8</v>
      </c>
      <c r="I11" s="32" t="n">
        <v>9</v>
      </c>
      <c r="J11" s="32" t="n">
        <v>6</v>
      </c>
      <c r="K11" s="32" t="n">
        <v>9</v>
      </c>
      <c r="L11" s="32" t="n">
        <v>9</v>
      </c>
      <c r="M11" s="32" t="n">
        <v>8</v>
      </c>
      <c r="N11" s="32" t="n">
        <v>6</v>
      </c>
      <c r="O11" s="33" t="n">
        <f aca="false">SUM(B11:N11)</f>
        <v>59</v>
      </c>
      <c r="P11" s="34" t="n">
        <f aca="false">O11/개요!$C$7</f>
        <v>0.378205128205128</v>
      </c>
      <c r="Q11" s="33" t="str">
        <f aca="false">IF(P11&gt;=$B$23,"주연",IF(P11&gt;=$B$24,"준주연",IF(P11&gt;=$B$25,"핵심 조연","조연")))</f>
        <v>조연</v>
      </c>
      <c r="R11" s="33" t="str">
        <f aca="false">IF(MAX(B11:N11)&lt;=개요!$C$6,"OK","확인")</f>
        <v>OK</v>
      </c>
      <c r="S11" s="32" t="s">
        <v>294</v>
      </c>
    </row>
    <row r="12" customFormat="false" ht="15" hidden="false" customHeight="true" outlineLevel="0" collapsed="false">
      <c r="A12" s="31" t="s">
        <v>185</v>
      </c>
      <c r="B12" s="32" t="n">
        <v>3</v>
      </c>
      <c r="C12" s="32" t="n">
        <v>1</v>
      </c>
      <c r="D12" s="32" t="n">
        <v>2</v>
      </c>
      <c r="E12" s="32" t="n">
        <v>1</v>
      </c>
      <c r="F12" s="32" t="n">
        <v>2</v>
      </c>
      <c r="G12" s="32" t="n">
        <v>4</v>
      </c>
      <c r="H12" s="32" t="n">
        <v>7</v>
      </c>
      <c r="I12" s="32" t="n">
        <v>8</v>
      </c>
      <c r="J12" s="32" t="n">
        <v>6</v>
      </c>
      <c r="K12" s="32" t="n">
        <v>7</v>
      </c>
      <c r="L12" s="32" t="n">
        <v>6</v>
      </c>
      <c r="M12" s="32" t="n">
        <v>2</v>
      </c>
      <c r="N12" s="32" t="n">
        <v>7</v>
      </c>
      <c r="O12" s="33" t="n">
        <f aca="false">SUM(B12:N12)</f>
        <v>56</v>
      </c>
      <c r="P12" s="34" t="n">
        <f aca="false">O12/개요!$C$7</f>
        <v>0.358974358974359</v>
      </c>
      <c r="Q12" s="33" t="str">
        <f aca="false">IF(P12&gt;=$B$23,"주연",IF(P12&gt;=$B$24,"준주연",IF(P12&gt;=$B$25,"핵심 조연","조연")))</f>
        <v>조연</v>
      </c>
      <c r="R12" s="33" t="str">
        <f aca="false">IF(MAX(B12:N12)&lt;=개요!$C$6,"OK","확인")</f>
        <v>OK</v>
      </c>
      <c r="S12" s="32" t="s">
        <v>294</v>
      </c>
    </row>
    <row r="13" customFormat="false" ht="15" hidden="false" customHeight="true" outlineLevel="0" collapsed="false">
      <c r="A13" s="31" t="s">
        <v>196</v>
      </c>
      <c r="B13" s="32" t="n">
        <v>1</v>
      </c>
      <c r="C13" s="32" t="n">
        <v>1</v>
      </c>
      <c r="D13" s="32" t="n">
        <v>1</v>
      </c>
      <c r="E13" s="32" t="n">
        <v>2</v>
      </c>
      <c r="F13" s="32" t="n">
        <v>1</v>
      </c>
      <c r="G13" s="32" t="n">
        <v>4</v>
      </c>
      <c r="H13" s="32" t="n">
        <v>6</v>
      </c>
      <c r="I13" s="32" t="n">
        <v>6</v>
      </c>
      <c r="J13" s="32" t="n">
        <v>5</v>
      </c>
      <c r="K13" s="32" t="n">
        <v>6</v>
      </c>
      <c r="L13" s="32" t="n">
        <v>6</v>
      </c>
      <c r="M13" s="32" t="n">
        <v>1</v>
      </c>
      <c r="N13" s="32" t="n">
        <v>5</v>
      </c>
      <c r="O13" s="33" t="n">
        <f aca="false">SUM(B13:N13)</f>
        <v>45</v>
      </c>
      <c r="P13" s="34" t="n">
        <f aca="false">O13/개요!$C$7</f>
        <v>0.288461538461538</v>
      </c>
      <c r="Q13" s="33" t="str">
        <f aca="false">IF(P13&gt;=$B$23,"주연",IF(P13&gt;=$B$24,"준주연",IF(P13&gt;=$B$25,"핵심 조연","조연")))</f>
        <v>조연</v>
      </c>
      <c r="R13" s="33" t="str">
        <f aca="false">IF(MAX(B13:N13)&lt;=개요!$C$6,"OK","확인")</f>
        <v>OK</v>
      </c>
      <c r="S13" s="32" t="s">
        <v>294</v>
      </c>
    </row>
    <row r="14" customFormat="false" ht="15" hidden="false" customHeight="true" outlineLevel="0" collapsed="false">
      <c r="A14" s="31" t="s">
        <v>208</v>
      </c>
      <c r="B14" s="32" t="n">
        <v>3</v>
      </c>
      <c r="C14" s="32" t="n">
        <v>1</v>
      </c>
      <c r="D14" s="32" t="n">
        <v>1</v>
      </c>
      <c r="E14" s="32" t="n">
        <v>1</v>
      </c>
      <c r="F14" s="32" t="n">
        <v>1</v>
      </c>
      <c r="G14" s="32" t="n">
        <v>6</v>
      </c>
      <c r="H14" s="32" t="n">
        <v>8</v>
      </c>
      <c r="I14" s="32" t="n">
        <v>9</v>
      </c>
      <c r="J14" s="32" t="n">
        <v>8</v>
      </c>
      <c r="K14" s="32" t="n">
        <v>8</v>
      </c>
      <c r="L14" s="32" t="n">
        <v>7</v>
      </c>
      <c r="M14" s="32" t="n">
        <v>4</v>
      </c>
      <c r="N14" s="32" t="n">
        <v>7</v>
      </c>
      <c r="O14" s="33" t="n">
        <f aca="false">SUM(B14:N14)</f>
        <v>64</v>
      </c>
      <c r="P14" s="34" t="n">
        <f aca="false">O14/개요!$C$7</f>
        <v>0.41025641025641</v>
      </c>
      <c r="Q14" s="33" t="str">
        <f aca="false">IF(P14&gt;=$B$23,"주연",IF(P14&gt;=$B$24,"준주연",IF(P14&gt;=$B$25,"핵심 조연","조연")))</f>
        <v>핵심 조연</v>
      </c>
      <c r="R14" s="33" t="str">
        <f aca="false">IF(MAX(B14:N14)&lt;=개요!$C$6,"OK","확인")</f>
        <v>OK</v>
      </c>
      <c r="S14" s="32" t="s">
        <v>294</v>
      </c>
    </row>
    <row r="15" customFormat="false" ht="15" hidden="false" customHeight="true" outlineLevel="0" collapsed="false">
      <c r="A15" s="31" t="s">
        <v>219</v>
      </c>
      <c r="B15" s="32" t="n">
        <v>12</v>
      </c>
      <c r="C15" s="32" t="n">
        <v>2</v>
      </c>
      <c r="D15" s="32" t="n">
        <v>2</v>
      </c>
      <c r="E15" s="32" t="n">
        <v>2</v>
      </c>
      <c r="F15" s="32" t="n">
        <v>2</v>
      </c>
      <c r="G15" s="32" t="n">
        <v>5</v>
      </c>
      <c r="H15" s="32" t="n">
        <v>8</v>
      </c>
      <c r="I15" s="32" t="n">
        <v>6</v>
      </c>
      <c r="J15" s="32" t="n">
        <v>4</v>
      </c>
      <c r="K15" s="32" t="n">
        <v>5</v>
      </c>
      <c r="L15" s="32" t="n">
        <v>8</v>
      </c>
      <c r="M15" s="32" t="n">
        <v>3</v>
      </c>
      <c r="N15" s="32" t="n">
        <v>10</v>
      </c>
      <c r="O15" s="33" t="n">
        <f aca="false">SUM(B15:N15)</f>
        <v>69</v>
      </c>
      <c r="P15" s="34" t="n">
        <f aca="false">O15/개요!$C$7</f>
        <v>0.442307692307692</v>
      </c>
      <c r="Q15" s="33" t="str">
        <f aca="false">IF(P15&gt;=$B$23,"주연",IF(P15&gt;=$B$24,"준주연",IF(P15&gt;=$B$25,"핵심 조연","조연")))</f>
        <v>핵심 조연</v>
      </c>
      <c r="R15" s="33" t="str">
        <f aca="false">IF(MAX(B15:N15)&lt;=개요!$C$6,"OK","확인")</f>
        <v>OK</v>
      </c>
      <c r="S15" s="32" t="s">
        <v>294</v>
      </c>
    </row>
    <row r="16" customFormat="false" ht="15" hidden="false" customHeight="true" outlineLevel="0" collapsed="false">
      <c r="A16" s="31" t="s">
        <v>230</v>
      </c>
      <c r="B16" s="32" t="n">
        <v>2</v>
      </c>
      <c r="C16" s="32" t="n">
        <v>1</v>
      </c>
      <c r="D16" s="32" t="n">
        <v>2</v>
      </c>
      <c r="E16" s="32" t="n">
        <v>1</v>
      </c>
      <c r="F16" s="32" t="n">
        <v>3</v>
      </c>
      <c r="G16" s="32" t="n">
        <v>5</v>
      </c>
      <c r="H16" s="32" t="n">
        <v>9</v>
      </c>
      <c r="I16" s="32" t="n">
        <v>8</v>
      </c>
      <c r="J16" s="32" t="n">
        <v>6</v>
      </c>
      <c r="K16" s="32" t="n">
        <v>6</v>
      </c>
      <c r="L16" s="32" t="n">
        <v>7</v>
      </c>
      <c r="M16" s="32" t="n">
        <v>2</v>
      </c>
      <c r="N16" s="32" t="n">
        <v>6</v>
      </c>
      <c r="O16" s="33" t="n">
        <f aca="false">SUM(B16:N16)</f>
        <v>58</v>
      </c>
      <c r="P16" s="34" t="n">
        <f aca="false">O16/개요!$C$7</f>
        <v>0.371794871794872</v>
      </c>
      <c r="Q16" s="33" t="str">
        <f aca="false">IF(P16&gt;=$B$23,"주연",IF(P16&gt;=$B$24,"준주연",IF(P16&gt;=$B$25,"핵심 조연","조연")))</f>
        <v>조연</v>
      </c>
      <c r="R16" s="33" t="str">
        <f aca="false">IF(MAX(B16:N16)&lt;=개요!$C$6,"OK","확인")</f>
        <v>OK</v>
      </c>
      <c r="S16" s="32" t="s">
        <v>294</v>
      </c>
    </row>
    <row r="17" customFormat="false" ht="15" hidden="false" customHeight="true" outlineLevel="0" collapsed="false">
      <c r="A17" s="31" t="s">
        <v>241</v>
      </c>
      <c r="B17" s="32" t="n">
        <v>12</v>
      </c>
      <c r="C17" s="32" t="n">
        <v>4</v>
      </c>
      <c r="D17" s="32" t="n">
        <v>4</v>
      </c>
      <c r="E17" s="32" t="n">
        <v>4</v>
      </c>
      <c r="F17" s="32" t="n">
        <v>4</v>
      </c>
      <c r="G17" s="32" t="n">
        <v>8</v>
      </c>
      <c r="H17" s="32" t="n">
        <v>10</v>
      </c>
      <c r="I17" s="32" t="n">
        <v>10</v>
      </c>
      <c r="J17" s="32" t="n">
        <v>9</v>
      </c>
      <c r="K17" s="32" t="n">
        <v>9</v>
      </c>
      <c r="L17" s="32" t="n">
        <v>10</v>
      </c>
      <c r="M17" s="32" t="n">
        <v>3</v>
      </c>
      <c r="N17" s="32" t="n">
        <v>12</v>
      </c>
      <c r="O17" s="33" t="n">
        <f aca="false">SUM(B17:N17)</f>
        <v>99</v>
      </c>
      <c r="P17" s="34" t="n">
        <f aca="false">O17/개요!$C$7</f>
        <v>0.634615384615385</v>
      </c>
      <c r="Q17" s="33" t="str">
        <f aca="false">IF(P17&gt;=$B$23,"주연",IF(P17&gt;=$B$24,"준주연",IF(P17&gt;=$B$25,"핵심 조연","조연")))</f>
        <v>준주연</v>
      </c>
      <c r="R17" s="33" t="str">
        <f aca="false">IF(MAX(B17:N17)&lt;=개요!$C$6,"OK","확인")</f>
        <v>OK</v>
      </c>
      <c r="S17" s="33" t="s">
        <v>294</v>
      </c>
    </row>
    <row r="18" customFormat="false" ht="15" hidden="false" customHeight="true" outlineLevel="0" collapsed="false">
      <c r="A18" s="31" t="s">
        <v>252</v>
      </c>
      <c r="B18" s="32" t="n">
        <v>2</v>
      </c>
      <c r="C18" s="32" t="n">
        <v>1</v>
      </c>
      <c r="D18" s="32" t="n">
        <v>1</v>
      </c>
      <c r="E18" s="32" t="n">
        <v>3</v>
      </c>
      <c r="F18" s="32" t="n">
        <v>1</v>
      </c>
      <c r="G18" s="32" t="n">
        <v>5</v>
      </c>
      <c r="H18" s="32" t="n">
        <v>8</v>
      </c>
      <c r="I18" s="32" t="n">
        <v>5</v>
      </c>
      <c r="J18" s="32" t="n">
        <v>7</v>
      </c>
      <c r="K18" s="32" t="n">
        <v>7</v>
      </c>
      <c r="L18" s="32" t="n">
        <v>9</v>
      </c>
      <c r="M18" s="32" t="n">
        <v>1</v>
      </c>
      <c r="N18" s="32" t="n">
        <v>6</v>
      </c>
      <c r="O18" s="33" t="n">
        <f aca="false">SUM(B18:N18)</f>
        <v>56</v>
      </c>
      <c r="P18" s="34" t="n">
        <f aca="false">O18/개요!$C$7</f>
        <v>0.358974358974359</v>
      </c>
      <c r="Q18" s="33" t="str">
        <f aca="false">IF(P18&gt;=$B$23,"주연",IF(P18&gt;=$B$24,"준주연",IF(P18&gt;=$B$25,"핵심 조연","조연")))</f>
        <v>조연</v>
      </c>
      <c r="R18" s="33" t="str">
        <f aca="false">IF(MAX(B18:N18)&lt;=개요!$C$6,"OK","확인")</f>
        <v>OK</v>
      </c>
      <c r="S18" s="32" t="s">
        <v>294</v>
      </c>
    </row>
    <row r="19" customFormat="false" ht="15" hidden="false" customHeight="true" outlineLevel="0" collapsed="false">
      <c r="A19" s="35" t="s">
        <v>264</v>
      </c>
      <c r="B19" s="36" t="n">
        <v>1</v>
      </c>
      <c r="C19" s="36" t="n">
        <v>1</v>
      </c>
      <c r="D19" s="36" t="n">
        <v>1</v>
      </c>
      <c r="E19" s="36" t="n">
        <v>1</v>
      </c>
      <c r="F19" s="36" t="n">
        <v>1</v>
      </c>
      <c r="G19" s="36" t="n">
        <v>4</v>
      </c>
      <c r="H19" s="36" t="n">
        <v>6</v>
      </c>
      <c r="I19" s="36" t="n">
        <v>9</v>
      </c>
      <c r="J19" s="36" t="n">
        <v>7</v>
      </c>
      <c r="K19" s="36" t="n">
        <v>9</v>
      </c>
      <c r="L19" s="36" t="n">
        <v>7</v>
      </c>
      <c r="M19" s="36" t="n">
        <v>4</v>
      </c>
      <c r="N19" s="36" t="n">
        <v>7</v>
      </c>
      <c r="O19" s="36" t="n">
        <f aca="false">SUM(B19:N19)</f>
        <v>58</v>
      </c>
      <c r="P19" s="37" t="n">
        <f aca="false">O19/개요!$C$7</f>
        <v>0.371794871794872</v>
      </c>
      <c r="Q19" s="37" t="str">
        <f aca="false">IF(P19&gt;=$B$23,"주연",IF(P19&gt;=$B$24,"준주연",IF(P19&gt;=$B$25,"핵심 조연","조연")))</f>
        <v>조연</v>
      </c>
      <c r="R19" s="37" t="str">
        <f aca="false">IF(MAX(B19:N19)&lt;=개요!$C$6,"OK","확인")</f>
        <v>OK</v>
      </c>
      <c r="S19" s="36" t="s">
        <v>294</v>
      </c>
    </row>
    <row r="20" customFormat="false" ht="16.5" hidden="false" customHeight="true" outlineLevel="0" collapsed="false">
      <c r="A20" s="30" t="s">
        <v>295</v>
      </c>
      <c r="B20" s="1" t="n">
        <f aca="false">SUM(B5:B19)</f>
        <v>69</v>
      </c>
      <c r="C20" s="1" t="n">
        <f aca="false">SUM(C5:C19)</f>
        <v>36</v>
      </c>
      <c r="D20" s="1" t="n">
        <f aca="false">SUM(D5:D19)</f>
        <v>39</v>
      </c>
      <c r="E20" s="1" t="n">
        <f aca="false">SUM(E5:E19)</f>
        <v>41</v>
      </c>
      <c r="F20" s="1" t="n">
        <f aca="false">SUM(F5:F19)</f>
        <v>39</v>
      </c>
      <c r="G20" s="1" t="n">
        <f aca="false">SUM(G5:G19)</f>
        <v>104</v>
      </c>
      <c r="H20" s="1" t="n">
        <f aca="false">SUM(H5:H19)</f>
        <v>131</v>
      </c>
      <c r="I20" s="1" t="n">
        <f aca="false">SUM(I5:I19)</f>
        <v>127</v>
      </c>
      <c r="J20" s="1" t="n">
        <f aca="false">SUM(J5:J19)</f>
        <v>114</v>
      </c>
      <c r="K20" s="1" t="n">
        <f aca="false">SUM(K5:K19)</f>
        <v>125</v>
      </c>
      <c r="L20" s="1" t="n">
        <f aca="false">SUM(L5:L19)</f>
        <v>124</v>
      </c>
      <c r="M20" s="1" t="n">
        <f aca="false">SUM(M5:M19)</f>
        <v>47</v>
      </c>
      <c r="N20" s="1" t="n">
        <f aca="false">SUM(N5:N19)</f>
        <v>113</v>
      </c>
      <c r="O20" s="1" t="n">
        <f aca="false">SUM(O5:O19)</f>
        <v>1109</v>
      </c>
      <c r="S20" s="1" t="n">
        <f aca="false">SUM(S5:S19)</f>
        <v>0</v>
      </c>
    </row>
    <row r="22" customFormat="false" ht="15" hidden="false" customHeight="true" outlineLevel="0" collapsed="false">
      <c r="A22" s="4"/>
      <c r="B22" s="5"/>
      <c r="C22" s="5"/>
    </row>
    <row r="23" customFormat="false" ht="15" hidden="false" customHeight="true" outlineLevel="0" collapsed="false">
      <c r="A23" s="13" t="s">
        <v>296</v>
      </c>
      <c r="B23" s="38" t="n">
        <v>0.69</v>
      </c>
      <c r="C23" s="22" t="s">
        <v>297</v>
      </c>
    </row>
    <row r="24" customFormat="false" ht="15" hidden="false" customHeight="true" outlineLevel="0" collapsed="false">
      <c r="A24" s="13" t="s">
        <v>298</v>
      </c>
      <c r="B24" s="38" t="n">
        <v>0.6</v>
      </c>
    </row>
    <row r="25" customFormat="false" ht="15" hidden="false" customHeight="true" outlineLevel="0" collapsed="false">
      <c r="A25" s="13" t="s">
        <v>299</v>
      </c>
      <c r="B25" s="38" t="n">
        <v>0.4</v>
      </c>
    </row>
    <row r="26" customFormat="false" ht="15" hidden="false" customHeight="true" outlineLevel="0" collapsed="false">
      <c r="A26" s="13" t="s">
        <v>300</v>
      </c>
      <c r="B26" s="15" t="s">
        <v>301</v>
      </c>
    </row>
    <row r="28" customFormat="false" ht="18" hidden="false" customHeight="true" outlineLevel="0" collapsed="false">
      <c r="A28" s="4" t="s">
        <v>302</v>
      </c>
      <c r="B28" s="5"/>
      <c r="C28" s="5"/>
      <c r="D28" s="5"/>
      <c r="E28" s="5"/>
      <c r="F28" s="5"/>
      <c r="G28" s="5"/>
      <c r="H28" s="5"/>
      <c r="I28" s="5"/>
      <c r="J28" s="5"/>
      <c r="K28" s="5"/>
      <c r="L28" s="5"/>
      <c r="M28" s="5"/>
      <c r="N28" s="5"/>
      <c r="O28" s="5"/>
      <c r="P28" s="5"/>
      <c r="Q28" s="5"/>
      <c r="R28" s="5"/>
    </row>
    <row r="29" customFormat="false" ht="31.5" hidden="false" customHeight="true" outlineLevel="0" collapsed="false">
      <c r="A29" s="39" t="s">
        <v>303</v>
      </c>
      <c r="B29" s="39"/>
      <c r="C29" s="39"/>
      <c r="D29" s="39"/>
      <c r="E29" s="39"/>
      <c r="F29" s="39"/>
      <c r="G29" s="39"/>
      <c r="H29" s="39"/>
      <c r="I29" s="39"/>
      <c r="J29" s="39"/>
      <c r="K29" s="39"/>
      <c r="L29" s="39"/>
      <c r="M29" s="39"/>
      <c r="N29" s="39"/>
      <c r="O29" s="39"/>
      <c r="P29" s="39"/>
      <c r="Q29" s="39"/>
      <c r="R29" s="39"/>
    </row>
    <row r="30" customFormat="false" ht="16.5" hidden="false" customHeight="true" outlineLevel="0" collapsed="false">
      <c r="A30" s="39" t="s">
        <v>304</v>
      </c>
      <c r="B30" s="39"/>
      <c r="C30" s="39"/>
      <c r="D30" s="39"/>
      <c r="E30" s="39"/>
      <c r="F30" s="39"/>
      <c r="G30" s="39"/>
      <c r="H30" s="39"/>
      <c r="I30" s="39"/>
      <c r="J30" s="39"/>
      <c r="K30" s="39"/>
      <c r="L30" s="39"/>
      <c r="M30" s="39"/>
      <c r="N30" s="39"/>
      <c r="O30" s="39"/>
      <c r="P30" s="39"/>
      <c r="Q30" s="39"/>
      <c r="R30" s="39"/>
    </row>
    <row r="31" customFormat="false" ht="16.5" hidden="false" customHeight="true" outlineLevel="0" collapsed="false">
      <c r="A31" s="39" t="s">
        <v>305</v>
      </c>
      <c r="B31" s="39"/>
      <c r="C31" s="39"/>
      <c r="D31" s="39"/>
      <c r="E31" s="39"/>
      <c r="F31" s="39"/>
      <c r="G31" s="39"/>
      <c r="H31" s="39"/>
      <c r="I31" s="39"/>
      <c r="J31" s="39"/>
      <c r="K31" s="39"/>
      <c r="L31" s="39"/>
      <c r="M31" s="39"/>
      <c r="N31" s="39"/>
      <c r="O31" s="39"/>
      <c r="P31" s="39"/>
      <c r="Q31" s="39"/>
      <c r="R31" s="39"/>
    </row>
    <row r="32" customFormat="false" ht="16.5" hidden="false" customHeight="true" outlineLevel="0" collapsed="false">
      <c r="A32" s="39" t="s">
        <v>306</v>
      </c>
      <c r="B32" s="39"/>
      <c r="C32" s="39"/>
      <c r="D32" s="39"/>
      <c r="E32" s="39"/>
      <c r="F32" s="39"/>
      <c r="G32" s="39"/>
      <c r="H32" s="39"/>
      <c r="I32" s="39"/>
      <c r="J32" s="39"/>
      <c r="K32" s="39"/>
      <c r="L32" s="39"/>
      <c r="M32" s="39"/>
      <c r="N32" s="39"/>
      <c r="O32" s="39"/>
      <c r="P32" s="39"/>
      <c r="Q32" s="39"/>
      <c r="R32" s="39"/>
    </row>
    <row r="33" customFormat="false" ht="16.5" hidden="false" customHeight="true" outlineLevel="0" collapsed="false">
      <c r="A33" s="39" t="s">
        <v>307</v>
      </c>
      <c r="B33" s="39"/>
      <c r="C33" s="39"/>
      <c r="D33" s="39"/>
      <c r="E33" s="39"/>
      <c r="F33" s="39"/>
      <c r="G33" s="39"/>
      <c r="H33" s="39"/>
      <c r="I33" s="39"/>
      <c r="J33" s="39"/>
      <c r="K33" s="39"/>
      <c r="L33" s="39"/>
      <c r="M33" s="39"/>
      <c r="N33" s="39"/>
      <c r="O33" s="39"/>
      <c r="P33" s="39"/>
      <c r="Q33" s="39"/>
      <c r="R33" s="39"/>
    </row>
    <row r="34" customFormat="false" ht="16.5" hidden="false" customHeight="true" outlineLevel="0" collapsed="false">
      <c r="A34" s="39" t="s">
        <v>308</v>
      </c>
      <c r="B34" s="39"/>
      <c r="C34" s="39"/>
      <c r="D34" s="39"/>
      <c r="E34" s="39"/>
      <c r="F34" s="39"/>
      <c r="G34" s="39"/>
      <c r="H34" s="39"/>
      <c r="I34" s="39"/>
      <c r="J34" s="39"/>
      <c r="K34" s="39"/>
      <c r="L34" s="39"/>
      <c r="M34" s="39"/>
      <c r="N34" s="39"/>
      <c r="O34" s="39"/>
      <c r="P34" s="39"/>
      <c r="Q34" s="39"/>
      <c r="R34" s="39"/>
    </row>
    <row r="35" customFormat="false" ht="16.5" hidden="false" customHeight="true" outlineLevel="0" collapsed="false">
      <c r="A35" s="39" t="s">
        <v>309</v>
      </c>
      <c r="B35" s="39"/>
      <c r="C35" s="39"/>
      <c r="D35" s="39"/>
      <c r="E35" s="39"/>
      <c r="F35" s="39"/>
      <c r="G35" s="39"/>
      <c r="H35" s="39"/>
      <c r="I35" s="39"/>
      <c r="J35" s="39"/>
      <c r="K35" s="39"/>
      <c r="L35" s="39"/>
      <c r="M35" s="39"/>
      <c r="N35" s="39"/>
      <c r="O35" s="39"/>
      <c r="P35" s="39"/>
      <c r="Q35" s="39"/>
      <c r="R35" s="39"/>
    </row>
    <row r="36" customFormat="false" ht="16.5" hidden="false" customHeight="true" outlineLevel="0" collapsed="false">
      <c r="A36" s="39" t="s">
        <v>310</v>
      </c>
      <c r="B36" s="39"/>
      <c r="C36" s="39"/>
      <c r="D36" s="39"/>
      <c r="E36" s="39"/>
      <c r="F36" s="39"/>
      <c r="G36" s="39"/>
      <c r="H36" s="39"/>
      <c r="I36" s="39"/>
      <c r="J36" s="39"/>
      <c r="K36" s="39"/>
      <c r="L36" s="39"/>
      <c r="M36" s="39"/>
      <c r="N36" s="39"/>
      <c r="O36" s="39"/>
      <c r="P36" s="39"/>
      <c r="Q36" s="39"/>
      <c r="R36" s="39"/>
    </row>
    <row r="37" customFormat="false" ht="16.5" hidden="false" customHeight="true" outlineLevel="0" collapsed="false">
      <c r="A37" s="39" t="s">
        <v>311</v>
      </c>
      <c r="B37" s="39"/>
      <c r="C37" s="39"/>
      <c r="D37" s="39"/>
      <c r="E37" s="39"/>
      <c r="F37" s="39"/>
      <c r="G37" s="39"/>
      <c r="H37" s="39"/>
      <c r="I37" s="39"/>
      <c r="J37" s="39"/>
      <c r="K37" s="39"/>
      <c r="L37" s="39"/>
      <c r="M37" s="39"/>
      <c r="N37" s="39"/>
      <c r="O37" s="39"/>
      <c r="P37" s="39"/>
      <c r="Q37" s="39"/>
      <c r="R37" s="39"/>
    </row>
    <row r="38" customFormat="false" ht="16.5" hidden="false" customHeight="true" outlineLevel="0" collapsed="false">
      <c r="A38" s="39" t="s">
        <v>312</v>
      </c>
      <c r="B38" s="39"/>
      <c r="C38" s="39"/>
      <c r="D38" s="39"/>
      <c r="E38" s="39"/>
      <c r="F38" s="39"/>
      <c r="G38" s="39"/>
      <c r="H38" s="39"/>
      <c r="I38" s="39"/>
      <c r="J38" s="39"/>
      <c r="K38" s="39"/>
      <c r="L38" s="39"/>
      <c r="M38" s="39"/>
      <c r="N38" s="39"/>
      <c r="O38" s="39"/>
      <c r="P38" s="39"/>
      <c r="Q38" s="39"/>
      <c r="R38" s="39"/>
    </row>
    <row r="39" customFormat="false" ht="16.5" hidden="false" customHeight="true" outlineLevel="0" collapsed="false">
      <c r="A39" s="39" t="s">
        <v>313</v>
      </c>
      <c r="B39" s="39"/>
      <c r="C39" s="39"/>
      <c r="D39" s="39"/>
      <c r="E39" s="39"/>
      <c r="F39" s="39"/>
      <c r="G39" s="39"/>
      <c r="H39" s="39"/>
      <c r="I39" s="39"/>
      <c r="J39" s="39"/>
      <c r="K39" s="39"/>
      <c r="L39" s="39"/>
      <c r="M39" s="39"/>
      <c r="N39" s="39"/>
      <c r="O39" s="39"/>
      <c r="P39" s="39"/>
      <c r="Q39" s="39"/>
      <c r="R39" s="39"/>
    </row>
  </sheetData>
  <mergeCells count="11">
    <mergeCell ref="A29:R29"/>
    <mergeCell ref="A30:R30"/>
    <mergeCell ref="A31:R31"/>
    <mergeCell ref="A32:R32"/>
    <mergeCell ref="A33:R33"/>
    <mergeCell ref="A34:R34"/>
    <mergeCell ref="A35:R35"/>
    <mergeCell ref="A36:R36"/>
    <mergeCell ref="A37:R37"/>
    <mergeCell ref="A38:R38"/>
    <mergeCell ref="A39:R39"/>
  </mergeCells>
  <conditionalFormatting sqref="B5:N18">
    <cfRule type="colorScale" priority="2">
      <colorScale>
        <cfvo type="num" val="0"/>
        <cfvo type="num" val="12"/>
        <color rgb="FFFFFFFF"/>
        <color rgb="FF9DC3E6"/>
      </colorScale>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true"/>
  </sheetPr>
  <dimension ref="A1:O6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2"/>
    <col collapsed="false" customWidth="true" hidden="false" outlineLevel="0" max="14" min="3" style="1" width="9"/>
    <col collapsed="false" customWidth="true" hidden="false" outlineLevel="0" max="15" min="15" style="1" width="13"/>
  </cols>
  <sheetData>
    <row r="1" customFormat="false" ht="24" hidden="false" customHeight="true" outlineLevel="0" collapsed="false">
      <c r="A1" s="23" t="s">
        <v>314</v>
      </c>
    </row>
    <row r="2" customFormat="false" ht="15" hidden="false" customHeight="true" outlineLevel="0" collapsed="false">
      <c r="A2" s="22" t="s">
        <v>315</v>
      </c>
    </row>
    <row r="4" customFormat="false" ht="18" hidden="false" customHeight="true" outlineLevel="0" collapsed="false">
      <c r="A4" s="40" t="s">
        <v>316</v>
      </c>
      <c r="B4" s="5"/>
      <c r="C4" s="5"/>
      <c r="D4" s="5"/>
      <c r="E4" s="5"/>
      <c r="F4" s="5"/>
      <c r="G4" s="5"/>
      <c r="H4" s="5"/>
      <c r="I4" s="5"/>
      <c r="J4" s="5"/>
      <c r="K4" s="5"/>
      <c r="L4" s="5"/>
      <c r="M4" s="5"/>
      <c r="N4" s="5"/>
    </row>
    <row r="5" customFormat="false" ht="15" hidden="false" customHeight="true" outlineLevel="0" collapsed="false">
      <c r="A5" s="13" t="s">
        <v>317</v>
      </c>
      <c r="B5" s="32" t="n">
        <v>120</v>
      </c>
    </row>
    <row r="6" customFormat="false" ht="15" hidden="false" customHeight="true" outlineLevel="0" collapsed="false">
      <c r="A6" s="13" t="s">
        <v>318</v>
      </c>
      <c r="B6" s="41" t="n">
        <v>130</v>
      </c>
    </row>
    <row r="7" customFormat="false" ht="15" hidden="false" customHeight="true" outlineLevel="0" collapsed="false">
      <c r="A7" s="13" t="s">
        <v>7</v>
      </c>
      <c r="B7" s="33" t="n">
        <f aca="false">개요!$C$7</f>
        <v>156</v>
      </c>
    </row>
    <row r="8" customFormat="false" ht="15" hidden="false" customHeight="true" outlineLevel="0" collapsed="false">
      <c r="A8" s="13" t="s">
        <v>319</v>
      </c>
      <c r="B8" s="42" t="n">
        <f aca="false">B5*B7</f>
        <v>18720</v>
      </c>
    </row>
    <row r="9" customFormat="false" ht="15" hidden="false" customHeight="true" outlineLevel="0" collapsed="false">
      <c r="A9" s="13" t="s">
        <v>320</v>
      </c>
      <c r="B9" s="43" t="s">
        <v>321</v>
      </c>
    </row>
    <row r="11" customFormat="false" ht="15" hidden="false" customHeight="true" outlineLevel="0" collapsed="false">
      <c r="A11" s="40" t="s">
        <v>322</v>
      </c>
    </row>
    <row r="12" customFormat="false" ht="31.5" hidden="false" customHeight="true" outlineLevel="0" collapsed="false">
      <c r="A12" s="25" t="s">
        <v>323</v>
      </c>
      <c r="B12" s="25" t="s">
        <v>324</v>
      </c>
      <c r="C12" s="24" t="s">
        <v>325</v>
      </c>
      <c r="D12" s="24" t="s">
        <v>326</v>
      </c>
      <c r="E12" s="24" t="s">
        <v>327</v>
      </c>
      <c r="F12" s="24" t="s">
        <v>328</v>
      </c>
      <c r="G12" s="24" t="s">
        <v>329</v>
      </c>
      <c r="H12" s="24" t="s">
        <v>330</v>
      </c>
      <c r="I12" s="24" t="s">
        <v>331</v>
      </c>
      <c r="J12" s="24" t="s">
        <v>332</v>
      </c>
      <c r="K12" s="24" t="s">
        <v>333</v>
      </c>
      <c r="L12" s="24" t="s">
        <v>334</v>
      </c>
      <c r="M12" s="24" t="s">
        <v>335</v>
      </c>
      <c r="N12" s="24" t="s">
        <v>336</v>
      </c>
      <c r="O12" s="24" t="s">
        <v>337</v>
      </c>
    </row>
    <row r="13" customFormat="false" ht="15" hidden="false" customHeight="true" outlineLevel="0" collapsed="false">
      <c r="A13" s="44" t="s">
        <v>103</v>
      </c>
      <c r="B13" s="32" t="n">
        <v>13</v>
      </c>
      <c r="C13" s="45" t="n">
        <v>0.13</v>
      </c>
      <c r="D13" s="45" t="n">
        <v>0.48</v>
      </c>
      <c r="E13" s="45" t="n">
        <v>0.03</v>
      </c>
      <c r="F13" s="45" t="n">
        <v>0.02</v>
      </c>
      <c r="G13" s="45" t="n">
        <v>0.02</v>
      </c>
      <c r="H13" s="45" t="n">
        <v>0.13</v>
      </c>
      <c r="I13" s="45" t="n">
        <v>0.14</v>
      </c>
      <c r="J13" s="45" t="n">
        <v>0.11</v>
      </c>
      <c r="K13" s="45" t="n">
        <v>0.08</v>
      </c>
      <c r="L13" s="45" t="n">
        <v>0.15</v>
      </c>
      <c r="M13" s="45" t="n">
        <v>0.11</v>
      </c>
      <c r="N13" s="45" t="n">
        <v>0.11</v>
      </c>
      <c r="O13" s="45" t="n">
        <v>0.06</v>
      </c>
    </row>
    <row r="14" customFormat="false" ht="15" hidden="false" customHeight="true" outlineLevel="0" collapsed="false">
      <c r="A14" s="44" t="s">
        <v>116</v>
      </c>
      <c r="B14" s="32" t="n">
        <v>8</v>
      </c>
      <c r="C14" s="45" t="n">
        <v>0.12</v>
      </c>
      <c r="D14" s="45" t="n">
        <v>0.03</v>
      </c>
      <c r="E14" s="45" t="n">
        <v>0.46</v>
      </c>
      <c r="F14" s="45" t="n">
        <v>0.04</v>
      </c>
      <c r="G14" s="45" t="n">
        <v>0.03</v>
      </c>
      <c r="H14" s="45" t="n">
        <v>0.12</v>
      </c>
      <c r="I14" s="45" t="n">
        <v>0.07</v>
      </c>
      <c r="J14" s="45" t="n">
        <v>0.08</v>
      </c>
      <c r="K14" s="45" t="n">
        <v>0.11</v>
      </c>
      <c r="L14" s="45" t="n">
        <v>0.06</v>
      </c>
      <c r="M14" s="45" t="n">
        <v>0.09</v>
      </c>
      <c r="N14" s="45" t="n">
        <v>0.09</v>
      </c>
      <c r="O14" s="45" t="n">
        <v>0.06</v>
      </c>
    </row>
    <row r="15" customFormat="false" ht="15" hidden="false" customHeight="true" outlineLevel="0" collapsed="false">
      <c r="A15" s="44" t="s">
        <v>128</v>
      </c>
      <c r="B15" s="32" t="n">
        <v>11</v>
      </c>
      <c r="C15" s="45" t="n">
        <v>0.12</v>
      </c>
      <c r="D15" s="45" t="n">
        <v>0.04</v>
      </c>
      <c r="E15" s="45" t="n">
        <v>0.04</v>
      </c>
      <c r="F15" s="45" t="n">
        <v>0.46</v>
      </c>
      <c r="G15" s="45" t="n">
        <v>0.04</v>
      </c>
      <c r="H15" s="45" t="n">
        <v>0.12</v>
      </c>
      <c r="I15" s="45" t="n">
        <v>0.1</v>
      </c>
      <c r="J15" s="45" t="n">
        <v>0.09</v>
      </c>
      <c r="K15" s="45" t="n">
        <v>0.15</v>
      </c>
      <c r="L15" s="45" t="n">
        <v>0.08</v>
      </c>
      <c r="M15" s="45" t="n">
        <v>0.11</v>
      </c>
      <c r="N15" s="45" t="n">
        <v>0.13</v>
      </c>
      <c r="O15" s="45" t="n">
        <v>0.07</v>
      </c>
    </row>
    <row r="16" customFormat="false" ht="15" hidden="false" customHeight="true" outlineLevel="0" collapsed="false">
      <c r="A16" s="44" t="s">
        <v>139</v>
      </c>
      <c r="B16" s="32" t="n">
        <v>12</v>
      </c>
      <c r="C16" s="45" t="n">
        <v>0.12</v>
      </c>
      <c r="D16" s="45" t="n">
        <v>0.05</v>
      </c>
      <c r="E16" s="45" t="n">
        <v>0.03</v>
      </c>
      <c r="F16" s="45" t="n">
        <v>0.03</v>
      </c>
      <c r="G16" s="45" t="n">
        <v>0.46</v>
      </c>
      <c r="H16" s="45" t="n">
        <v>0.12</v>
      </c>
      <c r="I16" s="45" t="n">
        <v>0.06</v>
      </c>
      <c r="J16" s="45" t="n">
        <v>0.09</v>
      </c>
      <c r="K16" s="45" t="n">
        <v>0.08</v>
      </c>
      <c r="L16" s="45" t="n">
        <v>0.11</v>
      </c>
      <c r="M16" s="45" t="n">
        <v>0.08</v>
      </c>
      <c r="N16" s="45" t="n">
        <v>0.08</v>
      </c>
      <c r="O16" s="45" t="n">
        <v>0.07</v>
      </c>
    </row>
    <row r="17" customFormat="false" ht="15" hidden="false" customHeight="true" outlineLevel="0" collapsed="false">
      <c r="A17" s="44" t="s">
        <v>150</v>
      </c>
      <c r="B17" s="32" t="n">
        <v>14</v>
      </c>
      <c r="C17" s="45" t="n">
        <v>0.08</v>
      </c>
      <c r="D17" s="45" t="n">
        <v>0.04</v>
      </c>
      <c r="E17" s="45" t="n">
        <v>0.04</v>
      </c>
      <c r="F17" s="45" t="n">
        <v>0.04</v>
      </c>
      <c r="G17" s="45" t="n">
        <v>0.04</v>
      </c>
      <c r="H17" s="45" t="n">
        <v>0.04</v>
      </c>
      <c r="I17" s="45" t="n">
        <v>0.06</v>
      </c>
      <c r="J17" s="45" t="n">
        <v>0.05</v>
      </c>
      <c r="K17" s="45" t="n">
        <v>0.04</v>
      </c>
      <c r="L17" s="45" t="n">
        <v>0.06</v>
      </c>
      <c r="M17" s="45" t="n">
        <v>0.04</v>
      </c>
      <c r="N17" s="45" t="n">
        <v>0</v>
      </c>
      <c r="O17" s="45" t="n">
        <v>0.02</v>
      </c>
    </row>
    <row r="18" customFormat="false" ht="15" hidden="false" customHeight="true" outlineLevel="0" collapsed="false">
      <c r="A18" s="44" t="s">
        <v>173</v>
      </c>
      <c r="B18" s="32" t="n">
        <v>11</v>
      </c>
      <c r="C18" s="45" t="n">
        <v>0</v>
      </c>
      <c r="D18" s="45" t="n">
        <v>0</v>
      </c>
      <c r="E18" s="45" t="n">
        <v>0.01</v>
      </c>
      <c r="F18" s="45" t="n">
        <v>0</v>
      </c>
      <c r="G18" s="45" t="n">
        <v>0</v>
      </c>
      <c r="H18" s="45" t="n">
        <v>0.02</v>
      </c>
      <c r="I18" s="45" t="n">
        <v>0.05</v>
      </c>
      <c r="J18" s="45" t="n">
        <v>0.05</v>
      </c>
      <c r="K18" s="45" t="n">
        <v>0.03</v>
      </c>
      <c r="L18" s="45" t="n">
        <v>0.06</v>
      </c>
      <c r="M18" s="45" t="n">
        <v>0.06</v>
      </c>
      <c r="N18" s="45" t="n">
        <v>0.06</v>
      </c>
      <c r="O18" s="45" t="n">
        <v>0.03</v>
      </c>
    </row>
    <row r="19" customFormat="false" ht="15" hidden="false" customHeight="true" outlineLevel="0" collapsed="false">
      <c r="A19" s="44" t="s">
        <v>185</v>
      </c>
      <c r="B19" s="32" t="n">
        <v>7</v>
      </c>
      <c r="C19" s="45" t="n">
        <v>0.02</v>
      </c>
      <c r="D19" s="45" t="n">
        <v>0.01</v>
      </c>
      <c r="E19" s="45" t="n">
        <v>0.01</v>
      </c>
      <c r="F19" s="45" t="n">
        <v>0.01</v>
      </c>
      <c r="G19" s="45" t="n">
        <v>0.01</v>
      </c>
      <c r="H19" s="45" t="n">
        <v>0.05</v>
      </c>
      <c r="I19" s="45" t="n">
        <v>0.06</v>
      </c>
      <c r="J19" s="45" t="n">
        <v>0.06</v>
      </c>
      <c r="K19" s="45" t="n">
        <v>0.04</v>
      </c>
      <c r="L19" s="45" t="n">
        <v>0.08</v>
      </c>
      <c r="M19" s="45" t="n">
        <v>0.07</v>
      </c>
      <c r="N19" s="45" t="n">
        <v>0.07</v>
      </c>
      <c r="O19" s="45" t="n">
        <v>0.06</v>
      </c>
    </row>
    <row r="20" customFormat="false" ht="15" hidden="false" customHeight="true" outlineLevel="0" collapsed="false">
      <c r="A20" s="44" t="s">
        <v>208</v>
      </c>
      <c r="B20" s="32" t="n">
        <v>9</v>
      </c>
      <c r="C20" s="45" t="n">
        <v>0.02</v>
      </c>
      <c r="D20" s="45" t="n">
        <v>0.01</v>
      </c>
      <c r="E20" s="45" t="n">
        <v>0.01</v>
      </c>
      <c r="F20" s="45" t="n">
        <v>0.01</v>
      </c>
      <c r="G20" s="45" t="n">
        <v>0.01</v>
      </c>
      <c r="H20" s="45" t="n">
        <v>0.03</v>
      </c>
      <c r="I20" s="45" t="n">
        <v>0.06</v>
      </c>
      <c r="J20" s="45" t="n">
        <v>0.03</v>
      </c>
      <c r="K20" s="45" t="n">
        <v>0.04</v>
      </c>
      <c r="L20" s="45" t="n">
        <v>0.03</v>
      </c>
      <c r="M20" s="45" t="n">
        <v>0.05</v>
      </c>
      <c r="N20" s="45" t="n">
        <v>0.05</v>
      </c>
      <c r="O20" s="45" t="n">
        <v>0.08</v>
      </c>
    </row>
    <row r="21" customFormat="false" ht="15" hidden="false" customHeight="true" outlineLevel="0" collapsed="false">
      <c r="A21" s="44" t="s">
        <v>161</v>
      </c>
      <c r="B21" s="32" t="n">
        <v>10</v>
      </c>
      <c r="C21" s="45" t="n">
        <v>0.02</v>
      </c>
      <c r="D21" s="45" t="n">
        <v>0.01</v>
      </c>
      <c r="E21" s="45" t="n">
        <v>0.03</v>
      </c>
      <c r="F21" s="45" t="n">
        <v>0.04</v>
      </c>
      <c r="G21" s="45" t="n">
        <v>0.01</v>
      </c>
      <c r="H21" s="45" t="n">
        <v>0.03</v>
      </c>
      <c r="I21" s="45" t="n">
        <v>0.08</v>
      </c>
      <c r="J21" s="45" t="n">
        <v>0.06</v>
      </c>
      <c r="K21" s="45" t="n">
        <v>0.07</v>
      </c>
      <c r="L21" s="45" t="n">
        <v>0.05</v>
      </c>
      <c r="M21" s="45" t="n">
        <v>0.06</v>
      </c>
      <c r="N21" s="45" t="n">
        <v>0.06</v>
      </c>
      <c r="O21" s="45" t="n">
        <v>0.05</v>
      </c>
    </row>
    <row r="22" customFormat="false" ht="15" hidden="false" customHeight="true" outlineLevel="0" collapsed="false">
      <c r="A22" s="44" t="s">
        <v>196</v>
      </c>
      <c r="B22" s="32" t="n">
        <v>9</v>
      </c>
      <c r="C22" s="45" t="n">
        <v>0.01</v>
      </c>
      <c r="D22" s="45" t="n">
        <v>0.01</v>
      </c>
      <c r="E22" s="45" t="n">
        <v>0.04</v>
      </c>
      <c r="F22" s="45" t="n">
        <v>0.01</v>
      </c>
      <c r="G22" s="45" t="n">
        <v>0.04</v>
      </c>
      <c r="H22" s="45" t="n">
        <v>0.03</v>
      </c>
      <c r="I22" s="45" t="n">
        <v>0.05</v>
      </c>
      <c r="J22" s="45" t="n">
        <v>0.06</v>
      </c>
      <c r="K22" s="45" t="n">
        <v>0.04</v>
      </c>
      <c r="L22" s="45" t="n">
        <v>0.05</v>
      </c>
      <c r="M22" s="45" t="n">
        <v>0.04</v>
      </c>
      <c r="N22" s="45" t="n">
        <v>0.04</v>
      </c>
      <c r="O22" s="45" t="n">
        <v>0.05</v>
      </c>
    </row>
    <row r="23" customFormat="false" ht="15" hidden="false" customHeight="true" outlineLevel="0" collapsed="false">
      <c r="A23" s="44" t="s">
        <v>219</v>
      </c>
      <c r="B23" s="32" t="n">
        <v>9</v>
      </c>
      <c r="C23" s="45" t="n">
        <v>0.12</v>
      </c>
      <c r="D23" s="45" t="n">
        <v>0.04</v>
      </c>
      <c r="E23" s="45" t="n">
        <v>0.03</v>
      </c>
      <c r="F23" s="45" t="n">
        <v>0.03</v>
      </c>
      <c r="G23" s="45" t="n">
        <v>0.03</v>
      </c>
      <c r="H23" s="45" t="n">
        <v>0.05</v>
      </c>
      <c r="I23" s="45" t="n">
        <v>0.04</v>
      </c>
      <c r="J23" s="45" t="n">
        <v>0.05</v>
      </c>
      <c r="K23" s="45" t="n">
        <v>0.03</v>
      </c>
      <c r="L23" s="45" t="n">
        <v>0.04</v>
      </c>
      <c r="M23" s="45" t="n">
        <v>0.04</v>
      </c>
      <c r="N23" s="45" t="n">
        <v>0.04</v>
      </c>
      <c r="O23" s="45" t="n">
        <v>0.13</v>
      </c>
    </row>
    <row r="24" customFormat="false" ht="15" hidden="false" customHeight="true" outlineLevel="0" collapsed="false">
      <c r="A24" s="44" t="s">
        <v>230</v>
      </c>
      <c r="B24" s="32" t="n">
        <v>10</v>
      </c>
      <c r="C24" s="45" t="n">
        <v>0.01</v>
      </c>
      <c r="D24" s="45" t="n">
        <v>0.02</v>
      </c>
      <c r="E24" s="45" t="n">
        <v>0.01</v>
      </c>
      <c r="F24" s="45" t="n">
        <v>0.01</v>
      </c>
      <c r="G24" s="45" t="n">
        <v>0.09</v>
      </c>
      <c r="H24" s="45" t="n">
        <v>0.05</v>
      </c>
      <c r="I24" s="45" t="n">
        <v>0.06</v>
      </c>
      <c r="J24" s="45" t="n">
        <v>0.08</v>
      </c>
      <c r="K24" s="45" t="n">
        <v>0.08</v>
      </c>
      <c r="L24" s="45" t="n">
        <v>0.06</v>
      </c>
      <c r="M24" s="45" t="n">
        <v>0.05</v>
      </c>
      <c r="N24" s="45" t="n">
        <v>0.05</v>
      </c>
      <c r="O24" s="45" t="n">
        <v>0.05</v>
      </c>
    </row>
    <row r="25" customFormat="false" ht="15" hidden="false" customHeight="true" outlineLevel="0" collapsed="false">
      <c r="A25" s="44" t="s">
        <v>264</v>
      </c>
      <c r="B25" s="32" t="n">
        <v>12</v>
      </c>
      <c r="C25" s="45" t="n">
        <v>0.02</v>
      </c>
      <c r="D25" s="45" t="n">
        <v>0.01</v>
      </c>
      <c r="E25" s="45" t="n">
        <v>0.01</v>
      </c>
      <c r="F25" s="45" t="n">
        <v>0.01</v>
      </c>
      <c r="G25" s="45" t="n">
        <v>0.01</v>
      </c>
      <c r="H25" s="45" t="n">
        <v>0.03</v>
      </c>
      <c r="I25" s="45" t="n">
        <v>0.03</v>
      </c>
      <c r="J25" s="45" t="n">
        <v>0.08</v>
      </c>
      <c r="K25" s="45" t="n">
        <v>0.05</v>
      </c>
      <c r="L25" s="45" t="n">
        <v>0.07</v>
      </c>
      <c r="M25" s="45" t="n">
        <v>0.05</v>
      </c>
      <c r="N25" s="45" t="n">
        <v>0.07</v>
      </c>
      <c r="O25" s="45" t="n">
        <v>0.05</v>
      </c>
    </row>
    <row r="26" customFormat="false" ht="15" hidden="false" customHeight="true" outlineLevel="0" collapsed="false">
      <c r="A26" s="44" t="s">
        <v>241</v>
      </c>
      <c r="B26" s="32" t="n">
        <v>7</v>
      </c>
      <c r="C26" s="45" t="n">
        <v>0.17</v>
      </c>
      <c r="D26" s="45" t="n">
        <v>0.08</v>
      </c>
      <c r="E26" s="45" t="n">
        <v>0.08</v>
      </c>
      <c r="F26" s="45" t="n">
        <v>0.08</v>
      </c>
      <c r="G26" s="45" t="n">
        <v>0.08</v>
      </c>
      <c r="H26" s="45" t="n">
        <v>0.11</v>
      </c>
      <c r="I26" s="45" t="n">
        <v>0.06</v>
      </c>
      <c r="J26" s="45" t="n">
        <v>0.06</v>
      </c>
      <c r="K26" s="45" t="n">
        <v>0.09</v>
      </c>
      <c r="L26" s="45" t="n">
        <v>0.05</v>
      </c>
      <c r="M26" s="45" t="n">
        <v>0.08</v>
      </c>
      <c r="N26" s="45" t="n">
        <v>0.08</v>
      </c>
      <c r="O26" s="45" t="n">
        <v>0.18</v>
      </c>
    </row>
    <row r="27" customFormat="false" ht="15" hidden="false" customHeight="true" outlineLevel="0" collapsed="false">
      <c r="A27" s="44" t="s">
        <v>252</v>
      </c>
      <c r="B27" s="32" t="n">
        <v>11</v>
      </c>
      <c r="C27" s="45" t="n">
        <v>0.01</v>
      </c>
      <c r="D27" s="45" t="n">
        <v>0.02</v>
      </c>
      <c r="E27" s="45" t="n">
        <v>0.01</v>
      </c>
      <c r="F27" s="45" t="n">
        <v>0.08</v>
      </c>
      <c r="G27" s="45" t="n">
        <v>0.01</v>
      </c>
      <c r="H27" s="45" t="n">
        <v>0.02</v>
      </c>
      <c r="I27" s="45" t="n">
        <v>0.06</v>
      </c>
      <c r="J27" s="45" t="n">
        <v>0.03</v>
      </c>
      <c r="K27" s="45" t="n">
        <v>0.05</v>
      </c>
      <c r="L27" s="45" t="n">
        <v>0.03</v>
      </c>
      <c r="M27" s="45" t="n">
        <v>0.05</v>
      </c>
      <c r="N27" s="45" t="n">
        <v>0.05</v>
      </c>
      <c r="O27" s="45" t="n">
        <v>0.02</v>
      </c>
    </row>
    <row r="28" customFormat="false" ht="15" hidden="false" customHeight="true" outlineLevel="0" collapsed="false">
      <c r="A28" s="46" t="s">
        <v>338</v>
      </c>
      <c r="B28" s="32" t="n">
        <v>10</v>
      </c>
      <c r="C28" s="45" t="n">
        <v>0.03</v>
      </c>
      <c r="D28" s="45" t="n">
        <v>0.15</v>
      </c>
      <c r="E28" s="45" t="n">
        <v>0.16</v>
      </c>
      <c r="F28" s="45" t="n">
        <v>0.13</v>
      </c>
      <c r="G28" s="45" t="n">
        <v>0.12</v>
      </c>
      <c r="H28" s="45" t="n">
        <v>0.05</v>
      </c>
      <c r="I28" s="45" t="n">
        <v>0.02</v>
      </c>
      <c r="J28" s="45" t="n">
        <v>0.02</v>
      </c>
      <c r="K28" s="45" t="n">
        <v>0.02</v>
      </c>
      <c r="L28" s="45" t="n">
        <v>0.02</v>
      </c>
      <c r="M28" s="45" t="n">
        <v>0.02</v>
      </c>
      <c r="N28" s="45" t="n">
        <v>0.02</v>
      </c>
      <c r="O28" s="45" t="n">
        <v>0.02</v>
      </c>
    </row>
    <row r="29" customFormat="false" ht="15" hidden="false" customHeight="true" outlineLevel="0" collapsed="false">
      <c r="A29" s="47" t="s">
        <v>290</v>
      </c>
      <c r="C29" s="48" t="n">
        <f aca="false">SUM(C13:C28)</f>
        <v>1</v>
      </c>
      <c r="D29" s="48" t="n">
        <f aca="false">SUM(D13:D28)</f>
        <v>1</v>
      </c>
      <c r="E29" s="48" t="n">
        <f aca="false">SUM(E13:E28)</f>
        <v>1</v>
      </c>
      <c r="F29" s="48" t="n">
        <f aca="false">SUM(F13:F28)</f>
        <v>1</v>
      </c>
      <c r="G29" s="48" t="n">
        <f aca="false">SUM(G13:G28)</f>
        <v>1</v>
      </c>
      <c r="H29" s="48" t="n">
        <f aca="false">SUM(H13:H28)</f>
        <v>1</v>
      </c>
      <c r="I29" s="48" t="n">
        <f aca="false">SUM(I13:I28)</f>
        <v>1</v>
      </c>
      <c r="J29" s="48" t="n">
        <f aca="false">SUM(J13:J28)</f>
        <v>1</v>
      </c>
      <c r="K29" s="48" t="n">
        <f aca="false">SUM(K13:K28)</f>
        <v>1</v>
      </c>
      <c r="L29" s="48" t="n">
        <f aca="false">SUM(L13:L28)</f>
        <v>1</v>
      </c>
      <c r="M29" s="48" t="n">
        <f aca="false">SUM(M13:M28)</f>
        <v>1</v>
      </c>
      <c r="N29" s="48" t="n">
        <f aca="false">SUM(N13:N28)</f>
        <v>1</v>
      </c>
      <c r="O29" s="48" t="n">
        <f aca="false">SUM(O13:O28)</f>
        <v>1</v>
      </c>
    </row>
    <row r="30" customFormat="false" ht="15" hidden="false" customHeight="true" outlineLevel="0" collapsed="false">
      <c r="A30" s="47" t="s">
        <v>339</v>
      </c>
      <c r="C30" s="49" t="str">
        <f aca="false">IF(ROUND(C29,4)=1,"OK","확인")</f>
        <v>OK</v>
      </c>
      <c r="D30" s="49" t="str">
        <f aca="false">IF(ROUND(D29,4)=1,"OK","확인")</f>
        <v>OK</v>
      </c>
      <c r="E30" s="49" t="str">
        <f aca="false">IF(ROUND(E29,4)=1,"OK","확인")</f>
        <v>OK</v>
      </c>
      <c r="F30" s="49" t="str">
        <f aca="false">IF(ROUND(F29,4)=1,"OK","확인")</f>
        <v>OK</v>
      </c>
      <c r="G30" s="49" t="str">
        <f aca="false">IF(ROUND(G29,4)=1,"OK","확인")</f>
        <v>OK</v>
      </c>
      <c r="H30" s="49" t="str">
        <f aca="false">IF(ROUND(H29,4)=1,"OK","확인")</f>
        <v>OK</v>
      </c>
      <c r="I30" s="49" t="str">
        <f aca="false">IF(ROUND(I29,4)=1,"OK","확인")</f>
        <v>OK</v>
      </c>
      <c r="J30" s="49" t="str">
        <f aca="false">IF(ROUND(J29,4)=1,"OK","확인")</f>
        <v>OK</v>
      </c>
      <c r="K30" s="49" t="str">
        <f aca="false">IF(ROUND(K29,4)=1,"OK","확인")</f>
        <v>OK</v>
      </c>
      <c r="L30" s="49" t="str">
        <f aca="false">IF(ROUND(L29,4)=1,"OK","확인")</f>
        <v>OK</v>
      </c>
      <c r="M30" s="49" t="str">
        <f aca="false">IF(ROUND(M29,4)=1,"OK","확인")</f>
        <v>OK</v>
      </c>
      <c r="N30" s="49" t="str">
        <f aca="false">IF(ROUND(N29,4)=1,"OK","확인")</f>
        <v>OK</v>
      </c>
      <c r="O30" s="49" t="str">
        <f aca="false">IF(ROUND(O29,4)=1,"OK","확인")</f>
        <v>OK</v>
      </c>
    </row>
    <row r="32" customFormat="false" ht="15" hidden="false" customHeight="true" outlineLevel="0" collapsed="false">
      <c r="A32" s="40" t="s">
        <v>340</v>
      </c>
    </row>
    <row r="33" customFormat="false" ht="31.5" hidden="false" customHeight="true" outlineLevel="0" collapsed="false">
      <c r="A33" s="25" t="s">
        <v>341</v>
      </c>
      <c r="B33" s="25" t="s">
        <v>342</v>
      </c>
      <c r="C33" s="25" t="s">
        <v>343</v>
      </c>
      <c r="D33" s="25" t="s">
        <v>344</v>
      </c>
      <c r="E33" s="25" t="s">
        <v>324</v>
      </c>
      <c r="F33" s="25" t="s">
        <v>345</v>
      </c>
      <c r="G33" s="25" t="s">
        <v>346</v>
      </c>
      <c r="H33" s="25" t="s">
        <v>347</v>
      </c>
      <c r="I33" s="25" t="s">
        <v>348</v>
      </c>
    </row>
    <row r="34" customFormat="false" ht="15" hidden="false" customHeight="true" outlineLevel="0" collapsed="false">
      <c r="A34" s="50" t="s">
        <v>349</v>
      </c>
      <c r="B34" s="51" t="n">
        <v>0.8</v>
      </c>
      <c r="C34" s="33" t="n">
        <f aca="false">$B$5</f>
        <v>120</v>
      </c>
      <c r="D34" s="33" t="n">
        <f aca="false">C34*개요!$C$6</f>
        <v>1440</v>
      </c>
      <c r="E34" s="33" t="n">
        <f aca="false">SUMPRODUCT(C$13:C$28,$B$13:$B$28)*B34</f>
        <v>8.128</v>
      </c>
      <c r="F34" s="33" t="n">
        <f aca="false">C34*E34</f>
        <v>975.36</v>
      </c>
      <c r="G34" s="33" t="n">
        <f aca="false">F34*개요!$C$6</f>
        <v>11704.32</v>
      </c>
      <c r="H34" s="33" t="n">
        <f aca="false">F34/$B$6</f>
        <v>7.50276923076923</v>
      </c>
      <c r="I34" s="52" t="n">
        <f aca="false">H34*개요!$C$6/60</f>
        <v>1.50055384615385</v>
      </c>
    </row>
    <row r="35" customFormat="false" ht="15" hidden="false" customHeight="true" outlineLevel="0" collapsed="false">
      <c r="A35" s="50" t="s">
        <v>350</v>
      </c>
      <c r="B35" s="51" t="n">
        <v>1</v>
      </c>
      <c r="C35" s="33" t="n">
        <f aca="false">$B$5</f>
        <v>120</v>
      </c>
      <c r="D35" s="33" t="n">
        <f aca="false">C35*개요!$C$6</f>
        <v>1440</v>
      </c>
      <c r="E35" s="33" t="n">
        <f aca="false">SUMPRODUCT(D$13:D$28,$B$13:$B$28)*B35</f>
        <v>11.39</v>
      </c>
      <c r="F35" s="33" t="n">
        <f aca="false">C35*E35</f>
        <v>1366.8</v>
      </c>
      <c r="G35" s="33" t="n">
        <f aca="false">F35*개요!$C$6</f>
        <v>16401.6</v>
      </c>
      <c r="H35" s="33" t="n">
        <f aca="false">F35/$B$6</f>
        <v>10.5138461538462</v>
      </c>
      <c r="I35" s="52" t="n">
        <f aca="false">H35*개요!$C$6/60</f>
        <v>2.10276923076923</v>
      </c>
    </row>
    <row r="36" customFormat="false" ht="15" hidden="false" customHeight="true" outlineLevel="0" collapsed="false">
      <c r="A36" s="50" t="s">
        <v>351</v>
      </c>
      <c r="B36" s="51" t="n">
        <v>1</v>
      </c>
      <c r="C36" s="33" t="n">
        <f aca="false">$B$5</f>
        <v>120</v>
      </c>
      <c r="D36" s="33" t="n">
        <f aca="false">C36*개요!$C$6</f>
        <v>1440</v>
      </c>
      <c r="E36" s="33" t="n">
        <f aca="false">SUMPRODUCT(E$13:E$28,$B$13:$B$28)*B36</f>
        <v>9.12</v>
      </c>
      <c r="F36" s="33" t="n">
        <f aca="false">C36*E36</f>
        <v>1094.4</v>
      </c>
      <c r="G36" s="33" t="n">
        <f aca="false">F36*개요!$C$6</f>
        <v>13132.8</v>
      </c>
      <c r="H36" s="33" t="n">
        <f aca="false">F36/$B$6</f>
        <v>8.41846153846154</v>
      </c>
      <c r="I36" s="52" t="n">
        <f aca="false">H36*개요!$C$6/60</f>
        <v>1.68369230769231</v>
      </c>
    </row>
    <row r="37" customFormat="false" ht="15" hidden="false" customHeight="true" outlineLevel="0" collapsed="false">
      <c r="A37" s="50" t="s">
        <v>352</v>
      </c>
      <c r="B37" s="51" t="n">
        <v>1</v>
      </c>
      <c r="C37" s="33" t="n">
        <f aca="false">$B$5</f>
        <v>120</v>
      </c>
      <c r="D37" s="33" t="n">
        <f aca="false">C37*개요!$C$6</f>
        <v>1440</v>
      </c>
      <c r="E37" s="33" t="n">
        <f aca="false">SUMPRODUCT(F$13:F$28,$B$13:$B$28)*B37</f>
        <v>10.44</v>
      </c>
      <c r="F37" s="33" t="n">
        <f aca="false">C37*E37</f>
        <v>1252.8</v>
      </c>
      <c r="G37" s="33" t="n">
        <f aca="false">F37*개요!$C$6</f>
        <v>15033.6</v>
      </c>
      <c r="H37" s="33" t="n">
        <f aca="false">F37/$B$6</f>
        <v>9.63692307692308</v>
      </c>
      <c r="I37" s="52" t="n">
        <f aca="false">H37*개요!$C$6/60</f>
        <v>1.92738461538462</v>
      </c>
    </row>
    <row r="38" customFormat="false" ht="15" hidden="false" customHeight="true" outlineLevel="0" collapsed="false">
      <c r="A38" s="50" t="s">
        <v>353</v>
      </c>
      <c r="B38" s="51" t="n">
        <v>1</v>
      </c>
      <c r="C38" s="33" t="n">
        <f aca="false">$B$5</f>
        <v>120</v>
      </c>
      <c r="D38" s="33" t="n">
        <f aca="false">C38*개요!$C$6</f>
        <v>1440</v>
      </c>
      <c r="E38" s="33" t="n">
        <f aca="false">SUMPRODUCT(G$13:G$28,$B$13:$B$28)*B38</f>
        <v>10.8</v>
      </c>
      <c r="F38" s="33" t="n">
        <f aca="false">C38*E38</f>
        <v>1296</v>
      </c>
      <c r="G38" s="33" t="n">
        <f aca="false">F38*개요!$C$6</f>
        <v>15552</v>
      </c>
      <c r="H38" s="33" t="n">
        <f aca="false">F38/$B$6</f>
        <v>9.96923076923077</v>
      </c>
      <c r="I38" s="52" t="n">
        <f aca="false">H38*개요!$C$6/60</f>
        <v>1.99384615384615</v>
      </c>
    </row>
    <row r="39" customFormat="false" ht="15" hidden="false" customHeight="true" outlineLevel="0" collapsed="false">
      <c r="A39" s="50" t="s">
        <v>354</v>
      </c>
      <c r="B39" s="51" t="n">
        <v>1</v>
      </c>
      <c r="C39" s="33" t="n">
        <f aca="false">$B$5</f>
        <v>120</v>
      </c>
      <c r="D39" s="33" t="n">
        <f aca="false">C39*개요!$C$6</f>
        <v>1440</v>
      </c>
      <c r="E39" s="33" t="n">
        <f aca="false">SUMPRODUCT(H$13:H$28,$B$13:$B$28)*B39</f>
        <v>10.18</v>
      </c>
      <c r="F39" s="33" t="n">
        <f aca="false">C39*E39</f>
        <v>1221.6</v>
      </c>
      <c r="G39" s="33" t="n">
        <f aca="false">F39*개요!$C$6</f>
        <v>14659.2</v>
      </c>
      <c r="H39" s="33" t="n">
        <f aca="false">F39/$B$6</f>
        <v>9.39692307692308</v>
      </c>
      <c r="I39" s="52" t="n">
        <f aca="false">H39*개요!$C$6/60</f>
        <v>1.87938461538462</v>
      </c>
    </row>
    <row r="40" customFormat="false" ht="15" hidden="false" customHeight="true" outlineLevel="0" collapsed="false">
      <c r="A40" s="50" t="s">
        <v>355</v>
      </c>
      <c r="B40" s="51" t="n">
        <v>1</v>
      </c>
      <c r="C40" s="33" t="n">
        <f aca="false">$B$5</f>
        <v>120</v>
      </c>
      <c r="D40" s="33" t="n">
        <f aca="false">C40*개요!$C$6</f>
        <v>1440</v>
      </c>
      <c r="E40" s="33" t="n">
        <f aca="false">SUMPRODUCT(I$13:I$28,$B$13:$B$28)*B40</f>
        <v>10.4</v>
      </c>
      <c r="F40" s="33" t="n">
        <f aca="false">C40*E40</f>
        <v>1248</v>
      </c>
      <c r="G40" s="33" t="n">
        <f aca="false">F40*개요!$C$6</f>
        <v>14976</v>
      </c>
      <c r="H40" s="33" t="n">
        <f aca="false">F40/$B$6</f>
        <v>9.6</v>
      </c>
      <c r="I40" s="52" t="n">
        <f aca="false">H40*개요!$C$6/60</f>
        <v>1.92</v>
      </c>
    </row>
    <row r="41" customFormat="false" ht="15" hidden="false" customHeight="true" outlineLevel="0" collapsed="false">
      <c r="A41" s="50" t="s">
        <v>356</v>
      </c>
      <c r="B41" s="51" t="n">
        <v>1.1</v>
      </c>
      <c r="C41" s="33" t="n">
        <f aca="false">$B$5</f>
        <v>120</v>
      </c>
      <c r="D41" s="33" t="n">
        <f aca="false">C41*개요!$C$6</f>
        <v>1440</v>
      </c>
      <c r="E41" s="33" t="n">
        <f aca="false">SUMPRODUCT(J$13:J$28,$B$13:$B$28)*B41</f>
        <v>11.418</v>
      </c>
      <c r="F41" s="33" t="n">
        <f aca="false">C41*E41</f>
        <v>1370.16</v>
      </c>
      <c r="G41" s="33" t="n">
        <f aca="false">F41*개요!$C$6</f>
        <v>16441.92</v>
      </c>
      <c r="H41" s="33" t="n">
        <f aca="false">F41/$B$6</f>
        <v>10.5396923076923</v>
      </c>
      <c r="I41" s="52" t="n">
        <f aca="false">H41*개요!$C$6/60</f>
        <v>2.10793846153846</v>
      </c>
    </row>
    <row r="42" customFormat="false" ht="15" hidden="false" customHeight="true" outlineLevel="0" collapsed="false">
      <c r="A42" s="50" t="s">
        <v>357</v>
      </c>
      <c r="B42" s="51" t="n">
        <v>1.1</v>
      </c>
      <c r="C42" s="33" t="n">
        <f aca="false">$B$5</f>
        <v>120</v>
      </c>
      <c r="D42" s="33" t="n">
        <f aca="false">C42*개요!$C$6</f>
        <v>1440</v>
      </c>
      <c r="E42" s="33" t="n">
        <f aca="false">SUMPRODUCT(K$13:K$28,$B$13:$B$28)*B42</f>
        <v>11.187</v>
      </c>
      <c r="F42" s="33" t="n">
        <f aca="false">C42*E42</f>
        <v>1342.44</v>
      </c>
      <c r="G42" s="33" t="n">
        <f aca="false">F42*개요!$C$6</f>
        <v>16109.28</v>
      </c>
      <c r="H42" s="33" t="n">
        <f aca="false">F42/$B$6</f>
        <v>10.3264615384615</v>
      </c>
      <c r="I42" s="52" t="n">
        <f aca="false">H42*개요!$C$6/60</f>
        <v>2.06529230769231</v>
      </c>
    </row>
    <row r="43" customFormat="false" ht="15" hidden="false" customHeight="true" outlineLevel="0" collapsed="false">
      <c r="A43" s="50" t="s">
        <v>358</v>
      </c>
      <c r="B43" s="51" t="n">
        <v>1.2</v>
      </c>
      <c r="C43" s="33" t="n">
        <f aca="false">$B$5</f>
        <v>120</v>
      </c>
      <c r="D43" s="33" t="n">
        <f aca="false">C43*개요!$C$6</f>
        <v>1440</v>
      </c>
      <c r="E43" s="33" t="n">
        <f aca="false">SUMPRODUCT(L$13:L$28,$B$13:$B$28)*B43</f>
        <v>12.708</v>
      </c>
      <c r="F43" s="33" t="n">
        <f aca="false">C43*E43</f>
        <v>1524.96</v>
      </c>
      <c r="G43" s="33" t="n">
        <f aca="false">F43*개요!$C$6</f>
        <v>18299.52</v>
      </c>
      <c r="H43" s="33" t="n">
        <f aca="false">F43/$B$6</f>
        <v>11.7304615384615</v>
      </c>
      <c r="I43" s="52" t="n">
        <f aca="false">H43*개요!$C$6/60</f>
        <v>2.34609230769231</v>
      </c>
    </row>
    <row r="44" customFormat="false" ht="15" hidden="false" customHeight="true" outlineLevel="0" collapsed="false">
      <c r="A44" s="50" t="s">
        <v>359</v>
      </c>
      <c r="B44" s="51" t="n">
        <v>1.2</v>
      </c>
      <c r="C44" s="33" t="n">
        <f aca="false">$B$5</f>
        <v>120</v>
      </c>
      <c r="D44" s="33" t="n">
        <f aca="false">C44*개요!$C$6</f>
        <v>1440</v>
      </c>
      <c r="E44" s="33" t="n">
        <f aca="false">SUMPRODUCT(M$13:M$28,$B$13:$B$28)*B44</f>
        <v>12.252</v>
      </c>
      <c r="F44" s="33" t="n">
        <f aca="false">C44*E44</f>
        <v>1470.24</v>
      </c>
      <c r="G44" s="33" t="n">
        <f aca="false">F44*개요!$C$6</f>
        <v>17642.88</v>
      </c>
      <c r="H44" s="33" t="n">
        <f aca="false">F44/$B$6</f>
        <v>11.3095384615385</v>
      </c>
      <c r="I44" s="52" t="n">
        <f aca="false">H44*개요!$C$6/60</f>
        <v>2.26190769230769</v>
      </c>
    </row>
    <row r="45" customFormat="false" ht="15" hidden="false" customHeight="true" outlineLevel="0" collapsed="false">
      <c r="A45" s="50" t="s">
        <v>360</v>
      </c>
      <c r="B45" s="51" t="n">
        <v>1.2</v>
      </c>
      <c r="C45" s="33" t="n">
        <f aca="false">$B$5</f>
        <v>120</v>
      </c>
      <c r="D45" s="33" t="n">
        <f aca="false">C45*개요!$C$6</f>
        <v>1440</v>
      </c>
      <c r="E45" s="33" t="n">
        <f aca="false">SUMPRODUCT(N$13:N$28,$B$13:$B$28)*B45</f>
        <v>12.132</v>
      </c>
      <c r="F45" s="33" t="n">
        <f aca="false">C45*E45</f>
        <v>1455.84</v>
      </c>
      <c r="G45" s="33" t="n">
        <f aca="false">F45*개요!$C$6</f>
        <v>17470.08</v>
      </c>
      <c r="H45" s="33" t="n">
        <f aca="false">F45/$B$6</f>
        <v>11.1987692307692</v>
      </c>
      <c r="I45" s="52" t="n">
        <f aca="false">H45*개요!$C$6/60</f>
        <v>2.23975384615385</v>
      </c>
    </row>
    <row r="46" customFormat="false" ht="15" hidden="false" customHeight="true" outlineLevel="0" collapsed="false">
      <c r="A46" s="50" t="s">
        <v>361</v>
      </c>
      <c r="B46" s="51" t="n">
        <v>0.8</v>
      </c>
      <c r="C46" s="33" t="n">
        <f aca="false">$B$5</f>
        <v>120</v>
      </c>
      <c r="D46" s="33" t="n">
        <f aca="false">C46*개요!$C$6</f>
        <v>1440</v>
      </c>
      <c r="E46" s="33" t="n">
        <f aca="false">SUMPRODUCT(O$13:O$28,$B$13:$B$28)*B46</f>
        <v>7.616</v>
      </c>
      <c r="F46" s="33" t="n">
        <f aca="false">C46*E46</f>
        <v>913.92</v>
      </c>
      <c r="G46" s="33" t="n">
        <f aca="false">F46*개요!$C$6</f>
        <v>10967.04</v>
      </c>
      <c r="H46" s="33" t="n">
        <f aca="false">F46/$B$6</f>
        <v>7.03015384615385</v>
      </c>
      <c r="I46" s="52" t="n">
        <f aca="false">H46*개요!$C$6/60</f>
        <v>1.40603076923077</v>
      </c>
    </row>
    <row r="47" customFormat="false" ht="15" hidden="false" customHeight="true" outlineLevel="0" collapsed="false">
      <c r="A47" s="53" t="s">
        <v>362</v>
      </c>
      <c r="B47" s="54"/>
      <c r="C47" s="54"/>
      <c r="D47" s="54" t="n">
        <f aca="false">SUM(D34:D46)</f>
        <v>18720</v>
      </c>
      <c r="E47" s="54" t="n">
        <f aca="false">G47/D47</f>
        <v>10.5977692307692</v>
      </c>
      <c r="F47" s="54" t="n">
        <f aca="false">AVERAGE(F34:F46)</f>
        <v>1271.73230769231</v>
      </c>
      <c r="G47" s="54" t="n">
        <f aca="false">SUM(G34:G46)</f>
        <v>198390.24</v>
      </c>
      <c r="H47" s="54" t="n">
        <f aca="false">AVERAGE(H34:H46)</f>
        <v>9.78255621301775</v>
      </c>
      <c r="I47" s="54" t="n">
        <f aca="false">SUM(I34:I46)</f>
        <v>25.4346461538462</v>
      </c>
    </row>
    <row r="48" customFormat="false" ht="15" hidden="false" customHeight="true" outlineLevel="0" collapsed="false">
      <c r="A48" s="22" t="s">
        <v>363</v>
      </c>
    </row>
    <row r="50" customFormat="false" ht="15" hidden="false" customHeight="true" outlineLevel="0" collapsed="false">
      <c r="A50" s="40" t="s">
        <v>364</v>
      </c>
    </row>
    <row r="51" customFormat="false" ht="15" hidden="false" customHeight="true" outlineLevel="0" collapsed="false">
      <c r="A51" s="25" t="s">
        <v>365</v>
      </c>
      <c r="B51" s="25" t="s">
        <v>366</v>
      </c>
      <c r="C51" s="25" t="s">
        <v>367</v>
      </c>
      <c r="D51" s="25" t="s">
        <v>368</v>
      </c>
      <c r="E51" s="25" t="s">
        <v>369</v>
      </c>
      <c r="F51" s="25" t="s">
        <v>370</v>
      </c>
      <c r="G51" s="25" t="s">
        <v>290</v>
      </c>
      <c r="H51" s="25" t="s">
        <v>339</v>
      </c>
      <c r="I51" s="25" t="s">
        <v>371</v>
      </c>
    </row>
    <row r="52" customFormat="false" ht="15" hidden="false" customHeight="true" outlineLevel="0" collapsed="false">
      <c r="A52" s="55" t="s">
        <v>372</v>
      </c>
      <c r="B52" s="56" t="n">
        <v>15</v>
      </c>
      <c r="C52" s="56" t="n">
        <v>35</v>
      </c>
      <c r="D52" s="56" t="n">
        <v>30</v>
      </c>
      <c r="E52" s="56" t="n">
        <v>25</v>
      </c>
      <c r="F52" s="56" t="n">
        <v>15</v>
      </c>
      <c r="G52" s="57" t="n">
        <f aca="false">SUM(B52:F52)</f>
        <v>120</v>
      </c>
      <c r="H52" s="57" t="str">
        <f aca="false">IF(G52=$B$5,"OK","확인")</f>
        <v>OK</v>
      </c>
      <c r="I52" s="58" t="s">
        <v>373</v>
      </c>
      <c r="J52" s="58"/>
      <c r="K52" s="58"/>
      <c r="L52" s="58"/>
      <c r="M52" s="58"/>
      <c r="N52" s="58"/>
      <c r="O52" s="58"/>
    </row>
    <row r="53" customFormat="false" ht="15" hidden="false" customHeight="true" outlineLevel="0" collapsed="false">
      <c r="A53" s="55" t="s">
        <v>374</v>
      </c>
      <c r="B53" s="56" t="n">
        <v>15</v>
      </c>
      <c r="C53" s="56" t="n">
        <v>30</v>
      </c>
      <c r="D53" s="56" t="n">
        <v>30</v>
      </c>
      <c r="E53" s="56" t="n">
        <v>25</v>
      </c>
      <c r="F53" s="56" t="n">
        <v>20</v>
      </c>
      <c r="G53" s="57" t="n">
        <f aca="false">SUM(B53:F53)</f>
        <v>120</v>
      </c>
      <c r="H53" s="57" t="str">
        <f aca="false">IF(G53=$B$5,"OK","확인")</f>
        <v>OK</v>
      </c>
      <c r="I53" s="59" t="s">
        <v>375</v>
      </c>
      <c r="J53" s="59"/>
      <c r="K53" s="59"/>
      <c r="L53" s="59"/>
      <c r="M53" s="59"/>
      <c r="N53" s="59"/>
      <c r="O53" s="59"/>
    </row>
    <row r="54" customFormat="false" ht="15" hidden="false" customHeight="true" outlineLevel="0" collapsed="false">
      <c r="A54" s="55" t="s">
        <v>376</v>
      </c>
      <c r="B54" s="56" t="n">
        <v>15</v>
      </c>
      <c r="C54" s="56" t="n">
        <v>30</v>
      </c>
      <c r="D54" s="56" t="n">
        <v>25</v>
      </c>
      <c r="E54" s="56" t="n">
        <v>35</v>
      </c>
      <c r="F54" s="56" t="n">
        <v>15</v>
      </c>
      <c r="G54" s="57" t="n">
        <f aca="false">SUM(B54:F54)</f>
        <v>120</v>
      </c>
      <c r="H54" s="57" t="str">
        <f aca="false">IF(G54=$B$5,"OK","확인")</f>
        <v>OK</v>
      </c>
      <c r="I54" s="59" t="s">
        <v>377</v>
      </c>
      <c r="J54" s="59"/>
      <c r="K54" s="59"/>
      <c r="L54" s="59"/>
      <c r="M54" s="59"/>
      <c r="N54" s="59"/>
      <c r="O54" s="59"/>
    </row>
    <row r="55" customFormat="false" ht="15" hidden="false" customHeight="true" outlineLevel="0" collapsed="false">
      <c r="A55" s="55" t="s">
        <v>378</v>
      </c>
      <c r="B55" s="56" t="n">
        <v>15</v>
      </c>
      <c r="C55" s="56" t="n">
        <v>30</v>
      </c>
      <c r="D55" s="56" t="n">
        <v>25</v>
      </c>
      <c r="E55" s="56" t="n">
        <v>35</v>
      </c>
      <c r="F55" s="56" t="n">
        <v>15</v>
      </c>
      <c r="G55" s="57" t="n">
        <f aca="false">SUM(B55:F55)</f>
        <v>120</v>
      </c>
      <c r="H55" s="57" t="str">
        <f aca="false">IF(G55=$B$5,"OK","확인")</f>
        <v>OK</v>
      </c>
      <c r="I55" s="59" t="s">
        <v>379</v>
      </c>
      <c r="J55" s="59"/>
      <c r="K55" s="59"/>
      <c r="L55" s="59"/>
      <c r="M55" s="59"/>
      <c r="N55" s="59"/>
      <c r="O55" s="59"/>
    </row>
    <row r="56" customFormat="false" ht="15" hidden="false" customHeight="true" outlineLevel="0" collapsed="false">
      <c r="A56" s="55" t="s">
        <v>380</v>
      </c>
      <c r="B56" s="56" t="n">
        <v>10</v>
      </c>
      <c r="C56" s="56" t="n">
        <v>30</v>
      </c>
      <c r="D56" s="56" t="n">
        <v>30</v>
      </c>
      <c r="E56" s="56" t="n">
        <v>40</v>
      </c>
      <c r="F56" s="56" t="n">
        <v>10</v>
      </c>
      <c r="G56" s="57" t="n">
        <f aca="false">SUM(B56:F56)</f>
        <v>120</v>
      </c>
      <c r="H56" s="57" t="str">
        <f aca="false">IF(G56=$B$5,"OK","확인")</f>
        <v>OK</v>
      </c>
      <c r="I56" s="59" t="s">
        <v>381</v>
      </c>
      <c r="J56" s="59"/>
      <c r="K56" s="59"/>
      <c r="L56" s="59"/>
      <c r="M56" s="59"/>
      <c r="N56" s="59"/>
      <c r="O56" s="59"/>
    </row>
    <row r="57" customFormat="false" ht="15" hidden="false" customHeight="true" outlineLevel="0" collapsed="false">
      <c r="A57" s="55" t="s">
        <v>382</v>
      </c>
      <c r="B57" s="56" t="n">
        <v>20</v>
      </c>
      <c r="C57" s="56" t="n">
        <v>25</v>
      </c>
      <c r="D57" s="56" t="n">
        <v>25</v>
      </c>
      <c r="E57" s="56" t="n">
        <v>25</v>
      </c>
      <c r="F57" s="56" t="n">
        <v>25</v>
      </c>
      <c r="G57" s="57" t="n">
        <f aca="false">SUM(B57:F57)</f>
        <v>120</v>
      </c>
      <c r="H57" s="57" t="str">
        <f aca="false">IF(G57=$B$5,"OK","확인")</f>
        <v>OK</v>
      </c>
      <c r="I57" s="59" t="s">
        <v>383</v>
      </c>
      <c r="J57" s="59"/>
      <c r="K57" s="59"/>
      <c r="L57" s="59"/>
      <c r="M57" s="59"/>
      <c r="N57" s="59"/>
      <c r="O57" s="59"/>
    </row>
    <row r="59" customFormat="false" ht="15" hidden="false" customHeight="true" outlineLevel="0" collapsed="false">
      <c r="A59" s="40" t="s">
        <v>384</v>
      </c>
    </row>
    <row r="60" customFormat="false" ht="16.5" hidden="false" customHeight="true" outlineLevel="0" collapsed="false">
      <c r="A60" s="39" t="s">
        <v>385</v>
      </c>
      <c r="B60" s="39"/>
      <c r="C60" s="39"/>
      <c r="D60" s="39"/>
      <c r="E60" s="39"/>
      <c r="F60" s="39"/>
      <c r="G60" s="39"/>
      <c r="H60" s="39"/>
      <c r="I60" s="39"/>
      <c r="J60" s="39"/>
      <c r="K60" s="39"/>
      <c r="L60" s="39"/>
      <c r="M60" s="39"/>
      <c r="N60" s="39"/>
      <c r="O60" s="39"/>
    </row>
    <row r="61" customFormat="false" ht="16.5" hidden="false" customHeight="true" outlineLevel="0" collapsed="false">
      <c r="A61" s="39" t="s">
        <v>386</v>
      </c>
      <c r="B61" s="39"/>
      <c r="C61" s="39"/>
      <c r="D61" s="39"/>
      <c r="E61" s="39"/>
      <c r="F61" s="39"/>
      <c r="G61" s="39"/>
      <c r="H61" s="39"/>
      <c r="I61" s="39"/>
      <c r="J61" s="39"/>
      <c r="K61" s="39"/>
      <c r="L61" s="39"/>
      <c r="M61" s="39"/>
      <c r="N61" s="39"/>
      <c r="O61" s="39"/>
    </row>
    <row r="62" customFormat="false" ht="16.5" hidden="false" customHeight="true" outlineLevel="0" collapsed="false">
      <c r="A62" s="39" t="s">
        <v>387</v>
      </c>
      <c r="B62" s="39"/>
      <c r="C62" s="39"/>
      <c r="D62" s="39"/>
      <c r="E62" s="39"/>
      <c r="F62" s="39"/>
      <c r="G62" s="39"/>
      <c r="H62" s="39"/>
      <c r="I62" s="39"/>
      <c r="J62" s="39"/>
      <c r="K62" s="39"/>
      <c r="L62" s="39"/>
      <c r="M62" s="39"/>
      <c r="N62" s="39"/>
      <c r="O62" s="39"/>
    </row>
    <row r="63" customFormat="false" ht="16.5" hidden="false" customHeight="true" outlineLevel="0" collapsed="false">
      <c r="A63" s="39" t="s">
        <v>388</v>
      </c>
      <c r="B63" s="39"/>
      <c r="C63" s="39"/>
      <c r="D63" s="39"/>
      <c r="E63" s="39"/>
      <c r="F63" s="39"/>
      <c r="G63" s="39"/>
      <c r="H63" s="39"/>
      <c r="I63" s="39"/>
      <c r="J63" s="39"/>
      <c r="K63" s="39"/>
      <c r="L63" s="39"/>
      <c r="M63" s="39"/>
      <c r="N63" s="39"/>
      <c r="O63" s="39"/>
    </row>
    <row r="64" customFormat="false" ht="16.5" hidden="false" customHeight="true" outlineLevel="0" collapsed="false">
      <c r="A64" s="39" t="s">
        <v>389</v>
      </c>
      <c r="B64" s="39"/>
      <c r="C64" s="39"/>
      <c r="D64" s="39"/>
      <c r="E64" s="39"/>
      <c r="F64" s="39"/>
      <c r="G64" s="39"/>
      <c r="H64" s="39"/>
      <c r="I64" s="39"/>
      <c r="J64" s="39"/>
      <c r="K64" s="39"/>
      <c r="L64" s="39"/>
      <c r="M64" s="39"/>
      <c r="N64" s="39"/>
      <c r="O64" s="39"/>
    </row>
    <row r="65" customFormat="false" ht="16.5" hidden="false" customHeight="true" outlineLevel="0" collapsed="false">
      <c r="A65" s="39" t="s">
        <v>390</v>
      </c>
      <c r="B65" s="39"/>
      <c r="C65" s="39"/>
      <c r="D65" s="39"/>
      <c r="E65" s="39"/>
      <c r="F65" s="39"/>
      <c r="G65" s="39"/>
      <c r="H65" s="39"/>
      <c r="I65" s="39"/>
      <c r="J65" s="39"/>
      <c r="K65" s="39"/>
      <c r="L65" s="39"/>
      <c r="M65" s="39"/>
      <c r="N65" s="39"/>
      <c r="O65" s="39"/>
    </row>
  </sheetData>
  <mergeCells count="12">
    <mergeCell ref="I52:O52"/>
    <mergeCell ref="I53:O53"/>
    <mergeCell ref="I54:O54"/>
    <mergeCell ref="I55:O55"/>
    <mergeCell ref="I56:O56"/>
    <mergeCell ref="I57:O57"/>
    <mergeCell ref="A60:O60"/>
    <mergeCell ref="A61:O61"/>
    <mergeCell ref="A62:O62"/>
    <mergeCell ref="A63:O63"/>
    <mergeCell ref="A64:O64"/>
    <mergeCell ref="A65:O65"/>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30"/>
    <col collapsed="false" customWidth="true" hidden="false" outlineLevel="0" max="3" min="3" style="1" width="22"/>
    <col collapsed="false" customWidth="true" hidden="false" outlineLevel="0" max="4" min="4" style="1" width="32"/>
    <col collapsed="false" customWidth="true" hidden="false" outlineLevel="0" max="5" min="5" style="1" width="56"/>
    <col collapsed="false" customWidth="true" hidden="false" outlineLevel="0" max="6" min="6" style="1" width="11"/>
    <col collapsed="false" customWidth="true" hidden="false" outlineLevel="0" max="7" min="7" style="1" width="48"/>
    <col collapsed="false" customWidth="true" hidden="false" outlineLevel="0" max="8" min="8" style="1" width="10"/>
  </cols>
  <sheetData>
    <row r="1" customFormat="false" ht="24" hidden="false" customHeight="true" outlineLevel="0" collapsed="false">
      <c r="A1" s="2" t="s">
        <v>391</v>
      </c>
    </row>
    <row r="2" customFormat="false" ht="15" hidden="false" customHeight="true" outlineLevel="0" collapsed="false">
      <c r="A2" s="22" t="s">
        <v>392</v>
      </c>
    </row>
    <row r="4" customFormat="false" ht="31.5" hidden="false" customHeight="true" outlineLevel="0" collapsed="false">
      <c r="A4" s="25" t="s">
        <v>341</v>
      </c>
      <c r="B4" s="25" t="s">
        <v>393</v>
      </c>
      <c r="C4" s="25" t="s">
        <v>394</v>
      </c>
      <c r="D4" s="25" t="s">
        <v>395</v>
      </c>
      <c r="E4" s="25" t="s">
        <v>396</v>
      </c>
      <c r="F4" s="25" t="s">
        <v>397</v>
      </c>
      <c r="G4" s="25" t="s">
        <v>398</v>
      </c>
      <c r="H4" s="25" t="s">
        <v>399</v>
      </c>
    </row>
    <row r="5" customFormat="false" ht="61.5" hidden="false" customHeight="true" outlineLevel="0" collapsed="false">
      <c r="A5" s="26" t="n">
        <v>1</v>
      </c>
      <c r="B5" s="8" t="s">
        <v>400</v>
      </c>
      <c r="C5" s="9" t="s">
        <v>401</v>
      </c>
      <c r="D5" s="8" t="s">
        <v>402</v>
      </c>
      <c r="E5" s="9" t="s">
        <v>403</v>
      </c>
      <c r="F5" s="26" t="s">
        <v>404</v>
      </c>
      <c r="G5" s="9" t="s">
        <v>405</v>
      </c>
      <c r="H5" s="28" t="s">
        <v>406</v>
      </c>
    </row>
    <row r="6" customFormat="false" ht="31.5" hidden="false" customHeight="true" outlineLevel="0" collapsed="false">
      <c r="A6" s="26" t="n">
        <v>2</v>
      </c>
      <c r="B6" s="8" t="s">
        <v>407</v>
      </c>
      <c r="C6" s="9" t="s">
        <v>408</v>
      </c>
      <c r="D6" s="8" t="s">
        <v>409</v>
      </c>
      <c r="E6" s="9" t="s">
        <v>410</v>
      </c>
      <c r="F6" s="26" t="s">
        <v>411</v>
      </c>
      <c r="G6" s="9" t="s">
        <v>412</v>
      </c>
      <c r="H6" s="28" t="s">
        <v>413</v>
      </c>
    </row>
    <row r="7" customFormat="false" ht="31.5" hidden="false" customHeight="true" outlineLevel="0" collapsed="false">
      <c r="A7" s="26" t="n">
        <v>3</v>
      </c>
      <c r="B7" s="8" t="s">
        <v>414</v>
      </c>
      <c r="C7" s="9" t="s">
        <v>415</v>
      </c>
      <c r="D7" s="8" t="s">
        <v>119</v>
      </c>
      <c r="E7" s="9" t="s">
        <v>416</v>
      </c>
      <c r="F7" s="26" t="s">
        <v>411</v>
      </c>
      <c r="G7" s="9" t="s">
        <v>417</v>
      </c>
      <c r="H7" s="28" t="s">
        <v>413</v>
      </c>
    </row>
    <row r="8" customFormat="false" ht="46.5" hidden="false" customHeight="true" outlineLevel="0" collapsed="false">
      <c r="A8" s="26" t="n">
        <v>4</v>
      </c>
      <c r="B8" s="8" t="s">
        <v>418</v>
      </c>
      <c r="C8" s="9" t="s">
        <v>419</v>
      </c>
      <c r="D8" s="8" t="s">
        <v>420</v>
      </c>
      <c r="E8" s="9" t="s">
        <v>421</v>
      </c>
      <c r="F8" s="26" t="s">
        <v>411</v>
      </c>
      <c r="G8" s="9" t="s">
        <v>422</v>
      </c>
      <c r="H8" s="28" t="s">
        <v>413</v>
      </c>
    </row>
    <row r="9" customFormat="false" ht="31.5" hidden="false" customHeight="true" outlineLevel="0" collapsed="false">
      <c r="A9" s="26" t="n">
        <v>5</v>
      </c>
      <c r="B9" s="8" t="s">
        <v>423</v>
      </c>
      <c r="C9" s="9" t="s">
        <v>424</v>
      </c>
      <c r="D9" s="8" t="s">
        <v>425</v>
      </c>
      <c r="E9" s="9" t="s">
        <v>426</v>
      </c>
      <c r="F9" s="26" t="s">
        <v>411</v>
      </c>
      <c r="G9" s="9" t="s">
        <v>427</v>
      </c>
      <c r="H9" s="28" t="s">
        <v>413</v>
      </c>
    </row>
    <row r="10" customFormat="false" ht="31.5" hidden="false" customHeight="true" outlineLevel="0" collapsed="false">
      <c r="A10" s="26" t="n">
        <v>6</v>
      </c>
      <c r="B10" s="8" t="s">
        <v>428</v>
      </c>
      <c r="C10" s="9" t="s">
        <v>429</v>
      </c>
      <c r="D10" s="8" t="s">
        <v>430</v>
      </c>
      <c r="E10" s="9" t="s">
        <v>431</v>
      </c>
      <c r="F10" s="26" t="s">
        <v>432</v>
      </c>
      <c r="G10" s="9" t="s">
        <v>433</v>
      </c>
      <c r="H10" s="28" t="s">
        <v>434</v>
      </c>
    </row>
    <row r="11" customFormat="false" ht="46.5" hidden="false" customHeight="true" outlineLevel="0" collapsed="false">
      <c r="A11" s="26" t="n">
        <v>7</v>
      </c>
      <c r="B11" s="8" t="s">
        <v>435</v>
      </c>
      <c r="C11" s="9" t="s">
        <v>436</v>
      </c>
      <c r="D11" s="9" t="s">
        <v>437</v>
      </c>
      <c r="E11" s="9" t="s">
        <v>438</v>
      </c>
      <c r="F11" s="26" t="s">
        <v>411</v>
      </c>
      <c r="G11" s="8" t="s">
        <v>439</v>
      </c>
      <c r="H11" s="28" t="s">
        <v>440</v>
      </c>
    </row>
    <row r="12" customFormat="false" ht="46.5" hidden="false" customHeight="true" outlineLevel="0" collapsed="false">
      <c r="A12" s="26" t="n">
        <v>8</v>
      </c>
      <c r="B12" s="8" t="s">
        <v>441</v>
      </c>
      <c r="C12" s="9" t="s">
        <v>442</v>
      </c>
      <c r="D12" s="8" t="s">
        <v>443</v>
      </c>
      <c r="E12" s="9" t="s">
        <v>444</v>
      </c>
      <c r="F12" s="26" t="s">
        <v>411</v>
      </c>
      <c r="G12" s="9" t="s">
        <v>445</v>
      </c>
      <c r="H12" s="28" t="s">
        <v>446</v>
      </c>
    </row>
    <row r="13" customFormat="false" ht="46.5" hidden="false" customHeight="true" outlineLevel="0" collapsed="false">
      <c r="A13" s="26" t="n">
        <v>9</v>
      </c>
      <c r="B13" s="8" t="s">
        <v>447</v>
      </c>
      <c r="C13" s="9" t="s">
        <v>448</v>
      </c>
      <c r="D13" s="8" t="s">
        <v>449</v>
      </c>
      <c r="E13" s="8" t="s">
        <v>450</v>
      </c>
      <c r="F13" s="26" t="s">
        <v>451</v>
      </c>
      <c r="G13" s="8" t="s">
        <v>452</v>
      </c>
      <c r="H13" s="28" t="s">
        <v>446</v>
      </c>
    </row>
    <row r="14" customFormat="false" ht="46.5" hidden="false" customHeight="true" outlineLevel="0" collapsed="false">
      <c r="A14" s="26" t="n">
        <v>10</v>
      </c>
      <c r="B14" s="8" t="s">
        <v>453</v>
      </c>
      <c r="C14" s="9" t="s">
        <v>454</v>
      </c>
      <c r="D14" s="8" t="s">
        <v>455</v>
      </c>
      <c r="E14" s="9" t="s">
        <v>456</v>
      </c>
      <c r="F14" s="26" t="s">
        <v>457</v>
      </c>
      <c r="G14" s="9" t="s">
        <v>458</v>
      </c>
      <c r="H14" s="28" t="s">
        <v>446</v>
      </c>
    </row>
    <row r="15" customFormat="false" ht="61.5" hidden="false" customHeight="true" outlineLevel="0" collapsed="false">
      <c r="A15" s="26" t="n">
        <v>11</v>
      </c>
      <c r="B15" s="8" t="s">
        <v>459</v>
      </c>
      <c r="C15" s="9" t="s">
        <v>460</v>
      </c>
      <c r="D15" s="8" t="s">
        <v>461</v>
      </c>
      <c r="E15" s="9" t="s">
        <v>462</v>
      </c>
      <c r="F15" s="26" t="s">
        <v>457</v>
      </c>
      <c r="G15" s="9" t="s">
        <v>463</v>
      </c>
      <c r="H15" s="28" t="s">
        <v>446</v>
      </c>
    </row>
    <row r="16" customFormat="false" ht="61.5" hidden="false" customHeight="true" outlineLevel="0" collapsed="false">
      <c r="A16" s="26" t="n">
        <v>12</v>
      </c>
      <c r="B16" s="8" t="s">
        <v>464</v>
      </c>
      <c r="C16" s="9" t="s">
        <v>465</v>
      </c>
      <c r="D16" s="8" t="s">
        <v>466</v>
      </c>
      <c r="E16" s="9" t="s">
        <v>467</v>
      </c>
      <c r="F16" s="26" t="s">
        <v>457</v>
      </c>
      <c r="G16" s="9" t="s">
        <v>468</v>
      </c>
      <c r="H16" s="28" t="s">
        <v>446</v>
      </c>
    </row>
    <row r="17" customFormat="false" ht="46.5" hidden="false" customHeight="true" outlineLevel="0" collapsed="false">
      <c r="A17" s="26" t="n">
        <v>13</v>
      </c>
      <c r="B17" s="8" t="s">
        <v>469</v>
      </c>
      <c r="C17" s="9" t="s">
        <v>470</v>
      </c>
      <c r="D17" s="8" t="s">
        <v>471</v>
      </c>
      <c r="E17" s="8" t="s">
        <v>472</v>
      </c>
      <c r="F17" s="26" t="s">
        <v>473</v>
      </c>
      <c r="G17" s="9" t="s">
        <v>474</v>
      </c>
      <c r="H17" s="28" t="s">
        <v>470</v>
      </c>
    </row>
    <row r="19" customFormat="false" ht="31.5" hidden="false" customHeight="true" outlineLevel="0" collapsed="false">
      <c r="A19" s="60" t="s">
        <v>475</v>
      </c>
      <c r="B19" s="60"/>
      <c r="C19" s="60"/>
      <c r="D19" s="60"/>
      <c r="E19" s="60"/>
      <c r="F19" s="60"/>
      <c r="G19" s="60"/>
      <c r="H19" s="60"/>
    </row>
  </sheetData>
  <mergeCells count="1">
    <mergeCell ref="A19:H19"/>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B2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2" min="2" style="1" width="118"/>
  </cols>
  <sheetData>
    <row r="1" customFormat="false" ht="24" hidden="false" customHeight="true" outlineLevel="0" collapsed="false">
      <c r="A1" s="23" t="s">
        <v>476</v>
      </c>
    </row>
    <row r="2" customFormat="false" ht="15" hidden="false" customHeight="true" outlineLevel="0" collapsed="false">
      <c r="A2" s="22" t="s">
        <v>477</v>
      </c>
    </row>
    <row r="4" customFormat="false" ht="31.5" hidden="false" customHeight="true" outlineLevel="0" collapsed="false">
      <c r="A4" s="61" t="s">
        <v>325</v>
      </c>
      <c r="B4" s="62" t="s">
        <v>478</v>
      </c>
    </row>
    <row r="5" customFormat="false" ht="31.5" hidden="false" customHeight="true" outlineLevel="0" collapsed="false">
      <c r="A5" s="6" t="s">
        <v>479</v>
      </c>
      <c r="B5" s="9" t="s">
        <v>480</v>
      </c>
    </row>
    <row r="6" customFormat="false" ht="31.5" hidden="false" customHeight="true" outlineLevel="0" collapsed="false">
      <c r="A6" s="6" t="s">
        <v>481</v>
      </c>
      <c r="B6" s="9" t="s">
        <v>482</v>
      </c>
    </row>
    <row r="7" customFormat="false" ht="31.5" hidden="false" customHeight="true" outlineLevel="0" collapsed="false">
      <c r="A7" s="6" t="s">
        <v>483</v>
      </c>
      <c r="B7" s="8" t="s">
        <v>484</v>
      </c>
    </row>
    <row r="8" customFormat="false" ht="16.5" hidden="false" customHeight="true" outlineLevel="0" collapsed="false">
      <c r="A8" s="6" t="s">
        <v>485</v>
      </c>
      <c r="B8" s="9" t="s">
        <v>486</v>
      </c>
    </row>
    <row r="9" customFormat="false" ht="31.5" hidden="false" customHeight="true" outlineLevel="0" collapsed="false">
      <c r="A9" s="6" t="s">
        <v>487</v>
      </c>
      <c r="B9" s="9" t="s">
        <v>488</v>
      </c>
    </row>
    <row r="10" customFormat="false" ht="31.5" hidden="false" customHeight="true" outlineLevel="0" collapsed="false">
      <c r="A10" s="6" t="s">
        <v>489</v>
      </c>
      <c r="B10" s="9" t="s">
        <v>490</v>
      </c>
    </row>
    <row r="11" customFormat="false" ht="31.5" hidden="false" customHeight="true" outlineLevel="0" collapsed="false">
      <c r="A11" s="6" t="s">
        <v>491</v>
      </c>
      <c r="B11" s="9" t="s">
        <v>492</v>
      </c>
    </row>
    <row r="12" customFormat="false" ht="31.5" hidden="false" customHeight="true" outlineLevel="0" collapsed="false">
      <c r="A12" s="6" t="s">
        <v>493</v>
      </c>
      <c r="B12" s="9" t="s">
        <v>494</v>
      </c>
    </row>
    <row r="13" customFormat="false" ht="31.5" hidden="false" customHeight="true" outlineLevel="0" collapsed="false">
      <c r="A13" s="6" t="s">
        <v>495</v>
      </c>
      <c r="B13" s="9" t="s">
        <v>496</v>
      </c>
    </row>
    <row r="14" customFormat="false" ht="31.5" hidden="false" customHeight="true" outlineLevel="0" collapsed="false">
      <c r="A14" s="6" t="s">
        <v>497</v>
      </c>
      <c r="B14" s="9" t="s">
        <v>498</v>
      </c>
    </row>
    <row r="15" customFormat="false" ht="61.5" hidden="false" customHeight="true" outlineLevel="0" collapsed="false">
      <c r="A15" s="6" t="s">
        <v>499</v>
      </c>
      <c r="B15" s="8" t="s">
        <v>500</v>
      </c>
    </row>
    <row r="16" customFormat="false" ht="46.5" hidden="false" customHeight="true" outlineLevel="0" collapsed="false">
      <c r="A16" s="6" t="s">
        <v>501</v>
      </c>
      <c r="B16" s="8" t="s">
        <v>502</v>
      </c>
    </row>
    <row r="17" customFormat="false" ht="16.5" hidden="false" customHeight="true" outlineLevel="0" collapsed="false">
      <c r="A17" s="6" t="s">
        <v>503</v>
      </c>
      <c r="B17" s="8" t="s">
        <v>504</v>
      </c>
    </row>
    <row r="18" customFormat="false" ht="31.5" hidden="false" customHeight="true" outlineLevel="0" collapsed="false">
      <c r="A18" s="6" t="s">
        <v>505</v>
      </c>
      <c r="B18" s="9" t="s">
        <v>506</v>
      </c>
    </row>
    <row r="19" customFormat="false" ht="31.5" hidden="false" customHeight="true" outlineLevel="0" collapsed="false">
      <c r="A19" s="6" t="s">
        <v>507</v>
      </c>
      <c r="B19" s="8" t="s">
        <v>508</v>
      </c>
    </row>
    <row r="20" customFormat="false" ht="18" hidden="false" customHeight="true" outlineLevel="0" collapsed="false">
      <c r="A20" s="6" t="s">
        <v>509</v>
      </c>
      <c r="B20" s="8" t="str">
        <f aca="false">"화당 "&amp;턴_설계!$B$5&amp;"턴 · 부 총 "&amp;TEXT(턴_설계!D34,"#,##0")&amp;"턴 · 화당 약 "&amp;TEXT(턴_설계!F34,"#,##0")&amp;"단어 · 낭독 약 "&amp;TEXT(턴_설계!H34,"0.0")&amp;"분 (평균 "&amp;TEXT(턴_설계!E34,"0.0")&amp;"단어/턴)"</f>
        <v>화당 120턴 · 부 총 1,440턴 · 화당 약 975단어 · 낭독 약 7.5분 (평균 8.1단어/턴)</v>
      </c>
    </row>
    <row r="21" customFormat="false" ht="31.5" hidden="false" customHeight="true" outlineLevel="0" collapsed="false">
      <c r="A21" s="11" t="s">
        <v>510</v>
      </c>
      <c r="B21" s="8" t="s">
        <v>511</v>
      </c>
    </row>
    <row r="22" customFormat="false" ht="16.5" hidden="false" customHeight="true" outlineLevel="0" collapsed="false">
      <c r="A22" s="6" t="s">
        <v>512</v>
      </c>
      <c r="B22" s="8" t="s">
        <v>513</v>
      </c>
    </row>
    <row r="24" customFormat="false" ht="31.5" hidden="false" customHeight="true" outlineLevel="0" collapsed="false">
      <c r="A24" s="61" t="s">
        <v>326</v>
      </c>
      <c r="B24" s="62" t="s">
        <v>514</v>
      </c>
    </row>
    <row r="25" customFormat="false" ht="31.5" hidden="false" customHeight="true" outlineLevel="0" collapsed="false">
      <c r="A25" s="6" t="s">
        <v>479</v>
      </c>
      <c r="B25" s="9" t="s">
        <v>515</v>
      </c>
    </row>
    <row r="26" customFormat="false" ht="31.5" hidden="false" customHeight="true" outlineLevel="0" collapsed="false">
      <c r="A26" s="6" t="s">
        <v>481</v>
      </c>
      <c r="B26" s="9" t="s">
        <v>516</v>
      </c>
    </row>
    <row r="27" customFormat="false" ht="16.5" hidden="false" customHeight="true" outlineLevel="0" collapsed="false">
      <c r="A27" s="6" t="s">
        <v>483</v>
      </c>
      <c r="B27" s="9" t="s">
        <v>517</v>
      </c>
    </row>
    <row r="28" customFormat="false" ht="16.5" hidden="false" customHeight="true" outlineLevel="0" collapsed="false">
      <c r="A28" s="6" t="s">
        <v>485</v>
      </c>
      <c r="B28" s="9" t="s">
        <v>518</v>
      </c>
    </row>
    <row r="29" customFormat="false" ht="16.5" hidden="false" customHeight="true" outlineLevel="0" collapsed="false">
      <c r="A29" s="6" t="s">
        <v>487</v>
      </c>
      <c r="B29" s="9" t="s">
        <v>519</v>
      </c>
    </row>
    <row r="30" customFormat="false" ht="16.5" hidden="false" customHeight="true" outlineLevel="0" collapsed="false">
      <c r="A30" s="6" t="s">
        <v>489</v>
      </c>
      <c r="B30" s="9" t="s">
        <v>520</v>
      </c>
    </row>
    <row r="31" customFormat="false" ht="16.5" hidden="false" customHeight="true" outlineLevel="0" collapsed="false">
      <c r="A31" s="6" t="s">
        <v>491</v>
      </c>
      <c r="B31" s="9" t="s">
        <v>521</v>
      </c>
    </row>
    <row r="32" customFormat="false" ht="16.5" hidden="false" customHeight="true" outlineLevel="0" collapsed="false">
      <c r="A32" s="6" t="s">
        <v>493</v>
      </c>
      <c r="B32" s="9" t="s">
        <v>522</v>
      </c>
    </row>
    <row r="33" customFormat="false" ht="16.5" hidden="false" customHeight="true" outlineLevel="0" collapsed="false">
      <c r="A33" s="6" t="s">
        <v>495</v>
      </c>
      <c r="B33" s="9" t="s">
        <v>523</v>
      </c>
    </row>
    <row r="34" customFormat="false" ht="16.5" hidden="false" customHeight="true" outlineLevel="0" collapsed="false">
      <c r="A34" s="6" t="s">
        <v>497</v>
      </c>
      <c r="B34" s="9" t="s">
        <v>524</v>
      </c>
    </row>
    <row r="35" customFormat="false" ht="31.5" hidden="false" customHeight="true" outlineLevel="0" collapsed="false">
      <c r="A35" s="6" t="s">
        <v>499</v>
      </c>
      <c r="B35" s="8" t="s">
        <v>525</v>
      </c>
    </row>
    <row r="36" customFormat="false" ht="31.5" hidden="false" customHeight="true" outlineLevel="0" collapsed="false">
      <c r="A36" s="6" t="s">
        <v>501</v>
      </c>
      <c r="B36" s="8" t="s">
        <v>526</v>
      </c>
    </row>
    <row r="37" customFormat="false" ht="16.5" hidden="false" customHeight="true" outlineLevel="0" collapsed="false">
      <c r="A37" s="6" t="s">
        <v>503</v>
      </c>
      <c r="B37" s="8" t="s">
        <v>527</v>
      </c>
    </row>
    <row r="38" customFormat="false" ht="31.5" hidden="false" customHeight="true" outlineLevel="0" collapsed="false">
      <c r="A38" s="6" t="s">
        <v>505</v>
      </c>
      <c r="B38" s="9" t="s">
        <v>528</v>
      </c>
    </row>
    <row r="39" customFormat="false" ht="31.5" hidden="false" customHeight="true" outlineLevel="0" collapsed="false">
      <c r="A39" s="6" t="s">
        <v>507</v>
      </c>
      <c r="B39" s="8" t="s">
        <v>529</v>
      </c>
    </row>
    <row r="40" customFormat="false" ht="18" hidden="false" customHeight="true" outlineLevel="0" collapsed="false">
      <c r="A40" s="6" t="s">
        <v>509</v>
      </c>
      <c r="B40" s="8" t="str">
        <f aca="false">"화당 "&amp;턴_설계!$B$5&amp;"턴 · 부 총 "&amp;TEXT(턴_설계!D35,"#,##0")&amp;"턴 · 화당 약 "&amp;TEXT(턴_설계!F35,"#,##0")&amp;"단어 · 낭독 약 "&amp;TEXT(턴_설계!H35,"0.0")&amp;"분 (평균 "&amp;TEXT(턴_설계!E35,"0.0")&amp;"단어/턴)"</f>
        <v>화당 120턴 · 부 총 1,440턴 · 화당 약 1,367단어 · 낭독 약 10.5분 (평균 11.4단어/턴)</v>
      </c>
    </row>
    <row r="41" customFormat="false" ht="31.5" hidden="false" customHeight="true" outlineLevel="0" collapsed="false">
      <c r="A41" s="11" t="s">
        <v>510</v>
      </c>
      <c r="B41" s="8" t="s">
        <v>530</v>
      </c>
    </row>
    <row r="42" customFormat="false" ht="16.5" hidden="false" customHeight="true" outlineLevel="0" collapsed="false">
      <c r="A42" s="6" t="s">
        <v>512</v>
      </c>
      <c r="B42" s="8" t="s">
        <v>531</v>
      </c>
    </row>
    <row r="44" customFormat="false" ht="31.5" hidden="false" customHeight="true" outlineLevel="0" collapsed="false">
      <c r="A44" s="61" t="s">
        <v>327</v>
      </c>
      <c r="B44" s="62" t="s">
        <v>532</v>
      </c>
    </row>
    <row r="45" customFormat="false" ht="31.5" hidden="false" customHeight="true" outlineLevel="0" collapsed="false">
      <c r="A45" s="6" t="s">
        <v>479</v>
      </c>
      <c r="B45" s="9" t="s">
        <v>533</v>
      </c>
    </row>
    <row r="46" customFormat="false" ht="31.5" hidden="false" customHeight="true" outlineLevel="0" collapsed="false">
      <c r="A46" s="6" t="s">
        <v>481</v>
      </c>
      <c r="B46" s="9" t="s">
        <v>534</v>
      </c>
    </row>
    <row r="47" customFormat="false" ht="16.5" hidden="false" customHeight="true" outlineLevel="0" collapsed="false">
      <c r="A47" s="6" t="s">
        <v>483</v>
      </c>
      <c r="B47" s="9" t="s">
        <v>535</v>
      </c>
    </row>
    <row r="48" customFormat="false" ht="16.5" hidden="false" customHeight="true" outlineLevel="0" collapsed="false">
      <c r="A48" s="6" t="s">
        <v>485</v>
      </c>
      <c r="B48" s="9" t="s">
        <v>536</v>
      </c>
    </row>
    <row r="49" customFormat="false" ht="16.5" hidden="false" customHeight="true" outlineLevel="0" collapsed="false">
      <c r="A49" s="6" t="s">
        <v>487</v>
      </c>
      <c r="B49" s="9" t="s">
        <v>537</v>
      </c>
    </row>
    <row r="50" customFormat="false" ht="16.5" hidden="false" customHeight="true" outlineLevel="0" collapsed="false">
      <c r="A50" s="6" t="s">
        <v>489</v>
      </c>
      <c r="B50" s="9" t="s">
        <v>538</v>
      </c>
    </row>
    <row r="51" customFormat="false" ht="16.5" hidden="false" customHeight="true" outlineLevel="0" collapsed="false">
      <c r="A51" s="6" t="s">
        <v>491</v>
      </c>
      <c r="B51" s="9" t="s">
        <v>539</v>
      </c>
    </row>
    <row r="52" customFormat="false" ht="16.5" hidden="false" customHeight="true" outlineLevel="0" collapsed="false">
      <c r="A52" s="6" t="s">
        <v>493</v>
      </c>
      <c r="B52" s="9" t="s">
        <v>540</v>
      </c>
    </row>
    <row r="53" customFormat="false" ht="16.5" hidden="false" customHeight="true" outlineLevel="0" collapsed="false">
      <c r="A53" s="6" t="s">
        <v>495</v>
      </c>
      <c r="B53" s="9" t="s">
        <v>541</v>
      </c>
    </row>
    <row r="54" customFormat="false" ht="16.5" hidden="false" customHeight="true" outlineLevel="0" collapsed="false">
      <c r="A54" s="6" t="s">
        <v>497</v>
      </c>
      <c r="B54" s="9" t="s">
        <v>542</v>
      </c>
    </row>
    <row r="55" customFormat="false" ht="31.5" hidden="false" customHeight="true" outlineLevel="0" collapsed="false">
      <c r="A55" s="6" t="s">
        <v>499</v>
      </c>
      <c r="B55" s="8" t="s">
        <v>543</v>
      </c>
    </row>
    <row r="56" customFormat="false" ht="31.5" hidden="false" customHeight="true" outlineLevel="0" collapsed="false">
      <c r="A56" s="6" t="s">
        <v>501</v>
      </c>
      <c r="B56" s="8" t="s">
        <v>544</v>
      </c>
    </row>
    <row r="57" customFormat="false" ht="16.5" hidden="false" customHeight="true" outlineLevel="0" collapsed="false">
      <c r="A57" s="6" t="s">
        <v>503</v>
      </c>
      <c r="B57" s="8" t="s">
        <v>545</v>
      </c>
    </row>
    <row r="58" customFormat="false" ht="31.5" hidden="false" customHeight="true" outlineLevel="0" collapsed="false">
      <c r="A58" s="6" t="s">
        <v>505</v>
      </c>
      <c r="B58" s="9" t="s">
        <v>546</v>
      </c>
    </row>
    <row r="59" customFormat="false" ht="16.5" hidden="false" customHeight="true" outlineLevel="0" collapsed="false">
      <c r="A59" s="6" t="s">
        <v>507</v>
      </c>
      <c r="B59" s="8" t="s">
        <v>547</v>
      </c>
    </row>
    <row r="60" customFormat="false" ht="18" hidden="false" customHeight="true" outlineLevel="0" collapsed="false">
      <c r="A60" s="6" t="s">
        <v>509</v>
      </c>
      <c r="B60" s="8" t="str">
        <f aca="false">"화당 "&amp;턴_설계!$B$5&amp;"턴 · 부 총 "&amp;TEXT(턴_설계!D36,"#,##0")&amp;"턴 · 화당 약 "&amp;TEXT(턴_설계!F36,"#,##0")&amp;"단어 · 낭독 약 "&amp;TEXT(턴_설계!H36,"0.0")&amp;"분 (평균 "&amp;TEXT(턴_설계!E36,"0.0")&amp;"단어/턴)"</f>
        <v>화당 120턴 · 부 총 1,440턴 · 화당 약 1,094단어 · 낭독 약 8.4분 (평균 9.1단어/턴)</v>
      </c>
    </row>
    <row r="61" customFormat="false" ht="31.5" hidden="false" customHeight="true" outlineLevel="0" collapsed="false">
      <c r="A61" s="11" t="s">
        <v>510</v>
      </c>
      <c r="B61" s="8" t="s">
        <v>548</v>
      </c>
    </row>
    <row r="62" customFormat="false" ht="16.5" hidden="false" customHeight="true" outlineLevel="0" collapsed="false">
      <c r="A62" s="6" t="s">
        <v>512</v>
      </c>
      <c r="B62" s="8" t="s">
        <v>549</v>
      </c>
    </row>
    <row r="64" customFormat="false" ht="30" hidden="false" customHeight="true" outlineLevel="0" collapsed="false">
      <c r="A64" s="61" t="s">
        <v>328</v>
      </c>
      <c r="B64" s="62" t="s">
        <v>550</v>
      </c>
    </row>
    <row r="65" customFormat="false" ht="31.5" hidden="false" customHeight="true" outlineLevel="0" collapsed="false">
      <c r="A65" s="6" t="s">
        <v>479</v>
      </c>
      <c r="B65" s="9" t="s">
        <v>551</v>
      </c>
    </row>
    <row r="66" customFormat="false" ht="31.5" hidden="false" customHeight="true" outlineLevel="0" collapsed="false">
      <c r="A66" s="6" t="s">
        <v>481</v>
      </c>
      <c r="B66" s="9" t="s">
        <v>552</v>
      </c>
    </row>
    <row r="67" customFormat="false" ht="16.5" hidden="false" customHeight="true" outlineLevel="0" collapsed="false">
      <c r="A67" s="6" t="s">
        <v>483</v>
      </c>
      <c r="B67" s="9" t="s">
        <v>553</v>
      </c>
    </row>
    <row r="68" customFormat="false" ht="16.5" hidden="false" customHeight="true" outlineLevel="0" collapsed="false">
      <c r="A68" s="6" t="s">
        <v>485</v>
      </c>
      <c r="B68" s="9" t="s">
        <v>554</v>
      </c>
    </row>
    <row r="69" customFormat="false" ht="16.5" hidden="false" customHeight="true" outlineLevel="0" collapsed="false">
      <c r="A69" s="6" t="s">
        <v>487</v>
      </c>
      <c r="B69" s="9" t="s">
        <v>555</v>
      </c>
    </row>
    <row r="70" customFormat="false" ht="16.5" hidden="false" customHeight="true" outlineLevel="0" collapsed="false">
      <c r="A70" s="6" t="s">
        <v>489</v>
      </c>
      <c r="B70" s="9" t="s">
        <v>556</v>
      </c>
    </row>
    <row r="71" customFormat="false" ht="16.5" hidden="false" customHeight="true" outlineLevel="0" collapsed="false">
      <c r="A71" s="6" t="s">
        <v>491</v>
      </c>
      <c r="B71" s="9" t="s">
        <v>557</v>
      </c>
    </row>
    <row r="72" customFormat="false" ht="16.5" hidden="false" customHeight="true" outlineLevel="0" collapsed="false">
      <c r="A72" s="6" t="s">
        <v>493</v>
      </c>
      <c r="B72" s="9" t="s">
        <v>558</v>
      </c>
    </row>
    <row r="73" customFormat="false" ht="16.5" hidden="false" customHeight="true" outlineLevel="0" collapsed="false">
      <c r="A73" s="6" t="s">
        <v>495</v>
      </c>
      <c r="B73" s="9" t="s">
        <v>559</v>
      </c>
    </row>
    <row r="74" customFormat="false" ht="16.5" hidden="false" customHeight="true" outlineLevel="0" collapsed="false">
      <c r="A74" s="6" t="s">
        <v>497</v>
      </c>
      <c r="B74" s="9" t="s">
        <v>560</v>
      </c>
    </row>
    <row r="75" customFormat="false" ht="31.5" hidden="false" customHeight="true" outlineLevel="0" collapsed="false">
      <c r="A75" s="6" t="s">
        <v>499</v>
      </c>
      <c r="B75" s="8" t="s">
        <v>561</v>
      </c>
    </row>
    <row r="76" customFormat="false" ht="31.5" hidden="false" customHeight="true" outlineLevel="0" collapsed="false">
      <c r="A76" s="6" t="s">
        <v>501</v>
      </c>
      <c r="B76" s="9" t="s">
        <v>562</v>
      </c>
    </row>
    <row r="77" customFormat="false" ht="16.5" hidden="false" customHeight="true" outlineLevel="0" collapsed="false">
      <c r="A77" s="6" t="s">
        <v>503</v>
      </c>
      <c r="B77" s="8" t="s">
        <v>563</v>
      </c>
    </row>
    <row r="78" customFormat="false" ht="31.5" hidden="false" customHeight="true" outlineLevel="0" collapsed="false">
      <c r="A78" s="6" t="s">
        <v>505</v>
      </c>
      <c r="B78" s="9" t="s">
        <v>564</v>
      </c>
    </row>
    <row r="79" customFormat="false" ht="16.5" hidden="false" customHeight="true" outlineLevel="0" collapsed="false">
      <c r="A79" s="6" t="s">
        <v>507</v>
      </c>
      <c r="B79" s="8" t="s">
        <v>565</v>
      </c>
    </row>
    <row r="80" customFormat="false" ht="18" hidden="false" customHeight="true" outlineLevel="0" collapsed="false">
      <c r="A80" s="6" t="s">
        <v>509</v>
      </c>
      <c r="B80" s="8" t="str">
        <f aca="false">"화당 "&amp;턴_설계!$B$5&amp;"턴 · 부 총 "&amp;TEXT(턴_설계!D37,"#,##0")&amp;"턴 · 화당 약 "&amp;TEXT(턴_설계!F37,"#,##0")&amp;"단어 · 낭독 약 "&amp;TEXT(턴_설계!H37,"0.0")&amp;"분 (평균 "&amp;TEXT(턴_설계!E37,"0.0")&amp;"단어/턴)"</f>
        <v>화당 120턴 · 부 총 1,440턴 · 화당 약 1,253단어 · 낭독 약 9.6분 (평균 10.4단어/턴)</v>
      </c>
    </row>
    <row r="81" customFormat="false" ht="31.5" hidden="false" customHeight="true" outlineLevel="0" collapsed="false">
      <c r="A81" s="11" t="s">
        <v>510</v>
      </c>
      <c r="B81" s="8" t="s">
        <v>566</v>
      </c>
    </row>
    <row r="82" customFormat="false" ht="16.5" hidden="false" customHeight="true" outlineLevel="0" collapsed="false">
      <c r="A82" s="6" t="s">
        <v>512</v>
      </c>
      <c r="B82" s="8" t="s">
        <v>567</v>
      </c>
    </row>
    <row r="84" customFormat="false" ht="31.5" hidden="false" customHeight="true" outlineLevel="0" collapsed="false">
      <c r="A84" s="61" t="s">
        <v>329</v>
      </c>
      <c r="B84" s="62" t="s">
        <v>568</v>
      </c>
    </row>
    <row r="85" customFormat="false" ht="31.5" hidden="false" customHeight="true" outlineLevel="0" collapsed="false">
      <c r="A85" s="6" t="s">
        <v>479</v>
      </c>
      <c r="B85" s="9" t="s">
        <v>569</v>
      </c>
    </row>
    <row r="86" customFormat="false" ht="31.5" hidden="false" customHeight="true" outlineLevel="0" collapsed="false">
      <c r="A86" s="6" t="s">
        <v>481</v>
      </c>
      <c r="B86" s="9" t="s">
        <v>570</v>
      </c>
    </row>
    <row r="87" customFormat="false" ht="16.5" hidden="false" customHeight="true" outlineLevel="0" collapsed="false">
      <c r="A87" s="6" t="s">
        <v>483</v>
      </c>
      <c r="B87" s="8" t="s">
        <v>571</v>
      </c>
    </row>
    <row r="88" customFormat="false" ht="16.5" hidden="false" customHeight="true" outlineLevel="0" collapsed="false">
      <c r="A88" s="6" t="s">
        <v>485</v>
      </c>
      <c r="B88" s="9" t="s">
        <v>572</v>
      </c>
    </row>
    <row r="89" customFormat="false" ht="16.5" hidden="false" customHeight="true" outlineLevel="0" collapsed="false">
      <c r="A89" s="6" t="s">
        <v>487</v>
      </c>
      <c r="B89" s="9" t="s">
        <v>573</v>
      </c>
    </row>
    <row r="90" customFormat="false" ht="16.5" hidden="false" customHeight="true" outlineLevel="0" collapsed="false">
      <c r="A90" s="6" t="s">
        <v>489</v>
      </c>
      <c r="B90" s="9" t="s">
        <v>574</v>
      </c>
    </row>
    <row r="91" customFormat="false" ht="16.5" hidden="false" customHeight="true" outlineLevel="0" collapsed="false">
      <c r="A91" s="6" t="s">
        <v>491</v>
      </c>
      <c r="B91" s="9" t="s">
        <v>575</v>
      </c>
    </row>
    <row r="92" customFormat="false" ht="16.5" hidden="false" customHeight="true" outlineLevel="0" collapsed="false">
      <c r="A92" s="6" t="s">
        <v>493</v>
      </c>
      <c r="B92" s="9" t="s">
        <v>576</v>
      </c>
    </row>
    <row r="93" customFormat="false" ht="16.5" hidden="false" customHeight="true" outlineLevel="0" collapsed="false">
      <c r="A93" s="6" t="s">
        <v>495</v>
      </c>
      <c r="B93" s="9" t="s">
        <v>577</v>
      </c>
    </row>
    <row r="94" customFormat="false" ht="16.5" hidden="false" customHeight="true" outlineLevel="0" collapsed="false">
      <c r="A94" s="6" t="s">
        <v>497</v>
      </c>
      <c r="B94" s="9" t="s">
        <v>578</v>
      </c>
    </row>
    <row r="95" customFormat="false" ht="31.5" hidden="false" customHeight="true" outlineLevel="0" collapsed="false">
      <c r="A95" s="6" t="s">
        <v>499</v>
      </c>
      <c r="B95" s="8" t="s">
        <v>579</v>
      </c>
    </row>
    <row r="96" customFormat="false" ht="31.5" hidden="false" customHeight="true" outlineLevel="0" collapsed="false">
      <c r="A96" s="6" t="s">
        <v>501</v>
      </c>
      <c r="B96" s="8" t="s">
        <v>580</v>
      </c>
    </row>
    <row r="97" customFormat="false" ht="16.5" hidden="false" customHeight="true" outlineLevel="0" collapsed="false">
      <c r="A97" s="6" t="s">
        <v>503</v>
      </c>
      <c r="B97" s="8" t="s">
        <v>581</v>
      </c>
    </row>
    <row r="98" customFormat="false" ht="31.5" hidden="false" customHeight="true" outlineLevel="0" collapsed="false">
      <c r="A98" s="6" t="s">
        <v>505</v>
      </c>
      <c r="B98" s="9" t="s">
        <v>582</v>
      </c>
    </row>
    <row r="99" customFormat="false" ht="16.5" hidden="false" customHeight="true" outlineLevel="0" collapsed="false">
      <c r="A99" s="6" t="s">
        <v>507</v>
      </c>
      <c r="B99" s="8" t="s">
        <v>583</v>
      </c>
    </row>
    <row r="100" customFormat="false" ht="18" hidden="false" customHeight="true" outlineLevel="0" collapsed="false">
      <c r="A100" s="6" t="s">
        <v>509</v>
      </c>
      <c r="B100" s="8" t="str">
        <f aca="false">"화당 "&amp;턴_설계!$B$5&amp;"턴 · 부 총 "&amp;TEXT(턴_설계!D38,"#,##0")&amp;"턴 · 화당 약 "&amp;TEXT(턴_설계!F38,"#,##0")&amp;"단어 · 낭독 약 "&amp;TEXT(턴_설계!H38,"0.0")&amp;"분 (평균 "&amp;TEXT(턴_설계!E38,"0.0")&amp;"단어/턴)"</f>
        <v>화당 120턴 · 부 총 1,440턴 · 화당 약 1,296단어 · 낭독 약 10.0분 (평균 10.8단어/턴)</v>
      </c>
    </row>
    <row r="101" customFormat="false" ht="16.5" hidden="false" customHeight="true" outlineLevel="0" collapsed="false">
      <c r="A101" s="11" t="s">
        <v>510</v>
      </c>
      <c r="B101" s="8" t="s">
        <v>584</v>
      </c>
    </row>
    <row r="102" customFormat="false" ht="16.5" hidden="false" customHeight="true" outlineLevel="0" collapsed="false">
      <c r="A102" s="6" t="s">
        <v>512</v>
      </c>
      <c r="B102" s="8" t="s">
        <v>585</v>
      </c>
    </row>
    <row r="104" customFormat="false" ht="31.5" hidden="false" customHeight="true" outlineLevel="0" collapsed="false">
      <c r="A104" s="61" t="s">
        <v>330</v>
      </c>
      <c r="B104" s="62" t="s">
        <v>586</v>
      </c>
    </row>
    <row r="105" customFormat="false" ht="31.5" hidden="false" customHeight="true" outlineLevel="0" collapsed="false">
      <c r="A105" s="6" t="s">
        <v>479</v>
      </c>
      <c r="B105" s="9" t="s">
        <v>587</v>
      </c>
    </row>
    <row r="106" customFormat="false" ht="31.5" hidden="false" customHeight="true" outlineLevel="0" collapsed="false">
      <c r="A106" s="6" t="s">
        <v>481</v>
      </c>
      <c r="B106" s="9" t="s">
        <v>588</v>
      </c>
    </row>
    <row r="107" customFormat="false" ht="16.5" hidden="false" customHeight="true" outlineLevel="0" collapsed="false">
      <c r="A107" s="6" t="s">
        <v>483</v>
      </c>
      <c r="B107" s="9" t="s">
        <v>589</v>
      </c>
    </row>
    <row r="108" customFormat="false" ht="16.5" hidden="false" customHeight="true" outlineLevel="0" collapsed="false">
      <c r="A108" s="6" t="s">
        <v>485</v>
      </c>
      <c r="B108" s="9" t="s">
        <v>590</v>
      </c>
    </row>
    <row r="109" customFormat="false" ht="16.5" hidden="false" customHeight="true" outlineLevel="0" collapsed="false">
      <c r="A109" s="6" t="s">
        <v>487</v>
      </c>
      <c r="B109" s="9" t="s">
        <v>591</v>
      </c>
    </row>
    <row r="110" customFormat="false" ht="16.5" hidden="false" customHeight="true" outlineLevel="0" collapsed="false">
      <c r="A110" s="6" t="s">
        <v>489</v>
      </c>
      <c r="B110" s="9" t="s">
        <v>592</v>
      </c>
    </row>
    <row r="111" customFormat="false" ht="16.5" hidden="false" customHeight="true" outlineLevel="0" collapsed="false">
      <c r="A111" s="6" t="s">
        <v>491</v>
      </c>
      <c r="B111" s="9" t="s">
        <v>593</v>
      </c>
    </row>
    <row r="112" customFormat="false" ht="16.5" hidden="false" customHeight="true" outlineLevel="0" collapsed="false">
      <c r="A112" s="6" t="s">
        <v>493</v>
      </c>
      <c r="B112" s="9" t="s">
        <v>594</v>
      </c>
    </row>
    <row r="113" customFormat="false" ht="16.5" hidden="false" customHeight="true" outlineLevel="0" collapsed="false">
      <c r="A113" s="6" t="s">
        <v>495</v>
      </c>
      <c r="B113" s="9" t="s">
        <v>595</v>
      </c>
    </row>
    <row r="114" customFormat="false" ht="16.5" hidden="false" customHeight="true" outlineLevel="0" collapsed="false">
      <c r="A114" s="6" t="s">
        <v>497</v>
      </c>
      <c r="B114" s="9" t="s">
        <v>596</v>
      </c>
    </row>
    <row r="115" customFormat="false" ht="31.5" hidden="false" customHeight="true" outlineLevel="0" collapsed="false">
      <c r="A115" s="6" t="s">
        <v>499</v>
      </c>
      <c r="B115" s="9" t="s">
        <v>597</v>
      </c>
    </row>
    <row r="116" customFormat="false" ht="16.5" hidden="false" customHeight="true" outlineLevel="0" collapsed="false">
      <c r="A116" s="6" t="s">
        <v>501</v>
      </c>
      <c r="B116" s="9" t="s">
        <v>598</v>
      </c>
    </row>
    <row r="117" customFormat="false" ht="16.5" hidden="false" customHeight="true" outlineLevel="0" collapsed="false">
      <c r="A117" s="6" t="s">
        <v>503</v>
      </c>
      <c r="B117" s="8" t="s">
        <v>599</v>
      </c>
    </row>
    <row r="118" customFormat="false" ht="16.5" hidden="false" customHeight="true" outlineLevel="0" collapsed="false">
      <c r="A118" s="6" t="s">
        <v>505</v>
      </c>
      <c r="B118" s="9" t="s">
        <v>600</v>
      </c>
    </row>
    <row r="119" customFormat="false" ht="16.5" hidden="false" customHeight="true" outlineLevel="0" collapsed="false">
      <c r="A119" s="6" t="s">
        <v>507</v>
      </c>
      <c r="B119" s="8" t="s">
        <v>601</v>
      </c>
    </row>
    <row r="120" customFormat="false" ht="18" hidden="false" customHeight="true" outlineLevel="0" collapsed="false">
      <c r="A120" s="6" t="s">
        <v>509</v>
      </c>
      <c r="B120" s="8" t="str">
        <f aca="false">"화당 "&amp;턴_설계!$B$5&amp;"턴 · 부 총 "&amp;TEXT(턴_설계!D39,"#,##0")&amp;"턴 · 화당 약 "&amp;TEXT(턴_설계!F39,"#,##0")&amp;"단어 · 낭독 약 "&amp;TEXT(턴_설계!H39,"0.0")&amp;"분 (평균 "&amp;TEXT(턴_설계!E39,"0.0")&amp;"단어/턴)"</f>
        <v>화당 120턴 · 부 총 1,440턴 · 화당 약 1,222단어 · 낭독 약 9.4분 (평균 10.2단어/턴)</v>
      </c>
    </row>
    <row r="121" customFormat="false" ht="16.5" hidden="false" customHeight="true" outlineLevel="0" collapsed="false">
      <c r="A121" s="11" t="s">
        <v>510</v>
      </c>
      <c r="B121" s="8" t="s">
        <v>602</v>
      </c>
    </row>
    <row r="122" customFormat="false" ht="16.5" hidden="false" customHeight="true" outlineLevel="0" collapsed="false">
      <c r="A122" s="6" t="s">
        <v>512</v>
      </c>
      <c r="B122" s="8" t="s">
        <v>603</v>
      </c>
    </row>
    <row r="124" customFormat="false" ht="30" hidden="false" customHeight="true" outlineLevel="0" collapsed="false">
      <c r="A124" s="61" t="s">
        <v>331</v>
      </c>
      <c r="B124" s="62" t="s">
        <v>604</v>
      </c>
    </row>
    <row r="125" customFormat="false" ht="31.5" hidden="false" customHeight="true" outlineLevel="0" collapsed="false">
      <c r="A125" s="6" t="s">
        <v>479</v>
      </c>
      <c r="B125" s="9" t="s">
        <v>605</v>
      </c>
    </row>
    <row r="126" customFormat="false" ht="31.5" hidden="false" customHeight="true" outlineLevel="0" collapsed="false">
      <c r="A126" s="6" t="s">
        <v>481</v>
      </c>
      <c r="B126" s="9" t="s">
        <v>606</v>
      </c>
    </row>
    <row r="127" customFormat="false" ht="16.5" hidden="false" customHeight="true" outlineLevel="0" collapsed="false">
      <c r="A127" s="6" t="s">
        <v>483</v>
      </c>
      <c r="B127" s="9" t="s">
        <v>607</v>
      </c>
    </row>
    <row r="128" customFormat="false" ht="16.5" hidden="false" customHeight="true" outlineLevel="0" collapsed="false">
      <c r="A128" s="6" t="s">
        <v>485</v>
      </c>
      <c r="B128" s="9" t="s">
        <v>608</v>
      </c>
    </row>
    <row r="129" customFormat="false" ht="16.5" hidden="false" customHeight="true" outlineLevel="0" collapsed="false">
      <c r="A129" s="6" t="s">
        <v>487</v>
      </c>
      <c r="B129" s="9" t="s">
        <v>609</v>
      </c>
    </row>
    <row r="130" customFormat="false" ht="16.5" hidden="false" customHeight="true" outlineLevel="0" collapsed="false">
      <c r="A130" s="6" t="s">
        <v>489</v>
      </c>
      <c r="B130" s="9" t="s">
        <v>610</v>
      </c>
    </row>
    <row r="131" customFormat="false" ht="16.5" hidden="false" customHeight="true" outlineLevel="0" collapsed="false">
      <c r="A131" s="6" t="s">
        <v>491</v>
      </c>
      <c r="B131" s="9" t="s">
        <v>611</v>
      </c>
    </row>
    <row r="132" customFormat="false" ht="16.5" hidden="false" customHeight="true" outlineLevel="0" collapsed="false">
      <c r="A132" s="6" t="s">
        <v>493</v>
      </c>
      <c r="B132" s="9" t="s">
        <v>612</v>
      </c>
    </row>
    <row r="133" customFormat="false" ht="16.5" hidden="false" customHeight="true" outlineLevel="0" collapsed="false">
      <c r="A133" s="6" t="s">
        <v>495</v>
      </c>
      <c r="B133" s="9" t="s">
        <v>613</v>
      </c>
    </row>
    <row r="134" customFormat="false" ht="16.5" hidden="false" customHeight="true" outlineLevel="0" collapsed="false">
      <c r="A134" s="6" t="s">
        <v>497</v>
      </c>
      <c r="B134" s="9" t="s">
        <v>614</v>
      </c>
    </row>
    <row r="135" customFormat="false" ht="31.5" hidden="false" customHeight="true" outlineLevel="0" collapsed="false">
      <c r="A135" s="6" t="s">
        <v>499</v>
      </c>
      <c r="B135" s="8" t="s">
        <v>615</v>
      </c>
    </row>
    <row r="136" customFormat="false" ht="16.5" hidden="false" customHeight="true" outlineLevel="0" collapsed="false">
      <c r="A136" s="6" t="s">
        <v>501</v>
      </c>
      <c r="B136" s="8" t="s">
        <v>616</v>
      </c>
    </row>
    <row r="137" customFormat="false" ht="16.5" hidden="false" customHeight="true" outlineLevel="0" collapsed="false">
      <c r="A137" s="6" t="s">
        <v>503</v>
      </c>
      <c r="B137" s="8" t="s">
        <v>617</v>
      </c>
    </row>
    <row r="138" customFormat="false" ht="46.5" hidden="false" customHeight="true" outlineLevel="0" collapsed="false">
      <c r="A138" s="6" t="s">
        <v>505</v>
      </c>
      <c r="B138" s="9" t="s">
        <v>618</v>
      </c>
    </row>
    <row r="139" customFormat="false" ht="16.5" hidden="false" customHeight="true" outlineLevel="0" collapsed="false">
      <c r="A139" s="6" t="s">
        <v>507</v>
      </c>
      <c r="B139" s="8" t="s">
        <v>619</v>
      </c>
    </row>
    <row r="140" customFormat="false" ht="18" hidden="false" customHeight="true" outlineLevel="0" collapsed="false">
      <c r="A140" s="6" t="s">
        <v>509</v>
      </c>
      <c r="B140" s="8" t="str">
        <f aca="false">"화당 "&amp;턴_설계!$B$5&amp;"턴 · 부 총 "&amp;TEXT(턴_설계!D40,"#,##0")&amp;"턴 · 화당 약 "&amp;TEXT(턴_설계!F40,"#,##0")&amp;"단어 · 낭독 약 "&amp;TEXT(턴_설계!H40,"0.0")&amp;"분 (평균 "&amp;TEXT(턴_설계!E40,"0.0")&amp;"단어/턴)"</f>
        <v>화당 120턴 · 부 총 1,440턴 · 화당 약 1,248단어 · 낭독 약 9.6분 (평균 10.4단어/턴)</v>
      </c>
    </row>
    <row r="141" customFormat="false" ht="16.5" hidden="false" customHeight="true" outlineLevel="0" collapsed="false">
      <c r="A141" s="11" t="s">
        <v>510</v>
      </c>
      <c r="B141" s="8" t="s">
        <v>620</v>
      </c>
    </row>
    <row r="142" customFormat="false" ht="16.5" hidden="false" customHeight="true" outlineLevel="0" collapsed="false">
      <c r="A142" s="6" t="s">
        <v>512</v>
      </c>
      <c r="B142" s="8" t="s">
        <v>621</v>
      </c>
    </row>
    <row r="144" customFormat="false" ht="31.5" hidden="false" customHeight="true" outlineLevel="0" collapsed="false">
      <c r="A144" s="61" t="s">
        <v>332</v>
      </c>
      <c r="B144" s="62" t="s">
        <v>622</v>
      </c>
    </row>
    <row r="145" customFormat="false" ht="31.5" hidden="false" customHeight="true" outlineLevel="0" collapsed="false">
      <c r="A145" s="6" t="s">
        <v>479</v>
      </c>
      <c r="B145" s="9" t="s">
        <v>623</v>
      </c>
    </row>
    <row r="146" customFormat="false" ht="31.5" hidden="false" customHeight="true" outlineLevel="0" collapsed="false">
      <c r="A146" s="6" t="s">
        <v>481</v>
      </c>
      <c r="B146" s="9" t="s">
        <v>624</v>
      </c>
    </row>
    <row r="147" customFormat="false" ht="16.5" hidden="false" customHeight="true" outlineLevel="0" collapsed="false">
      <c r="A147" s="6" t="s">
        <v>483</v>
      </c>
      <c r="B147" s="9" t="s">
        <v>625</v>
      </c>
    </row>
    <row r="148" customFormat="false" ht="16.5" hidden="false" customHeight="true" outlineLevel="0" collapsed="false">
      <c r="A148" s="6" t="s">
        <v>485</v>
      </c>
      <c r="B148" s="9" t="s">
        <v>626</v>
      </c>
    </row>
    <row r="149" customFormat="false" ht="16.5" hidden="false" customHeight="true" outlineLevel="0" collapsed="false">
      <c r="A149" s="6" t="s">
        <v>487</v>
      </c>
      <c r="B149" s="9" t="s">
        <v>627</v>
      </c>
    </row>
    <row r="150" customFormat="false" ht="16.5" hidden="false" customHeight="true" outlineLevel="0" collapsed="false">
      <c r="A150" s="6" t="s">
        <v>489</v>
      </c>
      <c r="B150" s="9" t="s">
        <v>628</v>
      </c>
    </row>
    <row r="151" customFormat="false" ht="16.5" hidden="false" customHeight="true" outlineLevel="0" collapsed="false">
      <c r="A151" s="6" t="s">
        <v>491</v>
      </c>
      <c r="B151" s="9" t="s">
        <v>629</v>
      </c>
    </row>
    <row r="152" customFormat="false" ht="16.5" hidden="false" customHeight="true" outlineLevel="0" collapsed="false">
      <c r="A152" s="6" t="s">
        <v>493</v>
      </c>
      <c r="B152" s="9" t="s">
        <v>630</v>
      </c>
    </row>
    <row r="153" customFormat="false" ht="16.5" hidden="false" customHeight="true" outlineLevel="0" collapsed="false">
      <c r="A153" s="6" t="s">
        <v>495</v>
      </c>
      <c r="B153" s="9" t="s">
        <v>631</v>
      </c>
    </row>
    <row r="154" customFormat="false" ht="16.5" hidden="false" customHeight="true" outlineLevel="0" collapsed="false">
      <c r="A154" s="6" t="s">
        <v>497</v>
      </c>
      <c r="B154" s="9" t="s">
        <v>632</v>
      </c>
    </row>
    <row r="155" customFormat="false" ht="31.5" hidden="false" customHeight="true" outlineLevel="0" collapsed="false">
      <c r="A155" s="6" t="s">
        <v>499</v>
      </c>
      <c r="B155" s="8" t="s">
        <v>633</v>
      </c>
    </row>
    <row r="156" customFormat="false" ht="16.5" hidden="false" customHeight="true" outlineLevel="0" collapsed="false">
      <c r="A156" s="6" t="s">
        <v>501</v>
      </c>
      <c r="B156" s="8" t="s">
        <v>634</v>
      </c>
    </row>
    <row r="157" customFormat="false" ht="16.5" hidden="false" customHeight="true" outlineLevel="0" collapsed="false">
      <c r="A157" s="6" t="s">
        <v>503</v>
      </c>
      <c r="B157" s="8" t="s">
        <v>635</v>
      </c>
    </row>
    <row r="158" customFormat="false" ht="46.5" hidden="false" customHeight="true" outlineLevel="0" collapsed="false">
      <c r="A158" s="6" t="s">
        <v>505</v>
      </c>
      <c r="B158" s="9" t="s">
        <v>636</v>
      </c>
    </row>
    <row r="159" customFormat="false" ht="16.5" hidden="false" customHeight="true" outlineLevel="0" collapsed="false">
      <c r="A159" s="6" t="s">
        <v>507</v>
      </c>
      <c r="B159" s="8" t="s">
        <v>637</v>
      </c>
    </row>
    <row r="160" customFormat="false" ht="18" hidden="false" customHeight="true" outlineLevel="0" collapsed="false">
      <c r="A160" s="6" t="s">
        <v>509</v>
      </c>
      <c r="B160" s="8" t="str">
        <f aca="false">"화당 "&amp;턴_설계!$B$5&amp;"턴 · 부 총 "&amp;TEXT(턴_설계!D41,"#,##0")&amp;"턴 · 화당 약 "&amp;TEXT(턴_설계!F41,"#,##0")&amp;"단어 · 낭독 약 "&amp;TEXT(턴_설계!H41,"0.0")&amp;"분 (평균 "&amp;TEXT(턴_설계!E41,"0.0")&amp;"단어/턴)"</f>
        <v>화당 120턴 · 부 총 1,440턴 · 화당 약 1,370단어 · 낭독 약 10.5분 (평균 11.4단어/턴)</v>
      </c>
    </row>
    <row r="161" customFormat="false" ht="16.5" hidden="false" customHeight="true" outlineLevel="0" collapsed="false">
      <c r="A161" s="11" t="s">
        <v>510</v>
      </c>
      <c r="B161" s="8" t="s">
        <v>638</v>
      </c>
    </row>
    <row r="162" customFormat="false" ht="16.5" hidden="false" customHeight="true" outlineLevel="0" collapsed="false">
      <c r="A162" s="6" t="s">
        <v>512</v>
      </c>
      <c r="B162" s="8" t="s">
        <v>639</v>
      </c>
    </row>
    <row r="164" customFormat="false" ht="31.5" hidden="false" customHeight="true" outlineLevel="0" collapsed="false">
      <c r="A164" s="61" t="s">
        <v>333</v>
      </c>
      <c r="B164" s="62" t="s">
        <v>640</v>
      </c>
    </row>
    <row r="165" customFormat="false" ht="31.5" hidden="false" customHeight="true" outlineLevel="0" collapsed="false">
      <c r="A165" s="6" t="s">
        <v>479</v>
      </c>
      <c r="B165" s="9" t="s">
        <v>641</v>
      </c>
    </row>
    <row r="166" customFormat="false" ht="31.5" hidden="false" customHeight="true" outlineLevel="0" collapsed="false">
      <c r="A166" s="6" t="s">
        <v>481</v>
      </c>
      <c r="B166" s="9" t="s">
        <v>642</v>
      </c>
    </row>
    <row r="167" customFormat="false" ht="16.5" hidden="false" customHeight="true" outlineLevel="0" collapsed="false">
      <c r="A167" s="6" t="s">
        <v>483</v>
      </c>
      <c r="B167" s="9" t="s">
        <v>643</v>
      </c>
    </row>
    <row r="168" customFormat="false" ht="16.5" hidden="false" customHeight="true" outlineLevel="0" collapsed="false">
      <c r="A168" s="6" t="s">
        <v>485</v>
      </c>
      <c r="B168" s="9" t="s">
        <v>644</v>
      </c>
    </row>
    <row r="169" customFormat="false" ht="16.5" hidden="false" customHeight="true" outlineLevel="0" collapsed="false">
      <c r="A169" s="6" t="s">
        <v>487</v>
      </c>
      <c r="B169" s="9" t="s">
        <v>645</v>
      </c>
    </row>
    <row r="170" customFormat="false" ht="16.5" hidden="false" customHeight="true" outlineLevel="0" collapsed="false">
      <c r="A170" s="6" t="s">
        <v>489</v>
      </c>
      <c r="B170" s="9" t="s">
        <v>646</v>
      </c>
    </row>
    <row r="171" customFormat="false" ht="16.5" hidden="false" customHeight="true" outlineLevel="0" collapsed="false">
      <c r="A171" s="6" t="s">
        <v>491</v>
      </c>
      <c r="B171" s="9" t="s">
        <v>647</v>
      </c>
    </row>
    <row r="172" customFormat="false" ht="16.5" hidden="false" customHeight="true" outlineLevel="0" collapsed="false">
      <c r="A172" s="6" t="s">
        <v>493</v>
      </c>
      <c r="B172" s="9" t="s">
        <v>648</v>
      </c>
    </row>
    <row r="173" customFormat="false" ht="16.5" hidden="false" customHeight="true" outlineLevel="0" collapsed="false">
      <c r="A173" s="6" t="s">
        <v>495</v>
      </c>
      <c r="B173" s="9" t="s">
        <v>649</v>
      </c>
    </row>
    <row r="174" customFormat="false" ht="16.5" hidden="false" customHeight="true" outlineLevel="0" collapsed="false">
      <c r="A174" s="6" t="s">
        <v>497</v>
      </c>
      <c r="B174" s="9" t="s">
        <v>650</v>
      </c>
    </row>
    <row r="175" customFormat="false" ht="31.5" hidden="false" customHeight="true" outlineLevel="0" collapsed="false">
      <c r="A175" s="6" t="s">
        <v>499</v>
      </c>
      <c r="B175" s="8" t="s">
        <v>651</v>
      </c>
    </row>
    <row r="176" customFormat="false" ht="16.5" hidden="false" customHeight="true" outlineLevel="0" collapsed="false">
      <c r="A176" s="6" t="s">
        <v>501</v>
      </c>
      <c r="B176" s="8" t="s">
        <v>652</v>
      </c>
    </row>
    <row r="177" customFormat="false" ht="16.5" hidden="false" customHeight="true" outlineLevel="0" collapsed="false">
      <c r="A177" s="6" t="s">
        <v>503</v>
      </c>
      <c r="B177" s="8" t="s">
        <v>653</v>
      </c>
    </row>
    <row r="178" customFormat="false" ht="31.5" hidden="false" customHeight="true" outlineLevel="0" collapsed="false">
      <c r="A178" s="6" t="s">
        <v>505</v>
      </c>
      <c r="B178" s="8" t="s">
        <v>654</v>
      </c>
    </row>
    <row r="179" customFormat="false" ht="31.5" hidden="false" customHeight="true" outlineLevel="0" collapsed="false">
      <c r="A179" s="6" t="s">
        <v>507</v>
      </c>
      <c r="B179" s="8" t="s">
        <v>655</v>
      </c>
    </row>
    <row r="180" customFormat="false" ht="18" hidden="false" customHeight="true" outlineLevel="0" collapsed="false">
      <c r="A180" s="6" t="s">
        <v>509</v>
      </c>
      <c r="B180" s="8" t="str">
        <f aca="false">"화당 "&amp;턴_설계!$B$5&amp;"턴 · 부 총 "&amp;TEXT(턴_설계!D42,"#,##0")&amp;"턴 · 화당 약 "&amp;TEXT(턴_설계!F42,"#,##0")&amp;"단어 · 낭독 약 "&amp;TEXT(턴_설계!H42,"0.0")&amp;"분 (평균 "&amp;TEXT(턴_설계!E42,"0.0")&amp;"단어/턴)"</f>
        <v>화당 120턴 · 부 총 1,440턴 · 화당 약 1,342단어 · 낭독 약 10.3분 (평균 11.2단어/턴)</v>
      </c>
    </row>
    <row r="181" customFormat="false" ht="31.5" hidden="false" customHeight="true" outlineLevel="0" collapsed="false">
      <c r="A181" s="11" t="s">
        <v>510</v>
      </c>
      <c r="B181" s="8" t="s">
        <v>656</v>
      </c>
    </row>
    <row r="182" customFormat="false" ht="16.5" hidden="false" customHeight="true" outlineLevel="0" collapsed="false">
      <c r="A182" s="6" t="s">
        <v>512</v>
      </c>
      <c r="B182" s="8" t="s">
        <v>657</v>
      </c>
    </row>
    <row r="184" customFormat="false" ht="31.5" hidden="false" customHeight="true" outlineLevel="0" collapsed="false">
      <c r="A184" s="61" t="s">
        <v>334</v>
      </c>
      <c r="B184" s="62" t="s">
        <v>658</v>
      </c>
    </row>
    <row r="185" customFormat="false" ht="31.5" hidden="false" customHeight="true" outlineLevel="0" collapsed="false">
      <c r="A185" s="6" t="s">
        <v>479</v>
      </c>
      <c r="B185" s="9" t="s">
        <v>659</v>
      </c>
    </row>
    <row r="186" customFormat="false" ht="31.5" hidden="false" customHeight="true" outlineLevel="0" collapsed="false">
      <c r="A186" s="6" t="s">
        <v>481</v>
      </c>
      <c r="B186" s="9" t="s">
        <v>660</v>
      </c>
    </row>
    <row r="187" customFormat="false" ht="16.5" hidden="false" customHeight="true" outlineLevel="0" collapsed="false">
      <c r="A187" s="6" t="s">
        <v>483</v>
      </c>
      <c r="B187" s="9" t="s">
        <v>661</v>
      </c>
    </row>
    <row r="188" customFormat="false" ht="16.5" hidden="false" customHeight="true" outlineLevel="0" collapsed="false">
      <c r="A188" s="6" t="s">
        <v>485</v>
      </c>
      <c r="B188" s="9" t="s">
        <v>662</v>
      </c>
    </row>
    <row r="189" customFormat="false" ht="16.5" hidden="false" customHeight="true" outlineLevel="0" collapsed="false">
      <c r="A189" s="6" t="s">
        <v>487</v>
      </c>
      <c r="B189" s="9" t="s">
        <v>663</v>
      </c>
    </row>
    <row r="190" customFormat="false" ht="16.5" hidden="false" customHeight="true" outlineLevel="0" collapsed="false">
      <c r="A190" s="6" t="s">
        <v>489</v>
      </c>
      <c r="B190" s="9" t="s">
        <v>664</v>
      </c>
    </row>
    <row r="191" customFormat="false" ht="16.5" hidden="false" customHeight="true" outlineLevel="0" collapsed="false">
      <c r="A191" s="6" t="s">
        <v>491</v>
      </c>
      <c r="B191" s="9" t="s">
        <v>665</v>
      </c>
    </row>
    <row r="192" customFormat="false" ht="16.5" hidden="false" customHeight="true" outlineLevel="0" collapsed="false">
      <c r="A192" s="6" t="s">
        <v>493</v>
      </c>
      <c r="B192" s="9" t="s">
        <v>666</v>
      </c>
    </row>
    <row r="193" customFormat="false" ht="16.5" hidden="false" customHeight="true" outlineLevel="0" collapsed="false">
      <c r="A193" s="6" t="s">
        <v>495</v>
      </c>
      <c r="B193" s="9" t="s">
        <v>667</v>
      </c>
    </row>
    <row r="194" customFormat="false" ht="16.5" hidden="false" customHeight="true" outlineLevel="0" collapsed="false">
      <c r="A194" s="6" t="s">
        <v>497</v>
      </c>
      <c r="B194" s="9" t="s">
        <v>668</v>
      </c>
    </row>
    <row r="195" customFormat="false" ht="31.5" hidden="false" customHeight="true" outlineLevel="0" collapsed="false">
      <c r="A195" s="6" t="s">
        <v>499</v>
      </c>
      <c r="B195" s="8" t="s">
        <v>669</v>
      </c>
    </row>
    <row r="196" customFormat="false" ht="16.5" hidden="false" customHeight="true" outlineLevel="0" collapsed="false">
      <c r="A196" s="6" t="s">
        <v>501</v>
      </c>
      <c r="B196" s="8" t="s">
        <v>670</v>
      </c>
    </row>
    <row r="197" customFormat="false" ht="16.5" hidden="false" customHeight="true" outlineLevel="0" collapsed="false">
      <c r="A197" s="6" t="s">
        <v>503</v>
      </c>
      <c r="B197" s="8" t="s">
        <v>671</v>
      </c>
    </row>
    <row r="198" customFormat="false" ht="31.5" hidden="false" customHeight="true" outlineLevel="0" collapsed="false">
      <c r="A198" s="6" t="s">
        <v>505</v>
      </c>
      <c r="B198" s="9" t="s">
        <v>672</v>
      </c>
    </row>
    <row r="199" customFormat="false" ht="16.5" hidden="false" customHeight="true" outlineLevel="0" collapsed="false">
      <c r="A199" s="6" t="s">
        <v>507</v>
      </c>
      <c r="B199" s="8" t="s">
        <v>673</v>
      </c>
    </row>
    <row r="200" customFormat="false" ht="18" hidden="false" customHeight="true" outlineLevel="0" collapsed="false">
      <c r="A200" s="6" t="s">
        <v>509</v>
      </c>
      <c r="B200" s="8" t="str">
        <f aca="false">"화당 "&amp;턴_설계!$B$5&amp;"턴 · 부 총 "&amp;TEXT(턴_설계!D43,"#,##0")&amp;"턴 · 화당 약 "&amp;TEXT(턴_설계!F43,"#,##0")&amp;"단어 · 낭독 약 "&amp;TEXT(턴_설계!H43,"0.0")&amp;"분 (평균 "&amp;TEXT(턴_설계!E43,"0.0")&amp;"단어/턴)"</f>
        <v>화당 120턴 · 부 총 1,440턴 · 화당 약 1,525단어 · 낭독 약 11.7분 (평균 12.7단어/턴)</v>
      </c>
    </row>
    <row r="201" customFormat="false" ht="16.5" hidden="false" customHeight="true" outlineLevel="0" collapsed="false">
      <c r="A201" s="11" t="s">
        <v>510</v>
      </c>
      <c r="B201" s="8" t="s">
        <v>674</v>
      </c>
    </row>
    <row r="202" customFormat="false" ht="16.5" hidden="false" customHeight="true" outlineLevel="0" collapsed="false">
      <c r="A202" s="6" t="s">
        <v>512</v>
      </c>
      <c r="B202" s="8" t="s">
        <v>675</v>
      </c>
    </row>
    <row r="204" customFormat="false" ht="31.5" hidden="false" customHeight="true" outlineLevel="0" collapsed="false">
      <c r="A204" s="61" t="s">
        <v>335</v>
      </c>
      <c r="B204" s="62" t="s">
        <v>676</v>
      </c>
    </row>
    <row r="205" customFormat="false" ht="31.5" hidden="false" customHeight="true" outlineLevel="0" collapsed="false">
      <c r="A205" s="6" t="s">
        <v>479</v>
      </c>
      <c r="B205" s="9" t="s">
        <v>677</v>
      </c>
    </row>
    <row r="206" customFormat="false" ht="31.5" hidden="false" customHeight="true" outlineLevel="0" collapsed="false">
      <c r="A206" s="6" t="s">
        <v>481</v>
      </c>
      <c r="B206" s="9" t="s">
        <v>678</v>
      </c>
    </row>
    <row r="207" customFormat="false" ht="16.5" hidden="false" customHeight="true" outlineLevel="0" collapsed="false">
      <c r="A207" s="6" t="s">
        <v>483</v>
      </c>
      <c r="B207" s="9" t="s">
        <v>679</v>
      </c>
    </row>
    <row r="208" customFormat="false" ht="16.5" hidden="false" customHeight="true" outlineLevel="0" collapsed="false">
      <c r="A208" s="6" t="s">
        <v>485</v>
      </c>
      <c r="B208" s="9" t="s">
        <v>680</v>
      </c>
    </row>
    <row r="209" customFormat="false" ht="16.5" hidden="false" customHeight="true" outlineLevel="0" collapsed="false">
      <c r="A209" s="6" t="s">
        <v>487</v>
      </c>
      <c r="B209" s="9" t="s">
        <v>681</v>
      </c>
    </row>
    <row r="210" customFormat="false" ht="16.5" hidden="false" customHeight="true" outlineLevel="0" collapsed="false">
      <c r="A210" s="6" t="s">
        <v>489</v>
      </c>
      <c r="B210" s="9" t="s">
        <v>682</v>
      </c>
    </row>
    <row r="211" customFormat="false" ht="16.5" hidden="false" customHeight="true" outlineLevel="0" collapsed="false">
      <c r="A211" s="6" t="s">
        <v>491</v>
      </c>
      <c r="B211" s="9" t="s">
        <v>683</v>
      </c>
    </row>
    <row r="212" customFormat="false" ht="16.5" hidden="false" customHeight="true" outlineLevel="0" collapsed="false">
      <c r="A212" s="6" t="s">
        <v>493</v>
      </c>
      <c r="B212" s="9" t="s">
        <v>684</v>
      </c>
    </row>
    <row r="213" customFormat="false" ht="31.5" hidden="false" customHeight="true" outlineLevel="0" collapsed="false">
      <c r="A213" s="6" t="s">
        <v>495</v>
      </c>
      <c r="B213" s="9" t="s">
        <v>685</v>
      </c>
    </row>
    <row r="214" customFormat="false" ht="16.5" hidden="false" customHeight="true" outlineLevel="0" collapsed="false">
      <c r="A214" s="6" t="s">
        <v>497</v>
      </c>
      <c r="B214" s="9" t="s">
        <v>686</v>
      </c>
    </row>
    <row r="215" customFormat="false" ht="16.5" hidden="false" customHeight="true" outlineLevel="0" collapsed="false">
      <c r="A215" s="6" t="s">
        <v>687</v>
      </c>
      <c r="B215" s="9" t="s">
        <v>688</v>
      </c>
    </row>
    <row r="216" customFormat="false" ht="31.5" hidden="false" customHeight="true" outlineLevel="0" collapsed="false">
      <c r="A216" s="6" t="s">
        <v>499</v>
      </c>
      <c r="B216" s="8" t="s">
        <v>689</v>
      </c>
    </row>
    <row r="217" customFormat="false" ht="31.5" hidden="false" customHeight="true" outlineLevel="0" collapsed="false">
      <c r="A217" s="6" t="s">
        <v>501</v>
      </c>
      <c r="B217" s="8" t="s">
        <v>690</v>
      </c>
    </row>
    <row r="218" customFormat="false" ht="16.5" hidden="false" customHeight="true" outlineLevel="0" collapsed="false">
      <c r="A218" s="6" t="s">
        <v>503</v>
      </c>
      <c r="B218" s="8" t="s">
        <v>691</v>
      </c>
    </row>
    <row r="219" customFormat="false" ht="31.5" hidden="false" customHeight="true" outlineLevel="0" collapsed="false">
      <c r="A219" s="6" t="s">
        <v>505</v>
      </c>
      <c r="B219" s="9" t="s">
        <v>692</v>
      </c>
    </row>
    <row r="220" customFormat="false" ht="31.5" hidden="false" customHeight="true" outlineLevel="0" collapsed="false">
      <c r="A220" s="6" t="s">
        <v>507</v>
      </c>
      <c r="B220" s="8" t="s">
        <v>693</v>
      </c>
    </row>
    <row r="221" customFormat="false" ht="18" hidden="false" customHeight="true" outlineLevel="0" collapsed="false">
      <c r="A221" s="6" t="s">
        <v>509</v>
      </c>
      <c r="B221" s="8" t="str">
        <f aca="false">"화당 "&amp;턴_설계!$B$5&amp;"턴 · 부 총 "&amp;TEXT(턴_설계!D44,"#,##0")&amp;"턴 · 화당 약 "&amp;TEXT(턴_설계!F44,"#,##0")&amp;"단어 · 낭독 약 "&amp;TEXT(턴_설계!H44,"0.0")&amp;"분 (평균 "&amp;TEXT(턴_설계!E44,"0.0")&amp;"단어/턴)"</f>
        <v>화당 120턴 · 부 총 1,440턴 · 화당 약 1,470단어 · 낭독 약 11.3분 (평균 12.3단어/턴)</v>
      </c>
    </row>
    <row r="222" customFormat="false" ht="31.5" hidden="false" customHeight="true" outlineLevel="0" collapsed="false">
      <c r="A222" s="11" t="s">
        <v>510</v>
      </c>
      <c r="B222" s="8" t="s">
        <v>694</v>
      </c>
    </row>
    <row r="223" customFormat="false" ht="16.5" hidden="false" customHeight="true" outlineLevel="0" collapsed="false">
      <c r="A223" s="6" t="s">
        <v>512</v>
      </c>
      <c r="B223" s="8" t="s">
        <v>695</v>
      </c>
    </row>
    <row r="225" customFormat="false" ht="31.5" hidden="false" customHeight="true" outlineLevel="0" collapsed="false">
      <c r="A225" s="61" t="s">
        <v>336</v>
      </c>
      <c r="B225" s="62" t="s">
        <v>696</v>
      </c>
    </row>
    <row r="226" customFormat="false" ht="31.5" hidden="false" customHeight="true" outlineLevel="0" collapsed="false">
      <c r="A226" s="6" t="s">
        <v>479</v>
      </c>
      <c r="B226" s="9" t="s">
        <v>697</v>
      </c>
    </row>
    <row r="227" customFormat="false" ht="31.5" hidden="false" customHeight="true" outlineLevel="0" collapsed="false">
      <c r="A227" s="6" t="s">
        <v>481</v>
      </c>
      <c r="B227" s="9" t="s">
        <v>698</v>
      </c>
    </row>
    <row r="228" customFormat="false" ht="16.5" hidden="false" customHeight="true" outlineLevel="0" collapsed="false">
      <c r="A228" s="6" t="s">
        <v>483</v>
      </c>
      <c r="B228" s="9" t="s">
        <v>699</v>
      </c>
    </row>
    <row r="229" customFormat="false" ht="16.5" hidden="false" customHeight="true" outlineLevel="0" collapsed="false">
      <c r="A229" s="6" t="s">
        <v>485</v>
      </c>
      <c r="B229" s="9" t="s">
        <v>700</v>
      </c>
    </row>
    <row r="230" customFormat="false" ht="16.5" hidden="false" customHeight="true" outlineLevel="0" collapsed="false">
      <c r="A230" s="6" t="s">
        <v>487</v>
      </c>
      <c r="B230" s="9" t="s">
        <v>701</v>
      </c>
    </row>
    <row r="231" customFormat="false" ht="16.5" hidden="false" customHeight="true" outlineLevel="0" collapsed="false">
      <c r="A231" s="6" t="s">
        <v>489</v>
      </c>
      <c r="B231" s="9" t="s">
        <v>702</v>
      </c>
    </row>
    <row r="232" customFormat="false" ht="16.5" hidden="false" customHeight="true" outlineLevel="0" collapsed="false">
      <c r="A232" s="6" t="s">
        <v>491</v>
      </c>
      <c r="B232" s="9" t="s">
        <v>703</v>
      </c>
    </row>
    <row r="233" customFormat="false" ht="16.5" hidden="false" customHeight="true" outlineLevel="0" collapsed="false">
      <c r="A233" s="6" t="s">
        <v>493</v>
      </c>
      <c r="B233" s="9" t="s">
        <v>704</v>
      </c>
    </row>
    <row r="234" customFormat="false" ht="16.5" hidden="false" customHeight="true" outlineLevel="0" collapsed="false">
      <c r="A234" s="6" t="s">
        <v>495</v>
      </c>
      <c r="B234" s="9" t="s">
        <v>705</v>
      </c>
    </row>
    <row r="235" customFormat="false" ht="16.5" hidden="false" customHeight="true" outlineLevel="0" collapsed="false">
      <c r="A235" s="6" t="s">
        <v>497</v>
      </c>
      <c r="B235" s="9" t="s">
        <v>706</v>
      </c>
    </row>
    <row r="236" customFormat="false" ht="31.5" hidden="false" customHeight="true" outlineLevel="0" collapsed="false">
      <c r="A236" s="6" t="s">
        <v>499</v>
      </c>
      <c r="B236" s="8" t="s">
        <v>707</v>
      </c>
    </row>
    <row r="237" customFormat="false" ht="31.5" hidden="false" customHeight="true" outlineLevel="0" collapsed="false">
      <c r="A237" s="6" t="s">
        <v>501</v>
      </c>
      <c r="B237" s="8" t="s">
        <v>708</v>
      </c>
    </row>
    <row r="238" customFormat="false" ht="16.5" hidden="false" customHeight="true" outlineLevel="0" collapsed="false">
      <c r="A238" s="6" t="s">
        <v>503</v>
      </c>
      <c r="B238" s="8" t="s">
        <v>709</v>
      </c>
    </row>
    <row r="239" customFormat="false" ht="31.5" hidden="false" customHeight="true" outlineLevel="0" collapsed="false">
      <c r="A239" s="6" t="s">
        <v>505</v>
      </c>
      <c r="B239" s="9" t="s">
        <v>710</v>
      </c>
    </row>
    <row r="240" customFormat="false" ht="31.5" hidden="false" customHeight="true" outlineLevel="0" collapsed="false">
      <c r="A240" s="6" t="s">
        <v>507</v>
      </c>
      <c r="B240" s="8" t="s">
        <v>711</v>
      </c>
    </row>
    <row r="241" customFormat="false" ht="18" hidden="false" customHeight="true" outlineLevel="0" collapsed="false">
      <c r="A241" s="6" t="s">
        <v>509</v>
      </c>
      <c r="B241" s="8" t="str">
        <f aca="false">"화당 "&amp;턴_설계!$B$5&amp;"턴 · 부 총 "&amp;TEXT(턴_설계!D45,"#,##0")&amp;"턴 · 화당 약 "&amp;TEXT(턴_설계!F45,"#,##0")&amp;"단어 · 낭독 약 "&amp;TEXT(턴_설계!H45,"0.0")&amp;"분 (평균 "&amp;TEXT(턴_설계!E45,"0.0")&amp;"단어/턴)"</f>
        <v>화당 120턴 · 부 총 1,440턴 · 화당 약 1,456단어 · 낭독 약 11.2분 (평균 12.1단어/턴)</v>
      </c>
    </row>
    <row r="242" customFormat="false" ht="16.5" hidden="false" customHeight="true" outlineLevel="0" collapsed="false">
      <c r="A242" s="11" t="s">
        <v>510</v>
      </c>
      <c r="B242" s="8" t="s">
        <v>712</v>
      </c>
    </row>
    <row r="243" customFormat="false" ht="16.5" hidden="false" customHeight="true" outlineLevel="0" collapsed="false">
      <c r="A243" s="6" t="s">
        <v>512</v>
      </c>
      <c r="B243" s="8" t="s">
        <v>713</v>
      </c>
    </row>
    <row r="245" customFormat="false" ht="31.5" hidden="false" customHeight="true" outlineLevel="0" collapsed="false">
      <c r="A245" s="61" t="s">
        <v>337</v>
      </c>
      <c r="B245" s="62" t="s">
        <v>714</v>
      </c>
    </row>
    <row r="246" customFormat="false" ht="31.5" hidden="false" customHeight="true" outlineLevel="0" collapsed="false">
      <c r="A246" s="6" t="s">
        <v>479</v>
      </c>
      <c r="B246" s="9" t="s">
        <v>715</v>
      </c>
    </row>
    <row r="247" customFormat="false" ht="31.5" hidden="false" customHeight="true" outlineLevel="0" collapsed="false">
      <c r="A247" s="6" t="s">
        <v>481</v>
      </c>
      <c r="B247" s="9" t="s">
        <v>716</v>
      </c>
    </row>
    <row r="248" customFormat="false" ht="16.5" hidden="false" customHeight="true" outlineLevel="0" collapsed="false">
      <c r="A248" s="6" t="s">
        <v>483</v>
      </c>
      <c r="B248" s="9" t="s">
        <v>717</v>
      </c>
    </row>
    <row r="249" customFormat="false" ht="16.5" hidden="false" customHeight="true" outlineLevel="0" collapsed="false">
      <c r="A249" s="6" t="s">
        <v>485</v>
      </c>
      <c r="B249" s="9" t="s">
        <v>718</v>
      </c>
    </row>
    <row r="250" customFormat="false" ht="16.5" hidden="false" customHeight="true" outlineLevel="0" collapsed="false">
      <c r="A250" s="6" t="s">
        <v>487</v>
      </c>
      <c r="B250" s="9" t="s">
        <v>719</v>
      </c>
    </row>
    <row r="251" customFormat="false" ht="16.5" hidden="false" customHeight="true" outlineLevel="0" collapsed="false">
      <c r="A251" s="6" t="s">
        <v>489</v>
      </c>
      <c r="B251" s="9" t="s">
        <v>720</v>
      </c>
    </row>
    <row r="252" customFormat="false" ht="16.5" hidden="false" customHeight="true" outlineLevel="0" collapsed="false">
      <c r="A252" s="6" t="s">
        <v>491</v>
      </c>
      <c r="B252" s="9" t="s">
        <v>721</v>
      </c>
    </row>
    <row r="253" customFormat="false" ht="16.5" hidden="false" customHeight="true" outlineLevel="0" collapsed="false">
      <c r="A253" s="6" t="s">
        <v>493</v>
      </c>
      <c r="B253" s="9" t="s">
        <v>722</v>
      </c>
    </row>
    <row r="254" customFormat="false" ht="16.5" hidden="false" customHeight="true" outlineLevel="0" collapsed="false">
      <c r="A254" s="6" t="s">
        <v>495</v>
      </c>
      <c r="B254" s="9" t="s">
        <v>723</v>
      </c>
    </row>
    <row r="255" customFormat="false" ht="31.5" hidden="false" customHeight="true" outlineLevel="0" collapsed="false">
      <c r="A255" s="6" t="s">
        <v>497</v>
      </c>
      <c r="B255" s="9" t="s">
        <v>724</v>
      </c>
    </row>
    <row r="256" customFormat="false" ht="16.5" hidden="false" customHeight="true" outlineLevel="0" collapsed="false">
      <c r="A256" s="6" t="s">
        <v>499</v>
      </c>
      <c r="B256" s="8" t="s">
        <v>725</v>
      </c>
    </row>
    <row r="257" customFormat="false" ht="16.5" hidden="false" customHeight="true" outlineLevel="0" collapsed="false">
      <c r="A257" s="6" t="s">
        <v>501</v>
      </c>
      <c r="B257" s="8" t="s">
        <v>726</v>
      </c>
    </row>
    <row r="258" customFormat="false" ht="16.5" hidden="false" customHeight="true" outlineLevel="0" collapsed="false">
      <c r="A258" s="6" t="s">
        <v>503</v>
      </c>
      <c r="B258" s="8" t="s">
        <v>727</v>
      </c>
    </row>
    <row r="259" customFormat="false" ht="31.5" hidden="false" customHeight="true" outlineLevel="0" collapsed="false">
      <c r="A259" s="6" t="s">
        <v>505</v>
      </c>
      <c r="B259" s="9" t="s">
        <v>728</v>
      </c>
    </row>
    <row r="260" customFormat="false" ht="16.5" hidden="false" customHeight="true" outlineLevel="0" collapsed="false">
      <c r="A260" s="6" t="s">
        <v>507</v>
      </c>
      <c r="B260" s="8" t="s">
        <v>729</v>
      </c>
    </row>
    <row r="261" customFormat="false" ht="18" hidden="false" customHeight="true" outlineLevel="0" collapsed="false">
      <c r="A261" s="6" t="s">
        <v>509</v>
      </c>
      <c r="B261" s="8" t="str">
        <f aca="false">"화당 "&amp;턴_설계!$B$5&amp;"턴 · 부 총 "&amp;TEXT(턴_설계!D46,"#,##0")&amp;"턴 · 화당 약 "&amp;TEXT(턴_설계!F46,"#,##0")&amp;"단어 · 낭독 약 "&amp;TEXT(턴_설계!H46,"0.0")&amp;"분 (평균 "&amp;TEXT(턴_설계!E46,"0.0")&amp;"단어/턴)"</f>
        <v>화당 120턴 · 부 총 1,440턴 · 화당 약 914단어 · 낭독 약 7.0분 (평균 7.6단어/턴)</v>
      </c>
    </row>
    <row r="262" customFormat="false" ht="16.5" hidden="false" customHeight="true" outlineLevel="0" collapsed="false">
      <c r="A262" s="11" t="s">
        <v>510</v>
      </c>
      <c r="B262" s="8" t="s">
        <v>730</v>
      </c>
    </row>
    <row r="263" customFormat="false" ht="16.5" hidden="false" customHeight="true" outlineLevel="0" collapsed="false">
      <c r="A263" s="6" t="s">
        <v>512</v>
      </c>
      <c r="B263" s="9" t="s">
        <v>731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true"/>
  </sheetPr>
  <dimension ref="A1:J1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2" min="1" style="1" width="6"/>
    <col collapsed="false" customWidth="true" hidden="false" outlineLevel="0" max="3" min="3" style="1" width="13"/>
    <col collapsed="false" customWidth="true" hidden="false" outlineLevel="0" max="4" min="4" style="1" width="32"/>
    <col collapsed="false" customWidth="true" hidden="false" outlineLevel="0" max="5" min="5" style="1" width="24"/>
    <col collapsed="false" customWidth="true" hidden="false" outlineLevel="0" max="6" min="6" style="1" width="62"/>
    <col collapsed="false" customWidth="true" hidden="false" outlineLevel="0" max="7" min="7" style="1" width="46"/>
    <col collapsed="false" customWidth="true" hidden="false" outlineLevel="0" max="8" min="8" style="1" width="28"/>
    <col collapsed="false" customWidth="true" hidden="false" outlineLevel="0" max="9" min="9" style="1" width="16"/>
    <col collapsed="false" customWidth="true" hidden="false" outlineLevel="0" max="10" min="10" style="1" width="8"/>
  </cols>
  <sheetData>
    <row r="1" customFormat="false" ht="24" hidden="false" customHeight="true" outlineLevel="0" collapsed="false">
      <c r="A1" s="23" t="s">
        <v>732</v>
      </c>
    </row>
    <row r="2" customFormat="false" ht="15" hidden="false" customHeight="true" outlineLevel="0" collapsed="false">
      <c r="A2" s="22" t="s">
        <v>733</v>
      </c>
    </row>
    <row r="4" customFormat="false" ht="31.5" hidden="false" customHeight="true" outlineLevel="0" collapsed="false">
      <c r="A4" s="25" t="s">
        <v>341</v>
      </c>
      <c r="B4" s="25" t="s">
        <v>734</v>
      </c>
      <c r="C4" s="25" t="s">
        <v>479</v>
      </c>
      <c r="D4" s="25" t="s">
        <v>393</v>
      </c>
      <c r="E4" s="25" t="s">
        <v>394</v>
      </c>
      <c r="F4" s="25" t="s">
        <v>735</v>
      </c>
      <c r="G4" s="25" t="s">
        <v>398</v>
      </c>
      <c r="H4" s="25" t="s">
        <v>736</v>
      </c>
      <c r="I4" s="25" t="s">
        <v>737</v>
      </c>
      <c r="J4" s="25" t="s">
        <v>738</v>
      </c>
    </row>
    <row r="5" customFormat="false" ht="76.5" hidden="false" customHeight="true" outlineLevel="0" collapsed="false">
      <c r="A5" s="26" t="n">
        <v>1</v>
      </c>
      <c r="B5" s="26" t="n">
        <v>1</v>
      </c>
      <c r="C5" s="28" t="s">
        <v>739</v>
      </c>
      <c r="D5" s="8" t="s">
        <v>740</v>
      </c>
      <c r="E5" s="9" t="s">
        <v>741</v>
      </c>
      <c r="F5" s="9" t="s">
        <v>742</v>
      </c>
      <c r="G5" s="9" t="s">
        <v>743</v>
      </c>
      <c r="H5" s="8" t="s">
        <v>744</v>
      </c>
      <c r="I5" s="26" t="s">
        <v>745</v>
      </c>
      <c r="J5" s="26" t="n">
        <f aca="false">턴_설계!$B$5</f>
        <v>120</v>
      </c>
    </row>
    <row r="6" customFormat="false" ht="76.5" hidden="false" customHeight="true" outlineLevel="0" collapsed="false">
      <c r="A6" s="26" t="n">
        <v>1</v>
      </c>
      <c r="B6" s="26" t="n">
        <v>2</v>
      </c>
      <c r="C6" s="28" t="s">
        <v>746</v>
      </c>
      <c r="D6" s="8" t="s">
        <v>747</v>
      </c>
      <c r="E6" s="9" t="s">
        <v>748</v>
      </c>
      <c r="F6" s="8" t="s">
        <v>749</v>
      </c>
      <c r="G6" s="9" t="s">
        <v>750</v>
      </c>
      <c r="H6" s="8" t="s">
        <v>751</v>
      </c>
      <c r="I6" s="26" t="s">
        <v>745</v>
      </c>
      <c r="J6" s="26" t="n">
        <f aca="false">턴_설계!$B$5</f>
        <v>120</v>
      </c>
    </row>
    <row r="7" customFormat="false" ht="76.5" hidden="false" customHeight="true" outlineLevel="0" collapsed="false">
      <c r="A7" s="26" t="n">
        <v>1</v>
      </c>
      <c r="B7" s="26" t="n">
        <v>3</v>
      </c>
      <c r="C7" s="28" t="s">
        <v>752</v>
      </c>
      <c r="D7" s="8" t="s">
        <v>753</v>
      </c>
      <c r="E7" s="9" t="s">
        <v>754</v>
      </c>
      <c r="F7" s="8" t="s">
        <v>755</v>
      </c>
      <c r="G7" s="9" t="s">
        <v>756</v>
      </c>
      <c r="H7" s="8" t="s">
        <v>757</v>
      </c>
      <c r="I7" s="26" t="s">
        <v>758</v>
      </c>
      <c r="J7" s="26" t="n">
        <f aca="false">턴_설계!$B$5</f>
        <v>120</v>
      </c>
    </row>
    <row r="8" customFormat="false" ht="76.5" hidden="false" customHeight="true" outlineLevel="0" collapsed="false">
      <c r="A8" s="26" t="n">
        <v>1</v>
      </c>
      <c r="B8" s="26" t="n">
        <v>4</v>
      </c>
      <c r="C8" s="28" t="s">
        <v>759</v>
      </c>
      <c r="D8" s="8" t="s">
        <v>760</v>
      </c>
      <c r="E8" s="9" t="s">
        <v>761</v>
      </c>
      <c r="F8" s="8" t="s">
        <v>762</v>
      </c>
      <c r="G8" s="9" t="s">
        <v>763</v>
      </c>
      <c r="H8" s="8" t="s">
        <v>757</v>
      </c>
      <c r="I8" s="26" t="s">
        <v>758</v>
      </c>
      <c r="J8" s="26" t="n">
        <f aca="false">턴_설계!$B$5</f>
        <v>120</v>
      </c>
    </row>
    <row r="9" customFormat="false" ht="46.5" hidden="false" customHeight="true" outlineLevel="0" collapsed="false">
      <c r="A9" s="26" t="n">
        <v>1</v>
      </c>
      <c r="B9" s="26" t="n">
        <v>5</v>
      </c>
      <c r="C9" s="28" t="s">
        <v>764</v>
      </c>
      <c r="D9" s="8" t="s">
        <v>765</v>
      </c>
      <c r="E9" s="9" t="s">
        <v>766</v>
      </c>
      <c r="F9" s="8" t="s">
        <v>767</v>
      </c>
      <c r="G9" s="9" t="s">
        <v>768</v>
      </c>
      <c r="H9" s="8" t="s">
        <v>769</v>
      </c>
      <c r="I9" s="26" t="s">
        <v>758</v>
      </c>
      <c r="J9" s="26" t="n">
        <f aca="false">턴_설계!$B$5</f>
        <v>120</v>
      </c>
    </row>
    <row r="10" customFormat="false" ht="76.5" hidden="false" customHeight="true" outlineLevel="0" collapsed="false">
      <c r="A10" s="26" t="n">
        <v>1</v>
      </c>
      <c r="B10" s="26" t="n">
        <v>6</v>
      </c>
      <c r="C10" s="28" t="s">
        <v>770</v>
      </c>
      <c r="D10" s="8" t="s">
        <v>771</v>
      </c>
      <c r="E10" s="9" t="s">
        <v>772</v>
      </c>
      <c r="F10" s="8" t="s">
        <v>773</v>
      </c>
      <c r="G10" s="9" t="s">
        <v>774</v>
      </c>
      <c r="H10" s="8" t="s">
        <v>775</v>
      </c>
      <c r="I10" s="26" t="s">
        <v>758</v>
      </c>
      <c r="J10" s="26" t="n">
        <f aca="false">턴_설계!$B$5</f>
        <v>120</v>
      </c>
    </row>
    <row r="11" customFormat="false" ht="91.5" hidden="false" customHeight="true" outlineLevel="0" collapsed="false">
      <c r="A11" s="26" t="n">
        <v>1</v>
      </c>
      <c r="B11" s="26" t="n">
        <v>7</v>
      </c>
      <c r="C11" s="28" t="s">
        <v>776</v>
      </c>
      <c r="D11" s="8" t="s">
        <v>777</v>
      </c>
      <c r="E11" s="9" t="s">
        <v>778</v>
      </c>
      <c r="F11" s="8" t="s">
        <v>779</v>
      </c>
      <c r="G11" s="9" t="s">
        <v>780</v>
      </c>
      <c r="H11" s="8" t="s">
        <v>781</v>
      </c>
      <c r="I11" s="26" t="s">
        <v>782</v>
      </c>
      <c r="J11" s="26" t="n">
        <f aca="false">턴_설계!$B$5</f>
        <v>120</v>
      </c>
    </row>
    <row r="12" customFormat="false" ht="61.5" hidden="false" customHeight="true" outlineLevel="0" collapsed="false">
      <c r="A12" s="26" t="n">
        <v>1</v>
      </c>
      <c r="B12" s="26" t="n">
        <v>8</v>
      </c>
      <c r="C12" s="28" t="s">
        <v>783</v>
      </c>
      <c r="D12" s="8" t="s">
        <v>784</v>
      </c>
      <c r="E12" s="29" t="s">
        <v>785</v>
      </c>
      <c r="F12" s="8" t="s">
        <v>786</v>
      </c>
      <c r="G12" s="9" t="s">
        <v>787</v>
      </c>
      <c r="H12" s="8" t="s">
        <v>788</v>
      </c>
      <c r="I12" s="26" t="s">
        <v>782</v>
      </c>
      <c r="J12" s="26" t="n">
        <f aca="false">턴_설계!$B$5</f>
        <v>120</v>
      </c>
    </row>
    <row r="13" customFormat="false" ht="76.5" hidden="false" customHeight="true" outlineLevel="0" collapsed="false">
      <c r="A13" s="26" t="n">
        <v>1</v>
      </c>
      <c r="B13" s="26" t="n">
        <v>9</v>
      </c>
      <c r="C13" s="28" t="s">
        <v>789</v>
      </c>
      <c r="D13" s="8" t="s">
        <v>790</v>
      </c>
      <c r="E13" s="8" t="s">
        <v>791</v>
      </c>
      <c r="F13" s="8" t="s">
        <v>792</v>
      </c>
      <c r="G13" s="9" t="s">
        <v>793</v>
      </c>
      <c r="H13" s="8" t="s">
        <v>794</v>
      </c>
      <c r="I13" s="26" t="s">
        <v>795</v>
      </c>
      <c r="J13" s="26" t="n">
        <f aca="false">턴_설계!$B$5</f>
        <v>120</v>
      </c>
    </row>
    <row r="14" customFormat="false" ht="61.5" hidden="false" customHeight="true" outlineLevel="0" collapsed="false">
      <c r="A14" s="26" t="n">
        <v>1</v>
      </c>
      <c r="B14" s="26" t="n">
        <v>10</v>
      </c>
      <c r="C14" s="28" t="s">
        <v>796</v>
      </c>
      <c r="D14" s="8" t="s">
        <v>797</v>
      </c>
      <c r="E14" s="9" t="s">
        <v>798</v>
      </c>
      <c r="F14" s="8" t="s">
        <v>799</v>
      </c>
      <c r="G14" s="9" t="s">
        <v>800</v>
      </c>
      <c r="H14" s="8" t="s">
        <v>801</v>
      </c>
      <c r="I14" s="26" t="s">
        <v>795</v>
      </c>
      <c r="J14" s="26" t="n">
        <f aca="false">턴_설계!$B$5</f>
        <v>120</v>
      </c>
    </row>
    <row r="15" customFormat="false" ht="61.5" hidden="false" customHeight="true" outlineLevel="0" collapsed="false">
      <c r="A15" s="26" t="n">
        <v>1</v>
      </c>
      <c r="B15" s="26" t="n">
        <v>11</v>
      </c>
      <c r="C15" s="28" t="s">
        <v>802</v>
      </c>
      <c r="D15" s="8" t="s">
        <v>803</v>
      </c>
      <c r="E15" s="9" t="s">
        <v>804</v>
      </c>
      <c r="F15" s="8" t="s">
        <v>805</v>
      </c>
      <c r="G15" s="9" t="s">
        <v>806</v>
      </c>
      <c r="H15" s="8" t="s">
        <v>807</v>
      </c>
      <c r="I15" s="26" t="s">
        <v>745</v>
      </c>
      <c r="J15" s="26" t="n">
        <f aca="false">턴_설계!$B$5</f>
        <v>120</v>
      </c>
    </row>
    <row r="16" customFormat="false" ht="76.5" hidden="false" customHeight="true" outlineLevel="0" collapsed="false">
      <c r="A16" s="26" t="n">
        <v>1</v>
      </c>
      <c r="B16" s="26" t="n">
        <v>12</v>
      </c>
      <c r="C16" s="28" t="s">
        <v>808</v>
      </c>
      <c r="D16" s="8" t="s">
        <v>809</v>
      </c>
      <c r="E16" s="9" t="s">
        <v>810</v>
      </c>
      <c r="F16" s="8" t="s">
        <v>811</v>
      </c>
      <c r="G16" s="9" t="s">
        <v>812</v>
      </c>
      <c r="H16" s="8" t="s">
        <v>813</v>
      </c>
      <c r="I16" s="26" t="s">
        <v>745</v>
      </c>
      <c r="J16" s="26" t="n">
        <f aca="false">턴_설계!$B$5</f>
        <v>120</v>
      </c>
    </row>
    <row r="17" customFormat="false" ht="61.5" hidden="false" customHeight="true" outlineLevel="0" collapsed="false">
      <c r="A17" s="26" t="n">
        <v>2</v>
      </c>
      <c r="B17" s="26" t="n">
        <v>1</v>
      </c>
      <c r="C17" s="28" t="s">
        <v>814</v>
      </c>
      <c r="D17" s="8" t="s">
        <v>815</v>
      </c>
      <c r="E17" s="9" t="s">
        <v>816</v>
      </c>
      <c r="F17" s="8" t="s">
        <v>817</v>
      </c>
      <c r="G17" s="9" t="s">
        <v>818</v>
      </c>
      <c r="H17" s="8" t="s">
        <v>819</v>
      </c>
      <c r="I17" s="26" t="s">
        <v>745</v>
      </c>
      <c r="J17" s="26" t="n">
        <f aca="false">턴_설계!$B$5</f>
        <v>120</v>
      </c>
    </row>
    <row r="18" customFormat="false" ht="46.5" hidden="false" customHeight="true" outlineLevel="0" collapsed="false">
      <c r="A18" s="26" t="n">
        <v>2</v>
      </c>
      <c r="B18" s="26" t="n">
        <v>2</v>
      </c>
      <c r="C18" s="28" t="s">
        <v>814</v>
      </c>
      <c r="D18" s="8" t="s">
        <v>820</v>
      </c>
      <c r="E18" s="9" t="s">
        <v>821</v>
      </c>
      <c r="F18" s="8" t="s">
        <v>822</v>
      </c>
      <c r="G18" s="9" t="s">
        <v>823</v>
      </c>
      <c r="H18" s="8" t="s">
        <v>824</v>
      </c>
      <c r="I18" s="26"/>
      <c r="J18" s="26" t="n">
        <f aca="false">턴_설계!$B$5</f>
        <v>120</v>
      </c>
    </row>
    <row r="19" customFormat="false" ht="46.5" hidden="false" customHeight="true" outlineLevel="0" collapsed="false">
      <c r="A19" s="26" t="n">
        <v>2</v>
      </c>
      <c r="B19" s="26" t="n">
        <v>3</v>
      </c>
      <c r="C19" s="28" t="s">
        <v>814</v>
      </c>
      <c r="D19" s="8" t="s">
        <v>825</v>
      </c>
      <c r="E19" s="8" t="s">
        <v>826</v>
      </c>
      <c r="F19" s="9" t="s">
        <v>827</v>
      </c>
      <c r="G19" s="9" t="s">
        <v>828</v>
      </c>
      <c r="H19" s="8" t="s">
        <v>829</v>
      </c>
      <c r="I19" s="26" t="s">
        <v>745</v>
      </c>
      <c r="J19" s="26" t="n">
        <f aca="false">턴_설계!$B$5</f>
        <v>120</v>
      </c>
    </row>
    <row r="20" customFormat="false" ht="61.5" hidden="false" customHeight="true" outlineLevel="0" collapsed="false">
      <c r="A20" s="26" t="n">
        <v>2</v>
      </c>
      <c r="B20" s="26" t="n">
        <v>4</v>
      </c>
      <c r="C20" s="28" t="s">
        <v>830</v>
      </c>
      <c r="D20" s="8" t="s">
        <v>831</v>
      </c>
      <c r="E20" s="9" t="s">
        <v>832</v>
      </c>
      <c r="F20" s="9" t="s">
        <v>833</v>
      </c>
      <c r="G20" s="9" t="s">
        <v>834</v>
      </c>
      <c r="H20" s="8" t="s">
        <v>835</v>
      </c>
      <c r="I20" s="26" t="s">
        <v>745</v>
      </c>
      <c r="J20" s="26" t="n">
        <f aca="false">턴_설계!$B$5</f>
        <v>120</v>
      </c>
    </row>
    <row r="21" customFormat="false" ht="46.5" hidden="false" customHeight="true" outlineLevel="0" collapsed="false">
      <c r="A21" s="26" t="n">
        <v>2</v>
      </c>
      <c r="B21" s="26" t="n">
        <v>5</v>
      </c>
      <c r="C21" s="28" t="s">
        <v>830</v>
      </c>
      <c r="D21" s="8" t="s">
        <v>836</v>
      </c>
      <c r="E21" s="9" t="s">
        <v>837</v>
      </c>
      <c r="F21" s="8" t="s">
        <v>838</v>
      </c>
      <c r="G21" s="9" t="s">
        <v>839</v>
      </c>
      <c r="H21" s="8" t="s">
        <v>840</v>
      </c>
      <c r="I21" s="26" t="s">
        <v>745</v>
      </c>
      <c r="J21" s="26" t="n">
        <f aca="false">턴_설계!$B$5</f>
        <v>120</v>
      </c>
    </row>
    <row r="22" customFormat="false" ht="61.5" hidden="false" customHeight="true" outlineLevel="0" collapsed="false">
      <c r="A22" s="26" t="n">
        <v>2</v>
      </c>
      <c r="B22" s="26" t="n">
        <v>6</v>
      </c>
      <c r="C22" s="28" t="s">
        <v>841</v>
      </c>
      <c r="D22" s="8" t="s">
        <v>842</v>
      </c>
      <c r="E22" s="9" t="s">
        <v>843</v>
      </c>
      <c r="F22" s="9" t="s">
        <v>844</v>
      </c>
      <c r="G22" s="9" t="s">
        <v>845</v>
      </c>
      <c r="H22" s="8" t="s">
        <v>846</v>
      </c>
      <c r="I22" s="26" t="s">
        <v>745</v>
      </c>
      <c r="J22" s="26" t="n">
        <f aca="false">턴_설계!$B$5</f>
        <v>120</v>
      </c>
    </row>
    <row r="23" customFormat="false" ht="46.5" hidden="false" customHeight="true" outlineLevel="0" collapsed="false">
      <c r="A23" s="26" t="n">
        <v>2</v>
      </c>
      <c r="B23" s="26" t="n">
        <v>7</v>
      </c>
      <c r="C23" s="28" t="s">
        <v>847</v>
      </c>
      <c r="D23" s="8" t="s">
        <v>848</v>
      </c>
      <c r="E23" s="9" t="s">
        <v>849</v>
      </c>
      <c r="F23" s="9" t="s">
        <v>850</v>
      </c>
      <c r="G23" s="9" t="s">
        <v>851</v>
      </c>
      <c r="H23" s="8" t="s">
        <v>852</v>
      </c>
      <c r="I23" s="26" t="s">
        <v>745</v>
      </c>
      <c r="J23" s="26" t="n">
        <f aca="false">턴_설계!$B$5</f>
        <v>120</v>
      </c>
    </row>
    <row r="24" customFormat="false" ht="46.5" hidden="false" customHeight="true" outlineLevel="0" collapsed="false">
      <c r="A24" s="26" t="n">
        <v>2</v>
      </c>
      <c r="B24" s="26" t="n">
        <v>8</v>
      </c>
      <c r="C24" s="28" t="s">
        <v>847</v>
      </c>
      <c r="D24" s="8" t="s">
        <v>853</v>
      </c>
      <c r="E24" s="9" t="s">
        <v>854</v>
      </c>
      <c r="F24" s="9" t="s">
        <v>855</v>
      </c>
      <c r="G24" s="9" t="s">
        <v>856</v>
      </c>
      <c r="H24" s="8" t="s">
        <v>857</v>
      </c>
      <c r="I24" s="26" t="s">
        <v>858</v>
      </c>
      <c r="J24" s="26" t="n">
        <f aca="false">턴_설계!$B$5</f>
        <v>120</v>
      </c>
    </row>
    <row r="25" customFormat="false" ht="46.5" hidden="false" customHeight="true" outlineLevel="0" collapsed="false">
      <c r="A25" s="26" t="n">
        <v>2</v>
      </c>
      <c r="B25" s="26" t="n">
        <v>9</v>
      </c>
      <c r="C25" s="28" t="s">
        <v>847</v>
      </c>
      <c r="D25" s="8" t="s">
        <v>859</v>
      </c>
      <c r="E25" s="9" t="s">
        <v>860</v>
      </c>
      <c r="F25" s="8" t="s">
        <v>861</v>
      </c>
      <c r="G25" s="9" t="s">
        <v>862</v>
      </c>
      <c r="H25" s="8" t="s">
        <v>863</v>
      </c>
      <c r="I25" s="26"/>
      <c r="J25" s="26" t="n">
        <f aca="false">턴_설계!$B$5</f>
        <v>120</v>
      </c>
    </row>
    <row r="26" customFormat="false" ht="31.5" hidden="false" customHeight="true" outlineLevel="0" collapsed="false">
      <c r="A26" s="26" t="n">
        <v>2</v>
      </c>
      <c r="B26" s="26" t="n">
        <v>10</v>
      </c>
      <c r="C26" s="28" t="s">
        <v>864</v>
      </c>
      <c r="D26" s="8" t="s">
        <v>865</v>
      </c>
      <c r="E26" s="29" t="s">
        <v>866</v>
      </c>
      <c r="F26" s="9" t="s">
        <v>867</v>
      </c>
      <c r="G26" s="9" t="s">
        <v>868</v>
      </c>
      <c r="H26" s="8" t="s">
        <v>869</v>
      </c>
      <c r="I26" s="26"/>
      <c r="J26" s="26" t="n">
        <f aca="false">턴_설계!$B$5</f>
        <v>120</v>
      </c>
    </row>
    <row r="27" customFormat="false" ht="46.5" hidden="false" customHeight="true" outlineLevel="0" collapsed="false">
      <c r="A27" s="26" t="n">
        <v>2</v>
      </c>
      <c r="B27" s="26" t="n">
        <v>11</v>
      </c>
      <c r="C27" s="28" t="s">
        <v>864</v>
      </c>
      <c r="D27" s="8" t="s">
        <v>870</v>
      </c>
      <c r="E27" s="8" t="s">
        <v>871</v>
      </c>
      <c r="F27" s="8" t="s">
        <v>872</v>
      </c>
      <c r="G27" s="9" t="s">
        <v>873</v>
      </c>
      <c r="H27" s="8" t="s">
        <v>874</v>
      </c>
      <c r="I27" s="26" t="s">
        <v>745</v>
      </c>
      <c r="J27" s="26" t="n">
        <f aca="false">턴_설계!$B$5</f>
        <v>120</v>
      </c>
    </row>
    <row r="28" customFormat="false" ht="46.5" hidden="false" customHeight="true" outlineLevel="0" collapsed="false">
      <c r="A28" s="26" t="n">
        <v>2</v>
      </c>
      <c r="B28" s="26" t="n">
        <v>12</v>
      </c>
      <c r="C28" s="28" t="s">
        <v>875</v>
      </c>
      <c r="D28" s="8" t="s">
        <v>876</v>
      </c>
      <c r="E28" s="9" t="s">
        <v>877</v>
      </c>
      <c r="F28" s="8" t="s">
        <v>878</v>
      </c>
      <c r="G28" s="9" t="s">
        <v>879</v>
      </c>
      <c r="H28" s="8" t="s">
        <v>880</v>
      </c>
      <c r="I28" s="26"/>
      <c r="J28" s="26" t="n">
        <f aca="false">턴_설계!$B$5</f>
        <v>120</v>
      </c>
    </row>
    <row r="29" customFormat="false" ht="46.5" hidden="false" customHeight="true" outlineLevel="0" collapsed="false">
      <c r="A29" s="26" t="n">
        <v>3</v>
      </c>
      <c r="B29" s="26" t="n">
        <v>1</v>
      </c>
      <c r="C29" s="28" t="s">
        <v>814</v>
      </c>
      <c r="D29" s="8" t="s">
        <v>881</v>
      </c>
      <c r="E29" s="9" t="s">
        <v>882</v>
      </c>
      <c r="F29" s="8" t="s">
        <v>883</v>
      </c>
      <c r="G29" s="9" t="s">
        <v>884</v>
      </c>
      <c r="H29" s="8" t="s">
        <v>885</v>
      </c>
      <c r="I29" s="26"/>
      <c r="J29" s="26" t="n">
        <f aca="false">턴_설계!$B$5</f>
        <v>120</v>
      </c>
    </row>
    <row r="30" customFormat="false" ht="46.5" hidden="false" customHeight="true" outlineLevel="0" collapsed="false">
      <c r="A30" s="26" t="n">
        <v>3</v>
      </c>
      <c r="B30" s="26" t="n">
        <v>2</v>
      </c>
      <c r="C30" s="28" t="s">
        <v>814</v>
      </c>
      <c r="D30" s="8" t="s">
        <v>886</v>
      </c>
      <c r="E30" s="9" t="s">
        <v>887</v>
      </c>
      <c r="F30" s="8" t="s">
        <v>888</v>
      </c>
      <c r="G30" s="8" t="s">
        <v>889</v>
      </c>
      <c r="H30" s="8" t="s">
        <v>890</v>
      </c>
      <c r="I30" s="26"/>
      <c r="J30" s="26" t="n">
        <f aca="false">턴_설계!$B$5</f>
        <v>120</v>
      </c>
    </row>
    <row r="31" customFormat="false" ht="31.5" hidden="false" customHeight="true" outlineLevel="0" collapsed="false">
      <c r="A31" s="26" t="n">
        <v>3</v>
      </c>
      <c r="B31" s="26" t="n">
        <v>3</v>
      </c>
      <c r="C31" s="28" t="s">
        <v>814</v>
      </c>
      <c r="D31" s="8" t="s">
        <v>891</v>
      </c>
      <c r="E31" s="9" t="s">
        <v>892</v>
      </c>
      <c r="F31" s="9" t="s">
        <v>893</v>
      </c>
      <c r="G31" s="9" t="s">
        <v>894</v>
      </c>
      <c r="H31" s="8" t="s">
        <v>895</v>
      </c>
      <c r="I31" s="26" t="s">
        <v>896</v>
      </c>
      <c r="J31" s="26" t="n">
        <f aca="false">턴_설계!$B$5</f>
        <v>120</v>
      </c>
    </row>
    <row r="32" customFormat="false" ht="46.5" hidden="false" customHeight="true" outlineLevel="0" collapsed="false">
      <c r="A32" s="26" t="n">
        <v>3</v>
      </c>
      <c r="B32" s="26" t="n">
        <v>4</v>
      </c>
      <c r="C32" s="28" t="s">
        <v>830</v>
      </c>
      <c r="D32" s="8" t="s">
        <v>897</v>
      </c>
      <c r="E32" s="9" t="s">
        <v>898</v>
      </c>
      <c r="F32" s="9" t="s">
        <v>899</v>
      </c>
      <c r="G32" s="9" t="s">
        <v>900</v>
      </c>
      <c r="H32" s="8" t="s">
        <v>901</v>
      </c>
      <c r="I32" s="26" t="s">
        <v>902</v>
      </c>
      <c r="J32" s="26" t="n">
        <f aca="false">턴_설계!$B$5</f>
        <v>120</v>
      </c>
    </row>
    <row r="33" customFormat="false" ht="61.5" hidden="false" customHeight="true" outlineLevel="0" collapsed="false">
      <c r="A33" s="26" t="n">
        <v>3</v>
      </c>
      <c r="B33" s="26" t="n">
        <v>5</v>
      </c>
      <c r="C33" s="28" t="s">
        <v>830</v>
      </c>
      <c r="D33" s="8" t="s">
        <v>903</v>
      </c>
      <c r="E33" s="9" t="s">
        <v>904</v>
      </c>
      <c r="F33" s="8" t="s">
        <v>905</v>
      </c>
      <c r="G33" s="9" t="s">
        <v>906</v>
      </c>
      <c r="H33" s="8" t="s">
        <v>907</v>
      </c>
      <c r="I33" s="26"/>
      <c r="J33" s="26" t="n">
        <f aca="false">턴_설계!$B$5</f>
        <v>120</v>
      </c>
    </row>
    <row r="34" customFormat="false" ht="46.5" hidden="false" customHeight="true" outlineLevel="0" collapsed="false">
      <c r="A34" s="26" t="n">
        <v>3</v>
      </c>
      <c r="B34" s="26" t="n">
        <v>6</v>
      </c>
      <c r="C34" s="28" t="s">
        <v>841</v>
      </c>
      <c r="D34" s="8" t="s">
        <v>908</v>
      </c>
      <c r="E34" s="9" t="s">
        <v>909</v>
      </c>
      <c r="F34" s="9" t="s">
        <v>910</v>
      </c>
      <c r="G34" s="9" t="s">
        <v>911</v>
      </c>
      <c r="H34" s="8" t="s">
        <v>912</v>
      </c>
      <c r="I34" s="26" t="s">
        <v>913</v>
      </c>
      <c r="J34" s="26" t="n">
        <f aca="false">턴_설계!$B$5</f>
        <v>120</v>
      </c>
    </row>
    <row r="35" customFormat="false" ht="46.5" hidden="false" customHeight="true" outlineLevel="0" collapsed="false">
      <c r="A35" s="26" t="n">
        <v>3</v>
      </c>
      <c r="B35" s="26" t="n">
        <v>7</v>
      </c>
      <c r="C35" s="28" t="s">
        <v>847</v>
      </c>
      <c r="D35" s="8" t="s">
        <v>914</v>
      </c>
      <c r="E35" s="9" t="s">
        <v>915</v>
      </c>
      <c r="F35" s="9" t="s">
        <v>916</v>
      </c>
      <c r="G35" s="9" t="s">
        <v>917</v>
      </c>
      <c r="H35" s="8" t="s">
        <v>918</v>
      </c>
      <c r="I35" s="26" t="s">
        <v>919</v>
      </c>
      <c r="J35" s="26" t="n">
        <f aca="false">턴_설계!$B$5</f>
        <v>120</v>
      </c>
    </row>
    <row r="36" customFormat="false" ht="31.5" hidden="false" customHeight="true" outlineLevel="0" collapsed="false">
      <c r="A36" s="26" t="n">
        <v>3</v>
      </c>
      <c r="B36" s="26" t="n">
        <v>8</v>
      </c>
      <c r="C36" s="28" t="s">
        <v>847</v>
      </c>
      <c r="D36" s="8" t="s">
        <v>920</v>
      </c>
      <c r="E36" s="9" t="s">
        <v>921</v>
      </c>
      <c r="F36" s="9" t="s">
        <v>922</v>
      </c>
      <c r="G36" s="9" t="s">
        <v>923</v>
      </c>
      <c r="H36" s="8" t="s">
        <v>924</v>
      </c>
      <c r="I36" s="26" t="s">
        <v>919</v>
      </c>
      <c r="J36" s="26" t="n">
        <f aca="false">턴_설계!$B$5</f>
        <v>120</v>
      </c>
    </row>
    <row r="37" customFormat="false" ht="46.5" hidden="false" customHeight="true" outlineLevel="0" collapsed="false">
      <c r="A37" s="26" t="n">
        <v>3</v>
      </c>
      <c r="B37" s="26" t="n">
        <v>9</v>
      </c>
      <c r="C37" s="28" t="s">
        <v>847</v>
      </c>
      <c r="D37" s="8" t="s">
        <v>925</v>
      </c>
      <c r="E37" s="9" t="s">
        <v>926</v>
      </c>
      <c r="F37" s="8" t="s">
        <v>927</v>
      </c>
      <c r="G37" s="9" t="s">
        <v>928</v>
      </c>
      <c r="H37" s="8" t="s">
        <v>929</v>
      </c>
      <c r="I37" s="26"/>
      <c r="J37" s="26" t="n">
        <f aca="false">턴_설계!$B$5</f>
        <v>120</v>
      </c>
    </row>
    <row r="38" customFormat="false" ht="46.5" hidden="false" customHeight="true" outlineLevel="0" collapsed="false">
      <c r="A38" s="26" t="n">
        <v>3</v>
      </c>
      <c r="B38" s="26" t="n">
        <v>10</v>
      </c>
      <c r="C38" s="28" t="s">
        <v>864</v>
      </c>
      <c r="D38" s="8" t="s">
        <v>930</v>
      </c>
      <c r="E38" s="9" t="s">
        <v>931</v>
      </c>
      <c r="F38" s="9" t="s">
        <v>932</v>
      </c>
      <c r="G38" s="9" t="s">
        <v>933</v>
      </c>
      <c r="H38" s="8" t="s">
        <v>895</v>
      </c>
      <c r="I38" s="26" t="s">
        <v>934</v>
      </c>
      <c r="J38" s="26" t="n">
        <f aca="false">턴_설계!$B$5</f>
        <v>120</v>
      </c>
    </row>
    <row r="39" customFormat="false" ht="31.5" hidden="false" customHeight="true" outlineLevel="0" collapsed="false">
      <c r="A39" s="26" t="n">
        <v>3</v>
      </c>
      <c r="B39" s="26" t="n">
        <v>11</v>
      </c>
      <c r="C39" s="28" t="s">
        <v>864</v>
      </c>
      <c r="D39" s="8" t="s">
        <v>935</v>
      </c>
      <c r="E39" s="9" t="s">
        <v>936</v>
      </c>
      <c r="F39" s="9" t="s">
        <v>937</v>
      </c>
      <c r="G39" s="9" t="s">
        <v>938</v>
      </c>
      <c r="H39" s="8" t="s">
        <v>912</v>
      </c>
      <c r="I39" s="26"/>
      <c r="J39" s="26" t="n">
        <f aca="false">턴_설계!$B$5</f>
        <v>120</v>
      </c>
    </row>
    <row r="40" customFormat="false" ht="31.5" hidden="false" customHeight="true" outlineLevel="0" collapsed="false">
      <c r="A40" s="26" t="n">
        <v>3</v>
      </c>
      <c r="B40" s="26" t="n">
        <v>12</v>
      </c>
      <c r="C40" s="28" t="s">
        <v>875</v>
      </c>
      <c r="D40" s="8" t="s">
        <v>939</v>
      </c>
      <c r="E40" s="9" t="s">
        <v>940</v>
      </c>
      <c r="F40" s="8" t="s">
        <v>941</v>
      </c>
      <c r="G40" s="9" t="s">
        <v>942</v>
      </c>
      <c r="H40" s="8" t="s">
        <v>943</v>
      </c>
      <c r="I40" s="26"/>
      <c r="J40" s="26" t="n">
        <f aca="false">턴_설계!$B$5</f>
        <v>120</v>
      </c>
    </row>
    <row r="41" customFormat="false" ht="46.5" hidden="false" customHeight="true" outlineLevel="0" collapsed="false">
      <c r="A41" s="26" t="n">
        <v>4</v>
      </c>
      <c r="B41" s="26" t="n">
        <v>1</v>
      </c>
      <c r="C41" s="28" t="s">
        <v>814</v>
      </c>
      <c r="D41" s="8" t="s">
        <v>944</v>
      </c>
      <c r="E41" s="9" t="s">
        <v>945</v>
      </c>
      <c r="F41" s="8" t="s">
        <v>946</v>
      </c>
      <c r="G41" s="9" t="s">
        <v>947</v>
      </c>
      <c r="H41" s="8" t="s">
        <v>948</v>
      </c>
      <c r="I41" s="26"/>
      <c r="J41" s="26" t="n">
        <f aca="false">턴_설계!$B$5</f>
        <v>120</v>
      </c>
    </row>
    <row r="42" customFormat="false" ht="46.5" hidden="false" customHeight="true" outlineLevel="0" collapsed="false">
      <c r="A42" s="26" t="n">
        <v>4</v>
      </c>
      <c r="B42" s="26" t="n">
        <v>2</v>
      </c>
      <c r="C42" s="28" t="s">
        <v>814</v>
      </c>
      <c r="D42" s="8" t="s">
        <v>949</v>
      </c>
      <c r="E42" s="9" t="s">
        <v>950</v>
      </c>
      <c r="F42" s="8" t="s">
        <v>951</v>
      </c>
      <c r="G42" s="9" t="s">
        <v>952</v>
      </c>
      <c r="H42" s="8" t="s">
        <v>953</v>
      </c>
      <c r="I42" s="26"/>
      <c r="J42" s="26" t="n">
        <f aca="false">턴_설계!$B$5</f>
        <v>120</v>
      </c>
    </row>
    <row r="43" customFormat="false" ht="46.5" hidden="false" customHeight="true" outlineLevel="0" collapsed="false">
      <c r="A43" s="26" t="n">
        <v>4</v>
      </c>
      <c r="B43" s="26" t="n">
        <v>3</v>
      </c>
      <c r="C43" s="28" t="s">
        <v>814</v>
      </c>
      <c r="D43" s="8" t="s">
        <v>954</v>
      </c>
      <c r="E43" s="9" t="s">
        <v>955</v>
      </c>
      <c r="F43" s="8" t="s">
        <v>956</v>
      </c>
      <c r="G43" s="9" t="s">
        <v>957</v>
      </c>
      <c r="H43" s="8" t="s">
        <v>958</v>
      </c>
      <c r="I43" s="26"/>
      <c r="J43" s="26" t="n">
        <f aca="false">턴_설계!$B$5</f>
        <v>120</v>
      </c>
    </row>
    <row r="44" customFormat="false" ht="31.5" hidden="false" customHeight="true" outlineLevel="0" collapsed="false">
      <c r="A44" s="26" t="n">
        <v>4</v>
      </c>
      <c r="B44" s="26" t="n">
        <v>4</v>
      </c>
      <c r="C44" s="28" t="s">
        <v>830</v>
      </c>
      <c r="D44" s="8" t="s">
        <v>959</v>
      </c>
      <c r="E44" s="9" t="s">
        <v>960</v>
      </c>
      <c r="F44" s="9" t="s">
        <v>961</v>
      </c>
      <c r="G44" s="9" t="s">
        <v>962</v>
      </c>
      <c r="H44" s="8" t="s">
        <v>963</v>
      </c>
      <c r="I44" s="26"/>
      <c r="J44" s="26" t="n">
        <f aca="false">턴_설계!$B$5</f>
        <v>120</v>
      </c>
    </row>
    <row r="45" customFormat="false" ht="31.5" hidden="false" customHeight="true" outlineLevel="0" collapsed="false">
      <c r="A45" s="26" t="n">
        <v>4</v>
      </c>
      <c r="B45" s="26" t="n">
        <v>5</v>
      </c>
      <c r="C45" s="28" t="s">
        <v>830</v>
      </c>
      <c r="D45" s="8" t="s">
        <v>964</v>
      </c>
      <c r="E45" s="9" t="s">
        <v>965</v>
      </c>
      <c r="F45" s="8" t="s">
        <v>966</v>
      </c>
      <c r="G45" s="9" t="s">
        <v>967</v>
      </c>
      <c r="H45" s="8" t="s">
        <v>968</v>
      </c>
      <c r="I45" s="26"/>
      <c r="J45" s="26" t="n">
        <f aca="false">턴_설계!$B$5</f>
        <v>120</v>
      </c>
    </row>
    <row r="46" customFormat="false" ht="46.5" hidden="false" customHeight="true" outlineLevel="0" collapsed="false">
      <c r="A46" s="26" t="n">
        <v>4</v>
      </c>
      <c r="B46" s="26" t="n">
        <v>6</v>
      </c>
      <c r="C46" s="28" t="s">
        <v>841</v>
      </c>
      <c r="D46" s="8" t="s">
        <v>969</v>
      </c>
      <c r="E46" s="9" t="s">
        <v>970</v>
      </c>
      <c r="F46" s="8" t="s">
        <v>971</v>
      </c>
      <c r="G46" s="9" t="s">
        <v>972</v>
      </c>
      <c r="H46" s="8" t="s">
        <v>973</v>
      </c>
      <c r="I46" s="26"/>
      <c r="J46" s="26" t="n">
        <f aca="false">턴_설계!$B$5</f>
        <v>120</v>
      </c>
    </row>
    <row r="47" customFormat="false" ht="31.5" hidden="false" customHeight="true" outlineLevel="0" collapsed="false">
      <c r="A47" s="26" t="n">
        <v>4</v>
      </c>
      <c r="B47" s="26" t="n">
        <v>7</v>
      </c>
      <c r="C47" s="28" t="s">
        <v>847</v>
      </c>
      <c r="D47" s="8" t="s">
        <v>974</v>
      </c>
      <c r="E47" s="9" t="s">
        <v>975</v>
      </c>
      <c r="F47" s="8" t="s">
        <v>976</v>
      </c>
      <c r="G47" s="9" t="s">
        <v>977</v>
      </c>
      <c r="H47" s="8" t="s">
        <v>978</v>
      </c>
      <c r="I47" s="26" t="s">
        <v>919</v>
      </c>
      <c r="J47" s="26" t="n">
        <f aca="false">턴_설계!$B$5</f>
        <v>120</v>
      </c>
    </row>
    <row r="48" customFormat="false" ht="31.5" hidden="false" customHeight="true" outlineLevel="0" collapsed="false">
      <c r="A48" s="26" t="n">
        <v>4</v>
      </c>
      <c r="B48" s="26" t="n">
        <v>8</v>
      </c>
      <c r="C48" s="28" t="s">
        <v>847</v>
      </c>
      <c r="D48" s="8" t="s">
        <v>979</v>
      </c>
      <c r="E48" s="29" t="s">
        <v>980</v>
      </c>
      <c r="F48" s="8" t="s">
        <v>981</v>
      </c>
      <c r="G48" s="9" t="s">
        <v>982</v>
      </c>
      <c r="H48" s="8" t="s">
        <v>983</v>
      </c>
      <c r="I48" s="26"/>
      <c r="J48" s="26" t="n">
        <f aca="false">턴_설계!$B$5</f>
        <v>120</v>
      </c>
    </row>
    <row r="49" customFormat="false" ht="61.5" hidden="false" customHeight="true" outlineLevel="0" collapsed="false">
      <c r="A49" s="26" t="n">
        <v>4</v>
      </c>
      <c r="B49" s="26" t="n">
        <v>9</v>
      </c>
      <c r="C49" s="28" t="s">
        <v>847</v>
      </c>
      <c r="D49" s="8" t="s">
        <v>984</v>
      </c>
      <c r="E49" s="9" t="s">
        <v>985</v>
      </c>
      <c r="F49" s="8" t="s">
        <v>986</v>
      </c>
      <c r="G49" s="9" t="s">
        <v>987</v>
      </c>
      <c r="H49" s="8" t="s">
        <v>988</v>
      </c>
      <c r="I49" s="26"/>
      <c r="J49" s="26" t="n">
        <f aca="false">턴_설계!$B$5</f>
        <v>120</v>
      </c>
    </row>
    <row r="50" customFormat="false" ht="31.5" hidden="false" customHeight="true" outlineLevel="0" collapsed="false">
      <c r="A50" s="26" t="n">
        <v>4</v>
      </c>
      <c r="B50" s="26" t="n">
        <v>10</v>
      </c>
      <c r="C50" s="28" t="s">
        <v>864</v>
      </c>
      <c r="D50" s="8" t="s">
        <v>989</v>
      </c>
      <c r="E50" s="9" t="s">
        <v>990</v>
      </c>
      <c r="F50" s="8" t="s">
        <v>991</v>
      </c>
      <c r="G50" s="9" t="s">
        <v>992</v>
      </c>
      <c r="H50" s="8" t="s">
        <v>958</v>
      </c>
      <c r="I50" s="26"/>
      <c r="J50" s="26" t="n">
        <f aca="false">턴_설계!$B$5</f>
        <v>120</v>
      </c>
    </row>
    <row r="51" customFormat="false" ht="46.5" hidden="false" customHeight="true" outlineLevel="0" collapsed="false">
      <c r="A51" s="26" t="n">
        <v>4</v>
      </c>
      <c r="B51" s="26" t="n">
        <v>11</v>
      </c>
      <c r="C51" s="28" t="s">
        <v>864</v>
      </c>
      <c r="D51" s="8" t="s">
        <v>993</v>
      </c>
      <c r="E51" s="9" t="s">
        <v>994</v>
      </c>
      <c r="F51" s="9" t="s">
        <v>995</v>
      </c>
      <c r="G51" s="9" t="s">
        <v>996</v>
      </c>
      <c r="H51" s="8" t="s">
        <v>997</v>
      </c>
      <c r="I51" s="26"/>
      <c r="J51" s="26" t="n">
        <f aca="false">턴_설계!$B$5</f>
        <v>120</v>
      </c>
    </row>
    <row r="52" customFormat="false" ht="31.5" hidden="false" customHeight="true" outlineLevel="0" collapsed="false">
      <c r="A52" s="26" t="n">
        <v>4</v>
      </c>
      <c r="B52" s="26" t="n">
        <v>12</v>
      </c>
      <c r="C52" s="28" t="s">
        <v>875</v>
      </c>
      <c r="D52" s="8" t="s">
        <v>998</v>
      </c>
      <c r="E52" s="9" t="s">
        <v>999</v>
      </c>
      <c r="F52" s="8" t="s">
        <v>1000</v>
      </c>
      <c r="G52" s="9" t="s">
        <v>1001</v>
      </c>
      <c r="H52" s="8" t="s">
        <v>1002</v>
      </c>
      <c r="I52" s="26"/>
      <c r="J52" s="26" t="n">
        <f aca="false">턴_설계!$B$5</f>
        <v>120</v>
      </c>
    </row>
    <row r="53" customFormat="false" ht="31.5" hidden="false" customHeight="true" outlineLevel="0" collapsed="false">
      <c r="A53" s="26" t="n">
        <v>5</v>
      </c>
      <c r="B53" s="26" t="n">
        <v>1</v>
      </c>
      <c r="C53" s="28" t="s">
        <v>814</v>
      </c>
      <c r="D53" s="8" t="s">
        <v>1003</v>
      </c>
      <c r="E53" s="9" t="s">
        <v>1004</v>
      </c>
      <c r="F53" s="8" t="s">
        <v>1005</v>
      </c>
      <c r="G53" s="9" t="s">
        <v>1006</v>
      </c>
      <c r="H53" s="8" t="s">
        <v>1007</v>
      </c>
      <c r="I53" s="26"/>
      <c r="J53" s="26" t="n">
        <f aca="false">턴_설계!$B$5</f>
        <v>120</v>
      </c>
    </row>
    <row r="54" customFormat="false" ht="31.5" hidden="false" customHeight="true" outlineLevel="0" collapsed="false">
      <c r="A54" s="26" t="n">
        <v>5</v>
      </c>
      <c r="B54" s="26" t="n">
        <v>2</v>
      </c>
      <c r="C54" s="28" t="s">
        <v>814</v>
      </c>
      <c r="D54" s="8" t="s">
        <v>1008</v>
      </c>
      <c r="E54" s="8" t="s">
        <v>1009</v>
      </c>
      <c r="F54" s="8" t="s">
        <v>1010</v>
      </c>
      <c r="G54" s="8" t="s">
        <v>1011</v>
      </c>
      <c r="H54" s="8" t="s">
        <v>1012</v>
      </c>
      <c r="I54" s="26"/>
      <c r="J54" s="26" t="n">
        <f aca="false">턴_설계!$B$5</f>
        <v>120</v>
      </c>
    </row>
    <row r="55" customFormat="false" ht="46.5" hidden="false" customHeight="true" outlineLevel="0" collapsed="false">
      <c r="A55" s="26" t="n">
        <v>5</v>
      </c>
      <c r="B55" s="26" t="n">
        <v>3</v>
      </c>
      <c r="C55" s="28" t="s">
        <v>814</v>
      </c>
      <c r="D55" s="8" t="s">
        <v>1013</v>
      </c>
      <c r="E55" s="8" t="s">
        <v>1014</v>
      </c>
      <c r="F55" s="9" t="s">
        <v>1015</v>
      </c>
      <c r="G55" s="9" t="s">
        <v>1016</v>
      </c>
      <c r="H55" s="8" t="s">
        <v>1017</v>
      </c>
      <c r="I55" s="26" t="s">
        <v>1018</v>
      </c>
      <c r="J55" s="26" t="n">
        <f aca="false">턴_설계!$B$5</f>
        <v>120</v>
      </c>
    </row>
    <row r="56" customFormat="false" ht="31.5" hidden="false" customHeight="true" outlineLevel="0" collapsed="false">
      <c r="A56" s="26" t="n">
        <v>5</v>
      </c>
      <c r="B56" s="26" t="n">
        <v>4</v>
      </c>
      <c r="C56" s="28" t="s">
        <v>830</v>
      </c>
      <c r="D56" s="8" t="s">
        <v>1019</v>
      </c>
      <c r="E56" s="9" t="s">
        <v>1020</v>
      </c>
      <c r="F56" s="8" t="s">
        <v>1021</v>
      </c>
      <c r="G56" s="9" t="s">
        <v>1022</v>
      </c>
      <c r="H56" s="8" t="s">
        <v>1023</v>
      </c>
      <c r="I56" s="26"/>
      <c r="J56" s="26" t="n">
        <f aca="false">턴_설계!$B$5</f>
        <v>120</v>
      </c>
    </row>
    <row r="57" customFormat="false" ht="46.5" hidden="false" customHeight="true" outlineLevel="0" collapsed="false">
      <c r="A57" s="26" t="n">
        <v>5</v>
      </c>
      <c r="B57" s="26" t="n">
        <v>5</v>
      </c>
      <c r="C57" s="28" t="s">
        <v>830</v>
      </c>
      <c r="D57" s="8" t="s">
        <v>1024</v>
      </c>
      <c r="E57" s="9" t="s">
        <v>1025</v>
      </c>
      <c r="F57" s="8" t="s">
        <v>1026</v>
      </c>
      <c r="G57" s="9" t="s">
        <v>1027</v>
      </c>
      <c r="H57" s="8" t="s">
        <v>1028</v>
      </c>
      <c r="I57" s="26"/>
      <c r="J57" s="26" t="n">
        <f aca="false">턴_설계!$B$5</f>
        <v>120</v>
      </c>
    </row>
    <row r="58" customFormat="false" ht="31.5" hidden="false" customHeight="true" outlineLevel="0" collapsed="false">
      <c r="A58" s="26" t="n">
        <v>5</v>
      </c>
      <c r="B58" s="26" t="n">
        <v>6</v>
      </c>
      <c r="C58" s="28" t="s">
        <v>841</v>
      </c>
      <c r="D58" s="8" t="s">
        <v>1029</v>
      </c>
      <c r="E58" s="8" t="s">
        <v>1030</v>
      </c>
      <c r="F58" s="9" t="s">
        <v>1031</v>
      </c>
      <c r="G58" s="9" t="s">
        <v>1032</v>
      </c>
      <c r="H58" s="8" t="s">
        <v>1033</v>
      </c>
      <c r="I58" s="26" t="s">
        <v>758</v>
      </c>
      <c r="J58" s="26" t="n">
        <f aca="false">턴_설계!$B$5</f>
        <v>120</v>
      </c>
    </row>
    <row r="59" customFormat="false" ht="31.5" hidden="false" customHeight="true" outlineLevel="0" collapsed="false">
      <c r="A59" s="26" t="n">
        <v>5</v>
      </c>
      <c r="B59" s="26" t="n">
        <v>7</v>
      </c>
      <c r="C59" s="28" t="s">
        <v>847</v>
      </c>
      <c r="D59" s="8" t="s">
        <v>1034</v>
      </c>
      <c r="E59" s="9" t="s">
        <v>1035</v>
      </c>
      <c r="F59" s="9" t="s">
        <v>1036</v>
      </c>
      <c r="G59" s="8" t="s">
        <v>1037</v>
      </c>
      <c r="H59" s="8" t="s">
        <v>1038</v>
      </c>
      <c r="I59" s="26" t="s">
        <v>758</v>
      </c>
      <c r="J59" s="26" t="n">
        <f aca="false">턴_설계!$B$5</f>
        <v>120</v>
      </c>
    </row>
    <row r="60" customFormat="false" ht="46.5" hidden="false" customHeight="true" outlineLevel="0" collapsed="false">
      <c r="A60" s="26" t="n">
        <v>5</v>
      </c>
      <c r="B60" s="26" t="n">
        <v>8</v>
      </c>
      <c r="C60" s="28" t="s">
        <v>847</v>
      </c>
      <c r="D60" s="8" t="s">
        <v>1039</v>
      </c>
      <c r="E60" s="9" t="s">
        <v>1040</v>
      </c>
      <c r="F60" s="8" t="s">
        <v>1041</v>
      </c>
      <c r="G60" s="9" t="s">
        <v>1042</v>
      </c>
      <c r="H60" s="8" t="s">
        <v>1043</v>
      </c>
      <c r="I60" s="26" t="s">
        <v>758</v>
      </c>
      <c r="J60" s="26" t="n">
        <f aca="false">턴_설계!$B$5</f>
        <v>120</v>
      </c>
    </row>
    <row r="61" customFormat="false" ht="31.5" hidden="false" customHeight="true" outlineLevel="0" collapsed="false">
      <c r="A61" s="26" t="n">
        <v>5</v>
      </c>
      <c r="B61" s="26" t="n">
        <v>9</v>
      </c>
      <c r="C61" s="28" t="s">
        <v>847</v>
      </c>
      <c r="D61" s="8" t="s">
        <v>1044</v>
      </c>
      <c r="E61" s="9" t="s">
        <v>1045</v>
      </c>
      <c r="F61" s="8" t="s">
        <v>1046</v>
      </c>
      <c r="G61" s="9" t="s">
        <v>1047</v>
      </c>
      <c r="H61" s="8" t="s">
        <v>1007</v>
      </c>
      <c r="I61" s="26"/>
      <c r="J61" s="26" t="n">
        <f aca="false">턴_설계!$B$5</f>
        <v>120</v>
      </c>
    </row>
    <row r="62" customFormat="false" ht="46.5" hidden="false" customHeight="true" outlineLevel="0" collapsed="false">
      <c r="A62" s="26" t="n">
        <v>5</v>
      </c>
      <c r="B62" s="26" t="n">
        <v>10</v>
      </c>
      <c r="C62" s="28" t="s">
        <v>864</v>
      </c>
      <c r="D62" s="8" t="s">
        <v>1048</v>
      </c>
      <c r="E62" s="9" t="s">
        <v>1049</v>
      </c>
      <c r="F62" s="9" t="s">
        <v>1050</v>
      </c>
      <c r="G62" s="9" t="s">
        <v>1051</v>
      </c>
      <c r="H62" s="8" t="s">
        <v>1052</v>
      </c>
      <c r="I62" s="26" t="s">
        <v>758</v>
      </c>
      <c r="J62" s="26" t="n">
        <f aca="false">턴_설계!$B$5</f>
        <v>120</v>
      </c>
    </row>
    <row r="63" customFormat="false" ht="16.5" hidden="false" customHeight="true" outlineLevel="0" collapsed="false">
      <c r="A63" s="26" t="n">
        <v>5</v>
      </c>
      <c r="B63" s="26" t="n">
        <v>11</v>
      </c>
      <c r="C63" s="28" t="s">
        <v>864</v>
      </c>
      <c r="D63" s="8" t="s">
        <v>1053</v>
      </c>
      <c r="E63" s="9" t="s">
        <v>1054</v>
      </c>
      <c r="F63" s="9" t="s">
        <v>1055</v>
      </c>
      <c r="G63" s="9" t="s">
        <v>1056</v>
      </c>
      <c r="H63" s="8" t="s">
        <v>1012</v>
      </c>
      <c r="I63" s="26"/>
      <c r="J63" s="26" t="n">
        <f aca="false">턴_설계!$B$5</f>
        <v>120</v>
      </c>
    </row>
    <row r="64" customFormat="false" ht="31.5" hidden="false" customHeight="true" outlineLevel="0" collapsed="false">
      <c r="A64" s="26" t="n">
        <v>5</v>
      </c>
      <c r="B64" s="26" t="n">
        <v>12</v>
      </c>
      <c r="C64" s="28" t="s">
        <v>875</v>
      </c>
      <c r="D64" s="8" t="s">
        <v>1057</v>
      </c>
      <c r="E64" s="9" t="s">
        <v>1058</v>
      </c>
      <c r="F64" s="8" t="s">
        <v>1059</v>
      </c>
      <c r="G64" s="9" t="s">
        <v>1060</v>
      </c>
      <c r="H64" s="8" t="s">
        <v>1061</v>
      </c>
      <c r="I64" s="26"/>
      <c r="J64" s="26" t="n">
        <f aca="false">턴_설계!$B$5</f>
        <v>120</v>
      </c>
    </row>
    <row r="65" customFormat="false" ht="31.5" hidden="false" customHeight="true" outlineLevel="0" collapsed="false">
      <c r="A65" s="26" t="n">
        <v>6</v>
      </c>
      <c r="B65" s="26" t="n">
        <v>1</v>
      </c>
      <c r="C65" s="28" t="s">
        <v>814</v>
      </c>
      <c r="D65" s="8" t="s">
        <v>1062</v>
      </c>
      <c r="E65" s="9" t="s">
        <v>1063</v>
      </c>
      <c r="F65" s="9" t="s">
        <v>1064</v>
      </c>
      <c r="G65" s="9" t="s">
        <v>1065</v>
      </c>
      <c r="H65" s="8" t="s">
        <v>1066</v>
      </c>
      <c r="I65" s="26" t="s">
        <v>745</v>
      </c>
      <c r="J65" s="26" t="n">
        <f aca="false">턴_설계!$B$5</f>
        <v>120</v>
      </c>
    </row>
    <row r="66" customFormat="false" ht="31.5" hidden="false" customHeight="true" outlineLevel="0" collapsed="false">
      <c r="A66" s="26" t="n">
        <v>6</v>
      </c>
      <c r="B66" s="26" t="n">
        <v>2</v>
      </c>
      <c r="C66" s="28" t="s">
        <v>814</v>
      </c>
      <c r="D66" s="8" t="s">
        <v>1067</v>
      </c>
      <c r="E66" s="9" t="s">
        <v>1068</v>
      </c>
      <c r="F66" s="9" t="s">
        <v>1069</v>
      </c>
      <c r="G66" s="9" t="s">
        <v>1070</v>
      </c>
      <c r="H66" s="8" t="s">
        <v>1071</v>
      </c>
      <c r="I66" s="26"/>
      <c r="J66" s="26" t="n">
        <f aca="false">턴_설계!$B$5</f>
        <v>120</v>
      </c>
    </row>
    <row r="67" customFormat="false" ht="31.5" hidden="false" customHeight="true" outlineLevel="0" collapsed="false">
      <c r="A67" s="26" t="n">
        <v>6</v>
      </c>
      <c r="B67" s="26" t="n">
        <v>3</v>
      </c>
      <c r="C67" s="28" t="s">
        <v>814</v>
      </c>
      <c r="D67" s="8" t="s">
        <v>1072</v>
      </c>
      <c r="E67" s="8" t="s">
        <v>1073</v>
      </c>
      <c r="F67" s="9" t="s">
        <v>1074</v>
      </c>
      <c r="G67" s="9" t="s">
        <v>1075</v>
      </c>
      <c r="H67" s="8" t="s">
        <v>1076</v>
      </c>
      <c r="I67" s="26" t="s">
        <v>745</v>
      </c>
      <c r="J67" s="26" t="n">
        <f aca="false">턴_설계!$B$5</f>
        <v>120</v>
      </c>
    </row>
    <row r="68" customFormat="false" ht="46.5" hidden="false" customHeight="true" outlineLevel="0" collapsed="false">
      <c r="A68" s="26" t="n">
        <v>6</v>
      </c>
      <c r="B68" s="26" t="n">
        <v>4</v>
      </c>
      <c r="C68" s="28" t="s">
        <v>830</v>
      </c>
      <c r="D68" s="8" t="s">
        <v>1077</v>
      </c>
      <c r="E68" s="9" t="s">
        <v>1078</v>
      </c>
      <c r="F68" s="9" t="s">
        <v>1079</v>
      </c>
      <c r="G68" s="9" t="s">
        <v>1080</v>
      </c>
      <c r="H68" s="8" t="s">
        <v>1081</v>
      </c>
      <c r="I68" s="26"/>
      <c r="J68" s="26" t="n">
        <f aca="false">턴_설계!$B$5</f>
        <v>120</v>
      </c>
    </row>
    <row r="69" customFormat="false" ht="31.5" hidden="false" customHeight="true" outlineLevel="0" collapsed="false">
      <c r="A69" s="26" t="n">
        <v>6</v>
      </c>
      <c r="B69" s="26" t="n">
        <v>5</v>
      </c>
      <c r="C69" s="28" t="s">
        <v>830</v>
      </c>
      <c r="D69" s="8" t="s">
        <v>1082</v>
      </c>
      <c r="E69" s="8" t="s">
        <v>1083</v>
      </c>
      <c r="F69" s="8" t="s">
        <v>1084</v>
      </c>
      <c r="G69" s="9" t="s">
        <v>1085</v>
      </c>
      <c r="H69" s="8" t="s">
        <v>1086</v>
      </c>
      <c r="I69" s="26"/>
      <c r="J69" s="26" t="n">
        <f aca="false">턴_설계!$B$5</f>
        <v>120</v>
      </c>
    </row>
    <row r="70" customFormat="false" ht="46.5" hidden="false" customHeight="true" outlineLevel="0" collapsed="false">
      <c r="A70" s="26" t="n">
        <v>6</v>
      </c>
      <c r="B70" s="26" t="n">
        <v>6</v>
      </c>
      <c r="C70" s="28" t="s">
        <v>841</v>
      </c>
      <c r="D70" s="8" t="s">
        <v>1087</v>
      </c>
      <c r="E70" s="9" t="s">
        <v>1088</v>
      </c>
      <c r="F70" s="8" t="s">
        <v>1089</v>
      </c>
      <c r="G70" s="9" t="s">
        <v>1090</v>
      </c>
      <c r="H70" s="8" t="s">
        <v>1091</v>
      </c>
      <c r="I70" s="26" t="s">
        <v>745</v>
      </c>
      <c r="J70" s="26" t="n">
        <f aca="false">턴_설계!$B$5</f>
        <v>120</v>
      </c>
    </row>
    <row r="71" customFormat="false" ht="31.5" hidden="false" customHeight="true" outlineLevel="0" collapsed="false">
      <c r="A71" s="26" t="n">
        <v>6</v>
      </c>
      <c r="B71" s="26" t="n">
        <v>7</v>
      </c>
      <c r="C71" s="28" t="s">
        <v>847</v>
      </c>
      <c r="D71" s="8" t="s">
        <v>1092</v>
      </c>
      <c r="E71" s="9" t="s">
        <v>1093</v>
      </c>
      <c r="F71" s="9" t="s">
        <v>1094</v>
      </c>
      <c r="G71" s="9" t="s">
        <v>1095</v>
      </c>
      <c r="H71" s="8" t="s">
        <v>1071</v>
      </c>
      <c r="I71" s="26"/>
      <c r="J71" s="26" t="n">
        <f aca="false">턴_설계!$B$5</f>
        <v>120</v>
      </c>
    </row>
    <row r="72" customFormat="false" ht="61.5" hidden="false" customHeight="true" outlineLevel="0" collapsed="false">
      <c r="A72" s="26" t="n">
        <v>6</v>
      </c>
      <c r="B72" s="26" t="n">
        <v>8</v>
      </c>
      <c r="C72" s="28" t="s">
        <v>847</v>
      </c>
      <c r="D72" s="8" t="s">
        <v>1096</v>
      </c>
      <c r="E72" s="9" t="s">
        <v>1097</v>
      </c>
      <c r="F72" s="9" t="s">
        <v>1098</v>
      </c>
      <c r="G72" s="9" t="s">
        <v>1099</v>
      </c>
      <c r="H72" s="8" t="s">
        <v>1100</v>
      </c>
      <c r="I72" s="26" t="s">
        <v>228</v>
      </c>
      <c r="J72" s="26" t="n">
        <f aca="false">턴_설계!$B$5</f>
        <v>120</v>
      </c>
    </row>
    <row r="73" customFormat="false" ht="46.5" hidden="false" customHeight="true" outlineLevel="0" collapsed="false">
      <c r="A73" s="26" t="n">
        <v>6</v>
      </c>
      <c r="B73" s="26" t="n">
        <v>9</v>
      </c>
      <c r="C73" s="28" t="s">
        <v>847</v>
      </c>
      <c r="D73" s="8" t="s">
        <v>1101</v>
      </c>
      <c r="E73" s="9" t="s">
        <v>1102</v>
      </c>
      <c r="F73" s="9" t="s">
        <v>1103</v>
      </c>
      <c r="G73" s="9" t="s">
        <v>1104</v>
      </c>
      <c r="H73" s="8" t="s">
        <v>1105</v>
      </c>
      <c r="I73" s="26" t="s">
        <v>1106</v>
      </c>
      <c r="J73" s="26" t="n">
        <f aca="false">턴_설계!$B$5</f>
        <v>120</v>
      </c>
    </row>
    <row r="74" customFormat="false" ht="46.5" hidden="false" customHeight="true" outlineLevel="0" collapsed="false">
      <c r="A74" s="26" t="n">
        <v>6</v>
      </c>
      <c r="B74" s="26" t="n">
        <v>10</v>
      </c>
      <c r="C74" s="28" t="s">
        <v>864</v>
      </c>
      <c r="D74" s="8" t="s">
        <v>1107</v>
      </c>
      <c r="E74" s="9" t="s">
        <v>1108</v>
      </c>
      <c r="F74" s="9" t="s">
        <v>1109</v>
      </c>
      <c r="G74" s="9" t="s">
        <v>1110</v>
      </c>
      <c r="H74" s="8" t="s">
        <v>1111</v>
      </c>
      <c r="I74" s="26" t="s">
        <v>745</v>
      </c>
      <c r="J74" s="26" t="n">
        <f aca="false">턴_설계!$B$5</f>
        <v>120</v>
      </c>
    </row>
    <row r="75" customFormat="false" ht="46.5" hidden="false" customHeight="true" outlineLevel="0" collapsed="false">
      <c r="A75" s="26" t="n">
        <v>6</v>
      </c>
      <c r="B75" s="26" t="n">
        <v>11</v>
      </c>
      <c r="C75" s="28" t="s">
        <v>864</v>
      </c>
      <c r="D75" s="8" t="s">
        <v>1112</v>
      </c>
      <c r="E75" s="9" t="s">
        <v>1113</v>
      </c>
      <c r="F75" s="9" t="s">
        <v>1114</v>
      </c>
      <c r="G75" s="9" t="s">
        <v>1115</v>
      </c>
      <c r="H75" s="9" t="s">
        <v>1116</v>
      </c>
      <c r="I75" s="26" t="s">
        <v>758</v>
      </c>
      <c r="J75" s="26" t="n">
        <f aca="false">턴_설계!$B$5</f>
        <v>120</v>
      </c>
    </row>
    <row r="76" customFormat="false" ht="31.5" hidden="false" customHeight="true" outlineLevel="0" collapsed="false">
      <c r="A76" s="26" t="n">
        <v>6</v>
      </c>
      <c r="B76" s="26" t="n">
        <v>12</v>
      </c>
      <c r="C76" s="28" t="s">
        <v>875</v>
      </c>
      <c r="D76" s="8" t="s">
        <v>1117</v>
      </c>
      <c r="E76" s="9" t="s">
        <v>1118</v>
      </c>
      <c r="F76" s="9" t="s">
        <v>1119</v>
      </c>
      <c r="G76" s="9" t="s">
        <v>1120</v>
      </c>
      <c r="H76" s="9" t="s">
        <v>1116</v>
      </c>
      <c r="I76" s="26"/>
      <c r="J76" s="26" t="n">
        <f aca="false">턴_설계!$B$5</f>
        <v>120</v>
      </c>
    </row>
    <row r="77" customFormat="false" ht="61.5" hidden="false" customHeight="true" outlineLevel="0" collapsed="false">
      <c r="A77" s="26" t="n">
        <v>7</v>
      </c>
      <c r="B77" s="26" t="n">
        <v>1</v>
      </c>
      <c r="C77" s="28" t="s">
        <v>814</v>
      </c>
      <c r="D77" s="8" t="s">
        <v>1121</v>
      </c>
      <c r="E77" s="8" t="s">
        <v>1122</v>
      </c>
      <c r="F77" s="9" t="s">
        <v>1123</v>
      </c>
      <c r="G77" s="9" t="s">
        <v>1124</v>
      </c>
      <c r="H77" s="9" t="s">
        <v>1116</v>
      </c>
      <c r="I77" s="26"/>
      <c r="J77" s="26" t="n">
        <f aca="false">턴_설계!$B$5</f>
        <v>120</v>
      </c>
    </row>
    <row r="78" customFormat="false" ht="31.5" hidden="false" customHeight="true" outlineLevel="0" collapsed="false">
      <c r="A78" s="26" t="n">
        <v>7</v>
      </c>
      <c r="B78" s="26" t="n">
        <v>2</v>
      </c>
      <c r="C78" s="28" t="s">
        <v>814</v>
      </c>
      <c r="D78" s="8" t="s">
        <v>1125</v>
      </c>
      <c r="E78" s="9" t="s">
        <v>1126</v>
      </c>
      <c r="F78" s="9" t="s">
        <v>1127</v>
      </c>
      <c r="G78" s="9" t="s">
        <v>1128</v>
      </c>
      <c r="H78" s="8" t="s">
        <v>1129</v>
      </c>
      <c r="I78" s="26" t="s">
        <v>1130</v>
      </c>
      <c r="J78" s="26" t="n">
        <f aca="false">턴_설계!$B$5</f>
        <v>120</v>
      </c>
    </row>
    <row r="79" customFormat="false" ht="76.5" hidden="false" customHeight="true" outlineLevel="0" collapsed="false">
      <c r="A79" s="26" t="n">
        <v>7</v>
      </c>
      <c r="B79" s="26" t="n">
        <v>3</v>
      </c>
      <c r="C79" s="28" t="s">
        <v>814</v>
      </c>
      <c r="D79" s="8" t="s">
        <v>1131</v>
      </c>
      <c r="E79" s="9" t="s">
        <v>1132</v>
      </c>
      <c r="F79" s="9" t="s">
        <v>1133</v>
      </c>
      <c r="G79" s="9" t="s">
        <v>1134</v>
      </c>
      <c r="H79" s="8" t="s">
        <v>1135</v>
      </c>
      <c r="I79" s="26" t="s">
        <v>1136</v>
      </c>
      <c r="J79" s="26" t="n">
        <f aca="false">턴_설계!$B$5</f>
        <v>120</v>
      </c>
    </row>
    <row r="80" customFormat="false" ht="46.5" hidden="false" customHeight="true" outlineLevel="0" collapsed="false">
      <c r="A80" s="26" t="n">
        <v>7</v>
      </c>
      <c r="B80" s="26" t="n">
        <v>4</v>
      </c>
      <c r="C80" s="28" t="s">
        <v>830</v>
      </c>
      <c r="D80" s="8" t="s">
        <v>1137</v>
      </c>
      <c r="E80" s="9" t="s">
        <v>1138</v>
      </c>
      <c r="F80" s="8" t="s">
        <v>1139</v>
      </c>
      <c r="G80" s="9" t="s">
        <v>1140</v>
      </c>
      <c r="H80" s="8" t="s">
        <v>1141</v>
      </c>
      <c r="I80" s="26" t="s">
        <v>782</v>
      </c>
      <c r="J80" s="26" t="n">
        <f aca="false">턴_설계!$B$5</f>
        <v>120</v>
      </c>
    </row>
    <row r="81" customFormat="false" ht="46.5" hidden="false" customHeight="true" outlineLevel="0" collapsed="false">
      <c r="A81" s="26" t="n">
        <v>7</v>
      </c>
      <c r="B81" s="26" t="n">
        <v>5</v>
      </c>
      <c r="C81" s="28" t="s">
        <v>830</v>
      </c>
      <c r="D81" s="8" t="s">
        <v>1142</v>
      </c>
      <c r="E81" s="8" t="s">
        <v>1143</v>
      </c>
      <c r="F81" s="9" t="s">
        <v>1144</v>
      </c>
      <c r="G81" s="9" t="s">
        <v>1145</v>
      </c>
      <c r="H81" s="8" t="s">
        <v>1146</v>
      </c>
      <c r="I81" s="26" t="s">
        <v>919</v>
      </c>
      <c r="J81" s="26" t="n">
        <f aca="false">턴_설계!$B$5</f>
        <v>120</v>
      </c>
    </row>
    <row r="82" customFormat="false" ht="46.5" hidden="false" customHeight="true" outlineLevel="0" collapsed="false">
      <c r="A82" s="26" t="n">
        <v>7</v>
      </c>
      <c r="B82" s="26" t="n">
        <v>6</v>
      </c>
      <c r="C82" s="28" t="s">
        <v>841</v>
      </c>
      <c r="D82" s="8" t="s">
        <v>1147</v>
      </c>
      <c r="E82" s="9" t="s">
        <v>1148</v>
      </c>
      <c r="F82" s="8" t="s">
        <v>1149</v>
      </c>
      <c r="G82" s="9" t="s">
        <v>1150</v>
      </c>
      <c r="H82" s="8" t="s">
        <v>1151</v>
      </c>
      <c r="I82" s="26" t="s">
        <v>919</v>
      </c>
      <c r="J82" s="26" t="n">
        <f aca="false">턴_설계!$B$5</f>
        <v>120</v>
      </c>
    </row>
    <row r="83" customFormat="false" ht="31.5" hidden="false" customHeight="true" outlineLevel="0" collapsed="false">
      <c r="A83" s="26" t="n">
        <v>7</v>
      </c>
      <c r="B83" s="26" t="n">
        <v>7</v>
      </c>
      <c r="C83" s="28" t="s">
        <v>847</v>
      </c>
      <c r="D83" s="8" t="s">
        <v>1152</v>
      </c>
      <c r="E83" s="9" t="s">
        <v>1153</v>
      </c>
      <c r="F83" s="9" t="s">
        <v>1154</v>
      </c>
      <c r="G83" s="9" t="s">
        <v>1155</v>
      </c>
      <c r="H83" s="8" t="s">
        <v>1156</v>
      </c>
      <c r="I83" s="26" t="s">
        <v>919</v>
      </c>
      <c r="J83" s="26" t="n">
        <f aca="false">턴_설계!$B$5</f>
        <v>120</v>
      </c>
    </row>
    <row r="84" customFormat="false" ht="31.5" hidden="false" customHeight="true" outlineLevel="0" collapsed="false">
      <c r="A84" s="26" t="n">
        <v>7</v>
      </c>
      <c r="B84" s="26" t="n">
        <v>8</v>
      </c>
      <c r="C84" s="28" t="s">
        <v>847</v>
      </c>
      <c r="D84" s="8" t="s">
        <v>1157</v>
      </c>
      <c r="E84" s="9" t="s">
        <v>1158</v>
      </c>
      <c r="F84" s="8" t="s">
        <v>1159</v>
      </c>
      <c r="G84" s="9" t="s">
        <v>1160</v>
      </c>
      <c r="H84" s="8" t="s">
        <v>1161</v>
      </c>
      <c r="I84" s="26" t="s">
        <v>919</v>
      </c>
      <c r="J84" s="26" t="n">
        <f aca="false">턴_설계!$B$5</f>
        <v>120</v>
      </c>
    </row>
    <row r="85" customFormat="false" ht="31.5" hidden="false" customHeight="true" outlineLevel="0" collapsed="false">
      <c r="A85" s="26" t="n">
        <v>7</v>
      </c>
      <c r="B85" s="26" t="n">
        <v>9</v>
      </c>
      <c r="C85" s="28" t="s">
        <v>847</v>
      </c>
      <c r="D85" s="8" t="s">
        <v>1162</v>
      </c>
      <c r="E85" s="9" t="s">
        <v>1163</v>
      </c>
      <c r="F85" s="9" t="s">
        <v>1164</v>
      </c>
      <c r="G85" s="9" t="s">
        <v>1165</v>
      </c>
      <c r="H85" s="8" t="s">
        <v>1166</v>
      </c>
      <c r="I85" s="26"/>
      <c r="J85" s="26" t="n">
        <f aca="false">턴_설계!$B$5</f>
        <v>120</v>
      </c>
    </row>
    <row r="86" customFormat="false" ht="31.5" hidden="false" customHeight="true" outlineLevel="0" collapsed="false">
      <c r="A86" s="26" t="n">
        <v>7</v>
      </c>
      <c r="B86" s="26" t="n">
        <v>10</v>
      </c>
      <c r="C86" s="28" t="s">
        <v>864</v>
      </c>
      <c r="D86" s="8" t="s">
        <v>1167</v>
      </c>
      <c r="E86" s="9" t="s">
        <v>1168</v>
      </c>
      <c r="F86" s="9" t="s">
        <v>1169</v>
      </c>
      <c r="G86" s="9" t="s">
        <v>1170</v>
      </c>
      <c r="H86" s="8" t="s">
        <v>1171</v>
      </c>
      <c r="I86" s="26" t="s">
        <v>919</v>
      </c>
      <c r="J86" s="26" t="n">
        <f aca="false">턴_설계!$B$5</f>
        <v>120</v>
      </c>
    </row>
    <row r="87" customFormat="false" ht="46.5" hidden="false" customHeight="true" outlineLevel="0" collapsed="false">
      <c r="A87" s="26" t="n">
        <v>7</v>
      </c>
      <c r="B87" s="26" t="n">
        <v>11</v>
      </c>
      <c r="C87" s="28" t="s">
        <v>864</v>
      </c>
      <c r="D87" s="8" t="s">
        <v>1172</v>
      </c>
      <c r="E87" s="9" t="s">
        <v>1173</v>
      </c>
      <c r="F87" s="8" t="s">
        <v>1174</v>
      </c>
      <c r="G87" s="9" t="s">
        <v>1175</v>
      </c>
      <c r="H87" s="8" t="s">
        <v>1176</v>
      </c>
      <c r="I87" s="26" t="s">
        <v>1177</v>
      </c>
      <c r="J87" s="26" t="n">
        <f aca="false">턴_설계!$B$5</f>
        <v>120</v>
      </c>
    </row>
    <row r="88" customFormat="false" ht="31.5" hidden="false" customHeight="true" outlineLevel="0" collapsed="false">
      <c r="A88" s="26" t="n">
        <v>7</v>
      </c>
      <c r="B88" s="26" t="n">
        <v>12</v>
      </c>
      <c r="C88" s="28" t="s">
        <v>875</v>
      </c>
      <c r="D88" s="8" t="s">
        <v>1178</v>
      </c>
      <c r="E88" s="9" t="s">
        <v>1179</v>
      </c>
      <c r="F88" s="8" t="s">
        <v>1180</v>
      </c>
      <c r="G88" s="9" t="s">
        <v>1181</v>
      </c>
      <c r="H88" s="9" t="s">
        <v>1116</v>
      </c>
      <c r="I88" s="26" t="s">
        <v>1182</v>
      </c>
      <c r="J88" s="26" t="n">
        <f aca="false">턴_설계!$B$5</f>
        <v>120</v>
      </c>
    </row>
    <row r="89" customFormat="false" ht="46.5" hidden="false" customHeight="true" outlineLevel="0" collapsed="false">
      <c r="A89" s="26" t="n">
        <v>8</v>
      </c>
      <c r="B89" s="26" t="n">
        <v>1</v>
      </c>
      <c r="C89" s="28" t="s">
        <v>814</v>
      </c>
      <c r="D89" s="8" t="s">
        <v>1183</v>
      </c>
      <c r="E89" s="9" t="s">
        <v>1184</v>
      </c>
      <c r="F89" s="9" t="s">
        <v>1185</v>
      </c>
      <c r="G89" s="9" t="s">
        <v>1186</v>
      </c>
      <c r="H89" s="8" t="s">
        <v>1187</v>
      </c>
      <c r="I89" s="26" t="s">
        <v>228</v>
      </c>
      <c r="J89" s="26" t="n">
        <f aca="false">턴_설계!$B$5</f>
        <v>120</v>
      </c>
    </row>
    <row r="90" customFormat="false" ht="46.5" hidden="false" customHeight="true" outlineLevel="0" collapsed="false">
      <c r="A90" s="26" t="n">
        <v>8</v>
      </c>
      <c r="B90" s="26" t="n">
        <v>2</v>
      </c>
      <c r="C90" s="28" t="s">
        <v>814</v>
      </c>
      <c r="D90" s="8" t="s">
        <v>1188</v>
      </c>
      <c r="E90" s="9" t="s">
        <v>1189</v>
      </c>
      <c r="F90" s="8" t="s">
        <v>1190</v>
      </c>
      <c r="G90" s="9" t="s">
        <v>1191</v>
      </c>
      <c r="H90" s="8" t="s">
        <v>1192</v>
      </c>
      <c r="I90" s="26"/>
      <c r="J90" s="26" t="n">
        <f aca="false">턴_설계!$B$5</f>
        <v>120</v>
      </c>
    </row>
    <row r="91" customFormat="false" ht="31.5" hidden="false" customHeight="true" outlineLevel="0" collapsed="false">
      <c r="A91" s="26" t="n">
        <v>8</v>
      </c>
      <c r="B91" s="26" t="n">
        <v>3</v>
      </c>
      <c r="C91" s="28" t="s">
        <v>814</v>
      </c>
      <c r="D91" s="8" t="s">
        <v>1193</v>
      </c>
      <c r="E91" s="8" t="s">
        <v>1194</v>
      </c>
      <c r="F91" s="9" t="s">
        <v>1195</v>
      </c>
      <c r="G91" s="9" t="s">
        <v>1196</v>
      </c>
      <c r="H91" s="8" t="s">
        <v>1197</v>
      </c>
      <c r="I91" s="26" t="s">
        <v>1198</v>
      </c>
      <c r="J91" s="26" t="n">
        <f aca="false">턴_설계!$B$5</f>
        <v>120</v>
      </c>
    </row>
    <row r="92" customFormat="false" ht="31.5" hidden="false" customHeight="true" outlineLevel="0" collapsed="false">
      <c r="A92" s="26" t="n">
        <v>8</v>
      </c>
      <c r="B92" s="26" t="n">
        <v>4</v>
      </c>
      <c r="C92" s="28" t="s">
        <v>1199</v>
      </c>
      <c r="D92" s="8" t="s">
        <v>1200</v>
      </c>
      <c r="E92" s="9" t="s">
        <v>1201</v>
      </c>
      <c r="F92" s="9" t="s">
        <v>1202</v>
      </c>
      <c r="G92" s="9" t="s">
        <v>1203</v>
      </c>
      <c r="H92" s="8" t="s">
        <v>1204</v>
      </c>
      <c r="I92" s="26"/>
      <c r="J92" s="26" t="n">
        <f aca="false">턴_설계!$B$5</f>
        <v>120</v>
      </c>
    </row>
    <row r="93" customFormat="false" ht="46.5" hidden="false" customHeight="true" outlineLevel="0" collapsed="false">
      <c r="A93" s="26" t="n">
        <v>8</v>
      </c>
      <c r="B93" s="26" t="n">
        <v>5</v>
      </c>
      <c r="C93" s="28" t="s">
        <v>841</v>
      </c>
      <c r="D93" s="8" t="s">
        <v>1205</v>
      </c>
      <c r="E93" s="9" t="s">
        <v>1206</v>
      </c>
      <c r="F93" s="9" t="s">
        <v>1207</v>
      </c>
      <c r="G93" s="9" t="s">
        <v>1208</v>
      </c>
      <c r="H93" s="8" t="s">
        <v>1209</v>
      </c>
      <c r="I93" s="26"/>
      <c r="J93" s="26" t="n">
        <f aca="false">턴_설계!$B$5</f>
        <v>120</v>
      </c>
    </row>
    <row r="94" customFormat="false" ht="46.5" hidden="false" customHeight="true" outlineLevel="0" collapsed="false">
      <c r="A94" s="26" t="n">
        <v>8</v>
      </c>
      <c r="B94" s="26" t="n">
        <v>6</v>
      </c>
      <c r="C94" s="28" t="s">
        <v>847</v>
      </c>
      <c r="D94" s="8" t="s">
        <v>1210</v>
      </c>
      <c r="E94" s="9" t="s">
        <v>1211</v>
      </c>
      <c r="F94" s="9" t="s">
        <v>1212</v>
      </c>
      <c r="G94" s="9" t="s">
        <v>1213</v>
      </c>
      <c r="H94" s="8" t="s">
        <v>1214</v>
      </c>
      <c r="I94" s="26" t="s">
        <v>1182</v>
      </c>
      <c r="J94" s="26" t="n">
        <f aca="false">턴_설계!$B$5</f>
        <v>120</v>
      </c>
    </row>
    <row r="95" customFormat="false" ht="46.5" hidden="false" customHeight="true" outlineLevel="0" collapsed="false">
      <c r="A95" s="26" t="n">
        <v>8</v>
      </c>
      <c r="B95" s="26" t="n">
        <v>7</v>
      </c>
      <c r="C95" s="28" t="s">
        <v>847</v>
      </c>
      <c r="D95" s="8" t="s">
        <v>1215</v>
      </c>
      <c r="E95" s="9" t="s">
        <v>1216</v>
      </c>
      <c r="F95" s="9" t="s">
        <v>1217</v>
      </c>
      <c r="G95" s="9" t="s">
        <v>1218</v>
      </c>
      <c r="H95" s="8" t="s">
        <v>963</v>
      </c>
      <c r="I95" s="26"/>
      <c r="J95" s="26" t="n">
        <f aca="false">턴_설계!$B$5</f>
        <v>120</v>
      </c>
    </row>
    <row r="96" customFormat="false" ht="31.5" hidden="false" customHeight="true" outlineLevel="0" collapsed="false">
      <c r="A96" s="26" t="n">
        <v>8</v>
      </c>
      <c r="B96" s="26" t="n">
        <v>8</v>
      </c>
      <c r="C96" s="28" t="s">
        <v>847</v>
      </c>
      <c r="D96" s="8" t="s">
        <v>1219</v>
      </c>
      <c r="E96" s="9" t="s">
        <v>1220</v>
      </c>
      <c r="F96" s="8" t="s">
        <v>1221</v>
      </c>
      <c r="G96" s="9" t="s">
        <v>1222</v>
      </c>
      <c r="H96" s="8" t="s">
        <v>1223</v>
      </c>
      <c r="I96" s="26" t="s">
        <v>1224</v>
      </c>
      <c r="J96" s="26" t="n">
        <f aca="false">턴_설계!$B$5</f>
        <v>120</v>
      </c>
    </row>
    <row r="97" customFormat="false" ht="31.5" hidden="false" customHeight="true" outlineLevel="0" collapsed="false">
      <c r="A97" s="26" t="n">
        <v>8</v>
      </c>
      <c r="B97" s="26" t="n">
        <v>9</v>
      </c>
      <c r="C97" s="28" t="s">
        <v>847</v>
      </c>
      <c r="D97" s="8" t="s">
        <v>1225</v>
      </c>
      <c r="E97" s="9" t="s">
        <v>1226</v>
      </c>
      <c r="F97" s="8" t="s">
        <v>1227</v>
      </c>
      <c r="G97" s="9" t="s">
        <v>1228</v>
      </c>
      <c r="H97" s="8" t="s">
        <v>1229</v>
      </c>
      <c r="I97" s="26" t="s">
        <v>1230</v>
      </c>
      <c r="J97" s="26" t="n">
        <f aca="false">턴_설계!$B$5</f>
        <v>120</v>
      </c>
    </row>
    <row r="98" customFormat="false" ht="31.5" hidden="false" customHeight="true" outlineLevel="0" collapsed="false">
      <c r="A98" s="26" t="n">
        <v>8</v>
      </c>
      <c r="B98" s="26" t="n">
        <v>10</v>
      </c>
      <c r="C98" s="28" t="s">
        <v>864</v>
      </c>
      <c r="D98" s="8" t="s">
        <v>1231</v>
      </c>
      <c r="E98" s="9" t="s">
        <v>1232</v>
      </c>
      <c r="F98" s="9" t="s">
        <v>1233</v>
      </c>
      <c r="G98" s="9" t="s">
        <v>1234</v>
      </c>
      <c r="H98" s="8" t="s">
        <v>1235</v>
      </c>
      <c r="I98" s="26"/>
      <c r="J98" s="26" t="n">
        <f aca="false">턴_설계!$B$5</f>
        <v>120</v>
      </c>
    </row>
    <row r="99" customFormat="false" ht="31.5" hidden="false" customHeight="true" outlineLevel="0" collapsed="false">
      <c r="A99" s="26" t="n">
        <v>8</v>
      </c>
      <c r="B99" s="26" t="n">
        <v>11</v>
      </c>
      <c r="C99" s="28" t="s">
        <v>864</v>
      </c>
      <c r="D99" s="8" t="s">
        <v>1236</v>
      </c>
      <c r="E99" s="9" t="s">
        <v>1237</v>
      </c>
      <c r="F99" s="9" t="s">
        <v>1238</v>
      </c>
      <c r="G99" s="9" t="s">
        <v>1239</v>
      </c>
      <c r="H99" s="8" t="s">
        <v>1240</v>
      </c>
      <c r="I99" s="26"/>
      <c r="J99" s="26" t="n">
        <f aca="false">턴_설계!$B$5</f>
        <v>120</v>
      </c>
    </row>
    <row r="100" customFormat="false" ht="31.5" hidden="false" customHeight="true" outlineLevel="0" collapsed="false">
      <c r="A100" s="26" t="n">
        <v>8</v>
      </c>
      <c r="B100" s="26" t="n">
        <v>12</v>
      </c>
      <c r="C100" s="28" t="s">
        <v>875</v>
      </c>
      <c r="D100" s="8" t="s">
        <v>1241</v>
      </c>
      <c r="E100" s="9" t="s">
        <v>1242</v>
      </c>
      <c r="F100" s="9" t="s">
        <v>1243</v>
      </c>
      <c r="G100" s="29" t="s">
        <v>1244</v>
      </c>
      <c r="H100" s="9" t="s">
        <v>1116</v>
      </c>
      <c r="I100" s="26"/>
      <c r="J100" s="26" t="n">
        <f aca="false">턴_설계!$B$5</f>
        <v>120</v>
      </c>
    </row>
    <row r="101" customFormat="false" ht="46.5" hidden="false" customHeight="true" outlineLevel="0" collapsed="false">
      <c r="A101" s="26" t="n">
        <v>9</v>
      </c>
      <c r="B101" s="26" t="n">
        <v>1</v>
      </c>
      <c r="C101" s="28" t="s">
        <v>814</v>
      </c>
      <c r="D101" s="8" t="s">
        <v>1245</v>
      </c>
      <c r="E101" s="9" t="s">
        <v>1246</v>
      </c>
      <c r="F101" s="9" t="s">
        <v>1247</v>
      </c>
      <c r="G101" s="9" t="s">
        <v>1248</v>
      </c>
      <c r="H101" s="8" t="s">
        <v>1249</v>
      </c>
      <c r="I101" s="26"/>
      <c r="J101" s="26" t="n">
        <f aca="false">턴_설계!$B$5</f>
        <v>120</v>
      </c>
    </row>
    <row r="102" customFormat="false" ht="31.5" hidden="false" customHeight="true" outlineLevel="0" collapsed="false">
      <c r="A102" s="26" t="n">
        <v>9</v>
      </c>
      <c r="B102" s="26" t="n">
        <v>2</v>
      </c>
      <c r="C102" s="28" t="s">
        <v>814</v>
      </c>
      <c r="D102" s="8" t="s">
        <v>1250</v>
      </c>
      <c r="E102" s="9" t="s">
        <v>1251</v>
      </c>
      <c r="F102" s="9" t="s">
        <v>1252</v>
      </c>
      <c r="G102" s="8" t="s">
        <v>1253</v>
      </c>
      <c r="H102" s="8" t="s">
        <v>1254</v>
      </c>
      <c r="I102" s="26"/>
      <c r="J102" s="26" t="n">
        <f aca="false">턴_설계!$B$5</f>
        <v>120</v>
      </c>
    </row>
    <row r="103" customFormat="false" ht="31.5" hidden="false" customHeight="true" outlineLevel="0" collapsed="false">
      <c r="A103" s="26" t="n">
        <v>9</v>
      </c>
      <c r="B103" s="26" t="n">
        <v>3</v>
      </c>
      <c r="C103" s="28" t="s">
        <v>814</v>
      </c>
      <c r="D103" s="8" t="s">
        <v>1255</v>
      </c>
      <c r="E103" s="9" t="s">
        <v>1256</v>
      </c>
      <c r="F103" s="8" t="s">
        <v>1257</v>
      </c>
      <c r="G103" s="9" t="s">
        <v>1258</v>
      </c>
      <c r="H103" s="8" t="s">
        <v>963</v>
      </c>
      <c r="I103" s="26"/>
      <c r="J103" s="26" t="n">
        <f aca="false">턴_설계!$B$5</f>
        <v>120</v>
      </c>
    </row>
    <row r="104" customFormat="false" ht="46.5" hidden="false" customHeight="true" outlineLevel="0" collapsed="false">
      <c r="A104" s="26" t="n">
        <v>9</v>
      </c>
      <c r="B104" s="26" t="n">
        <v>4</v>
      </c>
      <c r="C104" s="28" t="s">
        <v>830</v>
      </c>
      <c r="D104" s="8" t="s">
        <v>1259</v>
      </c>
      <c r="E104" s="9" t="s">
        <v>1260</v>
      </c>
      <c r="F104" s="9" t="s">
        <v>1261</v>
      </c>
      <c r="G104" s="9" t="s">
        <v>1262</v>
      </c>
      <c r="H104" s="8" t="s">
        <v>1263</v>
      </c>
      <c r="I104" s="26" t="s">
        <v>1264</v>
      </c>
      <c r="J104" s="26" t="n">
        <f aca="false">턴_설계!$B$5</f>
        <v>120</v>
      </c>
    </row>
    <row r="105" customFormat="false" ht="31.5" hidden="false" customHeight="true" outlineLevel="0" collapsed="false">
      <c r="A105" s="26" t="n">
        <v>9</v>
      </c>
      <c r="B105" s="26" t="n">
        <v>5</v>
      </c>
      <c r="C105" s="28" t="s">
        <v>830</v>
      </c>
      <c r="D105" s="8" t="s">
        <v>1265</v>
      </c>
      <c r="E105" s="9" t="s">
        <v>1266</v>
      </c>
      <c r="F105" s="9" t="s">
        <v>1267</v>
      </c>
      <c r="G105" s="9" t="s">
        <v>1268</v>
      </c>
      <c r="H105" s="8" t="s">
        <v>1052</v>
      </c>
      <c r="I105" s="26" t="s">
        <v>1182</v>
      </c>
      <c r="J105" s="26" t="n">
        <f aca="false">턴_설계!$B$5</f>
        <v>120</v>
      </c>
    </row>
    <row r="106" customFormat="false" ht="61.5" hidden="false" customHeight="true" outlineLevel="0" collapsed="false">
      <c r="A106" s="26" t="n">
        <v>9</v>
      </c>
      <c r="B106" s="26" t="n">
        <v>6</v>
      </c>
      <c r="C106" s="28" t="s">
        <v>841</v>
      </c>
      <c r="D106" s="8" t="s">
        <v>1269</v>
      </c>
      <c r="E106" s="9" t="s">
        <v>1270</v>
      </c>
      <c r="F106" s="9" t="s">
        <v>1271</v>
      </c>
      <c r="G106" s="9" t="s">
        <v>1272</v>
      </c>
      <c r="H106" s="8" t="s">
        <v>1273</v>
      </c>
      <c r="I106" s="26" t="s">
        <v>745</v>
      </c>
      <c r="J106" s="26" t="n">
        <f aca="false">턴_설계!$B$5</f>
        <v>120</v>
      </c>
    </row>
    <row r="107" customFormat="false" ht="46.5" hidden="false" customHeight="true" outlineLevel="0" collapsed="false">
      <c r="A107" s="26" t="n">
        <v>9</v>
      </c>
      <c r="B107" s="26" t="n">
        <v>7</v>
      </c>
      <c r="C107" s="28" t="s">
        <v>847</v>
      </c>
      <c r="D107" s="8" t="s">
        <v>1274</v>
      </c>
      <c r="E107" s="9" t="s">
        <v>1275</v>
      </c>
      <c r="F107" s="9" t="s">
        <v>1276</v>
      </c>
      <c r="G107" s="9" t="s">
        <v>1277</v>
      </c>
      <c r="H107" s="8" t="s">
        <v>1278</v>
      </c>
      <c r="I107" s="26" t="s">
        <v>902</v>
      </c>
      <c r="J107" s="26" t="n">
        <f aca="false">턴_설계!$B$5</f>
        <v>120</v>
      </c>
    </row>
    <row r="108" customFormat="false" ht="31.5" hidden="false" customHeight="true" outlineLevel="0" collapsed="false">
      <c r="A108" s="26" t="n">
        <v>9</v>
      </c>
      <c r="B108" s="26" t="n">
        <v>8</v>
      </c>
      <c r="C108" s="28" t="s">
        <v>847</v>
      </c>
      <c r="D108" s="8" t="s">
        <v>1279</v>
      </c>
      <c r="E108" s="9" t="s">
        <v>1280</v>
      </c>
      <c r="F108" s="9" t="s">
        <v>1281</v>
      </c>
      <c r="G108" s="9" t="s">
        <v>1282</v>
      </c>
      <c r="H108" s="8" t="s">
        <v>1283</v>
      </c>
      <c r="I108" s="26"/>
      <c r="J108" s="26" t="n">
        <f aca="false">턴_설계!$B$5</f>
        <v>120</v>
      </c>
    </row>
    <row r="109" customFormat="false" ht="31.5" hidden="false" customHeight="true" outlineLevel="0" collapsed="false">
      <c r="A109" s="26" t="n">
        <v>9</v>
      </c>
      <c r="B109" s="26" t="n">
        <v>9</v>
      </c>
      <c r="C109" s="28" t="s">
        <v>847</v>
      </c>
      <c r="D109" s="8" t="s">
        <v>1284</v>
      </c>
      <c r="E109" s="9" t="s">
        <v>1285</v>
      </c>
      <c r="F109" s="9" t="s">
        <v>1286</v>
      </c>
      <c r="G109" s="9" t="s">
        <v>1287</v>
      </c>
      <c r="H109" s="8" t="s">
        <v>1204</v>
      </c>
      <c r="I109" s="26" t="s">
        <v>919</v>
      </c>
      <c r="J109" s="26" t="n">
        <f aca="false">턴_설계!$B$5</f>
        <v>120</v>
      </c>
    </row>
    <row r="110" customFormat="false" ht="31.5" hidden="false" customHeight="true" outlineLevel="0" collapsed="false">
      <c r="A110" s="26" t="n">
        <v>9</v>
      </c>
      <c r="B110" s="26" t="n">
        <v>10</v>
      </c>
      <c r="C110" s="28" t="s">
        <v>864</v>
      </c>
      <c r="D110" s="8" t="s">
        <v>1288</v>
      </c>
      <c r="E110" s="9" t="s">
        <v>1289</v>
      </c>
      <c r="F110" s="9" t="s">
        <v>1290</v>
      </c>
      <c r="G110" s="9" t="s">
        <v>1291</v>
      </c>
      <c r="H110" s="8" t="s">
        <v>1292</v>
      </c>
      <c r="I110" s="26"/>
      <c r="J110" s="26" t="n">
        <f aca="false">턴_설계!$B$5</f>
        <v>120</v>
      </c>
    </row>
    <row r="111" customFormat="false" ht="16.5" hidden="false" customHeight="true" outlineLevel="0" collapsed="false">
      <c r="A111" s="26" t="n">
        <v>9</v>
      </c>
      <c r="B111" s="26" t="n">
        <v>11</v>
      </c>
      <c r="C111" s="28" t="s">
        <v>864</v>
      </c>
      <c r="D111" s="8" t="s">
        <v>1293</v>
      </c>
      <c r="E111" s="9" t="s">
        <v>1294</v>
      </c>
      <c r="F111" s="9" t="s">
        <v>1295</v>
      </c>
      <c r="G111" s="9" t="s">
        <v>1296</v>
      </c>
      <c r="H111" s="8" t="s">
        <v>1297</v>
      </c>
      <c r="I111" s="26"/>
      <c r="J111" s="26" t="n">
        <f aca="false">턴_설계!$B$5</f>
        <v>120</v>
      </c>
    </row>
    <row r="112" customFormat="false" ht="46.5" hidden="false" customHeight="true" outlineLevel="0" collapsed="false">
      <c r="A112" s="26" t="n">
        <v>9</v>
      </c>
      <c r="B112" s="26" t="n">
        <v>12</v>
      </c>
      <c r="C112" s="28" t="s">
        <v>875</v>
      </c>
      <c r="D112" s="8" t="s">
        <v>1298</v>
      </c>
      <c r="E112" s="9" t="s">
        <v>1299</v>
      </c>
      <c r="F112" s="9" t="s">
        <v>1300</v>
      </c>
      <c r="G112" s="9" t="s">
        <v>1301</v>
      </c>
      <c r="H112" s="8" t="s">
        <v>1302</v>
      </c>
      <c r="I112" s="26"/>
      <c r="J112" s="26" t="n">
        <f aca="false">턴_설계!$B$5</f>
        <v>120</v>
      </c>
    </row>
    <row r="113" customFormat="false" ht="46.5" hidden="false" customHeight="true" outlineLevel="0" collapsed="false">
      <c r="A113" s="26" t="n">
        <v>10</v>
      </c>
      <c r="B113" s="26" t="n">
        <v>1</v>
      </c>
      <c r="C113" s="28" t="s">
        <v>814</v>
      </c>
      <c r="D113" s="8" t="s">
        <v>1303</v>
      </c>
      <c r="E113" s="9" t="s">
        <v>1304</v>
      </c>
      <c r="F113" s="9" t="s">
        <v>1305</v>
      </c>
      <c r="G113" s="9" t="s">
        <v>1306</v>
      </c>
      <c r="H113" s="8" t="s">
        <v>1307</v>
      </c>
      <c r="I113" s="26"/>
      <c r="J113" s="26" t="n">
        <f aca="false">턴_설계!$B$5</f>
        <v>120</v>
      </c>
    </row>
    <row r="114" customFormat="false" ht="46.5" hidden="false" customHeight="true" outlineLevel="0" collapsed="false">
      <c r="A114" s="26" t="n">
        <v>10</v>
      </c>
      <c r="B114" s="26" t="n">
        <v>2</v>
      </c>
      <c r="C114" s="28" t="s">
        <v>814</v>
      </c>
      <c r="D114" s="8" t="s">
        <v>1308</v>
      </c>
      <c r="E114" s="9" t="s">
        <v>1309</v>
      </c>
      <c r="F114" s="9" t="s">
        <v>1310</v>
      </c>
      <c r="G114" s="9" t="s">
        <v>1311</v>
      </c>
      <c r="H114" s="8" t="s">
        <v>1312</v>
      </c>
      <c r="I114" s="26" t="s">
        <v>1313</v>
      </c>
      <c r="J114" s="26" t="n">
        <f aca="false">턴_설계!$B$5</f>
        <v>120</v>
      </c>
    </row>
    <row r="115" customFormat="false" ht="31.5" hidden="false" customHeight="true" outlineLevel="0" collapsed="false">
      <c r="A115" s="26" t="n">
        <v>10</v>
      </c>
      <c r="B115" s="26" t="n">
        <v>3</v>
      </c>
      <c r="C115" s="28" t="s">
        <v>814</v>
      </c>
      <c r="D115" s="8" t="s">
        <v>1314</v>
      </c>
      <c r="E115" s="9" t="s">
        <v>1315</v>
      </c>
      <c r="F115" s="8" t="s">
        <v>1316</v>
      </c>
      <c r="G115" s="9" t="s">
        <v>1317</v>
      </c>
      <c r="H115" s="8" t="s">
        <v>1318</v>
      </c>
      <c r="I115" s="26" t="s">
        <v>1319</v>
      </c>
      <c r="J115" s="26" t="n">
        <f aca="false">턴_설계!$B$5</f>
        <v>120</v>
      </c>
    </row>
    <row r="116" customFormat="false" ht="31.5" hidden="false" customHeight="true" outlineLevel="0" collapsed="false">
      <c r="A116" s="26" t="n">
        <v>10</v>
      </c>
      <c r="B116" s="26" t="n">
        <v>4</v>
      </c>
      <c r="C116" s="28" t="s">
        <v>1199</v>
      </c>
      <c r="D116" s="8" t="s">
        <v>1320</v>
      </c>
      <c r="E116" s="29" t="s">
        <v>1321</v>
      </c>
      <c r="F116" s="8" t="s">
        <v>1322</v>
      </c>
      <c r="G116" s="8" t="s">
        <v>1323</v>
      </c>
      <c r="H116" s="9" t="s">
        <v>1116</v>
      </c>
      <c r="I116" s="26"/>
      <c r="J116" s="26" t="n">
        <f aca="false">턴_설계!$B$5</f>
        <v>120</v>
      </c>
    </row>
    <row r="117" customFormat="false" ht="31.5" hidden="false" customHeight="true" outlineLevel="0" collapsed="false">
      <c r="A117" s="26" t="n">
        <v>10</v>
      </c>
      <c r="B117" s="26" t="n">
        <v>5</v>
      </c>
      <c r="C117" s="28" t="s">
        <v>830</v>
      </c>
      <c r="D117" s="8" t="s">
        <v>1324</v>
      </c>
      <c r="E117" s="9" t="s">
        <v>1325</v>
      </c>
      <c r="F117" s="9" t="s">
        <v>1326</v>
      </c>
      <c r="G117" s="9" t="s">
        <v>1327</v>
      </c>
      <c r="H117" s="8" t="s">
        <v>1328</v>
      </c>
      <c r="I117" s="26" t="s">
        <v>1182</v>
      </c>
      <c r="J117" s="26" t="n">
        <f aca="false">턴_설계!$B$5</f>
        <v>120</v>
      </c>
    </row>
    <row r="118" customFormat="false" ht="31.5" hidden="false" customHeight="true" outlineLevel="0" collapsed="false">
      <c r="A118" s="26" t="n">
        <v>10</v>
      </c>
      <c r="B118" s="26" t="n">
        <v>6</v>
      </c>
      <c r="C118" s="28" t="s">
        <v>830</v>
      </c>
      <c r="D118" s="8" t="s">
        <v>1329</v>
      </c>
      <c r="E118" s="9" t="s">
        <v>1330</v>
      </c>
      <c r="F118" s="9" t="s">
        <v>1331</v>
      </c>
      <c r="G118" s="9" t="s">
        <v>1332</v>
      </c>
      <c r="H118" s="8" t="s">
        <v>1333</v>
      </c>
      <c r="I118" s="26" t="s">
        <v>1334</v>
      </c>
      <c r="J118" s="26" t="n">
        <f aca="false">턴_설계!$B$5</f>
        <v>120</v>
      </c>
    </row>
    <row r="119" customFormat="false" ht="31.5" hidden="false" customHeight="true" outlineLevel="0" collapsed="false">
      <c r="A119" s="26" t="n">
        <v>10</v>
      </c>
      <c r="B119" s="26" t="n">
        <v>7</v>
      </c>
      <c r="C119" s="28" t="s">
        <v>841</v>
      </c>
      <c r="D119" s="8" t="s">
        <v>1335</v>
      </c>
      <c r="E119" s="9" t="s">
        <v>1336</v>
      </c>
      <c r="F119" s="8" t="s">
        <v>1337</v>
      </c>
      <c r="G119" s="9" t="s">
        <v>1338</v>
      </c>
      <c r="H119" s="9" t="s">
        <v>1116</v>
      </c>
      <c r="I119" s="26"/>
      <c r="J119" s="26" t="n">
        <f aca="false">턴_설계!$B$5</f>
        <v>120</v>
      </c>
    </row>
    <row r="120" customFormat="false" ht="46.5" hidden="false" customHeight="true" outlineLevel="0" collapsed="false">
      <c r="A120" s="26" t="n">
        <v>10</v>
      </c>
      <c r="B120" s="26" t="n">
        <v>8</v>
      </c>
      <c r="C120" s="28" t="s">
        <v>830</v>
      </c>
      <c r="D120" s="8" t="s">
        <v>1339</v>
      </c>
      <c r="E120" s="9" t="s">
        <v>1340</v>
      </c>
      <c r="F120" s="9" t="s">
        <v>1341</v>
      </c>
      <c r="G120" s="9" t="s">
        <v>1342</v>
      </c>
      <c r="H120" s="8" t="s">
        <v>1343</v>
      </c>
      <c r="I120" s="26"/>
      <c r="J120" s="26" t="n">
        <f aca="false">턴_설계!$B$5</f>
        <v>120</v>
      </c>
    </row>
    <row r="121" customFormat="false" ht="31.5" hidden="false" customHeight="true" outlineLevel="0" collapsed="false">
      <c r="A121" s="26" t="n">
        <v>10</v>
      </c>
      <c r="B121" s="26" t="n">
        <v>9</v>
      </c>
      <c r="C121" s="28" t="s">
        <v>847</v>
      </c>
      <c r="D121" s="8" t="s">
        <v>1344</v>
      </c>
      <c r="E121" s="9" t="s">
        <v>1345</v>
      </c>
      <c r="F121" s="9" t="s">
        <v>1346</v>
      </c>
      <c r="G121" s="9" t="s">
        <v>1347</v>
      </c>
      <c r="H121" s="8" t="s">
        <v>1348</v>
      </c>
      <c r="I121" s="26" t="s">
        <v>1182</v>
      </c>
      <c r="J121" s="26" t="n">
        <f aca="false">턴_설계!$B$5</f>
        <v>120</v>
      </c>
    </row>
    <row r="122" customFormat="false" ht="31.5" hidden="false" customHeight="true" outlineLevel="0" collapsed="false">
      <c r="A122" s="26" t="n">
        <v>10</v>
      </c>
      <c r="B122" s="26" t="n">
        <v>10</v>
      </c>
      <c r="C122" s="28" t="s">
        <v>1199</v>
      </c>
      <c r="D122" s="8" t="s">
        <v>1349</v>
      </c>
      <c r="E122" s="9" t="s">
        <v>1350</v>
      </c>
      <c r="F122" s="8" t="s">
        <v>1351</v>
      </c>
      <c r="G122" s="9" t="s">
        <v>1352</v>
      </c>
      <c r="H122" s="9" t="s">
        <v>1116</v>
      </c>
      <c r="I122" s="26"/>
      <c r="J122" s="26" t="n">
        <f aca="false">턴_설계!$B$5</f>
        <v>120</v>
      </c>
    </row>
    <row r="123" customFormat="false" ht="61.5" hidden="false" customHeight="true" outlineLevel="0" collapsed="false">
      <c r="A123" s="26" t="n">
        <v>10</v>
      </c>
      <c r="B123" s="26" t="n">
        <v>11</v>
      </c>
      <c r="C123" s="28" t="s">
        <v>864</v>
      </c>
      <c r="D123" s="8" t="s">
        <v>1353</v>
      </c>
      <c r="E123" s="9" t="s">
        <v>1354</v>
      </c>
      <c r="F123" s="9" t="s">
        <v>1355</v>
      </c>
      <c r="G123" s="9" t="s">
        <v>1356</v>
      </c>
      <c r="H123" s="8" t="s">
        <v>1357</v>
      </c>
      <c r="I123" s="26" t="s">
        <v>1358</v>
      </c>
      <c r="J123" s="26" t="n">
        <f aca="false">턴_설계!$B$5</f>
        <v>120</v>
      </c>
    </row>
    <row r="124" customFormat="false" ht="46.5" hidden="false" customHeight="true" outlineLevel="0" collapsed="false">
      <c r="A124" s="26" t="n">
        <v>10</v>
      </c>
      <c r="B124" s="26" t="n">
        <v>12</v>
      </c>
      <c r="C124" s="28" t="s">
        <v>875</v>
      </c>
      <c r="D124" s="8" t="s">
        <v>1359</v>
      </c>
      <c r="E124" s="9" t="s">
        <v>1360</v>
      </c>
      <c r="F124" s="8" t="s">
        <v>1361</v>
      </c>
      <c r="G124" s="9" t="s">
        <v>1362</v>
      </c>
      <c r="H124" s="8" t="s">
        <v>1363</v>
      </c>
      <c r="I124" s="26"/>
      <c r="J124" s="26" t="n">
        <f aca="false">턴_설계!$B$5</f>
        <v>120</v>
      </c>
    </row>
    <row r="125" customFormat="false" ht="31.5" hidden="false" customHeight="true" outlineLevel="0" collapsed="false">
      <c r="A125" s="26" t="n">
        <v>11</v>
      </c>
      <c r="B125" s="26" t="n">
        <v>1</v>
      </c>
      <c r="C125" s="28" t="s">
        <v>814</v>
      </c>
      <c r="D125" s="8" t="s">
        <v>1364</v>
      </c>
      <c r="E125" s="9" t="s">
        <v>1365</v>
      </c>
      <c r="F125" s="9" t="s">
        <v>1366</v>
      </c>
      <c r="G125" s="9" t="s">
        <v>1367</v>
      </c>
      <c r="H125" s="8" t="s">
        <v>1368</v>
      </c>
      <c r="I125" s="26" t="s">
        <v>1369</v>
      </c>
      <c r="J125" s="26" t="n">
        <f aca="false">턴_설계!$B$5</f>
        <v>120</v>
      </c>
    </row>
    <row r="126" customFormat="false" ht="31.5" hidden="false" customHeight="true" outlineLevel="0" collapsed="false">
      <c r="A126" s="26" t="n">
        <v>11</v>
      </c>
      <c r="B126" s="26" t="n">
        <v>2</v>
      </c>
      <c r="C126" s="28" t="s">
        <v>830</v>
      </c>
      <c r="D126" s="8" t="s">
        <v>1370</v>
      </c>
      <c r="E126" s="9" t="s">
        <v>1371</v>
      </c>
      <c r="F126" s="8" t="s">
        <v>1372</v>
      </c>
      <c r="G126" s="9" t="s">
        <v>1373</v>
      </c>
      <c r="H126" s="8" t="s">
        <v>963</v>
      </c>
      <c r="I126" s="26" t="s">
        <v>745</v>
      </c>
      <c r="J126" s="26" t="n">
        <f aca="false">턴_설계!$B$5</f>
        <v>120</v>
      </c>
    </row>
    <row r="127" customFormat="false" ht="46.5" hidden="false" customHeight="true" outlineLevel="0" collapsed="false">
      <c r="A127" s="26" t="n">
        <v>11</v>
      </c>
      <c r="B127" s="26" t="n">
        <v>3</v>
      </c>
      <c r="C127" s="28" t="s">
        <v>830</v>
      </c>
      <c r="D127" s="8" t="s">
        <v>1374</v>
      </c>
      <c r="E127" s="9" t="s">
        <v>1375</v>
      </c>
      <c r="F127" s="9" t="s">
        <v>1376</v>
      </c>
      <c r="G127" s="9" t="s">
        <v>1377</v>
      </c>
      <c r="H127" s="8" t="s">
        <v>1378</v>
      </c>
      <c r="I127" s="26" t="s">
        <v>745</v>
      </c>
      <c r="J127" s="26" t="n">
        <f aca="false">턴_설계!$B$5</f>
        <v>120</v>
      </c>
    </row>
    <row r="128" customFormat="false" ht="46.5" hidden="false" customHeight="true" outlineLevel="0" collapsed="false">
      <c r="A128" s="26" t="n">
        <v>11</v>
      </c>
      <c r="B128" s="26" t="n">
        <v>4</v>
      </c>
      <c r="C128" s="28" t="s">
        <v>847</v>
      </c>
      <c r="D128" s="8" t="s">
        <v>1379</v>
      </c>
      <c r="E128" s="9" t="s">
        <v>1380</v>
      </c>
      <c r="F128" s="9" t="s">
        <v>1381</v>
      </c>
      <c r="G128" s="9" t="s">
        <v>1382</v>
      </c>
      <c r="H128" s="8" t="s">
        <v>1383</v>
      </c>
      <c r="I128" s="26" t="s">
        <v>1384</v>
      </c>
      <c r="J128" s="26" t="n">
        <f aca="false">턴_설계!$B$5</f>
        <v>120</v>
      </c>
    </row>
    <row r="129" customFormat="false" ht="61.5" hidden="false" customHeight="true" outlineLevel="0" collapsed="false">
      <c r="A129" s="26" t="n">
        <v>11</v>
      </c>
      <c r="B129" s="26" t="n">
        <v>5</v>
      </c>
      <c r="C129" s="28" t="s">
        <v>847</v>
      </c>
      <c r="D129" s="8" t="s">
        <v>1385</v>
      </c>
      <c r="E129" s="9" t="s">
        <v>1386</v>
      </c>
      <c r="F129" s="9" t="s">
        <v>1387</v>
      </c>
      <c r="G129" s="9" t="s">
        <v>1388</v>
      </c>
      <c r="H129" s="8" t="s">
        <v>1389</v>
      </c>
      <c r="I129" s="26" t="s">
        <v>782</v>
      </c>
      <c r="J129" s="26" t="n">
        <f aca="false">턴_설계!$B$5</f>
        <v>120</v>
      </c>
    </row>
    <row r="130" customFormat="false" ht="46.5" hidden="false" customHeight="true" outlineLevel="0" collapsed="false">
      <c r="A130" s="26" t="n">
        <v>11</v>
      </c>
      <c r="B130" s="26" t="n">
        <v>6</v>
      </c>
      <c r="C130" s="28" t="s">
        <v>830</v>
      </c>
      <c r="D130" s="8" t="s">
        <v>1390</v>
      </c>
      <c r="E130" s="9" t="s">
        <v>1391</v>
      </c>
      <c r="F130" s="9" t="s">
        <v>1392</v>
      </c>
      <c r="G130" s="9" t="s">
        <v>1393</v>
      </c>
      <c r="H130" s="8" t="s">
        <v>1394</v>
      </c>
      <c r="I130" s="26" t="s">
        <v>758</v>
      </c>
      <c r="J130" s="26" t="n">
        <f aca="false">턴_설계!$B$5</f>
        <v>120</v>
      </c>
    </row>
    <row r="131" customFormat="false" ht="61.5" hidden="false" customHeight="true" outlineLevel="0" collapsed="false">
      <c r="A131" s="26" t="n">
        <v>11</v>
      </c>
      <c r="B131" s="26" t="n">
        <v>7</v>
      </c>
      <c r="C131" s="28" t="s">
        <v>847</v>
      </c>
      <c r="D131" s="8" t="s">
        <v>1395</v>
      </c>
      <c r="E131" s="9" t="s">
        <v>1396</v>
      </c>
      <c r="F131" s="9" t="s">
        <v>1397</v>
      </c>
      <c r="G131" s="9" t="s">
        <v>1398</v>
      </c>
      <c r="H131" s="8" t="s">
        <v>1399</v>
      </c>
      <c r="I131" s="26"/>
      <c r="J131" s="26" t="n">
        <f aca="false">턴_설계!$B$5</f>
        <v>120</v>
      </c>
    </row>
    <row r="132" customFormat="false" ht="54.75" hidden="false" customHeight="true" outlineLevel="0" collapsed="false">
      <c r="A132" s="26" t="n">
        <v>11</v>
      </c>
      <c r="B132" s="26" t="n">
        <v>8</v>
      </c>
      <c r="C132" s="28" t="s">
        <v>847</v>
      </c>
      <c r="D132" s="8" t="s">
        <v>1400</v>
      </c>
      <c r="E132" s="9" t="s">
        <v>1401</v>
      </c>
      <c r="F132" s="9" t="s">
        <v>1402</v>
      </c>
      <c r="G132" s="9" t="s">
        <v>1403</v>
      </c>
      <c r="H132" s="8" t="s">
        <v>1404</v>
      </c>
      <c r="I132" s="26" t="s">
        <v>1405</v>
      </c>
      <c r="J132" s="26" t="n">
        <f aca="false">턴_설계!$B$5</f>
        <v>120</v>
      </c>
    </row>
    <row r="133" customFormat="false" ht="121.5" hidden="false" customHeight="true" outlineLevel="0" collapsed="false">
      <c r="A133" s="26" t="n">
        <v>11</v>
      </c>
      <c r="B133" s="26" t="n">
        <v>9</v>
      </c>
      <c r="C133" s="28" t="s">
        <v>1199</v>
      </c>
      <c r="D133" s="8" t="s">
        <v>1406</v>
      </c>
      <c r="E133" s="9" t="s">
        <v>1407</v>
      </c>
      <c r="F133" s="8" t="s">
        <v>1408</v>
      </c>
      <c r="G133" s="8" t="s">
        <v>1409</v>
      </c>
      <c r="H133" s="8" t="s">
        <v>1410</v>
      </c>
      <c r="I133" s="26" t="s">
        <v>1411</v>
      </c>
      <c r="J133" s="26" t="n">
        <f aca="false">턴_설계!$B$5</f>
        <v>120</v>
      </c>
    </row>
    <row r="134" customFormat="false" ht="76.5" hidden="false" customHeight="true" outlineLevel="0" collapsed="false">
      <c r="A134" s="26" t="n">
        <v>11</v>
      </c>
      <c r="B134" s="26" t="n">
        <v>10</v>
      </c>
      <c r="C134" s="28" t="s">
        <v>864</v>
      </c>
      <c r="D134" s="8" t="s">
        <v>1412</v>
      </c>
      <c r="E134" s="9" t="s">
        <v>1413</v>
      </c>
      <c r="F134" s="9" t="s">
        <v>1414</v>
      </c>
      <c r="G134" s="9" t="s">
        <v>1415</v>
      </c>
      <c r="H134" s="8" t="s">
        <v>1416</v>
      </c>
      <c r="I134" s="26" t="s">
        <v>160</v>
      </c>
      <c r="J134" s="26" t="n">
        <f aca="false">턴_설계!$B$5</f>
        <v>120</v>
      </c>
    </row>
    <row r="135" customFormat="false" ht="46.5" hidden="false" customHeight="true" outlineLevel="0" collapsed="false">
      <c r="A135" s="26" t="n">
        <v>11</v>
      </c>
      <c r="B135" s="26" t="n">
        <v>11</v>
      </c>
      <c r="C135" s="28" t="s">
        <v>864</v>
      </c>
      <c r="D135" s="8" t="s">
        <v>1417</v>
      </c>
      <c r="E135" s="9" t="s">
        <v>1418</v>
      </c>
      <c r="F135" s="9" t="s">
        <v>1419</v>
      </c>
      <c r="G135" s="9" t="s">
        <v>1420</v>
      </c>
      <c r="H135" s="8" t="s">
        <v>1421</v>
      </c>
      <c r="I135" s="26" t="s">
        <v>160</v>
      </c>
      <c r="J135" s="26" t="n">
        <f aca="false">턴_설계!$B$5</f>
        <v>120</v>
      </c>
    </row>
    <row r="136" customFormat="false" ht="61.5" hidden="false" customHeight="true" outlineLevel="0" collapsed="false">
      <c r="A136" s="26" t="n">
        <v>11</v>
      </c>
      <c r="B136" s="26" t="n">
        <v>12</v>
      </c>
      <c r="C136" s="28" t="s">
        <v>1422</v>
      </c>
      <c r="D136" s="8" t="s">
        <v>1423</v>
      </c>
      <c r="E136" s="9" t="s">
        <v>1424</v>
      </c>
      <c r="F136" s="9" t="s">
        <v>1425</v>
      </c>
      <c r="G136" s="9" t="s">
        <v>1426</v>
      </c>
      <c r="H136" s="8" t="s">
        <v>1427</v>
      </c>
      <c r="I136" s="26" t="s">
        <v>1411</v>
      </c>
      <c r="J136" s="26" t="n">
        <f aca="false">턴_설계!$B$5</f>
        <v>120</v>
      </c>
    </row>
    <row r="137" customFormat="false" ht="61.5" hidden="false" customHeight="true" outlineLevel="0" collapsed="false">
      <c r="A137" s="26" t="n">
        <v>12</v>
      </c>
      <c r="B137" s="26" t="n">
        <v>1</v>
      </c>
      <c r="C137" s="28" t="s">
        <v>1428</v>
      </c>
      <c r="D137" s="8" t="s">
        <v>1429</v>
      </c>
      <c r="E137" s="9" t="s">
        <v>1430</v>
      </c>
      <c r="F137" s="8" t="s">
        <v>1431</v>
      </c>
      <c r="G137" s="8" t="s">
        <v>1432</v>
      </c>
      <c r="H137" s="8" t="s">
        <v>1433</v>
      </c>
      <c r="I137" s="26"/>
      <c r="J137" s="26" t="n">
        <f aca="false">턴_설계!$B$5</f>
        <v>120</v>
      </c>
    </row>
    <row r="138" customFormat="false" ht="31.5" hidden="false" customHeight="true" outlineLevel="0" collapsed="false">
      <c r="A138" s="26" t="n">
        <v>12</v>
      </c>
      <c r="B138" s="26" t="n">
        <v>2</v>
      </c>
      <c r="C138" s="28" t="s">
        <v>830</v>
      </c>
      <c r="D138" s="8" t="s">
        <v>1434</v>
      </c>
      <c r="E138" s="9" t="s">
        <v>1435</v>
      </c>
      <c r="F138" s="8" t="s">
        <v>1436</v>
      </c>
      <c r="G138" s="9" t="s">
        <v>1437</v>
      </c>
      <c r="H138" s="8" t="s">
        <v>1438</v>
      </c>
      <c r="I138" s="26"/>
      <c r="J138" s="26" t="n">
        <f aca="false">턴_설계!$B$5</f>
        <v>120</v>
      </c>
    </row>
    <row r="139" customFormat="false" ht="46.5" hidden="false" customHeight="true" outlineLevel="0" collapsed="false">
      <c r="A139" s="26" t="n">
        <v>12</v>
      </c>
      <c r="B139" s="26" t="n">
        <v>3</v>
      </c>
      <c r="C139" s="28" t="s">
        <v>830</v>
      </c>
      <c r="D139" s="8" t="s">
        <v>1439</v>
      </c>
      <c r="E139" s="9" t="s">
        <v>1440</v>
      </c>
      <c r="F139" s="8" t="s">
        <v>1441</v>
      </c>
      <c r="G139" s="9" t="s">
        <v>1442</v>
      </c>
      <c r="H139" s="8" t="s">
        <v>1443</v>
      </c>
      <c r="I139" s="26" t="s">
        <v>160</v>
      </c>
      <c r="J139" s="26" t="n">
        <f aca="false">턴_설계!$B$5</f>
        <v>120</v>
      </c>
    </row>
    <row r="140" customFormat="false" ht="46.5" hidden="false" customHeight="true" outlineLevel="0" collapsed="false">
      <c r="A140" s="26" t="n">
        <v>12</v>
      </c>
      <c r="B140" s="26" t="n">
        <v>4</v>
      </c>
      <c r="C140" s="28" t="s">
        <v>830</v>
      </c>
      <c r="D140" s="8" t="s">
        <v>1444</v>
      </c>
      <c r="E140" s="9" t="s">
        <v>1445</v>
      </c>
      <c r="F140" s="9" t="s">
        <v>1446</v>
      </c>
      <c r="G140" s="29" t="s">
        <v>1447</v>
      </c>
      <c r="H140" s="8" t="s">
        <v>1448</v>
      </c>
      <c r="I140" s="26" t="s">
        <v>1449</v>
      </c>
      <c r="J140" s="26" t="n">
        <f aca="false">턴_설계!$B$5</f>
        <v>120</v>
      </c>
    </row>
    <row r="141" customFormat="false" ht="46.5" hidden="false" customHeight="true" outlineLevel="0" collapsed="false">
      <c r="A141" s="26" t="n">
        <v>12</v>
      </c>
      <c r="B141" s="26" t="n">
        <v>5</v>
      </c>
      <c r="C141" s="28" t="s">
        <v>830</v>
      </c>
      <c r="D141" s="8" t="s">
        <v>1450</v>
      </c>
      <c r="E141" s="9" t="s">
        <v>1451</v>
      </c>
      <c r="F141" s="9" t="s">
        <v>1452</v>
      </c>
      <c r="G141" s="9" t="s">
        <v>1453</v>
      </c>
      <c r="H141" s="8" t="s">
        <v>1454</v>
      </c>
      <c r="I141" s="26" t="s">
        <v>1455</v>
      </c>
      <c r="J141" s="26" t="n">
        <f aca="false">턴_설계!$B$5</f>
        <v>120</v>
      </c>
    </row>
    <row r="142" customFormat="false" ht="46.5" hidden="false" customHeight="true" outlineLevel="0" collapsed="false">
      <c r="A142" s="26" t="n">
        <v>12</v>
      </c>
      <c r="B142" s="26" t="n">
        <v>6</v>
      </c>
      <c r="C142" s="28" t="s">
        <v>830</v>
      </c>
      <c r="D142" s="8" t="s">
        <v>1456</v>
      </c>
      <c r="E142" s="9" t="s">
        <v>1457</v>
      </c>
      <c r="F142" s="9" t="s">
        <v>1458</v>
      </c>
      <c r="G142" s="9" t="s">
        <v>1459</v>
      </c>
      <c r="H142" s="8" t="s">
        <v>1460</v>
      </c>
      <c r="I142" s="26" t="s">
        <v>1461</v>
      </c>
      <c r="J142" s="26" t="n">
        <f aca="false">턴_설계!$B$5</f>
        <v>120</v>
      </c>
    </row>
    <row r="143" customFormat="false" ht="61.5" hidden="false" customHeight="true" outlineLevel="0" collapsed="false">
      <c r="A143" s="26" t="n">
        <v>12</v>
      </c>
      <c r="B143" s="26" t="n">
        <v>7</v>
      </c>
      <c r="C143" s="28" t="s">
        <v>847</v>
      </c>
      <c r="D143" s="8" t="s">
        <v>1462</v>
      </c>
      <c r="E143" s="9" t="s">
        <v>1463</v>
      </c>
      <c r="F143" s="9" t="s">
        <v>1464</v>
      </c>
      <c r="G143" s="9" t="s">
        <v>1465</v>
      </c>
      <c r="H143" s="8" t="s">
        <v>1466</v>
      </c>
      <c r="I143" s="26" t="s">
        <v>1467</v>
      </c>
      <c r="J143" s="26" t="n">
        <f aca="false">턴_설계!$B$5</f>
        <v>120</v>
      </c>
    </row>
    <row r="144" customFormat="false" ht="61.5" hidden="false" customHeight="true" outlineLevel="0" collapsed="false">
      <c r="A144" s="26" t="n">
        <v>12</v>
      </c>
      <c r="B144" s="26" t="n">
        <v>8</v>
      </c>
      <c r="C144" s="28" t="s">
        <v>847</v>
      </c>
      <c r="D144" s="8" t="s">
        <v>1468</v>
      </c>
      <c r="E144" s="9" t="s">
        <v>1469</v>
      </c>
      <c r="F144" s="9" t="s">
        <v>1470</v>
      </c>
      <c r="G144" s="29" t="s">
        <v>1471</v>
      </c>
      <c r="H144" s="8" t="s">
        <v>1472</v>
      </c>
      <c r="I144" s="26" t="s">
        <v>1473</v>
      </c>
      <c r="J144" s="26" t="n">
        <f aca="false">턴_설계!$B$5</f>
        <v>120</v>
      </c>
    </row>
    <row r="145" customFormat="false" ht="31.5" hidden="false" customHeight="true" outlineLevel="0" collapsed="false">
      <c r="A145" s="26" t="n">
        <v>12</v>
      </c>
      <c r="B145" s="26" t="n">
        <v>9</v>
      </c>
      <c r="C145" s="28" t="s">
        <v>864</v>
      </c>
      <c r="D145" s="8" t="s">
        <v>1474</v>
      </c>
      <c r="E145" s="9" t="s">
        <v>1475</v>
      </c>
      <c r="F145" s="9" t="s">
        <v>1476</v>
      </c>
      <c r="G145" s="9" t="s">
        <v>1477</v>
      </c>
      <c r="H145" s="8" t="s">
        <v>1478</v>
      </c>
      <c r="I145" s="26" t="s">
        <v>1479</v>
      </c>
      <c r="J145" s="26" t="n">
        <f aca="false">턴_설계!$B$5</f>
        <v>120</v>
      </c>
    </row>
    <row r="146" customFormat="false" ht="46.5" hidden="false" customHeight="true" outlineLevel="0" collapsed="false">
      <c r="A146" s="26" t="n">
        <v>12</v>
      </c>
      <c r="B146" s="26" t="n">
        <v>10</v>
      </c>
      <c r="C146" s="28" t="s">
        <v>830</v>
      </c>
      <c r="D146" s="8" t="s">
        <v>1480</v>
      </c>
      <c r="E146" s="9" t="s">
        <v>1481</v>
      </c>
      <c r="F146" s="8" t="s">
        <v>1482</v>
      </c>
      <c r="G146" s="8" t="s">
        <v>294</v>
      </c>
      <c r="H146" s="8" t="s">
        <v>1483</v>
      </c>
      <c r="I146" s="26"/>
      <c r="J146" s="26" t="n">
        <f aca="false">턴_설계!$B$5</f>
        <v>120</v>
      </c>
    </row>
    <row r="147" customFormat="false" ht="46.5" hidden="false" customHeight="true" outlineLevel="0" collapsed="false">
      <c r="A147" s="26" t="n">
        <v>12</v>
      </c>
      <c r="B147" s="26" t="n">
        <v>11</v>
      </c>
      <c r="C147" s="28" t="s">
        <v>847</v>
      </c>
      <c r="D147" s="8" t="s">
        <v>1484</v>
      </c>
      <c r="E147" s="9" t="s">
        <v>1485</v>
      </c>
      <c r="F147" s="9" t="s">
        <v>1486</v>
      </c>
      <c r="G147" s="9" t="s">
        <v>1487</v>
      </c>
      <c r="H147" s="8" t="s">
        <v>1488</v>
      </c>
      <c r="I147" s="26"/>
      <c r="J147" s="26" t="n">
        <f aca="false">턴_설계!$B$5</f>
        <v>120</v>
      </c>
    </row>
    <row r="148" customFormat="false" ht="46.5" hidden="false" customHeight="true" outlineLevel="0" collapsed="false">
      <c r="A148" s="26" t="n">
        <v>12</v>
      </c>
      <c r="B148" s="26" t="n">
        <v>12</v>
      </c>
      <c r="C148" s="28" t="s">
        <v>875</v>
      </c>
      <c r="D148" s="8" t="s">
        <v>1489</v>
      </c>
      <c r="E148" s="9" t="s">
        <v>1490</v>
      </c>
      <c r="F148" s="9" t="s">
        <v>1491</v>
      </c>
      <c r="G148" s="9" t="s">
        <v>1492</v>
      </c>
      <c r="H148" s="8" t="s">
        <v>1493</v>
      </c>
      <c r="I148" s="26"/>
      <c r="J148" s="26" t="n">
        <f aca="false">턴_설계!$B$5</f>
        <v>120</v>
      </c>
    </row>
    <row r="149" customFormat="false" ht="31.5" hidden="false" customHeight="true" outlineLevel="0" collapsed="false">
      <c r="A149" s="26" t="n">
        <v>13</v>
      </c>
      <c r="B149" s="26" t="n">
        <v>1</v>
      </c>
      <c r="C149" s="28" t="s">
        <v>814</v>
      </c>
      <c r="D149" s="8" t="s">
        <v>1494</v>
      </c>
      <c r="E149" s="9" t="s">
        <v>1495</v>
      </c>
      <c r="F149" s="8" t="s">
        <v>1496</v>
      </c>
      <c r="G149" s="9" t="s">
        <v>1497</v>
      </c>
      <c r="H149" s="8" t="s">
        <v>1498</v>
      </c>
      <c r="I149" s="26"/>
      <c r="J149" s="26" t="n">
        <f aca="false">턴_설계!$B$5</f>
        <v>120</v>
      </c>
    </row>
    <row r="150" customFormat="false" ht="31.5" hidden="false" customHeight="true" outlineLevel="0" collapsed="false">
      <c r="A150" s="26" t="n">
        <v>13</v>
      </c>
      <c r="B150" s="26" t="n">
        <v>2</v>
      </c>
      <c r="C150" s="28" t="s">
        <v>814</v>
      </c>
      <c r="D150" s="8" t="s">
        <v>1499</v>
      </c>
      <c r="E150" s="9" t="s">
        <v>1500</v>
      </c>
      <c r="F150" s="8" t="s">
        <v>1501</v>
      </c>
      <c r="G150" s="9" t="s">
        <v>1502</v>
      </c>
      <c r="H150" s="8" t="s">
        <v>1503</v>
      </c>
      <c r="I150" s="26"/>
      <c r="J150" s="26" t="n">
        <f aca="false">턴_설계!$B$5</f>
        <v>120</v>
      </c>
    </row>
    <row r="151" customFormat="false" ht="31.5" hidden="false" customHeight="true" outlineLevel="0" collapsed="false">
      <c r="A151" s="26" t="n">
        <v>13</v>
      </c>
      <c r="B151" s="26" t="n">
        <v>3</v>
      </c>
      <c r="C151" s="28" t="s">
        <v>814</v>
      </c>
      <c r="D151" s="8" t="s">
        <v>1504</v>
      </c>
      <c r="E151" s="9" t="s">
        <v>1505</v>
      </c>
      <c r="F151" s="9" t="s">
        <v>1506</v>
      </c>
      <c r="G151" s="8" t="s">
        <v>294</v>
      </c>
      <c r="H151" s="8" t="s">
        <v>1507</v>
      </c>
      <c r="I151" s="26"/>
      <c r="J151" s="26" t="n">
        <f aca="false">턴_설계!$B$5</f>
        <v>120</v>
      </c>
    </row>
    <row r="152" customFormat="false" ht="31.5" hidden="false" customHeight="true" outlineLevel="0" collapsed="false">
      <c r="A152" s="26" t="n">
        <v>13</v>
      </c>
      <c r="B152" s="26" t="n">
        <v>4</v>
      </c>
      <c r="C152" s="28" t="s">
        <v>830</v>
      </c>
      <c r="D152" s="8" t="s">
        <v>1508</v>
      </c>
      <c r="E152" s="9" t="s">
        <v>1509</v>
      </c>
      <c r="F152" s="9" t="s">
        <v>1510</v>
      </c>
      <c r="G152" s="9" t="s">
        <v>1511</v>
      </c>
      <c r="H152" s="8" t="s">
        <v>1512</v>
      </c>
      <c r="I152" s="26"/>
      <c r="J152" s="26" t="n">
        <f aca="false">턴_설계!$B$5</f>
        <v>120</v>
      </c>
    </row>
    <row r="153" customFormat="false" ht="31.5" hidden="false" customHeight="true" outlineLevel="0" collapsed="false">
      <c r="A153" s="26" t="n">
        <v>13</v>
      </c>
      <c r="B153" s="26" t="n">
        <v>5</v>
      </c>
      <c r="C153" s="28" t="s">
        <v>830</v>
      </c>
      <c r="D153" s="8" t="s">
        <v>1513</v>
      </c>
      <c r="E153" s="9" t="s">
        <v>1514</v>
      </c>
      <c r="F153" s="9" t="s">
        <v>1515</v>
      </c>
      <c r="G153" s="8" t="s">
        <v>294</v>
      </c>
      <c r="H153" s="8" t="s">
        <v>1516</v>
      </c>
      <c r="I153" s="26" t="s">
        <v>758</v>
      </c>
      <c r="J153" s="26" t="n">
        <f aca="false">턴_설계!$B$5</f>
        <v>120</v>
      </c>
    </row>
    <row r="154" customFormat="false" ht="31.5" hidden="false" customHeight="true" outlineLevel="0" collapsed="false">
      <c r="A154" s="26" t="n">
        <v>13</v>
      </c>
      <c r="B154" s="26" t="n">
        <v>6</v>
      </c>
      <c r="C154" s="28" t="s">
        <v>841</v>
      </c>
      <c r="D154" s="8" t="s">
        <v>1517</v>
      </c>
      <c r="E154" s="8" t="s">
        <v>1518</v>
      </c>
      <c r="F154" s="8" t="s">
        <v>1519</v>
      </c>
      <c r="G154" s="8" t="s">
        <v>294</v>
      </c>
      <c r="H154" s="8" t="s">
        <v>1520</v>
      </c>
      <c r="I154" s="26" t="s">
        <v>758</v>
      </c>
      <c r="J154" s="26" t="n">
        <f aca="false">턴_설계!$B$5</f>
        <v>120</v>
      </c>
    </row>
    <row r="155" customFormat="false" ht="31.5" hidden="false" customHeight="true" outlineLevel="0" collapsed="false">
      <c r="A155" s="26" t="n">
        <v>13</v>
      </c>
      <c r="B155" s="26" t="n">
        <v>7</v>
      </c>
      <c r="C155" s="28" t="s">
        <v>830</v>
      </c>
      <c r="D155" s="8" t="s">
        <v>1521</v>
      </c>
      <c r="E155" s="29" t="s">
        <v>1522</v>
      </c>
      <c r="F155" s="8" t="s">
        <v>1523</v>
      </c>
      <c r="G155" s="9" t="s">
        <v>1524</v>
      </c>
      <c r="H155" s="8" t="s">
        <v>1525</v>
      </c>
      <c r="I155" s="26" t="s">
        <v>1526</v>
      </c>
      <c r="J155" s="26" t="n">
        <f aca="false">턴_설계!$B$5</f>
        <v>120</v>
      </c>
    </row>
    <row r="156" customFormat="false" ht="16.5" hidden="false" customHeight="true" outlineLevel="0" collapsed="false">
      <c r="A156" s="26" t="n">
        <v>13</v>
      </c>
      <c r="B156" s="26" t="n">
        <v>8</v>
      </c>
      <c r="C156" s="28" t="s">
        <v>830</v>
      </c>
      <c r="D156" s="8" t="s">
        <v>1527</v>
      </c>
      <c r="E156" s="9" t="s">
        <v>1528</v>
      </c>
      <c r="F156" s="8" t="s">
        <v>1529</v>
      </c>
      <c r="G156" s="8" t="s">
        <v>294</v>
      </c>
      <c r="H156" s="8" t="s">
        <v>1530</v>
      </c>
      <c r="I156" s="26"/>
      <c r="J156" s="26" t="n">
        <f aca="false">턴_설계!$B$5</f>
        <v>120</v>
      </c>
    </row>
    <row r="157" customFormat="false" ht="16.5" hidden="false" customHeight="true" outlineLevel="0" collapsed="false">
      <c r="A157" s="26" t="n">
        <v>13</v>
      </c>
      <c r="B157" s="26" t="n">
        <v>9</v>
      </c>
      <c r="C157" s="28" t="s">
        <v>847</v>
      </c>
      <c r="D157" s="8" t="s">
        <v>1531</v>
      </c>
      <c r="E157" s="9" t="s">
        <v>1532</v>
      </c>
      <c r="F157" s="8" t="s">
        <v>1533</v>
      </c>
      <c r="G157" s="8" t="s">
        <v>294</v>
      </c>
      <c r="H157" s="8" t="s">
        <v>1534</v>
      </c>
      <c r="I157" s="26"/>
      <c r="J157" s="26" t="n">
        <f aca="false">턴_설계!$B$5</f>
        <v>120</v>
      </c>
    </row>
    <row r="158" customFormat="false" ht="31.5" hidden="false" customHeight="true" outlineLevel="0" collapsed="false">
      <c r="A158" s="26" t="n">
        <v>13</v>
      </c>
      <c r="B158" s="26" t="n">
        <v>10</v>
      </c>
      <c r="C158" s="28" t="s">
        <v>864</v>
      </c>
      <c r="D158" s="8" t="s">
        <v>1535</v>
      </c>
      <c r="E158" s="9" t="s">
        <v>1536</v>
      </c>
      <c r="F158" s="9" t="s">
        <v>1537</v>
      </c>
      <c r="G158" s="8" t="s">
        <v>294</v>
      </c>
      <c r="H158" s="8" t="s">
        <v>1538</v>
      </c>
      <c r="I158" s="26"/>
      <c r="J158" s="26" t="n">
        <f aca="false">턴_설계!$B$5</f>
        <v>120</v>
      </c>
    </row>
    <row r="159" customFormat="false" ht="31.5" hidden="false" customHeight="true" outlineLevel="0" collapsed="false">
      <c r="A159" s="26" t="n">
        <v>13</v>
      </c>
      <c r="B159" s="26" t="n">
        <v>11</v>
      </c>
      <c r="C159" s="28" t="s">
        <v>864</v>
      </c>
      <c r="D159" s="8" t="s">
        <v>1539</v>
      </c>
      <c r="E159" s="9" t="s">
        <v>1540</v>
      </c>
      <c r="F159" s="8" t="s">
        <v>1541</v>
      </c>
      <c r="G159" s="8" t="s">
        <v>294</v>
      </c>
      <c r="H159" s="9" t="s">
        <v>1116</v>
      </c>
      <c r="I159" s="26"/>
      <c r="J159" s="26" t="n">
        <f aca="false">턴_설계!$B$5</f>
        <v>120</v>
      </c>
    </row>
    <row r="160" customFormat="false" ht="31.5" hidden="false" customHeight="true" outlineLevel="0" collapsed="false">
      <c r="A160" s="26" t="n">
        <v>13</v>
      </c>
      <c r="B160" s="26" t="n">
        <v>12</v>
      </c>
      <c r="C160" s="28" t="s">
        <v>1542</v>
      </c>
      <c r="D160" s="8" t="s">
        <v>1543</v>
      </c>
      <c r="E160" s="9" t="s">
        <v>1544</v>
      </c>
      <c r="F160" s="9" t="s">
        <v>1545</v>
      </c>
      <c r="G160" s="8" t="s">
        <v>294</v>
      </c>
      <c r="H160" s="8" t="s">
        <v>1546</v>
      </c>
      <c r="I160" s="26"/>
      <c r="J160" s="26" t="n">
        <f aca="false">턴_설계!$B$5</f>
        <v>120</v>
      </c>
    </row>
    <row r="161" customFormat="false" ht="15" hidden="false" customHeight="true" outlineLevel="0" collapsed="false">
      <c r="I161" s="63" t="s">
        <v>290</v>
      </c>
      <c r="J161" s="64" t="n">
        <f aca="false">SUM(J5:J160)</f>
        <v>18720</v>
      </c>
    </row>
  </sheetData>
  <autoFilter ref="A4:J160"/>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I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34"/>
    <col collapsed="false" customWidth="true" hidden="false" outlineLevel="0" max="3" min="3" style="1" width="12"/>
    <col collapsed="false" customWidth="true" hidden="false" outlineLevel="0" max="4" min="4" style="1" width="8"/>
    <col collapsed="false" customWidth="true" hidden="false" outlineLevel="0" max="5" min="5" style="1" width="16"/>
    <col collapsed="false" customWidth="true" hidden="false" outlineLevel="0" max="7" min="6" style="1" width="8"/>
    <col collapsed="false" customWidth="true" hidden="false" outlineLevel="0" max="8" min="8" style="1" width="42"/>
    <col collapsed="false" customWidth="true" hidden="false" outlineLevel="0" max="9" min="9" style="1" width="20"/>
  </cols>
  <sheetData>
    <row r="1" customFormat="false" ht="24" hidden="false" customHeight="true" outlineLevel="0" collapsed="false">
      <c r="A1" s="23" t="s">
        <v>1547</v>
      </c>
    </row>
    <row r="2" customFormat="false" ht="15" hidden="false" customHeight="true" outlineLevel="0" collapsed="false">
      <c r="A2" s="22" t="s">
        <v>1548</v>
      </c>
    </row>
    <row r="4" customFormat="false" ht="31.5" hidden="false" customHeight="true" outlineLevel="0" collapsed="false">
      <c r="A4" s="24" t="s">
        <v>83</v>
      </c>
      <c r="B4" s="25" t="s">
        <v>1549</v>
      </c>
      <c r="C4" s="25" t="s">
        <v>1550</v>
      </c>
      <c r="D4" s="25" t="s">
        <v>1551</v>
      </c>
      <c r="E4" s="25" t="s">
        <v>1552</v>
      </c>
      <c r="F4" s="25" t="s">
        <v>1553</v>
      </c>
      <c r="G4" s="25" t="s">
        <v>1554</v>
      </c>
      <c r="H4" s="25" t="s">
        <v>1555</v>
      </c>
      <c r="I4" s="25" t="s">
        <v>1556</v>
      </c>
    </row>
    <row r="5" customFormat="false" ht="31.5" hidden="false" customHeight="true" outlineLevel="0" collapsed="false">
      <c r="A5" s="26" t="n">
        <v>1</v>
      </c>
      <c r="B5" s="8" t="s">
        <v>1557</v>
      </c>
      <c r="C5" s="28" t="s">
        <v>1558</v>
      </c>
      <c r="D5" s="27" t="n">
        <v>1</v>
      </c>
      <c r="E5" s="8" t="s">
        <v>1559</v>
      </c>
      <c r="F5" s="27" t="n">
        <v>11</v>
      </c>
      <c r="G5" s="26" t="n">
        <f aca="false">F5-D5</f>
        <v>10</v>
      </c>
      <c r="H5" s="8" t="s">
        <v>1560</v>
      </c>
      <c r="I5" s="8" t="s">
        <v>150</v>
      </c>
    </row>
    <row r="6" customFormat="false" ht="31.5" hidden="false" customHeight="true" outlineLevel="0" collapsed="false">
      <c r="A6" s="26" t="n">
        <v>2</v>
      </c>
      <c r="B6" s="8" t="s">
        <v>1561</v>
      </c>
      <c r="C6" s="28" t="s">
        <v>1562</v>
      </c>
      <c r="D6" s="27" t="n">
        <v>1</v>
      </c>
      <c r="E6" s="8" t="s">
        <v>1559</v>
      </c>
      <c r="F6" s="27" t="n">
        <v>13</v>
      </c>
      <c r="G6" s="26" t="n">
        <f aca="false">F6-D6</f>
        <v>12</v>
      </c>
      <c r="H6" s="8" t="s">
        <v>1563</v>
      </c>
      <c r="I6" s="8" t="s">
        <v>1564</v>
      </c>
    </row>
    <row r="7" customFormat="false" ht="31.5" hidden="false" customHeight="true" outlineLevel="0" collapsed="false">
      <c r="A7" s="26" t="n">
        <v>3</v>
      </c>
      <c r="B7" s="8" t="s">
        <v>1565</v>
      </c>
      <c r="C7" s="28" t="s">
        <v>1566</v>
      </c>
      <c r="D7" s="27" t="n">
        <v>3</v>
      </c>
      <c r="E7" s="8" t="s">
        <v>1567</v>
      </c>
      <c r="F7" s="27" t="n">
        <v>11</v>
      </c>
      <c r="G7" s="26" t="n">
        <f aca="false">F7-D7</f>
        <v>8</v>
      </c>
      <c r="H7" s="8" t="s">
        <v>1568</v>
      </c>
      <c r="I7" s="8" t="s">
        <v>1569</v>
      </c>
    </row>
    <row r="8" customFormat="false" ht="31.5" hidden="false" customHeight="true" outlineLevel="0" collapsed="false">
      <c r="A8" s="26" t="n">
        <v>4</v>
      </c>
      <c r="B8" s="8" t="s">
        <v>1570</v>
      </c>
      <c r="C8" s="28" t="s">
        <v>1558</v>
      </c>
      <c r="D8" s="27" t="n">
        <v>1</v>
      </c>
      <c r="E8" s="8" t="s">
        <v>1571</v>
      </c>
      <c r="F8" s="27" t="n">
        <v>11</v>
      </c>
      <c r="G8" s="26" t="n">
        <f aca="false">F8-D8</f>
        <v>10</v>
      </c>
      <c r="H8" s="8" t="s">
        <v>1572</v>
      </c>
      <c r="I8" s="8" t="s">
        <v>1564</v>
      </c>
    </row>
    <row r="9" customFormat="false" ht="31.5" hidden="false" customHeight="true" outlineLevel="0" collapsed="false">
      <c r="A9" s="26" t="n">
        <v>5</v>
      </c>
      <c r="B9" s="8" t="s">
        <v>1573</v>
      </c>
      <c r="C9" s="28" t="s">
        <v>1574</v>
      </c>
      <c r="D9" s="27" t="n">
        <v>1</v>
      </c>
      <c r="E9" s="8" t="s">
        <v>1575</v>
      </c>
      <c r="F9" s="27" t="n">
        <v>9</v>
      </c>
      <c r="G9" s="26" t="n">
        <f aca="false">F9-D9</f>
        <v>8</v>
      </c>
      <c r="H9" s="8" t="s">
        <v>1576</v>
      </c>
      <c r="I9" s="8" t="s">
        <v>241</v>
      </c>
    </row>
    <row r="10" customFormat="false" ht="31.5" hidden="false" customHeight="true" outlineLevel="0" collapsed="false">
      <c r="A10" s="26" t="n">
        <v>6</v>
      </c>
      <c r="B10" s="8" t="s">
        <v>1577</v>
      </c>
      <c r="C10" s="28" t="s">
        <v>1578</v>
      </c>
      <c r="D10" s="27" t="n">
        <v>1</v>
      </c>
      <c r="E10" s="8" t="s">
        <v>1559</v>
      </c>
      <c r="F10" s="27" t="n">
        <v>12</v>
      </c>
      <c r="G10" s="26" t="n">
        <f aca="false">F10-D10</f>
        <v>11</v>
      </c>
      <c r="H10" s="8" t="s">
        <v>1579</v>
      </c>
      <c r="I10" s="8" t="s">
        <v>1580</v>
      </c>
    </row>
    <row r="11" customFormat="false" ht="31.5" hidden="false" customHeight="true" outlineLevel="0" collapsed="false">
      <c r="A11" s="26" t="n">
        <v>7</v>
      </c>
      <c r="B11" s="8" t="s">
        <v>1581</v>
      </c>
      <c r="C11" s="28" t="s">
        <v>1558</v>
      </c>
      <c r="D11" s="27" t="n">
        <v>1</v>
      </c>
      <c r="E11" s="8" t="s">
        <v>1582</v>
      </c>
      <c r="F11" s="27" t="n">
        <v>13</v>
      </c>
      <c r="G11" s="26" t="n">
        <f aca="false">F11-D11</f>
        <v>12</v>
      </c>
      <c r="H11" s="8" t="s">
        <v>1583</v>
      </c>
      <c r="I11" s="8" t="s">
        <v>1538</v>
      </c>
    </row>
    <row r="12" customFormat="false" ht="31.5" hidden="false" customHeight="true" outlineLevel="0" collapsed="false">
      <c r="A12" s="26" t="n">
        <v>8</v>
      </c>
      <c r="B12" s="8" t="s">
        <v>1584</v>
      </c>
      <c r="C12" s="28" t="s">
        <v>1574</v>
      </c>
      <c r="D12" s="27" t="n">
        <v>2</v>
      </c>
      <c r="E12" s="8" t="s">
        <v>1585</v>
      </c>
      <c r="F12" s="27" t="n">
        <v>11</v>
      </c>
      <c r="G12" s="26" t="n">
        <f aca="false">F12-D12</f>
        <v>9</v>
      </c>
      <c r="H12" s="8" t="s">
        <v>1586</v>
      </c>
      <c r="I12" s="8" t="s">
        <v>103</v>
      </c>
    </row>
    <row r="13" customFormat="false" ht="31.5" hidden="false" customHeight="true" outlineLevel="0" collapsed="false">
      <c r="A13" s="26" t="n">
        <v>9</v>
      </c>
      <c r="B13" s="8" t="s">
        <v>1587</v>
      </c>
      <c r="C13" s="28" t="s">
        <v>1558</v>
      </c>
      <c r="D13" s="27" t="n">
        <v>2</v>
      </c>
      <c r="E13" s="8" t="s">
        <v>1588</v>
      </c>
      <c r="F13" s="27" t="n">
        <v>4</v>
      </c>
      <c r="G13" s="26" t="n">
        <f aca="false">F13-D13</f>
        <v>2</v>
      </c>
      <c r="H13" s="8" t="s">
        <v>1589</v>
      </c>
      <c r="I13" s="8" t="s">
        <v>128</v>
      </c>
    </row>
    <row r="14" customFormat="false" ht="31.5" hidden="false" customHeight="true" outlineLevel="0" collapsed="false">
      <c r="A14" s="26" t="n">
        <v>10</v>
      </c>
      <c r="B14" s="8" t="s">
        <v>1590</v>
      </c>
      <c r="C14" s="28" t="s">
        <v>1562</v>
      </c>
      <c r="D14" s="27" t="n">
        <v>4</v>
      </c>
      <c r="E14" s="8" t="s">
        <v>1591</v>
      </c>
      <c r="F14" s="27" t="n">
        <v>7</v>
      </c>
      <c r="G14" s="26" t="n">
        <f aca="false">F14-D14</f>
        <v>3</v>
      </c>
      <c r="H14" s="8" t="s">
        <v>1592</v>
      </c>
      <c r="I14" s="8" t="s">
        <v>1249</v>
      </c>
    </row>
    <row r="15" customFormat="false" ht="46.5" hidden="false" customHeight="true" outlineLevel="0" collapsed="false">
      <c r="A15" s="26" t="n">
        <v>11</v>
      </c>
      <c r="B15" s="8" t="s">
        <v>1593</v>
      </c>
      <c r="C15" s="28" t="s">
        <v>323</v>
      </c>
      <c r="D15" s="27" t="n">
        <v>4</v>
      </c>
      <c r="E15" s="8" t="s">
        <v>1594</v>
      </c>
      <c r="F15" s="27" t="n">
        <v>11</v>
      </c>
      <c r="G15" s="26" t="n">
        <f aca="false">F15-D15</f>
        <v>7</v>
      </c>
      <c r="H15" s="8" t="s">
        <v>1595</v>
      </c>
      <c r="I15" s="8" t="s">
        <v>128</v>
      </c>
    </row>
    <row r="16" customFormat="false" ht="31.5" hidden="false" customHeight="true" outlineLevel="0" collapsed="false">
      <c r="A16" s="26" t="n">
        <v>12</v>
      </c>
      <c r="B16" s="8" t="s">
        <v>1596</v>
      </c>
      <c r="C16" s="28" t="s">
        <v>1562</v>
      </c>
      <c r="D16" s="27" t="n">
        <v>5</v>
      </c>
      <c r="E16" s="8" t="s">
        <v>1597</v>
      </c>
      <c r="F16" s="27" t="n">
        <v>11</v>
      </c>
      <c r="G16" s="26" t="n">
        <f aca="false">F16-D16</f>
        <v>6</v>
      </c>
      <c r="H16" s="8" t="s">
        <v>1598</v>
      </c>
      <c r="I16" s="8" t="s">
        <v>139</v>
      </c>
    </row>
    <row r="17" customFormat="false" ht="31.5" hidden="false" customHeight="true" outlineLevel="0" collapsed="false">
      <c r="A17" s="26" t="n">
        <v>13</v>
      </c>
      <c r="B17" s="8" t="s">
        <v>1599</v>
      </c>
      <c r="C17" s="28" t="s">
        <v>1558</v>
      </c>
      <c r="D17" s="27" t="n">
        <v>1</v>
      </c>
      <c r="E17" s="8" t="s">
        <v>1559</v>
      </c>
      <c r="F17" s="27" t="n">
        <v>13</v>
      </c>
      <c r="G17" s="26" t="n">
        <f aca="false">F17-D17</f>
        <v>12</v>
      </c>
      <c r="H17" s="8" t="s">
        <v>1600</v>
      </c>
      <c r="I17" s="8" t="s">
        <v>139</v>
      </c>
    </row>
    <row r="18" customFormat="false" ht="31.5" hidden="false" customHeight="true" outlineLevel="0" collapsed="false">
      <c r="A18" s="26" t="n">
        <v>14</v>
      </c>
      <c r="B18" s="8" t="s">
        <v>1601</v>
      </c>
      <c r="C18" s="28" t="s">
        <v>1562</v>
      </c>
      <c r="D18" s="27" t="n">
        <v>3</v>
      </c>
      <c r="E18" s="8" t="s">
        <v>1602</v>
      </c>
      <c r="F18" s="27" t="n">
        <v>13</v>
      </c>
      <c r="G18" s="26" t="n">
        <f aca="false">F18-D18</f>
        <v>10</v>
      </c>
      <c r="H18" s="8" t="s">
        <v>1603</v>
      </c>
      <c r="I18" s="8" t="s">
        <v>116</v>
      </c>
    </row>
    <row r="19" customFormat="false" ht="31.5" hidden="false" customHeight="true" outlineLevel="0" collapsed="false">
      <c r="A19" s="26" t="n">
        <v>15</v>
      </c>
      <c r="B19" s="8" t="s">
        <v>1604</v>
      </c>
      <c r="C19" s="28" t="s">
        <v>1605</v>
      </c>
      <c r="D19" s="27" t="n">
        <v>5</v>
      </c>
      <c r="E19" s="8" t="s">
        <v>1606</v>
      </c>
      <c r="F19" s="27" t="n">
        <v>10</v>
      </c>
      <c r="G19" s="26" t="n">
        <f aca="false">F19-D19</f>
        <v>5</v>
      </c>
      <c r="H19" s="8" t="s">
        <v>1607</v>
      </c>
      <c r="I19" s="8" t="s">
        <v>1608</v>
      </c>
    </row>
    <row r="20" customFormat="false" ht="31.5" hidden="false" customHeight="true" outlineLevel="0" collapsed="false">
      <c r="A20" s="26" t="n">
        <v>16</v>
      </c>
      <c r="B20" s="8" t="s">
        <v>1609</v>
      </c>
      <c r="C20" s="28" t="s">
        <v>323</v>
      </c>
      <c r="D20" s="27" t="n">
        <v>1</v>
      </c>
      <c r="E20" s="8" t="s">
        <v>1610</v>
      </c>
      <c r="F20" s="27" t="n">
        <v>9</v>
      </c>
      <c r="G20" s="26" t="n">
        <f aca="false">F20-D20</f>
        <v>8</v>
      </c>
      <c r="H20" s="8" t="s">
        <v>1611</v>
      </c>
      <c r="I20" s="8" t="s">
        <v>252</v>
      </c>
    </row>
    <row r="21" customFormat="false" ht="31.5" hidden="false" customHeight="true" outlineLevel="0" collapsed="false">
      <c r="A21" s="26" t="n">
        <v>17</v>
      </c>
      <c r="B21" s="8" t="s">
        <v>1612</v>
      </c>
      <c r="C21" s="28" t="s">
        <v>1566</v>
      </c>
      <c r="D21" s="27" t="n">
        <v>2</v>
      </c>
      <c r="E21" s="8" t="s">
        <v>1613</v>
      </c>
      <c r="F21" s="27" t="n">
        <v>13</v>
      </c>
      <c r="G21" s="26" t="n">
        <f aca="false">F21-D21</f>
        <v>11</v>
      </c>
      <c r="H21" s="8" t="s">
        <v>1614</v>
      </c>
      <c r="I21" s="9" t="s">
        <v>1116</v>
      </c>
    </row>
    <row r="22" customFormat="false" ht="31.5" hidden="false" customHeight="true" outlineLevel="0" collapsed="false">
      <c r="A22" s="26" t="n">
        <v>18</v>
      </c>
      <c r="B22" s="8" t="s">
        <v>1615</v>
      </c>
      <c r="C22" s="28" t="s">
        <v>1558</v>
      </c>
      <c r="D22" s="27" t="n">
        <v>1</v>
      </c>
      <c r="E22" s="8" t="s">
        <v>1616</v>
      </c>
      <c r="F22" s="27" t="n">
        <v>12</v>
      </c>
      <c r="G22" s="26" t="n">
        <f aca="false">F22-D22</f>
        <v>11</v>
      </c>
      <c r="H22" s="8" t="s">
        <v>1617</v>
      </c>
      <c r="I22" s="8" t="s">
        <v>196</v>
      </c>
    </row>
    <row r="23" customFormat="false" ht="31.5" hidden="false" customHeight="true" outlineLevel="0" collapsed="false">
      <c r="A23" s="26" t="n">
        <v>19</v>
      </c>
      <c r="B23" s="8" t="s">
        <v>1618</v>
      </c>
      <c r="C23" s="28" t="s">
        <v>1574</v>
      </c>
      <c r="D23" s="27" t="n">
        <v>6</v>
      </c>
      <c r="E23" s="8" t="s">
        <v>1619</v>
      </c>
      <c r="F23" s="27" t="n">
        <v>10</v>
      </c>
      <c r="G23" s="26" t="n">
        <f aca="false">F23-D23</f>
        <v>4</v>
      </c>
      <c r="H23" s="8" t="s">
        <v>1620</v>
      </c>
      <c r="I23" s="8" t="s">
        <v>264</v>
      </c>
    </row>
    <row r="24" customFormat="false" ht="31.5" hidden="false" customHeight="true" outlineLevel="0" collapsed="false">
      <c r="A24" s="26" t="n">
        <v>20</v>
      </c>
      <c r="B24" s="8" t="s">
        <v>1621</v>
      </c>
      <c r="C24" s="28" t="s">
        <v>1558</v>
      </c>
      <c r="D24" s="27" t="n">
        <v>1</v>
      </c>
      <c r="E24" s="8" t="s">
        <v>1622</v>
      </c>
      <c r="F24" s="27" t="n">
        <v>12</v>
      </c>
      <c r="G24" s="26" t="n">
        <f aca="false">F24-D24</f>
        <v>11</v>
      </c>
      <c r="H24" s="8" t="s">
        <v>1623</v>
      </c>
      <c r="I24" s="8" t="s">
        <v>185</v>
      </c>
    </row>
    <row r="25" customFormat="false" ht="46.5" hidden="false" customHeight="true" outlineLevel="0" collapsed="false">
      <c r="A25" s="26" t="n">
        <v>21</v>
      </c>
      <c r="B25" s="8" t="s">
        <v>1624</v>
      </c>
      <c r="C25" s="28" t="s">
        <v>1562</v>
      </c>
      <c r="D25" s="27" t="n">
        <v>1</v>
      </c>
      <c r="E25" s="8" t="s">
        <v>1625</v>
      </c>
      <c r="F25" s="27" t="n">
        <v>13</v>
      </c>
      <c r="G25" s="26" t="n">
        <f aca="false">F25-D25</f>
        <v>12</v>
      </c>
      <c r="H25" s="8" t="s">
        <v>1626</v>
      </c>
      <c r="I25" s="8" t="s">
        <v>219</v>
      </c>
    </row>
    <row r="26" customFormat="false" ht="31.5" hidden="false" customHeight="true" outlineLevel="0" collapsed="false">
      <c r="A26" s="26" t="n">
        <v>22</v>
      </c>
      <c r="B26" s="8" t="s">
        <v>1627</v>
      </c>
      <c r="C26" s="28" t="s">
        <v>1558</v>
      </c>
      <c r="D26" s="27" t="n">
        <v>6</v>
      </c>
      <c r="E26" s="8" t="s">
        <v>1628</v>
      </c>
      <c r="F26" s="27" t="n">
        <v>13</v>
      </c>
      <c r="G26" s="26" t="n">
        <f aca="false">F26-D26</f>
        <v>7</v>
      </c>
      <c r="H26" s="8" t="s">
        <v>1629</v>
      </c>
      <c r="I26" s="8" t="s">
        <v>1546</v>
      </c>
    </row>
    <row r="27" customFormat="false" ht="31.5" hidden="false" customHeight="true" outlineLevel="0" collapsed="false">
      <c r="A27" s="26" t="n">
        <v>23</v>
      </c>
      <c r="B27" s="8" t="s">
        <v>1630</v>
      </c>
      <c r="C27" s="28" t="s">
        <v>446</v>
      </c>
      <c r="D27" s="27" t="n">
        <v>10</v>
      </c>
      <c r="E27" s="8" t="s">
        <v>1631</v>
      </c>
      <c r="F27" s="27" t="n">
        <v>12</v>
      </c>
      <c r="G27" s="26" t="n">
        <f aca="false">F27-D27</f>
        <v>2</v>
      </c>
      <c r="H27" s="8" t="s">
        <v>1632</v>
      </c>
      <c r="I27" s="8" t="s">
        <v>1633</v>
      </c>
    </row>
    <row r="28" customFormat="false" ht="31.5" hidden="false" customHeight="true" outlineLevel="0" collapsed="false">
      <c r="A28" s="26" t="n">
        <v>24</v>
      </c>
      <c r="B28" s="9" t="s">
        <v>1634</v>
      </c>
      <c r="C28" s="28" t="s">
        <v>446</v>
      </c>
      <c r="D28" s="27" t="n">
        <v>7</v>
      </c>
      <c r="E28" s="8" t="s">
        <v>1635</v>
      </c>
      <c r="F28" s="27" t="n">
        <v>8</v>
      </c>
      <c r="G28" s="26" t="n">
        <f aca="false">F28-D28</f>
        <v>1</v>
      </c>
      <c r="H28" s="8" t="s">
        <v>1636</v>
      </c>
      <c r="I28" s="8" t="s">
        <v>1637</v>
      </c>
    </row>
    <row r="29" customFormat="false" ht="31.5" hidden="false" customHeight="true" outlineLevel="0" collapsed="false">
      <c r="A29" s="26" t="n">
        <v>25</v>
      </c>
      <c r="B29" s="8" t="s">
        <v>1638</v>
      </c>
      <c r="C29" s="28" t="s">
        <v>1574</v>
      </c>
      <c r="D29" s="27" t="n">
        <v>11</v>
      </c>
      <c r="E29" s="8" t="s">
        <v>1639</v>
      </c>
      <c r="F29" s="27" t="n">
        <v>12</v>
      </c>
      <c r="G29" s="26" t="n">
        <f aca="false">F29-D29</f>
        <v>1</v>
      </c>
      <c r="H29" s="8" t="s">
        <v>1640</v>
      </c>
      <c r="I29" s="8" t="s">
        <v>1416</v>
      </c>
    </row>
    <row r="30" customFormat="false" ht="31.5" hidden="false" customHeight="true" outlineLevel="0" collapsed="false">
      <c r="A30" s="26" t="n">
        <v>26</v>
      </c>
      <c r="B30" s="8" t="s">
        <v>1641</v>
      </c>
      <c r="C30" s="28" t="s">
        <v>1558</v>
      </c>
      <c r="D30" s="27" t="n">
        <v>11</v>
      </c>
      <c r="E30" s="8" t="s">
        <v>1642</v>
      </c>
      <c r="F30" s="27" t="n">
        <v>12</v>
      </c>
      <c r="G30" s="26" t="n">
        <f aca="false">F30-D30</f>
        <v>1</v>
      </c>
      <c r="H30" s="8" t="s">
        <v>1643</v>
      </c>
      <c r="I30" s="8" t="s">
        <v>1644</v>
      </c>
    </row>
    <row r="31" customFormat="false" ht="31.5" hidden="false" customHeight="true" outlineLevel="0" collapsed="false">
      <c r="A31" s="26" t="n">
        <v>27</v>
      </c>
      <c r="B31" s="8" t="s">
        <v>1645</v>
      </c>
      <c r="C31" s="28" t="s">
        <v>1574</v>
      </c>
      <c r="D31" s="27" t="n">
        <v>7</v>
      </c>
      <c r="E31" s="8" t="s">
        <v>1646</v>
      </c>
      <c r="F31" s="27" t="n">
        <v>12</v>
      </c>
      <c r="G31" s="26" t="n">
        <f aca="false">F31-D31</f>
        <v>5</v>
      </c>
      <c r="H31" s="8" t="s">
        <v>1647</v>
      </c>
      <c r="I31" s="8" t="s">
        <v>1648</v>
      </c>
    </row>
    <row r="32" customFormat="false" ht="31.5" hidden="false" customHeight="true" outlineLevel="0" collapsed="false">
      <c r="A32" s="26" t="n">
        <v>28</v>
      </c>
      <c r="B32" s="8" t="s">
        <v>1649</v>
      </c>
      <c r="C32" s="28" t="s">
        <v>1558</v>
      </c>
      <c r="D32" s="27" t="n">
        <v>1</v>
      </c>
      <c r="E32" s="8" t="s">
        <v>1650</v>
      </c>
      <c r="F32" s="27" t="n">
        <v>9</v>
      </c>
      <c r="G32" s="26" t="n">
        <f aca="false">F32-D32</f>
        <v>8</v>
      </c>
      <c r="H32" s="8" t="s">
        <v>1651</v>
      </c>
      <c r="I32" s="8" t="s">
        <v>1652</v>
      </c>
    </row>
    <row r="34" customFormat="false" ht="15" hidden="false" customHeight="true" outlineLevel="0" collapsed="false">
      <c r="B34" s="63" t="s">
        <v>1653</v>
      </c>
      <c r="G34" s="65" t="n">
        <f aca="false">AVERAGE(G5:G32)</f>
        <v>7.39285714285714</v>
      </c>
    </row>
    <row r="35" customFormat="false" ht="15" hidden="false" customHeight="true" outlineLevel="0" collapsed="false">
      <c r="B35" s="63" t="s">
        <v>1654</v>
      </c>
      <c r="G35" s="63" t="n">
        <f aca="false">MAX(G5:G32)</f>
        <v>12</v>
      </c>
    </row>
    <row r="36" customFormat="false" ht="15" hidden="false" customHeight="true" outlineLevel="0" collapsed="false">
      <c r="B36" s="63" t="s">
        <v>1655</v>
      </c>
      <c r="G36" s="63" t="n">
        <f aca="false">COUNTA(B5:B32)</f>
        <v>28</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true"/>
  </sheetPr>
  <dimension ref="A1:M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9"/>
    <col collapsed="false" customWidth="true" hidden="false" outlineLevel="0" max="3" min="3" style="1" width="22"/>
    <col collapsed="false" customWidth="true" hidden="false" outlineLevel="0" max="4" min="4" style="1" width="26"/>
    <col collapsed="false" customWidth="true" hidden="false" outlineLevel="0" max="5" min="5" style="1" width="46"/>
    <col collapsed="false" customWidth="true" hidden="false" outlineLevel="0" max="6" min="6" style="1" width="36"/>
    <col collapsed="false" customWidth="true" hidden="false" outlineLevel="0" max="7" min="7" style="1" width="32"/>
    <col collapsed="false" customWidth="true" hidden="false" outlineLevel="0" max="9" min="8" style="1" width="24"/>
    <col collapsed="false" customWidth="true" hidden="false" outlineLevel="0" max="10" min="10" style="1" width="42"/>
    <col collapsed="false" customWidth="true" hidden="false" outlineLevel="0" max="11" min="11" style="1" width="34"/>
    <col collapsed="false" customWidth="true" hidden="false" outlineLevel="0" max="12" min="12" style="1" width="38"/>
    <col collapsed="false" customWidth="true" hidden="false" outlineLevel="0" max="13" min="13" style="1" width="36"/>
  </cols>
  <sheetData>
    <row r="1" customFormat="false" ht="24" hidden="false" customHeight="true" outlineLevel="0" collapsed="false">
      <c r="A1" s="23" t="s">
        <v>1656</v>
      </c>
    </row>
    <row r="2" customFormat="false" ht="15" hidden="false" customHeight="true" outlineLevel="0" collapsed="false">
      <c r="A2" s="22" t="s">
        <v>1657</v>
      </c>
    </row>
    <row r="4" customFormat="false" ht="19.5" hidden="false" customHeight="true" outlineLevel="0" collapsed="false">
      <c r="A4" s="24" t="s">
        <v>1658</v>
      </c>
      <c r="B4" s="25" t="s">
        <v>1659</v>
      </c>
      <c r="C4" s="25" t="s">
        <v>50</v>
      </c>
      <c r="D4" s="25" t="s">
        <v>1660</v>
      </c>
      <c r="E4" s="25" t="s">
        <v>1661</v>
      </c>
      <c r="F4" s="25" t="s">
        <v>1662</v>
      </c>
      <c r="G4" s="25" t="s">
        <v>1663</v>
      </c>
      <c r="H4" s="25" t="s">
        <v>736</v>
      </c>
      <c r="I4" s="25" t="s">
        <v>1664</v>
      </c>
      <c r="J4" s="25" t="s">
        <v>1665</v>
      </c>
      <c r="K4" s="25" t="s">
        <v>1666</v>
      </c>
      <c r="L4" s="25" t="s">
        <v>1667</v>
      </c>
      <c r="M4" s="25" t="s">
        <v>1668</v>
      </c>
    </row>
    <row r="5" customFormat="false" ht="61.5" hidden="false" customHeight="true" outlineLevel="0" collapsed="false">
      <c r="A5" s="66" t="s">
        <v>1182</v>
      </c>
      <c r="B5" s="28" t="s">
        <v>446</v>
      </c>
      <c r="C5" s="9" t="s">
        <v>1669</v>
      </c>
      <c r="D5" s="8" t="s">
        <v>1670</v>
      </c>
      <c r="E5" s="29" t="s">
        <v>1671</v>
      </c>
      <c r="F5" s="8" t="s">
        <v>1672</v>
      </c>
      <c r="G5" s="8" t="s">
        <v>1673</v>
      </c>
      <c r="H5" s="8" t="s">
        <v>1674</v>
      </c>
      <c r="I5" s="9" t="s">
        <v>1675</v>
      </c>
      <c r="J5" s="9" t="s">
        <v>1676</v>
      </c>
      <c r="K5" s="8" t="s">
        <v>1677</v>
      </c>
      <c r="L5" s="9" t="s">
        <v>1678</v>
      </c>
      <c r="M5" s="9" t="s">
        <v>1679</v>
      </c>
    </row>
    <row r="6" customFormat="false" ht="106.5" hidden="false" customHeight="true" outlineLevel="0" collapsed="false">
      <c r="A6" s="66" t="s">
        <v>1680</v>
      </c>
      <c r="B6" s="28" t="s">
        <v>446</v>
      </c>
      <c r="C6" s="9" t="s">
        <v>1681</v>
      </c>
      <c r="D6" s="8" t="s">
        <v>1682</v>
      </c>
      <c r="E6" s="9" t="s">
        <v>1683</v>
      </c>
      <c r="F6" s="8" t="s">
        <v>1684</v>
      </c>
      <c r="G6" s="8" t="s">
        <v>1685</v>
      </c>
      <c r="H6" s="8" t="s">
        <v>1686</v>
      </c>
      <c r="I6" s="9" t="s">
        <v>1687</v>
      </c>
      <c r="J6" s="9" t="s">
        <v>1688</v>
      </c>
      <c r="K6" s="8" t="s">
        <v>1689</v>
      </c>
      <c r="L6" s="9" t="s">
        <v>1690</v>
      </c>
      <c r="M6" s="9" t="s">
        <v>1691</v>
      </c>
    </row>
    <row r="7" customFormat="false" ht="61.5" hidden="false" customHeight="true" outlineLevel="0" collapsed="false">
      <c r="A7" s="66" t="s">
        <v>919</v>
      </c>
      <c r="B7" s="28" t="s">
        <v>446</v>
      </c>
      <c r="C7" s="9" t="s">
        <v>1692</v>
      </c>
      <c r="D7" s="8" t="s">
        <v>1693</v>
      </c>
      <c r="E7" s="9" t="s">
        <v>1694</v>
      </c>
      <c r="F7" s="8" t="s">
        <v>1695</v>
      </c>
      <c r="G7" s="8" t="s">
        <v>1696</v>
      </c>
      <c r="H7" s="8" t="s">
        <v>1697</v>
      </c>
      <c r="I7" s="9" t="s">
        <v>1698</v>
      </c>
      <c r="J7" s="9" t="s">
        <v>1699</v>
      </c>
      <c r="K7" s="8" t="s">
        <v>1700</v>
      </c>
      <c r="L7" s="9" t="s">
        <v>1701</v>
      </c>
      <c r="M7" s="9" t="s">
        <v>1702</v>
      </c>
    </row>
    <row r="8" customFormat="false" ht="91.5" hidden="false" customHeight="true" outlineLevel="0" collapsed="false">
      <c r="A8" s="66" t="s">
        <v>745</v>
      </c>
      <c r="B8" s="28" t="s">
        <v>1703</v>
      </c>
      <c r="C8" s="9" t="s">
        <v>1704</v>
      </c>
      <c r="D8" s="8" t="s">
        <v>1705</v>
      </c>
      <c r="E8" s="9" t="s">
        <v>1706</v>
      </c>
      <c r="F8" s="8" t="s">
        <v>1707</v>
      </c>
      <c r="G8" s="8" t="s">
        <v>1708</v>
      </c>
      <c r="H8" s="8" t="s">
        <v>1709</v>
      </c>
      <c r="I8" s="9" t="s">
        <v>1710</v>
      </c>
      <c r="J8" s="8" t="s">
        <v>1711</v>
      </c>
      <c r="K8" s="8" t="s">
        <v>1712</v>
      </c>
      <c r="L8" s="9" t="s">
        <v>1713</v>
      </c>
      <c r="M8" s="9" t="s">
        <v>1714</v>
      </c>
    </row>
    <row r="9" customFormat="false" ht="61.5" hidden="false" customHeight="true" outlineLevel="0" collapsed="false">
      <c r="A9" s="66" t="s">
        <v>1018</v>
      </c>
      <c r="B9" s="28" t="s">
        <v>1703</v>
      </c>
      <c r="C9" s="9" t="s">
        <v>1715</v>
      </c>
      <c r="D9" s="8" t="s">
        <v>1716</v>
      </c>
      <c r="E9" s="8" t="s">
        <v>1717</v>
      </c>
      <c r="F9" s="8" t="s">
        <v>1718</v>
      </c>
      <c r="G9" s="8" t="s">
        <v>1719</v>
      </c>
      <c r="H9" s="8" t="s">
        <v>1720</v>
      </c>
      <c r="I9" s="9" t="s">
        <v>1721</v>
      </c>
      <c r="J9" s="9" t="s">
        <v>1722</v>
      </c>
      <c r="K9" s="8" t="s">
        <v>1723</v>
      </c>
      <c r="L9" s="8" t="s">
        <v>1724</v>
      </c>
      <c r="M9" s="9" t="s">
        <v>1725</v>
      </c>
    </row>
    <row r="10" customFormat="false" ht="46.5" hidden="false" customHeight="true" outlineLevel="0" collapsed="false">
      <c r="A10" s="66" t="s">
        <v>795</v>
      </c>
      <c r="B10" s="28" t="s">
        <v>1703</v>
      </c>
      <c r="C10" s="9" t="s">
        <v>1726</v>
      </c>
      <c r="D10" s="8" t="s">
        <v>1727</v>
      </c>
      <c r="E10" s="9" t="s">
        <v>1728</v>
      </c>
      <c r="F10" s="8" t="s">
        <v>1729</v>
      </c>
      <c r="G10" s="8" t="s">
        <v>1730</v>
      </c>
      <c r="H10" s="8" t="s">
        <v>1731</v>
      </c>
      <c r="I10" s="9" t="s">
        <v>1732</v>
      </c>
      <c r="J10" s="9" t="s">
        <v>1733</v>
      </c>
      <c r="K10" s="8" t="s">
        <v>1734</v>
      </c>
      <c r="L10" s="9" t="s">
        <v>1735</v>
      </c>
      <c r="M10" s="9" t="s">
        <v>1736</v>
      </c>
    </row>
    <row r="11" customFormat="false" ht="46.5" hidden="false" customHeight="true" outlineLevel="0" collapsed="false">
      <c r="A11" s="66" t="s">
        <v>758</v>
      </c>
      <c r="B11" s="28" t="s">
        <v>1737</v>
      </c>
      <c r="C11" s="9" t="s">
        <v>1738</v>
      </c>
      <c r="D11" s="8" t="s">
        <v>1739</v>
      </c>
      <c r="E11" s="9" t="s">
        <v>1740</v>
      </c>
      <c r="F11" s="8" t="s">
        <v>1741</v>
      </c>
      <c r="G11" s="8" t="s">
        <v>1742</v>
      </c>
      <c r="H11" s="8" t="s">
        <v>1743</v>
      </c>
      <c r="I11" s="9" t="s">
        <v>1744</v>
      </c>
      <c r="J11" s="9" t="s">
        <v>1745</v>
      </c>
      <c r="K11" s="8" t="s">
        <v>1746</v>
      </c>
      <c r="L11" s="9" t="s">
        <v>1747</v>
      </c>
      <c r="M11" s="8" t="s">
        <v>1748</v>
      </c>
    </row>
    <row r="12" customFormat="false" ht="61.5" hidden="false" customHeight="true" outlineLevel="0" collapsed="false">
      <c r="A12" s="66" t="s">
        <v>782</v>
      </c>
      <c r="B12" s="28" t="s">
        <v>1737</v>
      </c>
      <c r="C12" s="9" t="s">
        <v>1749</v>
      </c>
      <c r="D12" s="8" t="s">
        <v>1750</v>
      </c>
      <c r="E12" s="8" t="s">
        <v>1751</v>
      </c>
      <c r="F12" s="8" t="s">
        <v>1752</v>
      </c>
      <c r="G12" s="8" t="s">
        <v>1753</v>
      </c>
      <c r="H12" s="8" t="s">
        <v>1754</v>
      </c>
      <c r="I12" s="9" t="s">
        <v>1755</v>
      </c>
      <c r="J12" s="8" t="s">
        <v>1756</v>
      </c>
      <c r="K12" s="8" t="s">
        <v>1757</v>
      </c>
      <c r="L12" s="9" t="s">
        <v>1758</v>
      </c>
      <c r="M12" s="9" t="s">
        <v>1759</v>
      </c>
    </row>
    <row r="13" customFormat="false" ht="76.5" hidden="false" customHeight="true" outlineLevel="0" collapsed="false">
      <c r="A13" s="66" t="s">
        <v>902</v>
      </c>
      <c r="B13" s="28" t="s">
        <v>1737</v>
      </c>
      <c r="C13" s="9" t="s">
        <v>1760</v>
      </c>
      <c r="D13" s="8" t="s">
        <v>1761</v>
      </c>
      <c r="E13" s="9" t="s">
        <v>1762</v>
      </c>
      <c r="F13" s="8" t="s">
        <v>1763</v>
      </c>
      <c r="G13" s="8" t="s">
        <v>1764</v>
      </c>
      <c r="H13" s="8" t="s">
        <v>1765</v>
      </c>
      <c r="I13" s="9" t="s">
        <v>1766</v>
      </c>
      <c r="J13" s="9" t="s">
        <v>1767</v>
      </c>
      <c r="K13" s="8" t="s">
        <v>1768</v>
      </c>
      <c r="L13" s="8" t="s">
        <v>1769</v>
      </c>
      <c r="M13" s="9" t="s">
        <v>1770</v>
      </c>
    </row>
    <row r="14" customFormat="false" ht="46.5" hidden="false" customHeight="true" outlineLevel="0" collapsed="false">
      <c r="A14" s="66" t="s">
        <v>934</v>
      </c>
      <c r="B14" s="28" t="s">
        <v>1737</v>
      </c>
      <c r="C14" s="9" t="s">
        <v>1771</v>
      </c>
      <c r="D14" s="8" t="s">
        <v>1772</v>
      </c>
      <c r="E14" s="9" t="s">
        <v>1773</v>
      </c>
      <c r="F14" s="8" t="s">
        <v>1774</v>
      </c>
      <c r="G14" s="8" t="s">
        <v>1775</v>
      </c>
      <c r="H14" s="8" t="s">
        <v>1776</v>
      </c>
      <c r="I14" s="9" t="s">
        <v>1777</v>
      </c>
      <c r="J14" s="9" t="s">
        <v>1778</v>
      </c>
      <c r="K14" s="8" t="s">
        <v>1779</v>
      </c>
      <c r="L14" s="9" t="s">
        <v>1780</v>
      </c>
      <c r="M14" s="9" t="s">
        <v>1781</v>
      </c>
    </row>
    <row r="15" customFormat="false" ht="61.5" hidden="false" customHeight="true" outlineLevel="0" collapsed="false">
      <c r="A15" s="66" t="s">
        <v>1782</v>
      </c>
      <c r="B15" s="28" t="s">
        <v>1783</v>
      </c>
      <c r="C15" s="9" t="s">
        <v>1784</v>
      </c>
      <c r="D15" s="8" t="s">
        <v>1785</v>
      </c>
      <c r="E15" s="9" t="s">
        <v>1786</v>
      </c>
      <c r="F15" s="8" t="s">
        <v>1787</v>
      </c>
      <c r="G15" s="8" t="s">
        <v>1788</v>
      </c>
      <c r="H15" s="8" t="s">
        <v>1472</v>
      </c>
      <c r="I15" s="9" t="s">
        <v>1789</v>
      </c>
      <c r="J15" s="9" t="s">
        <v>1790</v>
      </c>
      <c r="K15" s="8" t="s">
        <v>1791</v>
      </c>
      <c r="L15" s="9" t="s">
        <v>1792</v>
      </c>
      <c r="M15" s="9" t="s">
        <v>1793</v>
      </c>
    </row>
    <row r="16" customFormat="false" ht="46.5" hidden="false" customHeight="true" outlineLevel="0" collapsed="false">
      <c r="A16" s="66" t="s">
        <v>1264</v>
      </c>
      <c r="B16" s="26" t="s">
        <v>1794</v>
      </c>
      <c r="C16" s="29" t="s">
        <v>1795</v>
      </c>
      <c r="D16" s="8" t="s">
        <v>1796</v>
      </c>
      <c r="E16" s="9" t="s">
        <v>1797</v>
      </c>
      <c r="F16" s="8" t="s">
        <v>1798</v>
      </c>
      <c r="G16" s="8" t="s">
        <v>1799</v>
      </c>
      <c r="H16" s="8" t="s">
        <v>1800</v>
      </c>
      <c r="I16" s="9" t="s">
        <v>1801</v>
      </c>
      <c r="J16" s="8" t="s">
        <v>1802</v>
      </c>
      <c r="K16" s="8" t="s">
        <v>1803</v>
      </c>
      <c r="L16" s="8" t="s">
        <v>1804</v>
      </c>
      <c r="M16" s="9" t="s">
        <v>1805</v>
      </c>
    </row>
    <row r="17" customFormat="false" ht="91.5" hidden="false" customHeight="true" outlineLevel="0" collapsed="false">
      <c r="A17" s="66" t="s">
        <v>1411</v>
      </c>
      <c r="B17" s="26" t="s">
        <v>1806</v>
      </c>
      <c r="C17" s="9" t="s">
        <v>1807</v>
      </c>
      <c r="D17" s="8" t="s">
        <v>1808</v>
      </c>
      <c r="E17" s="8" t="s">
        <v>1809</v>
      </c>
      <c r="F17" s="8" t="s">
        <v>1810</v>
      </c>
      <c r="G17" s="8" t="s">
        <v>1811</v>
      </c>
      <c r="H17" s="8" t="s">
        <v>1812</v>
      </c>
      <c r="I17" s="9" t="s">
        <v>1813</v>
      </c>
      <c r="J17" s="8" t="s">
        <v>1814</v>
      </c>
      <c r="K17" s="8" t="s">
        <v>1815</v>
      </c>
      <c r="L17" s="9" t="s">
        <v>1816</v>
      </c>
      <c r="M17" s="8" t="s">
        <v>1817</v>
      </c>
    </row>
    <row r="18" customFormat="false" ht="76.5" hidden="false" customHeight="true" outlineLevel="0" collapsed="false">
      <c r="A18" s="66" t="s">
        <v>1136</v>
      </c>
      <c r="B18" s="28" t="s">
        <v>1818</v>
      </c>
      <c r="C18" s="9" t="s">
        <v>1819</v>
      </c>
      <c r="D18" s="8" t="s">
        <v>1820</v>
      </c>
      <c r="E18" s="8" t="s">
        <v>1821</v>
      </c>
      <c r="F18" s="8" t="s">
        <v>1822</v>
      </c>
      <c r="G18" s="8" t="s">
        <v>1823</v>
      </c>
      <c r="H18" s="8" t="s">
        <v>1824</v>
      </c>
      <c r="I18" s="9" t="s">
        <v>1825</v>
      </c>
      <c r="J18" s="8" t="s">
        <v>1826</v>
      </c>
      <c r="K18" s="8" t="s">
        <v>1827</v>
      </c>
      <c r="L18" s="9" t="s">
        <v>1828</v>
      </c>
      <c r="M18" s="9" t="s">
        <v>1829</v>
      </c>
    </row>
    <row r="19" customFormat="false" ht="61.5" hidden="false" customHeight="true" outlineLevel="0" collapsed="false">
      <c r="A19" s="66" t="s">
        <v>1830</v>
      </c>
      <c r="B19" s="28" t="s">
        <v>1831</v>
      </c>
      <c r="C19" s="9" t="s">
        <v>1832</v>
      </c>
      <c r="D19" s="8" t="s">
        <v>1833</v>
      </c>
      <c r="E19" s="9" t="s">
        <v>1834</v>
      </c>
      <c r="F19" s="8" t="s">
        <v>1835</v>
      </c>
      <c r="G19" s="8" t="s">
        <v>1836</v>
      </c>
      <c r="H19" s="8" t="s">
        <v>1837</v>
      </c>
      <c r="I19" s="9" t="s">
        <v>1838</v>
      </c>
      <c r="J19" s="8" t="s">
        <v>1839</v>
      </c>
      <c r="K19" s="8" t="s">
        <v>1840</v>
      </c>
      <c r="L19" s="9" t="s">
        <v>1841</v>
      </c>
      <c r="M19" s="9" t="s">
        <v>1842</v>
      </c>
    </row>
    <row r="20" customFormat="false" ht="61.5" hidden="false" customHeight="true" outlineLevel="0" collapsed="false">
      <c r="A20" s="66" t="s">
        <v>1449</v>
      </c>
      <c r="B20" s="28" t="s">
        <v>1843</v>
      </c>
      <c r="C20" s="9" t="s">
        <v>1844</v>
      </c>
      <c r="D20" s="8" t="s">
        <v>1845</v>
      </c>
      <c r="E20" s="9" t="s">
        <v>1846</v>
      </c>
      <c r="F20" s="8" t="s">
        <v>1847</v>
      </c>
      <c r="G20" s="8" t="s">
        <v>1848</v>
      </c>
      <c r="H20" s="8" t="s">
        <v>1448</v>
      </c>
      <c r="I20" s="9" t="s">
        <v>1849</v>
      </c>
      <c r="J20" s="8" t="s">
        <v>1850</v>
      </c>
      <c r="K20" s="8" t="s">
        <v>1851</v>
      </c>
      <c r="L20" s="9" t="s">
        <v>1852</v>
      </c>
      <c r="M20" s="9" t="s">
        <v>1853</v>
      </c>
    </row>
    <row r="21" customFormat="false" ht="61.5" hidden="false" customHeight="true" outlineLevel="0" collapsed="false">
      <c r="A21" s="66" t="s">
        <v>1455</v>
      </c>
      <c r="B21" s="28" t="s">
        <v>1854</v>
      </c>
      <c r="C21" s="9" t="s">
        <v>1855</v>
      </c>
      <c r="D21" s="8" t="s">
        <v>1856</v>
      </c>
      <c r="E21" s="9" t="s">
        <v>1857</v>
      </c>
      <c r="F21" s="8" t="s">
        <v>1858</v>
      </c>
      <c r="G21" s="8" t="s">
        <v>1859</v>
      </c>
      <c r="H21" s="8" t="s">
        <v>1454</v>
      </c>
      <c r="I21" s="9" t="s">
        <v>1860</v>
      </c>
      <c r="J21" s="8" t="s">
        <v>1861</v>
      </c>
      <c r="K21" s="8" t="s">
        <v>1862</v>
      </c>
      <c r="L21" s="9" t="s">
        <v>1863</v>
      </c>
      <c r="M21" s="9" t="s">
        <v>1864</v>
      </c>
    </row>
    <row r="22" customFormat="false" ht="61.5" hidden="false" customHeight="true" outlineLevel="0" collapsed="false">
      <c r="A22" s="66" t="s">
        <v>1461</v>
      </c>
      <c r="B22" s="28" t="s">
        <v>1737</v>
      </c>
      <c r="C22" s="9" t="s">
        <v>1865</v>
      </c>
      <c r="D22" s="8" t="s">
        <v>1866</v>
      </c>
      <c r="E22" s="9" t="s">
        <v>1867</v>
      </c>
      <c r="F22" s="8" t="s">
        <v>1868</v>
      </c>
      <c r="G22" s="8" t="s">
        <v>1869</v>
      </c>
      <c r="H22" s="8" t="s">
        <v>1460</v>
      </c>
      <c r="I22" s="9" t="s">
        <v>1870</v>
      </c>
      <c r="J22" s="9" t="s">
        <v>1871</v>
      </c>
      <c r="K22" s="8" t="s">
        <v>1872</v>
      </c>
      <c r="L22" s="9" t="s">
        <v>1873</v>
      </c>
      <c r="M22" s="9" t="s">
        <v>1874</v>
      </c>
    </row>
    <row r="24" customFormat="false" ht="18" hidden="false" customHeight="true" outlineLevel="0" collapsed="false">
      <c r="A24" s="4" t="s">
        <v>1875</v>
      </c>
      <c r="B24" s="5"/>
      <c r="C24" s="5"/>
      <c r="D24" s="5"/>
      <c r="E24" s="5"/>
      <c r="F24" s="5"/>
      <c r="G24" s="5"/>
      <c r="H24" s="5"/>
      <c r="I24" s="5"/>
      <c r="J24" s="5"/>
      <c r="K24" s="5"/>
      <c r="L24" s="5"/>
      <c r="M24" s="5"/>
    </row>
    <row r="25" customFormat="false" ht="19.5" hidden="false" customHeight="true" outlineLevel="0" collapsed="false">
      <c r="A25" s="24" t="s">
        <v>83</v>
      </c>
      <c r="B25" s="25" t="s">
        <v>1876</v>
      </c>
      <c r="C25" s="25" t="s">
        <v>1877</v>
      </c>
      <c r="D25" s="25" t="s">
        <v>1878</v>
      </c>
      <c r="E25" s="25" t="s">
        <v>1879</v>
      </c>
    </row>
    <row r="26" customFormat="false" ht="31.5" hidden="false" customHeight="true" outlineLevel="0" collapsed="false">
      <c r="A26" s="26" t="n">
        <v>1</v>
      </c>
      <c r="B26" s="9" t="s">
        <v>1703</v>
      </c>
      <c r="C26" s="9" t="s">
        <v>1880</v>
      </c>
      <c r="D26" s="29" t="s">
        <v>1881</v>
      </c>
      <c r="E26" s="29" t="s">
        <v>1882</v>
      </c>
    </row>
    <row r="27" customFormat="false" ht="31.5" hidden="false" customHeight="true" outlineLevel="0" collapsed="false">
      <c r="A27" s="26" t="n">
        <v>2</v>
      </c>
      <c r="B27" s="9" t="s">
        <v>1737</v>
      </c>
      <c r="C27" s="8" t="s">
        <v>1883</v>
      </c>
      <c r="D27" s="8" t="s">
        <v>1884</v>
      </c>
      <c r="E27" s="8" t="s">
        <v>1885</v>
      </c>
    </row>
    <row r="28" customFormat="false" ht="31.5" hidden="false" customHeight="true" outlineLevel="0" collapsed="false">
      <c r="A28" s="26" t="n">
        <v>3</v>
      </c>
      <c r="B28" s="9" t="s">
        <v>446</v>
      </c>
      <c r="C28" s="9" t="s">
        <v>1886</v>
      </c>
      <c r="D28" s="9" t="s">
        <v>1887</v>
      </c>
      <c r="E28" s="9" t="s">
        <v>1888</v>
      </c>
    </row>
    <row r="29" customFormat="false" ht="61.5" hidden="false" customHeight="true" outlineLevel="0" collapsed="false">
      <c r="A29" s="26" t="n">
        <v>4</v>
      </c>
      <c r="B29" s="9" t="s">
        <v>1889</v>
      </c>
      <c r="C29" s="9" t="s">
        <v>1890</v>
      </c>
      <c r="D29" s="9" t="s">
        <v>1891</v>
      </c>
      <c r="E29" s="9" t="s">
        <v>1892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true"/>
  </sheetPr>
  <dimension ref="A1:Q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30"/>
    <col collapsed="false" customWidth="true" hidden="false" outlineLevel="0" max="15" min="3" style="1" width="6"/>
    <col collapsed="false" customWidth="true" hidden="false" outlineLevel="0" max="17" min="16" style="1" width="10"/>
  </cols>
  <sheetData>
    <row r="1" customFormat="false" ht="24" hidden="false" customHeight="true" outlineLevel="0" collapsed="false">
      <c r="A1" s="23" t="s">
        <v>1893</v>
      </c>
    </row>
    <row r="2" customFormat="false" ht="15" hidden="false" customHeight="true" outlineLevel="0" collapsed="false">
      <c r="A2" s="3" t="s">
        <v>1894</v>
      </c>
    </row>
    <row r="4" customFormat="false" ht="21.75" hidden="false" customHeight="true" outlineLevel="0" collapsed="false">
      <c r="A4" s="24" t="s">
        <v>1658</v>
      </c>
      <c r="B4" s="25" t="s">
        <v>50</v>
      </c>
      <c r="C4" s="24" t="s">
        <v>325</v>
      </c>
      <c r="D4" s="24" t="s">
        <v>326</v>
      </c>
      <c r="E4" s="24" t="s">
        <v>327</v>
      </c>
      <c r="F4" s="24" t="s">
        <v>328</v>
      </c>
      <c r="G4" s="24" t="s">
        <v>329</v>
      </c>
      <c r="H4" s="24" t="s">
        <v>330</v>
      </c>
      <c r="I4" s="24" t="s">
        <v>331</v>
      </c>
      <c r="J4" s="24" t="s">
        <v>332</v>
      </c>
      <c r="K4" s="24" t="s">
        <v>333</v>
      </c>
      <c r="L4" s="24" t="s">
        <v>334</v>
      </c>
      <c r="M4" s="24" t="s">
        <v>335</v>
      </c>
      <c r="N4" s="24" t="s">
        <v>336</v>
      </c>
      <c r="O4" s="24" t="s">
        <v>337</v>
      </c>
      <c r="P4" s="25" t="s">
        <v>1895</v>
      </c>
      <c r="Q4" s="25" t="s">
        <v>1896</v>
      </c>
    </row>
    <row r="5" customFormat="false" ht="15" hidden="false" customHeight="true" outlineLevel="0" collapsed="false">
      <c r="A5" s="50" t="s">
        <v>1182</v>
      </c>
      <c r="B5" s="67" t="s">
        <v>1897</v>
      </c>
      <c r="C5" s="32"/>
      <c r="D5" s="32"/>
      <c r="E5" s="32"/>
      <c r="F5" s="32"/>
      <c r="G5" s="32"/>
      <c r="H5" s="32"/>
      <c r="I5" s="32" t="s">
        <v>1898</v>
      </c>
      <c r="J5" s="32" t="s">
        <v>1898</v>
      </c>
      <c r="K5" s="32" t="s">
        <v>1899</v>
      </c>
      <c r="L5" s="32" t="s">
        <v>1899</v>
      </c>
      <c r="M5" s="32" t="s">
        <v>1898</v>
      </c>
      <c r="N5" s="32" t="s">
        <v>1899</v>
      </c>
      <c r="O5" s="32"/>
      <c r="P5" s="33" t="n">
        <f aca="false">COUNTIF(C5:O5,"●")</f>
        <v>3</v>
      </c>
      <c r="Q5" s="33" t="n">
        <f aca="false">COUNTIF(C5:O5,"○")</f>
        <v>3</v>
      </c>
    </row>
    <row r="6" customFormat="false" ht="15" hidden="false" customHeight="true" outlineLevel="0" collapsed="false">
      <c r="A6" s="50" t="s">
        <v>1680</v>
      </c>
      <c r="B6" s="67" t="s">
        <v>1900</v>
      </c>
      <c r="C6" s="32"/>
      <c r="D6" s="32"/>
      <c r="E6" s="32"/>
      <c r="F6" s="32"/>
      <c r="G6" s="32"/>
      <c r="H6" s="32"/>
      <c r="I6" s="32"/>
      <c r="J6" s="32"/>
      <c r="K6" s="32"/>
      <c r="L6" s="32" t="s">
        <v>1899</v>
      </c>
      <c r="M6" s="32"/>
      <c r="N6" s="32" t="s">
        <v>1898</v>
      </c>
      <c r="O6" s="32"/>
      <c r="P6" s="33" t="n">
        <f aca="false">COUNTIF(C6:O6,"●")</f>
        <v>1</v>
      </c>
      <c r="Q6" s="33" t="n">
        <f aca="false">COUNTIF(C6:O6,"○")</f>
        <v>1</v>
      </c>
    </row>
    <row r="7" customFormat="false" ht="15" hidden="false" customHeight="true" outlineLevel="0" collapsed="false">
      <c r="A7" s="50" t="s">
        <v>919</v>
      </c>
      <c r="B7" s="67" t="s">
        <v>1901</v>
      </c>
      <c r="C7" s="32"/>
      <c r="D7" s="32" t="s">
        <v>1898</v>
      </c>
      <c r="E7" s="32" t="s">
        <v>1898</v>
      </c>
      <c r="F7" s="32" t="s">
        <v>1898</v>
      </c>
      <c r="G7" s="32"/>
      <c r="H7" s="32"/>
      <c r="I7" s="32" t="s">
        <v>1899</v>
      </c>
      <c r="J7" s="32"/>
      <c r="K7" s="32" t="s">
        <v>1899</v>
      </c>
      <c r="L7" s="32" t="s">
        <v>1898</v>
      </c>
      <c r="M7" s="32"/>
      <c r="N7" s="32" t="s">
        <v>1898</v>
      </c>
      <c r="O7" s="32"/>
      <c r="P7" s="33" t="n">
        <f aca="false">COUNTIF(C7:O7,"●")</f>
        <v>2</v>
      </c>
      <c r="Q7" s="33" t="n">
        <f aca="false">COUNTIF(C7:O7,"○")</f>
        <v>5</v>
      </c>
    </row>
    <row r="8" customFormat="false" ht="15" hidden="false" customHeight="true" outlineLevel="0" collapsed="false">
      <c r="A8" s="50" t="s">
        <v>745</v>
      </c>
      <c r="B8" s="67" t="s">
        <v>1902</v>
      </c>
      <c r="C8" s="32" t="s">
        <v>1899</v>
      </c>
      <c r="D8" s="32" t="s">
        <v>1899</v>
      </c>
      <c r="E8" s="32"/>
      <c r="F8" s="32"/>
      <c r="G8" s="32"/>
      <c r="H8" s="32" t="s">
        <v>1899</v>
      </c>
      <c r="I8" s="32"/>
      <c r="J8" s="32" t="s">
        <v>1898</v>
      </c>
      <c r="K8" s="32" t="s">
        <v>1899</v>
      </c>
      <c r="L8" s="32"/>
      <c r="M8" s="32" t="s">
        <v>1899</v>
      </c>
      <c r="N8" s="32"/>
      <c r="O8" s="32" t="s">
        <v>1898</v>
      </c>
      <c r="P8" s="33" t="n">
        <f aca="false">COUNTIF(C8:O8,"●")</f>
        <v>5</v>
      </c>
      <c r="Q8" s="33" t="n">
        <f aca="false">COUNTIF(C8:O8,"○")</f>
        <v>2</v>
      </c>
    </row>
    <row r="9" customFormat="false" ht="15" hidden="false" customHeight="true" outlineLevel="0" collapsed="false">
      <c r="A9" s="50" t="s">
        <v>1018</v>
      </c>
      <c r="B9" s="67" t="s">
        <v>1903</v>
      </c>
      <c r="C9" s="32"/>
      <c r="D9" s="32"/>
      <c r="E9" s="32"/>
      <c r="F9" s="32"/>
      <c r="G9" s="32" t="s">
        <v>1899</v>
      </c>
      <c r="H9" s="32"/>
      <c r="I9" s="32"/>
      <c r="J9" s="32" t="s">
        <v>1898</v>
      </c>
      <c r="K9" s="32"/>
      <c r="L9" s="32"/>
      <c r="M9" s="32" t="s">
        <v>1898</v>
      </c>
      <c r="N9" s="32"/>
      <c r="O9" s="32" t="s">
        <v>1898</v>
      </c>
      <c r="P9" s="33" t="n">
        <f aca="false">COUNTIF(C9:O9,"●")</f>
        <v>1</v>
      </c>
      <c r="Q9" s="33" t="n">
        <f aca="false">COUNTIF(C9:O9,"○")</f>
        <v>3</v>
      </c>
    </row>
    <row r="10" customFormat="false" ht="15" hidden="false" customHeight="true" outlineLevel="0" collapsed="false">
      <c r="A10" s="50" t="s">
        <v>795</v>
      </c>
      <c r="B10" s="67" t="s">
        <v>1904</v>
      </c>
      <c r="C10" s="32"/>
      <c r="D10" s="32"/>
      <c r="E10" s="32"/>
      <c r="F10" s="32"/>
      <c r="G10" s="32"/>
      <c r="H10" s="32"/>
      <c r="I10" s="32"/>
      <c r="J10" s="32"/>
      <c r="K10" s="32"/>
      <c r="L10" s="32" t="s">
        <v>1898</v>
      </c>
      <c r="M10" s="32" t="s">
        <v>1899</v>
      </c>
      <c r="N10" s="32" t="s">
        <v>1899</v>
      </c>
      <c r="O10" s="32" t="s">
        <v>1898</v>
      </c>
      <c r="P10" s="33" t="n">
        <f aca="false">COUNTIF(C10:O10,"●")</f>
        <v>2</v>
      </c>
      <c r="Q10" s="33" t="n">
        <f aca="false">COUNTIF(C10:O10,"○")</f>
        <v>2</v>
      </c>
    </row>
    <row r="11" customFormat="false" ht="15" hidden="false" customHeight="true" outlineLevel="0" collapsed="false">
      <c r="A11" s="50" t="s">
        <v>758</v>
      </c>
      <c r="B11" s="67" t="s">
        <v>1738</v>
      </c>
      <c r="C11" s="32" t="s">
        <v>1899</v>
      </c>
      <c r="D11" s="32"/>
      <c r="E11" s="32"/>
      <c r="F11" s="32"/>
      <c r="G11" s="32" t="s">
        <v>1898</v>
      </c>
      <c r="H11" s="32" t="s">
        <v>1898</v>
      </c>
      <c r="I11" s="32" t="s">
        <v>1898</v>
      </c>
      <c r="J11" s="32" t="s">
        <v>1898</v>
      </c>
      <c r="K11" s="32"/>
      <c r="L11" s="32" t="s">
        <v>1898</v>
      </c>
      <c r="M11" s="32" t="s">
        <v>1899</v>
      </c>
      <c r="N11" s="32"/>
      <c r="O11" s="32" t="s">
        <v>1899</v>
      </c>
      <c r="P11" s="33" t="n">
        <f aca="false">COUNTIF(C11:O11,"●")</f>
        <v>3</v>
      </c>
      <c r="Q11" s="33" t="n">
        <f aca="false">COUNTIF(C11:O11,"○")</f>
        <v>5</v>
      </c>
    </row>
    <row r="12" customFormat="false" ht="15" hidden="false" customHeight="true" outlineLevel="0" collapsed="false">
      <c r="A12" s="50" t="s">
        <v>782</v>
      </c>
      <c r="B12" s="67" t="s">
        <v>1905</v>
      </c>
      <c r="C12" s="32" t="s">
        <v>1899</v>
      </c>
      <c r="D12" s="32"/>
      <c r="E12" s="32" t="s">
        <v>1898</v>
      </c>
      <c r="F12" s="32"/>
      <c r="G12" s="32"/>
      <c r="H12" s="32" t="s">
        <v>1899</v>
      </c>
      <c r="I12" s="32" t="s">
        <v>1899</v>
      </c>
      <c r="J12" s="32" t="s">
        <v>1898</v>
      </c>
      <c r="K12" s="32"/>
      <c r="L12" s="32" t="s">
        <v>1898</v>
      </c>
      <c r="M12" s="32" t="s">
        <v>1899</v>
      </c>
      <c r="N12" s="32"/>
      <c r="O12" s="32"/>
      <c r="P12" s="33" t="n">
        <f aca="false">COUNTIF(C12:O12,"●")</f>
        <v>4</v>
      </c>
      <c r="Q12" s="33" t="n">
        <f aca="false">COUNTIF(C12:O12,"○")</f>
        <v>3</v>
      </c>
    </row>
    <row r="13" customFormat="false" ht="15" hidden="false" customHeight="true" outlineLevel="0" collapsed="false">
      <c r="A13" s="50" t="s">
        <v>902</v>
      </c>
      <c r="B13" s="67" t="s">
        <v>1760</v>
      </c>
      <c r="C13" s="32"/>
      <c r="D13" s="32"/>
      <c r="E13" s="32" t="s">
        <v>1898</v>
      </c>
      <c r="F13" s="32"/>
      <c r="G13" s="32"/>
      <c r="H13" s="32"/>
      <c r="I13" s="32"/>
      <c r="J13" s="32"/>
      <c r="K13" s="32" t="s">
        <v>1899</v>
      </c>
      <c r="L13" s="32" t="s">
        <v>1898</v>
      </c>
      <c r="M13" s="32" t="s">
        <v>1898</v>
      </c>
      <c r="N13" s="32"/>
      <c r="O13" s="32" t="s">
        <v>1898</v>
      </c>
      <c r="P13" s="33" t="n">
        <f aca="false">COUNTIF(C13:O13,"●")</f>
        <v>1</v>
      </c>
      <c r="Q13" s="33" t="n">
        <f aca="false">COUNTIF(C13:O13,"○")</f>
        <v>4</v>
      </c>
    </row>
    <row r="14" customFormat="false" ht="15" hidden="false" customHeight="true" outlineLevel="0" collapsed="false">
      <c r="A14" s="50" t="s">
        <v>934</v>
      </c>
      <c r="B14" s="67" t="s">
        <v>1906</v>
      </c>
      <c r="C14" s="32"/>
      <c r="D14" s="32"/>
      <c r="E14" s="32" t="s">
        <v>1899</v>
      </c>
      <c r="F14" s="32"/>
      <c r="G14" s="32"/>
      <c r="H14" s="32"/>
      <c r="I14" s="32"/>
      <c r="J14" s="32"/>
      <c r="K14" s="32"/>
      <c r="L14" s="32" t="s">
        <v>1898</v>
      </c>
      <c r="M14" s="32" t="s">
        <v>1898</v>
      </c>
      <c r="N14" s="32" t="s">
        <v>1898</v>
      </c>
      <c r="O14" s="32"/>
      <c r="P14" s="33" t="n">
        <f aca="false">COUNTIF(C14:O14,"●")</f>
        <v>1</v>
      </c>
      <c r="Q14" s="33" t="n">
        <f aca="false">COUNTIF(C14:O14,"○")</f>
        <v>3</v>
      </c>
    </row>
    <row r="15" customFormat="false" ht="15" hidden="false" customHeight="true" outlineLevel="0" collapsed="false">
      <c r="A15" s="50" t="s">
        <v>1782</v>
      </c>
      <c r="B15" s="67" t="s">
        <v>1907</v>
      </c>
      <c r="C15" s="32"/>
      <c r="D15" s="32"/>
      <c r="E15" s="32"/>
      <c r="F15" s="32"/>
      <c r="G15" s="32"/>
      <c r="H15" s="32"/>
      <c r="I15" s="32"/>
      <c r="J15" s="32"/>
      <c r="K15" s="32"/>
      <c r="L15" s="32"/>
      <c r="M15" s="32"/>
      <c r="N15" s="32" t="s">
        <v>1899</v>
      </c>
      <c r="O15" s="32" t="s">
        <v>1898</v>
      </c>
      <c r="P15" s="33" t="n">
        <f aca="false">COUNTIF(C15:O15,"●")</f>
        <v>1</v>
      </c>
      <c r="Q15" s="33" t="n">
        <f aca="false">COUNTIF(C15:O15,"○")</f>
        <v>1</v>
      </c>
    </row>
    <row r="16" customFormat="false" ht="15" hidden="false" customHeight="true" outlineLevel="0" collapsed="false">
      <c r="A16" s="50" t="s">
        <v>1264</v>
      </c>
      <c r="B16" s="68" t="s">
        <v>1795</v>
      </c>
      <c r="C16" s="32"/>
      <c r="D16" s="32"/>
      <c r="E16" s="32"/>
      <c r="F16" s="32"/>
      <c r="G16" s="32"/>
      <c r="H16" s="32"/>
      <c r="I16" s="32"/>
      <c r="J16" s="32"/>
      <c r="K16" s="32" t="s">
        <v>1899</v>
      </c>
      <c r="L16" s="32"/>
      <c r="M16" s="32" t="s">
        <v>1898</v>
      </c>
      <c r="N16" s="32"/>
      <c r="O16" s="32" t="s">
        <v>1898</v>
      </c>
      <c r="P16" s="33" t="n">
        <f aca="false">COUNTIF(C16:O16,"●")</f>
        <v>1</v>
      </c>
      <c r="Q16" s="33" t="n">
        <f aca="false">COUNTIF(C16:O16,"○")</f>
        <v>2</v>
      </c>
    </row>
    <row r="17" customFormat="false" ht="15" hidden="false" customHeight="true" outlineLevel="0" collapsed="false">
      <c r="A17" s="50" t="s">
        <v>1411</v>
      </c>
      <c r="B17" s="67" t="s">
        <v>1908</v>
      </c>
      <c r="C17" s="32"/>
      <c r="D17" s="32"/>
      <c r="E17" s="32"/>
      <c r="F17" s="32"/>
      <c r="G17" s="32"/>
      <c r="H17" s="32"/>
      <c r="I17" s="32"/>
      <c r="J17" s="32"/>
      <c r="K17" s="32"/>
      <c r="L17" s="32" t="s">
        <v>1898</v>
      </c>
      <c r="M17" s="32" t="s">
        <v>1899</v>
      </c>
      <c r="N17" s="32" t="s">
        <v>1899</v>
      </c>
      <c r="O17" s="32"/>
      <c r="P17" s="33" t="n">
        <f aca="false">COUNTIF(C17:O17,"●")</f>
        <v>2</v>
      </c>
      <c r="Q17" s="33" t="n">
        <f aca="false">COUNTIF(C17:O17,"○")</f>
        <v>1</v>
      </c>
    </row>
    <row r="18" customFormat="false" ht="15" hidden="false" customHeight="true" outlineLevel="0" collapsed="false">
      <c r="A18" s="50" t="s">
        <v>1136</v>
      </c>
      <c r="B18" s="67" t="s">
        <v>1909</v>
      </c>
      <c r="C18" s="32"/>
      <c r="D18" s="32"/>
      <c r="E18" s="32"/>
      <c r="F18" s="32"/>
      <c r="G18" s="32"/>
      <c r="H18" s="32"/>
      <c r="I18" s="32" t="s">
        <v>1899</v>
      </c>
      <c r="J18" s="32" t="s">
        <v>1898</v>
      </c>
      <c r="K18" s="32"/>
      <c r="L18" s="32" t="s">
        <v>1898</v>
      </c>
      <c r="M18" s="32"/>
      <c r="N18" s="32"/>
      <c r="O18" s="32"/>
      <c r="P18" s="33" t="n">
        <f aca="false">COUNTIF(C18:O18,"●")</f>
        <v>1</v>
      </c>
      <c r="Q18" s="33" t="n">
        <f aca="false">COUNTIF(C18:O18,"○")</f>
        <v>2</v>
      </c>
    </row>
    <row r="19" customFormat="false" ht="15" hidden="false" customHeight="true" outlineLevel="0" collapsed="false">
      <c r="A19" s="50" t="s">
        <v>1830</v>
      </c>
      <c r="B19" s="67" t="s">
        <v>1910</v>
      </c>
      <c r="C19" s="32"/>
      <c r="D19" s="32"/>
      <c r="E19" s="32"/>
      <c r="F19" s="32"/>
      <c r="G19" s="32"/>
      <c r="H19" s="32"/>
      <c r="I19" s="32"/>
      <c r="J19" s="32"/>
      <c r="K19" s="32"/>
      <c r="L19" s="32" t="s">
        <v>1899</v>
      </c>
      <c r="M19" s="32" t="s">
        <v>1898</v>
      </c>
      <c r="N19" s="32" t="s">
        <v>1898</v>
      </c>
      <c r="O19" s="32" t="s">
        <v>1898</v>
      </c>
      <c r="P19" s="33" t="n">
        <f aca="false">COUNTIF(C19:O19,"●")</f>
        <v>1</v>
      </c>
      <c r="Q19" s="33" t="n">
        <f aca="false">COUNTIF(C19:O19,"○")</f>
        <v>3</v>
      </c>
    </row>
    <row r="20" customFormat="false" ht="15" hidden="false" customHeight="true" outlineLevel="0" collapsed="false">
      <c r="A20" s="50" t="s">
        <v>1449</v>
      </c>
      <c r="B20" s="67" t="s">
        <v>1911</v>
      </c>
      <c r="C20" s="32"/>
      <c r="D20" s="32"/>
      <c r="E20" s="32"/>
      <c r="F20" s="32"/>
      <c r="G20" s="32" t="s">
        <v>1898</v>
      </c>
      <c r="H20" s="32"/>
      <c r="I20" s="32"/>
      <c r="J20" s="32"/>
      <c r="K20" s="32"/>
      <c r="L20" s="32"/>
      <c r="M20" s="32"/>
      <c r="N20" s="32" t="s">
        <v>1899</v>
      </c>
      <c r="O20" s="32"/>
      <c r="P20" s="33" t="n">
        <f aca="false">COUNTIF(C20:O20,"●")</f>
        <v>1</v>
      </c>
      <c r="Q20" s="33" t="n">
        <f aca="false">COUNTIF(C20:O20,"○")</f>
        <v>1</v>
      </c>
    </row>
    <row r="21" customFormat="false" ht="15" hidden="false" customHeight="true" outlineLevel="0" collapsed="false">
      <c r="A21" s="50" t="s">
        <v>1455</v>
      </c>
      <c r="B21" s="67" t="s">
        <v>1912</v>
      </c>
      <c r="C21" s="32"/>
      <c r="D21" s="32"/>
      <c r="E21" s="32"/>
      <c r="F21" s="32"/>
      <c r="G21" s="32"/>
      <c r="H21" s="32"/>
      <c r="I21" s="32" t="s">
        <v>1898</v>
      </c>
      <c r="J21" s="32"/>
      <c r="K21" s="32"/>
      <c r="L21" s="32"/>
      <c r="M21" s="32"/>
      <c r="N21" s="32" t="s">
        <v>1899</v>
      </c>
      <c r="O21" s="32"/>
      <c r="P21" s="33" t="n">
        <f aca="false">COUNTIF(C21:O21,"●")</f>
        <v>1</v>
      </c>
      <c r="Q21" s="33" t="n">
        <f aca="false">COUNTIF(C21:O21,"○")</f>
        <v>1</v>
      </c>
    </row>
    <row r="22" customFormat="false" ht="15" hidden="false" customHeight="true" outlineLevel="0" collapsed="false">
      <c r="A22" s="50" t="s">
        <v>1461</v>
      </c>
      <c r="B22" s="67" t="s">
        <v>1913</v>
      </c>
      <c r="C22" s="32" t="s">
        <v>1898</v>
      </c>
      <c r="D22" s="32"/>
      <c r="E22" s="32"/>
      <c r="F22" s="32"/>
      <c r="G22" s="32"/>
      <c r="H22" s="32"/>
      <c r="I22" s="32"/>
      <c r="J22" s="32"/>
      <c r="K22" s="32"/>
      <c r="L22" s="32"/>
      <c r="M22" s="32"/>
      <c r="N22" s="32" t="s">
        <v>1899</v>
      </c>
      <c r="O22" s="32"/>
      <c r="P22" s="33" t="n">
        <f aca="false">COUNTIF(C22:O22,"●")</f>
        <v>1</v>
      </c>
      <c r="Q22" s="33" t="n">
        <f aca="false">COUNTIF(C22:O22,"○")</f>
        <v>1</v>
      </c>
    </row>
    <row r="23" customFormat="false" ht="15" hidden="false" customHeight="true" outlineLevel="0" collapsed="false">
      <c r="A23" s="69"/>
      <c r="B23" s="47" t="s">
        <v>1914</v>
      </c>
      <c r="C23" s="53" t="n">
        <f aca="false">COUNTIF(C5:C22,"●")</f>
        <v>3</v>
      </c>
      <c r="D23" s="53" t="n">
        <f aca="false">COUNTIF(D5:D22,"●")</f>
        <v>1</v>
      </c>
      <c r="E23" s="53" t="n">
        <f aca="false">COUNTIF(E5:E22,"●")</f>
        <v>1</v>
      </c>
      <c r="F23" s="53" t="n">
        <f aca="false">COUNTIF(F5:F22,"●")</f>
        <v>0</v>
      </c>
      <c r="G23" s="53" t="n">
        <f aca="false">COUNTIF(G5:G22,"●")</f>
        <v>1</v>
      </c>
      <c r="H23" s="53" t="n">
        <f aca="false">COUNTIF(H5:H22,"●")</f>
        <v>2</v>
      </c>
      <c r="I23" s="53" t="n">
        <f aca="false">COUNTIF(I5:I22,"●")</f>
        <v>3</v>
      </c>
      <c r="J23" s="53" t="n">
        <f aca="false">COUNTIF(J5:J22,"●")</f>
        <v>0</v>
      </c>
      <c r="K23" s="53" t="n">
        <f aca="false">COUNTIF(K5:K22,"●")</f>
        <v>5</v>
      </c>
      <c r="L23" s="53" t="n">
        <f aca="false">COUNTIF(L5:L22,"●")</f>
        <v>3</v>
      </c>
      <c r="M23" s="53" t="n">
        <f aca="false">COUNTIF(M5:M22,"●")</f>
        <v>5</v>
      </c>
      <c r="N23" s="53" t="n">
        <f aca="false">COUNTIF(N5:N22,"●")</f>
        <v>7</v>
      </c>
      <c r="O23" s="53" t="n">
        <f aca="false">COUNTIF(O5:O22,"●")</f>
        <v>1</v>
      </c>
      <c r="P23" s="53" t="n">
        <f aca="false">SUM(P5:P22)</f>
        <v>32</v>
      </c>
      <c r="Q23" s="69"/>
    </row>
    <row r="24" customFormat="false" ht="15" hidden="false" customHeight="true" outlineLevel="0" collapsed="false">
      <c r="A24" s="69"/>
      <c r="B24" s="47" t="s">
        <v>1915</v>
      </c>
      <c r="C24" s="53" t="n">
        <f aca="false">COUNTIF(C5:C22,"○")</f>
        <v>1</v>
      </c>
      <c r="D24" s="53" t="n">
        <f aca="false">COUNTIF(D5:D22,"○")</f>
        <v>1</v>
      </c>
      <c r="E24" s="53" t="n">
        <f aca="false">COUNTIF(E5:E22,"○")</f>
        <v>3</v>
      </c>
      <c r="F24" s="53" t="n">
        <f aca="false">COUNTIF(F5:F22,"○")</f>
        <v>1</v>
      </c>
      <c r="G24" s="53" t="n">
        <f aca="false">COUNTIF(G5:G22,"○")</f>
        <v>2</v>
      </c>
      <c r="H24" s="53" t="n">
        <f aca="false">COUNTIF(H5:H22,"○")</f>
        <v>1</v>
      </c>
      <c r="I24" s="53" t="n">
        <f aca="false">COUNTIF(I5:I22,"○")</f>
        <v>3</v>
      </c>
      <c r="J24" s="53" t="n">
        <f aca="false">COUNTIF(J5:J22,"○")</f>
        <v>6</v>
      </c>
      <c r="K24" s="53" t="n">
        <f aca="false">COUNTIF(K5:K22,"○")</f>
        <v>0</v>
      </c>
      <c r="L24" s="53" t="n">
        <f aca="false">COUNTIF(L5:L22,"○")</f>
        <v>8</v>
      </c>
      <c r="M24" s="53" t="n">
        <f aca="false">COUNTIF(M5:M22,"○")</f>
        <v>6</v>
      </c>
      <c r="N24" s="53" t="n">
        <f aca="false">COUNTIF(N5:N22,"○")</f>
        <v>4</v>
      </c>
      <c r="O24" s="53" t="n">
        <f aca="false">COUNTIF(O5:O22,"○")</f>
        <v>7</v>
      </c>
      <c r="P24" s="69"/>
      <c r="Q24" s="53" t="n">
        <f aca="false">SUM(Q5:Q22)</f>
        <v>43</v>
      </c>
    </row>
    <row r="26" customFormat="false" ht="29.25" hidden="false" customHeight="true" outlineLevel="0" collapsed="false">
      <c r="A26" s="60" t="s">
        <v>1916</v>
      </c>
      <c r="B26" s="60"/>
      <c r="C26" s="60"/>
      <c r="D26" s="60"/>
      <c r="E26" s="60"/>
      <c r="F26" s="60"/>
      <c r="G26" s="60"/>
      <c r="H26" s="60"/>
      <c r="I26" s="60"/>
      <c r="J26" s="60"/>
      <c r="K26" s="60"/>
      <c r="L26" s="60"/>
      <c r="M26" s="60"/>
      <c r="N26" s="60"/>
      <c r="O26" s="60"/>
      <c r="P26" s="60"/>
      <c r="Q26" s="60"/>
    </row>
    <row r="27" customFormat="false" ht="16.5" hidden="false" customHeight="true" outlineLevel="0" collapsed="false">
      <c r="A27" s="60" t="s">
        <v>1917</v>
      </c>
      <c r="B27" s="60"/>
      <c r="C27" s="60"/>
      <c r="D27" s="60"/>
      <c r="E27" s="60"/>
      <c r="F27" s="60"/>
      <c r="G27" s="60"/>
      <c r="H27" s="60"/>
      <c r="I27" s="60"/>
      <c r="J27" s="60"/>
      <c r="K27" s="60"/>
      <c r="L27" s="60"/>
      <c r="M27" s="60"/>
      <c r="N27" s="60"/>
      <c r="O27" s="60"/>
      <c r="P27" s="60"/>
      <c r="Q27" s="60"/>
    </row>
  </sheetData>
  <mergeCells count="2">
    <mergeCell ref="A26:Q26"/>
    <mergeCell ref="A27:Q27"/>
  </mergeCells>
  <conditionalFormatting sqref="C5:O22">
    <cfRule type="cellIs" priority="2" operator="equal" aboveAverage="0" equalAverage="0" bottom="0" percent="0" rank="0" text="" dxfId="3">
      <formula>"●"</formula>
    </cfRule>
    <cfRule type="cellIs" priority="3" operator="equal" aboveAverage="0" equalAverage="0" bottom="0" percent="0" rank="0" text="" dxfId="4">
      <formula>"○"</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true"/>
  </sheetPr>
  <dimension ref="A1:G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2" min="2" style="1" width="26"/>
    <col collapsed="false" customWidth="true" hidden="false" outlineLevel="0" max="3" min="3" style="1" width="62"/>
    <col collapsed="false" customWidth="true" hidden="false" outlineLevel="0" max="4" min="4" style="1" width="34"/>
    <col collapsed="false" customWidth="true" hidden="false" outlineLevel="0" max="5" min="5" style="1" width="20"/>
    <col collapsed="false" customWidth="true" hidden="false" outlineLevel="0" max="6" min="6" style="1" width="38"/>
    <col collapsed="false" customWidth="true" hidden="false" outlineLevel="0" max="7" min="7" style="1" width="18"/>
  </cols>
  <sheetData>
    <row r="1" customFormat="false" ht="24" hidden="false" customHeight="true" outlineLevel="0" collapsed="false">
      <c r="A1" s="23" t="s">
        <v>1918</v>
      </c>
    </row>
    <row r="2" customFormat="false" ht="15" hidden="false" customHeight="true" outlineLevel="0" collapsed="false">
      <c r="A2" s="3" t="s">
        <v>1919</v>
      </c>
    </row>
    <row r="4" customFormat="false" ht="19.5" hidden="false" customHeight="true" outlineLevel="0" collapsed="false">
      <c r="A4" s="25" t="s">
        <v>1920</v>
      </c>
      <c r="B4" s="25" t="s">
        <v>1921</v>
      </c>
      <c r="C4" s="25" t="s">
        <v>396</v>
      </c>
      <c r="D4" s="25" t="s">
        <v>1922</v>
      </c>
      <c r="E4" s="25" t="s">
        <v>1923</v>
      </c>
      <c r="F4" s="25" t="s">
        <v>1666</v>
      </c>
      <c r="G4" s="25" t="s">
        <v>1924</v>
      </c>
    </row>
    <row r="5" customFormat="false" ht="61.5" hidden="false" customHeight="true" outlineLevel="0" collapsed="false">
      <c r="A5" s="6" t="s">
        <v>1925</v>
      </c>
      <c r="B5" s="9" t="s">
        <v>1926</v>
      </c>
      <c r="C5" s="9" t="s">
        <v>1927</v>
      </c>
      <c r="D5" s="9" t="s">
        <v>1928</v>
      </c>
      <c r="E5" s="8" t="s">
        <v>1929</v>
      </c>
      <c r="F5" s="8" t="s">
        <v>1930</v>
      </c>
      <c r="G5" s="9" t="s">
        <v>1931</v>
      </c>
    </row>
    <row r="6" customFormat="false" ht="46.5" hidden="false" customHeight="true" outlineLevel="0" collapsed="false">
      <c r="A6" s="6" t="s">
        <v>1925</v>
      </c>
      <c r="B6" s="9" t="s">
        <v>1932</v>
      </c>
      <c r="C6" s="9" t="s">
        <v>1933</v>
      </c>
      <c r="D6" s="9" t="s">
        <v>1934</v>
      </c>
      <c r="E6" s="8" t="s">
        <v>1935</v>
      </c>
      <c r="F6" s="8" t="s">
        <v>1936</v>
      </c>
      <c r="G6" s="9" t="s">
        <v>1931</v>
      </c>
    </row>
    <row r="7" customFormat="false" ht="46.5" hidden="false" customHeight="true" outlineLevel="0" collapsed="false">
      <c r="A7" s="6" t="s">
        <v>1925</v>
      </c>
      <c r="B7" s="9" t="s">
        <v>1937</v>
      </c>
      <c r="C7" s="9" t="s">
        <v>1938</v>
      </c>
      <c r="D7" s="29" t="s">
        <v>1939</v>
      </c>
      <c r="E7" s="8" t="s">
        <v>1940</v>
      </c>
      <c r="F7" s="8" t="s">
        <v>1941</v>
      </c>
      <c r="G7" s="9" t="s">
        <v>1931</v>
      </c>
    </row>
    <row r="8" customFormat="false" ht="46.5" hidden="false" customHeight="true" outlineLevel="0" collapsed="false">
      <c r="A8" s="6" t="s">
        <v>1925</v>
      </c>
      <c r="B8" s="9" t="s">
        <v>1942</v>
      </c>
      <c r="C8" s="9" t="s">
        <v>1943</v>
      </c>
      <c r="D8" s="9" t="s">
        <v>1944</v>
      </c>
      <c r="E8" s="8" t="s">
        <v>1940</v>
      </c>
      <c r="F8" s="8" t="s">
        <v>1945</v>
      </c>
      <c r="G8" s="9" t="s">
        <v>1931</v>
      </c>
    </row>
    <row r="9" customFormat="false" ht="46.5" hidden="false" customHeight="true" outlineLevel="0" collapsed="false">
      <c r="A9" s="6" t="s">
        <v>1925</v>
      </c>
      <c r="B9" s="9" t="s">
        <v>1946</v>
      </c>
      <c r="C9" s="9" t="s">
        <v>1947</v>
      </c>
      <c r="D9" s="9" t="s">
        <v>1948</v>
      </c>
      <c r="E9" s="8" t="s">
        <v>1949</v>
      </c>
      <c r="F9" s="8" t="s">
        <v>1950</v>
      </c>
      <c r="G9" s="9" t="s">
        <v>1931</v>
      </c>
    </row>
    <row r="10" customFormat="false" ht="46.5" hidden="false" customHeight="true" outlineLevel="0" collapsed="false">
      <c r="A10" s="6" t="s">
        <v>1925</v>
      </c>
      <c r="B10" s="9" t="s">
        <v>1951</v>
      </c>
      <c r="C10" s="9" t="s">
        <v>1952</v>
      </c>
      <c r="D10" s="9" t="s">
        <v>1953</v>
      </c>
      <c r="E10" s="8" t="s">
        <v>1954</v>
      </c>
      <c r="F10" s="8" t="s">
        <v>1955</v>
      </c>
      <c r="G10" s="9" t="s">
        <v>1931</v>
      </c>
    </row>
    <row r="11" customFormat="false" ht="46.5" hidden="false" customHeight="true" outlineLevel="0" collapsed="false">
      <c r="A11" s="6" t="s">
        <v>1925</v>
      </c>
      <c r="B11" s="9" t="s">
        <v>1956</v>
      </c>
      <c r="C11" s="9" t="s">
        <v>1957</v>
      </c>
      <c r="D11" s="9" t="s">
        <v>1958</v>
      </c>
      <c r="E11" s="8" t="s">
        <v>1959</v>
      </c>
      <c r="F11" s="8" t="s">
        <v>1960</v>
      </c>
      <c r="G11" s="9" t="s">
        <v>1931</v>
      </c>
    </row>
    <row r="12" customFormat="false" ht="46.5" hidden="false" customHeight="true" outlineLevel="0" collapsed="false">
      <c r="A12" s="6" t="s">
        <v>1925</v>
      </c>
      <c r="B12" s="9" t="s">
        <v>1961</v>
      </c>
      <c r="C12" s="29" t="s">
        <v>1962</v>
      </c>
      <c r="D12" s="9" t="s">
        <v>1963</v>
      </c>
      <c r="E12" s="8" t="s">
        <v>1964</v>
      </c>
      <c r="F12" s="8" t="s">
        <v>1965</v>
      </c>
      <c r="G12" s="9" t="s">
        <v>1931</v>
      </c>
    </row>
    <row r="13" customFormat="false" ht="46.5" hidden="false" customHeight="true" outlineLevel="0" collapsed="false">
      <c r="A13" s="6" t="s">
        <v>1925</v>
      </c>
      <c r="B13" s="9" t="s">
        <v>1966</v>
      </c>
      <c r="C13" s="9" t="s">
        <v>1967</v>
      </c>
      <c r="D13" s="29" t="s">
        <v>1968</v>
      </c>
      <c r="E13" s="8" t="s">
        <v>1969</v>
      </c>
      <c r="F13" s="8" t="s">
        <v>1970</v>
      </c>
      <c r="G13" s="9" t="s">
        <v>1931</v>
      </c>
    </row>
    <row r="14" customFormat="false" ht="46.5" hidden="false" customHeight="true" outlineLevel="0" collapsed="false">
      <c r="A14" s="6" t="s">
        <v>1925</v>
      </c>
      <c r="B14" s="9" t="s">
        <v>1971</v>
      </c>
      <c r="C14" s="9" t="s">
        <v>1972</v>
      </c>
      <c r="D14" s="9" t="s">
        <v>1973</v>
      </c>
      <c r="E14" s="8" t="s">
        <v>1974</v>
      </c>
      <c r="F14" s="8" t="s">
        <v>1975</v>
      </c>
      <c r="G14" s="9" t="s">
        <v>1931</v>
      </c>
    </row>
    <row r="15" customFormat="false" ht="46.5" hidden="false" customHeight="true" outlineLevel="0" collapsed="false">
      <c r="A15" s="6" t="s">
        <v>1925</v>
      </c>
      <c r="B15" s="9" t="s">
        <v>1340</v>
      </c>
      <c r="C15" s="9" t="s">
        <v>1976</v>
      </c>
      <c r="D15" s="9" t="s">
        <v>1977</v>
      </c>
      <c r="E15" s="8" t="s">
        <v>1978</v>
      </c>
      <c r="F15" s="8" t="s">
        <v>1979</v>
      </c>
      <c r="G15" s="9" t="s">
        <v>1931</v>
      </c>
    </row>
    <row r="16" customFormat="false" ht="46.5" hidden="false" customHeight="true" outlineLevel="0" collapsed="false">
      <c r="A16" s="6" t="s">
        <v>1925</v>
      </c>
      <c r="B16" s="9" t="s">
        <v>1350</v>
      </c>
      <c r="C16" s="9" t="s">
        <v>1980</v>
      </c>
      <c r="D16" s="9" t="s">
        <v>1981</v>
      </c>
      <c r="E16" s="8" t="s">
        <v>1982</v>
      </c>
      <c r="F16" s="8" t="s">
        <v>1983</v>
      </c>
      <c r="G16" s="9" t="s">
        <v>1931</v>
      </c>
    </row>
    <row r="17" customFormat="false" ht="46.5" hidden="false" customHeight="true" outlineLevel="0" collapsed="false">
      <c r="A17" s="6" t="s">
        <v>1925</v>
      </c>
      <c r="B17" s="9" t="s">
        <v>1984</v>
      </c>
      <c r="C17" s="29" t="s">
        <v>1985</v>
      </c>
      <c r="D17" s="29" t="s">
        <v>1986</v>
      </c>
      <c r="E17" s="8" t="s">
        <v>1987</v>
      </c>
      <c r="F17" s="8" t="s">
        <v>1988</v>
      </c>
      <c r="G17" s="9" t="s">
        <v>1989</v>
      </c>
    </row>
    <row r="18" customFormat="false" ht="46.5" hidden="false" customHeight="true" outlineLevel="0" collapsed="false">
      <c r="A18" s="6" t="s">
        <v>1925</v>
      </c>
      <c r="B18" s="9" t="s">
        <v>1990</v>
      </c>
      <c r="C18" s="9" t="s">
        <v>1991</v>
      </c>
      <c r="D18" s="9" t="s">
        <v>1992</v>
      </c>
      <c r="E18" s="8" t="s">
        <v>1993</v>
      </c>
      <c r="F18" s="8" t="s">
        <v>1994</v>
      </c>
      <c r="G18" s="9" t="s">
        <v>1931</v>
      </c>
    </row>
    <row r="19" customFormat="false" ht="46.5" hidden="false" customHeight="true" outlineLevel="0" collapsed="false">
      <c r="A19" s="6" t="s">
        <v>1925</v>
      </c>
      <c r="B19" s="9" t="s">
        <v>1995</v>
      </c>
      <c r="C19" s="9" t="s">
        <v>1996</v>
      </c>
      <c r="D19" s="9" t="s">
        <v>1997</v>
      </c>
      <c r="E19" s="8" t="s">
        <v>1998</v>
      </c>
      <c r="F19" s="8" t="s">
        <v>1999</v>
      </c>
      <c r="G19" s="9" t="s">
        <v>1931</v>
      </c>
    </row>
    <row r="20" customFormat="false" ht="46.5" hidden="false" customHeight="true" outlineLevel="0" collapsed="false">
      <c r="A20" s="6" t="s">
        <v>1925</v>
      </c>
      <c r="B20" s="9" t="s">
        <v>2000</v>
      </c>
      <c r="C20" s="9" t="s">
        <v>2001</v>
      </c>
      <c r="D20" s="29" t="s">
        <v>2002</v>
      </c>
      <c r="E20" s="8" t="s">
        <v>2003</v>
      </c>
      <c r="F20" s="8" t="s">
        <v>2004</v>
      </c>
      <c r="G20" s="9" t="s">
        <v>1931</v>
      </c>
    </row>
    <row r="21" customFormat="false" ht="46.5" hidden="false" customHeight="true" outlineLevel="0" collapsed="false">
      <c r="A21" s="6" t="s">
        <v>1925</v>
      </c>
      <c r="B21" s="9" t="s">
        <v>2005</v>
      </c>
      <c r="C21" s="9" t="s">
        <v>2006</v>
      </c>
      <c r="D21" s="9" t="s">
        <v>2007</v>
      </c>
      <c r="E21" s="8" t="s">
        <v>2008</v>
      </c>
      <c r="F21" s="8" t="s">
        <v>2009</v>
      </c>
      <c r="G21" s="9" t="s">
        <v>1931</v>
      </c>
    </row>
    <row r="22" customFormat="false" ht="46.5" hidden="false" customHeight="true" outlineLevel="0" collapsed="false">
      <c r="A22" s="6" t="s">
        <v>2010</v>
      </c>
      <c r="B22" s="9" t="s">
        <v>2011</v>
      </c>
      <c r="C22" s="9" t="s">
        <v>2012</v>
      </c>
      <c r="D22" s="9" t="s">
        <v>2013</v>
      </c>
      <c r="E22" s="8" t="s">
        <v>2014</v>
      </c>
      <c r="F22" s="8" t="s">
        <v>2015</v>
      </c>
      <c r="G22" s="9" t="s">
        <v>1931</v>
      </c>
    </row>
    <row r="23" customFormat="false" ht="46.5" hidden="false" customHeight="true" outlineLevel="0" collapsed="false">
      <c r="A23" s="6" t="s">
        <v>2010</v>
      </c>
      <c r="B23" s="9" t="s">
        <v>2016</v>
      </c>
      <c r="C23" s="9" t="s">
        <v>2017</v>
      </c>
      <c r="D23" s="9" t="s">
        <v>2018</v>
      </c>
      <c r="E23" s="8" t="s">
        <v>2019</v>
      </c>
      <c r="F23" s="8" t="s">
        <v>2020</v>
      </c>
      <c r="G23" s="9" t="s">
        <v>1931</v>
      </c>
    </row>
    <row r="24" customFormat="false" ht="46.5" hidden="false" customHeight="true" outlineLevel="0" collapsed="false">
      <c r="A24" s="6" t="s">
        <v>2010</v>
      </c>
      <c r="B24" s="9" t="s">
        <v>2021</v>
      </c>
      <c r="C24" s="9" t="s">
        <v>2022</v>
      </c>
      <c r="D24" s="9" t="s">
        <v>2023</v>
      </c>
      <c r="E24" s="8" t="s">
        <v>2024</v>
      </c>
      <c r="F24" s="8" t="s">
        <v>2025</v>
      </c>
      <c r="G24" s="9" t="s">
        <v>1931</v>
      </c>
    </row>
    <row r="25" customFormat="false" ht="46.5" hidden="false" customHeight="true" outlineLevel="0" collapsed="false">
      <c r="A25" s="6" t="s">
        <v>2010</v>
      </c>
      <c r="B25" s="9" t="s">
        <v>2026</v>
      </c>
      <c r="C25" s="9" t="s">
        <v>2027</v>
      </c>
      <c r="D25" s="9" t="s">
        <v>2026</v>
      </c>
      <c r="E25" s="8" t="s">
        <v>2028</v>
      </c>
      <c r="F25" s="8" t="s">
        <v>2029</v>
      </c>
      <c r="G25" s="9" t="s">
        <v>1931</v>
      </c>
    </row>
    <row r="26" customFormat="false" ht="46.5" hidden="false" customHeight="true" outlineLevel="0" collapsed="false">
      <c r="A26" s="6" t="s">
        <v>2010</v>
      </c>
      <c r="B26" s="9" t="s">
        <v>2030</v>
      </c>
      <c r="C26" s="9" t="s">
        <v>2031</v>
      </c>
      <c r="D26" s="9" t="s">
        <v>2032</v>
      </c>
      <c r="E26" s="8" t="s">
        <v>2033</v>
      </c>
      <c r="F26" s="8" t="s">
        <v>2034</v>
      </c>
      <c r="G26" s="9" t="s">
        <v>1931</v>
      </c>
    </row>
    <row r="27" customFormat="false" ht="46.5" hidden="false" customHeight="true" outlineLevel="0" collapsed="false">
      <c r="A27" s="6" t="s">
        <v>2010</v>
      </c>
      <c r="B27" s="9" t="s">
        <v>2035</v>
      </c>
      <c r="C27" s="9" t="s">
        <v>2036</v>
      </c>
      <c r="D27" s="9" t="s">
        <v>2037</v>
      </c>
      <c r="E27" s="8" t="s">
        <v>2038</v>
      </c>
      <c r="F27" s="8" t="s">
        <v>2039</v>
      </c>
      <c r="G27" s="9" t="s">
        <v>1931</v>
      </c>
    </row>
    <row r="28" customFormat="false" ht="46.5" hidden="false" customHeight="true" outlineLevel="0" collapsed="false">
      <c r="A28" s="6" t="s">
        <v>2010</v>
      </c>
      <c r="B28" s="9" t="s">
        <v>2040</v>
      </c>
      <c r="C28" s="9" t="s">
        <v>2041</v>
      </c>
      <c r="D28" s="9" t="s">
        <v>2042</v>
      </c>
      <c r="E28" s="8" t="s">
        <v>2014</v>
      </c>
      <c r="F28" s="8" t="s">
        <v>2043</v>
      </c>
      <c r="G28" s="9" t="s">
        <v>1931</v>
      </c>
    </row>
    <row r="29" customFormat="false" ht="46.5" hidden="false" customHeight="true" outlineLevel="0" collapsed="false">
      <c r="A29" s="6" t="s">
        <v>2010</v>
      </c>
      <c r="B29" s="9" t="s">
        <v>2044</v>
      </c>
      <c r="C29" s="9" t="s">
        <v>2045</v>
      </c>
      <c r="D29" s="9" t="s">
        <v>2046</v>
      </c>
      <c r="E29" s="8" t="s">
        <v>2047</v>
      </c>
      <c r="F29" s="8" t="s">
        <v>2048</v>
      </c>
      <c r="G29" s="9" t="s">
        <v>1931</v>
      </c>
    </row>
    <row r="30" customFormat="false" ht="46.5" hidden="false" customHeight="true" outlineLevel="0" collapsed="false">
      <c r="A30" s="6" t="s">
        <v>2049</v>
      </c>
      <c r="B30" s="9" t="s">
        <v>2050</v>
      </c>
      <c r="C30" s="9" t="s">
        <v>2051</v>
      </c>
      <c r="D30" s="9" t="s">
        <v>2052</v>
      </c>
      <c r="E30" s="8" t="s">
        <v>2053</v>
      </c>
      <c r="F30" s="8" t="s">
        <v>2054</v>
      </c>
      <c r="G30" s="9" t="s">
        <v>1931</v>
      </c>
    </row>
    <row r="31" customFormat="false" ht="46.5" hidden="false" customHeight="true" outlineLevel="0" collapsed="false">
      <c r="A31" s="6" t="s">
        <v>2049</v>
      </c>
      <c r="B31" s="9" t="s">
        <v>2055</v>
      </c>
      <c r="C31" s="9" t="s">
        <v>2056</v>
      </c>
      <c r="D31" s="9" t="s">
        <v>2057</v>
      </c>
      <c r="E31" s="8" t="s">
        <v>2058</v>
      </c>
      <c r="F31" s="8" t="s">
        <v>2059</v>
      </c>
      <c r="G31" s="9" t="s">
        <v>1931</v>
      </c>
    </row>
    <row r="32" customFormat="false" ht="46.5" hidden="false" customHeight="true" outlineLevel="0" collapsed="false">
      <c r="A32" s="6" t="s">
        <v>2049</v>
      </c>
      <c r="B32" s="9" t="s">
        <v>2060</v>
      </c>
      <c r="C32" s="9" t="s">
        <v>2061</v>
      </c>
      <c r="D32" s="9" t="s">
        <v>2062</v>
      </c>
      <c r="E32" s="8" t="s">
        <v>2063</v>
      </c>
      <c r="F32" s="8" t="s">
        <v>2064</v>
      </c>
      <c r="G32" s="9" t="s">
        <v>1931</v>
      </c>
    </row>
    <row r="33" customFormat="false" ht="46.5" hidden="false" customHeight="true" outlineLevel="0" collapsed="false">
      <c r="A33" s="6" t="s">
        <v>2049</v>
      </c>
      <c r="B33" s="9" t="s">
        <v>2065</v>
      </c>
      <c r="C33" s="9" t="s">
        <v>2066</v>
      </c>
      <c r="D33" s="9" t="s">
        <v>2067</v>
      </c>
      <c r="E33" s="8" t="s">
        <v>2053</v>
      </c>
      <c r="F33" s="8" t="s">
        <v>2068</v>
      </c>
      <c r="G33" s="9" t="s">
        <v>1931</v>
      </c>
    </row>
    <row r="34" customFormat="false" ht="61.5" hidden="false" customHeight="true" outlineLevel="0" collapsed="false">
      <c r="A34" s="6" t="s">
        <v>2049</v>
      </c>
      <c r="B34" s="9" t="s">
        <v>2069</v>
      </c>
      <c r="C34" s="9" t="s">
        <v>2070</v>
      </c>
      <c r="D34" s="9" t="s">
        <v>2071</v>
      </c>
      <c r="E34" s="8" t="s">
        <v>2072</v>
      </c>
      <c r="F34" s="8" t="s">
        <v>2073</v>
      </c>
      <c r="G34" s="9" t="s">
        <v>1931</v>
      </c>
    </row>
    <row r="35" customFormat="false" ht="46.5" hidden="false" customHeight="true" outlineLevel="0" collapsed="false">
      <c r="A35" s="6" t="s">
        <v>2049</v>
      </c>
      <c r="B35" s="9" t="s">
        <v>2074</v>
      </c>
      <c r="C35" s="9" t="s">
        <v>2075</v>
      </c>
      <c r="D35" s="9" t="s">
        <v>2076</v>
      </c>
      <c r="E35" s="8" t="s">
        <v>2077</v>
      </c>
      <c r="F35" s="8" t="s">
        <v>2078</v>
      </c>
      <c r="G35" s="9" t="s">
        <v>1931</v>
      </c>
    </row>
    <row r="36" customFormat="false" ht="46.5" hidden="false" customHeight="true" outlineLevel="0" collapsed="false">
      <c r="A36" s="6" t="s">
        <v>2049</v>
      </c>
      <c r="B36" s="9" t="s">
        <v>2079</v>
      </c>
      <c r="C36" s="9" t="s">
        <v>2080</v>
      </c>
      <c r="D36" s="9" t="s">
        <v>2081</v>
      </c>
      <c r="E36" s="8" t="s">
        <v>2082</v>
      </c>
      <c r="F36" s="8" t="s">
        <v>2083</v>
      </c>
      <c r="G36" s="9" t="s">
        <v>1931</v>
      </c>
    </row>
    <row r="37" customFormat="false" ht="46.5" hidden="false" customHeight="true" outlineLevel="0" collapsed="false">
      <c r="A37" s="6" t="s">
        <v>2049</v>
      </c>
      <c r="B37" s="9" t="s">
        <v>2084</v>
      </c>
      <c r="C37" s="9" t="s">
        <v>2085</v>
      </c>
      <c r="D37" s="9" t="s">
        <v>2086</v>
      </c>
      <c r="E37" s="8" t="s">
        <v>2087</v>
      </c>
      <c r="F37" s="8" t="s">
        <v>2088</v>
      </c>
      <c r="G37" s="9" t="s">
        <v>1931</v>
      </c>
    </row>
    <row r="38" customFormat="false" ht="61.5" hidden="false" customHeight="true" outlineLevel="0" collapsed="false">
      <c r="A38" s="6" t="s">
        <v>2049</v>
      </c>
      <c r="B38" s="9" t="s">
        <v>2089</v>
      </c>
      <c r="C38" s="29" t="s">
        <v>2090</v>
      </c>
      <c r="D38" s="29" t="s">
        <v>2091</v>
      </c>
      <c r="E38" s="8" t="s">
        <v>2033</v>
      </c>
      <c r="F38" s="8" t="s">
        <v>2092</v>
      </c>
      <c r="G38" s="9" t="s">
        <v>2093</v>
      </c>
    </row>
    <row r="39" customFormat="false" ht="46.5" hidden="false" customHeight="true" outlineLevel="0" collapsed="false">
      <c r="A39" s="6" t="s">
        <v>2094</v>
      </c>
      <c r="B39" s="9" t="s">
        <v>2095</v>
      </c>
      <c r="C39" s="9" t="s">
        <v>2096</v>
      </c>
      <c r="D39" s="9" t="s">
        <v>2097</v>
      </c>
      <c r="E39" s="8" t="s">
        <v>2098</v>
      </c>
      <c r="F39" s="8" t="s">
        <v>2099</v>
      </c>
      <c r="G39" s="9" t="s">
        <v>1931</v>
      </c>
    </row>
    <row r="40" customFormat="false" ht="46.5" hidden="false" customHeight="true" outlineLevel="0" collapsed="false">
      <c r="A40" s="6" t="s">
        <v>2094</v>
      </c>
      <c r="B40" s="9" t="s">
        <v>448</v>
      </c>
      <c r="C40" s="29" t="s">
        <v>2100</v>
      </c>
      <c r="D40" s="9" t="s">
        <v>2101</v>
      </c>
      <c r="E40" s="8" t="s">
        <v>2102</v>
      </c>
      <c r="F40" s="8" t="s">
        <v>2103</v>
      </c>
      <c r="G40" s="9" t="s">
        <v>1931</v>
      </c>
    </row>
    <row r="41" customFormat="false" ht="46.5" hidden="false" customHeight="true" outlineLevel="0" collapsed="false">
      <c r="A41" s="6" t="s">
        <v>2094</v>
      </c>
      <c r="B41" s="9" t="s">
        <v>2104</v>
      </c>
      <c r="C41" s="9" t="s">
        <v>2105</v>
      </c>
      <c r="D41" s="9" t="s">
        <v>2106</v>
      </c>
      <c r="E41" s="8" t="s">
        <v>2107</v>
      </c>
      <c r="F41" s="8" t="s">
        <v>2108</v>
      </c>
      <c r="G41" s="9" t="s">
        <v>1931</v>
      </c>
    </row>
    <row r="42" customFormat="false" ht="46.5" hidden="false" customHeight="true" outlineLevel="0" collapsed="false">
      <c r="A42" s="6" t="s">
        <v>2094</v>
      </c>
      <c r="B42" s="9" t="s">
        <v>2109</v>
      </c>
      <c r="C42" s="9" t="s">
        <v>2110</v>
      </c>
      <c r="D42" s="9" t="s">
        <v>2111</v>
      </c>
      <c r="E42" s="8" t="s">
        <v>2112</v>
      </c>
      <c r="F42" s="8" t="s">
        <v>2113</v>
      </c>
      <c r="G42" s="9" t="s">
        <v>1931</v>
      </c>
    </row>
    <row r="43" customFormat="false" ht="46.5" hidden="false" customHeight="true" outlineLevel="0" collapsed="false">
      <c r="A43" s="6" t="s">
        <v>2094</v>
      </c>
      <c r="B43" s="9" t="s">
        <v>2114</v>
      </c>
      <c r="C43" s="9" t="s">
        <v>2115</v>
      </c>
      <c r="D43" s="29" t="s">
        <v>2116</v>
      </c>
      <c r="E43" s="8" t="s">
        <v>2117</v>
      </c>
      <c r="F43" s="8" t="s">
        <v>2118</v>
      </c>
      <c r="G43" s="9" t="s">
        <v>1931</v>
      </c>
    </row>
    <row r="44" customFormat="false" ht="46.5" hidden="false" customHeight="true" outlineLevel="0" collapsed="false">
      <c r="A44" s="6" t="s">
        <v>2094</v>
      </c>
      <c r="B44" s="9" t="s">
        <v>2119</v>
      </c>
      <c r="C44" s="9" t="s">
        <v>2120</v>
      </c>
      <c r="D44" s="9" t="s">
        <v>2121</v>
      </c>
      <c r="E44" s="8" t="s">
        <v>2122</v>
      </c>
      <c r="F44" s="8" t="s">
        <v>2123</v>
      </c>
      <c r="G44" s="9" t="s">
        <v>1931</v>
      </c>
    </row>
    <row r="45" customFormat="false" ht="46.5" hidden="false" customHeight="true" outlineLevel="0" collapsed="false">
      <c r="A45" s="6" t="s">
        <v>2094</v>
      </c>
      <c r="B45" s="9" t="s">
        <v>2124</v>
      </c>
      <c r="C45" s="9" t="s">
        <v>2125</v>
      </c>
      <c r="D45" s="9" t="s">
        <v>2126</v>
      </c>
      <c r="E45" s="8" t="s">
        <v>2127</v>
      </c>
      <c r="F45" s="8" t="s">
        <v>2128</v>
      </c>
      <c r="G45" s="9" t="s">
        <v>1931</v>
      </c>
    </row>
    <row r="46" customFormat="false" ht="61.5" hidden="false" customHeight="true" outlineLevel="0" collapsed="false">
      <c r="A46" s="6" t="s">
        <v>2094</v>
      </c>
      <c r="B46" s="9" t="s">
        <v>2129</v>
      </c>
      <c r="C46" s="9" t="s">
        <v>2130</v>
      </c>
      <c r="D46" s="9" t="s">
        <v>2131</v>
      </c>
      <c r="E46" s="8" t="s">
        <v>2132</v>
      </c>
      <c r="F46" s="8" t="s">
        <v>2133</v>
      </c>
      <c r="G46" s="9" t="s">
        <v>1931</v>
      </c>
    </row>
    <row r="47" customFormat="false" ht="46.5" hidden="false" customHeight="true" outlineLevel="0" collapsed="false">
      <c r="A47" s="6" t="s">
        <v>1854</v>
      </c>
      <c r="B47" s="9" t="s">
        <v>2134</v>
      </c>
      <c r="C47" s="9" t="s">
        <v>2135</v>
      </c>
      <c r="D47" s="9" t="s">
        <v>2136</v>
      </c>
      <c r="E47" s="8" t="s">
        <v>2137</v>
      </c>
      <c r="F47" s="8" t="s">
        <v>2138</v>
      </c>
      <c r="G47" s="9" t="s">
        <v>1931</v>
      </c>
    </row>
    <row r="48" customFormat="false" ht="46.5" hidden="false" customHeight="true" outlineLevel="0" collapsed="false">
      <c r="A48" s="6" t="s">
        <v>1854</v>
      </c>
      <c r="B48" s="9" t="s">
        <v>2139</v>
      </c>
      <c r="C48" s="9" t="s">
        <v>2140</v>
      </c>
      <c r="D48" s="9" t="s">
        <v>2141</v>
      </c>
      <c r="E48" s="8" t="s">
        <v>2142</v>
      </c>
      <c r="F48" s="8" t="s">
        <v>2143</v>
      </c>
      <c r="G48" s="9" t="s">
        <v>1931</v>
      </c>
    </row>
    <row r="49" customFormat="false" ht="46.5" hidden="false" customHeight="true" outlineLevel="0" collapsed="false">
      <c r="A49" s="6" t="s">
        <v>1854</v>
      </c>
      <c r="B49" s="9" t="s">
        <v>2144</v>
      </c>
      <c r="C49" s="9" t="s">
        <v>2145</v>
      </c>
      <c r="D49" s="29" t="s">
        <v>2146</v>
      </c>
      <c r="E49" s="8" t="s">
        <v>2147</v>
      </c>
      <c r="F49" s="8" t="s">
        <v>2148</v>
      </c>
      <c r="G49" s="9" t="s">
        <v>1931</v>
      </c>
    </row>
    <row r="50" customFormat="false" ht="46.5" hidden="false" customHeight="true" outlineLevel="0" collapsed="false">
      <c r="A50" s="6" t="s">
        <v>1854</v>
      </c>
      <c r="B50" s="9" t="s">
        <v>2149</v>
      </c>
      <c r="C50" s="9" t="s">
        <v>2150</v>
      </c>
      <c r="D50" s="9" t="s">
        <v>2151</v>
      </c>
      <c r="E50" s="8" t="s">
        <v>2152</v>
      </c>
      <c r="F50" s="8" t="s">
        <v>2153</v>
      </c>
      <c r="G50" s="9" t="s">
        <v>1931</v>
      </c>
    </row>
    <row r="51" customFormat="false" ht="46.5" hidden="false" customHeight="true" outlineLevel="0" collapsed="false">
      <c r="A51" s="6" t="s">
        <v>1854</v>
      </c>
      <c r="B51" s="9" t="s">
        <v>2154</v>
      </c>
      <c r="C51" s="9" t="s">
        <v>2155</v>
      </c>
      <c r="D51" s="9" t="s">
        <v>2156</v>
      </c>
      <c r="E51" s="8" t="s">
        <v>2157</v>
      </c>
      <c r="F51" s="8" t="s">
        <v>2158</v>
      </c>
      <c r="G51" s="9" t="s">
        <v>1931</v>
      </c>
    </row>
    <row r="52" customFormat="false" ht="46.5" hidden="false" customHeight="true" outlineLevel="0" collapsed="false">
      <c r="A52" s="6" t="s">
        <v>1854</v>
      </c>
      <c r="B52" s="9" t="s">
        <v>2159</v>
      </c>
      <c r="C52" s="9" t="s">
        <v>2160</v>
      </c>
      <c r="D52" s="9" t="s">
        <v>2161</v>
      </c>
      <c r="E52" s="8" t="s">
        <v>2028</v>
      </c>
      <c r="F52" s="8" t="s">
        <v>2162</v>
      </c>
      <c r="G52" s="9" t="s">
        <v>1931</v>
      </c>
    </row>
    <row r="53" customFormat="false" ht="46.5" hidden="false" customHeight="true" outlineLevel="0" collapsed="false">
      <c r="A53" s="6" t="s">
        <v>1737</v>
      </c>
      <c r="B53" s="9" t="s">
        <v>2163</v>
      </c>
      <c r="C53" s="29" t="s">
        <v>2164</v>
      </c>
      <c r="D53" s="29" t="s">
        <v>2165</v>
      </c>
      <c r="E53" s="8" t="s">
        <v>2166</v>
      </c>
      <c r="F53" s="8" t="s">
        <v>2167</v>
      </c>
      <c r="G53" s="9" t="s">
        <v>1989</v>
      </c>
    </row>
    <row r="54" customFormat="false" ht="61.5" hidden="false" customHeight="true" outlineLevel="0" collapsed="false">
      <c r="A54" s="6" t="s">
        <v>1737</v>
      </c>
      <c r="B54" s="9" t="s">
        <v>2168</v>
      </c>
      <c r="C54" s="9" t="s">
        <v>2169</v>
      </c>
      <c r="D54" s="29" t="s">
        <v>2170</v>
      </c>
      <c r="E54" s="8" t="s">
        <v>2171</v>
      </c>
      <c r="F54" s="8" t="s">
        <v>2172</v>
      </c>
      <c r="G54" s="9" t="s">
        <v>2173</v>
      </c>
    </row>
    <row r="55" customFormat="false" ht="46.5" hidden="false" customHeight="true" outlineLevel="0" collapsed="false">
      <c r="A55" s="70" t="s">
        <v>1794</v>
      </c>
      <c r="B55" s="29" t="s">
        <v>2174</v>
      </c>
      <c r="C55" s="29" t="s">
        <v>2175</v>
      </c>
      <c r="D55" s="29" t="s">
        <v>2176</v>
      </c>
      <c r="E55" s="8" t="s">
        <v>2177</v>
      </c>
      <c r="F55" s="8" t="s">
        <v>2178</v>
      </c>
      <c r="G55" s="9" t="s">
        <v>1931</v>
      </c>
    </row>
    <row r="56" customFormat="false" ht="46.5" hidden="false" customHeight="true" outlineLevel="0" collapsed="false">
      <c r="A56" s="70" t="s">
        <v>1794</v>
      </c>
      <c r="B56" s="9" t="s">
        <v>2179</v>
      </c>
      <c r="C56" s="9" t="s">
        <v>2180</v>
      </c>
      <c r="D56" s="29" t="s">
        <v>2181</v>
      </c>
      <c r="E56" s="8" t="s">
        <v>2112</v>
      </c>
      <c r="F56" s="8" t="s">
        <v>2182</v>
      </c>
      <c r="G56" s="9" t="s">
        <v>1931</v>
      </c>
    </row>
    <row r="57" customFormat="false" ht="61.5" hidden="false" customHeight="true" outlineLevel="0" collapsed="false">
      <c r="A57" s="70" t="s">
        <v>1806</v>
      </c>
      <c r="B57" s="9" t="s">
        <v>2183</v>
      </c>
      <c r="C57" s="29" t="s">
        <v>2184</v>
      </c>
      <c r="D57" s="29" t="s">
        <v>2185</v>
      </c>
      <c r="E57" s="8" t="s">
        <v>2186</v>
      </c>
      <c r="F57" s="8" t="s">
        <v>2187</v>
      </c>
      <c r="G57" s="9" t="s">
        <v>2188</v>
      </c>
    </row>
    <row r="58" customFormat="false" ht="46.5" hidden="false" customHeight="true" outlineLevel="0" collapsed="false">
      <c r="A58" s="6" t="s">
        <v>2094</v>
      </c>
      <c r="B58" s="9" t="s">
        <v>2189</v>
      </c>
      <c r="C58" s="9" t="s">
        <v>2190</v>
      </c>
      <c r="D58" s="9" t="s">
        <v>2191</v>
      </c>
      <c r="E58" s="8" t="s">
        <v>2192</v>
      </c>
      <c r="F58" s="8" t="s">
        <v>2193</v>
      </c>
      <c r="G58" s="9" t="s">
        <v>1931</v>
      </c>
    </row>
    <row r="59" customFormat="false" ht="46.5" hidden="false" customHeight="true" outlineLevel="0" collapsed="false">
      <c r="A59" s="6" t="s">
        <v>1737</v>
      </c>
      <c r="B59" s="9" t="s">
        <v>1911</v>
      </c>
      <c r="C59" s="29" t="s">
        <v>2194</v>
      </c>
      <c r="D59" s="29" t="s">
        <v>2195</v>
      </c>
      <c r="E59" s="8" t="s">
        <v>2196</v>
      </c>
      <c r="F59" s="8" t="s">
        <v>2197</v>
      </c>
      <c r="G59" s="9" t="s">
        <v>1931</v>
      </c>
    </row>
    <row r="61" customFormat="false" ht="15" hidden="false" customHeight="true" outlineLevel="0" collapsed="false">
      <c r="A61" s="60" t="s">
        <v>2198</v>
      </c>
      <c r="B61" s="60"/>
      <c r="C61" s="60"/>
      <c r="D61" s="60"/>
      <c r="E61" s="60"/>
      <c r="F61" s="60"/>
      <c r="G61" s="60"/>
    </row>
  </sheetData>
  <mergeCells count="1">
    <mergeCell ref="A61:G61"/>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true"/>
  </sheetPr>
  <dimension ref="A1:F8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26"/>
    <col collapsed="false" customWidth="true" hidden="false" outlineLevel="0" max="3" min="3" style="1" width="46"/>
    <col collapsed="false" customWidth="true" hidden="false" outlineLevel="0" max="4" min="4" style="1" width="54"/>
    <col collapsed="false" customWidth="true" hidden="false" outlineLevel="0" max="5" min="5" style="1" width="26"/>
    <col collapsed="false" customWidth="true" hidden="false" outlineLevel="0" max="6" min="6" style="1" width="22"/>
  </cols>
  <sheetData>
    <row r="1" customFormat="false" ht="24" hidden="false" customHeight="true" outlineLevel="0" collapsed="false">
      <c r="A1" s="23" t="s">
        <v>2199</v>
      </c>
    </row>
    <row r="2" customFormat="false" ht="15" hidden="false" customHeight="true" outlineLevel="0" collapsed="false">
      <c r="A2" s="22" t="s">
        <v>2200</v>
      </c>
    </row>
    <row r="4" customFormat="false" ht="15" hidden="false" customHeight="true" outlineLevel="0" collapsed="false">
      <c r="A4" s="40" t="s">
        <v>2201</v>
      </c>
    </row>
    <row r="5" customFormat="false" ht="15" hidden="false" customHeight="true" outlineLevel="0" collapsed="false">
      <c r="A5" s="25" t="s">
        <v>2202</v>
      </c>
      <c r="B5" s="25" t="s">
        <v>2203</v>
      </c>
      <c r="C5" s="25" t="s">
        <v>2204</v>
      </c>
      <c r="D5" s="25" t="s">
        <v>1921</v>
      </c>
      <c r="E5" s="25" t="s">
        <v>1924</v>
      </c>
    </row>
    <row r="6" customFormat="false" ht="31.5" hidden="false" customHeight="true" outlineLevel="0" collapsed="false">
      <c r="A6" s="26" t="n">
        <v>1</v>
      </c>
      <c r="B6" s="26" t="s">
        <v>2205</v>
      </c>
      <c r="C6" s="28" t="s">
        <v>2206</v>
      </c>
      <c r="D6" s="28" t="s">
        <v>2207</v>
      </c>
      <c r="E6" s="28" t="s">
        <v>2208</v>
      </c>
    </row>
    <row r="7" customFormat="false" ht="31.5" hidden="false" customHeight="true" outlineLevel="0" collapsed="false">
      <c r="A7" s="26" t="n">
        <v>2</v>
      </c>
      <c r="B7" s="26" t="s">
        <v>2209</v>
      </c>
      <c r="C7" s="28" t="s">
        <v>2210</v>
      </c>
      <c r="D7" s="26" t="s">
        <v>2211</v>
      </c>
      <c r="E7" s="28" t="s">
        <v>2208</v>
      </c>
    </row>
    <row r="8" customFormat="false" ht="31.5" hidden="false" customHeight="true" outlineLevel="0" collapsed="false">
      <c r="A8" s="26" t="n">
        <v>3</v>
      </c>
      <c r="B8" s="26" t="s">
        <v>2212</v>
      </c>
      <c r="C8" s="28" t="s">
        <v>2213</v>
      </c>
      <c r="D8" s="26" t="s">
        <v>2214</v>
      </c>
      <c r="E8" s="28" t="s">
        <v>2215</v>
      </c>
    </row>
    <row r="9" customFormat="false" ht="31.5" hidden="false" customHeight="true" outlineLevel="0" collapsed="false">
      <c r="A9" s="26" t="n">
        <v>4</v>
      </c>
      <c r="B9" s="26" t="s">
        <v>1993</v>
      </c>
      <c r="C9" s="28" t="s">
        <v>2216</v>
      </c>
      <c r="D9" s="26" t="s">
        <v>2217</v>
      </c>
      <c r="E9" s="28" t="s">
        <v>2208</v>
      </c>
    </row>
    <row r="10" customFormat="false" ht="46.5" hidden="false" customHeight="true" outlineLevel="0" collapsed="false">
      <c r="A10" s="26" t="n">
        <v>5</v>
      </c>
      <c r="B10" s="26" t="s">
        <v>2218</v>
      </c>
      <c r="C10" s="26" t="s">
        <v>2219</v>
      </c>
      <c r="D10" s="28" t="s">
        <v>2220</v>
      </c>
      <c r="E10" s="28" t="s">
        <v>2208</v>
      </c>
    </row>
    <row r="11" customFormat="false" ht="31.5" hidden="false" customHeight="true" outlineLevel="0" collapsed="false">
      <c r="A11" s="26" t="n">
        <v>6</v>
      </c>
      <c r="B11" s="26" t="s">
        <v>2221</v>
      </c>
      <c r="C11" s="28" t="s">
        <v>2222</v>
      </c>
      <c r="D11" s="28" t="s">
        <v>2223</v>
      </c>
      <c r="E11" s="28" t="s">
        <v>2208</v>
      </c>
    </row>
    <row r="12" customFormat="false" ht="31.5" hidden="false" customHeight="true" outlineLevel="0" collapsed="false">
      <c r="A12" s="26" t="n">
        <v>7</v>
      </c>
      <c r="B12" s="26" t="s">
        <v>2224</v>
      </c>
      <c r="C12" s="28" t="s">
        <v>2225</v>
      </c>
      <c r="D12" s="28" t="s">
        <v>2226</v>
      </c>
      <c r="E12" s="28" t="s">
        <v>2208</v>
      </c>
    </row>
    <row r="13" customFormat="false" ht="31.5" hidden="false" customHeight="true" outlineLevel="0" collapsed="false">
      <c r="A13" s="26" t="n">
        <v>8</v>
      </c>
      <c r="B13" s="26" t="s">
        <v>2227</v>
      </c>
      <c r="C13" s="26" t="s">
        <v>2228</v>
      </c>
      <c r="D13" s="28" t="s">
        <v>2229</v>
      </c>
      <c r="E13" s="28" t="s">
        <v>2208</v>
      </c>
    </row>
    <row r="14" customFormat="false" ht="31.5" hidden="false" customHeight="true" outlineLevel="0" collapsed="false">
      <c r="A14" s="26" t="n">
        <v>9</v>
      </c>
      <c r="B14" s="26" t="s">
        <v>2230</v>
      </c>
      <c r="C14" s="28" t="s">
        <v>2231</v>
      </c>
      <c r="D14" s="28" t="s">
        <v>2232</v>
      </c>
      <c r="E14" s="28" t="s">
        <v>2208</v>
      </c>
    </row>
    <row r="15" customFormat="false" ht="15" hidden="false" customHeight="true" outlineLevel="0" collapsed="false">
      <c r="A15" s="26" t="n">
        <v>10</v>
      </c>
      <c r="B15" s="26" t="s">
        <v>1978</v>
      </c>
      <c r="C15" s="28" t="s">
        <v>2233</v>
      </c>
      <c r="D15" s="28" t="s">
        <v>2234</v>
      </c>
      <c r="E15" s="28" t="s">
        <v>2208</v>
      </c>
    </row>
    <row r="16" customFormat="false" ht="31.5" hidden="false" customHeight="true" outlineLevel="0" collapsed="false">
      <c r="A16" s="26" t="n">
        <v>11</v>
      </c>
      <c r="B16" s="26" t="s">
        <v>2235</v>
      </c>
      <c r="C16" s="28" t="s">
        <v>2236</v>
      </c>
      <c r="D16" s="28" t="s">
        <v>2237</v>
      </c>
      <c r="E16" s="28" t="s">
        <v>2208</v>
      </c>
    </row>
    <row r="17" customFormat="false" ht="31.5" hidden="false" customHeight="true" outlineLevel="0" collapsed="false">
      <c r="A17" s="26" t="n">
        <v>12</v>
      </c>
      <c r="B17" s="26" t="s">
        <v>1982</v>
      </c>
      <c r="C17" s="28" t="s">
        <v>2238</v>
      </c>
      <c r="D17" s="26" t="s">
        <v>2239</v>
      </c>
      <c r="E17" s="28" t="s">
        <v>2240</v>
      </c>
    </row>
    <row r="18" customFormat="false" ht="31.5" hidden="false" customHeight="true" outlineLevel="0" collapsed="false">
      <c r="A18" s="26" t="n">
        <v>13</v>
      </c>
      <c r="B18" s="26" t="s">
        <v>2241</v>
      </c>
      <c r="C18" s="28" t="s">
        <v>2242</v>
      </c>
      <c r="D18" s="28" t="s">
        <v>2243</v>
      </c>
      <c r="E18" s="26" t="s">
        <v>294</v>
      </c>
    </row>
    <row r="19" customFormat="false" ht="31.5" hidden="false" customHeight="true" outlineLevel="0" collapsed="false">
      <c r="A19" s="26" t="n">
        <v>14</v>
      </c>
      <c r="B19" s="26" t="s">
        <v>2244</v>
      </c>
      <c r="C19" s="28" t="s">
        <v>2245</v>
      </c>
      <c r="D19" s="28" t="s">
        <v>2246</v>
      </c>
      <c r="E19" s="28" t="s">
        <v>2208</v>
      </c>
    </row>
    <row r="20" customFormat="false" ht="15" hidden="false" customHeight="true" outlineLevel="0" collapsed="false">
      <c r="A20" s="26" t="n">
        <v>15</v>
      </c>
      <c r="B20" s="26" t="s">
        <v>2063</v>
      </c>
      <c r="C20" s="28" t="s">
        <v>2247</v>
      </c>
      <c r="D20" s="28" t="s">
        <v>2248</v>
      </c>
      <c r="E20" s="28" t="s">
        <v>2208</v>
      </c>
    </row>
    <row r="21" customFormat="false" ht="31.5" hidden="false" customHeight="true" outlineLevel="0" collapsed="false">
      <c r="A21" s="26" t="n">
        <v>16</v>
      </c>
      <c r="B21" s="26" t="s">
        <v>2249</v>
      </c>
      <c r="C21" s="28" t="s">
        <v>2250</v>
      </c>
      <c r="D21" s="28" t="s">
        <v>2251</v>
      </c>
      <c r="E21" s="28" t="s">
        <v>2208</v>
      </c>
    </row>
    <row r="22" customFormat="false" ht="31.5" hidden="false" customHeight="true" outlineLevel="0" collapsed="false">
      <c r="A22" s="26" t="n">
        <v>17</v>
      </c>
      <c r="B22" s="26" t="s">
        <v>2252</v>
      </c>
      <c r="C22" s="28" t="s">
        <v>2253</v>
      </c>
      <c r="D22" s="28" t="s">
        <v>2254</v>
      </c>
      <c r="E22" s="28" t="s">
        <v>2208</v>
      </c>
    </row>
    <row r="23" customFormat="false" ht="31.5" hidden="false" customHeight="true" outlineLevel="0" collapsed="false">
      <c r="A23" s="26" t="n">
        <v>18</v>
      </c>
      <c r="B23" s="26" t="s">
        <v>2028</v>
      </c>
      <c r="C23" s="28" t="s">
        <v>2255</v>
      </c>
      <c r="D23" s="28" t="s">
        <v>2026</v>
      </c>
      <c r="E23" s="28" t="s">
        <v>2208</v>
      </c>
    </row>
    <row r="24" customFormat="false" ht="31.5" hidden="false" customHeight="true" outlineLevel="0" collapsed="false">
      <c r="A24" s="26" t="n">
        <v>19</v>
      </c>
      <c r="B24" s="26" t="s">
        <v>2132</v>
      </c>
      <c r="C24" s="28" t="s">
        <v>2256</v>
      </c>
      <c r="D24" s="28" t="s">
        <v>2257</v>
      </c>
      <c r="E24" s="28" t="s">
        <v>2208</v>
      </c>
    </row>
    <row r="25" customFormat="false" ht="31.5" hidden="false" customHeight="true" outlineLevel="0" collapsed="false">
      <c r="A25" s="26" t="n">
        <v>20</v>
      </c>
      <c r="B25" s="26" t="s">
        <v>2033</v>
      </c>
      <c r="C25" s="28" t="s">
        <v>2258</v>
      </c>
      <c r="D25" s="28" t="s">
        <v>2259</v>
      </c>
      <c r="E25" s="28" t="s">
        <v>2208</v>
      </c>
    </row>
    <row r="26" customFormat="false" ht="15" hidden="false" customHeight="true" outlineLevel="0" collapsed="false">
      <c r="A26" s="26" t="n">
        <v>21</v>
      </c>
      <c r="B26" s="26" t="s">
        <v>2260</v>
      </c>
      <c r="C26" s="28" t="s">
        <v>2261</v>
      </c>
      <c r="D26" s="28" t="s">
        <v>2262</v>
      </c>
      <c r="E26" s="28" t="s">
        <v>2208</v>
      </c>
    </row>
    <row r="28" customFormat="false" ht="15" hidden="false" customHeight="true" outlineLevel="0" collapsed="false">
      <c r="A28" s="40" t="s">
        <v>2263</v>
      </c>
    </row>
    <row r="29" customFormat="false" ht="15" hidden="false" customHeight="true" outlineLevel="0" collapsed="false">
      <c r="A29" s="25" t="s">
        <v>86</v>
      </c>
      <c r="B29" s="25" t="s">
        <v>2264</v>
      </c>
      <c r="C29" s="25" t="s">
        <v>2265</v>
      </c>
      <c r="D29" s="25" t="s">
        <v>2266</v>
      </c>
    </row>
    <row r="30" customFormat="false" ht="31.5" hidden="false" customHeight="true" outlineLevel="0" collapsed="false">
      <c r="A30" s="11" t="s">
        <v>2267</v>
      </c>
      <c r="B30" s="8" t="s">
        <v>2268</v>
      </c>
      <c r="C30" s="9" t="s">
        <v>2269</v>
      </c>
      <c r="D30" s="9" t="s">
        <v>2270</v>
      </c>
    </row>
    <row r="31" customFormat="false" ht="31.5" hidden="false" customHeight="true" outlineLevel="0" collapsed="false">
      <c r="A31" s="11" t="s">
        <v>2271</v>
      </c>
      <c r="B31" s="8" t="s">
        <v>2272</v>
      </c>
      <c r="C31" s="9" t="s">
        <v>2273</v>
      </c>
      <c r="D31" s="9" t="s">
        <v>2274</v>
      </c>
    </row>
    <row r="32" customFormat="false" ht="15" hidden="false" customHeight="true" outlineLevel="0" collapsed="false">
      <c r="A32" s="11" t="s">
        <v>2275</v>
      </c>
      <c r="B32" s="8" t="s">
        <v>2276</v>
      </c>
      <c r="C32" s="9" t="s">
        <v>2277</v>
      </c>
      <c r="D32" s="9" t="s">
        <v>2278</v>
      </c>
    </row>
    <row r="33" customFormat="false" ht="31.5" hidden="false" customHeight="true" outlineLevel="0" collapsed="false">
      <c r="A33" s="11" t="s">
        <v>2279</v>
      </c>
      <c r="B33" s="8" t="s">
        <v>2280</v>
      </c>
      <c r="C33" s="9" t="s">
        <v>2281</v>
      </c>
      <c r="D33" s="9" t="s">
        <v>2282</v>
      </c>
    </row>
    <row r="34" customFormat="false" ht="15" hidden="false" customHeight="true" outlineLevel="0" collapsed="false">
      <c r="A34" s="11" t="s">
        <v>2283</v>
      </c>
      <c r="B34" s="8" t="s">
        <v>2284</v>
      </c>
      <c r="C34" s="9" t="s">
        <v>2285</v>
      </c>
      <c r="D34" s="9" t="s">
        <v>2286</v>
      </c>
    </row>
    <row r="35" customFormat="false" ht="31.5" hidden="false" customHeight="true" outlineLevel="0" collapsed="false">
      <c r="A35" s="11" t="s">
        <v>2287</v>
      </c>
      <c r="B35" s="8" t="s">
        <v>2288</v>
      </c>
      <c r="C35" s="9" t="s">
        <v>2289</v>
      </c>
      <c r="D35" s="9" t="s">
        <v>2290</v>
      </c>
    </row>
    <row r="37" customFormat="false" ht="15" hidden="false" customHeight="true" outlineLevel="0" collapsed="false">
      <c r="A37" s="40" t="s">
        <v>2291</v>
      </c>
    </row>
    <row r="38" customFormat="false" ht="31.5" hidden="false" customHeight="true" outlineLevel="0" collapsed="false">
      <c r="A38" s="25" t="s">
        <v>2292</v>
      </c>
      <c r="B38" s="71" t="s">
        <v>2293</v>
      </c>
      <c r="C38" s="25" t="s">
        <v>2294</v>
      </c>
      <c r="D38" s="71" t="s">
        <v>2295</v>
      </c>
      <c r="E38" s="25" t="s">
        <v>2296</v>
      </c>
      <c r="F38" s="25" t="s">
        <v>2297</v>
      </c>
    </row>
    <row r="39" customFormat="false" ht="15" hidden="false" customHeight="true" outlineLevel="0" collapsed="false">
      <c r="A39" s="50" t="s">
        <v>2298</v>
      </c>
      <c r="B39" s="72" t="n">
        <v>0.223</v>
      </c>
      <c r="C39" s="73" t="n">
        <f aca="false">RANK(B39,$B$39:$B$44)</f>
        <v>2</v>
      </c>
      <c r="D39" s="74" t="str">
        <f aca="false">IF(C39&lt;=2,"결선 진출","탈락")</f>
        <v>결선 진출</v>
      </c>
      <c r="E39" s="45" t="n">
        <v>1</v>
      </c>
      <c r="F39" s="45" t="n">
        <v>0</v>
      </c>
    </row>
    <row r="40" customFormat="false" ht="15" hidden="false" customHeight="true" outlineLevel="0" collapsed="false">
      <c r="A40" s="50" t="s">
        <v>2299</v>
      </c>
      <c r="B40" s="72" t="n">
        <v>0.241</v>
      </c>
      <c r="C40" s="73" t="n">
        <f aca="false">RANK(B40,$B$39:$B$44)</f>
        <v>1</v>
      </c>
      <c r="D40" s="74" t="str">
        <f aca="false">IF(C40&lt;=2,"결선 진출","탈락")</f>
        <v>결선 진출</v>
      </c>
      <c r="E40" s="45" t="n">
        <v>0</v>
      </c>
      <c r="F40" s="45" t="n">
        <v>0.97</v>
      </c>
    </row>
    <row r="41" customFormat="false" ht="15" hidden="false" customHeight="true" outlineLevel="0" collapsed="false">
      <c r="A41" s="50" t="s">
        <v>2300</v>
      </c>
      <c r="B41" s="72" t="n">
        <v>0.215</v>
      </c>
      <c r="C41" s="73" t="n">
        <f aca="false">RANK(B41,$B$39:$B$44)</f>
        <v>3</v>
      </c>
      <c r="D41" s="74" t="str">
        <f aca="false">IF(C41&lt;=2,"결선 진출","탈락")</f>
        <v>탈락</v>
      </c>
      <c r="E41" s="45" t="n">
        <v>0.3</v>
      </c>
      <c r="F41" s="45" t="n">
        <v>0.5</v>
      </c>
    </row>
    <row r="42" customFormat="false" ht="15" hidden="false" customHeight="true" outlineLevel="0" collapsed="false">
      <c r="A42" s="50" t="s">
        <v>2301</v>
      </c>
      <c r="B42" s="72" t="n">
        <v>0.152</v>
      </c>
      <c r="C42" s="73" t="n">
        <f aca="false">RANK(B42,$B$39:$B$44)</f>
        <v>4</v>
      </c>
      <c r="D42" s="74" t="str">
        <f aca="false">IF(C42&lt;=2,"결선 진출","탈락")</f>
        <v>탈락</v>
      </c>
      <c r="E42" s="45" t="n">
        <v>0.7</v>
      </c>
      <c r="F42" s="45" t="n">
        <v>0.1</v>
      </c>
    </row>
    <row r="43" customFormat="false" ht="15" hidden="false" customHeight="true" outlineLevel="0" collapsed="false">
      <c r="A43" s="50" t="s">
        <v>2302</v>
      </c>
      <c r="B43" s="72" t="n">
        <v>0.064</v>
      </c>
      <c r="C43" s="73" t="n">
        <f aca="false">RANK(B43,$B$39:$B$44)</f>
        <v>6</v>
      </c>
      <c r="D43" s="74" t="str">
        <f aca="false">IF(C43&lt;=2,"결선 진출","탈락")</f>
        <v>탈락</v>
      </c>
      <c r="E43" s="45" t="n">
        <v>0.7</v>
      </c>
      <c r="F43" s="45" t="n">
        <v>0.05</v>
      </c>
    </row>
    <row r="44" customFormat="false" ht="15" hidden="false" customHeight="true" outlineLevel="0" collapsed="false">
      <c r="A44" s="75" t="s">
        <v>2303</v>
      </c>
      <c r="B44" s="72" t="n">
        <v>0.105</v>
      </c>
      <c r="C44" s="73" t="n">
        <f aca="false">RANK(B44,$B$39:$B$44)</f>
        <v>5</v>
      </c>
      <c r="D44" s="74" t="str">
        <f aca="false">IF(C44&lt;=2,"결선 진출","탈락")</f>
        <v>탈락</v>
      </c>
      <c r="E44" s="45" t="n">
        <v>0.25</v>
      </c>
      <c r="F44" s="45" t="n">
        <v>0.45</v>
      </c>
    </row>
    <row r="45" customFormat="false" ht="15" hidden="false" customHeight="true" outlineLevel="0" collapsed="false">
      <c r="A45" s="76" t="s">
        <v>290</v>
      </c>
      <c r="B45" s="77" t="n">
        <f aca="false">SUM(B39:B44)</f>
        <v>1</v>
      </c>
      <c r="D45" s="74" t="str">
        <f aca="false">IF(ROUND(B45,4)=1,"100% OK","100%와 불일치")</f>
        <v>100% OK</v>
      </c>
    </row>
    <row r="46" customFormat="false" ht="15" hidden="false" customHeight="true" outlineLevel="0" collapsed="false">
      <c r="A46" s="73" t="s">
        <v>2304</v>
      </c>
      <c r="D46" s="74" t="str">
        <f aca="false">IF(MAX(B39:B44)&gt;0.5,"1차 당선","결선 필요")</f>
        <v>결선 필요</v>
      </c>
    </row>
    <row r="47" customFormat="false" ht="31.5" hidden="false" customHeight="true" outlineLevel="0" collapsed="false">
      <c r="A47" s="76" t="s">
        <v>2305</v>
      </c>
      <c r="E47" s="77" t="n">
        <f aca="false">SUMPRODUCT($B$39:$B$44,E39:E44)</f>
        <v>0.46495</v>
      </c>
      <c r="F47" s="77" t="n">
        <f aca="false">SUMPRODUCT($B$39:$B$44,F39:F44)</f>
        <v>0.40692</v>
      </c>
    </row>
    <row r="48" customFormat="false" ht="15" hidden="false" customHeight="true" outlineLevel="0" collapsed="false">
      <c r="A48" s="76" t="s">
        <v>2306</v>
      </c>
      <c r="E48" s="77" t="n">
        <f aca="false">E47/(E47+F47)</f>
        <v>0.533279043894159</v>
      </c>
      <c r="F48" s="77" t="n">
        <f aca="false">F47/(E47+F47)</f>
        <v>0.466720956105842</v>
      </c>
    </row>
    <row r="49" customFormat="false" ht="15" hidden="false" customHeight="true" outlineLevel="0" collapsed="false">
      <c r="A49" s="76" t="s">
        <v>2307</v>
      </c>
      <c r="E49" s="74" t="str">
        <f aca="false">IF(E48&gt;0.5,"Nicolas 당선","FS 후보 당선")</f>
        <v>Nicolas 당선</v>
      </c>
    </row>
    <row r="50" customFormat="false" ht="31.5" hidden="false" customHeight="true" outlineLevel="0" collapsed="false">
      <c r="A50" s="76" t="s">
        <v>2308</v>
      </c>
      <c r="E50" s="77" t="n">
        <f aca="false">1-E47-F47</f>
        <v>0.12813</v>
      </c>
    </row>
    <row r="51" customFormat="false" ht="31.5" hidden="false" customHeight="true" outlineLevel="0" collapsed="false">
      <c r="A51" s="60" t="s">
        <v>2309</v>
      </c>
      <c r="B51" s="60"/>
      <c r="C51" s="60"/>
      <c r="D51" s="60"/>
      <c r="E51" s="60"/>
      <c r="F51" s="60"/>
    </row>
    <row r="53" customFormat="false" ht="15" hidden="false" customHeight="true" outlineLevel="0" collapsed="false">
      <c r="A53" s="40" t="s">
        <v>2310</v>
      </c>
    </row>
    <row r="54" customFormat="false" ht="15" hidden="false" customHeight="true" outlineLevel="0" collapsed="false">
      <c r="A54" s="25" t="s">
        <v>2311</v>
      </c>
      <c r="B54" s="25" t="s">
        <v>2312</v>
      </c>
      <c r="C54" s="25" t="s">
        <v>2313</v>
      </c>
      <c r="D54" s="25"/>
      <c r="E54" s="25" t="s">
        <v>2314</v>
      </c>
    </row>
    <row r="55" customFormat="false" ht="15" hidden="false" customHeight="true" outlineLevel="0" collapsed="false">
      <c r="A55" s="50" t="s">
        <v>2267</v>
      </c>
      <c r="B55" s="32" t="n">
        <v>198</v>
      </c>
      <c r="C55" s="32" t="s">
        <v>294</v>
      </c>
    </row>
    <row r="56" customFormat="false" ht="15" hidden="false" customHeight="true" outlineLevel="0" collapsed="false">
      <c r="A56" s="50" t="s">
        <v>2271</v>
      </c>
      <c r="B56" s="32" t="n">
        <v>158</v>
      </c>
      <c r="C56" s="78" t="s">
        <v>2315</v>
      </c>
    </row>
    <row r="57" customFormat="false" ht="15" hidden="false" customHeight="true" outlineLevel="0" collapsed="false">
      <c r="A57" s="50" t="s">
        <v>2275</v>
      </c>
      <c r="B57" s="32" t="n">
        <v>96</v>
      </c>
      <c r="C57" s="78" t="s">
        <v>2315</v>
      </c>
    </row>
    <row r="58" customFormat="false" ht="15" hidden="false" customHeight="true" outlineLevel="0" collapsed="false">
      <c r="A58" s="50" t="s">
        <v>2279</v>
      </c>
      <c r="B58" s="32" t="n">
        <v>71</v>
      </c>
      <c r="C58" s="32" t="s">
        <v>294</v>
      </c>
    </row>
    <row r="59" customFormat="false" ht="15" hidden="false" customHeight="true" outlineLevel="0" collapsed="false">
      <c r="A59" s="50" t="s">
        <v>2283</v>
      </c>
      <c r="B59" s="32" t="n">
        <v>20</v>
      </c>
      <c r="C59" s="32" t="s">
        <v>294</v>
      </c>
    </row>
    <row r="60" customFormat="false" ht="15" hidden="false" customHeight="true" outlineLevel="0" collapsed="false">
      <c r="A60" s="50" t="s">
        <v>2287</v>
      </c>
      <c r="B60" s="32" t="n">
        <v>34</v>
      </c>
      <c r="C60" s="78" t="s">
        <v>2315</v>
      </c>
    </row>
    <row r="61" customFormat="false" ht="15" hidden="false" customHeight="true" outlineLevel="0" collapsed="false">
      <c r="A61" s="76" t="s">
        <v>2316</v>
      </c>
      <c r="B61" s="74" t="n">
        <f aca="false">SUM(B55:B60)</f>
        <v>577</v>
      </c>
      <c r="E61" s="74" t="str">
        <f aca="false">IF(B61=577,"577석 OK","577석과 불일치")</f>
        <v>577석 OK</v>
      </c>
    </row>
    <row r="62" customFormat="false" ht="15" hidden="false" customHeight="true" outlineLevel="0" collapsed="false">
      <c r="A62" s="76" t="s">
        <v>2317</v>
      </c>
      <c r="B62" s="74" t="n">
        <f aca="false">INT(B61/2)+1</f>
        <v>289</v>
      </c>
    </row>
    <row r="63" customFormat="false" ht="31.5" hidden="false" customHeight="true" outlineLevel="0" collapsed="false">
      <c r="A63" s="73" t="s">
        <v>2318</v>
      </c>
      <c r="B63" s="74" t="n">
        <f aca="false">MAX(B62-B55,0)</f>
        <v>91</v>
      </c>
    </row>
    <row r="64" customFormat="false" ht="15" hidden="false" customHeight="true" outlineLevel="0" collapsed="false">
      <c r="A64" s="76" t="s">
        <v>2319</v>
      </c>
      <c r="C64" s="74" t="n">
        <f aca="false">SUMIF(C55:C60,"찬성",$B$55:$B$60)</f>
        <v>288</v>
      </c>
    </row>
    <row r="65" customFormat="false" ht="31.5" hidden="false" customHeight="true" outlineLevel="0" collapsed="false">
      <c r="A65" s="76" t="s">
        <v>2320</v>
      </c>
      <c r="C65" s="74" t="str">
        <f aca="false">IF(C64&gt;=$B$62,"가결 — 정부 총사퇴","부결 — 정부 존속")</f>
        <v>부결 — 정부 존속</v>
      </c>
      <c r="E65" s="74" t="s">
        <v>2321</v>
      </c>
    </row>
    <row r="66" customFormat="false" ht="15" hidden="false" customHeight="true" outlineLevel="0" collapsed="false">
      <c r="A66" s="76" t="s">
        <v>2322</v>
      </c>
      <c r="C66" s="74" t="n">
        <f aca="false">MAX($B$62-C64,0)</f>
        <v>1</v>
      </c>
    </row>
    <row r="67" customFormat="false" ht="31.5" hidden="false" customHeight="true" outlineLevel="0" collapsed="false">
      <c r="A67" s="76" t="s">
        <v>2323</v>
      </c>
      <c r="C67" s="74" t="n">
        <f aca="false">ROUNDUP(B61/10,0)</f>
        <v>58</v>
      </c>
      <c r="E67" s="74" t="str">
        <f aca="false">IF(B56&gt;=C67,"UCN 단독 발의 가능","미달")</f>
        <v>UCN 단독 발의 가능</v>
      </c>
    </row>
    <row r="68" customFormat="false" ht="31.5" hidden="false" customHeight="true" outlineLevel="0" collapsed="false">
      <c r="A68" s="60" t="s">
        <v>2324</v>
      </c>
      <c r="B68" s="60"/>
      <c r="C68" s="60"/>
      <c r="D68" s="60"/>
      <c r="E68" s="60"/>
      <c r="F68" s="60"/>
    </row>
    <row r="70" customFormat="false" ht="15" hidden="false" customHeight="true" outlineLevel="0" collapsed="false">
      <c r="A70" s="40" t="s">
        <v>2325</v>
      </c>
    </row>
    <row r="71" customFormat="false" ht="15" hidden="false" customHeight="true" outlineLevel="0" collapsed="false">
      <c r="A71" s="25" t="s">
        <v>2311</v>
      </c>
      <c r="B71" s="25" t="s">
        <v>2312</v>
      </c>
      <c r="C71" s="25" t="s">
        <v>2313</v>
      </c>
      <c r="D71" s="25"/>
      <c r="E71" s="25" t="s">
        <v>2314</v>
      </c>
    </row>
    <row r="72" customFormat="false" ht="15" hidden="false" customHeight="true" outlineLevel="0" collapsed="false">
      <c r="A72" s="50" t="s">
        <v>2267</v>
      </c>
      <c r="B72" s="74" t="n">
        <f aca="false">B55</f>
        <v>198</v>
      </c>
      <c r="C72" s="32" t="s">
        <v>294</v>
      </c>
    </row>
    <row r="73" customFormat="false" ht="15" hidden="false" customHeight="true" outlineLevel="0" collapsed="false">
      <c r="A73" s="50" t="s">
        <v>2271</v>
      </c>
      <c r="B73" s="74" t="n">
        <f aca="false">B56</f>
        <v>158</v>
      </c>
      <c r="C73" s="78" t="s">
        <v>2315</v>
      </c>
    </row>
    <row r="74" customFormat="false" ht="15" hidden="false" customHeight="true" outlineLevel="0" collapsed="false">
      <c r="A74" s="50" t="s">
        <v>2275</v>
      </c>
      <c r="B74" s="74" t="n">
        <f aca="false">B57</f>
        <v>96</v>
      </c>
      <c r="C74" s="78" t="s">
        <v>2315</v>
      </c>
    </row>
    <row r="75" customFormat="false" ht="15" hidden="false" customHeight="true" outlineLevel="0" collapsed="false">
      <c r="A75" s="50" t="s">
        <v>2279</v>
      </c>
      <c r="B75" s="74" t="n">
        <f aca="false">B58</f>
        <v>71</v>
      </c>
      <c r="C75" s="32" t="s">
        <v>294</v>
      </c>
    </row>
    <row r="76" customFormat="false" ht="15" hidden="false" customHeight="true" outlineLevel="0" collapsed="false">
      <c r="A76" s="50" t="s">
        <v>2283</v>
      </c>
      <c r="B76" s="74" t="n">
        <f aca="false">B59</f>
        <v>20</v>
      </c>
      <c r="C76" s="32" t="s">
        <v>294</v>
      </c>
    </row>
    <row r="77" customFormat="false" ht="31.5" hidden="false" customHeight="true" outlineLevel="0" collapsed="false">
      <c r="A77" s="50" t="s">
        <v>2287</v>
      </c>
      <c r="B77" s="74" t="n">
        <f aca="false">B60</f>
        <v>34</v>
      </c>
      <c r="C77" s="78" t="s">
        <v>2326</v>
      </c>
      <c r="E77" s="28" t="s">
        <v>2327</v>
      </c>
    </row>
    <row r="78" customFormat="false" ht="15" hidden="false" customHeight="true" outlineLevel="0" collapsed="false">
      <c r="A78" s="76" t="s">
        <v>2316</v>
      </c>
      <c r="B78" s="74" t="n">
        <f aca="false">SUM(B72:B77)</f>
        <v>577</v>
      </c>
    </row>
    <row r="79" customFormat="false" ht="15" hidden="false" customHeight="true" outlineLevel="0" collapsed="false">
      <c r="A79" s="76" t="s">
        <v>2317</v>
      </c>
      <c r="B79" s="74" t="n">
        <f aca="false">INT(B78/2)+1</f>
        <v>289</v>
      </c>
    </row>
    <row r="80" customFormat="false" ht="15" hidden="false" customHeight="true" outlineLevel="0" collapsed="false">
      <c r="A80" s="76" t="s">
        <v>2319</v>
      </c>
      <c r="C80" s="74" t="n">
        <f aca="false">SUMIF(C72:C77,"찬성",$B$72:$B$77)</f>
        <v>254</v>
      </c>
    </row>
    <row r="81" customFormat="false" ht="15" hidden="false" customHeight="true" outlineLevel="0" collapsed="false">
      <c r="A81" s="76" t="s">
        <v>2320</v>
      </c>
      <c r="C81" s="74" t="str">
        <f aca="false">IF(C80&gt;=$B$79,"가결 — 정부 총사퇴","부결 — 법안 채택")</f>
        <v>부결 — 법안 채택</v>
      </c>
    </row>
    <row r="82" customFormat="false" ht="15" hidden="false" customHeight="true" outlineLevel="0" collapsed="false">
      <c r="A82" s="76" t="s">
        <v>2322</v>
      </c>
      <c r="C82" s="74" t="n">
        <f aca="false">MAX($B$79-C80,0)</f>
        <v>35</v>
      </c>
    </row>
    <row r="83" customFormat="false" ht="31.5" hidden="false" customHeight="true" outlineLevel="0" collapsed="false">
      <c r="A83" s="60" t="s">
        <v>2328</v>
      </c>
      <c r="B83" s="60"/>
      <c r="C83" s="60"/>
      <c r="D83" s="60"/>
      <c r="E83" s="60"/>
      <c r="F83" s="60"/>
    </row>
    <row r="85" customFormat="false" ht="15" hidden="false" customHeight="true" outlineLevel="0" collapsed="false">
      <c r="A85" s="40" t="s">
        <v>2329</v>
      </c>
    </row>
    <row r="86" customFormat="false" ht="31.5" hidden="false" customHeight="true" outlineLevel="0" collapsed="false">
      <c r="A86" s="39" t="s">
        <v>2330</v>
      </c>
      <c r="B86" s="39"/>
      <c r="C86" s="39"/>
      <c r="D86" s="39"/>
      <c r="E86" s="39"/>
      <c r="F86" s="39"/>
    </row>
  </sheetData>
  <mergeCells count="4">
    <mergeCell ref="A51:F51"/>
    <mergeCell ref="A68:F68"/>
    <mergeCell ref="A83:F83"/>
    <mergeCell ref="A86:F86"/>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E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22"/>
    <col collapsed="false" customWidth="true" hidden="false" outlineLevel="0" max="3" min="3" style="1" width="26"/>
    <col collapsed="false" customWidth="true" hidden="false" outlineLevel="0" max="4" min="4" style="1" width="34"/>
    <col collapsed="false" customWidth="true" hidden="false" outlineLevel="0" max="5" min="5" style="1" width="52"/>
  </cols>
  <sheetData>
    <row r="1" customFormat="false" ht="24" hidden="false" customHeight="true" outlineLevel="0" collapsed="false">
      <c r="A1" s="23" t="s">
        <v>2331</v>
      </c>
    </row>
    <row r="2" customFormat="false" ht="15" hidden="false" customHeight="true" outlineLevel="0" collapsed="false">
      <c r="A2" s="22" t="s">
        <v>2332</v>
      </c>
    </row>
    <row r="4" customFormat="false" ht="19.5" hidden="false" customHeight="true" outlineLevel="0" collapsed="false">
      <c r="A4" s="25" t="s">
        <v>2333</v>
      </c>
      <c r="B4" s="24" t="s">
        <v>2334</v>
      </c>
      <c r="C4" s="24" t="s">
        <v>2335</v>
      </c>
      <c r="D4" s="24" t="s">
        <v>2336</v>
      </c>
      <c r="E4" s="25" t="s">
        <v>2314</v>
      </c>
    </row>
    <row r="5" customFormat="false" ht="31.5" hidden="false" customHeight="true" outlineLevel="0" collapsed="false">
      <c r="A5" s="6" t="s">
        <v>2337</v>
      </c>
      <c r="B5" s="8" t="s">
        <v>2338</v>
      </c>
      <c r="C5" s="8" t="s">
        <v>2339</v>
      </c>
      <c r="D5" s="8" t="s">
        <v>2338</v>
      </c>
      <c r="E5" s="8" t="s">
        <v>2340</v>
      </c>
    </row>
    <row r="6" customFormat="false" ht="16.5" hidden="false" customHeight="true" outlineLevel="0" collapsed="false">
      <c r="A6" s="6" t="s">
        <v>2341</v>
      </c>
      <c r="B6" s="8" t="s">
        <v>2338</v>
      </c>
      <c r="C6" s="8" t="s">
        <v>2342</v>
      </c>
      <c r="D6" s="8" t="s">
        <v>2338</v>
      </c>
      <c r="E6" s="8"/>
    </row>
    <row r="7" customFormat="false" ht="61.5" hidden="false" customHeight="true" outlineLevel="0" collapsed="false">
      <c r="A7" s="11" t="s">
        <v>2343</v>
      </c>
      <c r="B7" s="8" t="s">
        <v>2344</v>
      </c>
      <c r="C7" s="8" t="s">
        <v>2345</v>
      </c>
      <c r="D7" s="8" t="s">
        <v>2346</v>
      </c>
      <c r="E7" s="8" t="s">
        <v>2347</v>
      </c>
    </row>
    <row r="8" customFormat="false" ht="76.5" hidden="false" customHeight="true" outlineLevel="0" collapsed="false">
      <c r="A8" s="11" t="s">
        <v>2348</v>
      </c>
      <c r="B8" s="8" t="s">
        <v>2344</v>
      </c>
      <c r="C8" s="8" t="s">
        <v>2344</v>
      </c>
      <c r="D8" s="8" t="s">
        <v>2349</v>
      </c>
      <c r="E8" s="8" t="s">
        <v>2350</v>
      </c>
    </row>
    <row r="9" customFormat="false" ht="16.5" hidden="false" customHeight="true" outlineLevel="0" collapsed="false">
      <c r="A9" s="11" t="s">
        <v>2351</v>
      </c>
      <c r="B9" s="8" t="s">
        <v>2344</v>
      </c>
      <c r="C9" s="9" t="s">
        <v>2352</v>
      </c>
      <c r="D9" s="8" t="s">
        <v>2353</v>
      </c>
      <c r="E9" s="8"/>
    </row>
    <row r="10" customFormat="false" ht="31.5" hidden="false" customHeight="true" outlineLevel="0" collapsed="false">
      <c r="A10" s="11" t="s">
        <v>2354</v>
      </c>
      <c r="B10" s="8" t="s">
        <v>2355</v>
      </c>
      <c r="C10" s="9" t="s">
        <v>2352</v>
      </c>
      <c r="D10" s="8" t="s">
        <v>2338</v>
      </c>
      <c r="E10" s="9" t="s">
        <v>2356</v>
      </c>
    </row>
    <row r="11" customFormat="false" ht="46.5" hidden="false" customHeight="true" outlineLevel="0" collapsed="false">
      <c r="A11" s="11" t="s">
        <v>2357</v>
      </c>
      <c r="B11" s="8" t="s">
        <v>2358</v>
      </c>
      <c r="C11" s="9" t="s">
        <v>2359</v>
      </c>
      <c r="D11" s="9" t="s">
        <v>2359</v>
      </c>
      <c r="E11" s="9" t="s">
        <v>2360</v>
      </c>
    </row>
    <row r="12" customFormat="false" ht="16.5" hidden="false" customHeight="true" outlineLevel="0" collapsed="false">
      <c r="A12" s="11" t="s">
        <v>2361</v>
      </c>
      <c r="B12" s="8" t="s">
        <v>2344</v>
      </c>
      <c r="C12" s="8" t="s">
        <v>2344</v>
      </c>
      <c r="D12" s="9" t="s">
        <v>2362</v>
      </c>
      <c r="E12" s="8" t="s">
        <v>2363</v>
      </c>
    </row>
    <row r="13" customFormat="false" ht="16.5" hidden="false" customHeight="true" outlineLevel="0" collapsed="false">
      <c r="A13" s="11" t="s">
        <v>2364</v>
      </c>
      <c r="B13" s="8" t="s">
        <v>2365</v>
      </c>
      <c r="C13" s="8" t="s">
        <v>2366</v>
      </c>
      <c r="D13" s="9" t="s">
        <v>2367</v>
      </c>
      <c r="E13" s="8"/>
    </row>
    <row r="14" customFormat="false" ht="31.5" hidden="false" customHeight="true" outlineLevel="0" collapsed="false">
      <c r="A14" s="11" t="s">
        <v>2368</v>
      </c>
      <c r="B14" s="8" t="s">
        <v>2338</v>
      </c>
      <c r="C14" s="8" t="s">
        <v>2338</v>
      </c>
      <c r="D14" s="8" t="s">
        <v>2338</v>
      </c>
      <c r="E14" s="9" t="s">
        <v>2369</v>
      </c>
    </row>
    <row r="15" customFormat="false" ht="16.5" hidden="false" customHeight="true" outlineLevel="0" collapsed="false">
      <c r="A15" s="11" t="s">
        <v>2370</v>
      </c>
      <c r="B15" s="8" t="s">
        <v>2338</v>
      </c>
      <c r="C15" s="8" t="s">
        <v>2338</v>
      </c>
      <c r="D15" s="8" t="s">
        <v>2338</v>
      </c>
      <c r="E15" s="8" t="s">
        <v>2371</v>
      </c>
    </row>
    <row r="16" customFormat="false" ht="16.5" hidden="false" customHeight="true" outlineLevel="0" collapsed="false">
      <c r="A16" s="11" t="s">
        <v>2372</v>
      </c>
      <c r="B16" s="8" t="s">
        <v>2373</v>
      </c>
      <c r="C16" s="8" t="s">
        <v>2344</v>
      </c>
      <c r="D16" s="9" t="s">
        <v>2374</v>
      </c>
      <c r="E16" s="8"/>
    </row>
    <row r="17" customFormat="false" ht="46.5" hidden="false" customHeight="true" outlineLevel="0" collapsed="false">
      <c r="A17" s="6" t="s">
        <v>2375</v>
      </c>
      <c r="B17" s="8" t="s">
        <v>2376</v>
      </c>
      <c r="C17" s="8" t="s">
        <v>2376</v>
      </c>
      <c r="D17" s="8" t="s">
        <v>2376</v>
      </c>
      <c r="E17" s="9" t="s">
        <v>2377</v>
      </c>
    </row>
    <row r="18" customFormat="false" ht="29.25" hidden="false" customHeight="true" outlineLevel="0" collapsed="false">
      <c r="A18" s="6" t="s">
        <v>2378</v>
      </c>
      <c r="B18" s="8" t="s">
        <v>294</v>
      </c>
      <c r="C18" s="8" t="s">
        <v>294</v>
      </c>
      <c r="D18" s="8" t="s">
        <v>2379</v>
      </c>
      <c r="E18" s="8" t="s">
        <v>2380</v>
      </c>
    </row>
    <row r="19" customFormat="false" ht="46.5" hidden="false" customHeight="true" outlineLevel="0" collapsed="false">
      <c r="A19" s="6" t="s">
        <v>2381</v>
      </c>
      <c r="B19" s="8" t="s">
        <v>294</v>
      </c>
      <c r="C19" s="8" t="s">
        <v>294</v>
      </c>
      <c r="D19" s="8" t="s">
        <v>2382</v>
      </c>
      <c r="E19" s="9" t="s">
        <v>2383</v>
      </c>
    </row>
    <row r="20" customFormat="false" ht="31.5" hidden="false" customHeight="true" outlineLevel="0" collapsed="false">
      <c r="A20" s="6" t="s">
        <v>2384</v>
      </c>
      <c r="B20" s="8" t="s">
        <v>294</v>
      </c>
      <c r="C20" s="8" t="s">
        <v>294</v>
      </c>
      <c r="D20" s="8" t="s">
        <v>2385</v>
      </c>
      <c r="E20" s="9" t="s">
        <v>2386</v>
      </c>
    </row>
    <row r="21" customFormat="false" ht="46.5" hidden="false" customHeight="true" outlineLevel="0" collapsed="false">
      <c r="A21" s="6" t="s">
        <v>2387</v>
      </c>
      <c r="B21" s="8" t="s">
        <v>294</v>
      </c>
      <c r="C21" s="8" t="s">
        <v>294</v>
      </c>
      <c r="D21" s="8" t="s">
        <v>2388</v>
      </c>
      <c r="E21" s="9" t="s">
        <v>2389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E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0"/>
    <col collapsed="false" customWidth="true" hidden="false" outlineLevel="0" max="2" min="2" style="1" width="36"/>
    <col collapsed="false" customWidth="true" hidden="false" outlineLevel="0" max="3" min="3" style="1" width="32"/>
    <col collapsed="false" customWidth="true" hidden="false" outlineLevel="0" max="4" min="4" style="1" width="34"/>
    <col collapsed="false" customWidth="true" hidden="false" outlineLevel="0" max="5" min="5" style="1" width="48"/>
  </cols>
  <sheetData>
    <row r="1" customFormat="false" ht="24" hidden="false" customHeight="true" outlineLevel="0" collapsed="false">
      <c r="A1" s="2" t="s">
        <v>2390</v>
      </c>
    </row>
    <row r="2" customFormat="false" ht="15" hidden="false" customHeight="true" outlineLevel="0" collapsed="false">
      <c r="A2" s="22" t="s">
        <v>2391</v>
      </c>
    </row>
    <row r="4" customFormat="false" ht="18" hidden="false" customHeight="true" outlineLevel="0" collapsed="false">
      <c r="A4" s="40" t="s">
        <v>2392</v>
      </c>
      <c r="B4" s="5"/>
      <c r="C4" s="5"/>
      <c r="D4" s="5"/>
      <c r="E4" s="5"/>
    </row>
    <row r="5" customFormat="false" ht="19.5" hidden="false" customHeight="true" outlineLevel="0" collapsed="false">
      <c r="A5" s="25" t="s">
        <v>2393</v>
      </c>
      <c r="B5" s="25" t="s">
        <v>2394</v>
      </c>
      <c r="C5" s="25" t="s">
        <v>2265</v>
      </c>
      <c r="D5" s="25" t="s">
        <v>2395</v>
      </c>
      <c r="E5" s="25" t="s">
        <v>2396</v>
      </c>
    </row>
    <row r="6" customFormat="false" ht="61.5" hidden="false" customHeight="true" outlineLevel="0" collapsed="false">
      <c r="A6" s="11" t="s">
        <v>2397</v>
      </c>
      <c r="B6" s="8" t="s">
        <v>2398</v>
      </c>
      <c r="C6" s="9" t="s">
        <v>2399</v>
      </c>
      <c r="D6" s="8" t="s">
        <v>2400</v>
      </c>
      <c r="E6" s="9" t="s">
        <v>2401</v>
      </c>
    </row>
    <row r="7" customFormat="false" ht="61.5" hidden="false" customHeight="true" outlineLevel="0" collapsed="false">
      <c r="A7" s="11" t="s">
        <v>2402</v>
      </c>
      <c r="B7" s="8" t="s">
        <v>2403</v>
      </c>
      <c r="C7" s="9" t="s">
        <v>2404</v>
      </c>
      <c r="D7" s="8" t="s">
        <v>2405</v>
      </c>
      <c r="E7" s="9" t="s">
        <v>2406</v>
      </c>
    </row>
    <row r="8" customFormat="false" ht="31.5" hidden="false" customHeight="true" outlineLevel="0" collapsed="false">
      <c r="A8" s="6" t="s">
        <v>2407</v>
      </c>
      <c r="B8" s="8" t="s">
        <v>2408</v>
      </c>
      <c r="C8" s="9" t="s">
        <v>2409</v>
      </c>
      <c r="D8" s="8" t="s">
        <v>2410</v>
      </c>
      <c r="E8" s="9" t="s">
        <v>2411</v>
      </c>
    </row>
    <row r="10" customFormat="false" ht="18" hidden="false" customHeight="true" outlineLevel="0" collapsed="false">
      <c r="A10" s="40" t="s">
        <v>2412</v>
      </c>
      <c r="B10" s="5"/>
      <c r="C10" s="5"/>
      <c r="D10" s="5"/>
      <c r="E10" s="5"/>
    </row>
    <row r="11" customFormat="false" ht="19.5" hidden="false" customHeight="true" outlineLevel="0" collapsed="false">
      <c r="A11" s="25" t="s">
        <v>2202</v>
      </c>
      <c r="B11" s="25" t="s">
        <v>2413</v>
      </c>
      <c r="C11" s="25" t="s">
        <v>394</v>
      </c>
      <c r="D11" s="25" t="s">
        <v>2414</v>
      </c>
      <c r="E11" s="25" t="s">
        <v>2415</v>
      </c>
    </row>
    <row r="12" customFormat="false" ht="16.5" hidden="false" customHeight="true" outlineLevel="0" collapsed="false">
      <c r="A12" s="11" t="s">
        <v>2416</v>
      </c>
      <c r="B12" s="8" t="s">
        <v>2417</v>
      </c>
      <c r="C12" s="9" t="s">
        <v>2418</v>
      </c>
      <c r="D12" s="9" t="s">
        <v>2419</v>
      </c>
      <c r="E12" s="9" t="s">
        <v>2420</v>
      </c>
    </row>
    <row r="13" customFormat="false" ht="31.5" hidden="false" customHeight="true" outlineLevel="0" collapsed="false">
      <c r="A13" s="11" t="s">
        <v>2421</v>
      </c>
      <c r="B13" s="8" t="s">
        <v>2422</v>
      </c>
      <c r="C13" s="9" t="s">
        <v>2423</v>
      </c>
      <c r="D13" s="9" t="s">
        <v>2424</v>
      </c>
      <c r="E13" s="8" t="s">
        <v>2425</v>
      </c>
    </row>
    <row r="14" customFormat="false" ht="16.5" hidden="false" customHeight="true" outlineLevel="0" collapsed="false">
      <c r="A14" s="11" t="s">
        <v>2426</v>
      </c>
      <c r="B14" s="8" t="s">
        <v>2427</v>
      </c>
      <c r="C14" s="9" t="s">
        <v>2428</v>
      </c>
      <c r="D14" s="9" t="s">
        <v>2429</v>
      </c>
      <c r="E14" s="8" t="s">
        <v>2430</v>
      </c>
    </row>
    <row r="16" customFormat="false" ht="18" hidden="false" customHeight="true" outlineLevel="0" collapsed="false">
      <c r="A16" s="40" t="s">
        <v>2431</v>
      </c>
      <c r="B16" s="5"/>
      <c r="C16" s="5"/>
      <c r="D16" s="5"/>
      <c r="E16" s="5"/>
    </row>
    <row r="17" customFormat="false" ht="19.5" hidden="false" customHeight="true" outlineLevel="0" collapsed="false">
      <c r="A17" s="25" t="s">
        <v>323</v>
      </c>
      <c r="B17" s="25" t="s">
        <v>2432</v>
      </c>
      <c r="C17" s="25" t="s">
        <v>394</v>
      </c>
      <c r="D17" s="25" t="s">
        <v>2433</v>
      </c>
      <c r="E17" s="25" t="s">
        <v>2314</v>
      </c>
    </row>
    <row r="18" customFormat="false" ht="31.5" hidden="false" customHeight="true" outlineLevel="0" collapsed="false">
      <c r="A18" s="11" t="s">
        <v>116</v>
      </c>
      <c r="B18" s="8" t="s">
        <v>2434</v>
      </c>
      <c r="C18" s="9" t="s">
        <v>2435</v>
      </c>
      <c r="D18" s="8" t="s">
        <v>294</v>
      </c>
      <c r="E18" s="8" t="s">
        <v>2436</v>
      </c>
    </row>
    <row r="19" customFormat="false" ht="31.5" hidden="false" customHeight="true" outlineLevel="0" collapsed="false">
      <c r="A19" s="11" t="s">
        <v>219</v>
      </c>
      <c r="B19" s="8" t="s">
        <v>2437</v>
      </c>
      <c r="C19" s="9" t="s">
        <v>2438</v>
      </c>
      <c r="D19" s="9" t="s">
        <v>2439</v>
      </c>
      <c r="E19" s="9" t="s">
        <v>2440</v>
      </c>
    </row>
    <row r="20" customFormat="false" ht="31.5" hidden="false" customHeight="true" outlineLevel="0" collapsed="false">
      <c r="A20" s="11" t="s">
        <v>185</v>
      </c>
      <c r="B20" s="8" t="s">
        <v>2441</v>
      </c>
      <c r="C20" s="9" t="s">
        <v>2442</v>
      </c>
      <c r="D20" s="8" t="s">
        <v>2443</v>
      </c>
      <c r="E20" s="8"/>
    </row>
    <row r="21" customFormat="false" ht="31.5" hidden="false" customHeight="true" outlineLevel="0" collapsed="false">
      <c r="A21" s="11" t="s">
        <v>208</v>
      </c>
      <c r="B21" s="8" t="s">
        <v>2444</v>
      </c>
      <c r="C21" s="9" t="s">
        <v>2445</v>
      </c>
      <c r="D21" s="9" t="s">
        <v>2446</v>
      </c>
      <c r="E21" s="9" t="s">
        <v>2447</v>
      </c>
    </row>
    <row r="23" customFormat="false" ht="18" hidden="false" customHeight="true" outlineLevel="0" collapsed="false">
      <c r="A23" s="40" t="s">
        <v>2448</v>
      </c>
      <c r="B23" s="5"/>
      <c r="C23" s="5"/>
      <c r="D23" s="5"/>
      <c r="E23" s="5"/>
    </row>
    <row r="24" customFormat="false" ht="19.5" hidden="false" customHeight="true" outlineLevel="0" collapsed="false">
      <c r="A24" s="25" t="s">
        <v>323</v>
      </c>
      <c r="B24" s="25" t="s">
        <v>2449</v>
      </c>
      <c r="C24" s="25" t="s">
        <v>2450</v>
      </c>
      <c r="D24" s="25" t="s">
        <v>2451</v>
      </c>
      <c r="E24" s="25" t="s">
        <v>2314</v>
      </c>
    </row>
    <row r="25" customFormat="false" ht="31.5" hidden="false" customHeight="true" outlineLevel="0" collapsed="false">
      <c r="A25" s="11" t="s">
        <v>150</v>
      </c>
      <c r="B25" s="8" t="s">
        <v>2452</v>
      </c>
      <c r="C25" s="9" t="s">
        <v>2453</v>
      </c>
      <c r="D25" s="8" t="s">
        <v>2454</v>
      </c>
      <c r="E25" s="8" t="s">
        <v>2455</v>
      </c>
    </row>
    <row r="26" customFormat="false" ht="31.5" hidden="false" customHeight="true" outlineLevel="0" collapsed="false">
      <c r="A26" s="11" t="s">
        <v>185</v>
      </c>
      <c r="B26" s="8" t="s">
        <v>2456</v>
      </c>
      <c r="C26" s="9" t="s">
        <v>2457</v>
      </c>
      <c r="D26" s="8" t="s">
        <v>2458</v>
      </c>
      <c r="E26" s="8" t="s">
        <v>2459</v>
      </c>
    </row>
    <row r="27" customFormat="false" ht="16.5" hidden="false" customHeight="true" outlineLevel="0" collapsed="false">
      <c r="A27" s="11" t="s">
        <v>230</v>
      </c>
      <c r="B27" s="8" t="s">
        <v>2460</v>
      </c>
      <c r="C27" s="9" t="s">
        <v>2461</v>
      </c>
      <c r="D27" s="8" t="s">
        <v>2462</v>
      </c>
      <c r="E27" s="8" t="s">
        <v>2463</v>
      </c>
    </row>
    <row r="28" customFormat="false" ht="16.5" hidden="false" customHeight="true" outlineLevel="0" collapsed="false">
      <c r="A28" s="11" t="s">
        <v>219</v>
      </c>
      <c r="B28" s="8" t="s">
        <v>2464</v>
      </c>
      <c r="C28" s="9" t="s">
        <v>2465</v>
      </c>
      <c r="D28" s="8" t="s">
        <v>2458</v>
      </c>
      <c r="E28" s="8"/>
    </row>
    <row r="29" customFormat="false" ht="16.5" hidden="false" customHeight="true" outlineLevel="0" collapsed="false">
      <c r="A29" s="11" t="s">
        <v>208</v>
      </c>
      <c r="B29" s="9" t="s">
        <v>2466</v>
      </c>
      <c r="C29" s="9" t="s">
        <v>2467</v>
      </c>
      <c r="D29" s="8" t="s">
        <v>294</v>
      </c>
      <c r="E29" s="8" t="s">
        <v>2468</v>
      </c>
    </row>
    <row r="31" customFormat="false" ht="18" hidden="false" customHeight="true" outlineLevel="0" collapsed="false">
      <c r="A31" s="40" t="s">
        <v>2469</v>
      </c>
      <c r="B31" s="5"/>
      <c r="C31" s="5"/>
      <c r="D31" s="5"/>
      <c r="E31" s="5"/>
    </row>
    <row r="32" customFormat="false" ht="31.5" hidden="false" customHeight="true" outlineLevel="0" collapsed="false">
      <c r="A32" s="39" t="s">
        <v>2470</v>
      </c>
      <c r="B32" s="39"/>
      <c r="C32" s="39"/>
      <c r="D32" s="39"/>
      <c r="E32" s="39"/>
    </row>
    <row r="33" customFormat="false" ht="31.5" hidden="false" customHeight="true" outlineLevel="0" collapsed="false">
      <c r="A33" s="39" t="s">
        <v>2471</v>
      </c>
      <c r="B33" s="39"/>
      <c r="C33" s="39"/>
      <c r="D33" s="39"/>
      <c r="E33" s="39"/>
    </row>
    <row r="34" customFormat="false" ht="31.5" hidden="false" customHeight="true" outlineLevel="0" collapsed="false">
      <c r="A34" s="39" t="s">
        <v>2472</v>
      </c>
      <c r="B34" s="39"/>
      <c r="C34" s="39"/>
      <c r="D34" s="39"/>
      <c r="E34" s="39"/>
    </row>
    <row r="35" customFormat="false" ht="16.5" hidden="false" customHeight="true" outlineLevel="0" collapsed="false">
      <c r="A35" s="39" t="s">
        <v>2473</v>
      </c>
      <c r="B35" s="39"/>
      <c r="C35" s="39"/>
      <c r="D35" s="39"/>
      <c r="E35" s="39"/>
    </row>
  </sheetData>
  <mergeCells count="4">
    <mergeCell ref="A32:E32"/>
    <mergeCell ref="A33:E33"/>
    <mergeCell ref="A34:E34"/>
    <mergeCell ref="A35:E35"/>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true"/>
  </sheetPr>
  <dimension ref="A1:E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36"/>
    <col collapsed="false" customWidth="true" hidden="false" outlineLevel="0" max="3" min="3" style="1" width="38"/>
    <col collapsed="false" customWidth="true" hidden="false" outlineLevel="0" max="4" min="4" style="1" width="40"/>
    <col collapsed="false" customWidth="true" hidden="false" outlineLevel="0" max="5" min="5" style="1" width="34"/>
  </cols>
  <sheetData>
    <row r="1" customFormat="false" ht="24" hidden="false" customHeight="true" outlineLevel="0" collapsed="false">
      <c r="A1" s="2" t="s">
        <v>2474</v>
      </c>
    </row>
    <row r="2" customFormat="false" ht="15" hidden="false" customHeight="true" outlineLevel="0" collapsed="false">
      <c r="A2" s="3" t="s">
        <v>2475</v>
      </c>
    </row>
    <row r="4" customFormat="false" ht="18" hidden="false" customHeight="true" outlineLevel="0" collapsed="false">
      <c r="A4" s="40" t="s">
        <v>316</v>
      </c>
      <c r="B4" s="5"/>
      <c r="C4" s="5"/>
      <c r="D4" s="5"/>
      <c r="E4" s="5"/>
    </row>
    <row r="5" customFormat="false" ht="19.5" hidden="false" customHeight="true" outlineLevel="0" collapsed="false">
      <c r="A5" s="25" t="s">
        <v>1877</v>
      </c>
      <c r="B5" s="25" t="s">
        <v>2476</v>
      </c>
      <c r="C5" s="25"/>
      <c r="D5" s="25"/>
      <c r="E5" s="25"/>
    </row>
    <row r="6" customFormat="false" ht="29.25" hidden="false" customHeight="true" outlineLevel="0" collapsed="false">
      <c r="A6" s="6" t="s">
        <v>2477</v>
      </c>
      <c r="B6" s="8" t="str">
        <f aca="false">"1부 "&amp;INDEX(캐릭터!$E$5:$E$19,MATCH("Napoléon",캐릭터!$D$5:$D$19,0))&amp;"세 → 11부 약 "&amp;INDEX(캐릭터!$F$5:$F$19,MATCH("Napoléon",캐릭터!$D$5:$D$19,0))&amp;"세 (부활 후 외형 나이, 경과 연수 가정 "&amp;개요!$C$11&amp;"년)"</f>
        <v>1부 51세 → 11부 약 57세 (부활 후 외형 나이, 경과 연수 가정 6년)</v>
      </c>
      <c r="C6" s="8"/>
      <c r="D6" s="8"/>
      <c r="E6" s="8"/>
    </row>
    <row r="7" customFormat="false" ht="31.5" hidden="false" customHeight="true" outlineLevel="0" collapsed="false">
      <c r="A7" s="6" t="s">
        <v>2265</v>
      </c>
      <c r="B7" s="9" t="s">
        <v>2478</v>
      </c>
      <c r="C7" s="9"/>
      <c r="D7" s="9"/>
      <c r="E7" s="9"/>
    </row>
    <row r="8" customFormat="false" ht="31.5" hidden="false" customHeight="true" outlineLevel="0" collapsed="false">
      <c r="A8" s="6" t="s">
        <v>2479</v>
      </c>
      <c r="B8" s="9" t="s">
        <v>2480</v>
      </c>
      <c r="C8" s="9"/>
      <c r="D8" s="9"/>
      <c r="E8" s="9"/>
    </row>
    <row r="9" customFormat="false" ht="31.5" hidden="false" customHeight="true" outlineLevel="0" collapsed="false">
      <c r="A9" s="6" t="s">
        <v>2481</v>
      </c>
      <c r="B9" s="9" t="s">
        <v>2482</v>
      </c>
      <c r="C9" s="9"/>
      <c r="D9" s="9"/>
      <c r="E9" s="9"/>
    </row>
    <row r="10" customFormat="false" ht="16.5" hidden="false" customHeight="true" outlineLevel="0" collapsed="false">
      <c r="A10" s="6" t="s">
        <v>2483</v>
      </c>
      <c r="B10" s="9" t="s">
        <v>2484</v>
      </c>
      <c r="C10" s="9"/>
      <c r="D10" s="9"/>
      <c r="E10" s="9"/>
    </row>
    <row r="11" customFormat="false" ht="16.5" hidden="false" customHeight="true" outlineLevel="0" collapsed="false">
      <c r="A11" s="6" t="s">
        <v>2485</v>
      </c>
      <c r="B11" s="9" t="s">
        <v>2486</v>
      </c>
      <c r="C11" s="9"/>
      <c r="D11" s="9"/>
      <c r="E11" s="9"/>
    </row>
    <row r="12" customFormat="false" ht="31.5" hidden="false" customHeight="true" outlineLevel="0" collapsed="false">
      <c r="A12" s="11" t="s">
        <v>2487</v>
      </c>
      <c r="B12" s="9" t="s">
        <v>2488</v>
      </c>
      <c r="C12" s="9"/>
      <c r="D12" s="9"/>
      <c r="E12" s="9"/>
    </row>
    <row r="13" customFormat="false" ht="16.5" hidden="false" customHeight="true" outlineLevel="0" collapsed="false">
      <c r="A13" s="6" t="s">
        <v>2489</v>
      </c>
      <c r="B13" s="8" t="s">
        <v>2490</v>
      </c>
      <c r="C13" s="8"/>
      <c r="D13" s="8"/>
      <c r="E13" s="8"/>
    </row>
    <row r="14" customFormat="false" ht="16.5" hidden="false" customHeight="true" outlineLevel="0" collapsed="false">
      <c r="A14" s="6" t="s">
        <v>2491</v>
      </c>
      <c r="B14" s="9" t="s">
        <v>2492</v>
      </c>
      <c r="C14" s="9"/>
      <c r="D14" s="9"/>
      <c r="E14" s="9"/>
    </row>
    <row r="15" customFormat="false" ht="31.5" hidden="false" customHeight="true" outlineLevel="0" collapsed="false">
      <c r="A15" s="6" t="s">
        <v>2493</v>
      </c>
      <c r="B15" s="8" t="s">
        <v>2494</v>
      </c>
      <c r="C15" s="8"/>
      <c r="D15" s="8"/>
      <c r="E15" s="8"/>
    </row>
    <row r="17" customFormat="false" ht="18" hidden="false" customHeight="true" outlineLevel="0" collapsed="false">
      <c r="A17" s="40" t="s">
        <v>2495</v>
      </c>
      <c r="B17" s="5"/>
      <c r="C17" s="5"/>
      <c r="D17" s="5"/>
      <c r="E17" s="5"/>
    </row>
    <row r="18" customFormat="false" ht="19.5" hidden="false" customHeight="true" outlineLevel="0" collapsed="false">
      <c r="A18" s="25" t="s">
        <v>2203</v>
      </c>
      <c r="B18" s="25" t="s">
        <v>1574</v>
      </c>
      <c r="C18" s="25" t="s">
        <v>2496</v>
      </c>
      <c r="D18" s="25" t="s">
        <v>2497</v>
      </c>
      <c r="E18" s="25" t="s">
        <v>2498</v>
      </c>
    </row>
    <row r="19" customFormat="false" ht="46.5" hidden="false" customHeight="true" outlineLevel="0" collapsed="false">
      <c r="A19" s="11" t="s">
        <v>2499</v>
      </c>
      <c r="B19" s="8" t="s">
        <v>2500</v>
      </c>
      <c r="C19" s="9" t="s">
        <v>2501</v>
      </c>
      <c r="D19" s="8" t="s">
        <v>2502</v>
      </c>
      <c r="E19" s="8" t="s">
        <v>2503</v>
      </c>
    </row>
    <row r="20" customFormat="false" ht="31.5" hidden="false" customHeight="true" outlineLevel="0" collapsed="false">
      <c r="A20" s="11" t="s">
        <v>2504</v>
      </c>
      <c r="B20" s="9" t="s">
        <v>2505</v>
      </c>
      <c r="C20" s="8" t="s">
        <v>2506</v>
      </c>
      <c r="D20" s="8" t="s">
        <v>2507</v>
      </c>
      <c r="E20" s="8" t="s">
        <v>2508</v>
      </c>
    </row>
    <row r="21" customFormat="false" ht="31.5" hidden="false" customHeight="true" outlineLevel="0" collapsed="false">
      <c r="A21" s="11" t="s">
        <v>355</v>
      </c>
      <c r="B21" s="8" t="s">
        <v>2509</v>
      </c>
      <c r="C21" s="9" t="s">
        <v>2510</v>
      </c>
      <c r="D21" s="8" t="s">
        <v>2511</v>
      </c>
      <c r="E21" s="8" t="s">
        <v>2512</v>
      </c>
    </row>
    <row r="22" customFormat="false" ht="31.5" hidden="false" customHeight="true" outlineLevel="0" collapsed="false">
      <c r="A22" s="11" t="s">
        <v>357</v>
      </c>
      <c r="B22" s="8" t="s">
        <v>2513</v>
      </c>
      <c r="C22" s="9" t="s">
        <v>2514</v>
      </c>
      <c r="D22" s="8" t="s">
        <v>2515</v>
      </c>
      <c r="E22" s="8" t="s">
        <v>2516</v>
      </c>
    </row>
    <row r="23" customFormat="false" ht="46.5" hidden="false" customHeight="true" outlineLevel="0" collapsed="false">
      <c r="A23" s="11" t="s">
        <v>2517</v>
      </c>
      <c r="B23" s="9" t="s">
        <v>2518</v>
      </c>
      <c r="C23" s="8" t="s">
        <v>2519</v>
      </c>
      <c r="D23" s="8" t="s">
        <v>2520</v>
      </c>
      <c r="E23" s="8" t="s">
        <v>2521</v>
      </c>
    </row>
    <row r="24" customFormat="false" ht="91.5" hidden="false" customHeight="true" outlineLevel="0" collapsed="false">
      <c r="A24" s="11" t="s">
        <v>2522</v>
      </c>
      <c r="B24" s="9" t="s">
        <v>2523</v>
      </c>
      <c r="C24" s="9" t="s">
        <v>2524</v>
      </c>
      <c r="D24" s="8" t="s">
        <v>2525</v>
      </c>
      <c r="E24" s="8" t="s">
        <v>2526</v>
      </c>
    </row>
    <row r="25" customFormat="false" ht="46.5" hidden="false" customHeight="true" outlineLevel="0" collapsed="false">
      <c r="A25" s="11" t="s">
        <v>2527</v>
      </c>
      <c r="B25" s="9" t="s">
        <v>2528</v>
      </c>
      <c r="C25" s="8" t="s">
        <v>2529</v>
      </c>
      <c r="D25" s="8" t="s">
        <v>2530</v>
      </c>
      <c r="E25" s="8" t="s">
        <v>2531</v>
      </c>
    </row>
    <row r="26" customFormat="false" ht="31.5" hidden="false" customHeight="true" outlineLevel="0" collapsed="false">
      <c r="A26" s="11" t="s">
        <v>2532</v>
      </c>
      <c r="B26" s="9" t="s">
        <v>2533</v>
      </c>
      <c r="C26" s="9" t="s">
        <v>2534</v>
      </c>
      <c r="D26" s="8" t="s">
        <v>2535</v>
      </c>
      <c r="E26" s="8" t="s">
        <v>2536</v>
      </c>
    </row>
    <row r="27" customFormat="false" ht="46.5" hidden="false" customHeight="true" outlineLevel="0" collapsed="false">
      <c r="A27" s="11" t="s">
        <v>2537</v>
      </c>
      <c r="B27" s="9" t="s">
        <v>2538</v>
      </c>
      <c r="C27" s="9" t="s">
        <v>2539</v>
      </c>
      <c r="D27" s="8" t="s">
        <v>2540</v>
      </c>
      <c r="E27" s="8" t="s">
        <v>2541</v>
      </c>
    </row>
    <row r="28" customFormat="false" ht="61.5" hidden="false" customHeight="true" outlineLevel="0" collapsed="false">
      <c r="A28" s="11" t="s">
        <v>2542</v>
      </c>
      <c r="B28" s="9" t="s">
        <v>2543</v>
      </c>
      <c r="C28" s="9" t="s">
        <v>2544</v>
      </c>
      <c r="D28" s="8" t="s">
        <v>2545</v>
      </c>
      <c r="E28" s="8" t="s">
        <v>1432</v>
      </c>
    </row>
    <row r="29" customFormat="false" ht="46.5" hidden="false" customHeight="true" outlineLevel="0" collapsed="false">
      <c r="A29" s="11" t="s">
        <v>2546</v>
      </c>
      <c r="B29" s="9" t="s">
        <v>2547</v>
      </c>
      <c r="C29" s="8" t="s">
        <v>2548</v>
      </c>
      <c r="D29" s="8" t="s">
        <v>2549</v>
      </c>
      <c r="E29" s="8" t="s">
        <v>2550</v>
      </c>
    </row>
    <row r="30" customFormat="false" ht="46.5" hidden="false" customHeight="true" outlineLevel="0" collapsed="false">
      <c r="A30" s="11" t="s">
        <v>2551</v>
      </c>
      <c r="B30" s="8" t="s">
        <v>2552</v>
      </c>
      <c r="C30" s="9" t="s">
        <v>2553</v>
      </c>
      <c r="D30" s="8" t="s">
        <v>2554</v>
      </c>
      <c r="E30" s="8" t="s">
        <v>2555</v>
      </c>
    </row>
    <row r="31" customFormat="false" ht="61.5" hidden="false" customHeight="true" outlineLevel="0" collapsed="false">
      <c r="A31" s="11" t="s">
        <v>2556</v>
      </c>
      <c r="B31" s="9" t="s">
        <v>2557</v>
      </c>
      <c r="C31" s="9" t="s">
        <v>2558</v>
      </c>
      <c r="D31" s="8" t="s">
        <v>2559</v>
      </c>
      <c r="E31" s="8" t="s">
        <v>2560</v>
      </c>
    </row>
    <row r="32" customFormat="false" ht="46.5" hidden="false" customHeight="true" outlineLevel="0" collapsed="false">
      <c r="A32" s="11" t="s">
        <v>2561</v>
      </c>
      <c r="B32" s="8" t="s">
        <v>2562</v>
      </c>
      <c r="C32" s="9" t="s">
        <v>2563</v>
      </c>
      <c r="D32" s="8" t="s">
        <v>2564</v>
      </c>
      <c r="E32" s="8" t="s">
        <v>2565</v>
      </c>
    </row>
  </sheetData>
  <mergeCells count="11">
    <mergeCell ref="B5:E5"/>
    <mergeCell ref="B6:E6"/>
    <mergeCell ref="B7:E7"/>
    <mergeCell ref="B8:E8"/>
    <mergeCell ref="B9:E9"/>
    <mergeCell ref="B10:E10"/>
    <mergeCell ref="B11:E11"/>
    <mergeCell ref="B12:E12"/>
    <mergeCell ref="B13:E13"/>
    <mergeCell ref="B14:E14"/>
    <mergeCell ref="B15:E15"/>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true"/>
  </sheetPr>
  <dimension ref="A1:F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30"/>
    <col collapsed="false" customWidth="true" hidden="false" outlineLevel="0" max="3" min="3" style="1" width="42"/>
    <col collapsed="false" customWidth="true" hidden="false" outlineLevel="0" max="4" min="4" style="1" width="46"/>
    <col collapsed="false" customWidth="true" hidden="false" outlineLevel="0" max="5" min="5" style="1" width="40"/>
    <col collapsed="false" customWidth="true" hidden="false" outlineLevel="0" max="6" min="6" style="1" width="18"/>
  </cols>
  <sheetData>
    <row r="1" customFormat="false" ht="24" hidden="false" customHeight="true" outlineLevel="0" collapsed="false">
      <c r="A1" s="2" t="s">
        <v>2566</v>
      </c>
    </row>
    <row r="2" customFormat="false" ht="15" hidden="false" customHeight="true" outlineLevel="0" collapsed="false">
      <c r="A2" s="22" t="s">
        <v>2567</v>
      </c>
    </row>
    <row r="4" customFormat="false" ht="18" hidden="false" customHeight="true" outlineLevel="0" collapsed="false">
      <c r="A4" s="40" t="s">
        <v>2568</v>
      </c>
      <c r="B4" s="5"/>
      <c r="C4" s="5"/>
      <c r="D4" s="5"/>
      <c r="E4" s="5"/>
      <c r="F4" s="5"/>
    </row>
    <row r="5" customFormat="false" ht="19.5" hidden="false" customHeight="true" outlineLevel="0" collapsed="false">
      <c r="A5" s="25" t="s">
        <v>1877</v>
      </c>
      <c r="B5" s="25" t="s">
        <v>2476</v>
      </c>
      <c r="C5" s="25"/>
      <c r="D5" s="25"/>
      <c r="E5" s="25"/>
      <c r="F5" s="25"/>
    </row>
    <row r="6" customFormat="false" ht="16.5" hidden="false" customHeight="true" outlineLevel="0" collapsed="false">
      <c r="A6" s="6" t="s">
        <v>2569</v>
      </c>
      <c r="B6" s="9" t="s">
        <v>2570</v>
      </c>
      <c r="C6" s="9"/>
      <c r="D6" s="9"/>
      <c r="E6" s="9"/>
      <c r="F6" s="9"/>
    </row>
    <row r="7" customFormat="false" ht="16.5" hidden="false" customHeight="true" outlineLevel="0" collapsed="false">
      <c r="A7" s="6" t="s">
        <v>2571</v>
      </c>
      <c r="B7" s="8" t="s">
        <v>2572</v>
      </c>
      <c r="C7" s="8"/>
      <c r="D7" s="8"/>
      <c r="E7" s="8"/>
      <c r="F7" s="8"/>
    </row>
    <row r="8" customFormat="false" ht="16.5" hidden="false" customHeight="true" outlineLevel="0" collapsed="false">
      <c r="A8" s="6" t="s">
        <v>2573</v>
      </c>
      <c r="B8" s="9" t="s">
        <v>2574</v>
      </c>
      <c r="C8" s="9"/>
      <c r="D8" s="9"/>
      <c r="E8" s="9"/>
      <c r="F8" s="9"/>
    </row>
    <row r="9" customFormat="false" ht="16.5" hidden="false" customHeight="true" outlineLevel="0" collapsed="false">
      <c r="A9" s="6" t="s">
        <v>1578</v>
      </c>
      <c r="B9" s="9" t="s">
        <v>2575</v>
      </c>
      <c r="C9" s="9"/>
      <c r="D9" s="9"/>
      <c r="E9" s="9"/>
      <c r="F9" s="9"/>
    </row>
    <row r="10" customFormat="false" ht="16.5" hidden="false" customHeight="true" outlineLevel="0" collapsed="false">
      <c r="A10" s="11" t="s">
        <v>2576</v>
      </c>
      <c r="B10" s="8" t="s">
        <v>2577</v>
      </c>
      <c r="C10" s="8"/>
      <c r="D10" s="8"/>
      <c r="E10" s="8"/>
      <c r="F10" s="8"/>
    </row>
    <row r="11" customFormat="false" ht="31.5" hidden="false" customHeight="true" outlineLevel="0" collapsed="false">
      <c r="A11" s="6" t="s">
        <v>2578</v>
      </c>
      <c r="B11" s="9" t="s">
        <v>2579</v>
      </c>
      <c r="C11" s="9"/>
      <c r="D11" s="9"/>
      <c r="E11" s="9"/>
      <c r="F11" s="9"/>
    </row>
    <row r="12" customFormat="false" ht="16.5" hidden="false" customHeight="true" outlineLevel="0" collapsed="false">
      <c r="A12" s="6" t="s">
        <v>2580</v>
      </c>
      <c r="B12" s="9" t="s">
        <v>2581</v>
      </c>
      <c r="C12" s="9"/>
      <c r="D12" s="9"/>
      <c r="E12" s="9"/>
      <c r="F12" s="9"/>
    </row>
    <row r="14" customFormat="false" ht="18" hidden="false" customHeight="true" outlineLevel="0" collapsed="false">
      <c r="A14" s="40" t="s">
        <v>2582</v>
      </c>
      <c r="B14" s="5"/>
      <c r="C14" s="5"/>
      <c r="D14" s="5"/>
      <c r="E14" s="5"/>
      <c r="F14" s="5"/>
    </row>
    <row r="15" customFormat="false" ht="19.5" hidden="false" customHeight="true" outlineLevel="0" collapsed="false">
      <c r="A15" s="25" t="s">
        <v>2583</v>
      </c>
      <c r="B15" s="25" t="s">
        <v>2476</v>
      </c>
      <c r="C15" s="25" t="s">
        <v>2584</v>
      </c>
    </row>
    <row r="16" customFormat="false" ht="31.5" hidden="false" customHeight="true" outlineLevel="0" collapsed="false">
      <c r="A16" s="6" t="s">
        <v>2585</v>
      </c>
      <c r="B16" s="9" t="s">
        <v>2586</v>
      </c>
      <c r="C16" s="8" t="s">
        <v>2587</v>
      </c>
    </row>
    <row r="17" customFormat="false" ht="46.5" hidden="false" customHeight="true" outlineLevel="0" collapsed="false">
      <c r="A17" s="6" t="s">
        <v>2588</v>
      </c>
      <c r="B17" s="9" t="s">
        <v>2589</v>
      </c>
      <c r="C17" s="9" t="s">
        <v>2590</v>
      </c>
    </row>
    <row r="18" customFormat="false" ht="31.5" hidden="false" customHeight="true" outlineLevel="0" collapsed="false">
      <c r="A18" s="6" t="s">
        <v>2591</v>
      </c>
      <c r="B18" s="9" t="s">
        <v>2592</v>
      </c>
      <c r="C18" s="29" t="s">
        <v>2593</v>
      </c>
    </row>
    <row r="19" customFormat="false" ht="46.5" hidden="false" customHeight="true" outlineLevel="0" collapsed="false">
      <c r="A19" s="6" t="s">
        <v>2594</v>
      </c>
      <c r="B19" s="9" t="s">
        <v>2595</v>
      </c>
      <c r="C19" s="9" t="s">
        <v>2596</v>
      </c>
    </row>
    <row r="21" customFormat="false" ht="18" hidden="false" customHeight="true" outlineLevel="0" collapsed="false">
      <c r="A21" s="40" t="s">
        <v>2597</v>
      </c>
      <c r="B21" s="5"/>
      <c r="C21" s="5"/>
      <c r="D21" s="5"/>
      <c r="E21" s="5"/>
      <c r="F21" s="5"/>
    </row>
    <row r="22" customFormat="false" ht="19.5" hidden="false" customHeight="true" outlineLevel="0" collapsed="false">
      <c r="A22" s="25" t="s">
        <v>2598</v>
      </c>
      <c r="B22" s="25" t="s">
        <v>2599</v>
      </c>
      <c r="C22" s="24" t="s">
        <v>2600</v>
      </c>
      <c r="D22" s="25" t="s">
        <v>2601</v>
      </c>
      <c r="E22" s="25" t="s">
        <v>2602</v>
      </c>
      <c r="F22" s="25" t="s">
        <v>2603</v>
      </c>
    </row>
    <row r="23" customFormat="false" ht="31.5" hidden="false" customHeight="true" outlineLevel="0" collapsed="false">
      <c r="A23" s="6" t="s">
        <v>2154</v>
      </c>
      <c r="B23" s="8" t="s">
        <v>2157</v>
      </c>
      <c r="C23" s="8" t="s">
        <v>2604</v>
      </c>
      <c r="D23" s="9" t="s">
        <v>2605</v>
      </c>
      <c r="E23" s="8" t="s">
        <v>2606</v>
      </c>
      <c r="F23" s="9" t="s">
        <v>2585</v>
      </c>
    </row>
    <row r="24" customFormat="false" ht="46.5" hidden="false" customHeight="true" outlineLevel="0" collapsed="false">
      <c r="A24" s="6" t="s">
        <v>2607</v>
      </c>
      <c r="B24" s="8" t="s">
        <v>2152</v>
      </c>
      <c r="C24" s="8" t="s">
        <v>2608</v>
      </c>
      <c r="D24" s="9" t="s">
        <v>2609</v>
      </c>
      <c r="E24" s="8" t="s">
        <v>2610</v>
      </c>
      <c r="F24" s="9" t="s">
        <v>2585</v>
      </c>
    </row>
    <row r="25" customFormat="false" ht="42" hidden="false" customHeight="true" outlineLevel="0" collapsed="false">
      <c r="A25" s="6" t="s">
        <v>2611</v>
      </c>
      <c r="B25" s="29" t="s">
        <v>2612</v>
      </c>
      <c r="C25" s="8" t="s">
        <v>2613</v>
      </c>
      <c r="D25" s="9" t="s">
        <v>2614</v>
      </c>
      <c r="E25" s="8" t="s">
        <v>2615</v>
      </c>
      <c r="F25" s="9" t="s">
        <v>2616</v>
      </c>
    </row>
    <row r="26" customFormat="false" ht="42" hidden="false" customHeight="true" outlineLevel="0" collapsed="false">
      <c r="A26" s="6" t="s">
        <v>2617</v>
      </c>
      <c r="B26" s="8" t="s">
        <v>2618</v>
      </c>
      <c r="C26" s="8" t="s">
        <v>2619</v>
      </c>
      <c r="D26" s="9" t="s">
        <v>2620</v>
      </c>
      <c r="E26" s="8" t="s">
        <v>2621</v>
      </c>
      <c r="F26" s="9" t="s">
        <v>2585</v>
      </c>
    </row>
    <row r="27" customFormat="false" ht="42" hidden="false" customHeight="true" outlineLevel="0" collapsed="false">
      <c r="A27" s="6" t="s">
        <v>2622</v>
      </c>
      <c r="B27" s="8" t="s">
        <v>2623</v>
      </c>
      <c r="C27" s="8" t="s">
        <v>2624</v>
      </c>
      <c r="D27" s="9" t="s">
        <v>2625</v>
      </c>
      <c r="E27" s="8" t="s">
        <v>2626</v>
      </c>
      <c r="F27" s="9" t="s">
        <v>2627</v>
      </c>
    </row>
    <row r="28" customFormat="false" ht="42" hidden="false" customHeight="true" outlineLevel="0" collapsed="false">
      <c r="A28" s="6" t="s">
        <v>2628</v>
      </c>
      <c r="B28" s="8" t="s">
        <v>2629</v>
      </c>
      <c r="C28" s="8" t="s">
        <v>2630</v>
      </c>
      <c r="D28" s="8" t="s">
        <v>2631</v>
      </c>
      <c r="E28" s="8" t="s">
        <v>2632</v>
      </c>
      <c r="F28" s="9" t="s">
        <v>2585</v>
      </c>
    </row>
    <row r="29" customFormat="false" ht="31.5" hidden="false" customHeight="true" outlineLevel="0" collapsed="false">
      <c r="A29" s="6" t="s">
        <v>2633</v>
      </c>
      <c r="B29" s="8" t="s">
        <v>2634</v>
      </c>
      <c r="C29" s="8" t="s">
        <v>2635</v>
      </c>
      <c r="D29" s="9" t="s">
        <v>2636</v>
      </c>
      <c r="E29" s="8" t="s">
        <v>2637</v>
      </c>
      <c r="F29" s="9" t="s">
        <v>2638</v>
      </c>
    </row>
    <row r="30" customFormat="false" ht="46.5" hidden="false" customHeight="true" outlineLevel="0" collapsed="false">
      <c r="A30" s="6" t="s">
        <v>2639</v>
      </c>
      <c r="B30" s="8" t="s">
        <v>2024</v>
      </c>
      <c r="C30" s="8" t="s">
        <v>2640</v>
      </c>
      <c r="D30" s="8" t="s">
        <v>2641</v>
      </c>
      <c r="E30" s="8" t="s">
        <v>2642</v>
      </c>
      <c r="F30" s="9" t="s">
        <v>2585</v>
      </c>
    </row>
    <row r="31" customFormat="false" ht="31.5" hidden="false" customHeight="true" outlineLevel="0" collapsed="false">
      <c r="A31" s="11" t="s">
        <v>2643</v>
      </c>
      <c r="B31" s="8" t="s">
        <v>1642</v>
      </c>
      <c r="C31" s="8" t="s">
        <v>2644</v>
      </c>
      <c r="D31" s="29" t="s">
        <v>2645</v>
      </c>
      <c r="E31" s="8" t="s">
        <v>2646</v>
      </c>
      <c r="F31" s="9" t="s">
        <v>2585</v>
      </c>
    </row>
    <row r="32" customFormat="false" ht="31.5" hidden="false" customHeight="true" outlineLevel="0" collapsed="false">
      <c r="A32" s="6" t="s">
        <v>2647</v>
      </c>
      <c r="B32" s="8" t="s">
        <v>2648</v>
      </c>
      <c r="C32" s="8" t="s">
        <v>2649</v>
      </c>
      <c r="D32" s="29" t="s">
        <v>2650</v>
      </c>
      <c r="E32" s="8" t="s">
        <v>2651</v>
      </c>
      <c r="F32" s="9" t="s">
        <v>2591</v>
      </c>
    </row>
    <row r="33" customFormat="false" ht="31.5" hidden="false" customHeight="true" outlineLevel="0" collapsed="false">
      <c r="A33" s="6" t="s">
        <v>2652</v>
      </c>
      <c r="B33" s="8" t="s">
        <v>2102</v>
      </c>
      <c r="C33" s="8" t="s">
        <v>2653</v>
      </c>
      <c r="D33" s="9" t="s">
        <v>2654</v>
      </c>
      <c r="E33" s="8" t="s">
        <v>2655</v>
      </c>
      <c r="F33" s="9" t="s">
        <v>2588</v>
      </c>
    </row>
    <row r="34" customFormat="false" ht="31.5" hidden="false" customHeight="true" outlineLevel="0" collapsed="false">
      <c r="A34" s="6" t="s">
        <v>2656</v>
      </c>
      <c r="B34" s="8" t="s">
        <v>2657</v>
      </c>
      <c r="C34" s="8" t="s">
        <v>2658</v>
      </c>
      <c r="D34" s="8" t="s">
        <v>2659</v>
      </c>
      <c r="E34" s="8" t="s">
        <v>2660</v>
      </c>
      <c r="F34" s="9" t="s">
        <v>2638</v>
      </c>
    </row>
    <row r="35" customFormat="false" ht="31.5" hidden="false" customHeight="true" outlineLevel="0" collapsed="false">
      <c r="A35" s="6" t="s">
        <v>1937</v>
      </c>
      <c r="B35" s="8" t="s">
        <v>1940</v>
      </c>
      <c r="C35" s="8" t="s">
        <v>2661</v>
      </c>
      <c r="D35" s="8" t="s">
        <v>2662</v>
      </c>
      <c r="E35" s="8" t="s">
        <v>2663</v>
      </c>
      <c r="F35" s="9" t="s">
        <v>2585</v>
      </c>
    </row>
    <row r="36" customFormat="false" ht="31.5" hidden="false" customHeight="true" outlineLevel="0" collapsed="false">
      <c r="A36" s="6" t="s">
        <v>2664</v>
      </c>
      <c r="B36" s="8" t="s">
        <v>2665</v>
      </c>
      <c r="C36" s="8" t="s">
        <v>2666</v>
      </c>
      <c r="D36" s="9" t="s">
        <v>2667</v>
      </c>
      <c r="E36" s="8" t="s">
        <v>2668</v>
      </c>
      <c r="F36" s="9" t="s">
        <v>2585</v>
      </c>
    </row>
    <row r="37" customFormat="false" ht="31.5" hidden="false" customHeight="true" outlineLevel="0" collapsed="false">
      <c r="A37" s="6" t="s">
        <v>2669</v>
      </c>
      <c r="B37" s="8" t="s">
        <v>1964</v>
      </c>
      <c r="C37" s="8" t="s">
        <v>2670</v>
      </c>
      <c r="D37" s="9" t="s">
        <v>2671</v>
      </c>
      <c r="E37" s="8" t="s">
        <v>2672</v>
      </c>
      <c r="F37" s="9" t="s">
        <v>2585</v>
      </c>
    </row>
    <row r="38" customFormat="false" ht="31.5" hidden="false" customHeight="true" outlineLevel="0" collapsed="false">
      <c r="A38" s="6" t="s">
        <v>2673</v>
      </c>
      <c r="B38" s="8" t="s">
        <v>2674</v>
      </c>
      <c r="C38" s="8" t="s">
        <v>2675</v>
      </c>
      <c r="D38" s="9" t="s">
        <v>2676</v>
      </c>
      <c r="E38" s="8" t="s">
        <v>2677</v>
      </c>
      <c r="F38" s="9" t="s">
        <v>2585</v>
      </c>
    </row>
    <row r="39" customFormat="false" ht="31.5" hidden="false" customHeight="true" outlineLevel="0" collapsed="false">
      <c r="A39" s="6" t="s">
        <v>2144</v>
      </c>
      <c r="B39" s="8" t="s">
        <v>2678</v>
      </c>
      <c r="C39" s="8" t="s">
        <v>2679</v>
      </c>
      <c r="D39" s="8" t="s">
        <v>2680</v>
      </c>
      <c r="E39" s="8" t="s">
        <v>2681</v>
      </c>
      <c r="F39" s="9" t="s">
        <v>2585</v>
      </c>
    </row>
    <row r="40" customFormat="false" ht="31.5" hidden="false" customHeight="true" outlineLevel="0" collapsed="false">
      <c r="A40" s="6" t="s">
        <v>2682</v>
      </c>
      <c r="B40" s="8" t="s">
        <v>2244</v>
      </c>
      <c r="C40" s="8" t="s">
        <v>2683</v>
      </c>
      <c r="D40" s="9" t="s">
        <v>2684</v>
      </c>
      <c r="E40" s="8" t="s">
        <v>2685</v>
      </c>
      <c r="F40" s="9" t="s">
        <v>2588</v>
      </c>
    </row>
    <row r="41" customFormat="false" ht="31.5" hidden="false" customHeight="true" outlineLevel="0" collapsed="false">
      <c r="A41" s="6" t="s">
        <v>2686</v>
      </c>
      <c r="B41" s="9" t="s">
        <v>2687</v>
      </c>
      <c r="C41" s="8" t="s">
        <v>2688</v>
      </c>
      <c r="D41" s="9" t="s">
        <v>2689</v>
      </c>
      <c r="E41" s="8" t="s">
        <v>294</v>
      </c>
      <c r="F41" s="9" t="s">
        <v>2594</v>
      </c>
    </row>
    <row r="42" customFormat="false" ht="31.5" hidden="false" customHeight="true" outlineLevel="0" collapsed="false">
      <c r="A42" s="60" t="s">
        <v>2690</v>
      </c>
      <c r="B42" s="60"/>
      <c r="C42" s="60"/>
      <c r="D42" s="60"/>
      <c r="E42" s="60"/>
      <c r="F42" s="60"/>
    </row>
    <row r="44" customFormat="false" ht="18" hidden="false" customHeight="true" outlineLevel="0" collapsed="false">
      <c r="A44" s="40" t="s">
        <v>2691</v>
      </c>
      <c r="B44" s="5"/>
      <c r="C44" s="5"/>
      <c r="D44" s="5"/>
      <c r="E44" s="5"/>
      <c r="F44" s="5"/>
    </row>
    <row r="45" customFormat="false" ht="19.5" hidden="false" customHeight="true" outlineLevel="0" collapsed="false">
      <c r="A45" s="25" t="s">
        <v>2692</v>
      </c>
      <c r="B45" s="25" t="s">
        <v>2693</v>
      </c>
      <c r="C45" s="25" t="s">
        <v>2413</v>
      </c>
      <c r="D45" s="25" t="s">
        <v>394</v>
      </c>
    </row>
    <row r="46" customFormat="false" ht="16.5" hidden="false" customHeight="true" outlineLevel="0" collapsed="false">
      <c r="A46" s="11" t="s">
        <v>2694</v>
      </c>
      <c r="B46" s="9" t="s">
        <v>2695</v>
      </c>
      <c r="C46" s="8" t="s">
        <v>2696</v>
      </c>
      <c r="D46" s="9" t="s">
        <v>2697</v>
      </c>
    </row>
    <row r="47" customFormat="false" ht="16.5" hidden="false" customHeight="true" outlineLevel="0" collapsed="false">
      <c r="A47" s="11" t="s">
        <v>2698</v>
      </c>
      <c r="B47" s="9" t="s">
        <v>2699</v>
      </c>
      <c r="C47" s="8" t="s">
        <v>2700</v>
      </c>
      <c r="D47" s="9" t="s">
        <v>2701</v>
      </c>
    </row>
    <row r="48" customFormat="false" ht="29.25" hidden="false" customHeight="true" outlineLevel="0" collapsed="false">
      <c r="A48" s="11" t="s">
        <v>2694</v>
      </c>
      <c r="B48" s="9" t="s">
        <v>2702</v>
      </c>
      <c r="C48" s="8" t="s">
        <v>2703</v>
      </c>
      <c r="D48" s="9" t="s">
        <v>2704</v>
      </c>
    </row>
    <row r="49" customFormat="false" ht="16.5" hidden="false" customHeight="true" outlineLevel="0" collapsed="false">
      <c r="A49" s="11" t="s">
        <v>2698</v>
      </c>
      <c r="B49" s="9" t="s">
        <v>2705</v>
      </c>
      <c r="C49" s="8" t="s">
        <v>2706</v>
      </c>
      <c r="D49" s="9" t="s">
        <v>2707</v>
      </c>
    </row>
    <row r="50" customFormat="false" ht="31.5" hidden="false" customHeight="true" outlineLevel="0" collapsed="false">
      <c r="A50" s="11" t="s">
        <v>2694</v>
      </c>
      <c r="B50" s="9" t="s">
        <v>2708</v>
      </c>
      <c r="C50" s="8" t="s">
        <v>2709</v>
      </c>
      <c r="D50" s="9" t="s">
        <v>2710</v>
      </c>
    </row>
    <row r="51" customFormat="false" ht="16.5" hidden="false" customHeight="true" outlineLevel="0" collapsed="false">
      <c r="A51" s="11" t="s">
        <v>2698</v>
      </c>
      <c r="B51" s="8" t="s">
        <v>2711</v>
      </c>
      <c r="C51" s="8" t="s">
        <v>2712</v>
      </c>
      <c r="D51" s="9" t="s">
        <v>2713</v>
      </c>
    </row>
    <row r="52" customFormat="false" ht="31.5" hidden="false" customHeight="true" outlineLevel="0" collapsed="false">
      <c r="A52" s="11" t="s">
        <v>2694</v>
      </c>
      <c r="B52" s="9" t="s">
        <v>2714</v>
      </c>
      <c r="C52" s="8" t="s">
        <v>2715</v>
      </c>
      <c r="D52" s="9" t="s">
        <v>2716</v>
      </c>
    </row>
    <row r="53" customFormat="false" ht="16.5" hidden="false" customHeight="true" outlineLevel="0" collapsed="false">
      <c r="A53" s="60" t="s">
        <v>2717</v>
      </c>
      <c r="B53" s="60"/>
      <c r="C53" s="60"/>
      <c r="D53" s="60"/>
      <c r="E53" s="60"/>
      <c r="F53" s="60"/>
    </row>
  </sheetData>
  <mergeCells count="10">
    <mergeCell ref="B5:F5"/>
    <mergeCell ref="B6:F6"/>
    <mergeCell ref="B7:F7"/>
    <mergeCell ref="B8:F8"/>
    <mergeCell ref="B9:F9"/>
    <mergeCell ref="B10:F10"/>
    <mergeCell ref="B11:F11"/>
    <mergeCell ref="B12:F12"/>
    <mergeCell ref="A42:F42"/>
    <mergeCell ref="A53:F5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E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26"/>
    <col collapsed="false" customWidth="true" hidden="false" outlineLevel="0" max="3" min="3" style="1" width="66"/>
    <col collapsed="false" customWidth="true" hidden="false" outlineLevel="0" max="4" min="4" style="1" width="52"/>
    <col collapsed="false" customWidth="true" hidden="false" outlineLevel="0" max="5" min="5" style="1" width="13"/>
  </cols>
  <sheetData>
    <row r="1" customFormat="false" ht="24" hidden="false" customHeight="true" outlineLevel="0" collapsed="false">
      <c r="A1" s="23" t="s">
        <v>2718</v>
      </c>
    </row>
    <row r="2" customFormat="false" ht="15" hidden="false" customHeight="true" outlineLevel="0" collapsed="false">
      <c r="A2" s="22" t="s">
        <v>2719</v>
      </c>
    </row>
    <row r="4" customFormat="false" ht="18" hidden="false" customHeight="true" outlineLevel="0" collapsed="false">
      <c r="A4" s="40" t="s">
        <v>2720</v>
      </c>
      <c r="B4" s="5"/>
      <c r="C4" s="5"/>
      <c r="D4" s="5"/>
    </row>
    <row r="5" customFormat="false" ht="19.5" hidden="false" customHeight="true" outlineLevel="0" collapsed="false">
      <c r="A5" s="24" t="s">
        <v>83</v>
      </c>
      <c r="B5" s="25" t="s">
        <v>60</v>
      </c>
      <c r="C5" s="25" t="s">
        <v>2476</v>
      </c>
      <c r="D5" s="25" t="s">
        <v>2721</v>
      </c>
    </row>
    <row r="6" customFormat="false" ht="31.5" hidden="false" customHeight="true" outlineLevel="0" collapsed="false">
      <c r="A6" s="26" t="n">
        <v>1</v>
      </c>
      <c r="B6" s="9" t="s">
        <v>2722</v>
      </c>
      <c r="C6" s="9" t="s">
        <v>2723</v>
      </c>
      <c r="D6" s="8" t="s">
        <v>2724</v>
      </c>
    </row>
    <row r="7" customFormat="false" ht="31.5" hidden="false" customHeight="true" outlineLevel="0" collapsed="false">
      <c r="A7" s="26" t="n">
        <v>2</v>
      </c>
      <c r="B7" s="9" t="s">
        <v>2725</v>
      </c>
      <c r="C7" s="9" t="s">
        <v>2726</v>
      </c>
      <c r="D7" s="8" t="s">
        <v>2727</v>
      </c>
    </row>
    <row r="8" customFormat="false" ht="31.5" hidden="false" customHeight="true" outlineLevel="0" collapsed="false">
      <c r="A8" s="26" t="n">
        <v>3</v>
      </c>
      <c r="B8" s="9" t="s">
        <v>2728</v>
      </c>
      <c r="C8" s="9" t="s">
        <v>2729</v>
      </c>
      <c r="D8" s="8" t="s">
        <v>2730</v>
      </c>
    </row>
    <row r="9" customFormat="false" ht="31.5" hidden="false" customHeight="true" outlineLevel="0" collapsed="false">
      <c r="A9" s="26" t="n">
        <v>4</v>
      </c>
      <c r="B9" s="9" t="s">
        <v>2731</v>
      </c>
      <c r="C9" s="9" t="s">
        <v>2732</v>
      </c>
      <c r="D9" s="8" t="s">
        <v>2733</v>
      </c>
    </row>
    <row r="10" customFormat="false" ht="31.5" hidden="false" customHeight="true" outlineLevel="0" collapsed="false">
      <c r="A10" s="26" t="n">
        <v>5</v>
      </c>
      <c r="B10" s="9" t="s">
        <v>2734</v>
      </c>
      <c r="C10" s="9" t="s">
        <v>2735</v>
      </c>
      <c r="D10" s="8" t="s">
        <v>2736</v>
      </c>
    </row>
    <row r="11" customFormat="false" ht="46.5" hidden="false" customHeight="true" outlineLevel="0" collapsed="false">
      <c r="A11" s="26" t="n">
        <v>6</v>
      </c>
      <c r="B11" s="9" t="s">
        <v>2737</v>
      </c>
      <c r="C11" s="9" t="s">
        <v>2738</v>
      </c>
      <c r="D11" s="8" t="s">
        <v>2739</v>
      </c>
    </row>
    <row r="12" customFormat="false" ht="31.5" hidden="false" customHeight="true" outlineLevel="0" collapsed="false">
      <c r="A12" s="26" t="n">
        <v>7</v>
      </c>
      <c r="B12" s="9" t="s">
        <v>2740</v>
      </c>
      <c r="C12" s="9" t="s">
        <v>2741</v>
      </c>
      <c r="D12" s="8" t="s">
        <v>2742</v>
      </c>
    </row>
    <row r="13" customFormat="false" ht="31.5" hidden="false" customHeight="true" outlineLevel="0" collapsed="false">
      <c r="A13" s="26" t="n">
        <v>8</v>
      </c>
      <c r="B13" s="9" t="s">
        <v>2743</v>
      </c>
      <c r="C13" s="9" t="s">
        <v>2744</v>
      </c>
      <c r="D13" s="8" t="s">
        <v>2745</v>
      </c>
    </row>
    <row r="14" customFormat="false" ht="46.5" hidden="false" customHeight="true" outlineLevel="0" collapsed="false">
      <c r="A14" s="26" t="n">
        <v>9</v>
      </c>
      <c r="B14" s="9" t="s">
        <v>2746</v>
      </c>
      <c r="C14" s="8" t="s">
        <v>2747</v>
      </c>
      <c r="D14" s="8" t="s">
        <v>2748</v>
      </c>
    </row>
    <row r="15" customFormat="false" ht="61.5" hidden="false" customHeight="true" outlineLevel="0" collapsed="false">
      <c r="A15" s="26" t="n">
        <v>10</v>
      </c>
      <c r="B15" s="9" t="s">
        <v>2749</v>
      </c>
      <c r="C15" s="9" t="s">
        <v>2750</v>
      </c>
      <c r="D15" s="8" t="s">
        <v>2751</v>
      </c>
    </row>
    <row r="16" customFormat="false" ht="16.5" hidden="false" customHeight="true" outlineLevel="0" collapsed="false">
      <c r="A16" s="26" t="n">
        <v>11</v>
      </c>
      <c r="B16" s="9" t="s">
        <v>94</v>
      </c>
      <c r="C16" s="9" t="s">
        <v>2752</v>
      </c>
      <c r="D16" s="8"/>
    </row>
    <row r="17" customFormat="false" ht="31.5" hidden="false" customHeight="true" outlineLevel="0" collapsed="false">
      <c r="A17" s="26" t="n">
        <v>12</v>
      </c>
      <c r="B17" s="8" t="s">
        <v>2753</v>
      </c>
      <c r="C17" s="9" t="s">
        <v>2754</v>
      </c>
      <c r="D17" s="8" t="s">
        <v>2755</v>
      </c>
    </row>
    <row r="18" customFormat="false" ht="16.5" hidden="false" customHeight="true" outlineLevel="0" collapsed="false">
      <c r="A18" s="26" t="n">
        <v>13</v>
      </c>
      <c r="B18" s="8" t="s">
        <v>2756</v>
      </c>
      <c r="C18" s="9" t="s">
        <v>2757</v>
      </c>
      <c r="D18" s="8" t="s">
        <v>2758</v>
      </c>
    </row>
    <row r="19" customFormat="false" ht="31.5" hidden="false" customHeight="true" outlineLevel="0" collapsed="false">
      <c r="A19" s="26" t="n">
        <v>14</v>
      </c>
      <c r="B19" s="9" t="s">
        <v>2759</v>
      </c>
      <c r="C19" s="8" t="s">
        <v>2760</v>
      </c>
      <c r="D19" s="8"/>
    </row>
    <row r="20" customFormat="false" ht="16.5" hidden="false" customHeight="true" outlineLevel="0" collapsed="false">
      <c r="A20" s="26" t="n">
        <v>15</v>
      </c>
      <c r="B20" s="9" t="s">
        <v>2761</v>
      </c>
      <c r="C20" s="8" t="s">
        <v>2762</v>
      </c>
      <c r="D20" s="8" t="s">
        <v>2763</v>
      </c>
    </row>
    <row r="21" customFormat="false" ht="46.5" hidden="false" customHeight="true" outlineLevel="0" collapsed="false">
      <c r="A21" s="26" t="n">
        <v>16</v>
      </c>
      <c r="B21" s="9" t="s">
        <v>2764</v>
      </c>
      <c r="C21" s="9" t="s">
        <v>2765</v>
      </c>
      <c r="D21" s="8" t="s">
        <v>2766</v>
      </c>
    </row>
    <row r="22" customFormat="false" ht="61.5" hidden="false" customHeight="true" outlineLevel="0" collapsed="false">
      <c r="A22" s="26" t="n">
        <v>17</v>
      </c>
      <c r="B22" s="9" t="s">
        <v>2767</v>
      </c>
      <c r="C22" s="9" t="s">
        <v>2768</v>
      </c>
      <c r="D22" s="8" t="s">
        <v>2769</v>
      </c>
    </row>
    <row r="23" customFormat="false" ht="46.5" hidden="false" customHeight="true" outlineLevel="0" collapsed="false">
      <c r="A23" s="26" t="n">
        <v>18</v>
      </c>
      <c r="B23" s="9" t="s">
        <v>2770</v>
      </c>
      <c r="C23" s="9" t="s">
        <v>2771</v>
      </c>
      <c r="D23" s="8" t="s">
        <v>2772</v>
      </c>
    </row>
    <row r="24" customFormat="false" ht="61.5" hidden="false" customHeight="true" outlineLevel="0" collapsed="false">
      <c r="A24" s="26" t="n">
        <v>19</v>
      </c>
      <c r="B24" s="9" t="s">
        <v>2773</v>
      </c>
      <c r="C24" s="9" t="s">
        <v>2774</v>
      </c>
      <c r="D24" s="8" t="s">
        <v>2775</v>
      </c>
    </row>
    <row r="26" customFormat="false" ht="18" hidden="false" customHeight="true" outlineLevel="0" collapsed="false">
      <c r="A26" s="40" t="s">
        <v>2776</v>
      </c>
      <c r="B26" s="5"/>
      <c r="C26" s="5"/>
      <c r="D26" s="5"/>
    </row>
    <row r="27" customFormat="false" ht="61.5" hidden="false" customHeight="true" outlineLevel="0" collapsed="false">
      <c r="A27" s="79" t="s">
        <v>2777</v>
      </c>
      <c r="B27" s="79"/>
      <c r="C27" s="79"/>
      <c r="D27" s="79"/>
    </row>
    <row r="28" customFormat="false" ht="31.5" hidden="false" customHeight="true" outlineLevel="0" collapsed="false">
      <c r="A28" s="26" t="n">
        <v>1</v>
      </c>
      <c r="B28" s="8" t="s">
        <v>2778</v>
      </c>
      <c r="C28" s="8" t="s">
        <v>2779</v>
      </c>
      <c r="D28" s="8" t="s">
        <v>219</v>
      </c>
    </row>
    <row r="29" customFormat="false" ht="19.5" hidden="false" customHeight="true" outlineLevel="0" collapsed="false">
      <c r="A29" s="25" t="s">
        <v>323</v>
      </c>
      <c r="B29" s="25" t="s">
        <v>2780</v>
      </c>
      <c r="C29" s="25" t="s">
        <v>2781</v>
      </c>
      <c r="D29" s="25" t="s">
        <v>2782</v>
      </c>
      <c r="E29" s="25" t="s">
        <v>2783</v>
      </c>
    </row>
    <row r="30" customFormat="false" ht="31.5" hidden="false" customHeight="true" outlineLevel="0" collapsed="false">
      <c r="A30" s="11" t="s">
        <v>219</v>
      </c>
      <c r="B30" s="9" t="s">
        <v>2784</v>
      </c>
      <c r="C30" s="9" t="s">
        <v>2785</v>
      </c>
      <c r="D30" s="8" t="s">
        <v>2786</v>
      </c>
      <c r="E30" s="9" t="s">
        <v>2787</v>
      </c>
    </row>
    <row r="31" customFormat="false" ht="61.5" hidden="false" customHeight="true" outlineLevel="0" collapsed="false">
      <c r="A31" s="11" t="s">
        <v>150</v>
      </c>
      <c r="B31" s="9" t="s">
        <v>2788</v>
      </c>
      <c r="C31" s="9" t="s">
        <v>2789</v>
      </c>
      <c r="D31" s="8" t="s">
        <v>2790</v>
      </c>
      <c r="E31" s="8" t="s">
        <v>2791</v>
      </c>
    </row>
    <row r="32" customFormat="false" ht="46.5" hidden="false" customHeight="true" outlineLevel="0" collapsed="false">
      <c r="A32" s="11" t="s">
        <v>208</v>
      </c>
      <c r="B32" s="9" t="s">
        <v>2792</v>
      </c>
      <c r="C32" s="9" t="s">
        <v>2793</v>
      </c>
      <c r="D32" s="8" t="s">
        <v>2794</v>
      </c>
      <c r="E32" s="8" t="s">
        <v>2795</v>
      </c>
    </row>
    <row r="33" customFormat="false" ht="46.5" hidden="false" customHeight="true" outlineLevel="0" collapsed="false">
      <c r="A33" s="11" t="s">
        <v>264</v>
      </c>
      <c r="B33" s="9" t="s">
        <v>2796</v>
      </c>
      <c r="C33" s="9" t="s">
        <v>2797</v>
      </c>
      <c r="D33" s="8" t="s">
        <v>2798</v>
      </c>
      <c r="E33" s="8" t="s">
        <v>2799</v>
      </c>
    </row>
    <row r="34" customFormat="false" ht="31.5" hidden="false" customHeight="true" outlineLevel="0" collapsed="false">
      <c r="A34" s="11" t="s">
        <v>103</v>
      </c>
      <c r="B34" s="29" t="s">
        <v>2800</v>
      </c>
      <c r="C34" s="9" t="s">
        <v>2801</v>
      </c>
      <c r="D34" s="8" t="s">
        <v>2802</v>
      </c>
      <c r="E34" s="8" t="s">
        <v>2803</v>
      </c>
    </row>
    <row r="35" customFormat="false" ht="16.5" hidden="false" customHeight="true" outlineLevel="0" collapsed="false">
      <c r="A35" s="26" t="n">
        <v>8</v>
      </c>
      <c r="B35" s="9" t="s">
        <v>2804</v>
      </c>
      <c r="C35" s="8" t="s">
        <v>2805</v>
      </c>
      <c r="D35" s="8" t="s">
        <v>2806</v>
      </c>
    </row>
    <row r="36" customFormat="false" ht="16.5" hidden="false" customHeight="true" outlineLevel="0" collapsed="false">
      <c r="A36" s="26" t="n">
        <v>9</v>
      </c>
      <c r="B36" s="9" t="s">
        <v>2807</v>
      </c>
      <c r="C36" s="8" t="s">
        <v>2808</v>
      </c>
      <c r="D36" s="8" t="s">
        <v>161</v>
      </c>
    </row>
    <row r="37" customFormat="false" ht="16.5" hidden="false" customHeight="true" outlineLevel="0" collapsed="false">
      <c r="A37" s="26" t="n">
        <v>10</v>
      </c>
      <c r="B37" s="9" t="s">
        <v>2809</v>
      </c>
      <c r="C37" s="8" t="s">
        <v>2810</v>
      </c>
      <c r="D37" s="8" t="s">
        <v>2811</v>
      </c>
    </row>
    <row r="38" customFormat="false" ht="46.5" hidden="false" customHeight="true" outlineLevel="0" collapsed="false">
      <c r="A38" s="26" t="n">
        <v>11</v>
      </c>
      <c r="B38" s="9" t="s">
        <v>2812</v>
      </c>
      <c r="C38" s="9" t="s">
        <v>2813</v>
      </c>
      <c r="D38" s="8" t="s">
        <v>2814</v>
      </c>
    </row>
    <row r="39" customFormat="false" ht="31.5" hidden="false" customHeight="true" outlineLevel="0" collapsed="false">
      <c r="A39" s="26" t="n">
        <v>12</v>
      </c>
      <c r="B39" s="9" t="s">
        <v>2815</v>
      </c>
      <c r="C39" s="9" t="s">
        <v>2816</v>
      </c>
      <c r="D39" s="8" t="s">
        <v>2817</v>
      </c>
    </row>
  </sheetData>
  <mergeCells count="1">
    <mergeCell ref="A27:D27"/>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E9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26"/>
    <col collapsed="false" customWidth="true" hidden="false" outlineLevel="0" max="4" min="3" style="1" width="46"/>
    <col collapsed="false" customWidth="true" hidden="false" outlineLevel="0" max="5" min="5" style="1" width="24"/>
  </cols>
  <sheetData>
    <row r="1" customFormat="false" ht="24" hidden="false" customHeight="true" outlineLevel="0" collapsed="false">
      <c r="A1" s="23" t="s">
        <v>2818</v>
      </c>
    </row>
    <row r="3" customFormat="false" ht="18" hidden="false" customHeight="true" outlineLevel="0" collapsed="false">
      <c r="A3" s="40" t="s">
        <v>2819</v>
      </c>
      <c r="B3" s="5"/>
      <c r="C3" s="5"/>
      <c r="D3" s="5"/>
      <c r="E3" s="5"/>
    </row>
    <row r="4" customFormat="false" ht="19.5" hidden="false" customHeight="true" outlineLevel="0" collapsed="false">
      <c r="A4" s="24" t="s">
        <v>83</v>
      </c>
      <c r="B4" s="25" t="s">
        <v>1877</v>
      </c>
      <c r="C4" s="25" t="s">
        <v>2820</v>
      </c>
      <c r="D4" s="25" t="s">
        <v>2821</v>
      </c>
      <c r="E4" s="25" t="s">
        <v>2822</v>
      </c>
    </row>
    <row r="5" customFormat="false" ht="196.5" hidden="false" customHeight="true" outlineLevel="0" collapsed="false">
      <c r="A5" s="26" t="n">
        <v>1</v>
      </c>
      <c r="B5" s="9" t="s">
        <v>2823</v>
      </c>
      <c r="C5" s="8" t="s">
        <v>2824</v>
      </c>
      <c r="D5" s="8" t="s">
        <v>2825</v>
      </c>
      <c r="E5" s="9" t="s">
        <v>2826</v>
      </c>
    </row>
    <row r="6" customFormat="false" ht="76.5" hidden="false" customHeight="true" outlineLevel="0" collapsed="false">
      <c r="A6" s="26" t="n">
        <v>2</v>
      </c>
      <c r="B6" s="9" t="s">
        <v>2827</v>
      </c>
      <c r="C6" s="8" t="s">
        <v>2828</v>
      </c>
      <c r="D6" s="9" t="s">
        <v>2829</v>
      </c>
      <c r="E6" s="9" t="s">
        <v>31</v>
      </c>
    </row>
    <row r="7" customFormat="false" ht="76.5" hidden="false" customHeight="true" outlineLevel="0" collapsed="false">
      <c r="A7" s="26" t="n">
        <v>3</v>
      </c>
      <c r="B7" s="9" t="s">
        <v>2830</v>
      </c>
      <c r="C7" s="9" t="s">
        <v>2831</v>
      </c>
      <c r="D7" s="8" t="s">
        <v>2832</v>
      </c>
      <c r="E7" s="9" t="s">
        <v>31</v>
      </c>
    </row>
    <row r="8" customFormat="false" ht="121.5" hidden="false" customHeight="true" outlineLevel="0" collapsed="false">
      <c r="A8" s="26" t="n">
        <v>4</v>
      </c>
      <c r="B8" s="9" t="s">
        <v>2833</v>
      </c>
      <c r="C8" s="9" t="s">
        <v>2834</v>
      </c>
      <c r="D8" s="8" t="s">
        <v>2835</v>
      </c>
      <c r="E8" s="9" t="s">
        <v>31</v>
      </c>
    </row>
    <row r="9" customFormat="false" ht="151.5" hidden="false" customHeight="true" outlineLevel="0" collapsed="false">
      <c r="A9" s="26" t="n">
        <v>5</v>
      </c>
      <c r="B9" s="8" t="s">
        <v>150</v>
      </c>
      <c r="C9" s="9" t="s">
        <v>2836</v>
      </c>
      <c r="D9" s="9" t="s">
        <v>2837</v>
      </c>
      <c r="E9" s="8" t="s">
        <v>2838</v>
      </c>
    </row>
    <row r="10" customFormat="false" ht="61.5" hidden="false" customHeight="true" outlineLevel="0" collapsed="false">
      <c r="A10" s="26" t="n">
        <v>6</v>
      </c>
      <c r="B10" s="8" t="s">
        <v>2839</v>
      </c>
      <c r="C10" s="9" t="s">
        <v>2840</v>
      </c>
      <c r="D10" s="9" t="s">
        <v>2841</v>
      </c>
      <c r="E10" s="8" t="s">
        <v>2842</v>
      </c>
    </row>
    <row r="11" customFormat="false" ht="76.5" hidden="false" customHeight="true" outlineLevel="0" collapsed="false">
      <c r="A11" s="26" t="n">
        <v>7</v>
      </c>
      <c r="B11" s="8" t="s">
        <v>208</v>
      </c>
      <c r="C11" s="9" t="s">
        <v>2843</v>
      </c>
      <c r="D11" s="9" t="s">
        <v>2844</v>
      </c>
      <c r="E11" s="8" t="s">
        <v>2845</v>
      </c>
    </row>
    <row r="12" customFormat="false" ht="151.5" hidden="false" customHeight="true" outlineLevel="0" collapsed="false">
      <c r="A12" s="26" t="n">
        <v>8</v>
      </c>
      <c r="B12" s="8" t="s">
        <v>2846</v>
      </c>
      <c r="C12" s="8" t="s">
        <v>2847</v>
      </c>
      <c r="D12" s="8" t="s">
        <v>2848</v>
      </c>
      <c r="E12" s="8" t="s">
        <v>2845</v>
      </c>
    </row>
    <row r="13" customFormat="false" ht="61.5" hidden="false" customHeight="true" outlineLevel="0" collapsed="false">
      <c r="A13" s="26" t="n">
        <v>9</v>
      </c>
      <c r="B13" s="9" t="s">
        <v>2849</v>
      </c>
      <c r="C13" s="9" t="s">
        <v>2850</v>
      </c>
      <c r="D13" s="9" t="s">
        <v>2851</v>
      </c>
      <c r="E13" s="8" t="s">
        <v>2845</v>
      </c>
    </row>
    <row r="14" customFormat="false" ht="46.5" hidden="false" customHeight="true" outlineLevel="0" collapsed="false">
      <c r="A14" s="26" t="n">
        <v>10</v>
      </c>
      <c r="B14" s="9" t="s">
        <v>19</v>
      </c>
      <c r="C14" s="9" t="s">
        <v>2852</v>
      </c>
      <c r="D14" s="9" t="s">
        <v>2853</v>
      </c>
      <c r="E14" s="9" t="s">
        <v>69</v>
      </c>
    </row>
    <row r="15" customFormat="false" ht="46.5" hidden="false" customHeight="true" outlineLevel="0" collapsed="false">
      <c r="A15" s="26" t="n">
        <v>11</v>
      </c>
      <c r="B15" s="8" t="s">
        <v>2854</v>
      </c>
      <c r="C15" s="8" t="s">
        <v>2855</v>
      </c>
      <c r="D15" s="9" t="s">
        <v>2856</v>
      </c>
      <c r="E15" s="8" t="s">
        <v>2857</v>
      </c>
    </row>
    <row r="16" customFormat="false" ht="76.5" hidden="false" customHeight="true" outlineLevel="0" collapsed="false">
      <c r="A16" s="26" t="n">
        <v>12</v>
      </c>
      <c r="B16" s="9" t="s">
        <v>3</v>
      </c>
      <c r="C16" s="8" t="s">
        <v>2858</v>
      </c>
      <c r="D16" s="8" t="s">
        <v>2859</v>
      </c>
      <c r="E16" s="9" t="s">
        <v>2860</v>
      </c>
    </row>
    <row r="17" customFormat="false" ht="91.5" hidden="false" customHeight="true" outlineLevel="0" collapsed="false">
      <c r="A17" s="26" t="n">
        <v>13</v>
      </c>
      <c r="B17" s="9" t="s">
        <v>2861</v>
      </c>
      <c r="C17" s="8" t="s">
        <v>2862</v>
      </c>
      <c r="D17" s="8" t="s">
        <v>2863</v>
      </c>
      <c r="E17" s="8" t="s">
        <v>2864</v>
      </c>
    </row>
    <row r="18" customFormat="false" ht="151.5" hidden="false" customHeight="true" outlineLevel="0" collapsed="false">
      <c r="A18" s="26" t="n">
        <v>14</v>
      </c>
      <c r="B18" s="9" t="s">
        <v>2865</v>
      </c>
      <c r="C18" s="8" t="s">
        <v>2866</v>
      </c>
      <c r="D18" s="9" t="s">
        <v>2867</v>
      </c>
      <c r="E18" s="9" t="s">
        <v>2868</v>
      </c>
    </row>
    <row r="19" customFormat="false" ht="151.5" hidden="false" customHeight="true" outlineLevel="0" collapsed="false">
      <c r="A19" s="26" t="n">
        <v>15</v>
      </c>
      <c r="B19" s="9" t="s">
        <v>2869</v>
      </c>
      <c r="C19" s="9" t="s">
        <v>2870</v>
      </c>
      <c r="D19" s="9" t="s">
        <v>2871</v>
      </c>
      <c r="E19" s="9" t="s">
        <v>2872</v>
      </c>
    </row>
    <row r="20" customFormat="false" ht="76.5" hidden="false" customHeight="true" outlineLevel="0" collapsed="false">
      <c r="A20" s="26" t="n">
        <v>16</v>
      </c>
      <c r="B20" s="9" t="s">
        <v>2873</v>
      </c>
      <c r="C20" s="9" t="s">
        <v>2874</v>
      </c>
      <c r="D20" s="9" t="s">
        <v>2875</v>
      </c>
      <c r="E20" s="9" t="s">
        <v>2876</v>
      </c>
    </row>
    <row r="21" customFormat="false" ht="121.5" hidden="false" customHeight="true" outlineLevel="0" collapsed="false">
      <c r="A21" s="26" t="n">
        <v>17</v>
      </c>
      <c r="B21" s="9" t="s">
        <v>2877</v>
      </c>
      <c r="C21" s="8" t="s">
        <v>2878</v>
      </c>
      <c r="D21" s="9" t="s">
        <v>2879</v>
      </c>
      <c r="E21" s="9" t="s">
        <v>31</v>
      </c>
    </row>
    <row r="22" customFormat="false" ht="91.5" hidden="false" customHeight="true" outlineLevel="0" collapsed="false">
      <c r="A22" s="26" t="n">
        <v>18</v>
      </c>
      <c r="B22" s="9" t="s">
        <v>2764</v>
      </c>
      <c r="C22" s="8" t="s">
        <v>294</v>
      </c>
      <c r="D22" s="9" t="s">
        <v>2880</v>
      </c>
      <c r="E22" s="9" t="s">
        <v>57</v>
      </c>
    </row>
    <row r="23" customFormat="false" ht="106.5" hidden="false" customHeight="true" outlineLevel="0" collapsed="false">
      <c r="A23" s="26" t="n">
        <v>19</v>
      </c>
      <c r="B23" s="9" t="s">
        <v>2881</v>
      </c>
      <c r="C23" s="9" t="s">
        <v>2882</v>
      </c>
      <c r="D23" s="8" t="s">
        <v>2883</v>
      </c>
      <c r="E23" s="9" t="s">
        <v>34</v>
      </c>
    </row>
    <row r="24" customFormat="false" ht="61.5" hidden="false" customHeight="true" outlineLevel="0" collapsed="false">
      <c r="A24" s="26" t="n">
        <v>20</v>
      </c>
      <c r="B24" s="8" t="s">
        <v>2884</v>
      </c>
      <c r="C24" s="8" t="s">
        <v>2885</v>
      </c>
      <c r="D24" s="8" t="s">
        <v>2886</v>
      </c>
      <c r="E24" s="8" t="s">
        <v>2838</v>
      </c>
    </row>
    <row r="25" customFormat="false" ht="91.5" hidden="false" customHeight="true" outlineLevel="0" collapsed="false">
      <c r="A25" s="26" t="n">
        <v>21</v>
      </c>
      <c r="B25" s="9" t="s">
        <v>2887</v>
      </c>
      <c r="C25" s="8" t="s">
        <v>2888</v>
      </c>
      <c r="D25" s="9" t="s">
        <v>2889</v>
      </c>
      <c r="E25" s="9" t="s">
        <v>2890</v>
      </c>
    </row>
    <row r="26" customFormat="false" ht="151.5" hidden="false" customHeight="true" outlineLevel="0" collapsed="false">
      <c r="A26" s="26" t="n">
        <v>22</v>
      </c>
      <c r="B26" s="8" t="s">
        <v>2891</v>
      </c>
      <c r="C26" s="8" t="s">
        <v>2892</v>
      </c>
      <c r="D26" s="8" t="s">
        <v>2893</v>
      </c>
      <c r="E26" s="9" t="s">
        <v>44</v>
      </c>
    </row>
    <row r="27" customFormat="false" ht="121.5" hidden="false" customHeight="true" outlineLevel="0" collapsed="false">
      <c r="A27" s="26" t="n">
        <v>23</v>
      </c>
      <c r="B27" s="8" t="s">
        <v>2894</v>
      </c>
      <c r="C27" s="8" t="s">
        <v>2895</v>
      </c>
      <c r="D27" s="9" t="s">
        <v>2896</v>
      </c>
      <c r="E27" s="9" t="s">
        <v>44</v>
      </c>
    </row>
    <row r="28" customFormat="false" ht="46.5" hidden="false" customHeight="true" outlineLevel="0" collapsed="false">
      <c r="A28" s="26" t="n">
        <v>24</v>
      </c>
      <c r="B28" s="9" t="s">
        <v>2897</v>
      </c>
      <c r="C28" s="9" t="s">
        <v>2898</v>
      </c>
      <c r="D28" s="9" t="s">
        <v>2899</v>
      </c>
      <c r="E28" s="9" t="s">
        <v>49</v>
      </c>
    </row>
    <row r="29" customFormat="false" ht="61.5" hidden="false" customHeight="true" outlineLevel="0" collapsed="false">
      <c r="A29" s="26" t="n">
        <v>25</v>
      </c>
      <c r="B29" s="9" t="s">
        <v>31</v>
      </c>
      <c r="C29" s="9" t="s">
        <v>2900</v>
      </c>
      <c r="D29" s="9" t="s">
        <v>2901</v>
      </c>
      <c r="E29" s="9" t="s">
        <v>31</v>
      </c>
    </row>
    <row r="30" customFormat="false" ht="121.5" hidden="false" customHeight="true" outlineLevel="0" collapsed="false">
      <c r="A30" s="26" t="n">
        <v>26</v>
      </c>
      <c r="B30" s="9" t="s">
        <v>2902</v>
      </c>
      <c r="C30" s="8" t="s">
        <v>294</v>
      </c>
      <c r="D30" s="8" t="s">
        <v>2903</v>
      </c>
      <c r="E30" s="9" t="s">
        <v>41</v>
      </c>
    </row>
    <row r="31" customFormat="false" ht="76.5" hidden="false" customHeight="true" outlineLevel="0" collapsed="false">
      <c r="A31" s="26" t="n">
        <v>27</v>
      </c>
      <c r="B31" s="9" t="s">
        <v>2904</v>
      </c>
      <c r="C31" s="8" t="s">
        <v>2905</v>
      </c>
      <c r="D31" s="8" t="s">
        <v>2906</v>
      </c>
      <c r="E31" s="9" t="s">
        <v>44</v>
      </c>
    </row>
    <row r="32" customFormat="false" ht="151.5" hidden="false" customHeight="true" outlineLevel="0" collapsed="false">
      <c r="A32" s="26" t="n">
        <v>28</v>
      </c>
      <c r="B32" s="9" t="s">
        <v>2907</v>
      </c>
      <c r="C32" s="8" t="s">
        <v>294</v>
      </c>
      <c r="D32" s="8" t="s">
        <v>2908</v>
      </c>
      <c r="E32" s="9" t="s">
        <v>41</v>
      </c>
    </row>
    <row r="33" customFormat="false" ht="136.5" hidden="false" customHeight="true" outlineLevel="0" collapsed="false">
      <c r="A33" s="26" t="n">
        <v>29</v>
      </c>
      <c r="B33" s="9" t="s">
        <v>2909</v>
      </c>
      <c r="C33" s="8" t="s">
        <v>294</v>
      </c>
      <c r="D33" s="8" t="s">
        <v>2910</v>
      </c>
      <c r="E33" s="9" t="s">
        <v>41</v>
      </c>
    </row>
    <row r="34" customFormat="false" ht="61.5" hidden="false" customHeight="true" outlineLevel="0" collapsed="false">
      <c r="A34" s="26" t="n">
        <v>30</v>
      </c>
      <c r="B34" s="9" t="s">
        <v>501</v>
      </c>
      <c r="C34" s="8" t="s">
        <v>294</v>
      </c>
      <c r="D34" s="9" t="s">
        <v>2911</v>
      </c>
      <c r="E34" s="9" t="s">
        <v>47</v>
      </c>
    </row>
    <row r="35" customFormat="false" ht="166.5" hidden="false" customHeight="true" outlineLevel="0" collapsed="false">
      <c r="A35" s="26" t="n">
        <v>31</v>
      </c>
      <c r="B35" s="9" t="s">
        <v>2912</v>
      </c>
      <c r="C35" s="9" t="s">
        <v>2913</v>
      </c>
      <c r="D35" s="9" t="s">
        <v>2914</v>
      </c>
      <c r="E35" s="9" t="s">
        <v>49</v>
      </c>
    </row>
    <row r="36" customFormat="false" ht="46.5" hidden="false" customHeight="true" outlineLevel="0" collapsed="false">
      <c r="A36" s="26" t="n">
        <v>32</v>
      </c>
      <c r="B36" s="9" t="s">
        <v>2915</v>
      </c>
      <c r="C36" s="8" t="s">
        <v>2916</v>
      </c>
      <c r="D36" s="8" t="s">
        <v>2917</v>
      </c>
      <c r="E36" s="8" t="s">
        <v>2842</v>
      </c>
    </row>
    <row r="37" customFormat="false" ht="106.5" hidden="false" customHeight="true" outlineLevel="0" collapsed="false">
      <c r="A37" s="26" t="n">
        <v>33</v>
      </c>
      <c r="B37" s="9" t="s">
        <v>2918</v>
      </c>
      <c r="C37" s="9" t="s">
        <v>2919</v>
      </c>
      <c r="D37" s="9" t="s">
        <v>2920</v>
      </c>
      <c r="E37" s="9" t="s">
        <v>2921</v>
      </c>
    </row>
    <row r="38" customFormat="false" ht="136.5" hidden="false" customHeight="true" outlineLevel="0" collapsed="false">
      <c r="A38" s="26" t="n">
        <v>34</v>
      </c>
      <c r="B38" s="9" t="s">
        <v>2922</v>
      </c>
      <c r="C38" s="8" t="s">
        <v>294</v>
      </c>
      <c r="D38" s="9" t="s">
        <v>2923</v>
      </c>
      <c r="E38" s="9" t="s">
        <v>36</v>
      </c>
    </row>
    <row r="39" customFormat="false" ht="76.5" hidden="false" customHeight="true" outlineLevel="0" collapsed="false">
      <c r="A39" s="26" t="n">
        <v>35</v>
      </c>
      <c r="B39" s="9" t="s">
        <v>2904</v>
      </c>
      <c r="C39" s="9" t="s">
        <v>2924</v>
      </c>
      <c r="D39" s="9" t="s">
        <v>2925</v>
      </c>
      <c r="E39" s="9" t="s">
        <v>44</v>
      </c>
    </row>
    <row r="40" customFormat="false" ht="181.5" hidden="false" customHeight="true" outlineLevel="0" collapsed="false">
      <c r="A40" s="26" t="n">
        <v>36</v>
      </c>
      <c r="B40" s="8" t="s">
        <v>2926</v>
      </c>
      <c r="C40" s="9" t="s">
        <v>2927</v>
      </c>
      <c r="D40" s="8" t="s">
        <v>2928</v>
      </c>
      <c r="E40" s="9" t="s">
        <v>44</v>
      </c>
    </row>
    <row r="41" customFormat="false" ht="301.5" hidden="false" customHeight="true" outlineLevel="0" collapsed="false">
      <c r="A41" s="26" t="n">
        <v>37</v>
      </c>
      <c r="B41" s="8" t="s">
        <v>2929</v>
      </c>
      <c r="C41" s="8" t="s">
        <v>2930</v>
      </c>
      <c r="D41" s="8" t="s">
        <v>2931</v>
      </c>
      <c r="E41" s="9" t="s">
        <v>2932</v>
      </c>
    </row>
    <row r="42" customFormat="false" ht="151.5" hidden="false" customHeight="true" outlineLevel="0" collapsed="false">
      <c r="A42" s="26" t="n">
        <v>38</v>
      </c>
      <c r="B42" s="8" t="s">
        <v>2933</v>
      </c>
      <c r="C42" s="8" t="s">
        <v>294</v>
      </c>
      <c r="D42" s="9" t="s">
        <v>2934</v>
      </c>
      <c r="E42" s="9" t="s">
        <v>44</v>
      </c>
    </row>
    <row r="43" customFormat="false" ht="211.5" hidden="false" customHeight="true" outlineLevel="0" collapsed="false">
      <c r="A43" s="26" t="n">
        <v>39</v>
      </c>
      <c r="B43" s="9" t="s">
        <v>2935</v>
      </c>
      <c r="C43" s="9" t="s">
        <v>2936</v>
      </c>
      <c r="D43" s="9" t="s">
        <v>2937</v>
      </c>
      <c r="E43" s="9" t="s">
        <v>34</v>
      </c>
    </row>
    <row r="44" customFormat="false" ht="121.5" hidden="false" customHeight="true" outlineLevel="0" collapsed="false">
      <c r="A44" s="26" t="n">
        <v>40</v>
      </c>
      <c r="B44" s="9" t="s">
        <v>2938</v>
      </c>
      <c r="C44" s="8" t="s">
        <v>2939</v>
      </c>
      <c r="D44" s="8" t="s">
        <v>2940</v>
      </c>
      <c r="E44" s="9" t="s">
        <v>2941</v>
      </c>
    </row>
    <row r="45" customFormat="false" ht="211.5" hidden="false" customHeight="true" outlineLevel="0" collapsed="false">
      <c r="A45" s="26" t="n">
        <v>41</v>
      </c>
      <c r="B45" s="8" t="s">
        <v>2942</v>
      </c>
      <c r="C45" s="8" t="s">
        <v>2943</v>
      </c>
      <c r="D45" s="8" t="s">
        <v>2944</v>
      </c>
      <c r="E45" s="9" t="s">
        <v>2945</v>
      </c>
    </row>
    <row r="46" customFormat="false" ht="286.5" hidden="false" customHeight="true" outlineLevel="0" collapsed="false">
      <c r="A46" s="26" t="n">
        <v>42</v>
      </c>
      <c r="B46" s="9" t="s">
        <v>2946</v>
      </c>
      <c r="C46" s="8" t="s">
        <v>294</v>
      </c>
      <c r="D46" s="9" t="s">
        <v>2947</v>
      </c>
      <c r="E46" s="9" t="s">
        <v>2948</v>
      </c>
    </row>
    <row r="47" customFormat="false" ht="211.5" hidden="false" customHeight="true" outlineLevel="0" collapsed="false">
      <c r="A47" s="26" t="n">
        <v>43</v>
      </c>
      <c r="B47" s="8" t="s">
        <v>2949</v>
      </c>
      <c r="C47" s="9" t="s">
        <v>2950</v>
      </c>
      <c r="D47" s="8" t="s">
        <v>2951</v>
      </c>
      <c r="E47" s="9" t="s">
        <v>54</v>
      </c>
    </row>
    <row r="48" customFormat="false" ht="151.5" hidden="false" customHeight="true" outlineLevel="0" collapsed="false">
      <c r="A48" s="26" t="n">
        <v>44</v>
      </c>
      <c r="B48" s="9" t="s">
        <v>2952</v>
      </c>
      <c r="C48" s="8" t="s">
        <v>2953</v>
      </c>
      <c r="D48" s="8" t="s">
        <v>2954</v>
      </c>
      <c r="E48" s="9" t="s">
        <v>2890</v>
      </c>
    </row>
    <row r="49" customFormat="false" ht="226.5" hidden="false" customHeight="true" outlineLevel="0" collapsed="false">
      <c r="A49" s="26" t="n">
        <v>45</v>
      </c>
      <c r="B49" s="9" t="s">
        <v>2955</v>
      </c>
      <c r="C49" s="8" t="s">
        <v>294</v>
      </c>
      <c r="D49" s="9" t="s">
        <v>2956</v>
      </c>
      <c r="E49" s="9" t="s">
        <v>2957</v>
      </c>
    </row>
    <row r="50" customFormat="false" ht="121.5" hidden="false" customHeight="true" outlineLevel="0" collapsed="false">
      <c r="A50" s="26" t="n">
        <v>46</v>
      </c>
      <c r="B50" s="9" t="s">
        <v>2958</v>
      </c>
      <c r="C50" s="9" t="s">
        <v>2959</v>
      </c>
      <c r="D50" s="9" t="s">
        <v>2960</v>
      </c>
      <c r="E50" s="9" t="s">
        <v>2961</v>
      </c>
    </row>
    <row r="51" customFormat="false" ht="316.5" hidden="false" customHeight="true" outlineLevel="0" collapsed="false">
      <c r="A51" s="26" t="n">
        <v>47</v>
      </c>
      <c r="B51" s="8" t="s">
        <v>2962</v>
      </c>
      <c r="C51" s="8" t="s">
        <v>294</v>
      </c>
      <c r="D51" s="9" t="s">
        <v>2963</v>
      </c>
      <c r="E51" s="9" t="s">
        <v>2964</v>
      </c>
    </row>
    <row r="52" customFormat="false" ht="226.5" hidden="false" customHeight="true" outlineLevel="0" collapsed="false">
      <c r="A52" s="26" t="n">
        <v>48</v>
      </c>
      <c r="B52" s="9" t="s">
        <v>2965</v>
      </c>
      <c r="C52" s="9" t="s">
        <v>2966</v>
      </c>
      <c r="D52" s="9" t="s">
        <v>2967</v>
      </c>
      <c r="E52" s="9" t="s">
        <v>2968</v>
      </c>
    </row>
    <row r="53" customFormat="false" ht="241.5" hidden="false" customHeight="true" outlineLevel="0" collapsed="false">
      <c r="A53" s="26" t="n">
        <v>49</v>
      </c>
      <c r="B53" s="9" t="s">
        <v>2969</v>
      </c>
      <c r="C53" s="8" t="s">
        <v>2970</v>
      </c>
      <c r="D53" s="8" t="s">
        <v>2971</v>
      </c>
      <c r="E53" s="9" t="s">
        <v>2968</v>
      </c>
    </row>
    <row r="54" customFormat="false" ht="181.5" hidden="false" customHeight="true" outlineLevel="0" collapsed="false">
      <c r="A54" s="26" t="n">
        <v>50</v>
      </c>
      <c r="B54" s="9" t="s">
        <v>54</v>
      </c>
      <c r="C54" s="9" t="s">
        <v>2972</v>
      </c>
      <c r="D54" s="9" t="s">
        <v>2973</v>
      </c>
      <c r="E54" s="9" t="s">
        <v>2974</v>
      </c>
    </row>
    <row r="55" customFormat="false" ht="151.5" hidden="false" customHeight="true" outlineLevel="0" collapsed="false">
      <c r="A55" s="26" t="n">
        <v>51</v>
      </c>
      <c r="B55" s="9" t="s">
        <v>2975</v>
      </c>
      <c r="C55" s="9" t="s">
        <v>2976</v>
      </c>
      <c r="D55" s="9" t="s">
        <v>2977</v>
      </c>
      <c r="E55" s="9" t="s">
        <v>2978</v>
      </c>
    </row>
    <row r="56" customFormat="false" ht="181.5" hidden="false" customHeight="true" outlineLevel="0" collapsed="false">
      <c r="A56" s="26" t="n">
        <v>52</v>
      </c>
      <c r="B56" s="9" t="s">
        <v>2979</v>
      </c>
      <c r="C56" s="9" t="s">
        <v>2980</v>
      </c>
      <c r="D56" s="9" t="s">
        <v>2981</v>
      </c>
      <c r="E56" s="8" t="s">
        <v>2102</v>
      </c>
    </row>
    <row r="57" customFormat="false" ht="196.5" hidden="false" customHeight="true" outlineLevel="0" collapsed="false">
      <c r="A57" s="26" t="n">
        <v>53</v>
      </c>
      <c r="B57" s="9" t="s">
        <v>2982</v>
      </c>
      <c r="C57" s="9" t="s">
        <v>2983</v>
      </c>
      <c r="D57" s="9" t="s">
        <v>2984</v>
      </c>
      <c r="E57" s="9" t="s">
        <v>2890</v>
      </c>
    </row>
    <row r="58" customFormat="false" ht="106.5" hidden="false" customHeight="true" outlineLevel="0" collapsed="false">
      <c r="A58" s="26" t="n">
        <v>54</v>
      </c>
      <c r="B58" s="9" t="s">
        <v>2985</v>
      </c>
      <c r="C58" s="8" t="s">
        <v>2986</v>
      </c>
      <c r="D58" s="8" t="s">
        <v>2987</v>
      </c>
      <c r="E58" s="9" t="s">
        <v>31</v>
      </c>
    </row>
    <row r="59" customFormat="false" ht="166.5" hidden="false" customHeight="true" outlineLevel="0" collapsed="false">
      <c r="A59" s="26" t="n">
        <v>55</v>
      </c>
      <c r="B59" s="8" t="s">
        <v>2988</v>
      </c>
      <c r="C59" s="9" t="s">
        <v>2989</v>
      </c>
      <c r="D59" s="9" t="s">
        <v>2990</v>
      </c>
      <c r="E59" s="8" t="s">
        <v>2991</v>
      </c>
    </row>
    <row r="60" customFormat="false" ht="121.5" hidden="false" customHeight="true" outlineLevel="0" collapsed="false">
      <c r="A60" s="26" t="n">
        <v>56</v>
      </c>
      <c r="B60" s="8" t="s">
        <v>2992</v>
      </c>
      <c r="C60" s="9" t="s">
        <v>2993</v>
      </c>
      <c r="D60" s="9" t="s">
        <v>2994</v>
      </c>
      <c r="E60" s="9" t="s">
        <v>44</v>
      </c>
    </row>
    <row r="61" customFormat="false" ht="91.5" hidden="false" customHeight="true" outlineLevel="0" collapsed="false">
      <c r="A61" s="26" t="n">
        <v>57</v>
      </c>
      <c r="B61" s="9" t="s">
        <v>36</v>
      </c>
      <c r="C61" s="8" t="s">
        <v>2995</v>
      </c>
      <c r="D61" s="8" t="s">
        <v>2996</v>
      </c>
      <c r="E61" s="9" t="s">
        <v>2997</v>
      </c>
    </row>
    <row r="62" customFormat="false" ht="106.5" hidden="false" customHeight="true" outlineLevel="0" collapsed="false">
      <c r="A62" s="26" t="n">
        <v>58</v>
      </c>
      <c r="B62" s="9" t="s">
        <v>2998</v>
      </c>
      <c r="C62" s="8" t="s">
        <v>2999</v>
      </c>
      <c r="D62" s="8" t="s">
        <v>3000</v>
      </c>
      <c r="E62" s="9" t="s">
        <v>3001</v>
      </c>
    </row>
    <row r="63" customFormat="false" ht="151.5" hidden="false" customHeight="true" outlineLevel="0" collapsed="false">
      <c r="A63" s="26" t="n">
        <v>59</v>
      </c>
      <c r="B63" s="9" t="s">
        <v>2897</v>
      </c>
      <c r="C63" s="9" t="s">
        <v>3002</v>
      </c>
      <c r="D63" s="9" t="s">
        <v>3003</v>
      </c>
      <c r="E63" s="9" t="s">
        <v>49</v>
      </c>
    </row>
    <row r="64" customFormat="false" ht="151.5" hidden="false" customHeight="true" outlineLevel="0" collapsed="false">
      <c r="A64" s="26" t="n">
        <v>60</v>
      </c>
      <c r="B64" s="9" t="s">
        <v>3004</v>
      </c>
      <c r="C64" s="9" t="s">
        <v>3005</v>
      </c>
      <c r="D64" s="9" t="s">
        <v>3006</v>
      </c>
      <c r="E64" s="9" t="s">
        <v>3007</v>
      </c>
    </row>
    <row r="65" customFormat="false" ht="29.25" hidden="false" customHeight="true" outlineLevel="0" collapsed="false"/>
    <row r="66" customFormat="false" ht="16.5" hidden="false" customHeight="true" outlineLevel="0" collapsed="false">
      <c r="A66" s="40" t="s">
        <v>3008</v>
      </c>
      <c r="B66" s="5"/>
      <c r="C66" s="5"/>
      <c r="D66" s="5"/>
      <c r="E66" s="5"/>
    </row>
    <row r="67" customFormat="false" ht="46.5" hidden="false" customHeight="true" outlineLevel="0" collapsed="false">
      <c r="A67" s="24" t="s">
        <v>83</v>
      </c>
      <c r="B67" s="25" t="s">
        <v>1877</v>
      </c>
      <c r="C67" s="25" t="s">
        <v>2476</v>
      </c>
      <c r="D67" s="25" t="s">
        <v>3009</v>
      </c>
      <c r="E67" s="25" t="s">
        <v>3010</v>
      </c>
    </row>
    <row r="68" customFormat="false" ht="121.5" hidden="false" customHeight="true" outlineLevel="0" collapsed="false">
      <c r="A68" s="26" t="n">
        <v>1</v>
      </c>
      <c r="B68" s="9" t="s">
        <v>3011</v>
      </c>
      <c r="C68" s="8" t="s">
        <v>3012</v>
      </c>
      <c r="D68" s="9" t="s">
        <v>3013</v>
      </c>
      <c r="E68" s="9" t="s">
        <v>41</v>
      </c>
    </row>
    <row r="69" customFormat="false" ht="91.5" hidden="false" customHeight="true" outlineLevel="0" collapsed="false">
      <c r="A69" s="26" t="n">
        <v>2</v>
      </c>
      <c r="B69" s="8" t="s">
        <v>3014</v>
      </c>
      <c r="C69" s="9" t="s">
        <v>3015</v>
      </c>
      <c r="D69" s="9" t="s">
        <v>3016</v>
      </c>
      <c r="E69" s="8" t="s">
        <v>2845</v>
      </c>
    </row>
    <row r="70" customFormat="false" ht="91.5" hidden="false" customHeight="true" outlineLevel="0" collapsed="false">
      <c r="A70" s="26" t="n">
        <v>3</v>
      </c>
      <c r="B70" s="8" t="s">
        <v>3017</v>
      </c>
      <c r="C70" s="8" t="s">
        <v>3018</v>
      </c>
      <c r="D70" s="8" t="s">
        <v>3019</v>
      </c>
      <c r="E70" s="9" t="s">
        <v>59</v>
      </c>
    </row>
    <row r="71" customFormat="false" ht="121.5" hidden="false" customHeight="true" outlineLevel="0" collapsed="false">
      <c r="A71" s="26" t="n">
        <v>4</v>
      </c>
      <c r="B71" s="9" t="s">
        <v>3020</v>
      </c>
      <c r="C71" s="8" t="s">
        <v>3021</v>
      </c>
      <c r="D71" s="9" t="s">
        <v>3022</v>
      </c>
      <c r="E71" s="9" t="s">
        <v>3001</v>
      </c>
    </row>
    <row r="72" customFormat="false" ht="91.5" hidden="false" customHeight="true" outlineLevel="0" collapsed="false">
      <c r="A72" s="26" t="n">
        <v>5</v>
      </c>
      <c r="B72" s="9" t="s">
        <v>3023</v>
      </c>
      <c r="C72" s="8" t="s">
        <v>3024</v>
      </c>
      <c r="D72" s="8" t="s">
        <v>3025</v>
      </c>
      <c r="E72" s="9" t="s">
        <v>3026</v>
      </c>
    </row>
    <row r="73" customFormat="false" ht="106.5" hidden="false" customHeight="true" outlineLevel="0" collapsed="false">
      <c r="A73" s="26" t="n">
        <v>6</v>
      </c>
      <c r="B73" s="9" t="s">
        <v>3027</v>
      </c>
      <c r="C73" s="9" t="s">
        <v>3028</v>
      </c>
      <c r="D73" s="9" t="s">
        <v>3029</v>
      </c>
      <c r="E73" s="8" t="s">
        <v>3030</v>
      </c>
    </row>
    <row r="74" customFormat="false" ht="106.5" hidden="false" customHeight="true" outlineLevel="0" collapsed="false">
      <c r="A74" s="26" t="n">
        <v>7</v>
      </c>
      <c r="B74" s="9" t="s">
        <v>3031</v>
      </c>
      <c r="C74" s="9" t="s">
        <v>3032</v>
      </c>
      <c r="D74" s="8" t="s">
        <v>3033</v>
      </c>
      <c r="E74" s="9" t="s">
        <v>36</v>
      </c>
    </row>
    <row r="75" customFormat="false" ht="61.5" hidden="false" customHeight="true" outlineLevel="0" collapsed="false">
      <c r="A75" s="26" t="n">
        <v>8</v>
      </c>
      <c r="B75" s="8" t="s">
        <v>3034</v>
      </c>
      <c r="C75" s="8" t="s">
        <v>3035</v>
      </c>
      <c r="D75" s="8" t="s">
        <v>3036</v>
      </c>
      <c r="E75" s="9" t="s">
        <v>3037</v>
      </c>
    </row>
    <row r="76" customFormat="false" ht="46.5" hidden="false" customHeight="true" outlineLevel="0" collapsed="false">
      <c r="A76" s="26" t="n">
        <v>9</v>
      </c>
      <c r="B76" s="9" t="s">
        <v>3038</v>
      </c>
      <c r="C76" s="8" t="s">
        <v>3039</v>
      </c>
      <c r="D76" s="8" t="s">
        <v>3040</v>
      </c>
      <c r="E76" s="9" t="s">
        <v>57</v>
      </c>
    </row>
    <row r="77" customFormat="false" ht="76.5" hidden="false" customHeight="true" outlineLevel="0" collapsed="false">
      <c r="A77" s="26" t="n">
        <v>10</v>
      </c>
      <c r="B77" s="9" t="s">
        <v>3041</v>
      </c>
      <c r="C77" s="8" t="s">
        <v>3042</v>
      </c>
      <c r="D77" s="9" t="s">
        <v>3043</v>
      </c>
      <c r="E77" s="9" t="s">
        <v>54</v>
      </c>
    </row>
    <row r="78" customFormat="false" ht="46.5" hidden="false" customHeight="true" outlineLevel="0" collapsed="false">
      <c r="A78" s="26" t="n">
        <v>11</v>
      </c>
      <c r="B78" s="9" t="s">
        <v>2240</v>
      </c>
      <c r="C78" s="9" t="s">
        <v>3044</v>
      </c>
      <c r="D78" s="9" t="s">
        <v>3045</v>
      </c>
      <c r="E78" s="9" t="s">
        <v>57</v>
      </c>
    </row>
    <row r="79" customFormat="false" ht="61.5" hidden="false" customHeight="true" outlineLevel="0" collapsed="false">
      <c r="A79" s="26" t="n">
        <v>12</v>
      </c>
      <c r="B79" s="9" t="s">
        <v>3046</v>
      </c>
      <c r="C79" s="9" t="s">
        <v>3047</v>
      </c>
      <c r="D79" s="9" t="s">
        <v>3048</v>
      </c>
      <c r="E79" s="9" t="s">
        <v>69</v>
      </c>
    </row>
    <row r="80" customFormat="false" ht="76.5" hidden="false" customHeight="true" outlineLevel="0" collapsed="false">
      <c r="A80" s="26" t="n">
        <v>13</v>
      </c>
      <c r="B80" s="9" t="s">
        <v>3049</v>
      </c>
      <c r="C80" s="8" t="s">
        <v>3050</v>
      </c>
      <c r="D80" s="8" t="s">
        <v>3051</v>
      </c>
      <c r="E80" s="9" t="s">
        <v>54</v>
      </c>
    </row>
    <row r="81" customFormat="false" ht="61.5" hidden="false" customHeight="true" outlineLevel="0" collapsed="false">
      <c r="A81" s="26" t="n">
        <v>14</v>
      </c>
      <c r="B81" s="9" t="s">
        <v>3052</v>
      </c>
      <c r="C81" s="8" t="s">
        <v>3053</v>
      </c>
      <c r="D81" s="9" t="s">
        <v>3054</v>
      </c>
      <c r="E81" s="9" t="s">
        <v>3055</v>
      </c>
    </row>
    <row r="82" customFormat="false" ht="61.5" hidden="false" customHeight="true" outlineLevel="0" collapsed="false">
      <c r="A82" s="26" t="n">
        <v>15</v>
      </c>
      <c r="B82" s="9" t="s">
        <v>3056</v>
      </c>
      <c r="C82" s="8" t="s">
        <v>3057</v>
      </c>
      <c r="D82" s="9" t="s">
        <v>3058</v>
      </c>
      <c r="E82" s="9" t="s">
        <v>41</v>
      </c>
    </row>
    <row r="83" customFormat="false" ht="46.5" hidden="false" customHeight="true" outlineLevel="0" collapsed="false">
      <c r="A83" s="26" t="n">
        <v>16</v>
      </c>
      <c r="B83" s="8" t="s">
        <v>3059</v>
      </c>
      <c r="C83" s="8" t="s">
        <v>3060</v>
      </c>
      <c r="D83" s="9" t="s">
        <v>3061</v>
      </c>
      <c r="E83" s="9" t="s">
        <v>47</v>
      </c>
    </row>
    <row r="84" customFormat="false" ht="106.5" hidden="false" customHeight="true" outlineLevel="0" collapsed="false">
      <c r="A84" s="26" t="n">
        <v>17</v>
      </c>
      <c r="B84" s="8" t="s">
        <v>3062</v>
      </c>
      <c r="C84" s="9" t="s">
        <v>3063</v>
      </c>
      <c r="D84" s="9" t="s">
        <v>3064</v>
      </c>
      <c r="E84" s="9" t="s">
        <v>49</v>
      </c>
    </row>
    <row r="85" customFormat="false" ht="46.5" hidden="false" customHeight="true" outlineLevel="0" collapsed="false">
      <c r="A85" s="26" t="n">
        <v>18</v>
      </c>
      <c r="B85" s="9" t="s">
        <v>3065</v>
      </c>
      <c r="C85" s="9" t="s">
        <v>3066</v>
      </c>
      <c r="D85" s="9" t="s">
        <v>3067</v>
      </c>
      <c r="E85" s="9" t="s">
        <v>44</v>
      </c>
    </row>
    <row r="86" customFormat="false" ht="61.5" hidden="false" customHeight="true" outlineLevel="0" collapsed="false">
      <c r="A86" s="26" t="n">
        <v>19</v>
      </c>
      <c r="B86" s="9" t="s">
        <v>3068</v>
      </c>
      <c r="C86" s="8" t="s">
        <v>3069</v>
      </c>
      <c r="D86" s="9" t="s">
        <v>3070</v>
      </c>
      <c r="E86" s="9" t="s">
        <v>41</v>
      </c>
    </row>
    <row r="87" customFormat="false" ht="106.5" hidden="false" customHeight="true" outlineLevel="0" collapsed="false">
      <c r="A87" s="26" t="n">
        <v>20</v>
      </c>
      <c r="B87" s="8" t="s">
        <v>3071</v>
      </c>
      <c r="C87" s="8" t="s">
        <v>3072</v>
      </c>
      <c r="D87" s="9" t="s">
        <v>3073</v>
      </c>
      <c r="E87" s="9" t="s">
        <v>44</v>
      </c>
    </row>
    <row r="88" customFormat="false" ht="106.5" hidden="false" customHeight="true" outlineLevel="0" collapsed="false">
      <c r="A88" s="26" t="n">
        <v>21</v>
      </c>
      <c r="B88" s="9" t="s">
        <v>3074</v>
      </c>
      <c r="C88" s="9" t="s">
        <v>3075</v>
      </c>
      <c r="D88" s="9" t="s">
        <v>3076</v>
      </c>
      <c r="E88" s="9" t="s">
        <v>3077</v>
      </c>
    </row>
    <row r="89" customFormat="false" ht="136.5" hidden="false" customHeight="true" outlineLevel="0" collapsed="false">
      <c r="A89" s="26" t="n">
        <v>22</v>
      </c>
      <c r="B89" s="8" t="s">
        <v>3078</v>
      </c>
      <c r="C89" s="8" t="s">
        <v>3079</v>
      </c>
      <c r="D89" s="8" t="s">
        <v>3080</v>
      </c>
      <c r="E89" s="9" t="s">
        <v>2890</v>
      </c>
    </row>
    <row r="90" customFormat="false" ht="76.5" hidden="false" customHeight="true" outlineLevel="0" collapsed="false">
      <c r="A90" s="26" t="n">
        <v>23</v>
      </c>
      <c r="B90" s="9" t="s">
        <v>3081</v>
      </c>
      <c r="C90" s="9" t="s">
        <v>3082</v>
      </c>
      <c r="D90" s="9" t="s">
        <v>3083</v>
      </c>
      <c r="E90" s="9" t="s">
        <v>31</v>
      </c>
    </row>
    <row r="91" customFormat="false" ht="15" hidden="false" customHeight="false" outlineLevel="0" collapsed="false">
      <c r="A91" s="26" t="n">
        <v>24</v>
      </c>
      <c r="B91" s="9" t="s">
        <v>3084</v>
      </c>
      <c r="C91" s="8" t="s">
        <v>3085</v>
      </c>
      <c r="D91" s="8" t="s">
        <v>3086</v>
      </c>
      <c r="E91" s="8" t="s">
        <v>2838</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2026-09-22T22:55:55Z</dcterms:created>
  <dc:creator>openpyxl</dc:creator>
  <dc:description/>
  <dc:language>en-US</dc:language>
  <cp:lastModifiedBy/>
  <dcterms:modified xsi:type="dcterms:W3CDTF">2026-09-25T01:02:38Z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